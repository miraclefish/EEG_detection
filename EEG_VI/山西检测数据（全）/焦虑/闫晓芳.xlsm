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<sst xmlns="http://schemas.openxmlformats.org/spreadsheetml/2006/main" count="702" uniqueCount="573">
  <si>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</si>
  <si>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</si>
  <si>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</si>
  <si>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</si>
  <si>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</si>
  <si>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</si>
  <si>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</si>
  <si>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</si>
  <si>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</si>
  <si>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</si>
  <si>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</si>
  <si>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</si>
  <si>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</si>
  <si>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</si>
  <si>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</si>
  <si>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</si>
  <si>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</si>
  <si>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</si>
  <si>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</si>
  <si>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</si>
  <si>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</si>
  <si>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</si>
  <si>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</si>
  <si>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</si>
  <si>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</si>
  <si>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</si>
  <si>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</si>
  <si>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</si>
  <si>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</si>
  <si>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</si>
  <si>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</si>
  <si>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</si>
  <si>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</si>
  <si>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</si>
  <si>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</si>
  <si>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</si>
  <si>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</si>
  <si>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</si>
  <si>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</si>
  <si>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</si>
  <si>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</si>
  <si>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</si>
  <si>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</si>
  <si>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</si>
  <si>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</si>
  <si>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</si>
  <si>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</si>
  <si>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</si>
  <si>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</si>
  <si>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</si>
  <si>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</si>
  <si>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</si>
  <si>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</si>
  <si>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</si>
  <si>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</si>
  <si>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</si>
  <si>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</si>
  <si>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</si>
  <si>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</si>
  <si>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</si>
  <si>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</si>
  <si>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</si>
  <si>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</si>
  <si>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</si>
  <si>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</si>
  <si>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</si>
  <si>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</si>
  <si>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</si>
  <si>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</si>
  <si>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</si>
  <si>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</si>
  <si>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</si>
  <si>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</si>
  <si>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</si>
  <si>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</si>
  <si>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</si>
  <si>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</si>
  <si>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</si>
  <si>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</si>
  <si>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</si>
  <si>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</si>
  <si>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</si>
  <si>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</si>
  <si>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</si>
  <si>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</si>
  <si>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</si>
  <si>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</si>
  <si>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</si>
  <si>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</si>
  <si>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</si>
  <si>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</si>
  <si>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</si>
  <si>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</si>
  <si>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</si>
  <si>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</si>
  <si>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</si>
  <si>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</si>
  <si>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</si>
  <si>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</si>
  <si>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</si>
  <si>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</si>
  <si>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</si>
  <si>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</si>
  <si>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</si>
  <si>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</si>
  <si>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</si>
  <si>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</si>
  <si>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</si>
  <si>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</si>
  <si>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</si>
  <si>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</si>
  <si>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</si>
  <si>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</si>
  <si>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</si>
  <si>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</si>
  <si>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</si>
  <si>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</si>
  <si>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</si>
  <si>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</si>
  <si>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</si>
  <si>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</si>
  <si>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</si>
  <si>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</si>
  <si>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</si>
  <si>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</si>
  <si>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</si>
  <si>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</si>
  <si>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</si>
  <si>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</si>
  <si>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</si>
  <si>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</si>
  <si>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</si>
  <si>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</si>
  <si>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</si>
  <si>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</si>
  <si>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</si>
  <si>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</si>
  <si>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</si>
  <si>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</si>
  <si>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</si>
  <si>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</si>
  <si>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</si>
  <si>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</si>
  <si>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</si>
  <si>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</si>
  <si>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</si>
  <si>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</si>
  <si>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</si>
  <si>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</si>
  <si>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</si>
  <si>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</si>
  <si>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</si>
  <si>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</si>
  <si>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</si>
  <si>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</si>
  <si>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</si>
  <si>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</si>
  <si>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</si>
  <si>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</si>
  <si>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</si>
  <si>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</si>
  <si>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</si>
  <si>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</si>
  <si>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</si>
  <si>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</si>
  <si>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</si>
  <si>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</si>
  <si>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</si>
  <si>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</si>
  <si>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</si>
  <si>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</si>
  <si>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</si>
  <si>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</si>
  <si>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</si>
  <si>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</si>
  <si>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</si>
  <si>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</si>
  <si>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</si>
  <si>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</si>
  <si>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</si>
  <si>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</si>
  <si>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</si>
  <si>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</si>
  <si>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</si>
  <si>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</si>
  <si>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</si>
  <si>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</si>
  <si>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</si>
  <si>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</si>
  <si>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</si>
  <si>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</si>
  <si>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</si>
  <si>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</si>
  <si>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</si>
  <si>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</si>
  <si>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</si>
  <si>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</si>
  <si>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</si>
  <si>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</si>
  <si>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</si>
  <si>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</si>
  <si>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</si>
  <si>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</si>
  <si>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</si>
  <si>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</si>
  <si>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</si>
  <si>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</si>
  <si>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</si>
  <si>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</si>
  <si>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</si>
  <si>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</si>
  <si>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</si>
  <si>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</si>
  <si>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</si>
  <si>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</si>
  <si>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</si>
  <si>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</si>
  <si>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</si>
  <si>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</si>
  <si>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</si>
  <si>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</si>
  <si>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</si>
  <si>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</si>
  <si>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</si>
  <si>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</si>
  <si>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</si>
  <si>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</si>
  <si>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</si>
  <si>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</si>
  <si>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</si>
  <si>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</si>
  <si>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</si>
  <si>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</si>
  <si>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</si>
  <si>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</si>
  <si>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</si>
  <si>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</si>
  <si>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</si>
  <si>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</si>
  <si>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</si>
  <si>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</si>
  <si>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</si>
  <si>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</si>
  <si>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</si>
  <si>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</si>
  <si>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</si>
  <si>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</si>
  <si>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</si>
  <si>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</si>
  <si>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</si>
  <si>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</si>
  <si>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</si>
  <si>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</si>
  <si>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</si>
  <si>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</si>
  <si>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</si>
  <si>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</si>
  <si>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</si>
  <si>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</si>
  <si>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</si>
  <si>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</si>
  <si>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</si>
  <si>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</si>
  <si>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</si>
  <si>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</si>
  <si>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</si>
  <si>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</si>
  <si>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</si>
  <si>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</si>
  <si>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</si>
  <si>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</si>
  <si>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</si>
  <si>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</si>
  <si>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</si>
  <si>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</si>
  <si>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</si>
  <si>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</si>
  <si>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</si>
  <si>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</si>
  <si>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</si>
  <si>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</si>
  <si>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</si>
  <si>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</si>
  <si>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</si>
  <si>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</si>
  <si>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</si>
  <si>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</si>
  <si>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</si>
  <si>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</si>
  <si>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</si>
  <si>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</si>
  <si>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</si>
  <si>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</si>
  <si>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</si>
  <si>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</si>
  <si>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</si>
  <si>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</si>
  <si>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</si>
  <si>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</si>
  <si>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</si>
  <si>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</si>
  <si>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</si>
  <si>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</si>
  <si>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</si>
  <si>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</si>
  <si>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</si>
  <si>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</si>
  <si>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</si>
  <si>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</si>
  <si>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</si>
  <si>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</si>
  <si>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</si>
  <si>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</si>
  <si>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</si>
  <si>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</si>
  <si>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</si>
  <si>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</si>
  <si>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</si>
  <si>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</si>
  <si>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</si>
  <si>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</si>
  <si>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</si>
  <si>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</si>
  <si>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</si>
  <si>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</si>
  <si>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</si>
  <si>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</si>
  <si>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</si>
  <si>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</si>
  <si>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</si>
  <si>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</si>
  <si>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</si>
  <si>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</si>
  <si>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</si>
  <si>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</si>
  <si>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</si>
  <si>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</si>
  <si>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</si>
  <si>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</si>
  <si>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</si>
  <si>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</si>
  <si>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</si>
  <si>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</si>
  <si>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</si>
  <si>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</si>
  <si>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</si>
  <si>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</si>
  <si>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</si>
  <si>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</si>
  <si>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</si>
  <si>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</si>
  <si>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</si>
  <si>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</si>
  <si>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</si>
  <si>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</si>
  <si>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</si>
  <si>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</si>
  <si>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</si>
  <si>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</si>
  <si>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</si>
  <si>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</si>
  <si>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</si>
  <si>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</si>
  <si>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</si>
  <si>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</si>
  <si>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</si>
  <si>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</si>
  <si>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</si>
  <si>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</si>
  <si>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</si>
  <si>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</si>
  <si>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</si>
  <si>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</si>
  <si>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</si>
  <si>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</si>
  <si>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</si>
  <si>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</si>
  <si>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</si>
  <si>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</si>
  <si>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</si>
  <si>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</si>
  <si>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</si>
  <si>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</si>
  <si>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</si>
  <si>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</si>
  <si>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</si>
  <si>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</si>
  <si>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</si>
  <si>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</si>
  <si>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</si>
  <si>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</si>
  <si>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</si>
  <si>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</si>
  <si>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</si>
  <si>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</si>
  <si>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</si>
  <si>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</si>
  <si>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</si>
  <si>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</si>
  <si>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</si>
  <si>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</si>
  <si>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</si>
  <si>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</si>
  <si>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</si>
  <si>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</si>
  <si>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</si>
  <si>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</si>
  <si>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</si>
  <si>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</si>
  <si>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</si>
  <si>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[0.388969]</t>
  </si>
  <si>
    <t>1 [0.794725]</t>
  </si>
  <si>
    <t>1 [1.197654]</t>
  </si>
  <si>
    <t>1 [1.607596]</t>
  </si>
  <si>
    <t>1 [2.015409]</t>
  </si>
  <si>
    <t>1 [2.419430]</t>
  </si>
  <si>
    <t>1 [2.828371]</t>
  </si>
  <si>
    <t>1 [3.232592]</t>
  </si>
  <si>
    <t>1 [3.636432]</t>
  </si>
  <si>
    <t>1 [4.043257]</t>
  </si>
  <si>
    <t>1 [4.452108]</t>
  </si>
  <si>
    <t>1 [4.856911]</t>
  </si>
  <si>
    <t>1 [5.259983]</t>
  </si>
  <si>
    <t>1 [5.668777]</t>
  </si>
  <si>
    <t>1 [6.076711]</t>
  </si>
  <si>
    <t>1 [6.480909]</t>
  </si>
  <si>
    <t>1 [6.887934]</t>
  </si>
  <si>
    <t>1 [7.290441]</t>
  </si>
  <si>
    <t>1 [7.701761]</t>
  </si>
  <si>
    <t>1 [8.107318]</t>
  </si>
  <si>
    <t>1 [8.512386]</t>
  </si>
  <si>
    <t>1 [8.921991]</t>
  </si>
  <si>
    <t>1 [9.328966]</t>
  </si>
  <si>
    <t>1 [9.730883]</t>
  </si>
  <si>
    <t>1 [10.137872]</t>
  </si>
  <si>
    <t>1 [10.541641]</t>
  </si>
  <si>
    <t>1 [10.951652]</t>
  </si>
  <si>
    <t>1 [11.357419]</t>
  </si>
  <si>
    <t>1 [11.764561]</t>
  </si>
  <si>
    <t>1 [12.170654]</t>
  </si>
  <si>
    <t>1 [12.575237]</t>
  </si>
  <si>
    <t>1 [12.982092]</t>
  </si>
  <si>
    <t>1 [13.386045]</t>
  </si>
  <si>
    <t>1 [13.807040]</t>
  </si>
  <si>
    <t>1 [14.202047]</t>
  </si>
  <si>
    <t>1 [14.604353]</t>
  </si>
  <si>
    <t>1 [15.007812]</t>
  </si>
  <si>
    <t>1 [15.422645]</t>
  </si>
  <si>
    <t>1 [15.823555]</t>
  </si>
  <si>
    <t>1 [16.230458]</t>
  </si>
  <si>
    <t>1 [16.641428]</t>
  </si>
  <si>
    <t>1 [17.043158]</t>
  </si>
  <si>
    <t>1 [17.451156]</t>
  </si>
  <si>
    <t>1 [17.859228]</t>
  </si>
  <si>
    <t>1 [18.266193]</t>
  </si>
  <si>
    <t>1 [18.669196]</t>
  </si>
  <si>
    <t>1 [19.071990]</t>
  </si>
  <si>
    <t>1 [19.482909]</t>
  </si>
  <si>
    <t>1 [19.895696]</t>
  </si>
  <si>
    <t>1 [20.292726]</t>
  </si>
  <si>
    <t>1 [20.700551]</t>
  </si>
  <si>
    <t>1 [21.110568]</t>
  </si>
  <si>
    <t>1 [21.511720]</t>
  </si>
  <si>
    <t>1 [21.921539]</t>
  </si>
  <si>
    <t>1 [22.326167]</t>
  </si>
  <si>
    <t>1 [22.732038]</t>
  </si>
  <si>
    <t>1 [23.135240]</t>
  </si>
  <si>
    <t>1 [23.543982]</t>
  </si>
  <si>
    <t>1 [23.956112]</t>
  </si>
  <si>
    <t>1 [24.357887]</t>
  </si>
  <si>
    <t>1 [24.762815]</t>
  </si>
  <si>
    <t>1 [25.166814]</t>
  </si>
  <si>
    <t>1 [25.573706]</t>
  </si>
  <si>
    <t>1 [25.982537]</t>
  </si>
  <si>
    <t>1 [26.389459]</t>
  </si>
  <si>
    <t>1 [26.796191]</t>
  </si>
  <si>
    <t>1 [27.194925]</t>
  </si>
  <si>
    <t>1 [27.603651]</t>
  </si>
  <si>
    <t>1 [28.018138]</t>
  </si>
  <si>
    <t>1 [28.419037]</t>
  </si>
  <si>
    <t>1 [28.831766]</t>
  </si>
  <si>
    <t>1 [29.230891]</t>
  </si>
  <si>
    <t>1 [29.636082]</t>
  </si>
  <si>
    <t>1 [30.044047]</t>
  </si>
  <si>
    <t>2 [30.637420]</t>
  </si>
  <si>
    <t>2 [31.017198]</t>
  </si>
  <si>
    <t>2 [31.391019]</t>
  </si>
  <si>
    <t>2 [31.773533]</t>
  </si>
  <si>
    <t>2 [32.140149]</t>
  </si>
  <si>
    <t>2 [32.544228]</t>
  </si>
  <si>
    <t>2 [32.965126]</t>
  </si>
  <si>
    <t>2 [33.359083]</t>
  </si>
  <si>
    <t>2 [33.772078]</t>
  </si>
  <si>
    <t>2 [34.169616]</t>
  </si>
  <si>
    <t>2 [34.574539]</t>
  </si>
  <si>
    <t>2 [34.997505]</t>
  </si>
  <si>
    <t>2 [35.390364]</t>
  </si>
  <si>
    <t>2 [35.795377]</t>
  </si>
  <si>
    <t>2 [36.205252]</t>
  </si>
  <si>
    <t>2 [36.606712]</t>
  </si>
  <si>
    <t>2 [37.012350]</t>
  </si>
  <si>
    <t>2 [37.418925]</t>
  </si>
  <si>
    <t>2 [37.827017]</t>
  </si>
  <si>
    <t>2 [38.230976]</t>
  </si>
  <si>
    <t>2 [38.636902]</t>
  </si>
  <si>
    <t>2 [39.044178]</t>
  </si>
  <si>
    <t>2 [39.448778]</t>
  </si>
  <si>
    <t>2 [39.855570]</t>
  </si>
  <si>
    <t>2 [40.263369]</t>
  </si>
  <si>
    <t>2 [40.668433]</t>
  </si>
  <si>
    <t>2 [41.073457]</t>
  </si>
  <si>
    <t>2 [41.483146]</t>
  </si>
  <si>
    <t>2 [41.891135]</t>
  </si>
  <si>
    <t>2 [42.312987]</t>
  </si>
  <si>
    <t>2 [42.696952]</t>
  </si>
  <si>
    <t>2 [43.107123]</t>
  </si>
  <si>
    <t>2 [43.511809]</t>
  </si>
  <si>
    <t>2 [43.919688]</t>
  </si>
  <si>
    <t>2 [44.328588]</t>
  </si>
  <si>
    <t>2 [44.749667]</t>
  </si>
  <si>
    <t>2 [45.134485]</t>
  </si>
  <si>
    <t>2 [45.542368]</t>
  </si>
  <si>
    <t>2 [45.954506]</t>
  </si>
  <si>
    <t>2 [46.355289]</t>
  </si>
  <si>
    <t>2 [46.763566]</t>
  </si>
  <si>
    <t>2 [47.169595]</t>
  </si>
  <si>
    <t>2 [47.575403]</t>
  </si>
  <si>
    <t>2 [47.987572]</t>
  </si>
  <si>
    <t>2 [48.390216]</t>
  </si>
  <si>
    <t>2 [48.793124]</t>
  </si>
  <si>
    <t>2 [49.196023]</t>
  </si>
  <si>
    <t>2 [49.606823]</t>
  </si>
  <si>
    <t>2 [50.010381]</t>
  </si>
  <si>
    <t>2 [50.418903]</t>
  </si>
  <si>
    <t>2 [50.826583]</t>
  </si>
  <si>
    <t>2 [51.229555]</t>
  </si>
  <si>
    <t>2 [51.635913]</t>
  </si>
  <si>
    <t>2 [52.047369]</t>
  </si>
  <si>
    <t>2 [52.451311]</t>
  </si>
  <si>
    <t>2 [52.856231]</t>
  </si>
  <si>
    <t>2 [53.263109]</t>
  </si>
  <si>
    <t>2 [53.665093]</t>
  </si>
  <si>
    <t>2 [54.074856]</t>
  </si>
  <si>
    <t>2 [54.481883]</t>
  </si>
  <si>
    <t>2 [54.886702]</t>
  </si>
  <si>
    <t>2 [55.292653]</t>
  </si>
  <si>
    <t>2 [55.702582]</t>
  </si>
  <si>
    <t>2 [56.106556]</t>
  </si>
  <si>
    <t>2 [56.512558]</t>
  </si>
  <si>
    <t>2 [56.919399]</t>
  </si>
  <si>
    <t>2 [57.326227]</t>
  </si>
  <si>
    <t>2 [57.732095]</t>
  </si>
  <si>
    <t>2 [58.139071]</t>
  </si>
  <si>
    <t>2 [58.547107]</t>
  </si>
  <si>
    <t>2 [58.949042]</t>
  </si>
  <si>
    <t>2 [59.362941]</t>
  </si>
  <si>
    <t>2 [59.763681]</t>
  </si>
  <si>
    <t>2 [60.168736]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</si>
  <si>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</si>
  <si>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</si>
  <si>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</si>
  <si>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</si>
  <si>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</si>
  <si>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</si>
  <si>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</si>
  <si>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</si>
  <si>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</si>
  <si>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</si>
  <si>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</si>
  <si>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</si>
  <si>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</si>
  <si>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</si>
  <si>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闫晓芳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</si>
</sst>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36.7241</c:v>
                </c:pt>
                <c:pt idx="1">
                  <c:v>31.444400000000002</c:v>
                </c:pt>
                <c:pt idx="2">
                  <c:v>30.288799999999998</c:v>
                </c:pt>
                <c:pt idx="3">
                  <c:v>32.495100000000001</c:v>
                </c:pt>
                <c:pt idx="4">
                  <c:v>71.463099999999997</c:v>
                </c:pt>
                <c:pt idx="5">
                  <c:v>72.254099999999994</c:v>
                </c:pt>
                <c:pt idx="6">
                  <c:v>20.907800000000002</c:v>
                </c:pt>
                <c:pt idx="7">
                  <c:v>70.345299999999995</c:v>
                </c:pt>
                <c:pt idx="8">
                  <c:v>16.710699999999999</c:v>
                </c:pt>
                <c:pt idx="9">
                  <c:v>17.227599999999999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0.54165670622336193</c:v>
                </c:pt>
                <c:pt idx="1">
                  <c:v>0.30187323953726986</c:v>
                </c:pt>
                <c:pt idx="2">
                  <c:v>0.1564700542393683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1.9478000000000002E-2</c:v>
                </c:pt>
                <c:pt idx="2">
                  <c:v>3.8956000000000005E-2</c:v>
                </c:pt>
                <c:pt idx="3">
                  <c:v>5.8434E-2</c:v>
                </c:pt>
                <c:pt idx="4">
                  <c:v>7.7912000000000009E-2</c:v>
                </c:pt>
                <c:pt idx="5">
                  <c:v>9.7390000000000004E-2</c:v>
                </c:pt>
                <c:pt idx="6">
                  <c:v>0.116868</c:v>
                </c:pt>
                <c:pt idx="7">
                  <c:v>0.13634599999999999</c:v>
                </c:pt>
                <c:pt idx="8">
                  <c:v>0.15582400000000002</c:v>
                </c:pt>
                <c:pt idx="9">
                  <c:v>0.17530200000000001</c:v>
                </c:pt>
                <c:pt idx="10">
                  <c:v>0.19478000000000001</c:v>
                </c:pt>
                <c:pt idx="11">
                  <c:v>0.214258</c:v>
                </c:pt>
                <c:pt idx="12">
                  <c:v>0.233736</c:v>
                </c:pt>
                <c:pt idx="13">
                  <c:v>0.25321399999999999</c:v>
                </c:pt>
                <c:pt idx="14">
                  <c:v>0.27269199999999999</c:v>
                </c:pt>
                <c:pt idx="15">
                  <c:v>0.29216999999999999</c:v>
                </c:pt>
                <c:pt idx="16">
                  <c:v>0.31164800000000004</c:v>
                </c:pt>
                <c:pt idx="17">
                  <c:v>0.33112600000000003</c:v>
                </c:pt>
                <c:pt idx="18">
                  <c:v>0.35060400000000003</c:v>
                </c:pt>
                <c:pt idx="19">
                  <c:v>0.37008200000000002</c:v>
                </c:pt>
                <c:pt idx="20">
                  <c:v>0.38956000000000002</c:v>
                </c:pt>
                <c:pt idx="21">
                  <c:v>0.40903800000000001</c:v>
                </c:pt>
                <c:pt idx="22">
                  <c:v>0.42851600000000001</c:v>
                </c:pt>
                <c:pt idx="23">
                  <c:v>0.447994</c:v>
                </c:pt>
                <c:pt idx="24">
                  <c:v>0.467472</c:v>
                </c:pt>
                <c:pt idx="25">
                  <c:v>0.48694999999999999</c:v>
                </c:pt>
                <c:pt idx="26">
                  <c:v>0.50642799999999999</c:v>
                </c:pt>
                <c:pt idx="27">
                  <c:v>0.52590599999999998</c:v>
                </c:pt>
                <c:pt idx="28">
                  <c:v>0.54538399999999998</c:v>
                </c:pt>
                <c:pt idx="29">
                  <c:v>0.56486199999999998</c:v>
                </c:pt>
                <c:pt idx="30">
                  <c:v>0.58433999999999997</c:v>
                </c:pt>
                <c:pt idx="31">
                  <c:v>0.60381800000000008</c:v>
                </c:pt>
                <c:pt idx="32">
                  <c:v>0.62329600000000007</c:v>
                </c:pt>
                <c:pt idx="33">
                  <c:v>0.64277400000000007</c:v>
                </c:pt>
                <c:pt idx="34">
                  <c:v>0.66225200000000006</c:v>
                </c:pt>
                <c:pt idx="35">
                  <c:v>0.68173000000000006</c:v>
                </c:pt>
                <c:pt idx="36">
                  <c:v>0.70120800000000005</c:v>
                </c:pt>
                <c:pt idx="37">
                  <c:v>0.72068600000000005</c:v>
                </c:pt>
                <c:pt idx="38">
                  <c:v>0.74016400000000004</c:v>
                </c:pt>
                <c:pt idx="39">
                  <c:v>0.75964200000000015</c:v>
                </c:pt>
                <c:pt idx="40">
                  <c:v>0.77912000000000003</c:v>
                </c:pt>
                <c:pt idx="41">
                  <c:v>0.79859800000000014</c:v>
                </c:pt>
                <c:pt idx="42">
                  <c:v>0.81807600000000003</c:v>
                </c:pt>
                <c:pt idx="43">
                  <c:v>0.83755400000000013</c:v>
                </c:pt>
                <c:pt idx="44">
                  <c:v>0.85703200000000002</c:v>
                </c:pt>
                <c:pt idx="45">
                  <c:v>0.87651000000000012</c:v>
                </c:pt>
                <c:pt idx="46">
                  <c:v>0.89598800000000001</c:v>
                </c:pt>
                <c:pt idx="47">
                  <c:v>0.91546600000000011</c:v>
                </c:pt>
                <c:pt idx="48">
                  <c:v>0.934944</c:v>
                </c:pt>
                <c:pt idx="49">
                  <c:v>0.9544220000000001</c:v>
                </c:pt>
                <c:pt idx="50">
                  <c:v>0.97389999999999999</c:v>
                </c:pt>
                <c:pt idx="51">
                  <c:v>0.99337800000000009</c:v>
                </c:pt>
                <c:pt idx="52">
                  <c:v>1.012856</c:v>
                </c:pt>
                <c:pt idx="53">
                  <c:v>1.0323340000000001</c:v>
                </c:pt>
                <c:pt idx="54">
                  <c:v>1.051812</c:v>
                </c:pt>
                <c:pt idx="55">
                  <c:v>1.0712900000000001</c:v>
                </c:pt>
                <c:pt idx="56">
                  <c:v>1.090768</c:v>
                </c:pt>
                <c:pt idx="57">
                  <c:v>1.1102460000000001</c:v>
                </c:pt>
                <c:pt idx="58">
                  <c:v>1.129724</c:v>
                </c:pt>
                <c:pt idx="59">
                  <c:v>1.1492020000000001</c:v>
                </c:pt>
                <c:pt idx="60">
                  <c:v>1.1686799999999999</c:v>
                </c:pt>
                <c:pt idx="61">
                  <c:v>1.188158</c:v>
                </c:pt>
                <c:pt idx="62">
                  <c:v>1.2076360000000002</c:v>
                </c:pt>
                <c:pt idx="63">
                  <c:v>1.227114</c:v>
                </c:pt>
                <c:pt idx="64">
                  <c:v>1.2465920000000001</c:v>
                </c:pt>
                <c:pt idx="65">
                  <c:v>1.26607</c:v>
                </c:pt>
                <c:pt idx="66">
                  <c:v>1.2855480000000001</c:v>
                </c:pt>
                <c:pt idx="67">
                  <c:v>1.305026</c:v>
                </c:pt>
                <c:pt idx="68">
                  <c:v>1.3245040000000001</c:v>
                </c:pt>
                <c:pt idx="69">
                  <c:v>1.343982</c:v>
                </c:pt>
                <c:pt idx="70">
                  <c:v>1.3634600000000001</c:v>
                </c:pt>
                <c:pt idx="71">
                  <c:v>1.3829380000000002</c:v>
                </c:pt>
                <c:pt idx="72">
                  <c:v>1.4024160000000001</c:v>
                </c:pt>
                <c:pt idx="73">
                  <c:v>1.421894</c:v>
                </c:pt>
                <c:pt idx="74">
                  <c:v>1.4413720000000001</c:v>
                </c:pt>
                <c:pt idx="75">
                  <c:v>1.4608500000000002</c:v>
                </c:pt>
                <c:pt idx="76">
                  <c:v>1.4803280000000001</c:v>
                </c:pt>
                <c:pt idx="77">
                  <c:v>1.499806</c:v>
                </c:pt>
                <c:pt idx="78">
                  <c:v>1.5192840000000003</c:v>
                </c:pt>
                <c:pt idx="79">
                  <c:v>1.5387620000000002</c:v>
                </c:pt>
                <c:pt idx="80">
                  <c:v>1.5582400000000001</c:v>
                </c:pt>
                <c:pt idx="81">
                  <c:v>1.577718</c:v>
                </c:pt>
                <c:pt idx="82">
                  <c:v>1.5971960000000003</c:v>
                </c:pt>
                <c:pt idx="83">
                  <c:v>1.6166740000000002</c:v>
                </c:pt>
                <c:pt idx="84">
                  <c:v>1.6361520000000001</c:v>
                </c:pt>
                <c:pt idx="85">
                  <c:v>1.6556299999999999</c:v>
                </c:pt>
                <c:pt idx="86">
                  <c:v>1.6751080000000003</c:v>
                </c:pt>
                <c:pt idx="87">
                  <c:v>1.6945860000000001</c:v>
                </c:pt>
                <c:pt idx="88">
                  <c:v>1.714064</c:v>
                </c:pt>
                <c:pt idx="89">
                  <c:v>1.7335419999999999</c:v>
                </c:pt>
                <c:pt idx="90">
                  <c:v>1.7530200000000002</c:v>
                </c:pt>
                <c:pt idx="91">
                  <c:v>1.7724980000000001</c:v>
                </c:pt>
                <c:pt idx="92">
                  <c:v>1.791976</c:v>
                </c:pt>
                <c:pt idx="93">
                  <c:v>1.8114539999999999</c:v>
                </c:pt>
                <c:pt idx="94">
                  <c:v>1.8309320000000002</c:v>
                </c:pt>
                <c:pt idx="95">
                  <c:v>1.8504100000000001</c:v>
                </c:pt>
                <c:pt idx="96">
                  <c:v>1.869888</c:v>
                </c:pt>
                <c:pt idx="97">
                  <c:v>1.8893660000000001</c:v>
                </c:pt>
                <c:pt idx="98">
                  <c:v>1.9088440000000002</c:v>
                </c:pt>
                <c:pt idx="99">
                  <c:v>1.9283220000000001</c:v>
                </c:pt>
                <c:pt idx="100">
                  <c:v>1.9478</c:v>
                </c:pt>
                <c:pt idx="101">
                  <c:v>1.9672780000000001</c:v>
                </c:pt>
                <c:pt idx="102">
                  <c:v>1.9867560000000002</c:v>
                </c:pt>
                <c:pt idx="103">
                  <c:v>2.0062340000000001</c:v>
                </c:pt>
                <c:pt idx="104">
                  <c:v>2.025712</c:v>
                </c:pt>
                <c:pt idx="105">
                  <c:v>2.0451899999999998</c:v>
                </c:pt>
                <c:pt idx="106">
                  <c:v>2.0646680000000002</c:v>
                </c:pt>
                <c:pt idx="107">
                  <c:v>2.0841460000000001</c:v>
                </c:pt>
                <c:pt idx="108">
                  <c:v>2.1036239999999999</c:v>
                </c:pt>
                <c:pt idx="109">
                  <c:v>2.1231019999999998</c:v>
                </c:pt>
                <c:pt idx="110">
                  <c:v>2.1425800000000002</c:v>
                </c:pt>
                <c:pt idx="111">
                  <c:v>2.162058</c:v>
                </c:pt>
                <c:pt idx="112">
                  <c:v>2.1815359999999999</c:v>
                </c:pt>
                <c:pt idx="113">
                  <c:v>2.2010139999999998</c:v>
                </c:pt>
                <c:pt idx="114">
                  <c:v>2.2204920000000001</c:v>
                </c:pt>
                <c:pt idx="115">
                  <c:v>2.23997</c:v>
                </c:pt>
                <c:pt idx="116">
                  <c:v>2.2594479999999999</c:v>
                </c:pt>
                <c:pt idx="117">
                  <c:v>2.2789260000000002</c:v>
                </c:pt>
                <c:pt idx="118">
                  <c:v>2.2984040000000001</c:v>
                </c:pt>
                <c:pt idx="119">
                  <c:v>2.317882</c:v>
                </c:pt>
                <c:pt idx="120">
                  <c:v>2.3373599999999999</c:v>
                </c:pt>
                <c:pt idx="121">
                  <c:v>2.3568380000000002</c:v>
                </c:pt>
                <c:pt idx="122">
                  <c:v>2.3763160000000001</c:v>
                </c:pt>
                <c:pt idx="123">
                  <c:v>2.395794</c:v>
                </c:pt>
                <c:pt idx="124">
                  <c:v>2.4152720000000003</c:v>
                </c:pt>
                <c:pt idx="125">
                  <c:v>2.4347500000000002</c:v>
                </c:pt>
                <c:pt idx="126">
                  <c:v>2.4542280000000001</c:v>
                </c:pt>
                <c:pt idx="127">
                  <c:v>2.473706</c:v>
                </c:pt>
                <c:pt idx="128">
                  <c:v>2.4931840000000003</c:v>
                </c:pt>
                <c:pt idx="129">
                  <c:v>2.5126620000000002</c:v>
                </c:pt>
                <c:pt idx="130">
                  <c:v>2.5321400000000001</c:v>
                </c:pt>
                <c:pt idx="131">
                  <c:v>2.5516179999999999</c:v>
                </c:pt>
                <c:pt idx="132">
                  <c:v>2.5710960000000003</c:v>
                </c:pt>
                <c:pt idx="133">
                  <c:v>2.5905740000000002</c:v>
                </c:pt>
                <c:pt idx="134">
                  <c:v>2.610052</c:v>
                </c:pt>
                <c:pt idx="135">
                  <c:v>2.6295300000000004</c:v>
                </c:pt>
                <c:pt idx="136">
                  <c:v>2.6490080000000003</c:v>
                </c:pt>
                <c:pt idx="137">
                  <c:v>2.6684860000000001</c:v>
                </c:pt>
                <c:pt idx="138">
                  <c:v>2.687964</c:v>
                </c:pt>
                <c:pt idx="139">
                  <c:v>2.7074419999999999</c:v>
                </c:pt>
                <c:pt idx="140">
                  <c:v>2.7269200000000002</c:v>
                </c:pt>
                <c:pt idx="141">
                  <c:v>2.7463980000000001</c:v>
                </c:pt>
                <c:pt idx="142">
                  <c:v>2.7658760000000004</c:v>
                </c:pt>
                <c:pt idx="143">
                  <c:v>2.7853540000000003</c:v>
                </c:pt>
                <c:pt idx="144">
                  <c:v>2.8048320000000002</c:v>
                </c:pt>
                <c:pt idx="145">
                  <c:v>2.8243100000000001</c:v>
                </c:pt>
                <c:pt idx="146">
                  <c:v>2.843788</c:v>
                </c:pt>
                <c:pt idx="147">
                  <c:v>2.8632659999999999</c:v>
                </c:pt>
                <c:pt idx="148">
                  <c:v>2.8827440000000002</c:v>
                </c:pt>
                <c:pt idx="149">
                  <c:v>2.9022220000000005</c:v>
                </c:pt>
                <c:pt idx="150">
                  <c:v>2.9217000000000004</c:v>
                </c:pt>
                <c:pt idx="151">
                  <c:v>2.9411780000000003</c:v>
                </c:pt>
                <c:pt idx="152">
                  <c:v>2.9606560000000002</c:v>
                </c:pt>
                <c:pt idx="153">
                  <c:v>2.9801340000000001</c:v>
                </c:pt>
                <c:pt idx="154">
                  <c:v>2.9996119999999999</c:v>
                </c:pt>
                <c:pt idx="155">
                  <c:v>3.0190899999999998</c:v>
                </c:pt>
                <c:pt idx="156">
                  <c:v>3.0385680000000006</c:v>
                </c:pt>
                <c:pt idx="157">
                  <c:v>3.0580460000000005</c:v>
                </c:pt>
                <c:pt idx="158">
                  <c:v>3.0775240000000004</c:v>
                </c:pt>
                <c:pt idx="159">
                  <c:v>3.0970020000000003</c:v>
                </c:pt>
                <c:pt idx="160">
                  <c:v>3.1164800000000001</c:v>
                </c:pt>
                <c:pt idx="161">
                  <c:v>3.135958</c:v>
                </c:pt>
                <c:pt idx="162">
                  <c:v>3.1554359999999999</c:v>
                </c:pt>
                <c:pt idx="163">
                  <c:v>3.1749139999999998</c:v>
                </c:pt>
                <c:pt idx="164">
                  <c:v>3.1943920000000006</c:v>
                </c:pt>
                <c:pt idx="165">
                  <c:v>3.2138700000000004</c:v>
                </c:pt>
                <c:pt idx="166">
                  <c:v>3.2333480000000003</c:v>
                </c:pt>
                <c:pt idx="167">
                  <c:v>3.2528260000000002</c:v>
                </c:pt>
                <c:pt idx="168">
                  <c:v>3.2723040000000001</c:v>
                </c:pt>
                <c:pt idx="169">
                  <c:v>3.291782</c:v>
                </c:pt>
                <c:pt idx="170">
                  <c:v>3.3112599999999999</c:v>
                </c:pt>
                <c:pt idx="171">
                  <c:v>3.3307379999999998</c:v>
                </c:pt>
                <c:pt idx="172">
                  <c:v>3.3502160000000005</c:v>
                </c:pt>
                <c:pt idx="173">
                  <c:v>3.3696940000000004</c:v>
                </c:pt>
                <c:pt idx="174">
                  <c:v>3.3891720000000003</c:v>
                </c:pt>
                <c:pt idx="175">
                  <c:v>3.4086500000000002</c:v>
                </c:pt>
                <c:pt idx="176">
                  <c:v>3.4281280000000001</c:v>
                </c:pt>
                <c:pt idx="177">
                  <c:v>3.4476059999999999</c:v>
                </c:pt>
                <c:pt idx="178">
                  <c:v>3.4670839999999998</c:v>
                </c:pt>
                <c:pt idx="179">
                  <c:v>3.4865619999999997</c:v>
                </c:pt>
                <c:pt idx="180">
                  <c:v>3.5060400000000005</c:v>
                </c:pt>
                <c:pt idx="181">
                  <c:v>3.5255180000000004</c:v>
                </c:pt>
                <c:pt idx="182">
                  <c:v>3.5449960000000003</c:v>
                </c:pt>
                <c:pt idx="183">
                  <c:v>3.5644740000000001</c:v>
                </c:pt>
                <c:pt idx="184">
                  <c:v>3.583952</c:v>
                </c:pt>
                <c:pt idx="185">
                  <c:v>3.6034299999999999</c:v>
                </c:pt>
                <c:pt idx="186">
                  <c:v>3.6229079999999998</c:v>
                </c:pt>
                <c:pt idx="187">
                  <c:v>3.6423860000000001</c:v>
                </c:pt>
                <c:pt idx="188">
                  <c:v>3.6618640000000005</c:v>
                </c:pt>
                <c:pt idx="189">
                  <c:v>3.6813420000000003</c:v>
                </c:pt>
                <c:pt idx="190">
                  <c:v>3.7008200000000002</c:v>
                </c:pt>
                <c:pt idx="191">
                  <c:v>3.7202980000000001</c:v>
                </c:pt>
                <c:pt idx="192">
                  <c:v>3.739776</c:v>
                </c:pt>
                <c:pt idx="193">
                  <c:v>3.7592539999999999</c:v>
                </c:pt>
                <c:pt idx="194">
                  <c:v>3.7787320000000002</c:v>
                </c:pt>
                <c:pt idx="195">
                  <c:v>3.7982100000000001</c:v>
                </c:pt>
                <c:pt idx="196">
                  <c:v>3.8176880000000004</c:v>
                </c:pt>
                <c:pt idx="197">
                  <c:v>3.8371660000000003</c:v>
                </c:pt>
                <c:pt idx="198">
                  <c:v>3.8566440000000002</c:v>
                </c:pt>
                <c:pt idx="199">
                  <c:v>3.8761220000000001</c:v>
                </c:pt>
                <c:pt idx="200">
                  <c:v>3.8956</c:v>
                </c:pt>
                <c:pt idx="201">
                  <c:v>3.9150780000000003</c:v>
                </c:pt>
                <c:pt idx="202">
                  <c:v>3.9345560000000002</c:v>
                </c:pt>
                <c:pt idx="203">
                  <c:v>3.954034</c:v>
                </c:pt>
                <c:pt idx="204">
                  <c:v>3.9735120000000004</c:v>
                </c:pt>
                <c:pt idx="205">
                  <c:v>3.9929900000000003</c:v>
                </c:pt>
                <c:pt idx="206">
                  <c:v>4.0124680000000001</c:v>
                </c:pt>
                <c:pt idx="207">
                  <c:v>4.0319460000000005</c:v>
                </c:pt>
                <c:pt idx="208">
                  <c:v>4.0514239999999999</c:v>
                </c:pt>
                <c:pt idx="209">
                  <c:v>4.0709020000000002</c:v>
                </c:pt>
                <c:pt idx="210">
                  <c:v>4.0903799999999997</c:v>
                </c:pt>
                <c:pt idx="211">
                  <c:v>4.109858</c:v>
                </c:pt>
                <c:pt idx="212">
                  <c:v>4.1293360000000003</c:v>
                </c:pt>
                <c:pt idx="213">
                  <c:v>4.1488140000000007</c:v>
                </c:pt>
                <c:pt idx="214">
                  <c:v>4.1682920000000001</c:v>
                </c:pt>
                <c:pt idx="215">
                  <c:v>4.1877700000000004</c:v>
                </c:pt>
                <c:pt idx="216">
                  <c:v>4.2072479999999999</c:v>
                </c:pt>
                <c:pt idx="217">
                  <c:v>4.2267260000000002</c:v>
                </c:pt>
                <c:pt idx="218">
                  <c:v>4.2462039999999996</c:v>
                </c:pt>
                <c:pt idx="219">
                  <c:v>4.265682</c:v>
                </c:pt>
                <c:pt idx="220">
                  <c:v>4.2851600000000003</c:v>
                </c:pt>
                <c:pt idx="221">
                  <c:v>4.3046380000000006</c:v>
                </c:pt>
                <c:pt idx="222">
                  <c:v>4.3241160000000001</c:v>
                </c:pt>
                <c:pt idx="223">
                  <c:v>4.3435940000000004</c:v>
                </c:pt>
                <c:pt idx="224">
                  <c:v>4.3630719999999998</c:v>
                </c:pt>
                <c:pt idx="225">
                  <c:v>4.3825500000000002</c:v>
                </c:pt>
                <c:pt idx="226">
                  <c:v>4.4020279999999996</c:v>
                </c:pt>
                <c:pt idx="227">
                  <c:v>4.4215059999999999</c:v>
                </c:pt>
                <c:pt idx="228">
                  <c:v>4.4409840000000003</c:v>
                </c:pt>
                <c:pt idx="229">
                  <c:v>4.4604620000000006</c:v>
                </c:pt>
                <c:pt idx="230">
                  <c:v>4.47994</c:v>
                </c:pt>
                <c:pt idx="231">
                  <c:v>4.4994180000000004</c:v>
                </c:pt>
                <c:pt idx="232">
                  <c:v>4.5188959999999998</c:v>
                </c:pt>
                <c:pt idx="233">
                  <c:v>4.5383740000000001</c:v>
                </c:pt>
                <c:pt idx="234">
                  <c:v>4.5578520000000005</c:v>
                </c:pt>
                <c:pt idx="235">
                  <c:v>4.5773299999999999</c:v>
                </c:pt>
                <c:pt idx="236">
                  <c:v>4.5968080000000002</c:v>
                </c:pt>
                <c:pt idx="237">
                  <c:v>4.6162860000000006</c:v>
                </c:pt>
                <c:pt idx="238">
                  <c:v>4.635764</c:v>
                </c:pt>
                <c:pt idx="239">
                  <c:v>4.6552420000000003</c:v>
                </c:pt>
                <c:pt idx="240">
                  <c:v>4.6747199999999998</c:v>
                </c:pt>
                <c:pt idx="241">
                  <c:v>4.6941980000000001</c:v>
                </c:pt>
                <c:pt idx="242">
                  <c:v>4.7136760000000004</c:v>
                </c:pt>
                <c:pt idx="243">
                  <c:v>4.7331539999999999</c:v>
                </c:pt>
                <c:pt idx="244">
                  <c:v>4.7526320000000002</c:v>
                </c:pt>
                <c:pt idx="245">
                  <c:v>4.7721100000000005</c:v>
                </c:pt>
                <c:pt idx="246">
                  <c:v>4.791588</c:v>
                </c:pt>
                <c:pt idx="247">
                  <c:v>4.8110660000000003</c:v>
                </c:pt>
                <c:pt idx="248">
                  <c:v>4.8305440000000006</c:v>
                </c:pt>
                <c:pt idx="249">
                  <c:v>4.8500220000000001</c:v>
                </c:pt>
                <c:pt idx="250">
                  <c:v>4.8695000000000004</c:v>
                </c:pt>
                <c:pt idx="251">
                  <c:v>4.8889779999999998</c:v>
                </c:pt>
                <c:pt idx="252">
                  <c:v>4.9084560000000002</c:v>
                </c:pt>
                <c:pt idx="253">
                  <c:v>4.9279340000000005</c:v>
                </c:pt>
                <c:pt idx="254">
                  <c:v>4.9474119999999999</c:v>
                </c:pt>
                <c:pt idx="255">
                  <c:v>4.9668900000000002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4005</c:v>
                </c:pt>
                <c:pt idx="7">
                  <c:v>0</c:v>
                </c:pt>
                <c:pt idx="8">
                  <c:v>6617</c:v>
                </c:pt>
                <c:pt idx="9">
                  <c:v>0</c:v>
                </c:pt>
                <c:pt idx="10">
                  <c:v>0</c:v>
                </c:pt>
                <c:pt idx="11">
                  <c:v>10752</c:v>
                </c:pt>
                <c:pt idx="12">
                  <c:v>0</c:v>
                </c:pt>
                <c:pt idx="13">
                  <c:v>19941</c:v>
                </c:pt>
                <c:pt idx="14">
                  <c:v>0</c:v>
                </c:pt>
                <c:pt idx="15">
                  <c:v>0</c:v>
                </c:pt>
                <c:pt idx="16">
                  <c:v>32262</c:v>
                </c:pt>
                <c:pt idx="17">
                  <c:v>0</c:v>
                </c:pt>
                <c:pt idx="18">
                  <c:v>0</c:v>
                </c:pt>
                <c:pt idx="19">
                  <c:v>38668</c:v>
                </c:pt>
                <c:pt idx="20">
                  <c:v>0</c:v>
                </c:pt>
                <c:pt idx="21">
                  <c:v>50526</c:v>
                </c:pt>
                <c:pt idx="22">
                  <c:v>0</c:v>
                </c:pt>
                <c:pt idx="23">
                  <c:v>0</c:v>
                </c:pt>
                <c:pt idx="24">
                  <c:v>56473</c:v>
                </c:pt>
                <c:pt idx="25">
                  <c:v>0</c:v>
                </c:pt>
                <c:pt idx="26">
                  <c:v>66183</c:v>
                </c:pt>
                <c:pt idx="27">
                  <c:v>0</c:v>
                </c:pt>
                <c:pt idx="28">
                  <c:v>0</c:v>
                </c:pt>
                <c:pt idx="29">
                  <c:v>66356</c:v>
                </c:pt>
                <c:pt idx="30">
                  <c:v>0</c:v>
                </c:pt>
                <c:pt idx="31">
                  <c:v>79153</c:v>
                </c:pt>
                <c:pt idx="32">
                  <c:v>0</c:v>
                </c:pt>
                <c:pt idx="33">
                  <c:v>0</c:v>
                </c:pt>
                <c:pt idx="34">
                  <c:v>78624</c:v>
                </c:pt>
                <c:pt idx="35">
                  <c:v>0</c:v>
                </c:pt>
                <c:pt idx="36">
                  <c:v>0</c:v>
                </c:pt>
                <c:pt idx="37">
                  <c:v>105135</c:v>
                </c:pt>
                <c:pt idx="38">
                  <c:v>0</c:v>
                </c:pt>
                <c:pt idx="39">
                  <c:v>103649</c:v>
                </c:pt>
                <c:pt idx="40">
                  <c:v>0</c:v>
                </c:pt>
                <c:pt idx="41">
                  <c:v>0</c:v>
                </c:pt>
                <c:pt idx="42">
                  <c:v>118044</c:v>
                </c:pt>
                <c:pt idx="43">
                  <c:v>0</c:v>
                </c:pt>
                <c:pt idx="44">
                  <c:v>126405</c:v>
                </c:pt>
                <c:pt idx="45">
                  <c:v>0</c:v>
                </c:pt>
                <c:pt idx="46">
                  <c:v>0</c:v>
                </c:pt>
                <c:pt idx="47">
                  <c:v>136011</c:v>
                </c:pt>
                <c:pt idx="48">
                  <c:v>0</c:v>
                </c:pt>
                <c:pt idx="49">
                  <c:v>137716</c:v>
                </c:pt>
                <c:pt idx="50">
                  <c:v>0</c:v>
                </c:pt>
                <c:pt idx="51">
                  <c:v>0</c:v>
                </c:pt>
                <c:pt idx="52">
                  <c:v>135109</c:v>
                </c:pt>
                <c:pt idx="53">
                  <c:v>0</c:v>
                </c:pt>
                <c:pt idx="54">
                  <c:v>0</c:v>
                </c:pt>
                <c:pt idx="55">
                  <c:v>147387</c:v>
                </c:pt>
                <c:pt idx="56">
                  <c:v>0</c:v>
                </c:pt>
                <c:pt idx="57">
                  <c:v>139543</c:v>
                </c:pt>
                <c:pt idx="58">
                  <c:v>0</c:v>
                </c:pt>
                <c:pt idx="59">
                  <c:v>0</c:v>
                </c:pt>
                <c:pt idx="60">
                  <c:v>141836</c:v>
                </c:pt>
                <c:pt idx="61">
                  <c:v>0</c:v>
                </c:pt>
                <c:pt idx="62">
                  <c:v>145287</c:v>
                </c:pt>
                <c:pt idx="63">
                  <c:v>0</c:v>
                </c:pt>
                <c:pt idx="64">
                  <c:v>0</c:v>
                </c:pt>
                <c:pt idx="65">
                  <c:v>147010</c:v>
                </c:pt>
                <c:pt idx="66">
                  <c:v>0</c:v>
                </c:pt>
                <c:pt idx="67">
                  <c:v>141018</c:v>
                </c:pt>
                <c:pt idx="68">
                  <c:v>0</c:v>
                </c:pt>
                <c:pt idx="69">
                  <c:v>0</c:v>
                </c:pt>
                <c:pt idx="70">
                  <c:v>154275</c:v>
                </c:pt>
                <c:pt idx="71">
                  <c:v>0</c:v>
                </c:pt>
                <c:pt idx="72">
                  <c:v>0</c:v>
                </c:pt>
                <c:pt idx="73">
                  <c:v>153113</c:v>
                </c:pt>
                <c:pt idx="74">
                  <c:v>0</c:v>
                </c:pt>
                <c:pt idx="75">
                  <c:v>160159</c:v>
                </c:pt>
                <c:pt idx="76">
                  <c:v>0</c:v>
                </c:pt>
                <c:pt idx="77">
                  <c:v>0</c:v>
                </c:pt>
                <c:pt idx="78">
                  <c:v>166488</c:v>
                </c:pt>
                <c:pt idx="79">
                  <c:v>0</c:v>
                </c:pt>
                <c:pt idx="80">
                  <c:v>170414</c:v>
                </c:pt>
                <c:pt idx="81">
                  <c:v>0</c:v>
                </c:pt>
                <c:pt idx="82">
                  <c:v>0</c:v>
                </c:pt>
                <c:pt idx="83">
                  <c:v>179025</c:v>
                </c:pt>
                <c:pt idx="84">
                  <c:v>0</c:v>
                </c:pt>
                <c:pt idx="85">
                  <c:v>0</c:v>
                </c:pt>
                <c:pt idx="86">
                  <c:v>173378</c:v>
                </c:pt>
                <c:pt idx="87">
                  <c:v>0</c:v>
                </c:pt>
                <c:pt idx="88">
                  <c:v>185503</c:v>
                </c:pt>
                <c:pt idx="89">
                  <c:v>0</c:v>
                </c:pt>
                <c:pt idx="90">
                  <c:v>0</c:v>
                </c:pt>
                <c:pt idx="91">
                  <c:v>198822</c:v>
                </c:pt>
                <c:pt idx="92">
                  <c:v>0</c:v>
                </c:pt>
                <c:pt idx="93">
                  <c:v>188710</c:v>
                </c:pt>
                <c:pt idx="94">
                  <c:v>0</c:v>
                </c:pt>
                <c:pt idx="95">
                  <c:v>0</c:v>
                </c:pt>
                <c:pt idx="96">
                  <c:v>182563</c:v>
                </c:pt>
                <c:pt idx="97">
                  <c:v>0</c:v>
                </c:pt>
                <c:pt idx="98">
                  <c:v>180409</c:v>
                </c:pt>
                <c:pt idx="99">
                  <c:v>0</c:v>
                </c:pt>
                <c:pt idx="100">
                  <c:v>0</c:v>
                </c:pt>
                <c:pt idx="101">
                  <c:v>164538</c:v>
                </c:pt>
                <c:pt idx="102">
                  <c:v>0</c:v>
                </c:pt>
                <c:pt idx="103">
                  <c:v>0</c:v>
                </c:pt>
                <c:pt idx="104">
                  <c:v>148648</c:v>
                </c:pt>
                <c:pt idx="105">
                  <c:v>0</c:v>
                </c:pt>
                <c:pt idx="106">
                  <c:v>130771</c:v>
                </c:pt>
                <c:pt idx="107">
                  <c:v>0</c:v>
                </c:pt>
                <c:pt idx="108">
                  <c:v>0</c:v>
                </c:pt>
                <c:pt idx="109">
                  <c:v>114953</c:v>
                </c:pt>
                <c:pt idx="110">
                  <c:v>0</c:v>
                </c:pt>
                <c:pt idx="111">
                  <c:v>96350</c:v>
                </c:pt>
                <c:pt idx="112">
                  <c:v>0</c:v>
                </c:pt>
                <c:pt idx="113">
                  <c:v>0</c:v>
                </c:pt>
                <c:pt idx="114">
                  <c:v>81926</c:v>
                </c:pt>
                <c:pt idx="115">
                  <c:v>0</c:v>
                </c:pt>
                <c:pt idx="116">
                  <c:v>70043</c:v>
                </c:pt>
                <c:pt idx="117">
                  <c:v>0</c:v>
                </c:pt>
                <c:pt idx="118">
                  <c:v>0</c:v>
                </c:pt>
                <c:pt idx="119">
                  <c:v>51756</c:v>
                </c:pt>
                <c:pt idx="120">
                  <c:v>0</c:v>
                </c:pt>
                <c:pt idx="121">
                  <c:v>0</c:v>
                </c:pt>
                <c:pt idx="122">
                  <c:v>40264</c:v>
                </c:pt>
                <c:pt idx="123">
                  <c:v>0</c:v>
                </c:pt>
                <c:pt idx="124">
                  <c:v>27941</c:v>
                </c:pt>
                <c:pt idx="125">
                  <c:v>0</c:v>
                </c:pt>
                <c:pt idx="126">
                  <c:v>0</c:v>
                </c:pt>
                <c:pt idx="127">
                  <c:v>27184</c:v>
                </c:pt>
                <c:pt idx="128">
                  <c:v>0</c:v>
                </c:pt>
                <c:pt idx="129">
                  <c:v>18759</c:v>
                </c:pt>
                <c:pt idx="130">
                  <c:v>0</c:v>
                </c:pt>
                <c:pt idx="131">
                  <c:v>0</c:v>
                </c:pt>
                <c:pt idx="132">
                  <c:v>13919</c:v>
                </c:pt>
                <c:pt idx="133">
                  <c:v>0</c:v>
                </c:pt>
                <c:pt idx="134">
                  <c:v>9413</c:v>
                </c:pt>
                <c:pt idx="135">
                  <c:v>0</c:v>
                </c:pt>
                <c:pt idx="136">
                  <c:v>0</c:v>
                </c:pt>
                <c:pt idx="137">
                  <c:v>4668</c:v>
                </c:pt>
                <c:pt idx="138">
                  <c:v>0</c:v>
                </c:pt>
                <c:pt idx="139">
                  <c:v>0</c:v>
                </c:pt>
                <c:pt idx="140">
                  <c:v>2542</c:v>
                </c:pt>
                <c:pt idx="141">
                  <c:v>0</c:v>
                </c:pt>
                <c:pt idx="142">
                  <c:v>1153</c:v>
                </c:pt>
                <c:pt idx="143">
                  <c:v>0</c:v>
                </c:pt>
                <c:pt idx="144">
                  <c:v>0</c:v>
                </c:pt>
                <c:pt idx="145">
                  <c:v>420</c:v>
                </c:pt>
                <c:pt idx="146">
                  <c:v>0</c:v>
                </c:pt>
                <c:pt idx="147">
                  <c:v>159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  <c:pt idx="75">
                  <c:v>3.0793500000000003</c:v>
                </c:pt>
                <c:pt idx="76">
                  <c:v>3.08203</c:v>
                </c:pt>
                <c:pt idx="77">
                  <c:v>3.0835699999999999</c:v>
                </c:pt>
                <c:pt idx="78">
                  <c:v>3.0880900000000002</c:v>
                </c:pt>
                <c:pt idx="79">
                  <c:v>3.0952000000000002</c:v>
                </c:pt>
                <c:pt idx="80">
                  <c:v>3.10595</c:v>
                </c:pt>
                <c:pt idx="81">
                  <c:v>3.1193399999999998</c:v>
                </c:pt>
                <c:pt idx="82">
                  <c:v>3.1339399999999999</c:v>
                </c:pt>
                <c:pt idx="83">
                  <c:v>3.1465700000000001</c:v>
                </c:pt>
                <c:pt idx="84">
                  <c:v>3.1593</c:v>
                </c:pt>
                <c:pt idx="85">
                  <c:v>3.1678299999999999</c:v>
                </c:pt>
                <c:pt idx="86">
                  <c:v>3.1706799999999999</c:v>
                </c:pt>
                <c:pt idx="87">
                  <c:v>3.17136</c:v>
                </c:pt>
                <c:pt idx="88">
                  <c:v>3.1753799999999996</c:v>
                </c:pt>
                <c:pt idx="89">
                  <c:v>3.1808399999999999</c:v>
                </c:pt>
                <c:pt idx="90">
                  <c:v>3.18668</c:v>
                </c:pt>
                <c:pt idx="91">
                  <c:v>3.19258</c:v>
                </c:pt>
                <c:pt idx="92">
                  <c:v>3.1997</c:v>
                </c:pt>
                <c:pt idx="93">
                  <c:v>3.2083200000000001</c:v>
                </c:pt>
                <c:pt idx="94">
                  <c:v>3.21563</c:v>
                </c:pt>
                <c:pt idx="95">
                  <c:v>3.2230699999999999</c:v>
                </c:pt>
                <c:pt idx="96">
                  <c:v>3.2320900000000004</c:v>
                </c:pt>
                <c:pt idx="97">
                  <c:v>3.2403</c:v>
                </c:pt>
                <c:pt idx="98">
                  <c:v>3.24532</c:v>
                </c:pt>
                <c:pt idx="99">
                  <c:v>3.24892</c:v>
                </c:pt>
                <c:pt idx="100">
                  <c:v>3.2523</c:v>
                </c:pt>
                <c:pt idx="101">
                  <c:v>3.2523999999999997</c:v>
                </c:pt>
                <c:pt idx="102">
                  <c:v>3.2518000000000002</c:v>
                </c:pt>
                <c:pt idx="103">
                  <c:v>3.2505699999999997</c:v>
                </c:pt>
                <c:pt idx="104">
                  <c:v>3.2488000000000001</c:v>
                </c:pt>
                <c:pt idx="105">
                  <c:v>3.2458100000000001</c:v>
                </c:pt>
                <c:pt idx="106">
                  <c:v>3.2434600000000002</c:v>
                </c:pt>
                <c:pt idx="107">
                  <c:v>3.2437</c:v>
                </c:pt>
                <c:pt idx="108">
                  <c:v>3.24526</c:v>
                </c:pt>
                <c:pt idx="109">
                  <c:v>3.24491</c:v>
                </c:pt>
                <c:pt idx="110">
                  <c:v>3.2417400000000001</c:v>
                </c:pt>
                <c:pt idx="111">
                  <c:v>3.2421899999999999</c:v>
                </c:pt>
                <c:pt idx="112">
                  <c:v>3.2456499999999999</c:v>
                </c:pt>
                <c:pt idx="113">
                  <c:v>3.24674</c:v>
                </c:pt>
                <c:pt idx="114">
                  <c:v>3.2463899999999999</c:v>
                </c:pt>
                <c:pt idx="115">
                  <c:v>3.2423099999999998</c:v>
                </c:pt>
                <c:pt idx="116">
                  <c:v>3.2369599999999998</c:v>
                </c:pt>
                <c:pt idx="117">
                  <c:v>3.2271000000000001</c:v>
                </c:pt>
                <c:pt idx="118">
                  <c:v>3.2189000000000001</c:v>
                </c:pt>
                <c:pt idx="119">
                  <c:v>3.2142300000000001</c:v>
                </c:pt>
                <c:pt idx="120">
                  <c:v>3.2110599999999998</c:v>
                </c:pt>
                <c:pt idx="121">
                  <c:v>3.2076500000000001</c:v>
                </c:pt>
                <c:pt idx="122">
                  <c:v>3.1985200000000003</c:v>
                </c:pt>
                <c:pt idx="123">
                  <c:v>3.18912</c:v>
                </c:pt>
                <c:pt idx="124">
                  <c:v>3.18343</c:v>
                </c:pt>
                <c:pt idx="125">
                  <c:v>3.18025</c:v>
                </c:pt>
                <c:pt idx="126">
                  <c:v>3.1789899999999998</c:v>
                </c:pt>
                <c:pt idx="127">
                  <c:v>3.1791599999999995</c:v>
                </c:pt>
                <c:pt idx="128">
                  <c:v>3.1788499999999997</c:v>
                </c:pt>
                <c:pt idx="129">
                  <c:v>3.1776</c:v>
                </c:pt>
                <c:pt idx="130">
                  <c:v>3.1768000000000001</c:v>
                </c:pt>
                <c:pt idx="131">
                  <c:v>3.1727100000000004</c:v>
                </c:pt>
                <c:pt idx="132">
                  <c:v>3.16526</c:v>
                </c:pt>
                <c:pt idx="133">
                  <c:v>3.1572</c:v>
                </c:pt>
                <c:pt idx="134">
                  <c:v>3.1511899999999997</c:v>
                </c:pt>
                <c:pt idx="135">
                  <c:v>3.1504900000000005</c:v>
                </c:pt>
                <c:pt idx="136">
                  <c:v>3.1495899999999999</c:v>
                </c:pt>
                <c:pt idx="137">
                  <c:v>3.1465300000000003</c:v>
                </c:pt>
                <c:pt idx="138">
                  <c:v>3.1420300000000001</c:v>
                </c:pt>
                <c:pt idx="139">
                  <c:v>3.1373199999999999</c:v>
                </c:pt>
                <c:pt idx="140">
                  <c:v>3.1361499999999998</c:v>
                </c:pt>
                <c:pt idx="141">
                  <c:v>3.13673</c:v>
                </c:pt>
                <c:pt idx="142">
                  <c:v>3.1449199999999999</c:v>
                </c:pt>
                <c:pt idx="143">
                  <c:v>3.1530200000000002</c:v>
                </c:pt>
                <c:pt idx="144">
                  <c:v>3.1535400000000005</c:v>
                </c:pt>
                <c:pt idx="145">
                  <c:v>3.1436199999999999</c:v>
                </c:pt>
                <c:pt idx="146">
                  <c:v>3.11808</c:v>
                </c:pt>
                <c:pt idx="147">
                  <c:v>3.1166399999999999</c:v>
                </c:pt>
                <c:pt idx="148">
                  <c:v>3.1122499999999995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  <c:pt idx="75">
                  <c:v>51.750500000000002</c:v>
                </c:pt>
                <c:pt idx="76">
                  <c:v>51.655700000000003</c:v>
                </c:pt>
                <c:pt idx="77">
                  <c:v>51.621700000000004</c:v>
                </c:pt>
                <c:pt idx="78">
                  <c:v>51.519000000000005</c:v>
                </c:pt>
                <c:pt idx="79">
                  <c:v>51.333500000000001</c:v>
                </c:pt>
                <c:pt idx="80">
                  <c:v>51.023399999999995</c:v>
                </c:pt>
                <c:pt idx="81">
                  <c:v>50.646299999999997</c:v>
                </c:pt>
                <c:pt idx="82">
                  <c:v>50.259299999999996</c:v>
                </c:pt>
                <c:pt idx="83">
                  <c:v>49.925599999999996</c:v>
                </c:pt>
                <c:pt idx="84">
                  <c:v>49.682500000000005</c:v>
                </c:pt>
                <c:pt idx="85">
                  <c:v>49.498399999999997</c:v>
                </c:pt>
                <c:pt idx="86">
                  <c:v>49.375999999999998</c:v>
                </c:pt>
                <c:pt idx="87">
                  <c:v>49.220999999999997</c:v>
                </c:pt>
                <c:pt idx="88">
                  <c:v>48.987499999999997</c:v>
                </c:pt>
                <c:pt idx="89">
                  <c:v>48.671599999999998</c:v>
                </c:pt>
                <c:pt idx="90">
                  <c:v>48.3033</c:v>
                </c:pt>
                <c:pt idx="91">
                  <c:v>47.962700000000005</c:v>
                </c:pt>
                <c:pt idx="92">
                  <c:v>47.6907</c:v>
                </c:pt>
                <c:pt idx="93">
                  <c:v>47.544199999999996</c:v>
                </c:pt>
                <c:pt idx="94">
                  <c:v>47.506999999999998</c:v>
                </c:pt>
                <c:pt idx="95">
                  <c:v>47.482100000000003</c:v>
                </c:pt>
                <c:pt idx="96">
                  <c:v>47.462700000000005</c:v>
                </c:pt>
                <c:pt idx="97">
                  <c:v>47.4251</c:v>
                </c:pt>
                <c:pt idx="98">
                  <c:v>47.4465</c:v>
                </c:pt>
                <c:pt idx="99">
                  <c:v>47.479599999999998</c:v>
                </c:pt>
                <c:pt idx="100">
                  <c:v>47.451000000000001</c:v>
                </c:pt>
                <c:pt idx="101">
                  <c:v>47.393000000000001</c:v>
                </c:pt>
                <c:pt idx="102">
                  <c:v>47.3048</c:v>
                </c:pt>
                <c:pt idx="103">
                  <c:v>47.241599999999998</c:v>
                </c:pt>
                <c:pt idx="104">
                  <c:v>47.220199999999998</c:v>
                </c:pt>
                <c:pt idx="105">
                  <c:v>47.2774</c:v>
                </c:pt>
                <c:pt idx="106">
                  <c:v>47.374500000000005</c:v>
                </c:pt>
                <c:pt idx="107">
                  <c:v>47.549599999999998</c:v>
                </c:pt>
                <c:pt idx="108">
                  <c:v>47.713499999999996</c:v>
                </c:pt>
                <c:pt idx="109">
                  <c:v>47.8262</c:v>
                </c:pt>
                <c:pt idx="110">
                  <c:v>47.897400000000005</c:v>
                </c:pt>
                <c:pt idx="111">
                  <c:v>47.909300000000002</c:v>
                </c:pt>
                <c:pt idx="112">
                  <c:v>47.944099999999999</c:v>
                </c:pt>
                <c:pt idx="113">
                  <c:v>48.026600000000002</c:v>
                </c:pt>
                <c:pt idx="114">
                  <c:v>48.173899999999996</c:v>
                </c:pt>
                <c:pt idx="115">
                  <c:v>48.343000000000004</c:v>
                </c:pt>
                <c:pt idx="116">
                  <c:v>48.467100000000002</c:v>
                </c:pt>
                <c:pt idx="117">
                  <c:v>48.526599999999995</c:v>
                </c:pt>
                <c:pt idx="118">
                  <c:v>48.5657</c:v>
                </c:pt>
                <c:pt idx="119">
                  <c:v>48.548200000000001</c:v>
                </c:pt>
                <c:pt idx="120">
                  <c:v>48.520299999999999</c:v>
                </c:pt>
                <c:pt idx="121">
                  <c:v>48.571300000000001</c:v>
                </c:pt>
                <c:pt idx="122">
                  <c:v>48.7211</c:v>
                </c:pt>
                <c:pt idx="123">
                  <c:v>48.8095</c:v>
                </c:pt>
                <c:pt idx="124">
                  <c:v>48.834300000000006</c:v>
                </c:pt>
                <c:pt idx="125">
                  <c:v>48.929699999999997</c:v>
                </c:pt>
                <c:pt idx="126">
                  <c:v>49.009500000000003</c:v>
                </c:pt>
                <c:pt idx="127">
                  <c:v>49.081699999999998</c:v>
                </c:pt>
                <c:pt idx="128">
                  <c:v>49.146599999999999</c:v>
                </c:pt>
                <c:pt idx="129">
                  <c:v>49.200099999999999</c:v>
                </c:pt>
                <c:pt idx="130">
                  <c:v>49.2239</c:v>
                </c:pt>
                <c:pt idx="131">
                  <c:v>49.297400000000003</c:v>
                </c:pt>
                <c:pt idx="132">
                  <c:v>49.340400000000002</c:v>
                </c:pt>
                <c:pt idx="133">
                  <c:v>49.384900000000002</c:v>
                </c:pt>
                <c:pt idx="134">
                  <c:v>49.4131</c:v>
                </c:pt>
                <c:pt idx="135">
                  <c:v>49.417699999999996</c:v>
                </c:pt>
                <c:pt idx="136">
                  <c:v>49.410900000000005</c:v>
                </c:pt>
                <c:pt idx="137">
                  <c:v>49.434400000000004</c:v>
                </c:pt>
                <c:pt idx="138">
                  <c:v>49.4617</c:v>
                </c:pt>
                <c:pt idx="139">
                  <c:v>49.472100000000005</c:v>
                </c:pt>
                <c:pt idx="140">
                  <c:v>49.555900000000001</c:v>
                </c:pt>
                <c:pt idx="141">
                  <c:v>49.749700000000004</c:v>
                </c:pt>
                <c:pt idx="142">
                  <c:v>50.017500000000005</c:v>
                </c:pt>
                <c:pt idx="143">
                  <c:v>50.263899999999992</c:v>
                </c:pt>
                <c:pt idx="144">
                  <c:v>50.441400000000002</c:v>
                </c:pt>
                <c:pt idx="145">
                  <c:v>50.818300000000008</c:v>
                </c:pt>
                <c:pt idx="146">
                  <c:v>50.957900000000002</c:v>
                </c:pt>
                <c:pt idx="147">
                  <c:v>50.433799999999998</c:v>
                </c:pt>
                <c:pt idx="148">
                  <c:v>50.5717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3.0753900000000001</c:v>
                </c:pt>
                <c:pt idx="1">
                  <c:v>3.0793500000000003</c:v>
                </c:pt>
                <c:pt idx="2">
                  <c:v>3.08203</c:v>
                </c:pt>
                <c:pt idx="3">
                  <c:v>3.0835699999999999</c:v>
                </c:pt>
                <c:pt idx="4">
                  <c:v>3.0880900000000002</c:v>
                </c:pt>
                <c:pt idx="5">
                  <c:v>3.0952000000000002</c:v>
                </c:pt>
                <c:pt idx="6">
                  <c:v>3.10595</c:v>
                </c:pt>
                <c:pt idx="7">
                  <c:v>3.1193399999999998</c:v>
                </c:pt>
                <c:pt idx="8">
                  <c:v>3.1339399999999999</c:v>
                </c:pt>
                <c:pt idx="9">
                  <c:v>3.1465700000000001</c:v>
                </c:pt>
                <c:pt idx="10">
                  <c:v>3.1593</c:v>
                </c:pt>
                <c:pt idx="11">
                  <c:v>3.1678299999999999</c:v>
                </c:pt>
                <c:pt idx="12">
                  <c:v>3.1706799999999999</c:v>
                </c:pt>
                <c:pt idx="13">
                  <c:v>3.17136</c:v>
                </c:pt>
                <c:pt idx="14">
                  <c:v>3.1753799999999996</c:v>
                </c:pt>
                <c:pt idx="15">
                  <c:v>3.1808399999999999</c:v>
                </c:pt>
                <c:pt idx="16">
                  <c:v>3.18668</c:v>
                </c:pt>
                <c:pt idx="17">
                  <c:v>3.19258</c:v>
                </c:pt>
                <c:pt idx="18">
                  <c:v>3.1997</c:v>
                </c:pt>
                <c:pt idx="19">
                  <c:v>3.2083200000000001</c:v>
                </c:pt>
                <c:pt idx="20">
                  <c:v>3.21563</c:v>
                </c:pt>
                <c:pt idx="21">
                  <c:v>3.2230699999999999</c:v>
                </c:pt>
                <c:pt idx="22">
                  <c:v>3.2320900000000004</c:v>
                </c:pt>
                <c:pt idx="23">
                  <c:v>3.2403</c:v>
                </c:pt>
                <c:pt idx="24">
                  <c:v>3.24532</c:v>
                </c:pt>
                <c:pt idx="25">
                  <c:v>3.24892</c:v>
                </c:pt>
                <c:pt idx="26">
                  <c:v>3.2523</c:v>
                </c:pt>
                <c:pt idx="27">
                  <c:v>3.2523999999999997</c:v>
                </c:pt>
                <c:pt idx="28">
                  <c:v>3.2518000000000002</c:v>
                </c:pt>
                <c:pt idx="29">
                  <c:v>3.2505699999999997</c:v>
                </c:pt>
                <c:pt idx="30">
                  <c:v>3.2488000000000001</c:v>
                </c:pt>
                <c:pt idx="31">
                  <c:v>3.2458100000000001</c:v>
                </c:pt>
                <c:pt idx="32">
                  <c:v>3.2434600000000002</c:v>
                </c:pt>
                <c:pt idx="33">
                  <c:v>3.2437</c:v>
                </c:pt>
                <c:pt idx="34">
                  <c:v>3.24526</c:v>
                </c:pt>
                <c:pt idx="35">
                  <c:v>3.24491</c:v>
                </c:pt>
                <c:pt idx="36">
                  <c:v>3.2417400000000001</c:v>
                </c:pt>
                <c:pt idx="37">
                  <c:v>3.2421899999999999</c:v>
                </c:pt>
                <c:pt idx="38">
                  <c:v>3.2456499999999999</c:v>
                </c:pt>
                <c:pt idx="39">
                  <c:v>3.24674</c:v>
                </c:pt>
                <c:pt idx="40">
                  <c:v>3.2463899999999999</c:v>
                </c:pt>
                <c:pt idx="41">
                  <c:v>3.2423099999999998</c:v>
                </c:pt>
                <c:pt idx="42">
                  <c:v>3.2369599999999998</c:v>
                </c:pt>
                <c:pt idx="43">
                  <c:v>3.2271000000000001</c:v>
                </c:pt>
                <c:pt idx="44">
                  <c:v>3.2189000000000001</c:v>
                </c:pt>
                <c:pt idx="45">
                  <c:v>3.2142300000000001</c:v>
                </c:pt>
                <c:pt idx="46">
                  <c:v>3.2110599999999998</c:v>
                </c:pt>
                <c:pt idx="47">
                  <c:v>3.2076500000000001</c:v>
                </c:pt>
                <c:pt idx="48">
                  <c:v>3.1985200000000003</c:v>
                </c:pt>
                <c:pt idx="49">
                  <c:v>3.18912</c:v>
                </c:pt>
                <c:pt idx="50">
                  <c:v>3.18343</c:v>
                </c:pt>
                <c:pt idx="51">
                  <c:v>3.18025</c:v>
                </c:pt>
                <c:pt idx="52">
                  <c:v>3.1789899999999998</c:v>
                </c:pt>
                <c:pt idx="53">
                  <c:v>3.1791599999999995</c:v>
                </c:pt>
                <c:pt idx="54">
                  <c:v>3.1788499999999997</c:v>
                </c:pt>
                <c:pt idx="55">
                  <c:v>3.1776</c:v>
                </c:pt>
                <c:pt idx="56">
                  <c:v>3.1768000000000001</c:v>
                </c:pt>
                <c:pt idx="57">
                  <c:v>3.1727100000000004</c:v>
                </c:pt>
                <c:pt idx="58">
                  <c:v>3.16526</c:v>
                </c:pt>
                <c:pt idx="59">
                  <c:v>3.1572</c:v>
                </c:pt>
                <c:pt idx="60">
                  <c:v>3.1511899999999997</c:v>
                </c:pt>
                <c:pt idx="61">
                  <c:v>3.1504900000000005</c:v>
                </c:pt>
                <c:pt idx="62">
                  <c:v>3.1495899999999999</c:v>
                </c:pt>
                <c:pt idx="63">
                  <c:v>3.1465300000000003</c:v>
                </c:pt>
                <c:pt idx="64">
                  <c:v>3.1420300000000001</c:v>
                </c:pt>
                <c:pt idx="65">
                  <c:v>3.1373199999999999</c:v>
                </c:pt>
                <c:pt idx="66">
                  <c:v>3.1361499999999998</c:v>
                </c:pt>
                <c:pt idx="67">
                  <c:v>3.13673</c:v>
                </c:pt>
                <c:pt idx="68">
                  <c:v>3.1449199999999999</c:v>
                </c:pt>
                <c:pt idx="69">
                  <c:v>3.1530200000000002</c:v>
                </c:pt>
                <c:pt idx="70">
                  <c:v>3.1535400000000005</c:v>
                </c:pt>
                <c:pt idx="71">
                  <c:v>3.1436199999999999</c:v>
                </c:pt>
                <c:pt idx="72">
                  <c:v>3.11808</c:v>
                </c:pt>
                <c:pt idx="73">
                  <c:v>3.1166399999999999</c:v>
                </c:pt>
                <c:pt idx="74">
                  <c:v>3.1122499999999995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51.959400000000002</c:v>
                </c:pt>
                <c:pt idx="1">
                  <c:v>51.750500000000002</c:v>
                </c:pt>
                <c:pt idx="2">
                  <c:v>51.655700000000003</c:v>
                </c:pt>
                <c:pt idx="3">
                  <c:v>51.621700000000004</c:v>
                </c:pt>
                <c:pt idx="4">
                  <c:v>51.519000000000005</c:v>
                </c:pt>
                <c:pt idx="5">
                  <c:v>51.333500000000001</c:v>
                </c:pt>
                <c:pt idx="6">
                  <c:v>51.023399999999995</c:v>
                </c:pt>
                <c:pt idx="7">
                  <c:v>50.646299999999997</c:v>
                </c:pt>
                <c:pt idx="8">
                  <c:v>50.259299999999996</c:v>
                </c:pt>
                <c:pt idx="9">
                  <c:v>49.925599999999996</c:v>
                </c:pt>
                <c:pt idx="10">
                  <c:v>49.682500000000005</c:v>
                </c:pt>
                <c:pt idx="11">
                  <c:v>49.498399999999997</c:v>
                </c:pt>
                <c:pt idx="12">
                  <c:v>49.375999999999998</c:v>
                </c:pt>
                <c:pt idx="13">
                  <c:v>49.220999999999997</c:v>
                </c:pt>
                <c:pt idx="14">
                  <c:v>48.987499999999997</c:v>
                </c:pt>
                <c:pt idx="15">
                  <c:v>48.671599999999998</c:v>
                </c:pt>
                <c:pt idx="16">
                  <c:v>48.3033</c:v>
                </c:pt>
                <c:pt idx="17">
                  <c:v>47.962700000000005</c:v>
                </c:pt>
                <c:pt idx="18">
                  <c:v>47.6907</c:v>
                </c:pt>
                <c:pt idx="19">
                  <c:v>47.544199999999996</c:v>
                </c:pt>
                <c:pt idx="20">
                  <c:v>47.506999999999998</c:v>
                </c:pt>
                <c:pt idx="21">
                  <c:v>47.482100000000003</c:v>
                </c:pt>
                <c:pt idx="22">
                  <c:v>47.462700000000005</c:v>
                </c:pt>
                <c:pt idx="23">
                  <c:v>47.4251</c:v>
                </c:pt>
                <c:pt idx="24">
                  <c:v>47.4465</c:v>
                </c:pt>
                <c:pt idx="25">
                  <c:v>47.479599999999998</c:v>
                </c:pt>
                <c:pt idx="26">
                  <c:v>47.451000000000001</c:v>
                </c:pt>
                <c:pt idx="27">
                  <c:v>47.393000000000001</c:v>
                </c:pt>
                <c:pt idx="28">
                  <c:v>47.3048</c:v>
                </c:pt>
                <c:pt idx="29">
                  <c:v>47.241599999999998</c:v>
                </c:pt>
                <c:pt idx="30">
                  <c:v>47.220199999999998</c:v>
                </c:pt>
                <c:pt idx="31">
                  <c:v>47.2774</c:v>
                </c:pt>
                <c:pt idx="32">
                  <c:v>47.374500000000005</c:v>
                </c:pt>
                <c:pt idx="33">
                  <c:v>47.549599999999998</c:v>
                </c:pt>
                <c:pt idx="34">
                  <c:v>47.713499999999996</c:v>
                </c:pt>
                <c:pt idx="35">
                  <c:v>47.8262</c:v>
                </c:pt>
                <c:pt idx="36">
                  <c:v>47.897400000000005</c:v>
                </c:pt>
                <c:pt idx="37">
                  <c:v>47.909300000000002</c:v>
                </c:pt>
                <c:pt idx="38">
                  <c:v>47.944099999999999</c:v>
                </c:pt>
                <c:pt idx="39">
                  <c:v>48.026600000000002</c:v>
                </c:pt>
                <c:pt idx="40">
                  <c:v>48.173899999999996</c:v>
                </c:pt>
                <c:pt idx="41">
                  <c:v>48.343000000000004</c:v>
                </c:pt>
                <c:pt idx="42">
                  <c:v>48.467100000000002</c:v>
                </c:pt>
                <c:pt idx="43">
                  <c:v>48.526599999999995</c:v>
                </c:pt>
                <c:pt idx="44">
                  <c:v>48.5657</c:v>
                </c:pt>
                <c:pt idx="45">
                  <c:v>48.548200000000001</c:v>
                </c:pt>
                <c:pt idx="46">
                  <c:v>48.520299999999999</c:v>
                </c:pt>
                <c:pt idx="47">
                  <c:v>48.571300000000001</c:v>
                </c:pt>
                <c:pt idx="48">
                  <c:v>48.7211</c:v>
                </c:pt>
                <c:pt idx="49">
                  <c:v>48.8095</c:v>
                </c:pt>
                <c:pt idx="50">
                  <c:v>48.834300000000006</c:v>
                </c:pt>
                <c:pt idx="51">
                  <c:v>48.929699999999997</c:v>
                </c:pt>
                <c:pt idx="52">
                  <c:v>49.009500000000003</c:v>
                </c:pt>
                <c:pt idx="53">
                  <c:v>49.081699999999998</c:v>
                </c:pt>
                <c:pt idx="54">
                  <c:v>49.146599999999999</c:v>
                </c:pt>
                <c:pt idx="55">
                  <c:v>49.200099999999999</c:v>
                </c:pt>
                <c:pt idx="56">
                  <c:v>49.2239</c:v>
                </c:pt>
                <c:pt idx="57">
                  <c:v>49.297400000000003</c:v>
                </c:pt>
                <c:pt idx="58">
                  <c:v>49.340400000000002</c:v>
                </c:pt>
                <c:pt idx="59">
                  <c:v>49.384900000000002</c:v>
                </c:pt>
                <c:pt idx="60">
                  <c:v>49.4131</c:v>
                </c:pt>
                <c:pt idx="61">
                  <c:v>49.417699999999996</c:v>
                </c:pt>
                <c:pt idx="62">
                  <c:v>49.410900000000005</c:v>
                </c:pt>
                <c:pt idx="63">
                  <c:v>49.434400000000004</c:v>
                </c:pt>
                <c:pt idx="64">
                  <c:v>49.4617</c:v>
                </c:pt>
                <c:pt idx="65">
                  <c:v>49.472100000000005</c:v>
                </c:pt>
                <c:pt idx="66">
                  <c:v>49.555900000000001</c:v>
                </c:pt>
                <c:pt idx="67">
                  <c:v>49.749700000000004</c:v>
                </c:pt>
                <c:pt idx="68">
                  <c:v>50.017500000000005</c:v>
                </c:pt>
                <c:pt idx="69">
                  <c:v>50.263899999999992</c:v>
                </c:pt>
                <c:pt idx="70">
                  <c:v>50.441400000000002</c:v>
                </c:pt>
                <c:pt idx="71">
                  <c:v>50.818300000000008</c:v>
                </c:pt>
                <c:pt idx="72">
                  <c:v>50.957900000000002</c:v>
                </c:pt>
                <c:pt idx="73">
                  <c:v>50.433799999999998</c:v>
                </c:pt>
                <c:pt idx="74">
                  <c:v>50.5717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1.61172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2.6173402702702706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56.724450000000026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3.1838527027027022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48.98794594594596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3.1838527027027022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48.98794594594596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0.25116337708205255</c:v>
                </c:pt>
                <c:pt idx="1">
                  <c:v>0.34868493727471017</c:v>
                </c:pt>
                <c:pt idx="2">
                  <c:v>0.40015168564323722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  <c:pt idx="75">
                  <c:v>30.6374</c:v>
                </c:pt>
                <c:pt idx="76">
                  <c:v>31.017199999999999</c:v>
                </c:pt>
                <c:pt idx="77">
                  <c:v>31.390999999999998</c:v>
                </c:pt>
                <c:pt idx="78">
                  <c:v>31.773499999999999</c:v>
                </c:pt>
                <c:pt idx="79">
                  <c:v>32.140099999999997</c:v>
                </c:pt>
                <c:pt idx="80">
                  <c:v>32.544199999999996</c:v>
                </c:pt>
                <c:pt idx="81">
                  <c:v>32.9651</c:v>
                </c:pt>
                <c:pt idx="82">
                  <c:v>33.359099999999998</c:v>
                </c:pt>
                <c:pt idx="83">
                  <c:v>33.772100000000002</c:v>
                </c:pt>
                <c:pt idx="84">
                  <c:v>34.169600000000003</c:v>
                </c:pt>
                <c:pt idx="85">
                  <c:v>34.5745</c:v>
                </c:pt>
                <c:pt idx="86">
                  <c:v>34.997500000000002</c:v>
                </c:pt>
                <c:pt idx="87">
                  <c:v>35.3904</c:v>
                </c:pt>
                <c:pt idx="88">
                  <c:v>35.795400000000001</c:v>
                </c:pt>
                <c:pt idx="89">
                  <c:v>36.205300000000001</c:v>
                </c:pt>
                <c:pt idx="90">
                  <c:v>36.606699999999996</c:v>
                </c:pt>
                <c:pt idx="91">
                  <c:v>37.012300000000003</c:v>
                </c:pt>
                <c:pt idx="92">
                  <c:v>37.418900000000001</c:v>
                </c:pt>
                <c:pt idx="93">
                  <c:v>37.826999999999998</c:v>
                </c:pt>
                <c:pt idx="94">
                  <c:v>38.231000000000002</c:v>
                </c:pt>
                <c:pt idx="95">
                  <c:v>38.636899999999997</c:v>
                </c:pt>
                <c:pt idx="96">
                  <c:v>39.044199999999996</c:v>
                </c:pt>
                <c:pt idx="97">
                  <c:v>39.448799999999999</c:v>
                </c:pt>
                <c:pt idx="98">
                  <c:v>39.855600000000003</c:v>
                </c:pt>
                <c:pt idx="99">
                  <c:v>40.263399999999997</c:v>
                </c:pt>
                <c:pt idx="100">
                  <c:v>40.668399999999998</c:v>
                </c:pt>
                <c:pt idx="101">
                  <c:v>41.073500000000003</c:v>
                </c:pt>
                <c:pt idx="102">
                  <c:v>41.4831</c:v>
                </c:pt>
                <c:pt idx="103">
                  <c:v>41.891100000000002</c:v>
                </c:pt>
                <c:pt idx="104">
                  <c:v>42.313000000000002</c:v>
                </c:pt>
                <c:pt idx="105">
                  <c:v>42.697000000000003</c:v>
                </c:pt>
                <c:pt idx="106">
                  <c:v>43.107100000000003</c:v>
                </c:pt>
                <c:pt idx="107">
                  <c:v>43.511800000000001</c:v>
                </c:pt>
                <c:pt idx="108">
                  <c:v>43.919699999999999</c:v>
                </c:pt>
                <c:pt idx="109">
                  <c:v>44.328600000000002</c:v>
                </c:pt>
                <c:pt idx="110">
                  <c:v>44.749699999999997</c:v>
                </c:pt>
                <c:pt idx="111">
                  <c:v>45.134500000000003</c:v>
                </c:pt>
                <c:pt idx="112">
                  <c:v>45.542400000000001</c:v>
                </c:pt>
                <c:pt idx="113">
                  <c:v>45.954500000000003</c:v>
                </c:pt>
                <c:pt idx="114">
                  <c:v>46.3553</c:v>
                </c:pt>
                <c:pt idx="115">
                  <c:v>46.763599999999997</c:v>
                </c:pt>
                <c:pt idx="116">
                  <c:v>47.169600000000003</c:v>
                </c:pt>
                <c:pt idx="117">
                  <c:v>47.575400000000002</c:v>
                </c:pt>
                <c:pt idx="118">
                  <c:v>47.9876</c:v>
                </c:pt>
                <c:pt idx="119">
                  <c:v>48.3902</c:v>
                </c:pt>
                <c:pt idx="120">
                  <c:v>48.793100000000003</c:v>
                </c:pt>
                <c:pt idx="121">
                  <c:v>49.195999999999998</c:v>
                </c:pt>
                <c:pt idx="122">
                  <c:v>49.6068</c:v>
                </c:pt>
                <c:pt idx="123">
                  <c:v>50.010399999999997</c:v>
                </c:pt>
                <c:pt idx="124">
                  <c:v>50.418900000000001</c:v>
                </c:pt>
                <c:pt idx="125">
                  <c:v>50.826599999999999</c:v>
                </c:pt>
                <c:pt idx="126">
                  <c:v>51.229599999999998</c:v>
                </c:pt>
                <c:pt idx="127">
                  <c:v>51.635899999999999</c:v>
                </c:pt>
                <c:pt idx="128">
                  <c:v>52.047400000000003</c:v>
                </c:pt>
                <c:pt idx="129">
                  <c:v>52.451300000000003</c:v>
                </c:pt>
                <c:pt idx="130">
                  <c:v>52.856200000000001</c:v>
                </c:pt>
                <c:pt idx="131">
                  <c:v>53.263100000000001</c:v>
                </c:pt>
                <c:pt idx="132">
                  <c:v>53.665100000000002</c:v>
                </c:pt>
                <c:pt idx="133">
                  <c:v>54.0749</c:v>
                </c:pt>
                <c:pt idx="134">
                  <c:v>54.481900000000003</c:v>
                </c:pt>
                <c:pt idx="135">
                  <c:v>54.886699999999998</c:v>
                </c:pt>
                <c:pt idx="136">
                  <c:v>55.292700000000004</c:v>
                </c:pt>
                <c:pt idx="137">
                  <c:v>55.702599999999997</c:v>
                </c:pt>
                <c:pt idx="138">
                  <c:v>56.1066</c:v>
                </c:pt>
                <c:pt idx="139">
                  <c:v>56.512599999999999</c:v>
                </c:pt>
                <c:pt idx="140">
                  <c:v>56.919400000000003</c:v>
                </c:pt>
                <c:pt idx="141">
                  <c:v>57.3262</c:v>
                </c:pt>
                <c:pt idx="142">
                  <c:v>57.732100000000003</c:v>
                </c:pt>
                <c:pt idx="143">
                  <c:v>58.139099999999999</c:v>
                </c:pt>
                <c:pt idx="144">
                  <c:v>58.5471</c:v>
                </c:pt>
                <c:pt idx="145">
                  <c:v>58.948999999999998</c:v>
                </c:pt>
                <c:pt idx="146">
                  <c:v>59.362900000000003</c:v>
                </c:pt>
                <c:pt idx="147">
                  <c:v>59.7637</c:v>
                </c:pt>
                <c:pt idx="148">
                  <c:v>60.168700000000001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  <c:pt idx="75">
                  <c:v>3.0793500000000003</c:v>
                </c:pt>
                <c:pt idx="76">
                  <c:v>3.08203</c:v>
                </c:pt>
                <c:pt idx="77">
                  <c:v>3.0835699999999999</c:v>
                </c:pt>
                <c:pt idx="78">
                  <c:v>3.0880900000000002</c:v>
                </c:pt>
                <c:pt idx="79">
                  <c:v>3.0952000000000002</c:v>
                </c:pt>
                <c:pt idx="80">
                  <c:v>3.10595</c:v>
                </c:pt>
                <c:pt idx="81">
                  <c:v>3.1193399999999998</c:v>
                </c:pt>
                <c:pt idx="82">
                  <c:v>3.1339399999999999</c:v>
                </c:pt>
                <c:pt idx="83">
                  <c:v>3.1465700000000001</c:v>
                </c:pt>
                <c:pt idx="84">
                  <c:v>3.1593</c:v>
                </c:pt>
                <c:pt idx="85">
                  <c:v>3.1678299999999999</c:v>
                </c:pt>
                <c:pt idx="86">
                  <c:v>3.1706799999999999</c:v>
                </c:pt>
                <c:pt idx="87">
                  <c:v>3.17136</c:v>
                </c:pt>
                <c:pt idx="88">
                  <c:v>3.1753799999999996</c:v>
                </c:pt>
                <c:pt idx="89">
                  <c:v>3.1808399999999999</c:v>
                </c:pt>
                <c:pt idx="90">
                  <c:v>3.18668</c:v>
                </c:pt>
                <c:pt idx="91">
                  <c:v>3.19258</c:v>
                </c:pt>
                <c:pt idx="92">
                  <c:v>3.1997</c:v>
                </c:pt>
                <c:pt idx="93">
                  <c:v>3.2083200000000001</c:v>
                </c:pt>
                <c:pt idx="94">
                  <c:v>3.21563</c:v>
                </c:pt>
                <c:pt idx="95">
                  <c:v>3.2230699999999999</c:v>
                </c:pt>
                <c:pt idx="96">
                  <c:v>3.2320900000000004</c:v>
                </c:pt>
                <c:pt idx="97">
                  <c:v>3.2403</c:v>
                </c:pt>
                <c:pt idx="98">
                  <c:v>3.24532</c:v>
                </c:pt>
                <c:pt idx="99">
                  <c:v>3.24892</c:v>
                </c:pt>
                <c:pt idx="100">
                  <c:v>3.2523</c:v>
                </c:pt>
                <c:pt idx="101">
                  <c:v>3.2523999999999997</c:v>
                </c:pt>
                <c:pt idx="102">
                  <c:v>3.2518000000000002</c:v>
                </c:pt>
                <c:pt idx="103">
                  <c:v>3.2505699999999997</c:v>
                </c:pt>
                <c:pt idx="104">
                  <c:v>3.2488000000000001</c:v>
                </c:pt>
                <c:pt idx="105">
                  <c:v>3.2458100000000001</c:v>
                </c:pt>
                <c:pt idx="106">
                  <c:v>3.2434600000000002</c:v>
                </c:pt>
                <c:pt idx="107">
                  <c:v>3.2437</c:v>
                </c:pt>
                <c:pt idx="108">
                  <c:v>3.24526</c:v>
                </c:pt>
                <c:pt idx="109">
                  <c:v>3.24491</c:v>
                </c:pt>
                <c:pt idx="110">
                  <c:v>3.2417400000000001</c:v>
                </c:pt>
                <c:pt idx="111">
                  <c:v>3.2421899999999999</c:v>
                </c:pt>
                <c:pt idx="112">
                  <c:v>3.2456499999999999</c:v>
                </c:pt>
                <c:pt idx="113">
                  <c:v>3.24674</c:v>
                </c:pt>
                <c:pt idx="114">
                  <c:v>3.2463899999999999</c:v>
                </c:pt>
                <c:pt idx="115">
                  <c:v>3.2423099999999998</c:v>
                </c:pt>
                <c:pt idx="116">
                  <c:v>3.2369599999999998</c:v>
                </c:pt>
                <c:pt idx="117">
                  <c:v>3.2271000000000001</c:v>
                </c:pt>
                <c:pt idx="118">
                  <c:v>3.2189000000000001</c:v>
                </c:pt>
                <c:pt idx="119">
                  <c:v>3.2142300000000001</c:v>
                </c:pt>
                <c:pt idx="120">
                  <c:v>3.2110599999999998</c:v>
                </c:pt>
                <c:pt idx="121">
                  <c:v>3.2076500000000001</c:v>
                </c:pt>
                <c:pt idx="122">
                  <c:v>3.1985200000000003</c:v>
                </c:pt>
                <c:pt idx="123">
                  <c:v>3.18912</c:v>
                </c:pt>
                <c:pt idx="124">
                  <c:v>3.18343</c:v>
                </c:pt>
                <c:pt idx="125">
                  <c:v>3.18025</c:v>
                </c:pt>
                <c:pt idx="126">
                  <c:v>3.1789899999999998</c:v>
                </c:pt>
                <c:pt idx="127">
                  <c:v>3.1791599999999995</c:v>
                </c:pt>
                <c:pt idx="128">
                  <c:v>3.1788499999999997</c:v>
                </c:pt>
                <c:pt idx="129">
                  <c:v>3.1776</c:v>
                </c:pt>
                <c:pt idx="130">
                  <c:v>3.1768000000000001</c:v>
                </c:pt>
                <c:pt idx="131">
                  <c:v>3.1727100000000004</c:v>
                </c:pt>
                <c:pt idx="132">
                  <c:v>3.16526</c:v>
                </c:pt>
                <c:pt idx="133">
                  <c:v>3.1572</c:v>
                </c:pt>
                <c:pt idx="134">
                  <c:v>3.1511899999999997</c:v>
                </c:pt>
                <c:pt idx="135">
                  <c:v>3.1504900000000005</c:v>
                </c:pt>
                <c:pt idx="136">
                  <c:v>3.1495899999999999</c:v>
                </c:pt>
                <c:pt idx="137">
                  <c:v>3.1465300000000003</c:v>
                </c:pt>
                <c:pt idx="138">
                  <c:v>3.1420300000000001</c:v>
                </c:pt>
                <c:pt idx="139">
                  <c:v>3.1373199999999999</c:v>
                </c:pt>
                <c:pt idx="140">
                  <c:v>3.1361499999999998</c:v>
                </c:pt>
                <c:pt idx="141">
                  <c:v>3.13673</c:v>
                </c:pt>
                <c:pt idx="142">
                  <c:v>3.1449199999999999</c:v>
                </c:pt>
                <c:pt idx="143">
                  <c:v>3.1530200000000002</c:v>
                </c:pt>
                <c:pt idx="144">
                  <c:v>3.1535400000000005</c:v>
                </c:pt>
                <c:pt idx="145">
                  <c:v>3.1436199999999999</c:v>
                </c:pt>
                <c:pt idx="146">
                  <c:v>3.11808</c:v>
                </c:pt>
                <c:pt idx="147">
                  <c:v>3.1166399999999999</c:v>
                </c:pt>
                <c:pt idx="148">
                  <c:v>3.1122499999999995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</c:v>
                </c:pt>
                <c:pt idx="1">
                  <c:v>30.6374</c:v>
                </c:pt>
                <c:pt idx="2">
                  <c:v>31.017199999999999</c:v>
                </c:pt>
                <c:pt idx="3">
                  <c:v>31.390999999999998</c:v>
                </c:pt>
                <c:pt idx="4">
                  <c:v>31.773499999999999</c:v>
                </c:pt>
                <c:pt idx="5">
                  <c:v>32.140099999999997</c:v>
                </c:pt>
                <c:pt idx="6">
                  <c:v>32.544199999999996</c:v>
                </c:pt>
                <c:pt idx="7">
                  <c:v>32.9651</c:v>
                </c:pt>
                <c:pt idx="8">
                  <c:v>33.359099999999998</c:v>
                </c:pt>
                <c:pt idx="9">
                  <c:v>33.772100000000002</c:v>
                </c:pt>
                <c:pt idx="10">
                  <c:v>34.169600000000003</c:v>
                </c:pt>
                <c:pt idx="11">
                  <c:v>34.5745</c:v>
                </c:pt>
                <c:pt idx="12">
                  <c:v>34.997500000000002</c:v>
                </c:pt>
                <c:pt idx="13">
                  <c:v>35.3904</c:v>
                </c:pt>
                <c:pt idx="14">
                  <c:v>35.795400000000001</c:v>
                </c:pt>
                <c:pt idx="15">
                  <c:v>36.205300000000001</c:v>
                </c:pt>
                <c:pt idx="16">
                  <c:v>36.606699999999996</c:v>
                </c:pt>
                <c:pt idx="17">
                  <c:v>37.012300000000003</c:v>
                </c:pt>
                <c:pt idx="18">
                  <c:v>37.418900000000001</c:v>
                </c:pt>
                <c:pt idx="19">
                  <c:v>37.826999999999998</c:v>
                </c:pt>
                <c:pt idx="20">
                  <c:v>38.231000000000002</c:v>
                </c:pt>
                <c:pt idx="21">
                  <c:v>38.636899999999997</c:v>
                </c:pt>
                <c:pt idx="22">
                  <c:v>39.044199999999996</c:v>
                </c:pt>
                <c:pt idx="23">
                  <c:v>39.448799999999999</c:v>
                </c:pt>
                <c:pt idx="24">
                  <c:v>39.855600000000003</c:v>
                </c:pt>
                <c:pt idx="25">
                  <c:v>40.263399999999997</c:v>
                </c:pt>
                <c:pt idx="26">
                  <c:v>40.668399999999998</c:v>
                </c:pt>
                <c:pt idx="27">
                  <c:v>41.073500000000003</c:v>
                </c:pt>
                <c:pt idx="28">
                  <c:v>41.4831</c:v>
                </c:pt>
                <c:pt idx="29">
                  <c:v>41.891100000000002</c:v>
                </c:pt>
                <c:pt idx="30">
                  <c:v>42.313000000000002</c:v>
                </c:pt>
                <c:pt idx="31">
                  <c:v>42.697000000000003</c:v>
                </c:pt>
                <c:pt idx="32">
                  <c:v>43.107100000000003</c:v>
                </c:pt>
                <c:pt idx="33">
                  <c:v>43.511800000000001</c:v>
                </c:pt>
                <c:pt idx="34">
                  <c:v>43.919699999999999</c:v>
                </c:pt>
                <c:pt idx="35">
                  <c:v>44.328600000000002</c:v>
                </c:pt>
                <c:pt idx="36">
                  <c:v>44.749699999999997</c:v>
                </c:pt>
                <c:pt idx="37">
                  <c:v>45.134500000000003</c:v>
                </c:pt>
                <c:pt idx="38">
                  <c:v>45.542400000000001</c:v>
                </c:pt>
                <c:pt idx="39">
                  <c:v>45.954500000000003</c:v>
                </c:pt>
                <c:pt idx="40">
                  <c:v>46.3553</c:v>
                </c:pt>
                <c:pt idx="41">
                  <c:v>46.763599999999997</c:v>
                </c:pt>
                <c:pt idx="42">
                  <c:v>47.169600000000003</c:v>
                </c:pt>
                <c:pt idx="43">
                  <c:v>47.575400000000002</c:v>
                </c:pt>
                <c:pt idx="44">
                  <c:v>47.9876</c:v>
                </c:pt>
                <c:pt idx="45">
                  <c:v>48.3902</c:v>
                </c:pt>
                <c:pt idx="46">
                  <c:v>48.793100000000003</c:v>
                </c:pt>
                <c:pt idx="47">
                  <c:v>49.195999999999998</c:v>
                </c:pt>
                <c:pt idx="48">
                  <c:v>49.6068</c:v>
                </c:pt>
                <c:pt idx="49">
                  <c:v>50.010399999999997</c:v>
                </c:pt>
                <c:pt idx="50">
                  <c:v>50.418900000000001</c:v>
                </c:pt>
                <c:pt idx="51">
                  <c:v>50.826599999999999</c:v>
                </c:pt>
                <c:pt idx="52">
                  <c:v>51.229599999999998</c:v>
                </c:pt>
                <c:pt idx="53">
                  <c:v>51.635899999999999</c:v>
                </c:pt>
                <c:pt idx="54">
                  <c:v>52.047400000000003</c:v>
                </c:pt>
                <c:pt idx="55">
                  <c:v>52.451300000000003</c:v>
                </c:pt>
                <c:pt idx="56">
                  <c:v>52.856200000000001</c:v>
                </c:pt>
                <c:pt idx="57">
                  <c:v>53.263100000000001</c:v>
                </c:pt>
                <c:pt idx="58">
                  <c:v>53.665100000000002</c:v>
                </c:pt>
                <c:pt idx="59">
                  <c:v>54.0749</c:v>
                </c:pt>
                <c:pt idx="60">
                  <c:v>54.481900000000003</c:v>
                </c:pt>
                <c:pt idx="61">
                  <c:v>54.886699999999998</c:v>
                </c:pt>
                <c:pt idx="62">
                  <c:v>55.292700000000004</c:v>
                </c:pt>
                <c:pt idx="63">
                  <c:v>55.702599999999997</c:v>
                </c:pt>
                <c:pt idx="64">
                  <c:v>56.1066</c:v>
                </c:pt>
                <c:pt idx="65">
                  <c:v>56.512599999999999</c:v>
                </c:pt>
                <c:pt idx="66">
                  <c:v>56.919400000000003</c:v>
                </c:pt>
                <c:pt idx="67">
                  <c:v>57.3262</c:v>
                </c:pt>
                <c:pt idx="68">
                  <c:v>57.732100000000003</c:v>
                </c:pt>
                <c:pt idx="69">
                  <c:v>58.139099999999999</c:v>
                </c:pt>
                <c:pt idx="70">
                  <c:v>58.5471</c:v>
                </c:pt>
                <c:pt idx="71">
                  <c:v>58.948999999999998</c:v>
                </c:pt>
                <c:pt idx="72">
                  <c:v>59.362900000000003</c:v>
                </c:pt>
                <c:pt idx="73">
                  <c:v>59.7637</c:v>
                </c:pt>
                <c:pt idx="74">
                  <c:v>60.168700000000001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3.0753900000000001</c:v>
                </c:pt>
                <c:pt idx="1">
                  <c:v>3.0793500000000003</c:v>
                </c:pt>
                <c:pt idx="2">
                  <c:v>3.08203</c:v>
                </c:pt>
                <c:pt idx="3">
                  <c:v>3.0835699999999999</c:v>
                </c:pt>
                <c:pt idx="4">
                  <c:v>3.0880900000000002</c:v>
                </c:pt>
                <c:pt idx="5">
                  <c:v>3.0952000000000002</c:v>
                </c:pt>
                <c:pt idx="6">
                  <c:v>3.10595</c:v>
                </c:pt>
                <c:pt idx="7">
                  <c:v>3.1193399999999998</c:v>
                </c:pt>
                <c:pt idx="8">
                  <c:v>3.1339399999999999</c:v>
                </c:pt>
                <c:pt idx="9">
                  <c:v>3.1465700000000001</c:v>
                </c:pt>
                <c:pt idx="10">
                  <c:v>3.1593</c:v>
                </c:pt>
                <c:pt idx="11">
                  <c:v>3.1678299999999999</c:v>
                </c:pt>
                <c:pt idx="12">
                  <c:v>3.1706799999999999</c:v>
                </c:pt>
                <c:pt idx="13">
                  <c:v>3.17136</c:v>
                </c:pt>
                <c:pt idx="14">
                  <c:v>3.1753799999999996</c:v>
                </c:pt>
                <c:pt idx="15">
                  <c:v>3.1808399999999999</c:v>
                </c:pt>
                <c:pt idx="16">
                  <c:v>3.18668</c:v>
                </c:pt>
                <c:pt idx="17">
                  <c:v>3.19258</c:v>
                </c:pt>
                <c:pt idx="18">
                  <c:v>3.1997</c:v>
                </c:pt>
                <c:pt idx="19">
                  <c:v>3.2083200000000001</c:v>
                </c:pt>
                <c:pt idx="20">
                  <c:v>3.21563</c:v>
                </c:pt>
                <c:pt idx="21">
                  <c:v>3.2230699999999999</c:v>
                </c:pt>
                <c:pt idx="22">
                  <c:v>3.2320900000000004</c:v>
                </c:pt>
                <c:pt idx="23">
                  <c:v>3.2403</c:v>
                </c:pt>
                <c:pt idx="24">
                  <c:v>3.24532</c:v>
                </c:pt>
                <c:pt idx="25">
                  <c:v>3.24892</c:v>
                </c:pt>
                <c:pt idx="26">
                  <c:v>3.2523</c:v>
                </c:pt>
                <c:pt idx="27">
                  <c:v>3.2523999999999997</c:v>
                </c:pt>
                <c:pt idx="28">
                  <c:v>3.2518000000000002</c:v>
                </c:pt>
                <c:pt idx="29">
                  <c:v>3.2505699999999997</c:v>
                </c:pt>
                <c:pt idx="30">
                  <c:v>3.2488000000000001</c:v>
                </c:pt>
                <c:pt idx="31">
                  <c:v>3.2458100000000001</c:v>
                </c:pt>
                <c:pt idx="32">
                  <c:v>3.2434600000000002</c:v>
                </c:pt>
                <c:pt idx="33">
                  <c:v>3.2437</c:v>
                </c:pt>
                <c:pt idx="34">
                  <c:v>3.24526</c:v>
                </c:pt>
                <c:pt idx="35">
                  <c:v>3.24491</c:v>
                </c:pt>
                <c:pt idx="36">
                  <c:v>3.2417400000000001</c:v>
                </c:pt>
                <c:pt idx="37">
                  <c:v>3.2421899999999999</c:v>
                </c:pt>
                <c:pt idx="38">
                  <c:v>3.2456499999999999</c:v>
                </c:pt>
                <c:pt idx="39">
                  <c:v>3.24674</c:v>
                </c:pt>
                <c:pt idx="40">
                  <c:v>3.2463899999999999</c:v>
                </c:pt>
                <c:pt idx="41">
                  <c:v>3.2423099999999998</c:v>
                </c:pt>
                <c:pt idx="42">
                  <c:v>3.2369599999999998</c:v>
                </c:pt>
                <c:pt idx="43">
                  <c:v>3.2271000000000001</c:v>
                </c:pt>
                <c:pt idx="44">
                  <c:v>3.2189000000000001</c:v>
                </c:pt>
                <c:pt idx="45">
                  <c:v>3.2142300000000001</c:v>
                </c:pt>
                <c:pt idx="46">
                  <c:v>3.2110599999999998</c:v>
                </c:pt>
                <c:pt idx="47">
                  <c:v>3.2076500000000001</c:v>
                </c:pt>
                <c:pt idx="48">
                  <c:v>3.1985200000000003</c:v>
                </c:pt>
                <c:pt idx="49">
                  <c:v>3.18912</c:v>
                </c:pt>
                <c:pt idx="50">
                  <c:v>3.18343</c:v>
                </c:pt>
                <c:pt idx="51">
                  <c:v>3.18025</c:v>
                </c:pt>
                <c:pt idx="52">
                  <c:v>3.1789899999999998</c:v>
                </c:pt>
                <c:pt idx="53">
                  <c:v>3.1791599999999995</c:v>
                </c:pt>
                <c:pt idx="54">
                  <c:v>3.1788499999999997</c:v>
                </c:pt>
                <c:pt idx="55">
                  <c:v>3.1776</c:v>
                </c:pt>
                <c:pt idx="56">
                  <c:v>3.1768000000000001</c:v>
                </c:pt>
                <c:pt idx="57">
                  <c:v>3.1727100000000004</c:v>
                </c:pt>
                <c:pt idx="58">
                  <c:v>3.16526</c:v>
                </c:pt>
                <c:pt idx="59">
                  <c:v>3.1572</c:v>
                </c:pt>
                <c:pt idx="60">
                  <c:v>3.1511899999999997</c:v>
                </c:pt>
                <c:pt idx="61">
                  <c:v>3.1504900000000005</c:v>
                </c:pt>
                <c:pt idx="62">
                  <c:v>3.1495899999999999</c:v>
                </c:pt>
                <c:pt idx="63">
                  <c:v>3.1465300000000003</c:v>
                </c:pt>
                <c:pt idx="64">
                  <c:v>3.1420300000000001</c:v>
                </c:pt>
                <c:pt idx="65">
                  <c:v>3.1373199999999999</c:v>
                </c:pt>
                <c:pt idx="66">
                  <c:v>3.1361499999999998</c:v>
                </c:pt>
                <c:pt idx="67">
                  <c:v>3.13673</c:v>
                </c:pt>
                <c:pt idx="68">
                  <c:v>3.1449199999999999</c:v>
                </c:pt>
                <c:pt idx="69">
                  <c:v>3.1530200000000002</c:v>
                </c:pt>
                <c:pt idx="70">
                  <c:v>3.1535400000000005</c:v>
                </c:pt>
                <c:pt idx="71">
                  <c:v>3.1436199999999999</c:v>
                </c:pt>
                <c:pt idx="72">
                  <c:v>3.11808</c:v>
                </c:pt>
                <c:pt idx="73">
                  <c:v>3.1166399999999999</c:v>
                </c:pt>
                <c:pt idx="74">
                  <c:v>3.1122499999999995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15.042175</c:v>
                </c:pt>
                <c:pt idx="1">
                  <c:v>45.126525000000001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2.6173402702702706</c:v>
                </c:pt>
                <c:pt idx="1">
                  <c:v>3.1838527027027022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  <c:pt idx="75">
                  <c:v>30.6374</c:v>
                </c:pt>
                <c:pt idx="76">
                  <c:v>31.017199999999999</c:v>
                </c:pt>
                <c:pt idx="77">
                  <c:v>31.390999999999998</c:v>
                </c:pt>
                <c:pt idx="78">
                  <c:v>31.773499999999999</c:v>
                </c:pt>
                <c:pt idx="79">
                  <c:v>32.140099999999997</c:v>
                </c:pt>
                <c:pt idx="80">
                  <c:v>32.544199999999996</c:v>
                </c:pt>
                <c:pt idx="81">
                  <c:v>32.9651</c:v>
                </c:pt>
                <c:pt idx="82">
                  <c:v>33.359099999999998</c:v>
                </c:pt>
                <c:pt idx="83">
                  <c:v>33.772100000000002</c:v>
                </c:pt>
                <c:pt idx="84">
                  <c:v>34.169600000000003</c:v>
                </c:pt>
                <c:pt idx="85">
                  <c:v>34.5745</c:v>
                </c:pt>
                <c:pt idx="86">
                  <c:v>34.997500000000002</c:v>
                </c:pt>
                <c:pt idx="87">
                  <c:v>35.3904</c:v>
                </c:pt>
                <c:pt idx="88">
                  <c:v>35.795400000000001</c:v>
                </c:pt>
                <c:pt idx="89">
                  <c:v>36.205300000000001</c:v>
                </c:pt>
                <c:pt idx="90">
                  <c:v>36.606699999999996</c:v>
                </c:pt>
                <c:pt idx="91">
                  <c:v>37.012300000000003</c:v>
                </c:pt>
                <c:pt idx="92">
                  <c:v>37.418900000000001</c:v>
                </c:pt>
                <c:pt idx="93">
                  <c:v>37.826999999999998</c:v>
                </c:pt>
                <c:pt idx="94">
                  <c:v>38.231000000000002</c:v>
                </c:pt>
                <c:pt idx="95">
                  <c:v>38.636899999999997</c:v>
                </c:pt>
                <c:pt idx="96">
                  <c:v>39.044199999999996</c:v>
                </c:pt>
                <c:pt idx="97">
                  <c:v>39.448799999999999</c:v>
                </c:pt>
                <c:pt idx="98">
                  <c:v>39.855600000000003</c:v>
                </c:pt>
                <c:pt idx="99">
                  <c:v>40.263399999999997</c:v>
                </c:pt>
                <c:pt idx="100">
                  <c:v>40.668399999999998</c:v>
                </c:pt>
                <c:pt idx="101">
                  <c:v>41.073500000000003</c:v>
                </c:pt>
                <c:pt idx="102">
                  <c:v>41.4831</c:v>
                </c:pt>
                <c:pt idx="103">
                  <c:v>41.891100000000002</c:v>
                </c:pt>
                <c:pt idx="104">
                  <c:v>42.313000000000002</c:v>
                </c:pt>
                <c:pt idx="105">
                  <c:v>42.697000000000003</c:v>
                </c:pt>
                <c:pt idx="106">
                  <c:v>43.107100000000003</c:v>
                </c:pt>
                <c:pt idx="107">
                  <c:v>43.511800000000001</c:v>
                </c:pt>
                <c:pt idx="108">
                  <c:v>43.919699999999999</c:v>
                </c:pt>
                <c:pt idx="109">
                  <c:v>44.328600000000002</c:v>
                </c:pt>
                <c:pt idx="110">
                  <c:v>44.749699999999997</c:v>
                </c:pt>
                <c:pt idx="111">
                  <c:v>45.134500000000003</c:v>
                </c:pt>
                <c:pt idx="112">
                  <c:v>45.542400000000001</c:v>
                </c:pt>
                <c:pt idx="113">
                  <c:v>45.954500000000003</c:v>
                </c:pt>
                <c:pt idx="114">
                  <c:v>46.3553</c:v>
                </c:pt>
                <c:pt idx="115">
                  <c:v>46.763599999999997</c:v>
                </c:pt>
                <c:pt idx="116">
                  <c:v>47.169600000000003</c:v>
                </c:pt>
                <c:pt idx="117">
                  <c:v>47.575400000000002</c:v>
                </c:pt>
                <c:pt idx="118">
                  <c:v>47.9876</c:v>
                </c:pt>
                <c:pt idx="119">
                  <c:v>48.3902</c:v>
                </c:pt>
                <c:pt idx="120">
                  <c:v>48.793100000000003</c:v>
                </c:pt>
                <c:pt idx="121">
                  <c:v>49.195999999999998</c:v>
                </c:pt>
                <c:pt idx="122">
                  <c:v>49.6068</c:v>
                </c:pt>
                <c:pt idx="123">
                  <c:v>50.010399999999997</c:v>
                </c:pt>
                <c:pt idx="124">
                  <c:v>50.418900000000001</c:v>
                </c:pt>
                <c:pt idx="125">
                  <c:v>50.826599999999999</c:v>
                </c:pt>
                <c:pt idx="126">
                  <c:v>51.229599999999998</c:v>
                </c:pt>
                <c:pt idx="127">
                  <c:v>51.635899999999999</c:v>
                </c:pt>
                <c:pt idx="128">
                  <c:v>52.047400000000003</c:v>
                </c:pt>
                <c:pt idx="129">
                  <c:v>52.451300000000003</c:v>
                </c:pt>
                <c:pt idx="130">
                  <c:v>52.856200000000001</c:v>
                </c:pt>
                <c:pt idx="131">
                  <c:v>53.263100000000001</c:v>
                </c:pt>
                <c:pt idx="132">
                  <c:v>53.665100000000002</c:v>
                </c:pt>
                <c:pt idx="133">
                  <c:v>54.0749</c:v>
                </c:pt>
                <c:pt idx="134">
                  <c:v>54.481900000000003</c:v>
                </c:pt>
                <c:pt idx="135">
                  <c:v>54.886699999999998</c:v>
                </c:pt>
                <c:pt idx="136">
                  <c:v>55.292700000000004</c:v>
                </c:pt>
                <c:pt idx="137">
                  <c:v>55.702599999999997</c:v>
                </c:pt>
                <c:pt idx="138">
                  <c:v>56.1066</c:v>
                </c:pt>
                <c:pt idx="139">
                  <c:v>56.512599999999999</c:v>
                </c:pt>
                <c:pt idx="140">
                  <c:v>56.919400000000003</c:v>
                </c:pt>
                <c:pt idx="141">
                  <c:v>57.3262</c:v>
                </c:pt>
                <c:pt idx="142">
                  <c:v>57.732100000000003</c:v>
                </c:pt>
                <c:pt idx="143">
                  <c:v>58.139099999999999</c:v>
                </c:pt>
                <c:pt idx="144">
                  <c:v>58.5471</c:v>
                </c:pt>
                <c:pt idx="145">
                  <c:v>58.948999999999998</c:v>
                </c:pt>
                <c:pt idx="146">
                  <c:v>59.362900000000003</c:v>
                </c:pt>
                <c:pt idx="147">
                  <c:v>59.7637</c:v>
                </c:pt>
                <c:pt idx="148">
                  <c:v>60.168700000000001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  <c:pt idx="75">
                  <c:v>51.750500000000002</c:v>
                </c:pt>
                <c:pt idx="76">
                  <c:v>51.655700000000003</c:v>
                </c:pt>
                <c:pt idx="77">
                  <c:v>51.621700000000004</c:v>
                </c:pt>
                <c:pt idx="78">
                  <c:v>51.519000000000005</c:v>
                </c:pt>
                <c:pt idx="79">
                  <c:v>51.333500000000001</c:v>
                </c:pt>
                <c:pt idx="80">
                  <c:v>51.023399999999995</c:v>
                </c:pt>
                <c:pt idx="81">
                  <c:v>50.646299999999997</c:v>
                </c:pt>
                <c:pt idx="82">
                  <c:v>50.259299999999996</c:v>
                </c:pt>
                <c:pt idx="83">
                  <c:v>49.925599999999996</c:v>
                </c:pt>
                <c:pt idx="84">
                  <c:v>49.682500000000005</c:v>
                </c:pt>
                <c:pt idx="85">
                  <c:v>49.498399999999997</c:v>
                </c:pt>
                <c:pt idx="86">
                  <c:v>49.375999999999998</c:v>
                </c:pt>
                <c:pt idx="87">
                  <c:v>49.220999999999997</c:v>
                </c:pt>
                <c:pt idx="88">
                  <c:v>48.987499999999997</c:v>
                </c:pt>
                <c:pt idx="89">
                  <c:v>48.671599999999998</c:v>
                </c:pt>
                <c:pt idx="90">
                  <c:v>48.3033</c:v>
                </c:pt>
                <c:pt idx="91">
                  <c:v>47.962700000000005</c:v>
                </c:pt>
                <c:pt idx="92">
                  <c:v>47.6907</c:v>
                </c:pt>
                <c:pt idx="93">
                  <c:v>47.544199999999996</c:v>
                </c:pt>
                <c:pt idx="94">
                  <c:v>47.506999999999998</c:v>
                </c:pt>
                <c:pt idx="95">
                  <c:v>47.482100000000003</c:v>
                </c:pt>
                <c:pt idx="96">
                  <c:v>47.462700000000005</c:v>
                </c:pt>
                <c:pt idx="97">
                  <c:v>47.4251</c:v>
                </c:pt>
                <c:pt idx="98">
                  <c:v>47.4465</c:v>
                </c:pt>
                <c:pt idx="99">
                  <c:v>47.479599999999998</c:v>
                </c:pt>
                <c:pt idx="100">
                  <c:v>47.451000000000001</c:v>
                </c:pt>
                <c:pt idx="101">
                  <c:v>47.393000000000001</c:v>
                </c:pt>
                <c:pt idx="102">
                  <c:v>47.3048</c:v>
                </c:pt>
                <c:pt idx="103">
                  <c:v>47.241599999999998</c:v>
                </c:pt>
                <c:pt idx="104">
                  <c:v>47.220199999999998</c:v>
                </c:pt>
                <c:pt idx="105">
                  <c:v>47.2774</c:v>
                </c:pt>
                <c:pt idx="106">
                  <c:v>47.374500000000005</c:v>
                </c:pt>
                <c:pt idx="107">
                  <c:v>47.549599999999998</c:v>
                </c:pt>
                <c:pt idx="108">
                  <c:v>47.713499999999996</c:v>
                </c:pt>
                <c:pt idx="109">
                  <c:v>47.8262</c:v>
                </c:pt>
                <c:pt idx="110">
                  <c:v>47.897400000000005</c:v>
                </c:pt>
                <c:pt idx="111">
                  <c:v>47.909300000000002</c:v>
                </c:pt>
                <c:pt idx="112">
                  <c:v>47.944099999999999</c:v>
                </c:pt>
                <c:pt idx="113">
                  <c:v>48.026600000000002</c:v>
                </c:pt>
                <c:pt idx="114">
                  <c:v>48.173899999999996</c:v>
                </c:pt>
                <c:pt idx="115">
                  <c:v>48.343000000000004</c:v>
                </c:pt>
                <c:pt idx="116">
                  <c:v>48.467100000000002</c:v>
                </c:pt>
                <c:pt idx="117">
                  <c:v>48.526599999999995</c:v>
                </c:pt>
                <c:pt idx="118">
                  <c:v>48.5657</c:v>
                </c:pt>
                <c:pt idx="119">
                  <c:v>48.548200000000001</c:v>
                </c:pt>
                <c:pt idx="120">
                  <c:v>48.520299999999999</c:v>
                </c:pt>
                <c:pt idx="121">
                  <c:v>48.571300000000001</c:v>
                </c:pt>
                <c:pt idx="122">
                  <c:v>48.7211</c:v>
                </c:pt>
                <c:pt idx="123">
                  <c:v>48.8095</c:v>
                </c:pt>
                <c:pt idx="124">
                  <c:v>48.834300000000006</c:v>
                </c:pt>
                <c:pt idx="125">
                  <c:v>48.929699999999997</c:v>
                </c:pt>
                <c:pt idx="126">
                  <c:v>49.009500000000003</c:v>
                </c:pt>
                <c:pt idx="127">
                  <c:v>49.081699999999998</c:v>
                </c:pt>
                <c:pt idx="128">
                  <c:v>49.146599999999999</c:v>
                </c:pt>
                <c:pt idx="129">
                  <c:v>49.200099999999999</c:v>
                </c:pt>
                <c:pt idx="130">
                  <c:v>49.2239</c:v>
                </c:pt>
                <c:pt idx="131">
                  <c:v>49.297400000000003</c:v>
                </c:pt>
                <c:pt idx="132">
                  <c:v>49.340400000000002</c:v>
                </c:pt>
                <c:pt idx="133">
                  <c:v>49.384900000000002</c:v>
                </c:pt>
                <c:pt idx="134">
                  <c:v>49.4131</c:v>
                </c:pt>
                <c:pt idx="135">
                  <c:v>49.417699999999996</c:v>
                </c:pt>
                <c:pt idx="136">
                  <c:v>49.410900000000005</c:v>
                </c:pt>
                <c:pt idx="137">
                  <c:v>49.434400000000004</c:v>
                </c:pt>
                <c:pt idx="138">
                  <c:v>49.4617</c:v>
                </c:pt>
                <c:pt idx="139">
                  <c:v>49.472100000000005</c:v>
                </c:pt>
                <c:pt idx="140">
                  <c:v>49.555900000000001</c:v>
                </c:pt>
                <c:pt idx="141">
                  <c:v>49.749700000000004</c:v>
                </c:pt>
                <c:pt idx="142">
                  <c:v>50.017500000000005</c:v>
                </c:pt>
                <c:pt idx="143">
                  <c:v>50.263899999999992</c:v>
                </c:pt>
                <c:pt idx="144">
                  <c:v>50.441400000000002</c:v>
                </c:pt>
                <c:pt idx="145">
                  <c:v>50.818300000000008</c:v>
                </c:pt>
                <c:pt idx="146">
                  <c:v>50.957900000000002</c:v>
                </c:pt>
                <c:pt idx="147">
                  <c:v>50.433799999999998</c:v>
                </c:pt>
                <c:pt idx="148">
                  <c:v>50.5717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</c:v>
                </c:pt>
                <c:pt idx="1">
                  <c:v>30.6374</c:v>
                </c:pt>
                <c:pt idx="2">
                  <c:v>31.017199999999999</c:v>
                </c:pt>
                <c:pt idx="3">
                  <c:v>31.390999999999998</c:v>
                </c:pt>
                <c:pt idx="4">
                  <c:v>31.773499999999999</c:v>
                </c:pt>
                <c:pt idx="5">
                  <c:v>32.140099999999997</c:v>
                </c:pt>
                <c:pt idx="6">
                  <c:v>32.544199999999996</c:v>
                </c:pt>
                <c:pt idx="7">
                  <c:v>32.9651</c:v>
                </c:pt>
                <c:pt idx="8">
                  <c:v>33.359099999999998</c:v>
                </c:pt>
                <c:pt idx="9">
                  <c:v>33.772100000000002</c:v>
                </c:pt>
                <c:pt idx="10">
                  <c:v>34.169600000000003</c:v>
                </c:pt>
                <c:pt idx="11">
                  <c:v>34.5745</c:v>
                </c:pt>
                <c:pt idx="12">
                  <c:v>34.997500000000002</c:v>
                </c:pt>
                <c:pt idx="13">
                  <c:v>35.3904</c:v>
                </c:pt>
                <c:pt idx="14">
                  <c:v>35.795400000000001</c:v>
                </c:pt>
                <c:pt idx="15">
                  <c:v>36.205300000000001</c:v>
                </c:pt>
                <c:pt idx="16">
                  <c:v>36.606699999999996</c:v>
                </c:pt>
                <c:pt idx="17">
                  <c:v>37.012300000000003</c:v>
                </c:pt>
                <c:pt idx="18">
                  <c:v>37.418900000000001</c:v>
                </c:pt>
                <c:pt idx="19">
                  <c:v>37.826999999999998</c:v>
                </c:pt>
                <c:pt idx="20">
                  <c:v>38.231000000000002</c:v>
                </c:pt>
                <c:pt idx="21">
                  <c:v>38.636899999999997</c:v>
                </c:pt>
                <c:pt idx="22">
                  <c:v>39.044199999999996</c:v>
                </c:pt>
                <c:pt idx="23">
                  <c:v>39.448799999999999</c:v>
                </c:pt>
                <c:pt idx="24">
                  <c:v>39.855600000000003</c:v>
                </c:pt>
                <c:pt idx="25">
                  <c:v>40.263399999999997</c:v>
                </c:pt>
                <c:pt idx="26">
                  <c:v>40.668399999999998</c:v>
                </c:pt>
                <c:pt idx="27">
                  <c:v>41.073500000000003</c:v>
                </c:pt>
                <c:pt idx="28">
                  <c:v>41.4831</c:v>
                </c:pt>
                <c:pt idx="29">
                  <c:v>41.891100000000002</c:v>
                </c:pt>
                <c:pt idx="30">
                  <c:v>42.313000000000002</c:v>
                </c:pt>
                <c:pt idx="31">
                  <c:v>42.697000000000003</c:v>
                </c:pt>
                <c:pt idx="32">
                  <c:v>43.107100000000003</c:v>
                </c:pt>
                <c:pt idx="33">
                  <c:v>43.511800000000001</c:v>
                </c:pt>
                <c:pt idx="34">
                  <c:v>43.919699999999999</c:v>
                </c:pt>
                <c:pt idx="35">
                  <c:v>44.328600000000002</c:v>
                </c:pt>
                <c:pt idx="36">
                  <c:v>44.749699999999997</c:v>
                </c:pt>
                <c:pt idx="37">
                  <c:v>45.134500000000003</c:v>
                </c:pt>
                <c:pt idx="38">
                  <c:v>45.542400000000001</c:v>
                </c:pt>
                <c:pt idx="39">
                  <c:v>45.954500000000003</c:v>
                </c:pt>
                <c:pt idx="40">
                  <c:v>46.3553</c:v>
                </c:pt>
                <c:pt idx="41">
                  <c:v>46.763599999999997</c:v>
                </c:pt>
                <c:pt idx="42">
                  <c:v>47.169600000000003</c:v>
                </c:pt>
                <c:pt idx="43">
                  <c:v>47.575400000000002</c:v>
                </c:pt>
                <c:pt idx="44">
                  <c:v>47.9876</c:v>
                </c:pt>
                <c:pt idx="45">
                  <c:v>48.3902</c:v>
                </c:pt>
                <c:pt idx="46">
                  <c:v>48.793100000000003</c:v>
                </c:pt>
                <c:pt idx="47">
                  <c:v>49.195999999999998</c:v>
                </c:pt>
                <c:pt idx="48">
                  <c:v>49.6068</c:v>
                </c:pt>
                <c:pt idx="49">
                  <c:v>50.010399999999997</c:v>
                </c:pt>
                <c:pt idx="50">
                  <c:v>50.418900000000001</c:v>
                </c:pt>
                <c:pt idx="51">
                  <c:v>50.826599999999999</c:v>
                </c:pt>
                <c:pt idx="52">
                  <c:v>51.229599999999998</c:v>
                </c:pt>
                <c:pt idx="53">
                  <c:v>51.635899999999999</c:v>
                </c:pt>
                <c:pt idx="54">
                  <c:v>52.047400000000003</c:v>
                </c:pt>
                <c:pt idx="55">
                  <c:v>52.451300000000003</c:v>
                </c:pt>
                <c:pt idx="56">
                  <c:v>52.856200000000001</c:v>
                </c:pt>
                <c:pt idx="57">
                  <c:v>53.263100000000001</c:v>
                </c:pt>
                <c:pt idx="58">
                  <c:v>53.665100000000002</c:v>
                </c:pt>
                <c:pt idx="59">
                  <c:v>54.0749</c:v>
                </c:pt>
                <c:pt idx="60">
                  <c:v>54.481900000000003</c:v>
                </c:pt>
                <c:pt idx="61">
                  <c:v>54.886699999999998</c:v>
                </c:pt>
                <c:pt idx="62">
                  <c:v>55.292700000000004</c:v>
                </c:pt>
                <c:pt idx="63">
                  <c:v>55.702599999999997</c:v>
                </c:pt>
                <c:pt idx="64">
                  <c:v>56.1066</c:v>
                </c:pt>
                <c:pt idx="65">
                  <c:v>56.512599999999999</c:v>
                </c:pt>
                <c:pt idx="66">
                  <c:v>56.919400000000003</c:v>
                </c:pt>
                <c:pt idx="67">
                  <c:v>57.3262</c:v>
                </c:pt>
                <c:pt idx="68">
                  <c:v>57.732100000000003</c:v>
                </c:pt>
                <c:pt idx="69">
                  <c:v>58.139099999999999</c:v>
                </c:pt>
                <c:pt idx="70">
                  <c:v>58.5471</c:v>
                </c:pt>
                <c:pt idx="71">
                  <c:v>58.948999999999998</c:v>
                </c:pt>
                <c:pt idx="72">
                  <c:v>59.362900000000003</c:v>
                </c:pt>
                <c:pt idx="73">
                  <c:v>59.7637</c:v>
                </c:pt>
                <c:pt idx="74">
                  <c:v>60.168700000000001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51.959400000000002</c:v>
                </c:pt>
                <c:pt idx="1">
                  <c:v>51.750500000000002</c:v>
                </c:pt>
                <c:pt idx="2">
                  <c:v>51.655700000000003</c:v>
                </c:pt>
                <c:pt idx="3">
                  <c:v>51.621700000000004</c:v>
                </c:pt>
                <c:pt idx="4">
                  <c:v>51.519000000000005</c:v>
                </c:pt>
                <c:pt idx="5">
                  <c:v>51.333500000000001</c:v>
                </c:pt>
                <c:pt idx="6">
                  <c:v>51.023399999999995</c:v>
                </c:pt>
                <c:pt idx="7">
                  <c:v>50.646299999999997</c:v>
                </c:pt>
                <c:pt idx="8">
                  <c:v>50.259299999999996</c:v>
                </c:pt>
                <c:pt idx="9">
                  <c:v>49.925599999999996</c:v>
                </c:pt>
                <c:pt idx="10">
                  <c:v>49.682500000000005</c:v>
                </c:pt>
                <c:pt idx="11">
                  <c:v>49.498399999999997</c:v>
                </c:pt>
                <c:pt idx="12">
                  <c:v>49.375999999999998</c:v>
                </c:pt>
                <c:pt idx="13">
                  <c:v>49.220999999999997</c:v>
                </c:pt>
                <c:pt idx="14">
                  <c:v>48.987499999999997</c:v>
                </c:pt>
                <c:pt idx="15">
                  <c:v>48.671599999999998</c:v>
                </c:pt>
                <c:pt idx="16">
                  <c:v>48.3033</c:v>
                </c:pt>
                <c:pt idx="17">
                  <c:v>47.962700000000005</c:v>
                </c:pt>
                <c:pt idx="18">
                  <c:v>47.6907</c:v>
                </c:pt>
                <c:pt idx="19">
                  <c:v>47.544199999999996</c:v>
                </c:pt>
                <c:pt idx="20">
                  <c:v>47.506999999999998</c:v>
                </c:pt>
                <c:pt idx="21">
                  <c:v>47.482100000000003</c:v>
                </c:pt>
                <c:pt idx="22">
                  <c:v>47.462700000000005</c:v>
                </c:pt>
                <c:pt idx="23">
                  <c:v>47.4251</c:v>
                </c:pt>
                <c:pt idx="24">
                  <c:v>47.4465</c:v>
                </c:pt>
                <c:pt idx="25">
                  <c:v>47.479599999999998</c:v>
                </c:pt>
                <c:pt idx="26">
                  <c:v>47.451000000000001</c:v>
                </c:pt>
                <c:pt idx="27">
                  <c:v>47.393000000000001</c:v>
                </c:pt>
                <c:pt idx="28">
                  <c:v>47.3048</c:v>
                </c:pt>
                <c:pt idx="29">
                  <c:v>47.241599999999998</c:v>
                </c:pt>
                <c:pt idx="30">
                  <c:v>47.220199999999998</c:v>
                </c:pt>
                <c:pt idx="31">
                  <c:v>47.2774</c:v>
                </c:pt>
                <c:pt idx="32">
                  <c:v>47.374500000000005</c:v>
                </c:pt>
                <c:pt idx="33">
                  <c:v>47.549599999999998</c:v>
                </c:pt>
                <c:pt idx="34">
                  <c:v>47.713499999999996</c:v>
                </c:pt>
                <c:pt idx="35">
                  <c:v>47.8262</c:v>
                </c:pt>
                <c:pt idx="36">
                  <c:v>47.897400000000005</c:v>
                </c:pt>
                <c:pt idx="37">
                  <c:v>47.909300000000002</c:v>
                </c:pt>
                <c:pt idx="38">
                  <c:v>47.944099999999999</c:v>
                </c:pt>
                <c:pt idx="39">
                  <c:v>48.026600000000002</c:v>
                </c:pt>
                <c:pt idx="40">
                  <c:v>48.173899999999996</c:v>
                </c:pt>
                <c:pt idx="41">
                  <c:v>48.343000000000004</c:v>
                </c:pt>
                <c:pt idx="42">
                  <c:v>48.467100000000002</c:v>
                </c:pt>
                <c:pt idx="43">
                  <c:v>48.526599999999995</c:v>
                </c:pt>
                <c:pt idx="44">
                  <c:v>48.5657</c:v>
                </c:pt>
                <c:pt idx="45">
                  <c:v>48.548200000000001</c:v>
                </c:pt>
                <c:pt idx="46">
                  <c:v>48.520299999999999</c:v>
                </c:pt>
                <c:pt idx="47">
                  <c:v>48.571300000000001</c:v>
                </c:pt>
                <c:pt idx="48">
                  <c:v>48.7211</c:v>
                </c:pt>
                <c:pt idx="49">
                  <c:v>48.8095</c:v>
                </c:pt>
                <c:pt idx="50">
                  <c:v>48.834300000000006</c:v>
                </c:pt>
                <c:pt idx="51">
                  <c:v>48.929699999999997</c:v>
                </c:pt>
                <c:pt idx="52">
                  <c:v>49.009500000000003</c:v>
                </c:pt>
                <c:pt idx="53">
                  <c:v>49.081699999999998</c:v>
                </c:pt>
                <c:pt idx="54">
                  <c:v>49.146599999999999</c:v>
                </c:pt>
                <c:pt idx="55">
                  <c:v>49.200099999999999</c:v>
                </c:pt>
                <c:pt idx="56">
                  <c:v>49.2239</c:v>
                </c:pt>
                <c:pt idx="57">
                  <c:v>49.297400000000003</c:v>
                </c:pt>
                <c:pt idx="58">
                  <c:v>49.340400000000002</c:v>
                </c:pt>
                <c:pt idx="59">
                  <c:v>49.384900000000002</c:v>
                </c:pt>
                <c:pt idx="60">
                  <c:v>49.4131</c:v>
                </c:pt>
                <c:pt idx="61">
                  <c:v>49.417699999999996</c:v>
                </c:pt>
                <c:pt idx="62">
                  <c:v>49.410900000000005</c:v>
                </c:pt>
                <c:pt idx="63">
                  <c:v>49.434400000000004</c:v>
                </c:pt>
                <c:pt idx="64">
                  <c:v>49.4617</c:v>
                </c:pt>
                <c:pt idx="65">
                  <c:v>49.472100000000005</c:v>
                </c:pt>
                <c:pt idx="66">
                  <c:v>49.555900000000001</c:v>
                </c:pt>
                <c:pt idx="67">
                  <c:v>49.749700000000004</c:v>
                </c:pt>
                <c:pt idx="68">
                  <c:v>50.017500000000005</c:v>
                </c:pt>
                <c:pt idx="69">
                  <c:v>50.263899999999992</c:v>
                </c:pt>
                <c:pt idx="70">
                  <c:v>50.441400000000002</c:v>
                </c:pt>
                <c:pt idx="71">
                  <c:v>50.818300000000008</c:v>
                </c:pt>
                <c:pt idx="72">
                  <c:v>50.957900000000002</c:v>
                </c:pt>
                <c:pt idx="73">
                  <c:v>50.433799999999998</c:v>
                </c:pt>
                <c:pt idx="74">
                  <c:v>50.5717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15.042175</c:v>
                </c:pt>
                <c:pt idx="1">
                  <c:v>45.126525000000001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56.724450000000026</c:v>
                </c:pt>
                <c:pt idx="1">
                  <c:v>48.98794594594596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30.574300000000001</c:v>
                </c:pt>
                <c:pt idx="1">
                  <c:v>24.3903</c:v>
                </c:pt>
                <c:pt idx="2">
                  <c:v>32.450800000000001</c:v>
                </c:pt>
                <c:pt idx="3">
                  <c:v>27.882899999999999</c:v>
                </c:pt>
                <c:pt idx="4">
                  <c:v>74.535200000000003</c:v>
                </c:pt>
                <c:pt idx="5">
                  <c:v>82.053799999999995</c:v>
                </c:pt>
                <c:pt idx="6">
                  <c:v>15.801</c:v>
                </c:pt>
                <c:pt idx="7">
                  <c:v>78.226900000000001</c:v>
                </c:pt>
                <c:pt idx="8">
                  <c:v>17.2806</c:v>
                </c:pt>
                <c:pt idx="9">
                  <c:v>14.407400000000001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37.604100000000003</c:v>
                </c:pt>
                <c:pt idx="1">
                  <c:v>32.226599999999998</c:v>
                </c:pt>
                <c:pt idx="2">
                  <c:v>29.874400000000001</c:v>
                </c:pt>
                <c:pt idx="3">
                  <c:v>33.501800000000003</c:v>
                </c:pt>
                <c:pt idx="4">
                  <c:v>69.623500000000007</c:v>
                </c:pt>
                <c:pt idx="5">
                  <c:v>67.227400000000003</c:v>
                </c:pt>
                <c:pt idx="6">
                  <c:v>21.500399999999999</c:v>
                </c:pt>
                <c:pt idx="7">
                  <c:v>68.650400000000005</c:v>
                </c:pt>
                <c:pt idx="8">
                  <c:v>15.9589</c:v>
                </c:pt>
                <c:pt idx="9">
                  <c:v>17.0688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0.58379230694689288</c:v>
                </c:pt>
                <c:pt idx="1">
                  <c:v>0.26857829836716895</c:v>
                </c:pt>
                <c:pt idx="2">
                  <c:v>0.14762939468593814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1.9478000000000002E-2</c:v>
                </c:pt>
                <c:pt idx="2">
                  <c:v>3.8956000000000005E-2</c:v>
                </c:pt>
                <c:pt idx="3">
                  <c:v>5.8434E-2</c:v>
                </c:pt>
                <c:pt idx="4">
                  <c:v>7.7912000000000009E-2</c:v>
                </c:pt>
                <c:pt idx="5">
                  <c:v>9.7390000000000004E-2</c:v>
                </c:pt>
                <c:pt idx="6">
                  <c:v>0.116868</c:v>
                </c:pt>
                <c:pt idx="7">
                  <c:v>0.13634599999999999</c:v>
                </c:pt>
                <c:pt idx="8">
                  <c:v>0.15582400000000002</c:v>
                </c:pt>
                <c:pt idx="9">
                  <c:v>0.17530200000000001</c:v>
                </c:pt>
                <c:pt idx="10">
                  <c:v>0.19478000000000001</c:v>
                </c:pt>
                <c:pt idx="11">
                  <c:v>0.214258</c:v>
                </c:pt>
                <c:pt idx="12">
                  <c:v>0.233736</c:v>
                </c:pt>
                <c:pt idx="13">
                  <c:v>0.25321399999999999</c:v>
                </c:pt>
                <c:pt idx="14">
                  <c:v>0.27269199999999999</c:v>
                </c:pt>
                <c:pt idx="15">
                  <c:v>0.29216999999999999</c:v>
                </c:pt>
                <c:pt idx="16">
                  <c:v>0.31164800000000004</c:v>
                </c:pt>
                <c:pt idx="17">
                  <c:v>0.33112600000000003</c:v>
                </c:pt>
                <c:pt idx="18">
                  <c:v>0.35060400000000003</c:v>
                </c:pt>
                <c:pt idx="19">
                  <c:v>0.37008200000000002</c:v>
                </c:pt>
                <c:pt idx="20">
                  <c:v>0.38956000000000002</c:v>
                </c:pt>
                <c:pt idx="21">
                  <c:v>0.40903800000000001</c:v>
                </c:pt>
                <c:pt idx="22">
                  <c:v>0.42851600000000001</c:v>
                </c:pt>
                <c:pt idx="23">
                  <c:v>0.447994</c:v>
                </c:pt>
                <c:pt idx="24">
                  <c:v>0.467472</c:v>
                </c:pt>
                <c:pt idx="25">
                  <c:v>0.48694999999999999</c:v>
                </c:pt>
                <c:pt idx="26">
                  <c:v>0.50642799999999999</c:v>
                </c:pt>
                <c:pt idx="27">
                  <c:v>0.52590599999999998</c:v>
                </c:pt>
                <c:pt idx="28">
                  <c:v>0.54538399999999998</c:v>
                </c:pt>
                <c:pt idx="29">
                  <c:v>0.56486199999999998</c:v>
                </c:pt>
                <c:pt idx="30">
                  <c:v>0.58433999999999997</c:v>
                </c:pt>
                <c:pt idx="31">
                  <c:v>0.60381800000000008</c:v>
                </c:pt>
                <c:pt idx="32">
                  <c:v>0.62329600000000007</c:v>
                </c:pt>
                <c:pt idx="33">
                  <c:v>0.64277400000000007</c:v>
                </c:pt>
                <c:pt idx="34">
                  <c:v>0.66225200000000006</c:v>
                </c:pt>
                <c:pt idx="35">
                  <c:v>0.68173000000000006</c:v>
                </c:pt>
                <c:pt idx="36">
                  <c:v>0.70120800000000005</c:v>
                </c:pt>
                <c:pt idx="37">
                  <c:v>0.72068600000000005</c:v>
                </c:pt>
                <c:pt idx="38">
                  <c:v>0.74016400000000004</c:v>
                </c:pt>
                <c:pt idx="39">
                  <c:v>0.75964200000000015</c:v>
                </c:pt>
                <c:pt idx="40">
                  <c:v>0.77912000000000003</c:v>
                </c:pt>
                <c:pt idx="41">
                  <c:v>0.79859800000000014</c:v>
                </c:pt>
                <c:pt idx="42">
                  <c:v>0.81807600000000003</c:v>
                </c:pt>
                <c:pt idx="43">
                  <c:v>0.83755400000000013</c:v>
                </c:pt>
                <c:pt idx="44">
                  <c:v>0.85703200000000002</c:v>
                </c:pt>
                <c:pt idx="45">
                  <c:v>0.87651000000000012</c:v>
                </c:pt>
                <c:pt idx="46">
                  <c:v>0.89598800000000001</c:v>
                </c:pt>
                <c:pt idx="47">
                  <c:v>0.91546600000000011</c:v>
                </c:pt>
                <c:pt idx="48">
                  <c:v>0.934944</c:v>
                </c:pt>
                <c:pt idx="49">
                  <c:v>0.9544220000000001</c:v>
                </c:pt>
                <c:pt idx="50">
                  <c:v>0.97389999999999999</c:v>
                </c:pt>
                <c:pt idx="51">
                  <c:v>0.99337800000000009</c:v>
                </c:pt>
                <c:pt idx="52">
                  <c:v>1.012856</c:v>
                </c:pt>
                <c:pt idx="53">
                  <c:v>1.0323340000000001</c:v>
                </c:pt>
                <c:pt idx="54">
                  <c:v>1.051812</c:v>
                </c:pt>
                <c:pt idx="55">
                  <c:v>1.0712900000000001</c:v>
                </c:pt>
                <c:pt idx="56">
                  <c:v>1.090768</c:v>
                </c:pt>
                <c:pt idx="57">
                  <c:v>1.1102460000000001</c:v>
                </c:pt>
                <c:pt idx="58">
                  <c:v>1.129724</c:v>
                </c:pt>
                <c:pt idx="59">
                  <c:v>1.1492020000000001</c:v>
                </c:pt>
                <c:pt idx="60">
                  <c:v>1.1686799999999999</c:v>
                </c:pt>
                <c:pt idx="61">
                  <c:v>1.188158</c:v>
                </c:pt>
                <c:pt idx="62">
                  <c:v>1.2076360000000002</c:v>
                </c:pt>
                <c:pt idx="63">
                  <c:v>1.227114</c:v>
                </c:pt>
                <c:pt idx="64">
                  <c:v>1.2465920000000001</c:v>
                </c:pt>
                <c:pt idx="65">
                  <c:v>1.26607</c:v>
                </c:pt>
                <c:pt idx="66">
                  <c:v>1.2855480000000001</c:v>
                </c:pt>
                <c:pt idx="67">
                  <c:v>1.305026</c:v>
                </c:pt>
                <c:pt idx="68">
                  <c:v>1.3245040000000001</c:v>
                </c:pt>
                <c:pt idx="69">
                  <c:v>1.343982</c:v>
                </c:pt>
                <c:pt idx="70">
                  <c:v>1.3634600000000001</c:v>
                </c:pt>
                <c:pt idx="71">
                  <c:v>1.3829380000000002</c:v>
                </c:pt>
                <c:pt idx="72">
                  <c:v>1.4024160000000001</c:v>
                </c:pt>
                <c:pt idx="73">
                  <c:v>1.421894</c:v>
                </c:pt>
                <c:pt idx="74">
                  <c:v>1.4413720000000001</c:v>
                </c:pt>
                <c:pt idx="75">
                  <c:v>1.4608500000000002</c:v>
                </c:pt>
                <c:pt idx="76">
                  <c:v>1.4803280000000001</c:v>
                </c:pt>
                <c:pt idx="77">
                  <c:v>1.499806</c:v>
                </c:pt>
                <c:pt idx="78">
                  <c:v>1.5192840000000003</c:v>
                </c:pt>
                <c:pt idx="79">
                  <c:v>1.5387620000000002</c:v>
                </c:pt>
                <c:pt idx="80">
                  <c:v>1.5582400000000001</c:v>
                </c:pt>
                <c:pt idx="81">
                  <c:v>1.577718</c:v>
                </c:pt>
                <c:pt idx="82">
                  <c:v>1.5971960000000003</c:v>
                </c:pt>
                <c:pt idx="83">
                  <c:v>1.6166740000000002</c:v>
                </c:pt>
                <c:pt idx="84">
                  <c:v>1.6361520000000001</c:v>
                </c:pt>
                <c:pt idx="85">
                  <c:v>1.6556299999999999</c:v>
                </c:pt>
                <c:pt idx="86">
                  <c:v>1.6751080000000003</c:v>
                </c:pt>
                <c:pt idx="87">
                  <c:v>1.6945860000000001</c:v>
                </c:pt>
                <c:pt idx="88">
                  <c:v>1.714064</c:v>
                </c:pt>
                <c:pt idx="89">
                  <c:v>1.7335419999999999</c:v>
                </c:pt>
                <c:pt idx="90">
                  <c:v>1.7530200000000002</c:v>
                </c:pt>
                <c:pt idx="91">
                  <c:v>1.7724980000000001</c:v>
                </c:pt>
                <c:pt idx="92">
                  <c:v>1.791976</c:v>
                </c:pt>
                <c:pt idx="93">
                  <c:v>1.8114539999999999</c:v>
                </c:pt>
                <c:pt idx="94">
                  <c:v>1.8309320000000002</c:v>
                </c:pt>
                <c:pt idx="95">
                  <c:v>1.8504100000000001</c:v>
                </c:pt>
                <c:pt idx="96">
                  <c:v>1.869888</c:v>
                </c:pt>
                <c:pt idx="97">
                  <c:v>1.8893660000000001</c:v>
                </c:pt>
                <c:pt idx="98">
                  <c:v>1.9088440000000002</c:v>
                </c:pt>
                <c:pt idx="99">
                  <c:v>1.9283220000000001</c:v>
                </c:pt>
                <c:pt idx="100">
                  <c:v>1.9478</c:v>
                </c:pt>
                <c:pt idx="101">
                  <c:v>1.9672780000000001</c:v>
                </c:pt>
                <c:pt idx="102">
                  <c:v>1.9867560000000002</c:v>
                </c:pt>
                <c:pt idx="103">
                  <c:v>2.0062340000000001</c:v>
                </c:pt>
                <c:pt idx="104">
                  <c:v>2.025712</c:v>
                </c:pt>
                <c:pt idx="105">
                  <c:v>2.0451899999999998</c:v>
                </c:pt>
                <c:pt idx="106">
                  <c:v>2.0646680000000002</c:v>
                </c:pt>
                <c:pt idx="107">
                  <c:v>2.0841460000000001</c:v>
                </c:pt>
                <c:pt idx="108">
                  <c:v>2.1036239999999999</c:v>
                </c:pt>
                <c:pt idx="109">
                  <c:v>2.1231019999999998</c:v>
                </c:pt>
                <c:pt idx="110">
                  <c:v>2.1425800000000002</c:v>
                </c:pt>
                <c:pt idx="111">
                  <c:v>2.162058</c:v>
                </c:pt>
                <c:pt idx="112">
                  <c:v>2.1815359999999999</c:v>
                </c:pt>
                <c:pt idx="113">
                  <c:v>2.2010139999999998</c:v>
                </c:pt>
                <c:pt idx="114">
                  <c:v>2.2204920000000001</c:v>
                </c:pt>
                <c:pt idx="115">
                  <c:v>2.23997</c:v>
                </c:pt>
                <c:pt idx="116">
                  <c:v>2.2594479999999999</c:v>
                </c:pt>
                <c:pt idx="117">
                  <c:v>2.2789260000000002</c:v>
                </c:pt>
                <c:pt idx="118">
                  <c:v>2.2984040000000001</c:v>
                </c:pt>
                <c:pt idx="119">
                  <c:v>2.317882</c:v>
                </c:pt>
                <c:pt idx="120">
                  <c:v>2.3373599999999999</c:v>
                </c:pt>
                <c:pt idx="121">
                  <c:v>2.3568380000000002</c:v>
                </c:pt>
                <c:pt idx="122">
                  <c:v>2.3763160000000001</c:v>
                </c:pt>
                <c:pt idx="123">
                  <c:v>2.395794</c:v>
                </c:pt>
                <c:pt idx="124">
                  <c:v>2.4152720000000003</c:v>
                </c:pt>
                <c:pt idx="125">
                  <c:v>2.4347500000000002</c:v>
                </c:pt>
                <c:pt idx="126">
                  <c:v>2.4542280000000001</c:v>
                </c:pt>
                <c:pt idx="127">
                  <c:v>2.473706</c:v>
                </c:pt>
                <c:pt idx="128">
                  <c:v>2.4931840000000003</c:v>
                </c:pt>
                <c:pt idx="129">
                  <c:v>2.5126620000000002</c:v>
                </c:pt>
                <c:pt idx="130">
                  <c:v>2.5321400000000001</c:v>
                </c:pt>
                <c:pt idx="131">
                  <c:v>2.5516179999999999</c:v>
                </c:pt>
                <c:pt idx="132">
                  <c:v>2.5710960000000003</c:v>
                </c:pt>
                <c:pt idx="133">
                  <c:v>2.5905740000000002</c:v>
                </c:pt>
                <c:pt idx="134">
                  <c:v>2.610052</c:v>
                </c:pt>
                <c:pt idx="135">
                  <c:v>2.6295300000000004</c:v>
                </c:pt>
                <c:pt idx="136">
                  <c:v>2.6490080000000003</c:v>
                </c:pt>
                <c:pt idx="137">
                  <c:v>2.6684860000000001</c:v>
                </c:pt>
                <c:pt idx="138">
                  <c:v>2.687964</c:v>
                </c:pt>
                <c:pt idx="139">
                  <c:v>2.7074419999999999</c:v>
                </c:pt>
                <c:pt idx="140">
                  <c:v>2.7269200000000002</c:v>
                </c:pt>
                <c:pt idx="141">
                  <c:v>2.7463980000000001</c:v>
                </c:pt>
                <c:pt idx="142">
                  <c:v>2.7658760000000004</c:v>
                </c:pt>
                <c:pt idx="143">
                  <c:v>2.7853540000000003</c:v>
                </c:pt>
                <c:pt idx="144">
                  <c:v>2.8048320000000002</c:v>
                </c:pt>
                <c:pt idx="145">
                  <c:v>2.8243100000000001</c:v>
                </c:pt>
                <c:pt idx="146">
                  <c:v>2.843788</c:v>
                </c:pt>
                <c:pt idx="147">
                  <c:v>2.8632659999999999</c:v>
                </c:pt>
                <c:pt idx="148">
                  <c:v>2.8827440000000002</c:v>
                </c:pt>
                <c:pt idx="149">
                  <c:v>2.9022220000000005</c:v>
                </c:pt>
                <c:pt idx="150">
                  <c:v>2.9217000000000004</c:v>
                </c:pt>
                <c:pt idx="151">
                  <c:v>2.9411780000000003</c:v>
                </c:pt>
                <c:pt idx="152">
                  <c:v>2.9606560000000002</c:v>
                </c:pt>
                <c:pt idx="153">
                  <c:v>2.9801340000000001</c:v>
                </c:pt>
                <c:pt idx="154">
                  <c:v>2.9996119999999999</c:v>
                </c:pt>
                <c:pt idx="155">
                  <c:v>3.0190899999999998</c:v>
                </c:pt>
                <c:pt idx="156">
                  <c:v>3.0385680000000006</c:v>
                </c:pt>
                <c:pt idx="157">
                  <c:v>3.0580460000000005</c:v>
                </c:pt>
                <c:pt idx="158">
                  <c:v>3.0775240000000004</c:v>
                </c:pt>
                <c:pt idx="159">
                  <c:v>3.0970020000000003</c:v>
                </c:pt>
                <c:pt idx="160">
                  <c:v>3.1164800000000001</c:v>
                </c:pt>
                <c:pt idx="161">
                  <c:v>3.135958</c:v>
                </c:pt>
                <c:pt idx="162">
                  <c:v>3.1554359999999999</c:v>
                </c:pt>
                <c:pt idx="163">
                  <c:v>3.1749139999999998</c:v>
                </c:pt>
                <c:pt idx="164">
                  <c:v>3.1943920000000006</c:v>
                </c:pt>
                <c:pt idx="165">
                  <c:v>3.2138700000000004</c:v>
                </c:pt>
                <c:pt idx="166">
                  <c:v>3.2333480000000003</c:v>
                </c:pt>
                <c:pt idx="167">
                  <c:v>3.2528260000000002</c:v>
                </c:pt>
                <c:pt idx="168">
                  <c:v>3.2723040000000001</c:v>
                </c:pt>
                <c:pt idx="169">
                  <c:v>3.291782</c:v>
                </c:pt>
                <c:pt idx="170">
                  <c:v>3.3112599999999999</c:v>
                </c:pt>
                <c:pt idx="171">
                  <c:v>3.3307379999999998</c:v>
                </c:pt>
                <c:pt idx="172">
                  <c:v>3.3502160000000005</c:v>
                </c:pt>
                <c:pt idx="173">
                  <c:v>3.3696940000000004</c:v>
                </c:pt>
                <c:pt idx="174">
                  <c:v>3.3891720000000003</c:v>
                </c:pt>
                <c:pt idx="175">
                  <c:v>3.4086500000000002</c:v>
                </c:pt>
                <c:pt idx="176">
                  <c:v>3.4281280000000001</c:v>
                </c:pt>
                <c:pt idx="177">
                  <c:v>3.4476059999999999</c:v>
                </c:pt>
                <c:pt idx="178">
                  <c:v>3.4670839999999998</c:v>
                </c:pt>
                <c:pt idx="179">
                  <c:v>3.4865619999999997</c:v>
                </c:pt>
                <c:pt idx="180">
                  <c:v>3.5060400000000005</c:v>
                </c:pt>
                <c:pt idx="181">
                  <c:v>3.5255180000000004</c:v>
                </c:pt>
                <c:pt idx="182">
                  <c:v>3.5449960000000003</c:v>
                </c:pt>
                <c:pt idx="183">
                  <c:v>3.5644740000000001</c:v>
                </c:pt>
                <c:pt idx="184">
                  <c:v>3.583952</c:v>
                </c:pt>
                <c:pt idx="185">
                  <c:v>3.6034299999999999</c:v>
                </c:pt>
                <c:pt idx="186">
                  <c:v>3.6229079999999998</c:v>
                </c:pt>
                <c:pt idx="187">
                  <c:v>3.6423860000000001</c:v>
                </c:pt>
                <c:pt idx="188">
                  <c:v>3.6618640000000005</c:v>
                </c:pt>
                <c:pt idx="189">
                  <c:v>3.6813420000000003</c:v>
                </c:pt>
                <c:pt idx="190">
                  <c:v>3.7008200000000002</c:v>
                </c:pt>
                <c:pt idx="191">
                  <c:v>3.7202980000000001</c:v>
                </c:pt>
                <c:pt idx="192">
                  <c:v>3.739776</c:v>
                </c:pt>
                <c:pt idx="193">
                  <c:v>3.7592539999999999</c:v>
                </c:pt>
                <c:pt idx="194">
                  <c:v>3.7787320000000002</c:v>
                </c:pt>
                <c:pt idx="195">
                  <c:v>3.7982100000000001</c:v>
                </c:pt>
                <c:pt idx="196">
                  <c:v>3.8176880000000004</c:v>
                </c:pt>
                <c:pt idx="197">
                  <c:v>3.8371660000000003</c:v>
                </c:pt>
                <c:pt idx="198">
                  <c:v>3.8566440000000002</c:v>
                </c:pt>
                <c:pt idx="199">
                  <c:v>3.8761220000000001</c:v>
                </c:pt>
                <c:pt idx="200">
                  <c:v>3.8956</c:v>
                </c:pt>
                <c:pt idx="201">
                  <c:v>3.9150780000000003</c:v>
                </c:pt>
                <c:pt idx="202">
                  <c:v>3.9345560000000002</c:v>
                </c:pt>
                <c:pt idx="203">
                  <c:v>3.954034</c:v>
                </c:pt>
                <c:pt idx="204">
                  <c:v>3.9735120000000004</c:v>
                </c:pt>
                <c:pt idx="205">
                  <c:v>3.9929900000000003</c:v>
                </c:pt>
                <c:pt idx="206">
                  <c:v>4.0124680000000001</c:v>
                </c:pt>
                <c:pt idx="207">
                  <c:v>4.0319460000000005</c:v>
                </c:pt>
                <c:pt idx="208">
                  <c:v>4.0514239999999999</c:v>
                </c:pt>
                <c:pt idx="209">
                  <c:v>4.0709020000000002</c:v>
                </c:pt>
                <c:pt idx="210">
                  <c:v>4.0903799999999997</c:v>
                </c:pt>
                <c:pt idx="211">
                  <c:v>4.109858</c:v>
                </c:pt>
                <c:pt idx="212">
                  <c:v>4.1293360000000003</c:v>
                </c:pt>
                <c:pt idx="213">
                  <c:v>4.1488140000000007</c:v>
                </c:pt>
                <c:pt idx="214">
                  <c:v>4.1682920000000001</c:v>
                </c:pt>
                <c:pt idx="215">
                  <c:v>4.1877700000000004</c:v>
                </c:pt>
                <c:pt idx="216">
                  <c:v>4.2072479999999999</c:v>
                </c:pt>
                <c:pt idx="217">
                  <c:v>4.2267260000000002</c:v>
                </c:pt>
                <c:pt idx="218">
                  <c:v>4.2462039999999996</c:v>
                </c:pt>
                <c:pt idx="219">
                  <c:v>4.265682</c:v>
                </c:pt>
                <c:pt idx="220">
                  <c:v>4.2851600000000003</c:v>
                </c:pt>
                <c:pt idx="221">
                  <c:v>4.3046380000000006</c:v>
                </c:pt>
                <c:pt idx="222">
                  <c:v>4.3241160000000001</c:v>
                </c:pt>
                <c:pt idx="223">
                  <c:v>4.3435940000000004</c:v>
                </c:pt>
                <c:pt idx="224">
                  <c:v>4.3630719999999998</c:v>
                </c:pt>
                <c:pt idx="225">
                  <c:v>4.3825500000000002</c:v>
                </c:pt>
                <c:pt idx="226">
                  <c:v>4.4020279999999996</c:v>
                </c:pt>
                <c:pt idx="227">
                  <c:v>4.4215059999999999</c:v>
                </c:pt>
                <c:pt idx="228">
                  <c:v>4.4409840000000003</c:v>
                </c:pt>
                <c:pt idx="229">
                  <c:v>4.4604620000000006</c:v>
                </c:pt>
                <c:pt idx="230">
                  <c:v>4.47994</c:v>
                </c:pt>
                <c:pt idx="231">
                  <c:v>4.4994180000000004</c:v>
                </c:pt>
                <c:pt idx="232">
                  <c:v>4.5188959999999998</c:v>
                </c:pt>
                <c:pt idx="233">
                  <c:v>4.5383740000000001</c:v>
                </c:pt>
                <c:pt idx="234">
                  <c:v>4.5578520000000005</c:v>
                </c:pt>
                <c:pt idx="235">
                  <c:v>4.5773299999999999</c:v>
                </c:pt>
                <c:pt idx="236">
                  <c:v>4.5968080000000002</c:v>
                </c:pt>
                <c:pt idx="237">
                  <c:v>4.6162860000000006</c:v>
                </c:pt>
                <c:pt idx="238">
                  <c:v>4.635764</c:v>
                </c:pt>
                <c:pt idx="239">
                  <c:v>4.6552420000000003</c:v>
                </c:pt>
                <c:pt idx="240">
                  <c:v>4.6747199999999998</c:v>
                </c:pt>
                <c:pt idx="241">
                  <c:v>4.6941980000000001</c:v>
                </c:pt>
                <c:pt idx="242">
                  <c:v>4.7136760000000004</c:v>
                </c:pt>
                <c:pt idx="243">
                  <c:v>4.7331539999999999</c:v>
                </c:pt>
                <c:pt idx="244">
                  <c:v>4.7526320000000002</c:v>
                </c:pt>
                <c:pt idx="245">
                  <c:v>4.7721100000000005</c:v>
                </c:pt>
                <c:pt idx="246">
                  <c:v>4.791588</c:v>
                </c:pt>
                <c:pt idx="247">
                  <c:v>4.8110660000000003</c:v>
                </c:pt>
                <c:pt idx="248">
                  <c:v>4.8305440000000006</c:v>
                </c:pt>
                <c:pt idx="249">
                  <c:v>4.8500220000000001</c:v>
                </c:pt>
                <c:pt idx="250">
                  <c:v>4.8695000000000004</c:v>
                </c:pt>
                <c:pt idx="251">
                  <c:v>4.8889779999999998</c:v>
                </c:pt>
                <c:pt idx="252">
                  <c:v>4.9084560000000002</c:v>
                </c:pt>
                <c:pt idx="253">
                  <c:v>4.9279340000000005</c:v>
                </c:pt>
                <c:pt idx="254">
                  <c:v>4.9474119999999999</c:v>
                </c:pt>
                <c:pt idx="255">
                  <c:v>4.9668900000000002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809</c:v>
                </c:pt>
                <c:pt idx="7">
                  <c:v>0</c:v>
                </c:pt>
                <c:pt idx="8">
                  <c:v>2571</c:v>
                </c:pt>
                <c:pt idx="9">
                  <c:v>0</c:v>
                </c:pt>
                <c:pt idx="10">
                  <c:v>0</c:v>
                </c:pt>
                <c:pt idx="11">
                  <c:v>4585</c:v>
                </c:pt>
                <c:pt idx="12">
                  <c:v>0</c:v>
                </c:pt>
                <c:pt idx="13">
                  <c:v>10486</c:v>
                </c:pt>
                <c:pt idx="14">
                  <c:v>0</c:v>
                </c:pt>
                <c:pt idx="15">
                  <c:v>0</c:v>
                </c:pt>
                <c:pt idx="16">
                  <c:v>19322</c:v>
                </c:pt>
                <c:pt idx="17">
                  <c:v>0</c:v>
                </c:pt>
                <c:pt idx="18">
                  <c:v>0</c:v>
                </c:pt>
                <c:pt idx="19">
                  <c:v>22244</c:v>
                </c:pt>
                <c:pt idx="20">
                  <c:v>0</c:v>
                </c:pt>
                <c:pt idx="21">
                  <c:v>32694</c:v>
                </c:pt>
                <c:pt idx="22">
                  <c:v>0</c:v>
                </c:pt>
                <c:pt idx="23">
                  <c:v>0</c:v>
                </c:pt>
                <c:pt idx="24">
                  <c:v>40905</c:v>
                </c:pt>
                <c:pt idx="25">
                  <c:v>0</c:v>
                </c:pt>
                <c:pt idx="26">
                  <c:v>49643</c:v>
                </c:pt>
                <c:pt idx="27">
                  <c:v>0</c:v>
                </c:pt>
                <c:pt idx="28">
                  <c:v>0</c:v>
                </c:pt>
                <c:pt idx="29">
                  <c:v>47605</c:v>
                </c:pt>
                <c:pt idx="30">
                  <c:v>0</c:v>
                </c:pt>
                <c:pt idx="31">
                  <c:v>61253</c:v>
                </c:pt>
                <c:pt idx="32">
                  <c:v>0</c:v>
                </c:pt>
                <c:pt idx="33">
                  <c:v>0</c:v>
                </c:pt>
                <c:pt idx="34">
                  <c:v>53119</c:v>
                </c:pt>
                <c:pt idx="35">
                  <c:v>0</c:v>
                </c:pt>
                <c:pt idx="36">
                  <c:v>0</c:v>
                </c:pt>
                <c:pt idx="37">
                  <c:v>69438</c:v>
                </c:pt>
                <c:pt idx="38">
                  <c:v>0</c:v>
                </c:pt>
                <c:pt idx="39">
                  <c:v>62516</c:v>
                </c:pt>
                <c:pt idx="40">
                  <c:v>0</c:v>
                </c:pt>
                <c:pt idx="41">
                  <c:v>0</c:v>
                </c:pt>
                <c:pt idx="42">
                  <c:v>65803</c:v>
                </c:pt>
                <c:pt idx="43">
                  <c:v>0</c:v>
                </c:pt>
                <c:pt idx="44">
                  <c:v>72042</c:v>
                </c:pt>
                <c:pt idx="45">
                  <c:v>0</c:v>
                </c:pt>
                <c:pt idx="46">
                  <c:v>0</c:v>
                </c:pt>
                <c:pt idx="47">
                  <c:v>79179</c:v>
                </c:pt>
                <c:pt idx="48">
                  <c:v>0</c:v>
                </c:pt>
                <c:pt idx="49">
                  <c:v>82808</c:v>
                </c:pt>
                <c:pt idx="50">
                  <c:v>0</c:v>
                </c:pt>
                <c:pt idx="51">
                  <c:v>0</c:v>
                </c:pt>
                <c:pt idx="52">
                  <c:v>75264</c:v>
                </c:pt>
                <c:pt idx="53">
                  <c:v>0</c:v>
                </c:pt>
                <c:pt idx="54">
                  <c:v>0</c:v>
                </c:pt>
                <c:pt idx="55">
                  <c:v>81992</c:v>
                </c:pt>
                <c:pt idx="56">
                  <c:v>0</c:v>
                </c:pt>
                <c:pt idx="57">
                  <c:v>68796</c:v>
                </c:pt>
                <c:pt idx="58">
                  <c:v>0</c:v>
                </c:pt>
                <c:pt idx="59">
                  <c:v>0</c:v>
                </c:pt>
                <c:pt idx="60">
                  <c:v>65372</c:v>
                </c:pt>
                <c:pt idx="61">
                  <c:v>0</c:v>
                </c:pt>
                <c:pt idx="62">
                  <c:v>69003</c:v>
                </c:pt>
                <c:pt idx="63">
                  <c:v>0</c:v>
                </c:pt>
                <c:pt idx="64">
                  <c:v>0</c:v>
                </c:pt>
                <c:pt idx="65">
                  <c:v>66530</c:v>
                </c:pt>
                <c:pt idx="66">
                  <c:v>0</c:v>
                </c:pt>
                <c:pt idx="67">
                  <c:v>60540</c:v>
                </c:pt>
                <c:pt idx="68">
                  <c:v>0</c:v>
                </c:pt>
                <c:pt idx="69">
                  <c:v>0</c:v>
                </c:pt>
                <c:pt idx="70">
                  <c:v>65615</c:v>
                </c:pt>
                <c:pt idx="71">
                  <c:v>0</c:v>
                </c:pt>
                <c:pt idx="72">
                  <c:v>0</c:v>
                </c:pt>
                <c:pt idx="73">
                  <c:v>62831</c:v>
                </c:pt>
                <c:pt idx="74">
                  <c:v>0</c:v>
                </c:pt>
                <c:pt idx="75">
                  <c:v>63845</c:v>
                </c:pt>
                <c:pt idx="76">
                  <c:v>0</c:v>
                </c:pt>
                <c:pt idx="77">
                  <c:v>0</c:v>
                </c:pt>
                <c:pt idx="78">
                  <c:v>63532</c:v>
                </c:pt>
                <c:pt idx="79">
                  <c:v>0</c:v>
                </c:pt>
                <c:pt idx="80">
                  <c:v>60907</c:v>
                </c:pt>
                <c:pt idx="81">
                  <c:v>0</c:v>
                </c:pt>
                <c:pt idx="82">
                  <c:v>0</c:v>
                </c:pt>
                <c:pt idx="83">
                  <c:v>59886</c:v>
                </c:pt>
                <c:pt idx="84">
                  <c:v>0</c:v>
                </c:pt>
                <c:pt idx="85">
                  <c:v>0</c:v>
                </c:pt>
                <c:pt idx="86">
                  <c:v>55398</c:v>
                </c:pt>
                <c:pt idx="87">
                  <c:v>0</c:v>
                </c:pt>
                <c:pt idx="88">
                  <c:v>59781</c:v>
                </c:pt>
                <c:pt idx="89">
                  <c:v>0</c:v>
                </c:pt>
                <c:pt idx="90">
                  <c:v>0</c:v>
                </c:pt>
                <c:pt idx="91">
                  <c:v>57884</c:v>
                </c:pt>
                <c:pt idx="92">
                  <c:v>0</c:v>
                </c:pt>
                <c:pt idx="93">
                  <c:v>56179</c:v>
                </c:pt>
                <c:pt idx="94">
                  <c:v>0</c:v>
                </c:pt>
                <c:pt idx="95">
                  <c:v>0</c:v>
                </c:pt>
                <c:pt idx="96">
                  <c:v>50400</c:v>
                </c:pt>
                <c:pt idx="97">
                  <c:v>0</c:v>
                </c:pt>
                <c:pt idx="98">
                  <c:v>46292</c:v>
                </c:pt>
                <c:pt idx="99">
                  <c:v>0</c:v>
                </c:pt>
                <c:pt idx="100">
                  <c:v>0</c:v>
                </c:pt>
                <c:pt idx="101">
                  <c:v>39351</c:v>
                </c:pt>
                <c:pt idx="102">
                  <c:v>0</c:v>
                </c:pt>
                <c:pt idx="103">
                  <c:v>0</c:v>
                </c:pt>
                <c:pt idx="104">
                  <c:v>29008</c:v>
                </c:pt>
                <c:pt idx="105">
                  <c:v>0</c:v>
                </c:pt>
                <c:pt idx="106">
                  <c:v>27463</c:v>
                </c:pt>
                <c:pt idx="107">
                  <c:v>0</c:v>
                </c:pt>
                <c:pt idx="108">
                  <c:v>0</c:v>
                </c:pt>
                <c:pt idx="109">
                  <c:v>23202</c:v>
                </c:pt>
                <c:pt idx="110">
                  <c:v>0</c:v>
                </c:pt>
                <c:pt idx="111">
                  <c:v>18109</c:v>
                </c:pt>
                <c:pt idx="112">
                  <c:v>0</c:v>
                </c:pt>
                <c:pt idx="113">
                  <c:v>0</c:v>
                </c:pt>
                <c:pt idx="114">
                  <c:v>13945</c:v>
                </c:pt>
                <c:pt idx="115">
                  <c:v>0</c:v>
                </c:pt>
                <c:pt idx="116">
                  <c:v>10720</c:v>
                </c:pt>
                <c:pt idx="117">
                  <c:v>0</c:v>
                </c:pt>
                <c:pt idx="118">
                  <c:v>0</c:v>
                </c:pt>
                <c:pt idx="119">
                  <c:v>7310</c:v>
                </c:pt>
                <c:pt idx="120">
                  <c:v>0</c:v>
                </c:pt>
                <c:pt idx="121">
                  <c:v>0</c:v>
                </c:pt>
                <c:pt idx="122">
                  <c:v>5315</c:v>
                </c:pt>
                <c:pt idx="123">
                  <c:v>0</c:v>
                </c:pt>
                <c:pt idx="124">
                  <c:v>4730</c:v>
                </c:pt>
                <c:pt idx="125">
                  <c:v>0</c:v>
                </c:pt>
                <c:pt idx="126">
                  <c:v>0</c:v>
                </c:pt>
                <c:pt idx="127">
                  <c:v>2978</c:v>
                </c:pt>
                <c:pt idx="128">
                  <c:v>0</c:v>
                </c:pt>
                <c:pt idx="129">
                  <c:v>1880</c:v>
                </c:pt>
                <c:pt idx="130">
                  <c:v>0</c:v>
                </c:pt>
                <c:pt idx="131">
                  <c:v>0</c:v>
                </c:pt>
                <c:pt idx="132">
                  <c:v>1177</c:v>
                </c:pt>
                <c:pt idx="133">
                  <c:v>0</c:v>
                </c:pt>
                <c:pt idx="134">
                  <c:v>1451</c:v>
                </c:pt>
                <c:pt idx="135">
                  <c:v>0</c:v>
                </c:pt>
                <c:pt idx="136">
                  <c:v>0</c:v>
                </c:pt>
                <c:pt idx="137">
                  <c:v>1133</c:v>
                </c:pt>
                <c:pt idx="138">
                  <c:v>0</c:v>
                </c:pt>
                <c:pt idx="139">
                  <c:v>0</c:v>
                </c:pt>
                <c:pt idx="140">
                  <c:v>973</c:v>
                </c:pt>
                <c:pt idx="141">
                  <c:v>0</c:v>
                </c:pt>
                <c:pt idx="142">
                  <c:v>761</c:v>
                </c:pt>
                <c:pt idx="143">
                  <c:v>0</c:v>
                </c:pt>
                <c:pt idx="144">
                  <c:v>0</c:v>
                </c:pt>
                <c:pt idx="145">
                  <c:v>303</c:v>
                </c:pt>
                <c:pt idx="146">
                  <c:v>0</c:v>
                </c:pt>
                <c:pt idx="147">
                  <c:v>159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3249</c:v>
                </c:pt>
                <c:pt idx="7">
                  <c:v>0</c:v>
                </c:pt>
                <c:pt idx="8">
                  <c:v>4207</c:v>
                </c:pt>
                <c:pt idx="9">
                  <c:v>0</c:v>
                </c:pt>
                <c:pt idx="10">
                  <c:v>0</c:v>
                </c:pt>
                <c:pt idx="11">
                  <c:v>6300</c:v>
                </c:pt>
                <c:pt idx="12">
                  <c:v>0</c:v>
                </c:pt>
                <c:pt idx="13">
                  <c:v>9643</c:v>
                </c:pt>
                <c:pt idx="14">
                  <c:v>0</c:v>
                </c:pt>
                <c:pt idx="15">
                  <c:v>0</c:v>
                </c:pt>
                <c:pt idx="16">
                  <c:v>13353</c:v>
                </c:pt>
                <c:pt idx="17">
                  <c:v>0</c:v>
                </c:pt>
                <c:pt idx="18">
                  <c:v>0</c:v>
                </c:pt>
                <c:pt idx="19">
                  <c:v>17214</c:v>
                </c:pt>
                <c:pt idx="20">
                  <c:v>0</c:v>
                </c:pt>
                <c:pt idx="21">
                  <c:v>18382</c:v>
                </c:pt>
                <c:pt idx="22">
                  <c:v>0</c:v>
                </c:pt>
                <c:pt idx="23">
                  <c:v>0</c:v>
                </c:pt>
                <c:pt idx="24">
                  <c:v>16541</c:v>
                </c:pt>
                <c:pt idx="25">
                  <c:v>0</c:v>
                </c:pt>
                <c:pt idx="26">
                  <c:v>17410</c:v>
                </c:pt>
                <c:pt idx="27">
                  <c:v>0</c:v>
                </c:pt>
                <c:pt idx="28">
                  <c:v>0</c:v>
                </c:pt>
                <c:pt idx="29">
                  <c:v>19215</c:v>
                </c:pt>
                <c:pt idx="30">
                  <c:v>0</c:v>
                </c:pt>
                <c:pt idx="31">
                  <c:v>18317</c:v>
                </c:pt>
                <c:pt idx="32">
                  <c:v>0</c:v>
                </c:pt>
                <c:pt idx="33">
                  <c:v>0</c:v>
                </c:pt>
                <c:pt idx="34">
                  <c:v>26201</c:v>
                </c:pt>
                <c:pt idx="35">
                  <c:v>0</c:v>
                </c:pt>
                <c:pt idx="36">
                  <c:v>0</c:v>
                </c:pt>
                <c:pt idx="37">
                  <c:v>36673</c:v>
                </c:pt>
                <c:pt idx="38">
                  <c:v>0</c:v>
                </c:pt>
                <c:pt idx="39">
                  <c:v>41906</c:v>
                </c:pt>
                <c:pt idx="40">
                  <c:v>0</c:v>
                </c:pt>
                <c:pt idx="41">
                  <c:v>0</c:v>
                </c:pt>
                <c:pt idx="42">
                  <c:v>53688</c:v>
                </c:pt>
                <c:pt idx="43">
                  <c:v>0</c:v>
                </c:pt>
                <c:pt idx="44">
                  <c:v>56658</c:v>
                </c:pt>
                <c:pt idx="45">
                  <c:v>0</c:v>
                </c:pt>
                <c:pt idx="46">
                  <c:v>0</c:v>
                </c:pt>
                <c:pt idx="47">
                  <c:v>58777</c:v>
                </c:pt>
                <c:pt idx="48">
                  <c:v>0</c:v>
                </c:pt>
                <c:pt idx="49">
                  <c:v>56717</c:v>
                </c:pt>
                <c:pt idx="50">
                  <c:v>0</c:v>
                </c:pt>
                <c:pt idx="51">
                  <c:v>0</c:v>
                </c:pt>
                <c:pt idx="52">
                  <c:v>61692</c:v>
                </c:pt>
                <c:pt idx="53">
                  <c:v>0</c:v>
                </c:pt>
                <c:pt idx="54">
                  <c:v>0</c:v>
                </c:pt>
                <c:pt idx="55">
                  <c:v>67411</c:v>
                </c:pt>
                <c:pt idx="56">
                  <c:v>0</c:v>
                </c:pt>
                <c:pt idx="57">
                  <c:v>72972</c:v>
                </c:pt>
                <c:pt idx="58">
                  <c:v>0</c:v>
                </c:pt>
                <c:pt idx="59">
                  <c:v>0</c:v>
                </c:pt>
                <c:pt idx="60">
                  <c:v>78732</c:v>
                </c:pt>
                <c:pt idx="61">
                  <c:v>0</c:v>
                </c:pt>
                <c:pt idx="62">
                  <c:v>79292</c:v>
                </c:pt>
                <c:pt idx="63">
                  <c:v>0</c:v>
                </c:pt>
                <c:pt idx="64">
                  <c:v>0</c:v>
                </c:pt>
                <c:pt idx="65">
                  <c:v>83292</c:v>
                </c:pt>
                <c:pt idx="66">
                  <c:v>0</c:v>
                </c:pt>
                <c:pt idx="67">
                  <c:v>82762</c:v>
                </c:pt>
                <c:pt idx="68">
                  <c:v>0</c:v>
                </c:pt>
                <c:pt idx="69">
                  <c:v>0</c:v>
                </c:pt>
                <c:pt idx="70">
                  <c:v>91349</c:v>
                </c:pt>
                <c:pt idx="71">
                  <c:v>0</c:v>
                </c:pt>
                <c:pt idx="72">
                  <c:v>0</c:v>
                </c:pt>
                <c:pt idx="73">
                  <c:v>93345</c:v>
                </c:pt>
                <c:pt idx="74">
                  <c:v>0</c:v>
                </c:pt>
                <c:pt idx="75">
                  <c:v>100098</c:v>
                </c:pt>
                <c:pt idx="76">
                  <c:v>0</c:v>
                </c:pt>
                <c:pt idx="77">
                  <c:v>0</c:v>
                </c:pt>
                <c:pt idx="78">
                  <c:v>105929</c:v>
                </c:pt>
                <c:pt idx="79">
                  <c:v>0</c:v>
                </c:pt>
                <c:pt idx="80">
                  <c:v>112270</c:v>
                </c:pt>
                <c:pt idx="81">
                  <c:v>0</c:v>
                </c:pt>
                <c:pt idx="82">
                  <c:v>0</c:v>
                </c:pt>
                <c:pt idx="83">
                  <c:v>122421</c:v>
                </c:pt>
                <c:pt idx="84">
                  <c:v>0</c:v>
                </c:pt>
                <c:pt idx="85">
                  <c:v>0</c:v>
                </c:pt>
                <c:pt idx="86">
                  <c:v>121051</c:v>
                </c:pt>
                <c:pt idx="87">
                  <c:v>0</c:v>
                </c:pt>
                <c:pt idx="88">
                  <c:v>129907</c:v>
                </c:pt>
                <c:pt idx="89">
                  <c:v>0</c:v>
                </c:pt>
                <c:pt idx="90">
                  <c:v>0</c:v>
                </c:pt>
                <c:pt idx="91">
                  <c:v>145211</c:v>
                </c:pt>
                <c:pt idx="92">
                  <c:v>0</c:v>
                </c:pt>
                <c:pt idx="93">
                  <c:v>137302</c:v>
                </c:pt>
                <c:pt idx="94">
                  <c:v>0</c:v>
                </c:pt>
                <c:pt idx="95">
                  <c:v>0</c:v>
                </c:pt>
                <c:pt idx="96">
                  <c:v>136920</c:v>
                </c:pt>
                <c:pt idx="97">
                  <c:v>0</c:v>
                </c:pt>
                <c:pt idx="98">
                  <c:v>138815</c:v>
                </c:pt>
                <c:pt idx="99">
                  <c:v>0</c:v>
                </c:pt>
                <c:pt idx="100">
                  <c:v>0</c:v>
                </c:pt>
                <c:pt idx="101">
                  <c:v>129379</c:v>
                </c:pt>
                <c:pt idx="102">
                  <c:v>0</c:v>
                </c:pt>
                <c:pt idx="103">
                  <c:v>0</c:v>
                </c:pt>
                <c:pt idx="104">
                  <c:v>123014</c:v>
                </c:pt>
                <c:pt idx="105">
                  <c:v>0</c:v>
                </c:pt>
                <c:pt idx="106">
                  <c:v>106909</c:v>
                </c:pt>
                <c:pt idx="107">
                  <c:v>0</c:v>
                </c:pt>
                <c:pt idx="108">
                  <c:v>0</c:v>
                </c:pt>
                <c:pt idx="109">
                  <c:v>95500</c:v>
                </c:pt>
                <c:pt idx="110">
                  <c:v>0</c:v>
                </c:pt>
                <c:pt idx="111">
                  <c:v>80393</c:v>
                </c:pt>
                <c:pt idx="112">
                  <c:v>0</c:v>
                </c:pt>
                <c:pt idx="113">
                  <c:v>0</c:v>
                </c:pt>
                <c:pt idx="114">
                  <c:v>69093</c:v>
                </c:pt>
                <c:pt idx="115">
                  <c:v>0</c:v>
                </c:pt>
                <c:pt idx="116">
                  <c:v>60874</c:v>
                </c:pt>
                <c:pt idx="117">
                  <c:v>0</c:v>
                </c:pt>
                <c:pt idx="118">
                  <c:v>0</c:v>
                </c:pt>
                <c:pt idx="119">
                  <c:v>45282</c:v>
                </c:pt>
                <c:pt idx="120">
                  <c:v>0</c:v>
                </c:pt>
                <c:pt idx="121">
                  <c:v>0</c:v>
                </c:pt>
                <c:pt idx="122">
                  <c:v>35538</c:v>
                </c:pt>
                <c:pt idx="123">
                  <c:v>0</c:v>
                </c:pt>
                <c:pt idx="124">
                  <c:v>24150</c:v>
                </c:pt>
                <c:pt idx="125">
                  <c:v>0</c:v>
                </c:pt>
                <c:pt idx="126">
                  <c:v>0</c:v>
                </c:pt>
                <c:pt idx="127">
                  <c:v>24699</c:v>
                </c:pt>
                <c:pt idx="128">
                  <c:v>0</c:v>
                </c:pt>
                <c:pt idx="129">
                  <c:v>17166</c:v>
                </c:pt>
                <c:pt idx="130">
                  <c:v>0</c:v>
                </c:pt>
                <c:pt idx="131">
                  <c:v>0</c:v>
                </c:pt>
                <c:pt idx="132">
                  <c:v>12911</c:v>
                </c:pt>
                <c:pt idx="133">
                  <c:v>0</c:v>
                </c:pt>
                <c:pt idx="134">
                  <c:v>8126</c:v>
                </c:pt>
                <c:pt idx="135">
                  <c:v>0</c:v>
                </c:pt>
                <c:pt idx="136">
                  <c:v>0</c:v>
                </c:pt>
                <c:pt idx="137">
                  <c:v>3576</c:v>
                </c:pt>
                <c:pt idx="138">
                  <c:v>0</c:v>
                </c:pt>
                <c:pt idx="139">
                  <c:v>0</c:v>
                </c:pt>
                <c:pt idx="140">
                  <c:v>1569</c:v>
                </c:pt>
                <c:pt idx="141">
                  <c:v>0</c:v>
                </c:pt>
                <c:pt idx="142">
                  <c:v>392</c:v>
                </c:pt>
                <c:pt idx="143">
                  <c:v>0</c:v>
                </c:pt>
                <c:pt idx="144">
                  <c:v>0</c:v>
                </c:pt>
                <c:pt idx="145">
                  <c:v>117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0.24070685512461287</c:v>
                </c:pt>
                <c:pt idx="1">
                  <c:v>0.38677489947610677</c:v>
                </c:pt>
                <c:pt idx="2">
                  <c:v>0.37251824539928041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0.5325378169397369</c:v>
                </c:pt>
                <c:pt idx="1">
                  <c:v>0.31249859242159794</c:v>
                </c:pt>
                <c:pt idx="2">
                  <c:v>0.15496359063866522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4.8167799999999996</c:v>
                </c:pt>
                <c:pt idx="1">
                  <c:v>6.222575</c:v>
                </c:pt>
                <c:pt idx="2">
                  <c:v>18.347349999999999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  <c:pt idx="75">
                  <c:v>30.6374</c:v>
                </c:pt>
                <c:pt idx="76">
                  <c:v>31.017199999999999</c:v>
                </c:pt>
                <c:pt idx="77">
                  <c:v>31.390999999999998</c:v>
                </c:pt>
                <c:pt idx="78">
                  <c:v>31.773499999999999</c:v>
                </c:pt>
                <c:pt idx="79">
                  <c:v>32.140099999999997</c:v>
                </c:pt>
                <c:pt idx="80">
                  <c:v>32.544199999999996</c:v>
                </c:pt>
                <c:pt idx="81">
                  <c:v>32.9651</c:v>
                </c:pt>
                <c:pt idx="82">
                  <c:v>33.359099999999998</c:v>
                </c:pt>
                <c:pt idx="83">
                  <c:v>33.772100000000002</c:v>
                </c:pt>
                <c:pt idx="84">
                  <c:v>34.169600000000003</c:v>
                </c:pt>
                <c:pt idx="85">
                  <c:v>34.5745</c:v>
                </c:pt>
                <c:pt idx="86">
                  <c:v>34.997500000000002</c:v>
                </c:pt>
                <c:pt idx="87">
                  <c:v>35.3904</c:v>
                </c:pt>
                <c:pt idx="88">
                  <c:v>35.795400000000001</c:v>
                </c:pt>
                <c:pt idx="89">
                  <c:v>36.205300000000001</c:v>
                </c:pt>
                <c:pt idx="90">
                  <c:v>36.606699999999996</c:v>
                </c:pt>
                <c:pt idx="91">
                  <c:v>37.012300000000003</c:v>
                </c:pt>
                <c:pt idx="92">
                  <c:v>37.418900000000001</c:v>
                </c:pt>
                <c:pt idx="93">
                  <c:v>37.826999999999998</c:v>
                </c:pt>
                <c:pt idx="94">
                  <c:v>38.231000000000002</c:v>
                </c:pt>
                <c:pt idx="95">
                  <c:v>38.636899999999997</c:v>
                </c:pt>
                <c:pt idx="96">
                  <c:v>39.044199999999996</c:v>
                </c:pt>
                <c:pt idx="97">
                  <c:v>39.448799999999999</c:v>
                </c:pt>
                <c:pt idx="98">
                  <c:v>39.855600000000003</c:v>
                </c:pt>
                <c:pt idx="99">
                  <c:v>40.263399999999997</c:v>
                </c:pt>
                <c:pt idx="100">
                  <c:v>40.668399999999998</c:v>
                </c:pt>
                <c:pt idx="101">
                  <c:v>41.073500000000003</c:v>
                </c:pt>
                <c:pt idx="102">
                  <c:v>41.4831</c:v>
                </c:pt>
                <c:pt idx="103">
                  <c:v>41.891100000000002</c:v>
                </c:pt>
                <c:pt idx="104">
                  <c:v>42.313000000000002</c:v>
                </c:pt>
                <c:pt idx="105">
                  <c:v>42.697000000000003</c:v>
                </c:pt>
                <c:pt idx="106">
                  <c:v>43.107100000000003</c:v>
                </c:pt>
                <c:pt idx="107">
                  <c:v>43.511800000000001</c:v>
                </c:pt>
                <c:pt idx="108">
                  <c:v>43.919699999999999</c:v>
                </c:pt>
                <c:pt idx="109">
                  <c:v>44.328600000000002</c:v>
                </c:pt>
                <c:pt idx="110">
                  <c:v>44.749699999999997</c:v>
                </c:pt>
                <c:pt idx="111">
                  <c:v>45.134500000000003</c:v>
                </c:pt>
                <c:pt idx="112">
                  <c:v>45.542400000000001</c:v>
                </c:pt>
                <c:pt idx="113">
                  <c:v>45.954500000000003</c:v>
                </c:pt>
                <c:pt idx="114">
                  <c:v>46.3553</c:v>
                </c:pt>
                <c:pt idx="115">
                  <c:v>46.763599999999997</c:v>
                </c:pt>
                <c:pt idx="116">
                  <c:v>47.169600000000003</c:v>
                </c:pt>
                <c:pt idx="117">
                  <c:v>47.575400000000002</c:v>
                </c:pt>
                <c:pt idx="118">
                  <c:v>47.9876</c:v>
                </c:pt>
                <c:pt idx="119">
                  <c:v>48.3902</c:v>
                </c:pt>
                <c:pt idx="120">
                  <c:v>48.793100000000003</c:v>
                </c:pt>
                <c:pt idx="121">
                  <c:v>49.195999999999998</c:v>
                </c:pt>
                <c:pt idx="122">
                  <c:v>49.6068</c:v>
                </c:pt>
                <c:pt idx="123">
                  <c:v>50.010399999999997</c:v>
                </c:pt>
                <c:pt idx="124">
                  <c:v>50.418900000000001</c:v>
                </c:pt>
                <c:pt idx="125">
                  <c:v>50.826599999999999</c:v>
                </c:pt>
                <c:pt idx="126">
                  <c:v>51.229599999999998</c:v>
                </c:pt>
                <c:pt idx="127">
                  <c:v>51.635899999999999</c:v>
                </c:pt>
                <c:pt idx="128">
                  <c:v>52.047400000000003</c:v>
                </c:pt>
                <c:pt idx="129">
                  <c:v>52.451300000000003</c:v>
                </c:pt>
                <c:pt idx="130">
                  <c:v>52.856200000000001</c:v>
                </c:pt>
                <c:pt idx="131">
                  <c:v>53.263100000000001</c:v>
                </c:pt>
                <c:pt idx="132">
                  <c:v>53.665100000000002</c:v>
                </c:pt>
                <c:pt idx="133">
                  <c:v>54.0749</c:v>
                </c:pt>
                <c:pt idx="134">
                  <c:v>54.481900000000003</c:v>
                </c:pt>
                <c:pt idx="135">
                  <c:v>54.886699999999998</c:v>
                </c:pt>
                <c:pt idx="136">
                  <c:v>55.292700000000004</c:v>
                </c:pt>
                <c:pt idx="137">
                  <c:v>55.702599999999997</c:v>
                </c:pt>
                <c:pt idx="138">
                  <c:v>56.1066</c:v>
                </c:pt>
                <c:pt idx="139">
                  <c:v>56.512599999999999</c:v>
                </c:pt>
                <c:pt idx="140">
                  <c:v>56.919400000000003</c:v>
                </c:pt>
                <c:pt idx="141">
                  <c:v>57.3262</c:v>
                </c:pt>
                <c:pt idx="142">
                  <c:v>57.732100000000003</c:v>
                </c:pt>
                <c:pt idx="143">
                  <c:v>58.139099999999999</c:v>
                </c:pt>
                <c:pt idx="144">
                  <c:v>58.5471</c:v>
                </c:pt>
                <c:pt idx="145">
                  <c:v>58.948999999999998</c:v>
                </c:pt>
                <c:pt idx="146">
                  <c:v>59.362900000000003</c:v>
                </c:pt>
                <c:pt idx="147">
                  <c:v>59.7637</c:v>
                </c:pt>
                <c:pt idx="148">
                  <c:v>60.168700000000001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  <c:pt idx="75">
                  <c:v>3.0793500000000003</c:v>
                </c:pt>
                <c:pt idx="76">
                  <c:v>3.08203</c:v>
                </c:pt>
                <c:pt idx="77">
                  <c:v>3.0835699999999999</c:v>
                </c:pt>
                <c:pt idx="78">
                  <c:v>3.0880900000000002</c:v>
                </c:pt>
                <c:pt idx="79">
                  <c:v>3.0952000000000002</c:v>
                </c:pt>
                <c:pt idx="80">
                  <c:v>3.10595</c:v>
                </c:pt>
                <c:pt idx="81">
                  <c:v>3.1193399999999998</c:v>
                </c:pt>
                <c:pt idx="82">
                  <c:v>3.1339399999999999</c:v>
                </c:pt>
                <c:pt idx="83">
                  <c:v>3.1465700000000001</c:v>
                </c:pt>
                <c:pt idx="84">
                  <c:v>3.1593</c:v>
                </c:pt>
                <c:pt idx="85">
                  <c:v>3.1678299999999999</c:v>
                </c:pt>
                <c:pt idx="86">
                  <c:v>3.1706799999999999</c:v>
                </c:pt>
                <c:pt idx="87">
                  <c:v>3.17136</c:v>
                </c:pt>
                <c:pt idx="88">
                  <c:v>3.1753799999999996</c:v>
                </c:pt>
                <c:pt idx="89">
                  <c:v>3.1808399999999999</c:v>
                </c:pt>
                <c:pt idx="90">
                  <c:v>3.18668</c:v>
                </c:pt>
                <c:pt idx="91">
                  <c:v>3.19258</c:v>
                </c:pt>
                <c:pt idx="92">
                  <c:v>3.1997</c:v>
                </c:pt>
                <c:pt idx="93">
                  <c:v>3.2083200000000001</c:v>
                </c:pt>
                <c:pt idx="94">
                  <c:v>3.21563</c:v>
                </c:pt>
                <c:pt idx="95">
                  <c:v>3.2230699999999999</c:v>
                </c:pt>
                <c:pt idx="96">
                  <c:v>3.2320900000000004</c:v>
                </c:pt>
                <c:pt idx="97">
                  <c:v>3.2403</c:v>
                </c:pt>
                <c:pt idx="98">
                  <c:v>3.24532</c:v>
                </c:pt>
                <c:pt idx="99">
                  <c:v>3.24892</c:v>
                </c:pt>
                <c:pt idx="100">
                  <c:v>3.2523</c:v>
                </c:pt>
                <c:pt idx="101">
                  <c:v>3.2523999999999997</c:v>
                </c:pt>
                <c:pt idx="102">
                  <c:v>3.2518000000000002</c:v>
                </c:pt>
                <c:pt idx="103">
                  <c:v>3.2505699999999997</c:v>
                </c:pt>
                <c:pt idx="104">
                  <c:v>3.2488000000000001</c:v>
                </c:pt>
                <c:pt idx="105">
                  <c:v>3.2458100000000001</c:v>
                </c:pt>
                <c:pt idx="106">
                  <c:v>3.2434600000000002</c:v>
                </c:pt>
                <c:pt idx="107">
                  <c:v>3.2437</c:v>
                </c:pt>
                <c:pt idx="108">
                  <c:v>3.24526</c:v>
                </c:pt>
                <c:pt idx="109">
                  <c:v>3.24491</c:v>
                </c:pt>
                <c:pt idx="110">
                  <c:v>3.2417400000000001</c:v>
                </c:pt>
                <c:pt idx="111">
                  <c:v>3.2421899999999999</c:v>
                </c:pt>
                <c:pt idx="112">
                  <c:v>3.2456499999999999</c:v>
                </c:pt>
                <c:pt idx="113">
                  <c:v>3.24674</c:v>
                </c:pt>
                <c:pt idx="114">
                  <c:v>3.2463899999999999</c:v>
                </c:pt>
                <c:pt idx="115">
                  <c:v>3.2423099999999998</c:v>
                </c:pt>
                <c:pt idx="116">
                  <c:v>3.2369599999999998</c:v>
                </c:pt>
                <c:pt idx="117">
                  <c:v>3.2271000000000001</c:v>
                </c:pt>
                <c:pt idx="118">
                  <c:v>3.2189000000000001</c:v>
                </c:pt>
                <c:pt idx="119">
                  <c:v>3.2142300000000001</c:v>
                </c:pt>
                <c:pt idx="120">
                  <c:v>3.2110599999999998</c:v>
                </c:pt>
                <c:pt idx="121">
                  <c:v>3.2076500000000001</c:v>
                </c:pt>
                <c:pt idx="122">
                  <c:v>3.1985200000000003</c:v>
                </c:pt>
                <c:pt idx="123">
                  <c:v>3.18912</c:v>
                </c:pt>
                <c:pt idx="124">
                  <c:v>3.18343</c:v>
                </c:pt>
                <c:pt idx="125">
                  <c:v>3.18025</c:v>
                </c:pt>
                <c:pt idx="126">
                  <c:v>3.1789899999999998</c:v>
                </c:pt>
                <c:pt idx="127">
                  <c:v>3.1791599999999995</c:v>
                </c:pt>
                <c:pt idx="128">
                  <c:v>3.1788499999999997</c:v>
                </c:pt>
                <c:pt idx="129">
                  <c:v>3.1776</c:v>
                </c:pt>
                <c:pt idx="130">
                  <c:v>3.1768000000000001</c:v>
                </c:pt>
                <c:pt idx="131">
                  <c:v>3.1727100000000004</c:v>
                </c:pt>
                <c:pt idx="132">
                  <c:v>3.16526</c:v>
                </c:pt>
                <c:pt idx="133">
                  <c:v>3.1572</c:v>
                </c:pt>
                <c:pt idx="134">
                  <c:v>3.1511899999999997</c:v>
                </c:pt>
                <c:pt idx="135">
                  <c:v>3.1504900000000005</c:v>
                </c:pt>
                <c:pt idx="136">
                  <c:v>3.1495899999999999</c:v>
                </c:pt>
                <c:pt idx="137">
                  <c:v>3.1465300000000003</c:v>
                </c:pt>
                <c:pt idx="138">
                  <c:v>3.1420300000000001</c:v>
                </c:pt>
                <c:pt idx="139">
                  <c:v>3.1373199999999999</c:v>
                </c:pt>
                <c:pt idx="140">
                  <c:v>3.1361499999999998</c:v>
                </c:pt>
                <c:pt idx="141">
                  <c:v>3.13673</c:v>
                </c:pt>
                <c:pt idx="142">
                  <c:v>3.1449199999999999</c:v>
                </c:pt>
                <c:pt idx="143">
                  <c:v>3.1530200000000002</c:v>
                </c:pt>
                <c:pt idx="144">
                  <c:v>3.1535400000000005</c:v>
                </c:pt>
                <c:pt idx="145">
                  <c:v>3.1436199999999999</c:v>
                </c:pt>
                <c:pt idx="146">
                  <c:v>3.11808</c:v>
                </c:pt>
                <c:pt idx="147">
                  <c:v>3.1166399999999999</c:v>
                </c:pt>
                <c:pt idx="148">
                  <c:v>3.1122499999999995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</c:v>
                </c:pt>
                <c:pt idx="1">
                  <c:v>30.6374</c:v>
                </c:pt>
                <c:pt idx="2">
                  <c:v>31.017199999999999</c:v>
                </c:pt>
                <c:pt idx="3">
                  <c:v>31.390999999999998</c:v>
                </c:pt>
                <c:pt idx="4">
                  <c:v>31.773499999999999</c:v>
                </c:pt>
                <c:pt idx="5">
                  <c:v>32.140099999999997</c:v>
                </c:pt>
                <c:pt idx="6">
                  <c:v>32.544199999999996</c:v>
                </c:pt>
                <c:pt idx="7">
                  <c:v>32.9651</c:v>
                </c:pt>
                <c:pt idx="8">
                  <c:v>33.359099999999998</c:v>
                </c:pt>
                <c:pt idx="9">
                  <c:v>33.772100000000002</c:v>
                </c:pt>
                <c:pt idx="10">
                  <c:v>34.169600000000003</c:v>
                </c:pt>
                <c:pt idx="11">
                  <c:v>34.5745</c:v>
                </c:pt>
                <c:pt idx="12">
                  <c:v>34.997500000000002</c:v>
                </c:pt>
                <c:pt idx="13">
                  <c:v>35.3904</c:v>
                </c:pt>
                <c:pt idx="14">
                  <c:v>35.795400000000001</c:v>
                </c:pt>
                <c:pt idx="15">
                  <c:v>36.205300000000001</c:v>
                </c:pt>
                <c:pt idx="16">
                  <c:v>36.606699999999996</c:v>
                </c:pt>
                <c:pt idx="17">
                  <c:v>37.012300000000003</c:v>
                </c:pt>
                <c:pt idx="18">
                  <c:v>37.418900000000001</c:v>
                </c:pt>
                <c:pt idx="19">
                  <c:v>37.826999999999998</c:v>
                </c:pt>
                <c:pt idx="20">
                  <c:v>38.231000000000002</c:v>
                </c:pt>
                <c:pt idx="21">
                  <c:v>38.636899999999997</c:v>
                </c:pt>
                <c:pt idx="22">
                  <c:v>39.044199999999996</c:v>
                </c:pt>
                <c:pt idx="23">
                  <c:v>39.448799999999999</c:v>
                </c:pt>
                <c:pt idx="24">
                  <c:v>39.855600000000003</c:v>
                </c:pt>
                <c:pt idx="25">
                  <c:v>40.263399999999997</c:v>
                </c:pt>
                <c:pt idx="26">
                  <c:v>40.668399999999998</c:v>
                </c:pt>
                <c:pt idx="27">
                  <c:v>41.073500000000003</c:v>
                </c:pt>
                <c:pt idx="28">
                  <c:v>41.4831</c:v>
                </c:pt>
                <c:pt idx="29">
                  <c:v>41.891100000000002</c:v>
                </c:pt>
                <c:pt idx="30">
                  <c:v>42.313000000000002</c:v>
                </c:pt>
                <c:pt idx="31">
                  <c:v>42.697000000000003</c:v>
                </c:pt>
                <c:pt idx="32">
                  <c:v>43.107100000000003</c:v>
                </c:pt>
                <c:pt idx="33">
                  <c:v>43.511800000000001</c:v>
                </c:pt>
                <c:pt idx="34">
                  <c:v>43.919699999999999</c:v>
                </c:pt>
                <c:pt idx="35">
                  <c:v>44.328600000000002</c:v>
                </c:pt>
                <c:pt idx="36">
                  <c:v>44.749699999999997</c:v>
                </c:pt>
                <c:pt idx="37">
                  <c:v>45.134500000000003</c:v>
                </c:pt>
                <c:pt idx="38">
                  <c:v>45.542400000000001</c:v>
                </c:pt>
                <c:pt idx="39">
                  <c:v>45.954500000000003</c:v>
                </c:pt>
                <c:pt idx="40">
                  <c:v>46.3553</c:v>
                </c:pt>
                <c:pt idx="41">
                  <c:v>46.763599999999997</c:v>
                </c:pt>
                <c:pt idx="42">
                  <c:v>47.169600000000003</c:v>
                </c:pt>
                <c:pt idx="43">
                  <c:v>47.575400000000002</c:v>
                </c:pt>
                <c:pt idx="44">
                  <c:v>47.9876</c:v>
                </c:pt>
                <c:pt idx="45">
                  <c:v>48.3902</c:v>
                </c:pt>
                <c:pt idx="46">
                  <c:v>48.793100000000003</c:v>
                </c:pt>
                <c:pt idx="47">
                  <c:v>49.195999999999998</c:v>
                </c:pt>
                <c:pt idx="48">
                  <c:v>49.6068</c:v>
                </c:pt>
                <c:pt idx="49">
                  <c:v>50.010399999999997</c:v>
                </c:pt>
                <c:pt idx="50">
                  <c:v>50.418900000000001</c:v>
                </c:pt>
                <c:pt idx="51">
                  <c:v>50.826599999999999</c:v>
                </c:pt>
                <c:pt idx="52">
                  <c:v>51.229599999999998</c:v>
                </c:pt>
                <c:pt idx="53">
                  <c:v>51.635899999999999</c:v>
                </c:pt>
                <c:pt idx="54">
                  <c:v>52.047400000000003</c:v>
                </c:pt>
                <c:pt idx="55">
                  <c:v>52.451300000000003</c:v>
                </c:pt>
                <c:pt idx="56">
                  <c:v>52.856200000000001</c:v>
                </c:pt>
                <c:pt idx="57">
                  <c:v>53.263100000000001</c:v>
                </c:pt>
                <c:pt idx="58">
                  <c:v>53.665100000000002</c:v>
                </c:pt>
                <c:pt idx="59">
                  <c:v>54.0749</c:v>
                </c:pt>
                <c:pt idx="60">
                  <c:v>54.481900000000003</c:v>
                </c:pt>
                <c:pt idx="61">
                  <c:v>54.886699999999998</c:v>
                </c:pt>
                <c:pt idx="62">
                  <c:v>55.292700000000004</c:v>
                </c:pt>
                <c:pt idx="63">
                  <c:v>55.702599999999997</c:v>
                </c:pt>
                <c:pt idx="64">
                  <c:v>56.1066</c:v>
                </c:pt>
                <c:pt idx="65">
                  <c:v>56.512599999999999</c:v>
                </c:pt>
                <c:pt idx="66">
                  <c:v>56.919400000000003</c:v>
                </c:pt>
                <c:pt idx="67">
                  <c:v>57.3262</c:v>
                </c:pt>
                <c:pt idx="68">
                  <c:v>57.732100000000003</c:v>
                </c:pt>
                <c:pt idx="69">
                  <c:v>58.139099999999999</c:v>
                </c:pt>
                <c:pt idx="70">
                  <c:v>58.5471</c:v>
                </c:pt>
                <c:pt idx="71">
                  <c:v>58.948999999999998</c:v>
                </c:pt>
                <c:pt idx="72">
                  <c:v>59.362900000000003</c:v>
                </c:pt>
                <c:pt idx="73">
                  <c:v>59.7637</c:v>
                </c:pt>
                <c:pt idx="74">
                  <c:v>60.168700000000001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3.0753900000000001</c:v>
                </c:pt>
                <c:pt idx="1">
                  <c:v>3.0793500000000003</c:v>
                </c:pt>
                <c:pt idx="2">
                  <c:v>3.08203</c:v>
                </c:pt>
                <c:pt idx="3">
                  <c:v>3.0835699999999999</c:v>
                </c:pt>
                <c:pt idx="4">
                  <c:v>3.0880900000000002</c:v>
                </c:pt>
                <c:pt idx="5">
                  <c:v>3.0952000000000002</c:v>
                </c:pt>
                <c:pt idx="6">
                  <c:v>3.10595</c:v>
                </c:pt>
                <c:pt idx="7">
                  <c:v>3.1193399999999998</c:v>
                </c:pt>
                <c:pt idx="8">
                  <c:v>3.1339399999999999</c:v>
                </c:pt>
                <c:pt idx="9">
                  <c:v>3.1465700000000001</c:v>
                </c:pt>
                <c:pt idx="10">
                  <c:v>3.1593</c:v>
                </c:pt>
                <c:pt idx="11">
                  <c:v>3.1678299999999999</c:v>
                </c:pt>
                <c:pt idx="12">
                  <c:v>3.1706799999999999</c:v>
                </c:pt>
                <c:pt idx="13">
                  <c:v>3.17136</c:v>
                </c:pt>
                <c:pt idx="14">
                  <c:v>3.1753799999999996</c:v>
                </c:pt>
                <c:pt idx="15">
                  <c:v>3.1808399999999999</c:v>
                </c:pt>
                <c:pt idx="16">
                  <c:v>3.18668</c:v>
                </c:pt>
                <c:pt idx="17">
                  <c:v>3.19258</c:v>
                </c:pt>
                <c:pt idx="18">
                  <c:v>3.1997</c:v>
                </c:pt>
                <c:pt idx="19">
                  <c:v>3.2083200000000001</c:v>
                </c:pt>
                <c:pt idx="20">
                  <c:v>3.21563</c:v>
                </c:pt>
                <c:pt idx="21">
                  <c:v>3.2230699999999999</c:v>
                </c:pt>
                <c:pt idx="22">
                  <c:v>3.2320900000000004</c:v>
                </c:pt>
                <c:pt idx="23">
                  <c:v>3.2403</c:v>
                </c:pt>
                <c:pt idx="24">
                  <c:v>3.24532</c:v>
                </c:pt>
                <c:pt idx="25">
                  <c:v>3.24892</c:v>
                </c:pt>
                <c:pt idx="26">
                  <c:v>3.2523</c:v>
                </c:pt>
                <c:pt idx="27">
                  <c:v>3.2523999999999997</c:v>
                </c:pt>
                <c:pt idx="28">
                  <c:v>3.2518000000000002</c:v>
                </c:pt>
                <c:pt idx="29">
                  <c:v>3.2505699999999997</c:v>
                </c:pt>
                <c:pt idx="30">
                  <c:v>3.2488000000000001</c:v>
                </c:pt>
                <c:pt idx="31">
                  <c:v>3.2458100000000001</c:v>
                </c:pt>
                <c:pt idx="32">
                  <c:v>3.2434600000000002</c:v>
                </c:pt>
                <c:pt idx="33">
                  <c:v>3.2437</c:v>
                </c:pt>
                <c:pt idx="34">
                  <c:v>3.24526</c:v>
                </c:pt>
                <c:pt idx="35">
                  <c:v>3.24491</c:v>
                </c:pt>
                <c:pt idx="36">
                  <c:v>3.2417400000000001</c:v>
                </c:pt>
                <c:pt idx="37">
                  <c:v>3.2421899999999999</c:v>
                </c:pt>
                <c:pt idx="38">
                  <c:v>3.2456499999999999</c:v>
                </c:pt>
                <c:pt idx="39">
                  <c:v>3.24674</c:v>
                </c:pt>
                <c:pt idx="40">
                  <c:v>3.2463899999999999</c:v>
                </c:pt>
                <c:pt idx="41">
                  <c:v>3.2423099999999998</c:v>
                </c:pt>
                <c:pt idx="42">
                  <c:v>3.2369599999999998</c:v>
                </c:pt>
                <c:pt idx="43">
                  <c:v>3.2271000000000001</c:v>
                </c:pt>
                <c:pt idx="44">
                  <c:v>3.2189000000000001</c:v>
                </c:pt>
                <c:pt idx="45">
                  <c:v>3.2142300000000001</c:v>
                </c:pt>
                <c:pt idx="46">
                  <c:v>3.2110599999999998</c:v>
                </c:pt>
                <c:pt idx="47">
                  <c:v>3.2076500000000001</c:v>
                </c:pt>
                <c:pt idx="48">
                  <c:v>3.1985200000000003</c:v>
                </c:pt>
                <c:pt idx="49">
                  <c:v>3.18912</c:v>
                </c:pt>
                <c:pt idx="50">
                  <c:v>3.18343</c:v>
                </c:pt>
                <c:pt idx="51">
                  <c:v>3.18025</c:v>
                </c:pt>
                <c:pt idx="52">
                  <c:v>3.1789899999999998</c:v>
                </c:pt>
                <c:pt idx="53">
                  <c:v>3.1791599999999995</c:v>
                </c:pt>
                <c:pt idx="54">
                  <c:v>3.1788499999999997</c:v>
                </c:pt>
                <c:pt idx="55">
                  <c:v>3.1776</c:v>
                </c:pt>
                <c:pt idx="56">
                  <c:v>3.1768000000000001</c:v>
                </c:pt>
                <c:pt idx="57">
                  <c:v>3.1727100000000004</c:v>
                </c:pt>
                <c:pt idx="58">
                  <c:v>3.16526</c:v>
                </c:pt>
                <c:pt idx="59">
                  <c:v>3.1572</c:v>
                </c:pt>
                <c:pt idx="60">
                  <c:v>3.1511899999999997</c:v>
                </c:pt>
                <c:pt idx="61">
                  <c:v>3.1504900000000005</c:v>
                </c:pt>
                <c:pt idx="62">
                  <c:v>3.1495899999999999</c:v>
                </c:pt>
                <c:pt idx="63">
                  <c:v>3.1465300000000003</c:v>
                </c:pt>
                <c:pt idx="64">
                  <c:v>3.1420300000000001</c:v>
                </c:pt>
                <c:pt idx="65">
                  <c:v>3.1373199999999999</c:v>
                </c:pt>
                <c:pt idx="66">
                  <c:v>3.1361499999999998</c:v>
                </c:pt>
                <c:pt idx="67">
                  <c:v>3.13673</c:v>
                </c:pt>
                <c:pt idx="68">
                  <c:v>3.1449199999999999</c:v>
                </c:pt>
                <c:pt idx="69">
                  <c:v>3.1530200000000002</c:v>
                </c:pt>
                <c:pt idx="70">
                  <c:v>3.1535400000000005</c:v>
                </c:pt>
                <c:pt idx="71">
                  <c:v>3.1436199999999999</c:v>
                </c:pt>
                <c:pt idx="72">
                  <c:v>3.11808</c:v>
                </c:pt>
                <c:pt idx="73">
                  <c:v>3.1166399999999999</c:v>
                </c:pt>
                <c:pt idx="74">
                  <c:v>3.1122499999999995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15.042175</c:v>
                </c:pt>
                <c:pt idx="1">
                  <c:v>45.126525000000001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2.6173402702702706</c:v>
                </c:pt>
                <c:pt idx="1">
                  <c:v>3.1838527027027022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  <c:pt idx="75">
                  <c:v>30.6374</c:v>
                </c:pt>
                <c:pt idx="76">
                  <c:v>31.017199999999999</c:v>
                </c:pt>
                <c:pt idx="77">
                  <c:v>31.390999999999998</c:v>
                </c:pt>
                <c:pt idx="78">
                  <c:v>31.773499999999999</c:v>
                </c:pt>
                <c:pt idx="79">
                  <c:v>32.140099999999997</c:v>
                </c:pt>
                <c:pt idx="80">
                  <c:v>32.544199999999996</c:v>
                </c:pt>
                <c:pt idx="81">
                  <c:v>32.9651</c:v>
                </c:pt>
                <c:pt idx="82">
                  <c:v>33.359099999999998</c:v>
                </c:pt>
                <c:pt idx="83">
                  <c:v>33.772100000000002</c:v>
                </c:pt>
                <c:pt idx="84">
                  <c:v>34.169600000000003</c:v>
                </c:pt>
                <c:pt idx="85">
                  <c:v>34.5745</c:v>
                </c:pt>
                <c:pt idx="86">
                  <c:v>34.997500000000002</c:v>
                </c:pt>
                <c:pt idx="87">
                  <c:v>35.3904</c:v>
                </c:pt>
                <c:pt idx="88">
                  <c:v>35.795400000000001</c:v>
                </c:pt>
                <c:pt idx="89">
                  <c:v>36.205300000000001</c:v>
                </c:pt>
                <c:pt idx="90">
                  <c:v>36.606699999999996</c:v>
                </c:pt>
                <c:pt idx="91">
                  <c:v>37.012300000000003</c:v>
                </c:pt>
                <c:pt idx="92">
                  <c:v>37.418900000000001</c:v>
                </c:pt>
                <c:pt idx="93">
                  <c:v>37.826999999999998</c:v>
                </c:pt>
                <c:pt idx="94">
                  <c:v>38.231000000000002</c:v>
                </c:pt>
                <c:pt idx="95">
                  <c:v>38.636899999999997</c:v>
                </c:pt>
                <c:pt idx="96">
                  <c:v>39.044199999999996</c:v>
                </c:pt>
                <c:pt idx="97">
                  <c:v>39.448799999999999</c:v>
                </c:pt>
                <c:pt idx="98">
                  <c:v>39.855600000000003</c:v>
                </c:pt>
                <c:pt idx="99">
                  <c:v>40.263399999999997</c:v>
                </c:pt>
                <c:pt idx="100">
                  <c:v>40.668399999999998</c:v>
                </c:pt>
                <c:pt idx="101">
                  <c:v>41.073500000000003</c:v>
                </c:pt>
                <c:pt idx="102">
                  <c:v>41.4831</c:v>
                </c:pt>
                <c:pt idx="103">
                  <c:v>41.891100000000002</c:v>
                </c:pt>
                <c:pt idx="104">
                  <c:v>42.313000000000002</c:v>
                </c:pt>
                <c:pt idx="105">
                  <c:v>42.697000000000003</c:v>
                </c:pt>
                <c:pt idx="106">
                  <c:v>43.107100000000003</c:v>
                </c:pt>
                <c:pt idx="107">
                  <c:v>43.511800000000001</c:v>
                </c:pt>
                <c:pt idx="108">
                  <c:v>43.919699999999999</c:v>
                </c:pt>
                <c:pt idx="109">
                  <c:v>44.328600000000002</c:v>
                </c:pt>
                <c:pt idx="110">
                  <c:v>44.749699999999997</c:v>
                </c:pt>
                <c:pt idx="111">
                  <c:v>45.134500000000003</c:v>
                </c:pt>
                <c:pt idx="112">
                  <c:v>45.542400000000001</c:v>
                </c:pt>
                <c:pt idx="113">
                  <c:v>45.954500000000003</c:v>
                </c:pt>
                <c:pt idx="114">
                  <c:v>46.3553</c:v>
                </c:pt>
                <c:pt idx="115">
                  <c:v>46.763599999999997</c:v>
                </c:pt>
                <c:pt idx="116">
                  <c:v>47.169600000000003</c:v>
                </c:pt>
                <c:pt idx="117">
                  <c:v>47.575400000000002</c:v>
                </c:pt>
                <c:pt idx="118">
                  <c:v>47.9876</c:v>
                </c:pt>
                <c:pt idx="119">
                  <c:v>48.3902</c:v>
                </c:pt>
                <c:pt idx="120">
                  <c:v>48.793100000000003</c:v>
                </c:pt>
                <c:pt idx="121">
                  <c:v>49.195999999999998</c:v>
                </c:pt>
                <c:pt idx="122">
                  <c:v>49.6068</c:v>
                </c:pt>
                <c:pt idx="123">
                  <c:v>50.010399999999997</c:v>
                </c:pt>
                <c:pt idx="124">
                  <c:v>50.418900000000001</c:v>
                </c:pt>
                <c:pt idx="125">
                  <c:v>50.826599999999999</c:v>
                </c:pt>
                <c:pt idx="126">
                  <c:v>51.229599999999998</c:v>
                </c:pt>
                <c:pt idx="127">
                  <c:v>51.635899999999999</c:v>
                </c:pt>
                <c:pt idx="128">
                  <c:v>52.047400000000003</c:v>
                </c:pt>
                <c:pt idx="129">
                  <c:v>52.451300000000003</c:v>
                </c:pt>
                <c:pt idx="130">
                  <c:v>52.856200000000001</c:v>
                </c:pt>
                <c:pt idx="131">
                  <c:v>53.263100000000001</c:v>
                </c:pt>
                <c:pt idx="132">
                  <c:v>53.665100000000002</c:v>
                </c:pt>
                <c:pt idx="133">
                  <c:v>54.0749</c:v>
                </c:pt>
                <c:pt idx="134">
                  <c:v>54.481900000000003</c:v>
                </c:pt>
                <c:pt idx="135">
                  <c:v>54.886699999999998</c:v>
                </c:pt>
                <c:pt idx="136">
                  <c:v>55.292700000000004</c:v>
                </c:pt>
                <c:pt idx="137">
                  <c:v>55.702599999999997</c:v>
                </c:pt>
                <c:pt idx="138">
                  <c:v>56.1066</c:v>
                </c:pt>
                <c:pt idx="139">
                  <c:v>56.512599999999999</c:v>
                </c:pt>
                <c:pt idx="140">
                  <c:v>56.919400000000003</c:v>
                </c:pt>
                <c:pt idx="141">
                  <c:v>57.3262</c:v>
                </c:pt>
                <c:pt idx="142">
                  <c:v>57.732100000000003</c:v>
                </c:pt>
                <c:pt idx="143">
                  <c:v>58.139099999999999</c:v>
                </c:pt>
                <c:pt idx="144">
                  <c:v>58.5471</c:v>
                </c:pt>
                <c:pt idx="145">
                  <c:v>58.948999999999998</c:v>
                </c:pt>
                <c:pt idx="146">
                  <c:v>59.362900000000003</c:v>
                </c:pt>
                <c:pt idx="147">
                  <c:v>59.7637</c:v>
                </c:pt>
                <c:pt idx="148">
                  <c:v>60.168700000000001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  <c:pt idx="75">
                  <c:v>51.750500000000002</c:v>
                </c:pt>
                <c:pt idx="76">
                  <c:v>51.655700000000003</c:v>
                </c:pt>
                <c:pt idx="77">
                  <c:v>51.621700000000004</c:v>
                </c:pt>
                <c:pt idx="78">
                  <c:v>51.519000000000005</c:v>
                </c:pt>
                <c:pt idx="79">
                  <c:v>51.333500000000001</c:v>
                </c:pt>
                <c:pt idx="80">
                  <c:v>51.023399999999995</c:v>
                </c:pt>
                <c:pt idx="81">
                  <c:v>50.646299999999997</c:v>
                </c:pt>
                <c:pt idx="82">
                  <c:v>50.259299999999996</c:v>
                </c:pt>
                <c:pt idx="83">
                  <c:v>49.925599999999996</c:v>
                </c:pt>
                <c:pt idx="84">
                  <c:v>49.682500000000005</c:v>
                </c:pt>
                <c:pt idx="85">
                  <c:v>49.498399999999997</c:v>
                </c:pt>
                <c:pt idx="86">
                  <c:v>49.375999999999998</c:v>
                </c:pt>
                <c:pt idx="87">
                  <c:v>49.220999999999997</c:v>
                </c:pt>
                <c:pt idx="88">
                  <c:v>48.987499999999997</c:v>
                </c:pt>
                <c:pt idx="89">
                  <c:v>48.671599999999998</c:v>
                </c:pt>
                <c:pt idx="90">
                  <c:v>48.3033</c:v>
                </c:pt>
                <c:pt idx="91">
                  <c:v>47.962700000000005</c:v>
                </c:pt>
                <c:pt idx="92">
                  <c:v>47.6907</c:v>
                </c:pt>
                <c:pt idx="93">
                  <c:v>47.544199999999996</c:v>
                </c:pt>
                <c:pt idx="94">
                  <c:v>47.506999999999998</c:v>
                </c:pt>
                <c:pt idx="95">
                  <c:v>47.482100000000003</c:v>
                </c:pt>
                <c:pt idx="96">
                  <c:v>47.462700000000005</c:v>
                </c:pt>
                <c:pt idx="97">
                  <c:v>47.4251</c:v>
                </c:pt>
                <c:pt idx="98">
                  <c:v>47.4465</c:v>
                </c:pt>
                <c:pt idx="99">
                  <c:v>47.479599999999998</c:v>
                </c:pt>
                <c:pt idx="100">
                  <c:v>47.451000000000001</c:v>
                </c:pt>
                <c:pt idx="101">
                  <c:v>47.393000000000001</c:v>
                </c:pt>
                <c:pt idx="102">
                  <c:v>47.3048</c:v>
                </c:pt>
                <c:pt idx="103">
                  <c:v>47.241599999999998</c:v>
                </c:pt>
                <c:pt idx="104">
                  <c:v>47.220199999999998</c:v>
                </c:pt>
                <c:pt idx="105">
                  <c:v>47.2774</c:v>
                </c:pt>
                <c:pt idx="106">
                  <c:v>47.374500000000005</c:v>
                </c:pt>
                <c:pt idx="107">
                  <c:v>47.549599999999998</c:v>
                </c:pt>
                <c:pt idx="108">
                  <c:v>47.713499999999996</c:v>
                </c:pt>
                <c:pt idx="109">
                  <c:v>47.8262</c:v>
                </c:pt>
                <c:pt idx="110">
                  <c:v>47.897400000000005</c:v>
                </c:pt>
                <c:pt idx="111">
                  <c:v>47.909300000000002</c:v>
                </c:pt>
                <c:pt idx="112">
                  <c:v>47.944099999999999</c:v>
                </c:pt>
                <c:pt idx="113">
                  <c:v>48.026600000000002</c:v>
                </c:pt>
                <c:pt idx="114">
                  <c:v>48.173899999999996</c:v>
                </c:pt>
                <c:pt idx="115">
                  <c:v>48.343000000000004</c:v>
                </c:pt>
                <c:pt idx="116">
                  <c:v>48.467100000000002</c:v>
                </c:pt>
                <c:pt idx="117">
                  <c:v>48.526599999999995</c:v>
                </c:pt>
                <c:pt idx="118">
                  <c:v>48.5657</c:v>
                </c:pt>
                <c:pt idx="119">
                  <c:v>48.548200000000001</c:v>
                </c:pt>
                <c:pt idx="120">
                  <c:v>48.520299999999999</c:v>
                </c:pt>
                <c:pt idx="121">
                  <c:v>48.571300000000001</c:v>
                </c:pt>
                <c:pt idx="122">
                  <c:v>48.7211</c:v>
                </c:pt>
                <c:pt idx="123">
                  <c:v>48.8095</c:v>
                </c:pt>
                <c:pt idx="124">
                  <c:v>48.834300000000006</c:v>
                </c:pt>
                <c:pt idx="125">
                  <c:v>48.929699999999997</c:v>
                </c:pt>
                <c:pt idx="126">
                  <c:v>49.009500000000003</c:v>
                </c:pt>
                <c:pt idx="127">
                  <c:v>49.081699999999998</c:v>
                </c:pt>
                <c:pt idx="128">
                  <c:v>49.146599999999999</c:v>
                </c:pt>
                <c:pt idx="129">
                  <c:v>49.200099999999999</c:v>
                </c:pt>
                <c:pt idx="130">
                  <c:v>49.2239</c:v>
                </c:pt>
                <c:pt idx="131">
                  <c:v>49.297400000000003</c:v>
                </c:pt>
                <c:pt idx="132">
                  <c:v>49.340400000000002</c:v>
                </c:pt>
                <c:pt idx="133">
                  <c:v>49.384900000000002</c:v>
                </c:pt>
                <c:pt idx="134">
                  <c:v>49.4131</c:v>
                </c:pt>
                <c:pt idx="135">
                  <c:v>49.417699999999996</c:v>
                </c:pt>
                <c:pt idx="136">
                  <c:v>49.410900000000005</c:v>
                </c:pt>
                <c:pt idx="137">
                  <c:v>49.434400000000004</c:v>
                </c:pt>
                <c:pt idx="138">
                  <c:v>49.4617</c:v>
                </c:pt>
                <c:pt idx="139">
                  <c:v>49.472100000000005</c:v>
                </c:pt>
                <c:pt idx="140">
                  <c:v>49.555900000000001</c:v>
                </c:pt>
                <c:pt idx="141">
                  <c:v>49.749700000000004</c:v>
                </c:pt>
                <c:pt idx="142">
                  <c:v>50.017500000000005</c:v>
                </c:pt>
                <c:pt idx="143">
                  <c:v>50.263899999999992</c:v>
                </c:pt>
                <c:pt idx="144">
                  <c:v>50.441400000000002</c:v>
                </c:pt>
                <c:pt idx="145">
                  <c:v>50.818300000000008</c:v>
                </c:pt>
                <c:pt idx="146">
                  <c:v>50.957900000000002</c:v>
                </c:pt>
                <c:pt idx="147">
                  <c:v>50.433799999999998</c:v>
                </c:pt>
                <c:pt idx="148">
                  <c:v>50.5717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0.38896900000000001</c:v>
                </c:pt>
                <c:pt idx="2">
                  <c:v>0.79472500000000001</c:v>
                </c:pt>
                <c:pt idx="3">
                  <c:v>1.1976500000000001</c:v>
                </c:pt>
                <c:pt idx="4">
                  <c:v>1.6075999999999999</c:v>
                </c:pt>
                <c:pt idx="5">
                  <c:v>2.0154100000000001</c:v>
                </c:pt>
                <c:pt idx="6">
                  <c:v>2.4194300000000002</c:v>
                </c:pt>
                <c:pt idx="7">
                  <c:v>2.8283700000000001</c:v>
                </c:pt>
                <c:pt idx="8">
                  <c:v>3.2325900000000001</c:v>
                </c:pt>
                <c:pt idx="9">
                  <c:v>3.6364299999999998</c:v>
                </c:pt>
                <c:pt idx="10">
                  <c:v>4.0432600000000001</c:v>
                </c:pt>
                <c:pt idx="11">
                  <c:v>4.4521100000000002</c:v>
                </c:pt>
                <c:pt idx="12">
                  <c:v>4.8569100000000001</c:v>
                </c:pt>
                <c:pt idx="13">
                  <c:v>5.2599799999999997</c:v>
                </c:pt>
                <c:pt idx="14">
                  <c:v>5.6687799999999999</c:v>
                </c:pt>
                <c:pt idx="15">
                  <c:v>6.0767100000000003</c:v>
                </c:pt>
                <c:pt idx="16">
                  <c:v>6.4809099999999997</c:v>
                </c:pt>
                <c:pt idx="17">
                  <c:v>6.8879299999999999</c:v>
                </c:pt>
                <c:pt idx="18">
                  <c:v>7.2904400000000003</c:v>
                </c:pt>
                <c:pt idx="19">
                  <c:v>7.7017600000000002</c:v>
                </c:pt>
                <c:pt idx="20">
                  <c:v>8.1073199999999996</c:v>
                </c:pt>
                <c:pt idx="21">
                  <c:v>8.5123899999999999</c:v>
                </c:pt>
                <c:pt idx="22">
                  <c:v>8.9219899999999992</c:v>
                </c:pt>
                <c:pt idx="23">
                  <c:v>9.32897</c:v>
                </c:pt>
                <c:pt idx="24">
                  <c:v>9.7308800000000009</c:v>
                </c:pt>
                <c:pt idx="25">
                  <c:v>10.1379</c:v>
                </c:pt>
                <c:pt idx="26">
                  <c:v>10.541600000000001</c:v>
                </c:pt>
                <c:pt idx="27">
                  <c:v>10.951700000000001</c:v>
                </c:pt>
                <c:pt idx="28">
                  <c:v>11.3574</c:v>
                </c:pt>
                <c:pt idx="29">
                  <c:v>11.7646</c:v>
                </c:pt>
                <c:pt idx="30">
                  <c:v>12.1707</c:v>
                </c:pt>
                <c:pt idx="31">
                  <c:v>12.575200000000001</c:v>
                </c:pt>
                <c:pt idx="32">
                  <c:v>12.982100000000001</c:v>
                </c:pt>
                <c:pt idx="33">
                  <c:v>13.385999999999999</c:v>
                </c:pt>
                <c:pt idx="34">
                  <c:v>13.807</c:v>
                </c:pt>
                <c:pt idx="35">
                  <c:v>14.202</c:v>
                </c:pt>
                <c:pt idx="36">
                  <c:v>14.6044</c:v>
                </c:pt>
                <c:pt idx="37">
                  <c:v>15.0078</c:v>
                </c:pt>
                <c:pt idx="38">
                  <c:v>15.422599999999999</c:v>
                </c:pt>
                <c:pt idx="39">
                  <c:v>15.823600000000001</c:v>
                </c:pt>
                <c:pt idx="40">
                  <c:v>16.230499999999999</c:v>
                </c:pt>
                <c:pt idx="41">
                  <c:v>16.641400000000001</c:v>
                </c:pt>
                <c:pt idx="42">
                  <c:v>17.043199999999999</c:v>
                </c:pt>
                <c:pt idx="43">
                  <c:v>17.4512</c:v>
                </c:pt>
                <c:pt idx="44">
                  <c:v>17.859200000000001</c:v>
                </c:pt>
                <c:pt idx="45">
                  <c:v>18.266200000000001</c:v>
                </c:pt>
                <c:pt idx="46">
                  <c:v>18.6692</c:v>
                </c:pt>
                <c:pt idx="47">
                  <c:v>19.071999999999999</c:v>
                </c:pt>
                <c:pt idx="48">
                  <c:v>19.482900000000001</c:v>
                </c:pt>
                <c:pt idx="49">
                  <c:v>19.895700000000001</c:v>
                </c:pt>
                <c:pt idx="50">
                  <c:v>20.2927</c:v>
                </c:pt>
                <c:pt idx="51">
                  <c:v>20.700600000000001</c:v>
                </c:pt>
                <c:pt idx="52">
                  <c:v>21.110600000000002</c:v>
                </c:pt>
                <c:pt idx="53">
                  <c:v>21.511700000000001</c:v>
                </c:pt>
                <c:pt idx="54">
                  <c:v>21.921500000000002</c:v>
                </c:pt>
                <c:pt idx="55">
                  <c:v>22.3262</c:v>
                </c:pt>
                <c:pt idx="56">
                  <c:v>22.731999999999999</c:v>
                </c:pt>
                <c:pt idx="57">
                  <c:v>23.135200000000001</c:v>
                </c:pt>
                <c:pt idx="58">
                  <c:v>23.544</c:v>
                </c:pt>
                <c:pt idx="59">
                  <c:v>23.956099999999999</c:v>
                </c:pt>
                <c:pt idx="60">
                  <c:v>24.357900000000001</c:v>
                </c:pt>
                <c:pt idx="61">
                  <c:v>24.762799999999999</c:v>
                </c:pt>
                <c:pt idx="62">
                  <c:v>25.166799999999999</c:v>
                </c:pt>
                <c:pt idx="63">
                  <c:v>25.573699999999999</c:v>
                </c:pt>
                <c:pt idx="64">
                  <c:v>25.982500000000002</c:v>
                </c:pt>
                <c:pt idx="65">
                  <c:v>26.389500000000002</c:v>
                </c:pt>
                <c:pt idx="66">
                  <c:v>26.796199999999999</c:v>
                </c:pt>
                <c:pt idx="67">
                  <c:v>27.194900000000001</c:v>
                </c:pt>
                <c:pt idx="68">
                  <c:v>27.6037</c:v>
                </c:pt>
                <c:pt idx="69">
                  <c:v>28.0181</c:v>
                </c:pt>
                <c:pt idx="70">
                  <c:v>28.419</c:v>
                </c:pt>
                <c:pt idx="71">
                  <c:v>28.831800000000001</c:v>
                </c:pt>
                <c:pt idx="72">
                  <c:v>29.230899999999998</c:v>
                </c:pt>
                <c:pt idx="73">
                  <c:v>29.636099999999999</c:v>
                </c:pt>
                <c:pt idx="74">
                  <c:v>30.044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</c:v>
                </c:pt>
                <c:pt idx="1">
                  <c:v>30.6374</c:v>
                </c:pt>
                <c:pt idx="2">
                  <c:v>31.017199999999999</c:v>
                </c:pt>
                <c:pt idx="3">
                  <c:v>31.390999999999998</c:v>
                </c:pt>
                <c:pt idx="4">
                  <c:v>31.773499999999999</c:v>
                </c:pt>
                <c:pt idx="5">
                  <c:v>32.140099999999997</c:v>
                </c:pt>
                <c:pt idx="6">
                  <c:v>32.544199999999996</c:v>
                </c:pt>
                <c:pt idx="7">
                  <c:v>32.9651</c:v>
                </c:pt>
                <c:pt idx="8">
                  <c:v>33.359099999999998</c:v>
                </c:pt>
                <c:pt idx="9">
                  <c:v>33.772100000000002</c:v>
                </c:pt>
                <c:pt idx="10">
                  <c:v>34.169600000000003</c:v>
                </c:pt>
                <c:pt idx="11">
                  <c:v>34.5745</c:v>
                </c:pt>
                <c:pt idx="12">
                  <c:v>34.997500000000002</c:v>
                </c:pt>
                <c:pt idx="13">
                  <c:v>35.3904</c:v>
                </c:pt>
                <c:pt idx="14">
                  <c:v>35.795400000000001</c:v>
                </c:pt>
                <c:pt idx="15">
                  <c:v>36.205300000000001</c:v>
                </c:pt>
                <c:pt idx="16">
                  <c:v>36.606699999999996</c:v>
                </c:pt>
                <c:pt idx="17">
                  <c:v>37.012300000000003</c:v>
                </c:pt>
                <c:pt idx="18">
                  <c:v>37.418900000000001</c:v>
                </c:pt>
                <c:pt idx="19">
                  <c:v>37.826999999999998</c:v>
                </c:pt>
                <c:pt idx="20">
                  <c:v>38.231000000000002</c:v>
                </c:pt>
                <c:pt idx="21">
                  <c:v>38.636899999999997</c:v>
                </c:pt>
                <c:pt idx="22">
                  <c:v>39.044199999999996</c:v>
                </c:pt>
                <c:pt idx="23">
                  <c:v>39.448799999999999</c:v>
                </c:pt>
                <c:pt idx="24">
                  <c:v>39.855600000000003</c:v>
                </c:pt>
                <c:pt idx="25">
                  <c:v>40.263399999999997</c:v>
                </c:pt>
                <c:pt idx="26">
                  <c:v>40.668399999999998</c:v>
                </c:pt>
                <c:pt idx="27">
                  <c:v>41.073500000000003</c:v>
                </c:pt>
                <c:pt idx="28">
                  <c:v>41.4831</c:v>
                </c:pt>
                <c:pt idx="29">
                  <c:v>41.891100000000002</c:v>
                </c:pt>
                <c:pt idx="30">
                  <c:v>42.313000000000002</c:v>
                </c:pt>
                <c:pt idx="31">
                  <c:v>42.697000000000003</c:v>
                </c:pt>
                <c:pt idx="32">
                  <c:v>43.107100000000003</c:v>
                </c:pt>
                <c:pt idx="33">
                  <c:v>43.511800000000001</c:v>
                </c:pt>
                <c:pt idx="34">
                  <c:v>43.919699999999999</c:v>
                </c:pt>
                <c:pt idx="35">
                  <c:v>44.328600000000002</c:v>
                </c:pt>
                <c:pt idx="36">
                  <c:v>44.749699999999997</c:v>
                </c:pt>
                <c:pt idx="37">
                  <c:v>45.134500000000003</c:v>
                </c:pt>
                <c:pt idx="38">
                  <c:v>45.542400000000001</c:v>
                </c:pt>
                <c:pt idx="39">
                  <c:v>45.954500000000003</c:v>
                </c:pt>
                <c:pt idx="40">
                  <c:v>46.3553</c:v>
                </c:pt>
                <c:pt idx="41">
                  <c:v>46.763599999999997</c:v>
                </c:pt>
                <c:pt idx="42">
                  <c:v>47.169600000000003</c:v>
                </c:pt>
                <c:pt idx="43">
                  <c:v>47.575400000000002</c:v>
                </c:pt>
                <c:pt idx="44">
                  <c:v>47.9876</c:v>
                </c:pt>
                <c:pt idx="45">
                  <c:v>48.3902</c:v>
                </c:pt>
                <c:pt idx="46">
                  <c:v>48.793100000000003</c:v>
                </c:pt>
                <c:pt idx="47">
                  <c:v>49.195999999999998</c:v>
                </c:pt>
                <c:pt idx="48">
                  <c:v>49.6068</c:v>
                </c:pt>
                <c:pt idx="49">
                  <c:v>50.010399999999997</c:v>
                </c:pt>
                <c:pt idx="50">
                  <c:v>50.418900000000001</c:v>
                </c:pt>
                <c:pt idx="51">
                  <c:v>50.826599999999999</c:v>
                </c:pt>
                <c:pt idx="52">
                  <c:v>51.229599999999998</c:v>
                </c:pt>
                <c:pt idx="53">
                  <c:v>51.635899999999999</c:v>
                </c:pt>
                <c:pt idx="54">
                  <c:v>52.047400000000003</c:v>
                </c:pt>
                <c:pt idx="55">
                  <c:v>52.451300000000003</c:v>
                </c:pt>
                <c:pt idx="56">
                  <c:v>52.856200000000001</c:v>
                </c:pt>
                <c:pt idx="57">
                  <c:v>53.263100000000001</c:v>
                </c:pt>
                <c:pt idx="58">
                  <c:v>53.665100000000002</c:v>
                </c:pt>
                <c:pt idx="59">
                  <c:v>54.0749</c:v>
                </c:pt>
                <c:pt idx="60">
                  <c:v>54.481900000000003</c:v>
                </c:pt>
                <c:pt idx="61">
                  <c:v>54.886699999999998</c:v>
                </c:pt>
                <c:pt idx="62">
                  <c:v>55.292700000000004</c:v>
                </c:pt>
                <c:pt idx="63">
                  <c:v>55.702599999999997</c:v>
                </c:pt>
                <c:pt idx="64">
                  <c:v>56.1066</c:v>
                </c:pt>
                <c:pt idx="65">
                  <c:v>56.512599999999999</c:v>
                </c:pt>
                <c:pt idx="66">
                  <c:v>56.919400000000003</c:v>
                </c:pt>
                <c:pt idx="67">
                  <c:v>57.3262</c:v>
                </c:pt>
                <c:pt idx="68">
                  <c:v>57.732100000000003</c:v>
                </c:pt>
                <c:pt idx="69">
                  <c:v>58.139099999999999</c:v>
                </c:pt>
                <c:pt idx="70">
                  <c:v>58.5471</c:v>
                </c:pt>
                <c:pt idx="71">
                  <c:v>58.948999999999998</c:v>
                </c:pt>
                <c:pt idx="72">
                  <c:v>59.362900000000003</c:v>
                </c:pt>
                <c:pt idx="73">
                  <c:v>59.7637</c:v>
                </c:pt>
                <c:pt idx="74">
                  <c:v>60.168700000000001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51.959400000000002</c:v>
                </c:pt>
                <c:pt idx="1">
                  <c:v>51.750500000000002</c:v>
                </c:pt>
                <c:pt idx="2">
                  <c:v>51.655700000000003</c:v>
                </c:pt>
                <c:pt idx="3">
                  <c:v>51.621700000000004</c:v>
                </c:pt>
                <c:pt idx="4">
                  <c:v>51.519000000000005</c:v>
                </c:pt>
                <c:pt idx="5">
                  <c:v>51.333500000000001</c:v>
                </c:pt>
                <c:pt idx="6">
                  <c:v>51.023399999999995</c:v>
                </c:pt>
                <c:pt idx="7">
                  <c:v>50.646299999999997</c:v>
                </c:pt>
                <c:pt idx="8">
                  <c:v>50.259299999999996</c:v>
                </c:pt>
                <c:pt idx="9">
                  <c:v>49.925599999999996</c:v>
                </c:pt>
                <c:pt idx="10">
                  <c:v>49.682500000000005</c:v>
                </c:pt>
                <c:pt idx="11">
                  <c:v>49.498399999999997</c:v>
                </c:pt>
                <c:pt idx="12">
                  <c:v>49.375999999999998</c:v>
                </c:pt>
                <c:pt idx="13">
                  <c:v>49.220999999999997</c:v>
                </c:pt>
                <c:pt idx="14">
                  <c:v>48.987499999999997</c:v>
                </c:pt>
                <c:pt idx="15">
                  <c:v>48.671599999999998</c:v>
                </c:pt>
                <c:pt idx="16">
                  <c:v>48.3033</c:v>
                </c:pt>
                <c:pt idx="17">
                  <c:v>47.962700000000005</c:v>
                </c:pt>
                <c:pt idx="18">
                  <c:v>47.6907</c:v>
                </c:pt>
                <c:pt idx="19">
                  <c:v>47.544199999999996</c:v>
                </c:pt>
                <c:pt idx="20">
                  <c:v>47.506999999999998</c:v>
                </c:pt>
                <c:pt idx="21">
                  <c:v>47.482100000000003</c:v>
                </c:pt>
                <c:pt idx="22">
                  <c:v>47.462700000000005</c:v>
                </c:pt>
                <c:pt idx="23">
                  <c:v>47.4251</c:v>
                </c:pt>
                <c:pt idx="24">
                  <c:v>47.4465</c:v>
                </c:pt>
                <c:pt idx="25">
                  <c:v>47.479599999999998</c:v>
                </c:pt>
                <c:pt idx="26">
                  <c:v>47.451000000000001</c:v>
                </c:pt>
                <c:pt idx="27">
                  <c:v>47.393000000000001</c:v>
                </c:pt>
                <c:pt idx="28">
                  <c:v>47.3048</c:v>
                </c:pt>
                <c:pt idx="29">
                  <c:v>47.241599999999998</c:v>
                </c:pt>
                <c:pt idx="30">
                  <c:v>47.220199999999998</c:v>
                </c:pt>
                <c:pt idx="31">
                  <c:v>47.2774</c:v>
                </c:pt>
                <c:pt idx="32">
                  <c:v>47.374500000000005</c:v>
                </c:pt>
                <c:pt idx="33">
                  <c:v>47.549599999999998</c:v>
                </c:pt>
                <c:pt idx="34">
                  <c:v>47.713499999999996</c:v>
                </c:pt>
                <c:pt idx="35">
                  <c:v>47.8262</c:v>
                </c:pt>
                <c:pt idx="36">
                  <c:v>47.897400000000005</c:v>
                </c:pt>
                <c:pt idx="37">
                  <c:v>47.909300000000002</c:v>
                </c:pt>
                <c:pt idx="38">
                  <c:v>47.944099999999999</c:v>
                </c:pt>
                <c:pt idx="39">
                  <c:v>48.026600000000002</c:v>
                </c:pt>
                <c:pt idx="40">
                  <c:v>48.173899999999996</c:v>
                </c:pt>
                <c:pt idx="41">
                  <c:v>48.343000000000004</c:v>
                </c:pt>
                <c:pt idx="42">
                  <c:v>48.467100000000002</c:v>
                </c:pt>
                <c:pt idx="43">
                  <c:v>48.526599999999995</c:v>
                </c:pt>
                <c:pt idx="44">
                  <c:v>48.5657</c:v>
                </c:pt>
                <c:pt idx="45">
                  <c:v>48.548200000000001</c:v>
                </c:pt>
                <c:pt idx="46">
                  <c:v>48.520299999999999</c:v>
                </c:pt>
                <c:pt idx="47">
                  <c:v>48.571300000000001</c:v>
                </c:pt>
                <c:pt idx="48">
                  <c:v>48.7211</c:v>
                </c:pt>
                <c:pt idx="49">
                  <c:v>48.8095</c:v>
                </c:pt>
                <c:pt idx="50">
                  <c:v>48.834300000000006</c:v>
                </c:pt>
                <c:pt idx="51">
                  <c:v>48.929699999999997</c:v>
                </c:pt>
                <c:pt idx="52">
                  <c:v>49.009500000000003</c:v>
                </c:pt>
                <c:pt idx="53">
                  <c:v>49.081699999999998</c:v>
                </c:pt>
                <c:pt idx="54">
                  <c:v>49.146599999999999</c:v>
                </c:pt>
                <c:pt idx="55">
                  <c:v>49.200099999999999</c:v>
                </c:pt>
                <c:pt idx="56">
                  <c:v>49.2239</c:v>
                </c:pt>
                <c:pt idx="57">
                  <c:v>49.297400000000003</c:v>
                </c:pt>
                <c:pt idx="58">
                  <c:v>49.340400000000002</c:v>
                </c:pt>
                <c:pt idx="59">
                  <c:v>49.384900000000002</c:v>
                </c:pt>
                <c:pt idx="60">
                  <c:v>49.4131</c:v>
                </c:pt>
                <c:pt idx="61">
                  <c:v>49.417699999999996</c:v>
                </c:pt>
                <c:pt idx="62">
                  <c:v>49.410900000000005</c:v>
                </c:pt>
                <c:pt idx="63">
                  <c:v>49.434400000000004</c:v>
                </c:pt>
                <c:pt idx="64">
                  <c:v>49.4617</c:v>
                </c:pt>
                <c:pt idx="65">
                  <c:v>49.472100000000005</c:v>
                </c:pt>
                <c:pt idx="66">
                  <c:v>49.555900000000001</c:v>
                </c:pt>
                <c:pt idx="67">
                  <c:v>49.749700000000004</c:v>
                </c:pt>
                <c:pt idx="68">
                  <c:v>50.017500000000005</c:v>
                </c:pt>
                <c:pt idx="69">
                  <c:v>50.263899999999992</c:v>
                </c:pt>
                <c:pt idx="70">
                  <c:v>50.441400000000002</c:v>
                </c:pt>
                <c:pt idx="71">
                  <c:v>50.818300000000008</c:v>
                </c:pt>
                <c:pt idx="72">
                  <c:v>50.957900000000002</c:v>
                </c:pt>
                <c:pt idx="73">
                  <c:v>50.433799999999998</c:v>
                </c:pt>
                <c:pt idx="74">
                  <c:v>50.5717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15.042175</c:v>
                </c:pt>
                <c:pt idx="1">
                  <c:v>45.126525000000001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56.724450000000026</c:v>
                </c:pt>
                <c:pt idx="1">
                  <c:v>48.98794594594596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  <c:pt idx="75">
                  <c:v>3.0793500000000003</c:v>
                </c:pt>
                <c:pt idx="76">
                  <c:v>3.08203</c:v>
                </c:pt>
                <c:pt idx="77">
                  <c:v>3.0835699999999999</c:v>
                </c:pt>
                <c:pt idx="78">
                  <c:v>3.0880900000000002</c:v>
                </c:pt>
                <c:pt idx="79">
                  <c:v>3.0952000000000002</c:v>
                </c:pt>
                <c:pt idx="80">
                  <c:v>3.10595</c:v>
                </c:pt>
                <c:pt idx="81">
                  <c:v>3.1193399999999998</c:v>
                </c:pt>
                <c:pt idx="82">
                  <c:v>3.1339399999999999</c:v>
                </c:pt>
                <c:pt idx="83">
                  <c:v>3.1465700000000001</c:v>
                </c:pt>
                <c:pt idx="84">
                  <c:v>3.1593</c:v>
                </c:pt>
                <c:pt idx="85">
                  <c:v>3.1678299999999999</c:v>
                </c:pt>
                <c:pt idx="86">
                  <c:v>3.1706799999999999</c:v>
                </c:pt>
                <c:pt idx="87">
                  <c:v>3.17136</c:v>
                </c:pt>
                <c:pt idx="88">
                  <c:v>3.1753799999999996</c:v>
                </c:pt>
                <c:pt idx="89">
                  <c:v>3.1808399999999999</c:v>
                </c:pt>
                <c:pt idx="90">
                  <c:v>3.18668</c:v>
                </c:pt>
                <c:pt idx="91">
                  <c:v>3.19258</c:v>
                </c:pt>
                <c:pt idx="92">
                  <c:v>3.1997</c:v>
                </c:pt>
                <c:pt idx="93">
                  <c:v>3.2083200000000001</c:v>
                </c:pt>
                <c:pt idx="94">
                  <c:v>3.21563</c:v>
                </c:pt>
                <c:pt idx="95">
                  <c:v>3.2230699999999999</c:v>
                </c:pt>
                <c:pt idx="96">
                  <c:v>3.2320900000000004</c:v>
                </c:pt>
                <c:pt idx="97">
                  <c:v>3.2403</c:v>
                </c:pt>
                <c:pt idx="98">
                  <c:v>3.24532</c:v>
                </c:pt>
                <c:pt idx="99">
                  <c:v>3.24892</c:v>
                </c:pt>
                <c:pt idx="100">
                  <c:v>3.2523</c:v>
                </c:pt>
                <c:pt idx="101">
                  <c:v>3.2523999999999997</c:v>
                </c:pt>
                <c:pt idx="102">
                  <c:v>3.2518000000000002</c:v>
                </c:pt>
                <c:pt idx="103">
                  <c:v>3.2505699999999997</c:v>
                </c:pt>
                <c:pt idx="104">
                  <c:v>3.2488000000000001</c:v>
                </c:pt>
                <c:pt idx="105">
                  <c:v>3.2458100000000001</c:v>
                </c:pt>
                <c:pt idx="106">
                  <c:v>3.2434600000000002</c:v>
                </c:pt>
                <c:pt idx="107">
                  <c:v>3.2437</c:v>
                </c:pt>
                <c:pt idx="108">
                  <c:v>3.24526</c:v>
                </c:pt>
                <c:pt idx="109">
                  <c:v>3.24491</c:v>
                </c:pt>
                <c:pt idx="110">
                  <c:v>3.2417400000000001</c:v>
                </c:pt>
                <c:pt idx="111">
                  <c:v>3.2421899999999999</c:v>
                </c:pt>
                <c:pt idx="112">
                  <c:v>3.2456499999999999</c:v>
                </c:pt>
                <c:pt idx="113">
                  <c:v>3.24674</c:v>
                </c:pt>
                <c:pt idx="114">
                  <c:v>3.2463899999999999</c:v>
                </c:pt>
                <c:pt idx="115">
                  <c:v>3.2423099999999998</c:v>
                </c:pt>
                <c:pt idx="116">
                  <c:v>3.2369599999999998</c:v>
                </c:pt>
                <c:pt idx="117">
                  <c:v>3.2271000000000001</c:v>
                </c:pt>
                <c:pt idx="118">
                  <c:v>3.2189000000000001</c:v>
                </c:pt>
                <c:pt idx="119">
                  <c:v>3.2142300000000001</c:v>
                </c:pt>
                <c:pt idx="120">
                  <c:v>3.2110599999999998</c:v>
                </c:pt>
                <c:pt idx="121">
                  <c:v>3.2076500000000001</c:v>
                </c:pt>
                <c:pt idx="122">
                  <c:v>3.1985200000000003</c:v>
                </c:pt>
                <c:pt idx="123">
                  <c:v>3.18912</c:v>
                </c:pt>
                <c:pt idx="124">
                  <c:v>3.18343</c:v>
                </c:pt>
                <c:pt idx="125">
                  <c:v>3.18025</c:v>
                </c:pt>
                <c:pt idx="126">
                  <c:v>3.1789899999999998</c:v>
                </c:pt>
                <c:pt idx="127">
                  <c:v>3.1791599999999995</c:v>
                </c:pt>
                <c:pt idx="128">
                  <c:v>3.1788499999999997</c:v>
                </c:pt>
                <c:pt idx="129">
                  <c:v>3.1776</c:v>
                </c:pt>
                <c:pt idx="130">
                  <c:v>3.1768000000000001</c:v>
                </c:pt>
                <c:pt idx="131">
                  <c:v>3.1727100000000004</c:v>
                </c:pt>
                <c:pt idx="132">
                  <c:v>3.16526</c:v>
                </c:pt>
                <c:pt idx="133">
                  <c:v>3.1572</c:v>
                </c:pt>
                <c:pt idx="134">
                  <c:v>3.1511899999999997</c:v>
                </c:pt>
                <c:pt idx="135">
                  <c:v>3.1504900000000005</c:v>
                </c:pt>
                <c:pt idx="136">
                  <c:v>3.1495899999999999</c:v>
                </c:pt>
                <c:pt idx="137">
                  <c:v>3.1465300000000003</c:v>
                </c:pt>
                <c:pt idx="138">
                  <c:v>3.1420300000000001</c:v>
                </c:pt>
                <c:pt idx="139">
                  <c:v>3.1373199999999999</c:v>
                </c:pt>
                <c:pt idx="140">
                  <c:v>3.1361499999999998</c:v>
                </c:pt>
                <c:pt idx="141">
                  <c:v>3.13673</c:v>
                </c:pt>
                <c:pt idx="142">
                  <c:v>3.1449199999999999</c:v>
                </c:pt>
                <c:pt idx="143">
                  <c:v>3.1530200000000002</c:v>
                </c:pt>
                <c:pt idx="144">
                  <c:v>3.1535400000000005</c:v>
                </c:pt>
                <c:pt idx="145">
                  <c:v>3.1436199999999999</c:v>
                </c:pt>
                <c:pt idx="146">
                  <c:v>3.11808</c:v>
                </c:pt>
                <c:pt idx="147">
                  <c:v>3.1166399999999999</c:v>
                </c:pt>
                <c:pt idx="148">
                  <c:v>3.1122499999999995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  <c:pt idx="75">
                  <c:v>51.750500000000002</c:v>
                </c:pt>
                <c:pt idx="76">
                  <c:v>51.655700000000003</c:v>
                </c:pt>
                <c:pt idx="77">
                  <c:v>51.621700000000004</c:v>
                </c:pt>
                <c:pt idx="78">
                  <c:v>51.519000000000005</c:v>
                </c:pt>
                <c:pt idx="79">
                  <c:v>51.333500000000001</c:v>
                </c:pt>
                <c:pt idx="80">
                  <c:v>51.023399999999995</c:v>
                </c:pt>
                <c:pt idx="81">
                  <c:v>50.646299999999997</c:v>
                </c:pt>
                <c:pt idx="82">
                  <c:v>50.259299999999996</c:v>
                </c:pt>
                <c:pt idx="83">
                  <c:v>49.925599999999996</c:v>
                </c:pt>
                <c:pt idx="84">
                  <c:v>49.682500000000005</c:v>
                </c:pt>
                <c:pt idx="85">
                  <c:v>49.498399999999997</c:v>
                </c:pt>
                <c:pt idx="86">
                  <c:v>49.375999999999998</c:v>
                </c:pt>
                <c:pt idx="87">
                  <c:v>49.220999999999997</c:v>
                </c:pt>
                <c:pt idx="88">
                  <c:v>48.987499999999997</c:v>
                </c:pt>
                <c:pt idx="89">
                  <c:v>48.671599999999998</c:v>
                </c:pt>
                <c:pt idx="90">
                  <c:v>48.3033</c:v>
                </c:pt>
                <c:pt idx="91">
                  <c:v>47.962700000000005</c:v>
                </c:pt>
                <c:pt idx="92">
                  <c:v>47.6907</c:v>
                </c:pt>
                <c:pt idx="93">
                  <c:v>47.544199999999996</c:v>
                </c:pt>
                <c:pt idx="94">
                  <c:v>47.506999999999998</c:v>
                </c:pt>
                <c:pt idx="95">
                  <c:v>47.482100000000003</c:v>
                </c:pt>
                <c:pt idx="96">
                  <c:v>47.462700000000005</c:v>
                </c:pt>
                <c:pt idx="97">
                  <c:v>47.4251</c:v>
                </c:pt>
                <c:pt idx="98">
                  <c:v>47.4465</c:v>
                </c:pt>
                <c:pt idx="99">
                  <c:v>47.479599999999998</c:v>
                </c:pt>
                <c:pt idx="100">
                  <c:v>47.451000000000001</c:v>
                </c:pt>
                <c:pt idx="101">
                  <c:v>47.393000000000001</c:v>
                </c:pt>
                <c:pt idx="102">
                  <c:v>47.3048</c:v>
                </c:pt>
                <c:pt idx="103">
                  <c:v>47.241599999999998</c:v>
                </c:pt>
                <c:pt idx="104">
                  <c:v>47.220199999999998</c:v>
                </c:pt>
                <c:pt idx="105">
                  <c:v>47.2774</c:v>
                </c:pt>
                <c:pt idx="106">
                  <c:v>47.374500000000005</c:v>
                </c:pt>
                <c:pt idx="107">
                  <c:v>47.549599999999998</c:v>
                </c:pt>
                <c:pt idx="108">
                  <c:v>47.713499999999996</c:v>
                </c:pt>
                <c:pt idx="109">
                  <c:v>47.8262</c:v>
                </c:pt>
                <c:pt idx="110">
                  <c:v>47.897400000000005</c:v>
                </c:pt>
                <c:pt idx="111">
                  <c:v>47.909300000000002</c:v>
                </c:pt>
                <c:pt idx="112">
                  <c:v>47.944099999999999</c:v>
                </c:pt>
                <c:pt idx="113">
                  <c:v>48.026600000000002</c:v>
                </c:pt>
                <c:pt idx="114">
                  <c:v>48.173899999999996</c:v>
                </c:pt>
                <c:pt idx="115">
                  <c:v>48.343000000000004</c:v>
                </c:pt>
                <c:pt idx="116">
                  <c:v>48.467100000000002</c:v>
                </c:pt>
                <c:pt idx="117">
                  <c:v>48.526599999999995</c:v>
                </c:pt>
                <c:pt idx="118">
                  <c:v>48.5657</c:v>
                </c:pt>
                <c:pt idx="119">
                  <c:v>48.548200000000001</c:v>
                </c:pt>
                <c:pt idx="120">
                  <c:v>48.520299999999999</c:v>
                </c:pt>
                <c:pt idx="121">
                  <c:v>48.571300000000001</c:v>
                </c:pt>
                <c:pt idx="122">
                  <c:v>48.7211</c:v>
                </c:pt>
                <c:pt idx="123">
                  <c:v>48.8095</c:v>
                </c:pt>
                <c:pt idx="124">
                  <c:v>48.834300000000006</c:v>
                </c:pt>
                <c:pt idx="125">
                  <c:v>48.929699999999997</c:v>
                </c:pt>
                <c:pt idx="126">
                  <c:v>49.009500000000003</c:v>
                </c:pt>
                <c:pt idx="127">
                  <c:v>49.081699999999998</c:v>
                </c:pt>
                <c:pt idx="128">
                  <c:v>49.146599999999999</c:v>
                </c:pt>
                <c:pt idx="129">
                  <c:v>49.200099999999999</c:v>
                </c:pt>
                <c:pt idx="130">
                  <c:v>49.2239</c:v>
                </c:pt>
                <c:pt idx="131">
                  <c:v>49.297400000000003</c:v>
                </c:pt>
                <c:pt idx="132">
                  <c:v>49.340400000000002</c:v>
                </c:pt>
                <c:pt idx="133">
                  <c:v>49.384900000000002</c:v>
                </c:pt>
                <c:pt idx="134">
                  <c:v>49.4131</c:v>
                </c:pt>
                <c:pt idx="135">
                  <c:v>49.417699999999996</c:v>
                </c:pt>
                <c:pt idx="136">
                  <c:v>49.410900000000005</c:v>
                </c:pt>
                <c:pt idx="137">
                  <c:v>49.434400000000004</c:v>
                </c:pt>
                <c:pt idx="138">
                  <c:v>49.4617</c:v>
                </c:pt>
                <c:pt idx="139">
                  <c:v>49.472100000000005</c:v>
                </c:pt>
                <c:pt idx="140">
                  <c:v>49.555900000000001</c:v>
                </c:pt>
                <c:pt idx="141">
                  <c:v>49.749700000000004</c:v>
                </c:pt>
                <c:pt idx="142">
                  <c:v>50.017500000000005</c:v>
                </c:pt>
                <c:pt idx="143">
                  <c:v>50.263899999999992</c:v>
                </c:pt>
                <c:pt idx="144">
                  <c:v>50.441400000000002</c:v>
                </c:pt>
                <c:pt idx="145">
                  <c:v>50.818300000000008</c:v>
                </c:pt>
                <c:pt idx="146">
                  <c:v>50.957900000000002</c:v>
                </c:pt>
                <c:pt idx="147">
                  <c:v>50.433799999999998</c:v>
                </c:pt>
                <c:pt idx="148">
                  <c:v>50.5717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1.61172</c:v>
                </c:pt>
                <c:pt idx="1">
                  <c:v>1.65137</c:v>
                </c:pt>
                <c:pt idx="2">
                  <c:v>1.6903899999999998</c:v>
                </c:pt>
                <c:pt idx="3">
                  <c:v>1.72967</c:v>
                </c:pt>
                <c:pt idx="4">
                  <c:v>1.7688499999999998</c:v>
                </c:pt>
                <c:pt idx="5">
                  <c:v>1.8069500000000001</c:v>
                </c:pt>
                <c:pt idx="6">
                  <c:v>1.84365</c:v>
                </c:pt>
                <c:pt idx="7">
                  <c:v>1.88157</c:v>
                </c:pt>
                <c:pt idx="8">
                  <c:v>1.9198499999999998</c:v>
                </c:pt>
                <c:pt idx="9">
                  <c:v>1.9569000000000001</c:v>
                </c:pt>
                <c:pt idx="10">
                  <c:v>1.9923599999999999</c:v>
                </c:pt>
                <c:pt idx="11">
                  <c:v>2.0263800000000001</c:v>
                </c:pt>
                <c:pt idx="12">
                  <c:v>2.0590199999999999</c:v>
                </c:pt>
                <c:pt idx="13">
                  <c:v>2.0918800000000002</c:v>
                </c:pt>
                <c:pt idx="14">
                  <c:v>2.1255999999999999</c:v>
                </c:pt>
                <c:pt idx="15">
                  <c:v>2.1561500000000002</c:v>
                </c:pt>
                <c:pt idx="16">
                  <c:v>2.1819899999999999</c:v>
                </c:pt>
                <c:pt idx="17">
                  <c:v>2.20756</c:v>
                </c:pt>
                <c:pt idx="18">
                  <c:v>2.2348699999999999</c:v>
                </c:pt>
                <c:pt idx="19">
                  <c:v>2.2650200000000003</c:v>
                </c:pt>
                <c:pt idx="20">
                  <c:v>2.2955100000000002</c:v>
                </c:pt>
                <c:pt idx="21">
                  <c:v>2.3258300000000003</c:v>
                </c:pt>
                <c:pt idx="22">
                  <c:v>2.3564400000000001</c:v>
                </c:pt>
                <c:pt idx="23">
                  <c:v>2.3822299999999998</c:v>
                </c:pt>
                <c:pt idx="24">
                  <c:v>2.4095499999999999</c:v>
                </c:pt>
                <c:pt idx="25">
                  <c:v>2.4377299999999997</c:v>
                </c:pt>
                <c:pt idx="26">
                  <c:v>2.46739</c:v>
                </c:pt>
                <c:pt idx="27">
                  <c:v>2.4976499999999997</c:v>
                </c:pt>
                <c:pt idx="28">
                  <c:v>2.5262000000000002</c:v>
                </c:pt>
                <c:pt idx="29">
                  <c:v>2.5509599999999999</c:v>
                </c:pt>
                <c:pt idx="30">
                  <c:v>2.5754199999999998</c:v>
                </c:pt>
                <c:pt idx="31">
                  <c:v>2.59849</c:v>
                </c:pt>
                <c:pt idx="32">
                  <c:v>2.6219799999999998</c:v>
                </c:pt>
                <c:pt idx="33">
                  <c:v>2.6480999999999999</c:v>
                </c:pt>
                <c:pt idx="34">
                  <c:v>2.67536</c:v>
                </c:pt>
                <c:pt idx="35">
                  <c:v>2.7020499999999998</c:v>
                </c:pt>
                <c:pt idx="36">
                  <c:v>2.72959</c:v>
                </c:pt>
                <c:pt idx="37">
                  <c:v>2.7572999999999999</c:v>
                </c:pt>
                <c:pt idx="38">
                  <c:v>2.78478</c:v>
                </c:pt>
                <c:pt idx="39">
                  <c:v>2.8104899999999997</c:v>
                </c:pt>
                <c:pt idx="40">
                  <c:v>2.83765</c:v>
                </c:pt>
                <c:pt idx="41">
                  <c:v>2.8669099999999998</c:v>
                </c:pt>
                <c:pt idx="42">
                  <c:v>2.89466</c:v>
                </c:pt>
                <c:pt idx="43">
                  <c:v>2.9177999999999997</c:v>
                </c:pt>
                <c:pt idx="44">
                  <c:v>2.9416099999999998</c:v>
                </c:pt>
                <c:pt idx="45">
                  <c:v>2.9609000000000001</c:v>
                </c:pt>
                <c:pt idx="46">
                  <c:v>2.9761600000000001</c:v>
                </c:pt>
                <c:pt idx="47">
                  <c:v>2.9893299999999998</c:v>
                </c:pt>
                <c:pt idx="48">
                  <c:v>3.0076999999999998</c:v>
                </c:pt>
                <c:pt idx="49">
                  <c:v>3.0251399999999999</c:v>
                </c:pt>
                <c:pt idx="50">
                  <c:v>3.03843</c:v>
                </c:pt>
                <c:pt idx="51">
                  <c:v>3.0526199999999997</c:v>
                </c:pt>
                <c:pt idx="52">
                  <c:v>3.06609</c:v>
                </c:pt>
                <c:pt idx="53">
                  <c:v>3.0782700000000003</c:v>
                </c:pt>
                <c:pt idx="54">
                  <c:v>3.0894300000000001</c:v>
                </c:pt>
                <c:pt idx="55">
                  <c:v>3.0965599999999998</c:v>
                </c:pt>
                <c:pt idx="56">
                  <c:v>3.1019899999999998</c:v>
                </c:pt>
                <c:pt idx="57">
                  <c:v>3.1025599999999995</c:v>
                </c:pt>
                <c:pt idx="58">
                  <c:v>3.0989899999999997</c:v>
                </c:pt>
                <c:pt idx="59">
                  <c:v>3.0931599999999997</c:v>
                </c:pt>
                <c:pt idx="60">
                  <c:v>3.0896800000000004</c:v>
                </c:pt>
                <c:pt idx="61">
                  <c:v>3.08921</c:v>
                </c:pt>
                <c:pt idx="62">
                  <c:v>3.0881999999999996</c:v>
                </c:pt>
                <c:pt idx="63">
                  <c:v>3.0859100000000002</c:v>
                </c:pt>
                <c:pt idx="64">
                  <c:v>3.0827999999999998</c:v>
                </c:pt>
                <c:pt idx="65">
                  <c:v>3.0795499999999998</c:v>
                </c:pt>
                <c:pt idx="66">
                  <c:v>3.07822</c:v>
                </c:pt>
                <c:pt idx="67">
                  <c:v>3.0766300000000002</c:v>
                </c:pt>
                <c:pt idx="68">
                  <c:v>3.07647</c:v>
                </c:pt>
                <c:pt idx="69">
                  <c:v>3.0707899999999997</c:v>
                </c:pt>
                <c:pt idx="70">
                  <c:v>3.0682799999999997</c:v>
                </c:pt>
                <c:pt idx="71">
                  <c:v>3.06698</c:v>
                </c:pt>
                <c:pt idx="72">
                  <c:v>3.0676999999999999</c:v>
                </c:pt>
                <c:pt idx="73">
                  <c:v>3.0719999999999996</c:v>
                </c:pt>
                <c:pt idx="74">
                  <c:v>3.0753900000000001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71.862099999999998</c:v>
                </c:pt>
                <c:pt idx="1">
                  <c:v>71.5304</c:v>
                </c:pt>
                <c:pt idx="2">
                  <c:v>71.253</c:v>
                </c:pt>
                <c:pt idx="3">
                  <c:v>70.955199999999991</c:v>
                </c:pt>
                <c:pt idx="4">
                  <c:v>70.551500000000004</c:v>
                </c:pt>
                <c:pt idx="5">
                  <c:v>70.039200000000008</c:v>
                </c:pt>
                <c:pt idx="6">
                  <c:v>69.483599999999996</c:v>
                </c:pt>
                <c:pt idx="7">
                  <c:v>68.772100000000009</c:v>
                </c:pt>
                <c:pt idx="8">
                  <c:v>67.9495</c:v>
                </c:pt>
                <c:pt idx="9">
                  <c:v>67.106200000000001</c:v>
                </c:pt>
                <c:pt idx="10">
                  <c:v>66.289299999999997</c:v>
                </c:pt>
                <c:pt idx="11">
                  <c:v>65.536500000000004</c:v>
                </c:pt>
                <c:pt idx="12">
                  <c:v>64.789400000000001</c:v>
                </c:pt>
                <c:pt idx="13">
                  <c:v>64.05619999999999</c:v>
                </c:pt>
                <c:pt idx="14">
                  <c:v>63.283599999999993</c:v>
                </c:pt>
                <c:pt idx="15">
                  <c:v>62.572399999999995</c:v>
                </c:pt>
                <c:pt idx="16">
                  <c:v>61.983699999999999</c:v>
                </c:pt>
                <c:pt idx="17">
                  <c:v>61.372199999999999</c:v>
                </c:pt>
                <c:pt idx="18">
                  <c:v>60.691799999999994</c:v>
                </c:pt>
                <c:pt idx="19">
                  <c:v>59.981899999999996</c:v>
                </c:pt>
                <c:pt idx="20">
                  <c:v>59.302</c:v>
                </c:pt>
                <c:pt idx="21">
                  <c:v>58.619299999999996</c:v>
                </c:pt>
                <c:pt idx="22">
                  <c:v>57.9955</c:v>
                </c:pt>
                <c:pt idx="23">
                  <c:v>57.576400000000007</c:v>
                </c:pt>
                <c:pt idx="24">
                  <c:v>57.170299999999997</c:v>
                </c:pt>
                <c:pt idx="25">
                  <c:v>56.757500000000007</c:v>
                </c:pt>
                <c:pt idx="26">
                  <c:v>56.378900000000002</c:v>
                </c:pt>
                <c:pt idx="27">
                  <c:v>55.978200000000001</c:v>
                </c:pt>
                <c:pt idx="28">
                  <c:v>55.6218</c:v>
                </c:pt>
                <c:pt idx="29">
                  <c:v>55.372699999999995</c:v>
                </c:pt>
                <c:pt idx="30">
                  <c:v>55.120699999999999</c:v>
                </c:pt>
                <c:pt idx="31">
                  <c:v>54.895799999999994</c:v>
                </c:pt>
                <c:pt idx="32">
                  <c:v>54.590600000000002</c:v>
                </c:pt>
                <c:pt idx="33">
                  <c:v>54.179900000000004</c:v>
                </c:pt>
                <c:pt idx="34">
                  <c:v>53.748100000000001</c:v>
                </c:pt>
                <c:pt idx="35">
                  <c:v>53.366</c:v>
                </c:pt>
                <c:pt idx="36">
                  <c:v>53.027999999999999</c:v>
                </c:pt>
                <c:pt idx="37">
                  <c:v>52.763499999999993</c:v>
                </c:pt>
                <c:pt idx="38">
                  <c:v>52.539499999999997</c:v>
                </c:pt>
                <c:pt idx="39">
                  <c:v>52.356800000000007</c:v>
                </c:pt>
                <c:pt idx="40">
                  <c:v>52.261699999999998</c:v>
                </c:pt>
                <c:pt idx="41">
                  <c:v>52.227400000000003</c:v>
                </c:pt>
                <c:pt idx="42">
                  <c:v>52.212000000000003</c:v>
                </c:pt>
                <c:pt idx="43">
                  <c:v>52.197099999999999</c:v>
                </c:pt>
                <c:pt idx="44">
                  <c:v>52.066100000000006</c:v>
                </c:pt>
                <c:pt idx="45">
                  <c:v>51.978700000000003</c:v>
                </c:pt>
                <c:pt idx="46">
                  <c:v>51.893199999999993</c:v>
                </c:pt>
                <c:pt idx="47">
                  <c:v>51.806899999999999</c:v>
                </c:pt>
                <c:pt idx="48">
                  <c:v>51.735299999999995</c:v>
                </c:pt>
                <c:pt idx="49">
                  <c:v>51.626399999999997</c:v>
                </c:pt>
                <c:pt idx="50">
                  <c:v>51.554699999999997</c:v>
                </c:pt>
                <c:pt idx="51">
                  <c:v>51.422800000000002</c:v>
                </c:pt>
                <c:pt idx="52">
                  <c:v>51.293700000000001</c:v>
                </c:pt>
                <c:pt idx="53">
                  <c:v>51.211100000000002</c:v>
                </c:pt>
                <c:pt idx="54">
                  <c:v>51.192300000000003</c:v>
                </c:pt>
                <c:pt idx="55">
                  <c:v>51.243799999999993</c:v>
                </c:pt>
                <c:pt idx="56">
                  <c:v>51.314700000000002</c:v>
                </c:pt>
                <c:pt idx="57">
                  <c:v>51.382799999999996</c:v>
                </c:pt>
                <c:pt idx="58">
                  <c:v>51.451599999999999</c:v>
                </c:pt>
                <c:pt idx="59">
                  <c:v>51.534700000000001</c:v>
                </c:pt>
                <c:pt idx="60">
                  <c:v>51.583199999999998</c:v>
                </c:pt>
                <c:pt idx="61">
                  <c:v>51.623300000000008</c:v>
                </c:pt>
                <c:pt idx="62">
                  <c:v>51.647399999999998</c:v>
                </c:pt>
                <c:pt idx="63">
                  <c:v>51.676500000000004</c:v>
                </c:pt>
                <c:pt idx="64">
                  <c:v>51.737699999999997</c:v>
                </c:pt>
                <c:pt idx="65">
                  <c:v>51.814300000000003</c:v>
                </c:pt>
                <c:pt idx="66">
                  <c:v>51.881</c:v>
                </c:pt>
                <c:pt idx="67">
                  <c:v>51.976799999999997</c:v>
                </c:pt>
                <c:pt idx="68">
                  <c:v>52.002000000000002</c:v>
                </c:pt>
                <c:pt idx="69">
                  <c:v>52.069900000000004</c:v>
                </c:pt>
                <c:pt idx="70">
                  <c:v>52.124099999999999</c:v>
                </c:pt>
                <c:pt idx="71">
                  <c:v>52.185299999999998</c:v>
                </c:pt>
                <c:pt idx="72">
                  <c:v>52.187799999999996</c:v>
                </c:pt>
                <c:pt idx="73">
                  <c:v>52.0717</c:v>
                </c:pt>
                <c:pt idx="74">
                  <c:v>51.959400000000002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3.0753900000000001</c:v>
                </c:pt>
                <c:pt idx="1">
                  <c:v>3.0793500000000003</c:v>
                </c:pt>
                <c:pt idx="2">
                  <c:v>3.08203</c:v>
                </c:pt>
                <c:pt idx="3">
                  <c:v>3.0835699999999999</c:v>
                </c:pt>
                <c:pt idx="4">
                  <c:v>3.0880900000000002</c:v>
                </c:pt>
                <c:pt idx="5">
                  <c:v>3.0952000000000002</c:v>
                </c:pt>
                <c:pt idx="6">
                  <c:v>3.10595</c:v>
                </c:pt>
                <c:pt idx="7">
                  <c:v>3.1193399999999998</c:v>
                </c:pt>
                <c:pt idx="8">
                  <c:v>3.1339399999999999</c:v>
                </c:pt>
                <c:pt idx="9">
                  <c:v>3.1465700000000001</c:v>
                </c:pt>
                <c:pt idx="10">
                  <c:v>3.1593</c:v>
                </c:pt>
                <c:pt idx="11">
                  <c:v>3.1678299999999999</c:v>
                </c:pt>
                <c:pt idx="12">
                  <c:v>3.1706799999999999</c:v>
                </c:pt>
                <c:pt idx="13">
                  <c:v>3.17136</c:v>
                </c:pt>
                <c:pt idx="14">
                  <c:v>3.1753799999999996</c:v>
                </c:pt>
                <c:pt idx="15">
                  <c:v>3.1808399999999999</c:v>
                </c:pt>
                <c:pt idx="16">
                  <c:v>3.18668</c:v>
                </c:pt>
                <c:pt idx="17">
                  <c:v>3.19258</c:v>
                </c:pt>
                <c:pt idx="18">
                  <c:v>3.1997</c:v>
                </c:pt>
                <c:pt idx="19">
                  <c:v>3.2083200000000001</c:v>
                </c:pt>
                <c:pt idx="20">
                  <c:v>3.21563</c:v>
                </c:pt>
                <c:pt idx="21">
                  <c:v>3.2230699999999999</c:v>
                </c:pt>
                <c:pt idx="22">
                  <c:v>3.2320900000000004</c:v>
                </c:pt>
                <c:pt idx="23">
                  <c:v>3.2403</c:v>
                </c:pt>
                <c:pt idx="24">
                  <c:v>3.24532</c:v>
                </c:pt>
                <c:pt idx="25">
                  <c:v>3.24892</c:v>
                </c:pt>
                <c:pt idx="26">
                  <c:v>3.2523</c:v>
                </c:pt>
                <c:pt idx="27">
                  <c:v>3.2523999999999997</c:v>
                </c:pt>
                <c:pt idx="28">
                  <c:v>3.2518000000000002</c:v>
                </c:pt>
                <c:pt idx="29">
                  <c:v>3.2505699999999997</c:v>
                </c:pt>
                <c:pt idx="30">
                  <c:v>3.2488000000000001</c:v>
                </c:pt>
                <c:pt idx="31">
                  <c:v>3.2458100000000001</c:v>
                </c:pt>
                <c:pt idx="32">
                  <c:v>3.2434600000000002</c:v>
                </c:pt>
                <c:pt idx="33">
                  <c:v>3.2437</c:v>
                </c:pt>
                <c:pt idx="34">
                  <c:v>3.24526</c:v>
                </c:pt>
                <c:pt idx="35">
                  <c:v>3.24491</c:v>
                </c:pt>
                <c:pt idx="36">
                  <c:v>3.2417400000000001</c:v>
                </c:pt>
                <c:pt idx="37">
                  <c:v>3.2421899999999999</c:v>
                </c:pt>
                <c:pt idx="38">
                  <c:v>3.2456499999999999</c:v>
                </c:pt>
                <c:pt idx="39">
                  <c:v>3.24674</c:v>
                </c:pt>
                <c:pt idx="40">
                  <c:v>3.2463899999999999</c:v>
                </c:pt>
                <c:pt idx="41">
                  <c:v>3.2423099999999998</c:v>
                </c:pt>
                <c:pt idx="42">
                  <c:v>3.2369599999999998</c:v>
                </c:pt>
                <c:pt idx="43">
                  <c:v>3.2271000000000001</c:v>
                </c:pt>
                <c:pt idx="44">
                  <c:v>3.2189000000000001</c:v>
                </c:pt>
                <c:pt idx="45">
                  <c:v>3.2142300000000001</c:v>
                </c:pt>
                <c:pt idx="46">
                  <c:v>3.2110599999999998</c:v>
                </c:pt>
                <c:pt idx="47">
                  <c:v>3.2076500000000001</c:v>
                </c:pt>
                <c:pt idx="48">
                  <c:v>3.1985200000000003</c:v>
                </c:pt>
                <c:pt idx="49">
                  <c:v>3.18912</c:v>
                </c:pt>
                <c:pt idx="50">
                  <c:v>3.18343</c:v>
                </c:pt>
                <c:pt idx="51">
                  <c:v>3.18025</c:v>
                </c:pt>
                <c:pt idx="52">
                  <c:v>3.1789899999999998</c:v>
                </c:pt>
                <c:pt idx="53">
                  <c:v>3.1791599999999995</c:v>
                </c:pt>
                <c:pt idx="54">
                  <c:v>3.1788499999999997</c:v>
                </c:pt>
                <c:pt idx="55">
                  <c:v>3.1776</c:v>
                </c:pt>
                <c:pt idx="56">
                  <c:v>3.1768000000000001</c:v>
                </c:pt>
                <c:pt idx="57">
                  <c:v>3.1727100000000004</c:v>
                </c:pt>
                <c:pt idx="58">
                  <c:v>3.16526</c:v>
                </c:pt>
                <c:pt idx="59">
                  <c:v>3.1572</c:v>
                </c:pt>
                <c:pt idx="60">
                  <c:v>3.1511899999999997</c:v>
                </c:pt>
                <c:pt idx="61">
                  <c:v>3.1504900000000005</c:v>
                </c:pt>
                <c:pt idx="62">
                  <c:v>3.1495899999999999</c:v>
                </c:pt>
                <c:pt idx="63">
                  <c:v>3.1465300000000003</c:v>
                </c:pt>
                <c:pt idx="64">
                  <c:v>3.1420300000000001</c:v>
                </c:pt>
                <c:pt idx="65">
                  <c:v>3.1373199999999999</c:v>
                </c:pt>
                <c:pt idx="66">
                  <c:v>3.1361499999999998</c:v>
                </c:pt>
                <c:pt idx="67">
                  <c:v>3.13673</c:v>
                </c:pt>
                <c:pt idx="68">
                  <c:v>3.1449199999999999</c:v>
                </c:pt>
                <c:pt idx="69">
                  <c:v>3.1530200000000002</c:v>
                </c:pt>
                <c:pt idx="70">
                  <c:v>3.1535400000000005</c:v>
                </c:pt>
                <c:pt idx="71">
                  <c:v>3.1436199999999999</c:v>
                </c:pt>
                <c:pt idx="72">
                  <c:v>3.11808</c:v>
                </c:pt>
                <c:pt idx="73">
                  <c:v>3.1166399999999999</c:v>
                </c:pt>
                <c:pt idx="74">
                  <c:v>3.1122499999999995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51.959400000000002</c:v>
                </c:pt>
                <c:pt idx="1">
                  <c:v>51.750500000000002</c:v>
                </c:pt>
                <c:pt idx="2">
                  <c:v>51.655700000000003</c:v>
                </c:pt>
                <c:pt idx="3">
                  <c:v>51.621700000000004</c:v>
                </c:pt>
                <c:pt idx="4">
                  <c:v>51.519000000000005</c:v>
                </c:pt>
                <c:pt idx="5">
                  <c:v>51.333500000000001</c:v>
                </c:pt>
                <c:pt idx="6">
                  <c:v>51.023399999999995</c:v>
                </c:pt>
                <c:pt idx="7">
                  <c:v>50.646299999999997</c:v>
                </c:pt>
                <c:pt idx="8">
                  <c:v>50.259299999999996</c:v>
                </c:pt>
                <c:pt idx="9">
                  <c:v>49.925599999999996</c:v>
                </c:pt>
                <c:pt idx="10">
                  <c:v>49.682500000000005</c:v>
                </c:pt>
                <c:pt idx="11">
                  <c:v>49.498399999999997</c:v>
                </c:pt>
                <c:pt idx="12">
                  <c:v>49.375999999999998</c:v>
                </c:pt>
                <c:pt idx="13">
                  <c:v>49.220999999999997</c:v>
                </c:pt>
                <c:pt idx="14">
                  <c:v>48.987499999999997</c:v>
                </c:pt>
                <c:pt idx="15">
                  <c:v>48.671599999999998</c:v>
                </c:pt>
                <c:pt idx="16">
                  <c:v>48.3033</c:v>
                </c:pt>
                <c:pt idx="17">
                  <c:v>47.962700000000005</c:v>
                </c:pt>
                <c:pt idx="18">
                  <c:v>47.6907</c:v>
                </c:pt>
                <c:pt idx="19">
                  <c:v>47.544199999999996</c:v>
                </c:pt>
                <c:pt idx="20">
                  <c:v>47.506999999999998</c:v>
                </c:pt>
                <c:pt idx="21">
                  <c:v>47.482100000000003</c:v>
                </c:pt>
                <c:pt idx="22">
                  <c:v>47.462700000000005</c:v>
                </c:pt>
                <c:pt idx="23">
                  <c:v>47.4251</c:v>
                </c:pt>
                <c:pt idx="24">
                  <c:v>47.4465</c:v>
                </c:pt>
                <c:pt idx="25">
                  <c:v>47.479599999999998</c:v>
                </c:pt>
                <c:pt idx="26">
                  <c:v>47.451000000000001</c:v>
                </c:pt>
                <c:pt idx="27">
                  <c:v>47.393000000000001</c:v>
                </c:pt>
                <c:pt idx="28">
                  <c:v>47.3048</c:v>
                </c:pt>
                <c:pt idx="29">
                  <c:v>47.241599999999998</c:v>
                </c:pt>
                <c:pt idx="30">
                  <c:v>47.220199999999998</c:v>
                </c:pt>
                <c:pt idx="31">
                  <c:v>47.2774</c:v>
                </c:pt>
                <c:pt idx="32">
                  <c:v>47.374500000000005</c:v>
                </c:pt>
                <c:pt idx="33">
                  <c:v>47.549599999999998</c:v>
                </c:pt>
                <c:pt idx="34">
                  <c:v>47.713499999999996</c:v>
                </c:pt>
                <c:pt idx="35">
                  <c:v>47.8262</c:v>
                </c:pt>
                <c:pt idx="36">
                  <c:v>47.897400000000005</c:v>
                </c:pt>
                <c:pt idx="37">
                  <c:v>47.909300000000002</c:v>
                </c:pt>
                <c:pt idx="38">
                  <c:v>47.944099999999999</c:v>
                </c:pt>
                <c:pt idx="39">
                  <c:v>48.026600000000002</c:v>
                </c:pt>
                <c:pt idx="40">
                  <c:v>48.173899999999996</c:v>
                </c:pt>
                <c:pt idx="41">
                  <c:v>48.343000000000004</c:v>
                </c:pt>
                <c:pt idx="42">
                  <c:v>48.467100000000002</c:v>
                </c:pt>
                <c:pt idx="43">
                  <c:v>48.526599999999995</c:v>
                </c:pt>
                <c:pt idx="44">
                  <c:v>48.5657</c:v>
                </c:pt>
                <c:pt idx="45">
                  <c:v>48.548200000000001</c:v>
                </c:pt>
                <c:pt idx="46">
                  <c:v>48.520299999999999</c:v>
                </c:pt>
                <c:pt idx="47">
                  <c:v>48.571300000000001</c:v>
                </c:pt>
                <c:pt idx="48">
                  <c:v>48.7211</c:v>
                </c:pt>
                <c:pt idx="49">
                  <c:v>48.8095</c:v>
                </c:pt>
                <c:pt idx="50">
                  <c:v>48.834300000000006</c:v>
                </c:pt>
                <c:pt idx="51">
                  <c:v>48.929699999999997</c:v>
                </c:pt>
                <c:pt idx="52">
                  <c:v>49.009500000000003</c:v>
                </c:pt>
                <c:pt idx="53">
                  <c:v>49.081699999999998</c:v>
                </c:pt>
                <c:pt idx="54">
                  <c:v>49.146599999999999</c:v>
                </c:pt>
                <c:pt idx="55">
                  <c:v>49.200099999999999</c:v>
                </c:pt>
                <c:pt idx="56">
                  <c:v>49.2239</c:v>
                </c:pt>
                <c:pt idx="57">
                  <c:v>49.297400000000003</c:v>
                </c:pt>
                <c:pt idx="58">
                  <c:v>49.340400000000002</c:v>
                </c:pt>
                <c:pt idx="59">
                  <c:v>49.384900000000002</c:v>
                </c:pt>
                <c:pt idx="60">
                  <c:v>49.4131</c:v>
                </c:pt>
                <c:pt idx="61">
                  <c:v>49.417699999999996</c:v>
                </c:pt>
                <c:pt idx="62">
                  <c:v>49.410900000000005</c:v>
                </c:pt>
                <c:pt idx="63">
                  <c:v>49.434400000000004</c:v>
                </c:pt>
                <c:pt idx="64">
                  <c:v>49.4617</c:v>
                </c:pt>
                <c:pt idx="65">
                  <c:v>49.472100000000005</c:v>
                </c:pt>
                <c:pt idx="66">
                  <c:v>49.555900000000001</c:v>
                </c:pt>
                <c:pt idx="67">
                  <c:v>49.749700000000004</c:v>
                </c:pt>
                <c:pt idx="68">
                  <c:v>50.017500000000005</c:v>
                </c:pt>
                <c:pt idx="69">
                  <c:v>50.263899999999992</c:v>
                </c:pt>
                <c:pt idx="70">
                  <c:v>50.441400000000002</c:v>
                </c:pt>
                <c:pt idx="71">
                  <c:v>50.818300000000008</c:v>
                </c:pt>
                <c:pt idx="72">
                  <c:v>50.957900000000002</c:v>
                </c:pt>
                <c:pt idx="73">
                  <c:v>50.433799999999998</c:v>
                </c:pt>
                <c:pt idx="74">
                  <c:v>50.5717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1.61172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71.862099999999998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2.6173402702702706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56.724450000000026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3.1838527027027022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48.98794594594596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3.1838527027027022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48.98794594594596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15</xdr:row>
      <xdr:rowOff>0</xdr:rowOff>
    </xdr:from>
    <xdr:to>
      <xdr:col>8</xdr:col>
      <xdr:colOff>304800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15</xdr:row>
      <xdr:rowOff>0</xdr:rowOff>
    </xdr:from>
    <xdr:to>
      <xdr:col>10</xdr:col>
      <xdr:colOff>609600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9.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572</v>
      </c>
      <c r="D5" s="191"/>
      <c r="E5" s="191"/>
      <c r="F5" s="192"/>
      <c r="G5" s="48" t="str">
        <f>lang!B27</f>
        <v>编号</v>
      </c>
      <c r="H5" s="190">
        <v>9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571</v>
      </c>
      <c r="D6" s="145"/>
      <c r="E6" s="145"/>
      <c r="F6" s="146"/>
      <c r="G6" s="49" t="str">
        <f>lang!B28</f>
        <v xml:space="preserve"> 日期</v>
      </c>
      <c r="H6" s="129">
        <f>FH_info!A2</f>
        <v>43605.730081018519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63</v>
      </c>
      <c r="D7" s="148"/>
      <c r="E7" s="148"/>
      <c r="F7" s="149"/>
      <c r="G7" s="50" t="str">
        <f>lang!B29</f>
        <v>误差率（%）</v>
      </c>
      <c r="H7" s="132">
        <f>M!B17*1</f>
        <v>14.453799999999999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36.7241</v>
      </c>
      <c r="O8" s="59">
        <f>M!C5*1</f>
        <v>7.9867400000000002</v>
      </c>
      <c r="P8" s="59">
        <f>M!D5*1</f>
        <v>21.748000000000001</v>
      </c>
      <c r="Q8" s="59">
        <f>M!E5*1</f>
        <v>20</v>
      </c>
      <c r="R8" s="59">
        <f>M!F5*1</f>
        <v>9.6417400000000004</v>
      </c>
      <c r="S8" s="59">
        <f>M!G5*1</f>
        <v>50</v>
      </c>
      <c r="T8" s="59">
        <f>M!H5*1</f>
        <v>43.929699999999997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31.444400000000002</v>
      </c>
      <c r="O9" s="59">
        <f>M!C6*1</f>
        <v>4.0943199999999997</v>
      </c>
      <c r="P9" s="59">
        <f>M!D6*1</f>
        <v>13.020799999999999</v>
      </c>
      <c r="Q9" s="59">
        <f>M!E6*1</f>
        <v>20</v>
      </c>
      <c r="R9" s="59">
        <f>M!F6*1</f>
        <v>19.0441</v>
      </c>
      <c r="S9" s="59">
        <f>M!G6*1</f>
        <v>40</v>
      </c>
      <c r="T9" s="59">
        <f>M!H6*1</f>
        <v>36.227699999999999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9.6417400000000004</v>
      </c>
      <c r="D10" s="99">
        <f>N8</f>
        <v>36.7241</v>
      </c>
      <c r="E10" s="100">
        <f>T8</f>
        <v>43.929699999999997</v>
      </c>
      <c r="F10" s="91">
        <f>P8</f>
        <v>21.748000000000001</v>
      </c>
      <c r="G10" s="81" t="str">
        <f>CONCATENATE(M9,"
(20 ~ 40)")</f>
        <v>压力
(20 ~ 40)</v>
      </c>
      <c r="H10" s="98">
        <f>R9</f>
        <v>19.0441</v>
      </c>
      <c r="I10" s="108">
        <f>N9</f>
        <v>31.444400000000002</v>
      </c>
      <c r="J10" s="98">
        <f>T9</f>
        <v>36.227699999999999</v>
      </c>
      <c r="K10" s="92">
        <f>P9</f>
        <v>13.020799999999999</v>
      </c>
      <c r="L10" s="6"/>
      <c r="M10" s="27" t="str">
        <f>lang!B16</f>
        <v>焦虑</v>
      </c>
      <c r="N10" s="59">
        <f>M!B7*1</f>
        <v>30.288799999999998</v>
      </c>
      <c r="O10" s="59">
        <f>M!C7*1</f>
        <v>4.7619600000000002</v>
      </c>
      <c r="P10" s="59">
        <f>M!D7*1</f>
        <v>15.7219</v>
      </c>
      <c r="Q10" s="59">
        <f>M!E7*1</f>
        <v>15</v>
      </c>
      <c r="R10" s="59">
        <f>M!F7*1</f>
        <v>20.051200000000001</v>
      </c>
      <c r="S10" s="59">
        <f>M!G7*1</f>
        <v>40</v>
      </c>
      <c r="T10" s="59">
        <f>M!H7*1</f>
        <v>46.249000000000002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20.051200000000001</v>
      </c>
      <c r="D11" s="102">
        <f>N10</f>
        <v>30.288799999999998</v>
      </c>
      <c r="E11" s="103">
        <f>T10</f>
        <v>46.249000000000002</v>
      </c>
      <c r="F11" s="94">
        <f>P10</f>
        <v>15.7219</v>
      </c>
      <c r="G11" s="52" t="str">
        <f>CONCATENATE(M11,"
(20 ~ 50)")</f>
        <v>可疑
(20 ~ 50)</v>
      </c>
      <c r="H11" s="101">
        <f>R11</f>
        <v>16.932099999999998</v>
      </c>
      <c r="I11" s="104">
        <f>N11</f>
        <v>32.495100000000001</v>
      </c>
      <c r="J11" s="101">
        <f>T11</f>
        <v>38.104399999999998</v>
      </c>
      <c r="K11" s="95">
        <f>P11</f>
        <v>12.513</v>
      </c>
      <c r="L11" s="4"/>
      <c r="M11" s="27" t="str">
        <f>lang!B17</f>
        <v>可疑</v>
      </c>
      <c r="N11" s="59">
        <f>M!B8*1</f>
        <v>32.495100000000001</v>
      </c>
      <c r="O11" s="59">
        <f>M!C8*1</f>
        <v>4.0661199999999997</v>
      </c>
      <c r="P11" s="59">
        <f>M!D8*1</f>
        <v>12.513</v>
      </c>
      <c r="Q11" s="59">
        <f>M!E8*1</f>
        <v>20</v>
      </c>
      <c r="R11" s="59">
        <f>M!F8*1</f>
        <v>16.932099999999998</v>
      </c>
      <c r="S11" s="59">
        <f>M!G8*1</f>
        <v>50</v>
      </c>
      <c r="T11" s="59">
        <f>M!H8*1</f>
        <v>38.104399999999998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54.478700000000003</v>
      </c>
      <c r="D12" s="104">
        <f>N12</f>
        <v>71.463099999999997</v>
      </c>
      <c r="E12" s="101">
        <f>T12</f>
        <v>86.402299999999997</v>
      </c>
      <c r="F12" s="93">
        <f>P12</f>
        <v>8.7257499999999997</v>
      </c>
      <c r="G12" s="52" t="str">
        <f>CONCATENATE(M13,"
(40 ~ 100)")</f>
        <v>自信
(40 ~ 100)</v>
      </c>
      <c r="H12" s="101">
        <f>R13</f>
        <v>60.560200000000002</v>
      </c>
      <c r="I12" s="104">
        <f>N13</f>
        <v>72.254099999999994</v>
      </c>
      <c r="J12" s="101">
        <f>T13</f>
        <v>84.967799999999997</v>
      </c>
      <c r="K12" s="95">
        <f>P13</f>
        <v>9.4662799999999994</v>
      </c>
      <c r="L12" s="4"/>
      <c r="M12" s="27" t="str">
        <f>lang!B18</f>
        <v>平衡</v>
      </c>
      <c r="N12" s="59">
        <f>M!B9*1</f>
        <v>71.463099999999997</v>
      </c>
      <c r="O12" s="59">
        <f>M!C9*1</f>
        <v>6.23569</v>
      </c>
      <c r="P12" s="59">
        <f>M!D9*1</f>
        <v>8.7257499999999997</v>
      </c>
      <c r="Q12" s="59">
        <f>M!E9*1</f>
        <v>50</v>
      </c>
      <c r="R12" s="59">
        <f>M!F9*1</f>
        <v>54.478700000000003</v>
      </c>
      <c r="S12" s="59">
        <f>M!G9*1</f>
        <v>100</v>
      </c>
      <c r="T12" s="59">
        <f>M!H9*1</f>
        <v>86.402299999999997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7.3698699999999997</v>
      </c>
      <c r="D13" s="102">
        <f>N14</f>
        <v>20.907800000000002</v>
      </c>
      <c r="E13" s="103">
        <f>T14</f>
        <v>23.238900000000001</v>
      </c>
      <c r="F13" s="94">
        <f>P14</f>
        <v>19.543500000000002</v>
      </c>
      <c r="G13" s="52" t="str">
        <f>CONCATENATE(M15,"
(50 ~ 100)")</f>
        <v>自我调节
(50 ~ 100)</v>
      </c>
      <c r="H13" s="101">
        <f>R15</f>
        <v>63.633000000000003</v>
      </c>
      <c r="I13" s="104">
        <f>N15</f>
        <v>70.345299999999995</v>
      </c>
      <c r="J13" s="101">
        <f>T15</f>
        <v>84.687299999999993</v>
      </c>
      <c r="K13" s="95">
        <f>P15</f>
        <v>7.6470500000000001</v>
      </c>
      <c r="L13" s="4"/>
      <c r="M13" s="27" t="str">
        <f>lang!B19</f>
        <v>自信</v>
      </c>
      <c r="N13" s="59">
        <f>M!B10*1</f>
        <v>72.254099999999994</v>
      </c>
      <c r="O13" s="59">
        <f>M!C10*1</f>
        <v>6.8397800000000002</v>
      </c>
      <c r="P13" s="59">
        <f>M!D10*1</f>
        <v>9.4662799999999994</v>
      </c>
      <c r="Q13" s="59">
        <f>M!E10*1</f>
        <v>40</v>
      </c>
      <c r="R13" s="59">
        <f>M!F10*1</f>
        <v>60.560200000000002</v>
      </c>
      <c r="S13" s="59">
        <f>M!G10*1</f>
        <v>100</v>
      </c>
      <c r="T13" s="59">
        <f>M!H10*1</f>
        <v>84.967799999999997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12.8691</v>
      </c>
      <c r="D14" s="106">
        <f>N16</f>
        <v>16.710699999999999</v>
      </c>
      <c r="E14" s="107">
        <f>T16</f>
        <v>20.7989</v>
      </c>
      <c r="F14" s="96">
        <f>P16</f>
        <v>10.3093</v>
      </c>
      <c r="G14" s="112" t="str">
        <f>CONCATENATE(M17,"
(10 ~ 50)")</f>
        <v>神经质
(10 ~ 50)</v>
      </c>
      <c r="H14" s="105">
        <f>R17</f>
        <v>1.99254</v>
      </c>
      <c r="I14" s="106">
        <f>N17</f>
        <v>17.227599999999999</v>
      </c>
      <c r="J14" s="107">
        <f>T17</f>
        <v>21.371200000000002</v>
      </c>
      <c r="K14" s="97">
        <f>P17</f>
        <v>25.842300000000002</v>
      </c>
      <c r="M14" s="27" t="str">
        <f>lang!B20</f>
        <v>活力</v>
      </c>
      <c r="N14" s="59">
        <f>M!B11*1</f>
        <v>20.907800000000002</v>
      </c>
      <c r="O14" s="59">
        <f>M!C11*1</f>
        <v>4.0861200000000002</v>
      </c>
      <c r="P14" s="59">
        <f>M!D11*1</f>
        <v>19.543500000000002</v>
      </c>
      <c r="Q14" s="59">
        <f>M!E11*1</f>
        <v>10</v>
      </c>
      <c r="R14" s="59">
        <f>M!F11*1</f>
        <v>7.3698699999999997</v>
      </c>
      <c r="S14" s="59">
        <f>M!G11*1</f>
        <v>50</v>
      </c>
      <c r="T14" s="59">
        <f>M!H11*1</f>
        <v>23.238900000000001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70.345299999999995</v>
      </c>
      <c r="O15" s="59">
        <f>M!C12*1</f>
        <v>5.37934</v>
      </c>
      <c r="P15" s="59">
        <f>M!D12*1</f>
        <v>7.6470500000000001</v>
      </c>
      <c r="Q15" s="59">
        <f>M!E12*1</f>
        <v>50</v>
      </c>
      <c r="R15" s="59">
        <f>M!F12*1</f>
        <v>63.633000000000003</v>
      </c>
      <c r="S15" s="59">
        <f>M!G12*1</f>
        <v>100</v>
      </c>
      <c r="T15" s="59">
        <f>M!H12*1</f>
        <v>84.687299999999993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16.710699999999999</v>
      </c>
      <c r="O16" s="59">
        <f>M!C13*1</f>
        <v>1.7227600000000001</v>
      </c>
      <c r="P16" s="59">
        <f>M!D13*1</f>
        <v>10.3093</v>
      </c>
      <c r="Q16" s="59">
        <f>M!E13*1</f>
        <v>10</v>
      </c>
      <c r="R16" s="59">
        <f>M!F13*1</f>
        <v>12.8691</v>
      </c>
      <c r="S16" s="59">
        <f>M!G13*1</f>
        <v>25</v>
      </c>
      <c r="T16" s="59">
        <f>M!H13*1</f>
        <v>20.7989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17.227599999999999</v>
      </c>
      <c r="O17" s="59">
        <f>M!C14*1</f>
        <v>4.452</v>
      </c>
      <c r="P17" s="59">
        <f>M!D14*1</f>
        <v>25.842300000000002</v>
      </c>
      <c r="Q17" s="59">
        <f>M!E14*1</f>
        <v>10</v>
      </c>
      <c r="R17" s="59">
        <f>M!F14*1</f>
        <v>1.99254</v>
      </c>
      <c r="S17" s="59">
        <f>M!G14*1</f>
        <v>50</v>
      </c>
      <c r="T17" s="59">
        <f>M!H14*1</f>
        <v>21.371200000000002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58.742575000000002</v>
      </c>
      <c r="O18" s="22">
        <f>N18/(N18+N19+N20)</f>
        <v>0.54165670622336193</v>
      </c>
      <c r="P18" s="65">
        <f>SUM(P12:P15)/4</f>
        <v>11.345644999999999</v>
      </c>
      <c r="Q18" s="22">
        <f>P18/(P18+P19+P20)</f>
        <v>0.25116337708205255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32.738099999999996</v>
      </c>
      <c r="O19" s="22">
        <f>N19/(N18+N19+N20)</f>
        <v>0.30187323953726986</v>
      </c>
      <c r="P19" s="18">
        <f>SUM(P8:P11)/4</f>
        <v>15.750924999999999</v>
      </c>
      <c r="Q19" s="22">
        <f>P19/(P18+P19+P20)</f>
        <v>0.34868493727471017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16.969149999999999</v>
      </c>
      <c r="O20" s="22">
        <f>N20/(N18+N19+N20)</f>
        <v>0.1564700542393683</v>
      </c>
      <c r="P20" s="18">
        <f>(P16+P17)/2</f>
        <v>18.075800000000001</v>
      </c>
      <c r="Q20" s="22">
        <f>P20/(P18+P19+P20)</f>
        <v>0.40015168564323722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-0.13401628378378377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1.4357360343276111</v>
      </c>
      <c r="D25" s="44" t="str">
        <f>lang!B11</f>
        <v>频率方差</v>
      </c>
      <c r="E25" s="182">
        <f ca="1">FH!L3</f>
        <v>0.53269584857350183</v>
      </c>
      <c r="F25" s="183"/>
      <c r="G25" s="174" t="str">
        <f>lang!B12</f>
        <v>生理变化率</v>
      </c>
      <c r="H25" s="175"/>
      <c r="I25" s="62" t="str">
        <f ca="1">CONCATENATE(info!M7,"-",info!M8)</f>
        <v>47.2-71.9</v>
      </c>
      <c r="J25" s="42" t="str">
        <f>lang!B13</f>
        <v>千卡l/分钟</v>
      </c>
      <c r="K25" s="41" t="str">
        <f ca="1">CONCATENATE(info!M5,"-",info!M6)</f>
        <v>1.6-3.3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65.890199999999993</v>
      </c>
      <c r="F28" s="121"/>
      <c r="G28" s="135" t="str">
        <f>lang!B33</f>
        <v>稳定性</v>
      </c>
      <c r="H28" s="136"/>
      <c r="I28" s="137"/>
      <c r="J28" s="138">
        <f>M!B19*100</f>
        <v>71.5261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43605.730081018519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7.0298000000000016</v>
      </c>
      <c r="O7" s="59">
        <f t="shared" ref="O7:T7" si="2">AG7-X7</f>
        <v>-6.9266499999999995</v>
      </c>
      <c r="P7" s="59">
        <f t="shared" si="2"/>
        <v>-23.663350000000001</v>
      </c>
      <c r="Q7" s="59">
        <f t="shared" si="2"/>
        <v>0</v>
      </c>
      <c r="R7" s="59">
        <f t="shared" si="2"/>
        <v>24.583759999999998</v>
      </c>
      <c r="S7" s="59">
        <f t="shared" si="2"/>
        <v>0</v>
      </c>
      <c r="T7" s="59">
        <f t="shared" si="2"/>
        <v>4.8429999999999964</v>
      </c>
      <c r="U7" s="14"/>
      <c r="V7" s="27" t="str">
        <f>M7</f>
        <v>攻击性</v>
      </c>
      <c r="W7" s="59">
        <f>'M1'!B5*1</f>
        <v>30.574300000000001</v>
      </c>
      <c r="X7" s="59">
        <f>'M1'!C5*1</f>
        <v>8.5756099999999993</v>
      </c>
      <c r="Y7" s="59">
        <f>'M1'!D5*1</f>
        <v>28.048400000000001</v>
      </c>
      <c r="Z7" s="59">
        <f>'M1'!E5*1</f>
        <v>20</v>
      </c>
      <c r="AA7" s="59">
        <f>'M1'!F5*1</f>
        <v>9.6417400000000004</v>
      </c>
      <c r="AB7" s="59">
        <f>'M1'!G5*1</f>
        <v>50</v>
      </c>
      <c r="AC7" s="59">
        <f>'M1'!H5*1</f>
        <v>39.0867</v>
      </c>
      <c r="AE7" s="27" t="str">
        <f>V7</f>
        <v>攻击性</v>
      </c>
      <c r="AF7" s="59">
        <f>'M2'!B5*1</f>
        <v>37.604100000000003</v>
      </c>
      <c r="AG7" s="59">
        <f>'M2'!C5*1</f>
        <v>1.64896</v>
      </c>
      <c r="AH7" s="59">
        <f>'M2'!D5*1</f>
        <v>4.3850499999999997</v>
      </c>
      <c r="AI7" s="59">
        <f>'M2'!E5*1</f>
        <v>20</v>
      </c>
      <c r="AJ7" s="59">
        <f>'M2'!F5*1</f>
        <v>34.225499999999997</v>
      </c>
      <c r="AK7" s="59">
        <f>'M2'!G5*1</f>
        <v>50</v>
      </c>
      <c r="AL7" s="59">
        <f>'M2'!H5*1</f>
        <v>43.929699999999997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7.8362999999999978</v>
      </c>
      <c r="O8" s="59">
        <f t="shared" ref="O8:O16" si="5">AG8-X8</f>
        <v>-3.4976569999999998</v>
      </c>
      <c r="P8" s="59">
        <f t="shared" ref="P8:P16" si="6">AH8-Y8</f>
        <v>-15.048870000000001</v>
      </c>
      <c r="Q8" s="59">
        <f t="shared" ref="Q8:Q16" si="7">AI8-Z8</f>
        <v>0</v>
      </c>
      <c r="R8" s="59">
        <f t="shared" ref="R8:R16" si="8">AJ8-AA8</f>
        <v>12.099399999999999</v>
      </c>
      <c r="S8" s="59">
        <f t="shared" ref="S8:S16" si="9">AK8-AB8</f>
        <v>0</v>
      </c>
      <c r="T8" s="59">
        <f t="shared" ref="T8:T16" si="10">AL8-AC8</f>
        <v>-0.99230000000000018</v>
      </c>
      <c r="U8" s="15"/>
      <c r="V8" s="27" t="str">
        <f t="shared" ref="V8:V16" si="11">M8</f>
        <v>压力</v>
      </c>
      <c r="W8" s="59">
        <f>'M1'!B6*1</f>
        <v>24.3903</v>
      </c>
      <c r="X8" s="59">
        <f>'M1'!C6*1</f>
        <v>4.2083599999999999</v>
      </c>
      <c r="Y8" s="59">
        <f>'M1'!D6*1</f>
        <v>17.254200000000001</v>
      </c>
      <c r="Z8" s="59">
        <f>'M1'!E6*1</f>
        <v>20</v>
      </c>
      <c r="AA8" s="59">
        <f>'M1'!F6*1</f>
        <v>19.0441</v>
      </c>
      <c r="AB8" s="59">
        <f>'M1'!G6*1</f>
        <v>40</v>
      </c>
      <c r="AC8" s="59">
        <f>'M1'!H6*1</f>
        <v>36.227699999999999</v>
      </c>
      <c r="AE8" s="27" t="str">
        <f t="shared" ref="AE8:AE16" si="12">V8</f>
        <v>压力</v>
      </c>
      <c r="AF8" s="59">
        <f>'M2'!B6*1</f>
        <v>32.226599999999998</v>
      </c>
      <c r="AG8" s="59">
        <f>'M2'!C6*1</f>
        <v>0.71070299999999997</v>
      </c>
      <c r="AH8" s="59">
        <f>'M2'!D6*1</f>
        <v>2.20533</v>
      </c>
      <c r="AI8" s="59">
        <f>'M2'!E6*1</f>
        <v>20</v>
      </c>
      <c r="AJ8" s="59">
        <f>'M2'!F6*1</f>
        <v>31.1435</v>
      </c>
      <c r="AK8" s="59">
        <f>'M2'!G6*1</f>
        <v>40</v>
      </c>
      <c r="AL8" s="59">
        <f>'M2'!H6*1</f>
        <v>35.235399999999998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24.583759999999998</v>
      </c>
      <c r="D9" s="78">
        <f>N7</f>
        <v>7.0298000000000016</v>
      </c>
      <c r="E9" s="79">
        <f>T7</f>
        <v>4.8429999999999964</v>
      </c>
      <c r="F9" s="79">
        <f>P7</f>
        <v>-23.663350000000001</v>
      </c>
      <c r="G9" s="80" t="str">
        <f>CONCATENATE(M8,"
(20 ~ 40)")</f>
        <v>压力
(20 ~ 40)</v>
      </c>
      <c r="H9" s="77">
        <f>R8</f>
        <v>12.099399999999999</v>
      </c>
      <c r="I9" s="81">
        <f>N8</f>
        <v>7.8362999999999978</v>
      </c>
      <c r="J9" s="77">
        <f>T8</f>
        <v>-0.99230000000000018</v>
      </c>
      <c r="K9" s="82">
        <f>P8</f>
        <v>-15.048870000000001</v>
      </c>
      <c r="L9" s="6"/>
      <c r="M9" s="27" t="str">
        <f>lang!B16</f>
        <v>焦虑</v>
      </c>
      <c r="N9" s="59">
        <f t="shared" si="4"/>
        <v>-2.5763999999999996</v>
      </c>
      <c r="O9" s="59">
        <f t="shared" si="5"/>
        <v>-0.41845999999999961</v>
      </c>
      <c r="P9" s="59">
        <f t="shared" si="6"/>
        <v>-0.19319999999999915</v>
      </c>
      <c r="Q9" s="59">
        <f t="shared" si="7"/>
        <v>0</v>
      </c>
      <c r="R9" s="59">
        <f t="shared" si="8"/>
        <v>-2.678099999999997</v>
      </c>
      <c r="S9" s="59">
        <f t="shared" si="9"/>
        <v>0</v>
      </c>
      <c r="T9" s="59">
        <f t="shared" si="10"/>
        <v>-5.8834000000000017</v>
      </c>
      <c r="U9" s="14"/>
      <c r="V9" s="27" t="str">
        <f t="shared" si="11"/>
        <v>焦虑</v>
      </c>
      <c r="W9" s="59">
        <f>'M1'!B7*1</f>
        <v>32.450800000000001</v>
      </c>
      <c r="X9" s="59">
        <f>'M1'!C7*1</f>
        <v>4.5439499999999997</v>
      </c>
      <c r="Y9" s="59">
        <f>'M1'!D7*1</f>
        <v>14.002599999999999</v>
      </c>
      <c r="Z9" s="59">
        <f>'M1'!E7*1</f>
        <v>15</v>
      </c>
      <c r="AA9" s="59">
        <f>'M1'!F7*1</f>
        <v>22.729299999999999</v>
      </c>
      <c r="AB9" s="59">
        <f>'M1'!G7*1</f>
        <v>40</v>
      </c>
      <c r="AC9" s="59">
        <f>'M1'!H7*1</f>
        <v>46.249000000000002</v>
      </c>
      <c r="AE9" s="27" t="str">
        <f t="shared" si="12"/>
        <v>焦虑</v>
      </c>
      <c r="AF9" s="59">
        <f>'M2'!B7*1</f>
        <v>29.874400000000001</v>
      </c>
      <c r="AG9" s="59">
        <f>'M2'!C7*1</f>
        <v>4.1254900000000001</v>
      </c>
      <c r="AH9" s="59">
        <f>'M2'!D7*1</f>
        <v>13.8094</v>
      </c>
      <c r="AI9" s="59">
        <f>'M2'!E7*1</f>
        <v>15</v>
      </c>
      <c r="AJ9" s="59">
        <f>'M2'!F7*1</f>
        <v>20.051200000000001</v>
      </c>
      <c r="AK9" s="59">
        <f>'M2'!G7*1</f>
        <v>40</v>
      </c>
      <c r="AL9" s="59">
        <f>'M2'!H7*1</f>
        <v>40.365600000000001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-2.678099999999997</v>
      </c>
      <c r="D10" s="51">
        <f>N9</f>
        <v>-2.5763999999999996</v>
      </c>
      <c r="E10" s="53">
        <f>T9</f>
        <v>-5.8834000000000017</v>
      </c>
      <c r="F10" s="53">
        <f>P9</f>
        <v>-0.19319999999999915</v>
      </c>
      <c r="G10" s="73" t="str">
        <f>CONCATENATE(M10,"
(20 ~ 50)")</f>
        <v>可疑
(20 ~ 50)</v>
      </c>
      <c r="H10" s="24">
        <f>R10</f>
        <v>12.737900000000003</v>
      </c>
      <c r="I10" s="52">
        <f>N10</f>
        <v>5.6189000000000036</v>
      </c>
      <c r="J10" s="24">
        <f>T10</f>
        <v>-2.8746000000000009</v>
      </c>
      <c r="K10" s="25">
        <f>P10</f>
        <v>-11.97298</v>
      </c>
      <c r="L10" s="4"/>
      <c r="M10" s="27" t="str">
        <f>lang!B17</f>
        <v>可疑</v>
      </c>
      <c r="N10" s="59">
        <f t="shared" si="4"/>
        <v>5.6189000000000036</v>
      </c>
      <c r="O10" s="59">
        <f t="shared" si="5"/>
        <v>-3.0860899999999996</v>
      </c>
      <c r="P10" s="59">
        <f t="shared" si="6"/>
        <v>-11.97298</v>
      </c>
      <c r="Q10" s="59">
        <f t="shared" si="7"/>
        <v>0</v>
      </c>
      <c r="R10" s="59">
        <f t="shared" si="8"/>
        <v>12.737900000000003</v>
      </c>
      <c r="S10" s="59">
        <f t="shared" si="9"/>
        <v>0</v>
      </c>
      <c r="T10" s="59">
        <f t="shared" si="10"/>
        <v>-2.8746000000000009</v>
      </c>
      <c r="U10" s="14"/>
      <c r="V10" s="27" t="str">
        <f t="shared" si="11"/>
        <v>可疑</v>
      </c>
      <c r="W10" s="59">
        <f>'M1'!B8*1</f>
        <v>27.882899999999999</v>
      </c>
      <c r="X10" s="59">
        <f>'M1'!C8*1</f>
        <v>4.5904999999999996</v>
      </c>
      <c r="Y10" s="59">
        <f>'M1'!D8*1</f>
        <v>16.4635</v>
      </c>
      <c r="Z10" s="59">
        <f>'M1'!E8*1</f>
        <v>20</v>
      </c>
      <c r="AA10" s="59">
        <f>'M1'!F8*1</f>
        <v>16.932099999999998</v>
      </c>
      <c r="AB10" s="59">
        <f>'M1'!G8*1</f>
        <v>50</v>
      </c>
      <c r="AC10" s="59">
        <f>'M1'!H8*1</f>
        <v>38.104399999999998</v>
      </c>
      <c r="AE10" s="27" t="str">
        <f t="shared" si="12"/>
        <v>可疑</v>
      </c>
      <c r="AF10" s="59">
        <f>'M2'!B8*1</f>
        <v>33.501800000000003</v>
      </c>
      <c r="AG10" s="59">
        <f>'M2'!C8*1</f>
        <v>1.50441</v>
      </c>
      <c r="AH10" s="59">
        <f>'M2'!D8*1</f>
        <v>4.4905200000000001</v>
      </c>
      <c r="AI10" s="59">
        <f>'M2'!E8*1</f>
        <v>20</v>
      </c>
      <c r="AJ10" s="59">
        <f>'M2'!F8*1</f>
        <v>29.67</v>
      </c>
      <c r="AK10" s="59">
        <f>'M2'!G8*1</f>
        <v>50</v>
      </c>
      <c r="AL10" s="59">
        <f>'M2'!H8*1</f>
        <v>35.229799999999997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-5.6635999999999953</v>
      </c>
      <c r="D11" s="52">
        <f>N11</f>
        <v>-4.9116999999999962</v>
      </c>
      <c r="E11" s="24">
        <f>T11</f>
        <v>-6.9024000000000001</v>
      </c>
      <c r="F11" s="24">
        <f>P11</f>
        <v>-0.29074999999999918</v>
      </c>
      <c r="G11" s="73" t="str">
        <f>CONCATENATE(M12,"
(40 ~ 100)")</f>
        <v>自信
(40 ~ 100)</v>
      </c>
      <c r="H11" s="24">
        <f>R12</f>
        <v>-9.7873999999999981</v>
      </c>
      <c r="I11" s="52">
        <f>N12</f>
        <v>-14.826399999999992</v>
      </c>
      <c r="J11" s="24">
        <f>T12</f>
        <v>-11.564099999999996</v>
      </c>
      <c r="K11" s="25">
        <f>P12</f>
        <v>-0.94437000000000015</v>
      </c>
      <c r="L11" s="4"/>
      <c r="M11" s="27" t="str">
        <f>lang!B18</f>
        <v>平衡</v>
      </c>
      <c r="N11" s="59">
        <f t="shared" si="4"/>
        <v>-4.9116999999999962</v>
      </c>
      <c r="O11" s="59">
        <f t="shared" si="5"/>
        <v>-0.61226000000000003</v>
      </c>
      <c r="P11" s="59">
        <f t="shared" si="6"/>
        <v>-0.29074999999999918</v>
      </c>
      <c r="Q11" s="59">
        <f t="shared" si="7"/>
        <v>0</v>
      </c>
      <c r="R11" s="59">
        <f t="shared" si="8"/>
        <v>-5.6635999999999953</v>
      </c>
      <c r="S11" s="59">
        <f t="shared" si="9"/>
        <v>0</v>
      </c>
      <c r="T11" s="59">
        <f t="shared" si="10"/>
        <v>-6.9024000000000001</v>
      </c>
      <c r="U11" s="14"/>
      <c r="V11" s="27" t="str">
        <f t="shared" si="11"/>
        <v>平衡</v>
      </c>
      <c r="W11" s="59">
        <f>'M1'!B9*1</f>
        <v>74.535200000000003</v>
      </c>
      <c r="X11" s="59">
        <f>'M1'!C9*1</f>
        <v>6.2191700000000001</v>
      </c>
      <c r="Y11" s="59">
        <f>'M1'!D9*1</f>
        <v>8.3439399999999999</v>
      </c>
      <c r="Z11" s="59">
        <f>'M1'!E9*1</f>
        <v>50</v>
      </c>
      <c r="AA11" s="59">
        <f>'M1'!F9*1</f>
        <v>60.142299999999999</v>
      </c>
      <c r="AB11" s="59">
        <f>'M1'!G9*1</f>
        <v>100</v>
      </c>
      <c r="AC11" s="59">
        <f>'M1'!H9*1</f>
        <v>86.402299999999997</v>
      </c>
      <c r="AE11" s="27" t="str">
        <f t="shared" si="12"/>
        <v>平衡</v>
      </c>
      <c r="AF11" s="59">
        <f>'M2'!B9*1</f>
        <v>69.623500000000007</v>
      </c>
      <c r="AG11" s="59">
        <f>'M2'!C9*1</f>
        <v>5.6069100000000001</v>
      </c>
      <c r="AH11" s="59">
        <f>'M2'!D9*1</f>
        <v>8.0531900000000007</v>
      </c>
      <c r="AI11" s="59">
        <f>'M2'!E9*1</f>
        <v>50</v>
      </c>
      <c r="AJ11" s="59">
        <f>'M2'!F9*1</f>
        <v>54.478700000000003</v>
      </c>
      <c r="AK11" s="59">
        <f>'M2'!G9*1</f>
        <v>100</v>
      </c>
      <c r="AL11" s="59">
        <f>'M2'!H9*1</f>
        <v>79.499899999999997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12.35453</v>
      </c>
      <c r="D12" s="51">
        <f>N13</f>
        <v>5.6993999999999989</v>
      </c>
      <c r="E12" s="53">
        <f>T13</f>
        <v>1.0541000000000018</v>
      </c>
      <c r="F12" s="53">
        <f>P13</f>
        <v>-22.867180000000001</v>
      </c>
      <c r="G12" s="73" t="str">
        <f>CONCATENATE(M14,"
(50 ~ 100)")</f>
        <v>自我调节
(50 ~ 100)</v>
      </c>
      <c r="H12" s="24">
        <f>R14</f>
        <v>-2.5153000000000034</v>
      </c>
      <c r="I12" s="52">
        <f>N14</f>
        <v>-9.5764999999999958</v>
      </c>
      <c r="J12" s="24">
        <f>T14</f>
        <v>-12.427799999999991</v>
      </c>
      <c r="K12" s="25">
        <f>P14</f>
        <v>-3.7847400000000002</v>
      </c>
      <c r="L12" s="4"/>
      <c r="M12" s="27" t="str">
        <f>lang!B19</f>
        <v>自信</v>
      </c>
      <c r="N12" s="59">
        <f t="shared" si="4"/>
        <v>-14.826399999999992</v>
      </c>
      <c r="O12" s="59">
        <f t="shared" si="5"/>
        <v>-1.5322299999999998</v>
      </c>
      <c r="P12" s="59">
        <f t="shared" si="6"/>
        <v>-0.94437000000000015</v>
      </c>
      <c r="Q12" s="59">
        <f t="shared" si="7"/>
        <v>0</v>
      </c>
      <c r="R12" s="59">
        <f t="shared" si="8"/>
        <v>-9.7873999999999981</v>
      </c>
      <c r="S12" s="59">
        <f t="shared" si="9"/>
        <v>0</v>
      </c>
      <c r="T12" s="59">
        <f t="shared" si="10"/>
        <v>-11.564099999999996</v>
      </c>
      <c r="U12" s="15"/>
      <c r="V12" s="27" t="str">
        <f t="shared" si="11"/>
        <v>自信</v>
      </c>
      <c r="W12" s="59">
        <f>'M1'!B10*1</f>
        <v>82.053799999999995</v>
      </c>
      <c r="X12" s="59">
        <f>'M1'!C10*1</f>
        <v>4.9662199999999999</v>
      </c>
      <c r="Y12" s="59">
        <f>'M1'!D10*1</f>
        <v>6.0523899999999999</v>
      </c>
      <c r="Z12" s="59">
        <f>'M1'!E10*1</f>
        <v>40</v>
      </c>
      <c r="AA12" s="59">
        <f>'M1'!F10*1</f>
        <v>70.3476</v>
      </c>
      <c r="AB12" s="59">
        <f>'M1'!G10*1</f>
        <v>100</v>
      </c>
      <c r="AC12" s="59">
        <f>'M1'!H10*1</f>
        <v>84.967799999999997</v>
      </c>
      <c r="AE12" s="27" t="str">
        <f t="shared" si="12"/>
        <v>自信</v>
      </c>
      <c r="AF12" s="59">
        <f>'M2'!B10*1</f>
        <v>67.227400000000003</v>
      </c>
      <c r="AG12" s="59">
        <f>'M2'!C10*1</f>
        <v>3.4339900000000001</v>
      </c>
      <c r="AH12" s="59">
        <f>'M2'!D10*1</f>
        <v>5.1080199999999998</v>
      </c>
      <c r="AI12" s="59">
        <f>'M2'!E10*1</f>
        <v>40</v>
      </c>
      <c r="AJ12" s="59">
        <f>'M2'!F10*1</f>
        <v>60.560200000000002</v>
      </c>
      <c r="AK12" s="59">
        <f>'M2'!G10*1</f>
        <v>100</v>
      </c>
      <c r="AL12" s="59">
        <f>'M2'!H10*1</f>
        <v>73.403700000000001</v>
      </c>
    </row>
    <row r="13" spans="2:38" ht="25.5" customHeight="1" thickBot="1">
      <c r="B13" s="72" t="str">
        <f>CONCATENATE(M15,"
(10 ~ 25)")</f>
        <v>抑郁
(10 ~ 25)</v>
      </c>
      <c r="C13" s="54">
        <f>R15</f>
        <v>-1.7231000000000005</v>
      </c>
      <c r="D13" s="55">
        <f>N15</f>
        <v>-1.3216999999999999</v>
      </c>
      <c r="E13" s="56">
        <f>T15</f>
        <v>-0.23709999999999809</v>
      </c>
      <c r="F13" s="56">
        <f>P15</f>
        <v>2.3581799999999991</v>
      </c>
      <c r="G13" s="74" t="str">
        <f>CONCATENATE(M16,"
(10 ~ 50)")</f>
        <v>神经质
(10 ~ 50)</v>
      </c>
      <c r="H13" s="54">
        <f>R16</f>
        <v>0.26944999999999997</v>
      </c>
      <c r="I13" s="55">
        <f>N16</f>
        <v>2.6613999999999987</v>
      </c>
      <c r="J13" s="56">
        <f>T16</f>
        <v>-1.5030000000000001</v>
      </c>
      <c r="K13" s="57">
        <f>P16</f>
        <v>-2.1514000000000024</v>
      </c>
      <c r="M13" s="27" t="str">
        <f>lang!B20</f>
        <v>活力</v>
      </c>
      <c r="N13" s="59">
        <f t="shared" si="4"/>
        <v>5.6993999999999989</v>
      </c>
      <c r="O13" s="59">
        <f t="shared" si="5"/>
        <v>-3.4295830000000005</v>
      </c>
      <c r="P13" s="59">
        <f t="shared" si="6"/>
        <v>-22.867180000000001</v>
      </c>
      <c r="Q13" s="59">
        <f t="shared" si="7"/>
        <v>0</v>
      </c>
      <c r="R13" s="59">
        <f t="shared" si="8"/>
        <v>12.35453</v>
      </c>
      <c r="S13" s="59">
        <f t="shared" si="9"/>
        <v>0</v>
      </c>
      <c r="T13" s="59">
        <f t="shared" si="10"/>
        <v>1.0541000000000018</v>
      </c>
      <c r="U13" s="14"/>
      <c r="V13" s="27" t="str">
        <f t="shared" si="11"/>
        <v>活力</v>
      </c>
      <c r="W13" s="59">
        <f>'M1'!B11*1</f>
        <v>15.801</v>
      </c>
      <c r="X13" s="59">
        <f>'M1'!C11*1</f>
        <v>4.1224800000000004</v>
      </c>
      <c r="Y13" s="59">
        <f>'M1'!D11*1</f>
        <v>26.0899</v>
      </c>
      <c r="Z13" s="59">
        <f>'M1'!E11*1</f>
        <v>10</v>
      </c>
      <c r="AA13" s="59">
        <f>'M1'!F11*1</f>
        <v>7.3698699999999997</v>
      </c>
      <c r="AB13" s="59">
        <f>'M1'!G11*1</f>
        <v>50</v>
      </c>
      <c r="AC13" s="59">
        <f>'M1'!H11*1</f>
        <v>22.184799999999999</v>
      </c>
      <c r="AE13" s="27" t="str">
        <f t="shared" si="12"/>
        <v>活力</v>
      </c>
      <c r="AF13" s="59">
        <f>'M2'!B11*1</f>
        <v>21.500399999999999</v>
      </c>
      <c r="AG13" s="59">
        <f>'M2'!C11*1</f>
        <v>0.69289699999999999</v>
      </c>
      <c r="AH13" s="59">
        <f>'M2'!D11*1</f>
        <v>3.2227199999999998</v>
      </c>
      <c r="AI13" s="59">
        <f>'M2'!E11*1</f>
        <v>10</v>
      </c>
      <c r="AJ13" s="59">
        <f>'M2'!F11*1</f>
        <v>19.724399999999999</v>
      </c>
      <c r="AK13" s="59">
        <f>'M2'!G11*1</f>
        <v>50</v>
      </c>
      <c r="AL13" s="59">
        <f>'M2'!H11*1</f>
        <v>23.238900000000001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-9.5764999999999958</v>
      </c>
      <c r="O14" s="59">
        <f t="shared" si="5"/>
        <v>-3.2368000000000001</v>
      </c>
      <c r="P14" s="59">
        <f t="shared" si="6"/>
        <v>-3.7847400000000002</v>
      </c>
      <c r="Q14" s="59">
        <f t="shared" si="7"/>
        <v>0</v>
      </c>
      <c r="R14" s="59">
        <f t="shared" si="8"/>
        <v>-2.5153000000000034</v>
      </c>
      <c r="S14" s="59">
        <f t="shared" si="9"/>
        <v>0</v>
      </c>
      <c r="T14" s="59">
        <f t="shared" si="10"/>
        <v>-12.427799999999991</v>
      </c>
      <c r="U14" s="14"/>
      <c r="V14" s="27" t="str">
        <f t="shared" si="11"/>
        <v>自我调节</v>
      </c>
      <c r="W14" s="59">
        <f>'M1'!B12*1</f>
        <v>78.226900000000001</v>
      </c>
      <c r="X14" s="59">
        <f>'M1'!C12*1</f>
        <v>5.2161200000000001</v>
      </c>
      <c r="Y14" s="59">
        <f>'M1'!D12*1</f>
        <v>6.6679300000000001</v>
      </c>
      <c r="Z14" s="59">
        <f>'M1'!E12*1</f>
        <v>50</v>
      </c>
      <c r="AA14" s="59">
        <f>'M1'!F12*1</f>
        <v>66.148300000000006</v>
      </c>
      <c r="AB14" s="59">
        <f>'M1'!G12*1</f>
        <v>100</v>
      </c>
      <c r="AC14" s="59">
        <f>'M1'!H12*1</f>
        <v>84.687299999999993</v>
      </c>
      <c r="AE14" s="27" t="str">
        <f t="shared" si="12"/>
        <v>自我调节</v>
      </c>
      <c r="AF14" s="59">
        <f>'M2'!B12*1</f>
        <v>68.650400000000005</v>
      </c>
      <c r="AG14" s="59">
        <f>'M2'!C12*1</f>
        <v>1.97932</v>
      </c>
      <c r="AH14" s="59">
        <f>'M2'!D12*1</f>
        <v>2.8831899999999999</v>
      </c>
      <c r="AI14" s="59">
        <f>'M2'!E12*1</f>
        <v>50</v>
      </c>
      <c r="AJ14" s="59">
        <f>'M2'!F12*1</f>
        <v>63.633000000000003</v>
      </c>
      <c r="AK14" s="59">
        <f>'M2'!G12*1</f>
        <v>100</v>
      </c>
      <c r="AL14" s="59">
        <f>'M2'!H12*1</f>
        <v>72.259500000000003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-1.3216999999999999</v>
      </c>
      <c r="O15" s="59">
        <f t="shared" si="5"/>
        <v>0.26614000000000004</v>
      </c>
      <c r="P15" s="59">
        <f t="shared" si="6"/>
        <v>2.3581799999999991</v>
      </c>
      <c r="Q15" s="59">
        <f t="shared" si="7"/>
        <v>0</v>
      </c>
      <c r="R15" s="59">
        <f t="shared" si="8"/>
        <v>-1.7231000000000005</v>
      </c>
      <c r="S15" s="59">
        <f t="shared" si="9"/>
        <v>0</v>
      </c>
      <c r="T15" s="59">
        <f t="shared" si="10"/>
        <v>-0.23709999999999809</v>
      </c>
      <c r="U15" s="14"/>
      <c r="V15" s="27" t="str">
        <f t="shared" si="11"/>
        <v>抑郁</v>
      </c>
      <c r="W15" s="59">
        <f>'M1'!B13*1</f>
        <v>17.2806</v>
      </c>
      <c r="X15" s="59">
        <f>'M1'!C13*1</f>
        <v>1.4407399999999999</v>
      </c>
      <c r="Y15" s="59">
        <f>'M1'!D13*1</f>
        <v>8.3373200000000001</v>
      </c>
      <c r="Z15" s="59">
        <f>'M1'!E13*1</f>
        <v>10</v>
      </c>
      <c r="AA15" s="59">
        <f>'M1'!F13*1</f>
        <v>14.5922</v>
      </c>
      <c r="AB15" s="59">
        <f>'M1'!G13*1</f>
        <v>25</v>
      </c>
      <c r="AC15" s="59">
        <f>'M1'!H13*1</f>
        <v>20.7989</v>
      </c>
      <c r="AE15" s="27" t="str">
        <f t="shared" si="12"/>
        <v>抑郁</v>
      </c>
      <c r="AF15" s="59">
        <f>'M2'!B13*1</f>
        <v>15.9589</v>
      </c>
      <c r="AG15" s="59">
        <f>'M2'!C13*1</f>
        <v>1.70688</v>
      </c>
      <c r="AH15" s="59">
        <f>'M2'!D13*1</f>
        <v>10.695499999999999</v>
      </c>
      <c r="AI15" s="59">
        <f>'M2'!E13*1</f>
        <v>10</v>
      </c>
      <c r="AJ15" s="59">
        <f>'M2'!F13*1</f>
        <v>12.8691</v>
      </c>
      <c r="AK15" s="59">
        <f>'M2'!G13*1</f>
        <v>25</v>
      </c>
      <c r="AL15" s="59">
        <f>'M2'!H13*1</f>
        <v>20.561800000000002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2.6613999999999987</v>
      </c>
      <c r="O16" s="59">
        <f t="shared" si="5"/>
        <v>0.38198000000000043</v>
      </c>
      <c r="P16" s="59">
        <f t="shared" si="6"/>
        <v>-2.1514000000000024</v>
      </c>
      <c r="Q16" s="59">
        <f t="shared" si="7"/>
        <v>0</v>
      </c>
      <c r="R16" s="59">
        <f t="shared" si="8"/>
        <v>0.26944999999999997</v>
      </c>
      <c r="S16" s="59">
        <f t="shared" si="9"/>
        <v>0</v>
      </c>
      <c r="T16" s="59">
        <f t="shared" si="10"/>
        <v>-1.5030000000000001</v>
      </c>
      <c r="U16" s="15"/>
      <c r="V16" s="27" t="str">
        <f t="shared" si="11"/>
        <v>神经质</v>
      </c>
      <c r="W16" s="59">
        <f>'M1'!B14*1</f>
        <v>14.407400000000001</v>
      </c>
      <c r="X16" s="59">
        <f>'M1'!C14*1</f>
        <v>4.0557699999999999</v>
      </c>
      <c r="Y16" s="59">
        <f>'M1'!D14*1</f>
        <v>28.150600000000001</v>
      </c>
      <c r="Z16" s="59">
        <f>'M1'!E14*1</f>
        <v>10</v>
      </c>
      <c r="AA16" s="59">
        <f>'M1'!F14*1</f>
        <v>1.99254</v>
      </c>
      <c r="AB16" s="59">
        <f>'M1'!G14*1</f>
        <v>50</v>
      </c>
      <c r="AC16" s="59">
        <f>'M1'!H14*1</f>
        <v>21.371200000000002</v>
      </c>
      <c r="AE16" s="27" t="str">
        <f t="shared" si="12"/>
        <v>神经质</v>
      </c>
      <c r="AF16" s="59">
        <f>'M2'!B14*1</f>
        <v>17.0688</v>
      </c>
      <c r="AG16" s="59">
        <f>'M2'!C14*1</f>
        <v>4.4377500000000003</v>
      </c>
      <c r="AH16" s="59">
        <f>'M2'!D14*1</f>
        <v>25.999199999999998</v>
      </c>
      <c r="AI16" s="59">
        <f>'M2'!E14*1</f>
        <v>10</v>
      </c>
      <c r="AJ16" s="59">
        <f>'M2'!F14*1</f>
        <v>2.2619899999999999</v>
      </c>
      <c r="AK16" s="59">
        <f>'M2'!G14*1</f>
        <v>50</v>
      </c>
      <c r="AL16" s="59">
        <f>'M2'!H14*1</f>
        <v>19.868200000000002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-5.9037999999999968</v>
      </c>
      <c r="O17" s="22">
        <f>N17/(N17+N18+N19)</f>
        <v>7.8010042283298411</v>
      </c>
      <c r="P17" s="65">
        <f>SUM(P11:P14)/4</f>
        <v>-6.9717599999999997</v>
      </c>
      <c r="Q17" s="22">
        <f>P17/(P17+P18+P19)</f>
        <v>0.3559204961004126</v>
      </c>
      <c r="R17" s="14"/>
      <c r="S17" s="14"/>
      <c r="T17" s="14"/>
      <c r="U17" s="14"/>
      <c r="V17" s="21" t="str">
        <f>M17</f>
        <v>Positive</v>
      </c>
      <c r="W17" s="65">
        <f>SUM(W11:W14)/4</f>
        <v>62.654224999999997</v>
      </c>
      <c r="X17" s="22">
        <f>W17/(W17+W18+W19)</f>
        <v>0.58379230694689288</v>
      </c>
      <c r="Y17" s="65">
        <f>SUM(Y11:Y14)/4</f>
        <v>11.788539999999999</v>
      </c>
      <c r="Z17" s="22">
        <f>Y17/(Y17+Y18+Y19)</f>
        <v>0.24070685512461287</v>
      </c>
      <c r="AA17" s="14"/>
      <c r="AB17" s="14"/>
      <c r="AC17" s="14"/>
      <c r="AE17" s="21" t="str">
        <f>V17</f>
        <v>Positive</v>
      </c>
      <c r="AF17" s="65">
        <f>SUM(AF11:AF14)/4</f>
        <v>56.750425000000007</v>
      </c>
      <c r="AG17" s="22">
        <f>AF17/(AF17+AF18+AF19)</f>
        <v>0.5325378169397369</v>
      </c>
      <c r="AH17" s="65">
        <f>SUM(AH11:AH14)/4</f>
        <v>4.8167799999999996</v>
      </c>
      <c r="AI17" s="22">
        <f>AH17/(AH17+AH18+AH19)</f>
        <v>0.16391017638758751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4.4771500000000009</v>
      </c>
      <c r="O18" s="22">
        <f>N18/(N17+N18+N19)</f>
        <v>-5.9158958773784631</v>
      </c>
      <c r="P18" s="18">
        <f>SUM(P7:P10)/4</f>
        <v>-12.7196</v>
      </c>
      <c r="Q18" s="22">
        <f>P18/(P17+P18+P19)</f>
        <v>0.64935774355382403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28.824575000000003</v>
      </c>
      <c r="X18" s="22">
        <f>W18/(W17+W18+W19)</f>
        <v>0.26857829836716895</v>
      </c>
      <c r="Y18" s="18">
        <f>SUM(Y7:Y10)/4</f>
        <v>18.942174999999999</v>
      </c>
      <c r="Z18" s="22">
        <f>Y18/(Y17+Y18+Y19)</f>
        <v>0.38677489947610677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33.301725000000005</v>
      </c>
      <c r="AG18" s="22">
        <f>AF18/(AF17+AF18+AF19)</f>
        <v>0.31249859242159794</v>
      </c>
      <c r="AH18" s="18">
        <f>SUM(AH7:AH10)/4</f>
        <v>6.222575</v>
      </c>
      <c r="AI18" s="22">
        <f>AH18/(AH17+AH18+AH19)</f>
        <v>0.21174796561914649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0.66984999999999939</v>
      </c>
      <c r="O19" s="22">
        <f>N19/(N17+N18+N19)</f>
        <v>-0.88510835095137741</v>
      </c>
      <c r="P19" s="18">
        <f>(P15+P16)/2</f>
        <v>0.10338999999999832</v>
      </c>
      <c r="Q19" s="22">
        <f>P19/(P17+P18+P19)</f>
        <v>-5.2782396542366723E-3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15.844000000000001</v>
      </c>
      <c r="X19" s="22">
        <f>W19/(W17+W18+W19)</f>
        <v>0.14762939468593814</v>
      </c>
      <c r="Y19" s="18">
        <f>(Y15+Y16)/2</f>
        <v>18.243960000000001</v>
      </c>
      <c r="Z19" s="22">
        <f>Y19/(Y17+Y18+Y19)</f>
        <v>0.37251824539928041</v>
      </c>
      <c r="AA19" s="14"/>
      <c r="AB19" s="14"/>
      <c r="AC19" s="14"/>
      <c r="AE19" s="21" t="str">
        <f t="shared" si="14"/>
        <v>Physiological</v>
      </c>
      <c r="AF19" s="18">
        <f>(AF15+AF16)/2</f>
        <v>16.513849999999998</v>
      </c>
      <c r="AG19" s="22">
        <f>AF19/(AF17+AF18+AF19)</f>
        <v>0.15496359063866522</v>
      </c>
      <c r="AH19" s="18">
        <f>(AH15+AH16)/2</f>
        <v>18.347349999999999</v>
      </c>
      <c r="AI19" s="22">
        <f>AH19/(AH17+AH18+AH19)</f>
        <v>0.62434185799326603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1.23/1.58</v>
      </c>
      <c r="D24" s="44" t="str">
        <f>lang!B11</f>
        <v>频率方差</v>
      </c>
      <c r="E24" s="182" t="str">
        <f ca="1">CONCATENATE(ROUND('FH1'!L3,2),"/",ROUND('FH2'!L3,2))</f>
        <v>0.51/0.5</v>
      </c>
      <c r="F24" s="183"/>
      <c r="G24" s="174" t="str">
        <f>lang!B12</f>
        <v>生理变化率</v>
      </c>
      <c r="H24" s="175"/>
      <c r="I24" s="62" t="str">
        <f ca="1">CONCATENATE(info!M7,"-",info!M8)</f>
        <v>47.2-71.9</v>
      </c>
      <c r="J24" s="42" t="str">
        <f>lang!B13</f>
        <v>千卡l/分钟</v>
      </c>
      <c r="K24" s="41" t="str">
        <f ca="1">CONCATENATE(info!M5,"-",info!M6)</f>
        <v>1.6-3.3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4.5274999999999954</v>
      </c>
      <c r="F27" s="121"/>
      <c r="G27" s="135" t="str">
        <f>lang!B33</f>
        <v>稳定性</v>
      </c>
      <c r="H27" s="136"/>
      <c r="I27" s="137"/>
      <c r="J27" s="138">
        <f>dM!B19*100</f>
        <v>11.275600000000008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-0.9705109176362553</v>
      </c>
      <c r="C2">
        <f t="array" aca="1" ref="C2" ca="1">CORREL(FT_E02,FT_PH02)</f>
        <v>-0.95299928130832678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1.61172</v>
      </c>
      <c r="G2" s="61">
        <f>IF(FT!B2&lt;&gt;"",FT!B2*100,"")</f>
        <v>71.862099999999998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4.9668900000000002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1.9478000000000002E-2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1.65137</v>
      </c>
      <c r="G3" s="61">
        <f>IF(FT!B3&lt;&gt;"",FT!B3*100,"")</f>
        <v>71.5304</v>
      </c>
      <c r="H3" s="61">
        <f t="shared" ref="H3:H66" si="1">(IF(F3&lt;&gt;"",1,""))</f>
        <v>1</v>
      </c>
      <c r="I3" t="str">
        <f>IF(FT!B3&lt;&gt;"",FT!E3,"")</f>
        <v>1 [0.388969]</v>
      </c>
      <c r="J3">
        <f>IF(FT!B3&lt;&gt;"",FT!C3,"")</f>
        <v>0.38896900000000001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0.56724450000000026</v>
      </c>
      <c r="V3">
        <f ca="1">AVERAGE(OFFSET(FT!B2,info!$L$3/2,0,info!$L$3/2,1))</f>
        <v>0.4898794594594596</v>
      </c>
      <c r="W3">
        <f ca="1">AVERAGE(OFFSET(FT!A2,0,0,info!$L$3/2,1))</f>
        <v>0.26173402702702708</v>
      </c>
      <c r="X3">
        <f ca="1">AVERAGE(OFFSET(FT!A2,info!$L$3/2,0,info!$L$3/2,1))</f>
        <v>0.31838527027027019</v>
      </c>
    </row>
    <row r="4" spans="1:24">
      <c r="A4" s="61">
        <f t="shared" ref="A4:A67" si="2">A3+1</f>
        <v>2</v>
      </c>
      <c r="B4" s="61">
        <f t="shared" si="0"/>
        <v>3.8956000000000005E-2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1.6903899999999998</v>
      </c>
      <c r="G4" s="61">
        <f>IF(FT!B4&lt;&gt;"",FT!B4*100,"")</f>
        <v>71.253</v>
      </c>
      <c r="H4" s="61">
        <f t="shared" si="1"/>
        <v>1</v>
      </c>
      <c r="I4" t="str">
        <f>IF(FT!B4&lt;&gt;"",FT!E4,"")</f>
        <v>1 [0.794725]</v>
      </c>
      <c r="J4">
        <f>IF(FT!B4&lt;&gt;"",FT!C4,"")</f>
        <v>0.79472500000000001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15.042175</v>
      </c>
      <c r="V4">
        <f>U4*3</f>
        <v>45.126525000000001</v>
      </c>
      <c r="W4">
        <f>U4</f>
        <v>15.042175</v>
      </c>
      <c r="X4">
        <f>V4</f>
        <v>45.126525000000001</v>
      </c>
    </row>
    <row r="5" spans="1:24">
      <c r="A5" s="61">
        <f t="shared" si="2"/>
        <v>3</v>
      </c>
      <c r="B5" s="61">
        <f t="shared" si="0"/>
        <v>5.8434E-2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1.72967</v>
      </c>
      <c r="G5" s="61">
        <f>IF(FT!B5&lt;&gt;"",FT!B5*100,"")</f>
        <v>70.955199999999991</v>
      </c>
      <c r="H5" s="61">
        <f t="shared" si="1"/>
        <v>1</v>
      </c>
      <c r="I5" t="str">
        <f>IF(FT!B5&lt;&gt;"",FT!E5,"")</f>
        <v>1 [1.197654]</v>
      </c>
      <c r="J5">
        <f>IF(FT!B5&lt;&gt;"",FT!C5,"")</f>
        <v>1.1976500000000001</v>
      </c>
      <c r="K5" t="s">
        <v>53</v>
      </c>
      <c r="L5" s="63">
        <f ca="1">MIN(FT_E)</f>
        <v>1.61172</v>
      </c>
      <c r="M5" s="63">
        <f ca="1">ROUND(L5,1)</f>
        <v>1.6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56.724450000000026</v>
      </c>
      <c r="V5">
        <f ca="1">V3*100</f>
        <v>48.98794594594596</v>
      </c>
      <c r="W5">
        <f ca="1">W3*10</f>
        <v>2.6173402702702706</v>
      </c>
      <c r="X5">
        <f ca="1">X3*10</f>
        <v>3.1838527027027022</v>
      </c>
    </row>
    <row r="6" spans="1:24">
      <c r="A6" s="61">
        <f t="shared" si="2"/>
        <v>4</v>
      </c>
      <c r="B6" s="61">
        <f t="shared" si="0"/>
        <v>7.7912000000000009E-2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1.7688499999999998</v>
      </c>
      <c r="G6" s="61">
        <f>IF(FT!B6&lt;&gt;"",FT!B6*100,"")</f>
        <v>70.551500000000004</v>
      </c>
      <c r="H6" s="61">
        <f t="shared" si="1"/>
        <v>1</v>
      </c>
      <c r="I6" t="str">
        <f>IF(FT!B6&lt;&gt;"",FT!E6,"")</f>
        <v>1 [1.607596]</v>
      </c>
      <c r="J6">
        <f>IF(FT!B6&lt;&gt;"",FT!C6,"")</f>
        <v>1.6075999999999999</v>
      </c>
      <c r="K6" t="s">
        <v>54</v>
      </c>
      <c r="L6" s="63">
        <f ca="1">MAX(FT_E)</f>
        <v>3.2523999999999997</v>
      </c>
      <c r="M6" s="63">
        <f ca="1">ROUND(L6,1)</f>
        <v>3.3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9.7390000000000004E-2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1.8069500000000001</v>
      </c>
      <c r="G7" s="61">
        <f>IF(FT!B7&lt;&gt;"",FT!B7*100,"")</f>
        <v>70.039200000000008</v>
      </c>
      <c r="H7" s="61">
        <f t="shared" si="1"/>
        <v>1</v>
      </c>
      <c r="I7" t="str">
        <f>IF(FT!B7&lt;&gt;"",FT!E7,"")</f>
        <v>1 [2.015409]</v>
      </c>
      <c r="J7">
        <f>IF(FT!B7&lt;&gt;"",FT!C7,"")</f>
        <v>2.0154100000000001</v>
      </c>
      <c r="K7" t="s">
        <v>55</v>
      </c>
      <c r="L7" s="63">
        <f ca="1">MIN(FT_PH)</f>
        <v>47.220199999999998</v>
      </c>
      <c r="M7" s="63">
        <f ca="1">ROUND(L7,1)</f>
        <v>47.2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0.116868</v>
      </c>
      <c r="C8" s="61">
        <f>FH!A8*1</f>
        <v>4005</v>
      </c>
      <c r="D8" s="61">
        <f>FH!B8*1</f>
        <v>4005</v>
      </c>
      <c r="E8">
        <f t="shared" si="3"/>
        <v>6</v>
      </c>
      <c r="F8" s="61">
        <f>IF(FT!A8&lt;&gt;"",FT!A8*10,"")</f>
        <v>1.84365</v>
      </c>
      <c r="G8" s="61">
        <f>IF(FT!B8&lt;&gt;"",FT!B8*100,"")</f>
        <v>69.483599999999996</v>
      </c>
      <c r="H8" s="61">
        <f t="shared" si="1"/>
        <v>1</v>
      </c>
      <c r="I8" t="str">
        <f>IF(FT!B8&lt;&gt;"",FT!E8,"")</f>
        <v>1 [2.419430]</v>
      </c>
      <c r="J8">
        <f>IF(FT!B8&lt;&gt;"",FT!C8,"")</f>
        <v>2.4194300000000002</v>
      </c>
      <c r="K8" t="s">
        <v>56</v>
      </c>
      <c r="L8" s="63">
        <f ca="1">MAX(FT_PH)</f>
        <v>71.862099999999998</v>
      </c>
      <c r="M8" s="63">
        <f ca="1">ROUND(L8,1)</f>
        <v>71.900000000000006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0.13634599999999999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1.88157</v>
      </c>
      <c r="G9" s="61">
        <f>IF(FT!B9&lt;&gt;"",FT!B9*100,"")</f>
        <v>68.772100000000009</v>
      </c>
      <c r="H9" s="61">
        <f t="shared" si="1"/>
        <v>1</v>
      </c>
      <c r="I9" t="str">
        <f>IF(FT!B9&lt;&gt;"",FT!E9,"")</f>
        <v>1 [2.828371]</v>
      </c>
      <c r="J9">
        <f>IF(FT!B9&lt;&gt;"",FT!C9,"")</f>
        <v>2.8283700000000001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0.15582400000000002</v>
      </c>
      <c r="C10" s="61">
        <f>FH!A10*1</f>
        <v>6617</v>
      </c>
      <c r="D10" s="61">
        <f>FH!B10*1</f>
        <v>6617</v>
      </c>
      <c r="E10">
        <f t="shared" si="3"/>
        <v>8</v>
      </c>
      <c r="F10" s="61">
        <f>IF(FT!A10&lt;&gt;"",FT!A10*10,"")</f>
        <v>1.9198499999999998</v>
      </c>
      <c r="G10" s="61">
        <f>IF(FT!B10&lt;&gt;"",FT!B10*100,"")</f>
        <v>67.9495</v>
      </c>
      <c r="H10" s="61">
        <f t="shared" si="1"/>
        <v>1</v>
      </c>
      <c r="I10" t="str">
        <f>IF(FT!B10&lt;&gt;"",FT!E10,"")</f>
        <v>1 [3.232592]</v>
      </c>
      <c r="J10">
        <f>IF(FT!B10&lt;&gt;"",FT!C10,"")</f>
        <v>3.2325900000000001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0.17530200000000001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1.9569000000000001</v>
      </c>
      <c r="G11" s="61">
        <f>IF(FT!B11&lt;&gt;"",FT!B11*100,"")</f>
        <v>67.106200000000001</v>
      </c>
      <c r="H11" s="61">
        <f t="shared" si="1"/>
        <v>1</v>
      </c>
      <c r="I11" t="str">
        <f>IF(FT!B11&lt;&gt;"",FT!E11,"")</f>
        <v>1 [3.636432]</v>
      </c>
      <c r="J11">
        <f>IF(FT!B11&lt;&gt;"",FT!C11,"")</f>
        <v>3.6364299999999998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0.19478000000000001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1.9923599999999999</v>
      </c>
      <c r="G12" s="61">
        <f>IF(FT!B12&lt;&gt;"",FT!B12*100,"")</f>
        <v>66.289299999999997</v>
      </c>
      <c r="H12" s="61">
        <f t="shared" si="1"/>
        <v>1</v>
      </c>
      <c r="I12" t="str">
        <f>IF(FT!B12&lt;&gt;"",FT!E12,"")</f>
        <v>1 [4.043257]</v>
      </c>
      <c r="J12">
        <f>IF(FT!B12&lt;&gt;"",FT!C12,"")</f>
        <v>4.0432600000000001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0.214258</v>
      </c>
      <c r="C13" s="61">
        <f>FH!A13*1</f>
        <v>10752</v>
      </c>
      <c r="D13" s="61">
        <f>FH!B13*1</f>
        <v>10752</v>
      </c>
      <c r="E13">
        <f t="shared" si="3"/>
        <v>11</v>
      </c>
      <c r="F13" s="61">
        <f>IF(FT!A13&lt;&gt;"",FT!A13*10,"")</f>
        <v>2.0263800000000001</v>
      </c>
      <c r="G13" s="61">
        <f>IF(FT!B13&lt;&gt;"",FT!B13*100,"")</f>
        <v>65.536500000000004</v>
      </c>
      <c r="H13" s="61">
        <f t="shared" si="1"/>
        <v>1</v>
      </c>
      <c r="I13" t="str">
        <f>IF(FT!B13&lt;&gt;"",FT!E13,"")</f>
        <v>1 [4.452108]</v>
      </c>
      <c r="J13">
        <f>IF(FT!B13&lt;&gt;"",FT!C13,"")</f>
        <v>4.4521100000000002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0.233736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2.0590199999999999</v>
      </c>
      <c r="G14" s="61">
        <f>IF(FT!B14&lt;&gt;"",FT!B14*100,"")</f>
        <v>64.789400000000001</v>
      </c>
      <c r="H14" s="61">
        <f t="shared" si="1"/>
        <v>1</v>
      </c>
      <c r="I14" t="str">
        <f>IF(FT!B14&lt;&gt;"",FT!E14,"")</f>
        <v>1 [4.856911]</v>
      </c>
      <c r="J14">
        <f>IF(FT!B14&lt;&gt;"",FT!C14,"")</f>
        <v>4.8569100000000001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0.25321399999999999</v>
      </c>
      <c r="C15" s="61">
        <f>FH!A15*1</f>
        <v>19941</v>
      </c>
      <c r="D15" s="61">
        <f>FH!B15*1</f>
        <v>19941</v>
      </c>
      <c r="E15">
        <f t="shared" si="3"/>
        <v>13</v>
      </c>
      <c r="F15" s="61">
        <f>IF(FT!A15&lt;&gt;"",FT!A15*10,"")</f>
        <v>2.0918800000000002</v>
      </c>
      <c r="G15" s="61">
        <f>IF(FT!B15&lt;&gt;"",FT!B15*100,"")</f>
        <v>64.05619999999999</v>
      </c>
      <c r="H15" s="61">
        <f t="shared" si="1"/>
        <v>1</v>
      </c>
      <c r="I15" t="str">
        <f>IF(FT!B15&lt;&gt;"",FT!E15,"")</f>
        <v>1 [5.259983]</v>
      </c>
      <c r="J15">
        <f>IF(FT!B15&lt;&gt;"",FT!C15,"")</f>
        <v>5.2599799999999997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0.27269199999999999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2.1255999999999999</v>
      </c>
      <c r="G16" s="61">
        <f>IF(FT!B16&lt;&gt;"",FT!B16*100,"")</f>
        <v>63.283599999999993</v>
      </c>
      <c r="H16" s="61">
        <f t="shared" si="1"/>
        <v>1</v>
      </c>
      <c r="I16" t="str">
        <f>IF(FT!B16&lt;&gt;"",FT!E16,"")</f>
        <v>1 [5.668777]</v>
      </c>
      <c r="J16">
        <f>IF(FT!B16&lt;&gt;"",FT!C16,"")</f>
        <v>5.6687799999999999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0.29216999999999999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2.1561500000000002</v>
      </c>
      <c r="G17" s="61">
        <f>IF(FT!B17&lt;&gt;"",FT!B17*100,"")</f>
        <v>62.572399999999995</v>
      </c>
      <c r="H17" s="61">
        <f t="shared" si="1"/>
        <v>1</v>
      </c>
      <c r="I17" t="str">
        <f>IF(FT!B17&lt;&gt;"",FT!E17,"")</f>
        <v>1 [6.076711]</v>
      </c>
      <c r="J17">
        <f>IF(FT!B17&lt;&gt;"",FT!C17,"")</f>
        <v>6.0767100000000003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0.31164800000000004</v>
      </c>
      <c r="C18" s="61">
        <f>FH!A18*1</f>
        <v>32262</v>
      </c>
      <c r="D18" s="61">
        <f>FH!B18*1</f>
        <v>32262</v>
      </c>
      <c r="E18">
        <f t="shared" si="3"/>
        <v>16</v>
      </c>
      <c r="F18" s="61">
        <f>IF(FT!A18&lt;&gt;"",FT!A18*10,"")</f>
        <v>2.1819899999999999</v>
      </c>
      <c r="G18" s="61">
        <f>IF(FT!B18&lt;&gt;"",FT!B18*100,"")</f>
        <v>61.983699999999999</v>
      </c>
      <c r="H18" s="61">
        <f t="shared" si="1"/>
        <v>1</v>
      </c>
      <c r="I18" t="str">
        <f>IF(FT!B18&lt;&gt;"",FT!E18,"")</f>
        <v>1 [6.480909]</v>
      </c>
      <c r="J18">
        <f>IF(FT!B18&lt;&gt;"",FT!C18,"")</f>
        <v>6.4809099999999997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0.33112600000000003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2.20756</v>
      </c>
      <c r="G19" s="61">
        <f>IF(FT!B19&lt;&gt;"",FT!B19*100,"")</f>
        <v>61.372199999999999</v>
      </c>
      <c r="H19" s="61">
        <f t="shared" si="1"/>
        <v>1</v>
      </c>
      <c r="I19" t="str">
        <f>IF(FT!B19&lt;&gt;"",FT!E19,"")</f>
        <v>1 [6.887934]</v>
      </c>
      <c r="J19">
        <f>IF(FT!B19&lt;&gt;"",FT!C19,"")</f>
        <v>6.8879299999999999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0.35060400000000003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2.2348699999999999</v>
      </c>
      <c r="G20" s="61">
        <f>IF(FT!B20&lt;&gt;"",FT!B20*100,"")</f>
        <v>60.691799999999994</v>
      </c>
      <c r="H20" s="61">
        <f t="shared" si="1"/>
        <v>1</v>
      </c>
      <c r="I20" t="str">
        <f>IF(FT!B20&lt;&gt;"",FT!E20,"")</f>
        <v>1 [7.290441]</v>
      </c>
      <c r="J20">
        <f>IF(FT!B20&lt;&gt;"",FT!C20,"")</f>
        <v>7.2904400000000003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0.37008200000000002</v>
      </c>
      <c r="C21" s="61">
        <f>FH!A21*1</f>
        <v>38668</v>
      </c>
      <c r="D21" s="61">
        <f>FH!B21*1</f>
        <v>38668</v>
      </c>
      <c r="E21">
        <f t="shared" si="3"/>
        <v>19</v>
      </c>
      <c r="F21" s="61">
        <f>IF(FT!A21&lt;&gt;"",FT!A21*10,"")</f>
        <v>2.2650200000000003</v>
      </c>
      <c r="G21" s="61">
        <f>IF(FT!B21&lt;&gt;"",FT!B21*100,"")</f>
        <v>59.981899999999996</v>
      </c>
      <c r="H21" s="61">
        <f t="shared" si="1"/>
        <v>1</v>
      </c>
      <c r="I21" t="str">
        <f>IF(FT!B21&lt;&gt;"",FT!E21,"")</f>
        <v>1 [7.701761]</v>
      </c>
      <c r="J21">
        <f>IF(FT!B21&lt;&gt;"",FT!C21,"")</f>
        <v>7.7017600000000002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0.38956000000000002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2.2955100000000002</v>
      </c>
      <c r="G22" s="61">
        <f>IF(FT!B22&lt;&gt;"",FT!B22*100,"")</f>
        <v>59.302</v>
      </c>
      <c r="H22" s="61">
        <f t="shared" si="1"/>
        <v>1</v>
      </c>
      <c r="I22" t="str">
        <f>IF(FT!B22&lt;&gt;"",FT!E22,"")</f>
        <v>1 [8.107318]</v>
      </c>
      <c r="J22">
        <f>IF(FT!B22&lt;&gt;"",FT!C22,"")</f>
        <v>8.1073199999999996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0.40903800000000001</v>
      </c>
      <c r="C23" s="61">
        <f>FH!A23*1</f>
        <v>50526</v>
      </c>
      <c r="D23" s="61">
        <f>FH!B23*1</f>
        <v>50526</v>
      </c>
      <c r="E23">
        <f t="shared" si="3"/>
        <v>21</v>
      </c>
      <c r="F23" s="61">
        <f>IF(FT!A23&lt;&gt;"",FT!A23*10,"")</f>
        <v>2.3258300000000003</v>
      </c>
      <c r="G23" s="61">
        <f>IF(FT!B23&lt;&gt;"",FT!B23*100,"")</f>
        <v>58.619299999999996</v>
      </c>
      <c r="H23" s="61">
        <f t="shared" si="1"/>
        <v>1</v>
      </c>
      <c r="I23" t="str">
        <f>IF(FT!B23&lt;&gt;"",FT!E23,"")</f>
        <v>1 [8.512386]</v>
      </c>
      <c r="J23">
        <f>IF(FT!B23&lt;&gt;"",FT!C23,"")</f>
        <v>8.5123899999999999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0.42851600000000001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2.3564400000000001</v>
      </c>
      <c r="G24" s="61">
        <f>IF(FT!B24&lt;&gt;"",FT!B24*100,"")</f>
        <v>57.9955</v>
      </c>
      <c r="H24" s="61">
        <f t="shared" si="1"/>
        <v>1</v>
      </c>
      <c r="I24" t="str">
        <f>IF(FT!B24&lt;&gt;"",FT!E24,"")</f>
        <v>1 [8.921991]</v>
      </c>
      <c r="J24">
        <f>IF(FT!B24&lt;&gt;"",FT!C24,"")</f>
        <v>8.9219899999999992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0.447994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2.3822299999999998</v>
      </c>
      <c r="G25" s="61">
        <f>IF(FT!B25&lt;&gt;"",FT!B25*100,"")</f>
        <v>57.576400000000007</v>
      </c>
      <c r="H25" s="61">
        <f t="shared" si="1"/>
        <v>1</v>
      </c>
      <c r="I25" t="str">
        <f>IF(FT!B25&lt;&gt;"",FT!E25,"")</f>
        <v>1 [9.328966]</v>
      </c>
      <c r="J25">
        <f>IF(FT!B25&lt;&gt;"",FT!C25,"")</f>
        <v>9.32897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0.467472</v>
      </c>
      <c r="C26" s="61">
        <f>FH!A26*1</f>
        <v>56473</v>
      </c>
      <c r="D26" s="61">
        <f>FH!B26*1</f>
        <v>56473</v>
      </c>
      <c r="E26">
        <f t="shared" si="3"/>
        <v>24</v>
      </c>
      <c r="F26" s="61">
        <f>IF(FT!A26&lt;&gt;"",FT!A26*10,"")</f>
        <v>2.4095499999999999</v>
      </c>
      <c r="G26" s="61">
        <f>IF(FT!B26&lt;&gt;"",FT!B26*100,"")</f>
        <v>57.170299999999997</v>
      </c>
      <c r="H26" s="61">
        <f t="shared" si="1"/>
        <v>1</v>
      </c>
      <c r="I26" t="str">
        <f>IF(FT!B26&lt;&gt;"",FT!E26,"")</f>
        <v>1 [9.730883]</v>
      </c>
      <c r="J26">
        <f>IF(FT!B26&lt;&gt;"",FT!C26,"")</f>
        <v>9.7308800000000009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0.48694999999999999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2.4377299999999997</v>
      </c>
      <c r="G27" s="61">
        <f>IF(FT!B27&lt;&gt;"",FT!B27*100,"")</f>
        <v>56.757500000000007</v>
      </c>
      <c r="H27" s="61">
        <f t="shared" si="1"/>
        <v>1</v>
      </c>
      <c r="I27" t="str">
        <f>IF(FT!B27&lt;&gt;"",FT!E27,"")</f>
        <v>1 [10.137872]</v>
      </c>
      <c r="J27">
        <f>IF(FT!B27&lt;&gt;"",FT!C27,"")</f>
        <v>10.1379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0.50642799999999999</v>
      </c>
      <c r="C28" s="61">
        <f>FH!A28*1</f>
        <v>66183</v>
      </c>
      <c r="D28" s="61">
        <f>FH!B28*1</f>
        <v>66183</v>
      </c>
      <c r="E28">
        <f t="shared" si="3"/>
        <v>26</v>
      </c>
      <c r="F28" s="61">
        <f>IF(FT!A28&lt;&gt;"",FT!A28*10,"")</f>
        <v>2.46739</v>
      </c>
      <c r="G28" s="61">
        <f>IF(FT!B28&lt;&gt;"",FT!B28*100,"")</f>
        <v>56.378900000000002</v>
      </c>
      <c r="H28" s="61">
        <f t="shared" si="1"/>
        <v>1</v>
      </c>
      <c r="I28" t="str">
        <f>IF(FT!B28&lt;&gt;"",FT!E28,"")</f>
        <v>1 [10.541641]</v>
      </c>
      <c r="J28">
        <f>IF(FT!B28&lt;&gt;"",FT!C28,"")</f>
        <v>10.541600000000001</v>
      </c>
    </row>
    <row r="29" spans="1:19">
      <c r="A29" s="61">
        <f t="shared" si="2"/>
        <v>27</v>
      </c>
      <c r="B29" s="61">
        <f t="shared" si="0"/>
        <v>0.52590599999999998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2.4976499999999997</v>
      </c>
      <c r="G29" s="61">
        <f>IF(FT!B29&lt;&gt;"",FT!B29*100,"")</f>
        <v>55.978200000000001</v>
      </c>
      <c r="H29" s="61">
        <f t="shared" si="1"/>
        <v>1</v>
      </c>
      <c r="I29" t="str">
        <f>IF(FT!B29&lt;&gt;"",FT!E29,"")</f>
        <v>1 [10.951652]</v>
      </c>
      <c r="J29">
        <f>IF(FT!B29&lt;&gt;"",FT!C29,"")</f>
        <v>10.951700000000001</v>
      </c>
    </row>
    <row r="30" spans="1:19">
      <c r="A30" s="61">
        <f t="shared" si="2"/>
        <v>28</v>
      </c>
      <c r="B30" s="61">
        <f t="shared" si="0"/>
        <v>0.54538399999999998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2.5262000000000002</v>
      </c>
      <c r="G30" s="61">
        <f>IF(FT!B30&lt;&gt;"",FT!B30*100,"")</f>
        <v>55.6218</v>
      </c>
      <c r="H30" s="61">
        <f t="shared" si="1"/>
        <v>1</v>
      </c>
      <c r="I30" t="str">
        <f>IF(FT!B30&lt;&gt;"",FT!E30,"")</f>
        <v>1 [11.357419]</v>
      </c>
      <c r="J30">
        <f>IF(FT!B30&lt;&gt;"",FT!C30,"")</f>
        <v>11.3574</v>
      </c>
    </row>
    <row r="31" spans="1:19">
      <c r="A31" s="61">
        <f t="shared" si="2"/>
        <v>29</v>
      </c>
      <c r="B31" s="61">
        <f t="shared" si="0"/>
        <v>0.56486199999999998</v>
      </c>
      <c r="C31" s="61">
        <f>FH!A31*1</f>
        <v>66356</v>
      </c>
      <c r="D31" s="61">
        <f>FH!B31*1</f>
        <v>66356</v>
      </c>
      <c r="E31">
        <f t="shared" si="3"/>
        <v>29</v>
      </c>
      <c r="F31" s="61">
        <f>IF(FT!A31&lt;&gt;"",FT!A31*10,"")</f>
        <v>2.5509599999999999</v>
      </c>
      <c r="G31" s="61">
        <f>IF(FT!B31&lt;&gt;"",FT!B31*100,"")</f>
        <v>55.372699999999995</v>
      </c>
      <c r="H31" s="61">
        <f t="shared" si="1"/>
        <v>1</v>
      </c>
      <c r="I31" t="str">
        <f>IF(FT!B31&lt;&gt;"",FT!E31,"")</f>
        <v>1 [11.764561]</v>
      </c>
      <c r="J31">
        <f>IF(FT!B31&lt;&gt;"",FT!C31,"")</f>
        <v>11.7646</v>
      </c>
    </row>
    <row r="32" spans="1:19">
      <c r="A32" s="61">
        <f t="shared" si="2"/>
        <v>30</v>
      </c>
      <c r="B32" s="61">
        <f t="shared" si="0"/>
        <v>0.58433999999999997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2.5754199999999998</v>
      </c>
      <c r="G32" s="61">
        <f>IF(FT!B32&lt;&gt;"",FT!B32*100,"")</f>
        <v>55.120699999999999</v>
      </c>
      <c r="H32" s="61">
        <f t="shared" si="1"/>
        <v>1</v>
      </c>
      <c r="I32" t="str">
        <f>IF(FT!B32&lt;&gt;"",FT!E32,"")</f>
        <v>1 [12.170654]</v>
      </c>
      <c r="J32">
        <f>IF(FT!B32&lt;&gt;"",FT!C32,"")</f>
        <v>12.1707</v>
      </c>
    </row>
    <row r="33" spans="1:10">
      <c r="A33" s="61">
        <f t="shared" si="2"/>
        <v>31</v>
      </c>
      <c r="B33" s="61">
        <f t="shared" si="0"/>
        <v>0.60381800000000008</v>
      </c>
      <c r="C33" s="61">
        <f>FH!A33*1</f>
        <v>79153</v>
      </c>
      <c r="D33" s="61">
        <f>FH!B33*1</f>
        <v>79153</v>
      </c>
      <c r="E33">
        <f t="shared" si="3"/>
        <v>31</v>
      </c>
      <c r="F33" s="61">
        <f>IF(FT!A33&lt;&gt;"",FT!A33*10,"")</f>
        <v>2.59849</v>
      </c>
      <c r="G33" s="61">
        <f>IF(FT!B33&lt;&gt;"",FT!B33*100,"")</f>
        <v>54.895799999999994</v>
      </c>
      <c r="H33" s="61">
        <f t="shared" si="1"/>
        <v>1</v>
      </c>
      <c r="I33" t="str">
        <f>IF(FT!B33&lt;&gt;"",FT!E33,"")</f>
        <v>1 [12.575237]</v>
      </c>
      <c r="J33">
        <f>IF(FT!B33&lt;&gt;"",FT!C33,"")</f>
        <v>12.575200000000001</v>
      </c>
    </row>
    <row r="34" spans="1:10">
      <c r="A34" s="61">
        <f t="shared" si="2"/>
        <v>32</v>
      </c>
      <c r="B34" s="61">
        <f t="shared" si="0"/>
        <v>0.62329600000000007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2.6219799999999998</v>
      </c>
      <c r="G34" s="61">
        <f>IF(FT!B34&lt;&gt;"",FT!B34*100,"")</f>
        <v>54.590600000000002</v>
      </c>
      <c r="H34" s="61">
        <f t="shared" si="1"/>
        <v>1</v>
      </c>
      <c r="I34" t="str">
        <f>IF(FT!B34&lt;&gt;"",FT!E34,"")</f>
        <v>1 [12.982092]</v>
      </c>
      <c r="J34">
        <f>IF(FT!B34&lt;&gt;"",FT!C34,"")</f>
        <v>12.982100000000001</v>
      </c>
    </row>
    <row r="35" spans="1:10">
      <c r="A35" s="61">
        <f t="shared" si="2"/>
        <v>33</v>
      </c>
      <c r="B35" s="61">
        <f t="shared" si="0"/>
        <v>0.64277400000000007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2.6480999999999999</v>
      </c>
      <c r="G35" s="61">
        <f>IF(FT!B35&lt;&gt;"",FT!B35*100,"")</f>
        <v>54.179900000000004</v>
      </c>
      <c r="H35" s="61">
        <f t="shared" si="1"/>
        <v>1</v>
      </c>
      <c r="I35" t="str">
        <f>IF(FT!B35&lt;&gt;"",FT!E35,"")</f>
        <v>1 [13.386045]</v>
      </c>
      <c r="J35">
        <f>IF(FT!B35&lt;&gt;"",FT!C35,"")</f>
        <v>13.385999999999999</v>
      </c>
    </row>
    <row r="36" spans="1:10">
      <c r="A36" s="61">
        <f t="shared" si="2"/>
        <v>34</v>
      </c>
      <c r="B36" s="61">
        <f t="shared" si="0"/>
        <v>0.66225200000000006</v>
      </c>
      <c r="C36" s="61">
        <f>FH!A36*1</f>
        <v>78624</v>
      </c>
      <c r="D36" s="61">
        <f>FH!B36*1</f>
        <v>78624</v>
      </c>
      <c r="E36">
        <f t="shared" si="3"/>
        <v>34</v>
      </c>
      <c r="F36" s="61">
        <f>IF(FT!A36&lt;&gt;"",FT!A36*10,"")</f>
        <v>2.67536</v>
      </c>
      <c r="G36" s="61">
        <f>IF(FT!B36&lt;&gt;"",FT!B36*100,"")</f>
        <v>53.748100000000001</v>
      </c>
      <c r="H36" s="61">
        <f t="shared" si="1"/>
        <v>1</v>
      </c>
      <c r="I36" t="str">
        <f>IF(FT!B36&lt;&gt;"",FT!E36,"")</f>
        <v>1 [13.807040]</v>
      </c>
      <c r="J36">
        <f>IF(FT!B36&lt;&gt;"",FT!C36,"")</f>
        <v>13.807</v>
      </c>
    </row>
    <row r="37" spans="1:10">
      <c r="A37" s="61">
        <f t="shared" si="2"/>
        <v>35</v>
      </c>
      <c r="B37" s="61">
        <f t="shared" si="0"/>
        <v>0.68173000000000006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2.7020499999999998</v>
      </c>
      <c r="G37" s="61">
        <f>IF(FT!B37&lt;&gt;"",FT!B37*100,"")</f>
        <v>53.366</v>
      </c>
      <c r="H37" s="61">
        <f t="shared" si="1"/>
        <v>1</v>
      </c>
      <c r="I37" t="str">
        <f>IF(FT!B37&lt;&gt;"",FT!E37,"")</f>
        <v>1 [14.202047]</v>
      </c>
      <c r="J37">
        <f>IF(FT!B37&lt;&gt;"",FT!C37,"")</f>
        <v>14.202</v>
      </c>
    </row>
    <row r="38" spans="1:10">
      <c r="A38" s="61">
        <f t="shared" si="2"/>
        <v>36</v>
      </c>
      <c r="B38" s="61">
        <f t="shared" si="0"/>
        <v>0.70120800000000005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2.72959</v>
      </c>
      <c r="G38" s="61">
        <f>IF(FT!B38&lt;&gt;"",FT!B38*100,"")</f>
        <v>53.027999999999999</v>
      </c>
      <c r="H38" s="61">
        <f t="shared" si="1"/>
        <v>1</v>
      </c>
      <c r="I38" t="str">
        <f>IF(FT!B38&lt;&gt;"",FT!E38,"")</f>
        <v>1 [14.604353]</v>
      </c>
      <c r="J38">
        <f>IF(FT!B38&lt;&gt;"",FT!C38,"")</f>
        <v>14.6044</v>
      </c>
    </row>
    <row r="39" spans="1:10">
      <c r="A39" s="61">
        <f t="shared" si="2"/>
        <v>37</v>
      </c>
      <c r="B39" s="61">
        <f t="shared" si="0"/>
        <v>0.72068600000000005</v>
      </c>
      <c r="C39" s="61">
        <f>FH!A39*1</f>
        <v>105135</v>
      </c>
      <c r="D39" s="61">
        <f>FH!B39*1</f>
        <v>105135</v>
      </c>
      <c r="E39">
        <f t="shared" si="3"/>
        <v>37</v>
      </c>
      <c r="F39" s="61">
        <f>IF(FT!A39&lt;&gt;"",FT!A39*10,"")</f>
        <v>2.7572999999999999</v>
      </c>
      <c r="G39" s="61">
        <f>IF(FT!B39&lt;&gt;"",FT!B39*100,"")</f>
        <v>52.763499999999993</v>
      </c>
      <c r="H39" s="61">
        <f t="shared" si="1"/>
        <v>1</v>
      </c>
      <c r="I39" t="str">
        <f>IF(FT!B39&lt;&gt;"",FT!E39,"")</f>
        <v>1 [15.007812]</v>
      </c>
      <c r="J39">
        <f>IF(FT!B39&lt;&gt;"",FT!C39,"")</f>
        <v>15.0078</v>
      </c>
    </row>
    <row r="40" spans="1:10">
      <c r="A40" s="61">
        <f t="shared" si="2"/>
        <v>38</v>
      </c>
      <c r="B40" s="61">
        <f t="shared" si="0"/>
        <v>0.74016400000000004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2.78478</v>
      </c>
      <c r="G40" s="61">
        <f>IF(FT!B40&lt;&gt;"",FT!B40*100,"")</f>
        <v>52.539499999999997</v>
      </c>
      <c r="H40" s="61">
        <f t="shared" si="1"/>
        <v>1</v>
      </c>
      <c r="I40" t="str">
        <f>IF(FT!B40&lt;&gt;"",FT!E40,"")</f>
        <v>1 [15.422645]</v>
      </c>
      <c r="J40">
        <f>IF(FT!B40&lt;&gt;"",FT!C40,"")</f>
        <v>15.422599999999999</v>
      </c>
    </row>
    <row r="41" spans="1:10">
      <c r="A41" s="61">
        <f t="shared" si="2"/>
        <v>39</v>
      </c>
      <c r="B41" s="61">
        <f t="shared" si="0"/>
        <v>0.75964200000000015</v>
      </c>
      <c r="C41" s="61">
        <f>FH!A41*1</f>
        <v>103649</v>
      </c>
      <c r="D41" s="61">
        <f>FH!B41*1</f>
        <v>103649</v>
      </c>
      <c r="E41">
        <f t="shared" si="3"/>
        <v>39</v>
      </c>
      <c r="F41" s="61">
        <f>IF(FT!A41&lt;&gt;"",FT!A41*10,"")</f>
        <v>2.8104899999999997</v>
      </c>
      <c r="G41" s="61">
        <f>IF(FT!B41&lt;&gt;"",FT!B41*100,"")</f>
        <v>52.356800000000007</v>
      </c>
      <c r="H41" s="61">
        <f t="shared" si="1"/>
        <v>1</v>
      </c>
      <c r="I41" t="str">
        <f>IF(FT!B41&lt;&gt;"",FT!E41,"")</f>
        <v>1 [15.823555]</v>
      </c>
      <c r="J41">
        <f>IF(FT!B41&lt;&gt;"",FT!C41,"")</f>
        <v>15.823600000000001</v>
      </c>
    </row>
    <row r="42" spans="1:10">
      <c r="A42" s="61">
        <f t="shared" si="2"/>
        <v>40</v>
      </c>
      <c r="B42" s="61">
        <f t="shared" si="0"/>
        <v>0.77912000000000003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2.83765</v>
      </c>
      <c r="G42" s="61">
        <f>IF(FT!B42&lt;&gt;"",FT!B42*100,"")</f>
        <v>52.261699999999998</v>
      </c>
      <c r="H42" s="61">
        <f t="shared" si="1"/>
        <v>1</v>
      </c>
      <c r="I42" t="str">
        <f>IF(FT!B42&lt;&gt;"",FT!E42,"")</f>
        <v>1 [16.230458]</v>
      </c>
      <c r="J42">
        <f>IF(FT!B42&lt;&gt;"",FT!C42,"")</f>
        <v>16.230499999999999</v>
      </c>
    </row>
    <row r="43" spans="1:10">
      <c r="A43" s="61">
        <f t="shared" si="2"/>
        <v>41</v>
      </c>
      <c r="B43" s="61">
        <f t="shared" si="0"/>
        <v>0.79859800000000014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2.8669099999999998</v>
      </c>
      <c r="G43" s="61">
        <f>IF(FT!B43&lt;&gt;"",FT!B43*100,"")</f>
        <v>52.227400000000003</v>
      </c>
      <c r="H43" s="61">
        <f t="shared" si="1"/>
        <v>1</v>
      </c>
      <c r="I43" t="str">
        <f>IF(FT!B43&lt;&gt;"",FT!E43,"")</f>
        <v>1 [16.641428]</v>
      </c>
      <c r="J43">
        <f>IF(FT!B43&lt;&gt;"",FT!C43,"")</f>
        <v>16.641400000000001</v>
      </c>
    </row>
    <row r="44" spans="1:10">
      <c r="A44" s="61">
        <f t="shared" si="2"/>
        <v>42</v>
      </c>
      <c r="B44" s="61">
        <f t="shared" si="0"/>
        <v>0.81807600000000003</v>
      </c>
      <c r="C44" s="61">
        <f>FH!A44*1</f>
        <v>118044</v>
      </c>
      <c r="D44" s="61">
        <f>FH!B44*1</f>
        <v>118044</v>
      </c>
      <c r="E44">
        <f t="shared" si="3"/>
        <v>42</v>
      </c>
      <c r="F44" s="61">
        <f>IF(FT!A44&lt;&gt;"",FT!A44*10,"")</f>
        <v>2.89466</v>
      </c>
      <c r="G44" s="61">
        <f>IF(FT!B44&lt;&gt;"",FT!B44*100,"")</f>
        <v>52.212000000000003</v>
      </c>
      <c r="H44" s="61">
        <f t="shared" si="1"/>
        <v>1</v>
      </c>
      <c r="I44" t="str">
        <f>IF(FT!B44&lt;&gt;"",FT!E44,"")</f>
        <v>1 [17.043158]</v>
      </c>
      <c r="J44">
        <f>IF(FT!B44&lt;&gt;"",FT!C44,"")</f>
        <v>17.043199999999999</v>
      </c>
    </row>
    <row r="45" spans="1:10">
      <c r="A45" s="61">
        <f t="shared" si="2"/>
        <v>43</v>
      </c>
      <c r="B45" s="61">
        <f t="shared" si="0"/>
        <v>0.83755400000000013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2.9177999999999997</v>
      </c>
      <c r="G45" s="61">
        <f>IF(FT!B45&lt;&gt;"",FT!B45*100,"")</f>
        <v>52.197099999999999</v>
      </c>
      <c r="H45" s="61">
        <f t="shared" si="1"/>
        <v>1</v>
      </c>
      <c r="I45" t="str">
        <f>IF(FT!B45&lt;&gt;"",FT!E45,"")</f>
        <v>1 [17.451156]</v>
      </c>
      <c r="J45">
        <f>IF(FT!B45&lt;&gt;"",FT!C45,"")</f>
        <v>17.4512</v>
      </c>
    </row>
    <row r="46" spans="1:10">
      <c r="A46" s="61">
        <f t="shared" si="2"/>
        <v>44</v>
      </c>
      <c r="B46" s="61">
        <f t="shared" si="0"/>
        <v>0.85703200000000002</v>
      </c>
      <c r="C46" s="61">
        <f>FH!A46*1</f>
        <v>126405</v>
      </c>
      <c r="D46" s="61">
        <f>FH!B46*1</f>
        <v>126405</v>
      </c>
      <c r="E46">
        <f t="shared" si="3"/>
        <v>44</v>
      </c>
      <c r="F46" s="61">
        <f>IF(FT!A46&lt;&gt;"",FT!A46*10,"")</f>
        <v>2.9416099999999998</v>
      </c>
      <c r="G46" s="61">
        <f>IF(FT!B46&lt;&gt;"",FT!B46*100,"")</f>
        <v>52.066100000000006</v>
      </c>
      <c r="H46" s="61">
        <f t="shared" si="1"/>
        <v>1</v>
      </c>
      <c r="I46" t="str">
        <f>IF(FT!B46&lt;&gt;"",FT!E46,"")</f>
        <v>1 [17.859228]</v>
      </c>
      <c r="J46">
        <f>IF(FT!B46&lt;&gt;"",FT!C46,"")</f>
        <v>17.859200000000001</v>
      </c>
    </row>
    <row r="47" spans="1:10">
      <c r="A47" s="61">
        <f t="shared" si="2"/>
        <v>45</v>
      </c>
      <c r="B47" s="61">
        <f t="shared" si="0"/>
        <v>0.87651000000000012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2.9609000000000001</v>
      </c>
      <c r="G47" s="61">
        <f>IF(FT!B47&lt;&gt;"",FT!B47*100,"")</f>
        <v>51.978700000000003</v>
      </c>
      <c r="H47" s="61">
        <f t="shared" si="1"/>
        <v>1</v>
      </c>
      <c r="I47" t="str">
        <f>IF(FT!B47&lt;&gt;"",FT!E47,"")</f>
        <v>1 [18.266193]</v>
      </c>
      <c r="J47">
        <f>IF(FT!B47&lt;&gt;"",FT!C47,"")</f>
        <v>18.266200000000001</v>
      </c>
    </row>
    <row r="48" spans="1:10">
      <c r="A48" s="61">
        <f t="shared" si="2"/>
        <v>46</v>
      </c>
      <c r="B48" s="61">
        <f t="shared" si="0"/>
        <v>0.89598800000000001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2.9761600000000001</v>
      </c>
      <c r="G48" s="61">
        <f>IF(FT!B48&lt;&gt;"",FT!B48*100,"")</f>
        <v>51.893199999999993</v>
      </c>
      <c r="H48" s="61">
        <f t="shared" si="1"/>
        <v>1</v>
      </c>
      <c r="I48" t="str">
        <f>IF(FT!B48&lt;&gt;"",FT!E48,"")</f>
        <v>1 [18.669196]</v>
      </c>
      <c r="J48">
        <f>IF(FT!B48&lt;&gt;"",FT!C48,"")</f>
        <v>18.6692</v>
      </c>
    </row>
    <row r="49" spans="1:10">
      <c r="A49" s="61">
        <f t="shared" si="2"/>
        <v>47</v>
      </c>
      <c r="B49" s="61">
        <f t="shared" si="0"/>
        <v>0.91546600000000011</v>
      </c>
      <c r="C49" s="61">
        <f>FH!A49*1</f>
        <v>136011</v>
      </c>
      <c r="D49" s="61">
        <f>FH!B49*1</f>
        <v>136011</v>
      </c>
      <c r="E49">
        <f t="shared" si="3"/>
        <v>47</v>
      </c>
      <c r="F49" s="61">
        <f>IF(FT!A49&lt;&gt;"",FT!A49*10,"")</f>
        <v>2.9893299999999998</v>
      </c>
      <c r="G49" s="61">
        <f>IF(FT!B49&lt;&gt;"",FT!B49*100,"")</f>
        <v>51.806899999999999</v>
      </c>
      <c r="H49" s="61">
        <f t="shared" si="1"/>
        <v>1</v>
      </c>
      <c r="I49" t="str">
        <f>IF(FT!B49&lt;&gt;"",FT!E49,"")</f>
        <v>1 [19.071990]</v>
      </c>
      <c r="J49">
        <f>IF(FT!B49&lt;&gt;"",FT!C49,"")</f>
        <v>19.071999999999999</v>
      </c>
    </row>
    <row r="50" spans="1:10">
      <c r="A50" s="61">
        <f t="shared" si="2"/>
        <v>48</v>
      </c>
      <c r="B50" s="61">
        <f t="shared" si="0"/>
        <v>0.934944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3.0076999999999998</v>
      </c>
      <c r="G50" s="61">
        <f>IF(FT!B50&lt;&gt;"",FT!B50*100,"")</f>
        <v>51.735299999999995</v>
      </c>
      <c r="H50" s="61">
        <f t="shared" si="1"/>
        <v>1</v>
      </c>
      <c r="I50" t="str">
        <f>IF(FT!B50&lt;&gt;"",FT!E50,"")</f>
        <v>1 [19.482909]</v>
      </c>
      <c r="J50">
        <f>IF(FT!B50&lt;&gt;"",FT!C50,"")</f>
        <v>19.482900000000001</v>
      </c>
    </row>
    <row r="51" spans="1:10">
      <c r="A51" s="61">
        <f t="shared" si="2"/>
        <v>49</v>
      </c>
      <c r="B51" s="61">
        <f t="shared" si="0"/>
        <v>0.9544220000000001</v>
      </c>
      <c r="C51" s="61">
        <f>FH!A51*1</f>
        <v>137716</v>
      </c>
      <c r="D51" s="61">
        <f>FH!B51*1</f>
        <v>137716</v>
      </c>
      <c r="E51">
        <f t="shared" si="3"/>
        <v>49</v>
      </c>
      <c r="F51" s="61">
        <f>IF(FT!A51&lt;&gt;"",FT!A51*10,"")</f>
        <v>3.0251399999999999</v>
      </c>
      <c r="G51" s="61">
        <f>IF(FT!B51&lt;&gt;"",FT!B51*100,"")</f>
        <v>51.626399999999997</v>
      </c>
      <c r="H51" s="61">
        <f t="shared" si="1"/>
        <v>1</v>
      </c>
      <c r="I51" t="str">
        <f>IF(FT!B51&lt;&gt;"",FT!E51,"")</f>
        <v>1 [19.895696]</v>
      </c>
      <c r="J51">
        <f>IF(FT!B51&lt;&gt;"",FT!C51,"")</f>
        <v>19.895700000000001</v>
      </c>
    </row>
    <row r="52" spans="1:10">
      <c r="A52" s="61">
        <f t="shared" si="2"/>
        <v>50</v>
      </c>
      <c r="B52" s="61">
        <f t="shared" si="0"/>
        <v>0.97389999999999999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3.03843</v>
      </c>
      <c r="G52" s="61">
        <f>IF(FT!B52&lt;&gt;"",FT!B52*100,"")</f>
        <v>51.554699999999997</v>
      </c>
      <c r="H52" s="61">
        <f t="shared" si="1"/>
        <v>1</v>
      </c>
      <c r="I52" t="str">
        <f>IF(FT!B52&lt;&gt;"",FT!E52,"")</f>
        <v>1 [20.292726]</v>
      </c>
      <c r="J52">
        <f>IF(FT!B52&lt;&gt;"",FT!C52,"")</f>
        <v>20.2927</v>
      </c>
    </row>
    <row r="53" spans="1:10">
      <c r="A53" s="61">
        <f t="shared" si="2"/>
        <v>51</v>
      </c>
      <c r="B53" s="61">
        <f t="shared" si="0"/>
        <v>0.99337800000000009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3.0526199999999997</v>
      </c>
      <c r="G53" s="61">
        <f>IF(FT!B53&lt;&gt;"",FT!B53*100,"")</f>
        <v>51.422800000000002</v>
      </c>
      <c r="H53" s="61">
        <f t="shared" si="1"/>
        <v>1</v>
      </c>
      <c r="I53" t="str">
        <f>IF(FT!B53&lt;&gt;"",FT!E53,"")</f>
        <v>1 [20.700551]</v>
      </c>
      <c r="J53">
        <f>IF(FT!B53&lt;&gt;"",FT!C53,"")</f>
        <v>20.700600000000001</v>
      </c>
    </row>
    <row r="54" spans="1:10">
      <c r="A54" s="61">
        <f t="shared" si="2"/>
        <v>52</v>
      </c>
      <c r="B54" s="61">
        <f t="shared" si="0"/>
        <v>1.012856</v>
      </c>
      <c r="C54" s="61">
        <f>FH!A54*1</f>
        <v>135109</v>
      </c>
      <c r="D54" s="61">
        <f>FH!B54*1</f>
        <v>135109</v>
      </c>
      <c r="E54">
        <f t="shared" si="3"/>
        <v>52</v>
      </c>
      <c r="F54" s="61">
        <f>IF(FT!A54&lt;&gt;"",FT!A54*10,"")</f>
        <v>3.06609</v>
      </c>
      <c r="G54" s="61">
        <f>IF(FT!B54&lt;&gt;"",FT!B54*100,"")</f>
        <v>51.293700000000001</v>
      </c>
      <c r="H54" s="61">
        <f t="shared" si="1"/>
        <v>1</v>
      </c>
      <c r="I54" t="str">
        <f>IF(FT!B54&lt;&gt;"",FT!E54,"")</f>
        <v>1 [21.110568]</v>
      </c>
      <c r="J54">
        <f>IF(FT!B54&lt;&gt;"",FT!C54,"")</f>
        <v>21.110600000000002</v>
      </c>
    </row>
    <row r="55" spans="1:10">
      <c r="A55" s="61">
        <f t="shared" si="2"/>
        <v>53</v>
      </c>
      <c r="B55" s="61">
        <f t="shared" si="0"/>
        <v>1.0323340000000001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3.0782700000000003</v>
      </c>
      <c r="G55" s="61">
        <f>IF(FT!B55&lt;&gt;"",FT!B55*100,"")</f>
        <v>51.211100000000002</v>
      </c>
      <c r="H55" s="61">
        <f t="shared" si="1"/>
        <v>1</v>
      </c>
      <c r="I55" t="str">
        <f>IF(FT!B55&lt;&gt;"",FT!E55,"")</f>
        <v>1 [21.511720]</v>
      </c>
      <c r="J55">
        <f>IF(FT!B55&lt;&gt;"",FT!C55,"")</f>
        <v>21.511700000000001</v>
      </c>
    </row>
    <row r="56" spans="1:10">
      <c r="A56" s="61">
        <f t="shared" si="2"/>
        <v>54</v>
      </c>
      <c r="B56" s="61">
        <f t="shared" si="0"/>
        <v>1.051812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3.0894300000000001</v>
      </c>
      <c r="G56" s="61">
        <f>IF(FT!B56&lt;&gt;"",FT!B56*100,"")</f>
        <v>51.192300000000003</v>
      </c>
      <c r="H56" s="61">
        <f t="shared" si="1"/>
        <v>1</v>
      </c>
      <c r="I56" t="str">
        <f>IF(FT!B56&lt;&gt;"",FT!E56,"")</f>
        <v>1 [21.921539]</v>
      </c>
      <c r="J56">
        <f>IF(FT!B56&lt;&gt;"",FT!C56,"")</f>
        <v>21.921500000000002</v>
      </c>
    </row>
    <row r="57" spans="1:10">
      <c r="A57" s="61">
        <f t="shared" si="2"/>
        <v>55</v>
      </c>
      <c r="B57" s="61">
        <f t="shared" si="0"/>
        <v>1.0712900000000001</v>
      </c>
      <c r="C57" s="61">
        <f>FH!A57*1</f>
        <v>147387</v>
      </c>
      <c r="D57" s="61">
        <f>FH!B57*1</f>
        <v>147387</v>
      </c>
      <c r="E57">
        <f t="shared" si="3"/>
        <v>55</v>
      </c>
      <c r="F57" s="61">
        <f>IF(FT!A57&lt;&gt;"",FT!A57*10,"")</f>
        <v>3.0965599999999998</v>
      </c>
      <c r="G57" s="61">
        <f>IF(FT!B57&lt;&gt;"",FT!B57*100,"")</f>
        <v>51.243799999999993</v>
      </c>
      <c r="H57" s="61">
        <f t="shared" si="1"/>
        <v>1</v>
      </c>
      <c r="I57" t="str">
        <f>IF(FT!B57&lt;&gt;"",FT!E57,"")</f>
        <v>1 [22.326167]</v>
      </c>
      <c r="J57">
        <f>IF(FT!B57&lt;&gt;"",FT!C57,"")</f>
        <v>22.3262</v>
      </c>
    </row>
    <row r="58" spans="1:10">
      <c r="A58" s="61">
        <f t="shared" si="2"/>
        <v>56</v>
      </c>
      <c r="B58" s="61">
        <f t="shared" si="0"/>
        <v>1.090768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3.1019899999999998</v>
      </c>
      <c r="G58" s="61">
        <f>IF(FT!B58&lt;&gt;"",FT!B58*100,"")</f>
        <v>51.314700000000002</v>
      </c>
      <c r="H58" s="61">
        <f t="shared" si="1"/>
        <v>1</v>
      </c>
      <c r="I58" t="str">
        <f>IF(FT!B58&lt;&gt;"",FT!E58,"")</f>
        <v>1 [22.732038]</v>
      </c>
      <c r="J58">
        <f>IF(FT!B58&lt;&gt;"",FT!C58,"")</f>
        <v>22.731999999999999</v>
      </c>
    </row>
    <row r="59" spans="1:10">
      <c r="A59" s="61">
        <f t="shared" si="2"/>
        <v>57</v>
      </c>
      <c r="B59" s="61">
        <f t="shared" si="0"/>
        <v>1.1102460000000001</v>
      </c>
      <c r="C59" s="61">
        <f>FH!A59*1</f>
        <v>139543</v>
      </c>
      <c r="D59" s="61">
        <f>FH!B59*1</f>
        <v>139543</v>
      </c>
      <c r="E59">
        <f t="shared" si="3"/>
        <v>57</v>
      </c>
      <c r="F59" s="61">
        <f>IF(FT!A59&lt;&gt;"",FT!A59*10,"")</f>
        <v>3.1025599999999995</v>
      </c>
      <c r="G59" s="61">
        <f>IF(FT!B59&lt;&gt;"",FT!B59*100,"")</f>
        <v>51.382799999999996</v>
      </c>
      <c r="H59" s="61">
        <f t="shared" si="1"/>
        <v>1</v>
      </c>
      <c r="I59" t="str">
        <f>IF(FT!B59&lt;&gt;"",FT!E59,"")</f>
        <v>1 [23.135240]</v>
      </c>
      <c r="J59">
        <f>IF(FT!B59&lt;&gt;"",FT!C59,"")</f>
        <v>23.135200000000001</v>
      </c>
    </row>
    <row r="60" spans="1:10">
      <c r="A60" s="61">
        <f t="shared" si="2"/>
        <v>58</v>
      </c>
      <c r="B60" s="61">
        <f t="shared" si="0"/>
        <v>1.129724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3.0989899999999997</v>
      </c>
      <c r="G60" s="61">
        <f>IF(FT!B60&lt;&gt;"",FT!B60*100,"")</f>
        <v>51.451599999999999</v>
      </c>
      <c r="H60" s="61">
        <f t="shared" si="1"/>
        <v>1</v>
      </c>
      <c r="I60" t="str">
        <f>IF(FT!B60&lt;&gt;"",FT!E60,"")</f>
        <v>1 [23.543982]</v>
      </c>
      <c r="J60">
        <f>IF(FT!B60&lt;&gt;"",FT!C60,"")</f>
        <v>23.544</v>
      </c>
    </row>
    <row r="61" spans="1:10">
      <c r="A61" s="61">
        <f t="shared" si="2"/>
        <v>59</v>
      </c>
      <c r="B61" s="61">
        <f t="shared" si="0"/>
        <v>1.1492020000000001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3.0931599999999997</v>
      </c>
      <c r="G61" s="61">
        <f>IF(FT!B61&lt;&gt;"",FT!B61*100,"")</f>
        <v>51.534700000000001</v>
      </c>
      <c r="H61" s="61">
        <f t="shared" si="1"/>
        <v>1</v>
      </c>
      <c r="I61" t="str">
        <f>IF(FT!B61&lt;&gt;"",FT!E61,"")</f>
        <v>1 [23.956112]</v>
      </c>
      <c r="J61">
        <f>IF(FT!B61&lt;&gt;"",FT!C61,"")</f>
        <v>23.956099999999999</v>
      </c>
    </row>
    <row r="62" spans="1:10">
      <c r="A62" s="61">
        <f t="shared" si="2"/>
        <v>60</v>
      </c>
      <c r="B62" s="61">
        <f t="shared" si="0"/>
        <v>1.1686799999999999</v>
      </c>
      <c r="C62" s="61">
        <f>FH!A62*1</f>
        <v>141836</v>
      </c>
      <c r="D62" s="61">
        <f>FH!B62*1</f>
        <v>141836</v>
      </c>
      <c r="E62">
        <f t="shared" si="3"/>
        <v>60</v>
      </c>
      <c r="F62" s="61">
        <f>IF(FT!A62&lt;&gt;"",FT!A62*10,"")</f>
        <v>3.0896800000000004</v>
      </c>
      <c r="G62" s="61">
        <f>IF(FT!B62&lt;&gt;"",FT!B62*100,"")</f>
        <v>51.583199999999998</v>
      </c>
      <c r="H62" s="61">
        <f t="shared" si="1"/>
        <v>1</v>
      </c>
      <c r="I62" t="str">
        <f>IF(FT!B62&lt;&gt;"",FT!E62,"")</f>
        <v>1 [24.357887]</v>
      </c>
      <c r="J62">
        <f>IF(FT!B62&lt;&gt;"",FT!C62,"")</f>
        <v>24.357900000000001</v>
      </c>
    </row>
    <row r="63" spans="1:10">
      <c r="A63" s="61">
        <f t="shared" si="2"/>
        <v>61</v>
      </c>
      <c r="B63" s="61">
        <f t="shared" si="0"/>
        <v>1.188158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3.08921</v>
      </c>
      <c r="G63" s="61">
        <f>IF(FT!B63&lt;&gt;"",FT!B63*100,"")</f>
        <v>51.623300000000008</v>
      </c>
      <c r="H63" s="61">
        <f t="shared" si="1"/>
        <v>1</v>
      </c>
      <c r="I63" t="str">
        <f>IF(FT!B63&lt;&gt;"",FT!E63,"")</f>
        <v>1 [24.762815]</v>
      </c>
      <c r="J63">
        <f>IF(FT!B63&lt;&gt;"",FT!C63,"")</f>
        <v>24.762799999999999</v>
      </c>
    </row>
    <row r="64" spans="1:10">
      <c r="A64" s="61">
        <f t="shared" si="2"/>
        <v>62</v>
      </c>
      <c r="B64" s="61">
        <f t="shared" si="0"/>
        <v>1.2076360000000002</v>
      </c>
      <c r="C64" s="61">
        <f>FH!A64*1</f>
        <v>145287</v>
      </c>
      <c r="D64" s="61">
        <f>FH!B64*1</f>
        <v>145287</v>
      </c>
      <c r="E64">
        <f t="shared" si="3"/>
        <v>62</v>
      </c>
      <c r="F64" s="61">
        <f>IF(FT!A64&lt;&gt;"",FT!A64*10,"")</f>
        <v>3.0881999999999996</v>
      </c>
      <c r="G64" s="61">
        <f>IF(FT!B64&lt;&gt;"",FT!B64*100,"")</f>
        <v>51.647399999999998</v>
      </c>
      <c r="H64" s="61">
        <f t="shared" si="1"/>
        <v>1</v>
      </c>
      <c r="I64" t="str">
        <f>IF(FT!B64&lt;&gt;"",FT!E64,"")</f>
        <v>1 [25.166814]</v>
      </c>
      <c r="J64">
        <f>IF(FT!B64&lt;&gt;"",FT!C64,"")</f>
        <v>25.166799999999999</v>
      </c>
    </row>
    <row r="65" spans="1:10">
      <c r="A65" s="61">
        <f t="shared" si="2"/>
        <v>63</v>
      </c>
      <c r="B65" s="61">
        <f t="shared" si="0"/>
        <v>1.227114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3.0859100000000002</v>
      </c>
      <c r="G65" s="61">
        <f>IF(FT!B65&lt;&gt;"",FT!B65*100,"")</f>
        <v>51.676500000000004</v>
      </c>
      <c r="H65" s="61">
        <f t="shared" si="1"/>
        <v>1</v>
      </c>
      <c r="I65" t="str">
        <f>IF(FT!B65&lt;&gt;"",FT!E65,"")</f>
        <v>1 [25.573706]</v>
      </c>
      <c r="J65">
        <f>IF(FT!B65&lt;&gt;"",FT!C65,"")</f>
        <v>25.573699999999999</v>
      </c>
    </row>
    <row r="66" spans="1:10">
      <c r="A66" s="61">
        <f t="shared" si="2"/>
        <v>64</v>
      </c>
      <c r="B66" s="61">
        <f t="shared" si="0"/>
        <v>1.2465920000000001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3.0827999999999998</v>
      </c>
      <c r="G66" s="61">
        <f>IF(FT!B66&lt;&gt;"",FT!B66*100,"")</f>
        <v>51.737699999999997</v>
      </c>
      <c r="H66" s="61">
        <f t="shared" si="1"/>
        <v>1</v>
      </c>
      <c r="I66" t="str">
        <f>IF(FT!B66&lt;&gt;"",FT!E66,"")</f>
        <v>1 [25.982537]</v>
      </c>
      <c r="J66">
        <f>IF(FT!B66&lt;&gt;"",FT!C66,"")</f>
        <v>25.982500000000002</v>
      </c>
    </row>
    <row r="67" spans="1:10">
      <c r="A67" s="61">
        <f t="shared" si="2"/>
        <v>65</v>
      </c>
      <c r="B67" s="61">
        <f t="shared" ref="B67:B130" si="8">A67/255*$L$2</f>
        <v>1.26607</v>
      </c>
      <c r="C67" s="61">
        <f>FH!A67*1</f>
        <v>147010</v>
      </c>
      <c r="D67" s="61">
        <f>FH!B67*1</f>
        <v>147010</v>
      </c>
      <c r="E67">
        <f t="shared" si="3"/>
        <v>65</v>
      </c>
      <c r="F67" s="61">
        <f>IF(FT!A67&lt;&gt;"",FT!A67*10,"")</f>
        <v>3.0795499999999998</v>
      </c>
      <c r="G67" s="61">
        <f>IF(FT!B67&lt;&gt;"",FT!B67*100,"")</f>
        <v>51.814300000000003</v>
      </c>
      <c r="H67" s="61">
        <f t="shared" ref="H67:H130" si="9">(IF(F67&lt;&gt;"",1,""))</f>
        <v>1</v>
      </c>
      <c r="I67" t="str">
        <f>IF(FT!B67&lt;&gt;"",FT!E67,"")</f>
        <v>1 [26.389459]</v>
      </c>
      <c r="J67">
        <f>IF(FT!B67&lt;&gt;"",FT!C67,"")</f>
        <v>26.389500000000002</v>
      </c>
    </row>
    <row r="68" spans="1:10">
      <c r="A68" s="61">
        <f t="shared" ref="A68:A131" si="10">A67+1</f>
        <v>66</v>
      </c>
      <c r="B68" s="61">
        <f t="shared" si="8"/>
        <v>1.2855480000000001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3.07822</v>
      </c>
      <c r="G68" s="61">
        <f>IF(FT!B68&lt;&gt;"",FT!B68*100,"")</f>
        <v>51.881</v>
      </c>
      <c r="H68" s="61">
        <f t="shared" si="9"/>
        <v>1</v>
      </c>
      <c r="I68" t="str">
        <f>IF(FT!B68&lt;&gt;"",FT!E68,"")</f>
        <v>1 [26.796191]</v>
      </c>
      <c r="J68">
        <f>IF(FT!B68&lt;&gt;"",FT!C68,"")</f>
        <v>26.796199999999999</v>
      </c>
    </row>
    <row r="69" spans="1:10">
      <c r="A69" s="61">
        <f t="shared" si="10"/>
        <v>67</v>
      </c>
      <c r="B69" s="61">
        <f t="shared" si="8"/>
        <v>1.305026</v>
      </c>
      <c r="C69" s="61">
        <f>FH!A69*1</f>
        <v>141018</v>
      </c>
      <c r="D69" s="61">
        <f>FH!B69*1</f>
        <v>141018</v>
      </c>
      <c r="E69">
        <f t="shared" si="11"/>
        <v>67</v>
      </c>
      <c r="F69" s="61">
        <f>IF(FT!A69&lt;&gt;"",FT!A69*10,"")</f>
        <v>3.0766300000000002</v>
      </c>
      <c r="G69" s="61">
        <f>IF(FT!B69&lt;&gt;"",FT!B69*100,"")</f>
        <v>51.976799999999997</v>
      </c>
      <c r="H69" s="61">
        <f t="shared" si="9"/>
        <v>1</v>
      </c>
      <c r="I69" t="str">
        <f>IF(FT!B69&lt;&gt;"",FT!E69,"")</f>
        <v>1 [27.194925]</v>
      </c>
      <c r="J69">
        <f>IF(FT!B69&lt;&gt;"",FT!C69,"")</f>
        <v>27.194900000000001</v>
      </c>
    </row>
    <row r="70" spans="1:10">
      <c r="A70" s="61">
        <f t="shared" si="10"/>
        <v>68</v>
      </c>
      <c r="B70" s="61">
        <f t="shared" si="8"/>
        <v>1.3245040000000001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3.07647</v>
      </c>
      <c r="G70" s="61">
        <f>IF(FT!B70&lt;&gt;"",FT!B70*100,"")</f>
        <v>52.002000000000002</v>
      </c>
      <c r="H70" s="61">
        <f t="shared" si="9"/>
        <v>1</v>
      </c>
      <c r="I70" t="str">
        <f>IF(FT!B70&lt;&gt;"",FT!E70,"")</f>
        <v>1 [27.603651]</v>
      </c>
      <c r="J70">
        <f>IF(FT!B70&lt;&gt;"",FT!C70,"")</f>
        <v>27.6037</v>
      </c>
    </row>
    <row r="71" spans="1:10">
      <c r="A71" s="61">
        <f t="shared" si="10"/>
        <v>69</v>
      </c>
      <c r="B71" s="61">
        <f t="shared" si="8"/>
        <v>1.343982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3.0707899999999997</v>
      </c>
      <c r="G71" s="61">
        <f>IF(FT!B71&lt;&gt;"",FT!B71*100,"")</f>
        <v>52.069900000000004</v>
      </c>
      <c r="H71" s="61">
        <f t="shared" si="9"/>
        <v>1</v>
      </c>
      <c r="I71" t="str">
        <f>IF(FT!B71&lt;&gt;"",FT!E71,"")</f>
        <v>1 [28.018138]</v>
      </c>
      <c r="J71">
        <f>IF(FT!B71&lt;&gt;"",FT!C71,"")</f>
        <v>28.0181</v>
      </c>
    </row>
    <row r="72" spans="1:10">
      <c r="A72" s="61">
        <f t="shared" si="10"/>
        <v>70</v>
      </c>
      <c r="B72" s="61">
        <f t="shared" si="8"/>
        <v>1.3634600000000001</v>
      </c>
      <c r="C72" s="61">
        <f>FH!A72*1</f>
        <v>154275</v>
      </c>
      <c r="D72" s="61">
        <f>FH!B72*1</f>
        <v>154275</v>
      </c>
      <c r="E72">
        <f t="shared" si="11"/>
        <v>70</v>
      </c>
      <c r="F72" s="61">
        <f>IF(FT!A72&lt;&gt;"",FT!A72*10,"")</f>
        <v>3.0682799999999997</v>
      </c>
      <c r="G72" s="61">
        <f>IF(FT!B72&lt;&gt;"",FT!B72*100,"")</f>
        <v>52.124099999999999</v>
      </c>
      <c r="H72" s="61">
        <f t="shared" si="9"/>
        <v>1</v>
      </c>
      <c r="I72" t="str">
        <f>IF(FT!B72&lt;&gt;"",FT!E72,"")</f>
        <v>1 [28.419037]</v>
      </c>
      <c r="J72">
        <f>IF(FT!B72&lt;&gt;"",FT!C72,"")</f>
        <v>28.419</v>
      </c>
    </row>
    <row r="73" spans="1:10">
      <c r="A73" s="61">
        <f t="shared" si="10"/>
        <v>71</v>
      </c>
      <c r="B73" s="61">
        <f t="shared" si="8"/>
        <v>1.3829380000000002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3.06698</v>
      </c>
      <c r="G73" s="61">
        <f>IF(FT!B73&lt;&gt;"",FT!B73*100,"")</f>
        <v>52.185299999999998</v>
      </c>
      <c r="H73" s="61">
        <f t="shared" si="9"/>
        <v>1</v>
      </c>
      <c r="I73" t="str">
        <f>IF(FT!B73&lt;&gt;"",FT!E73,"")</f>
        <v>1 [28.831766]</v>
      </c>
      <c r="J73">
        <f>IF(FT!B73&lt;&gt;"",FT!C73,"")</f>
        <v>28.831800000000001</v>
      </c>
    </row>
    <row r="74" spans="1:10">
      <c r="A74" s="61">
        <f t="shared" si="10"/>
        <v>72</v>
      </c>
      <c r="B74" s="61">
        <f t="shared" si="8"/>
        <v>1.4024160000000001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3.0676999999999999</v>
      </c>
      <c r="G74" s="61">
        <f>IF(FT!B74&lt;&gt;"",FT!B74*100,"")</f>
        <v>52.187799999999996</v>
      </c>
      <c r="H74" s="61">
        <f t="shared" si="9"/>
        <v>1</v>
      </c>
      <c r="I74" t="str">
        <f>IF(FT!B74&lt;&gt;"",FT!E74,"")</f>
        <v>1 [29.230891]</v>
      </c>
      <c r="J74">
        <f>IF(FT!B74&lt;&gt;"",FT!C74,"")</f>
        <v>29.230899999999998</v>
      </c>
    </row>
    <row r="75" spans="1:10">
      <c r="A75" s="61">
        <f t="shared" si="10"/>
        <v>73</v>
      </c>
      <c r="B75" s="61">
        <f t="shared" si="8"/>
        <v>1.421894</v>
      </c>
      <c r="C75" s="61">
        <f>FH!A75*1</f>
        <v>153113</v>
      </c>
      <c r="D75" s="61">
        <f>FH!B75*1</f>
        <v>153113</v>
      </c>
      <c r="E75">
        <f t="shared" si="11"/>
        <v>73</v>
      </c>
      <c r="F75" s="61">
        <f>IF(FT!A75&lt;&gt;"",FT!A75*10,"")</f>
        <v>3.0719999999999996</v>
      </c>
      <c r="G75" s="61">
        <f>IF(FT!B75&lt;&gt;"",FT!B75*100,"")</f>
        <v>52.0717</v>
      </c>
      <c r="H75" s="61">
        <f t="shared" si="9"/>
        <v>1</v>
      </c>
      <c r="I75" t="str">
        <f>IF(FT!B75&lt;&gt;"",FT!E75,"")</f>
        <v>1 [29.636082]</v>
      </c>
      <c r="J75">
        <f>IF(FT!B75&lt;&gt;"",FT!C75,"")</f>
        <v>29.636099999999999</v>
      </c>
    </row>
    <row r="76" spans="1:10">
      <c r="A76" s="61">
        <f t="shared" si="10"/>
        <v>74</v>
      </c>
      <c r="B76" s="61">
        <f t="shared" si="8"/>
        <v>1.4413720000000001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3.0753900000000001</v>
      </c>
      <c r="G76" s="61">
        <f>IF(FT!B76&lt;&gt;"",FT!B76*100,"")</f>
        <v>51.959400000000002</v>
      </c>
      <c r="H76" s="61">
        <f t="shared" si="9"/>
        <v>1</v>
      </c>
      <c r="I76" t="str">
        <f>IF(FT!B76&lt;&gt;"",FT!E76,"")</f>
        <v>1 [30.044047]</v>
      </c>
      <c r="J76">
        <f>IF(FT!B76&lt;&gt;"",FT!C76,"")</f>
        <v>30.044</v>
      </c>
    </row>
    <row r="77" spans="1:10">
      <c r="A77" s="61">
        <f t="shared" si="10"/>
        <v>75</v>
      </c>
      <c r="B77" s="61">
        <f t="shared" si="8"/>
        <v>1.4608500000000002</v>
      </c>
      <c r="C77" s="61">
        <f>FH!A77*1</f>
        <v>160159</v>
      </c>
      <c r="D77" s="61">
        <f>FH!B77*1</f>
        <v>160159</v>
      </c>
      <c r="E77">
        <f t="shared" si="11"/>
        <v>75</v>
      </c>
      <c r="F77" s="61">
        <f>IF(FT!A77&lt;&gt;"",FT!A77*10,"")</f>
        <v>3.0793500000000003</v>
      </c>
      <c r="G77" s="61">
        <f>IF(FT!B77&lt;&gt;"",FT!B77*100,"")</f>
        <v>51.750500000000002</v>
      </c>
      <c r="H77" s="61">
        <f t="shared" si="9"/>
        <v>1</v>
      </c>
      <c r="I77" t="str">
        <f>IF(FT!B77&lt;&gt;"",FT!E77,"")</f>
        <v>2 [30.637420]</v>
      </c>
      <c r="J77">
        <f>IF(FT!B77&lt;&gt;"",FT!C77,"")</f>
        <v>30.6374</v>
      </c>
    </row>
    <row r="78" spans="1:10">
      <c r="A78" s="61">
        <f t="shared" si="10"/>
        <v>76</v>
      </c>
      <c r="B78" s="61">
        <f t="shared" si="8"/>
        <v>1.4803280000000001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3.08203</v>
      </c>
      <c r="G78" s="61">
        <f>IF(FT!B78&lt;&gt;"",FT!B78*100,"")</f>
        <v>51.655700000000003</v>
      </c>
      <c r="H78" s="61">
        <f t="shared" si="9"/>
        <v>1</v>
      </c>
      <c r="I78" t="str">
        <f>IF(FT!B78&lt;&gt;"",FT!E78,"")</f>
        <v>2 [31.017198]</v>
      </c>
      <c r="J78">
        <f>IF(FT!B78&lt;&gt;"",FT!C78,"")</f>
        <v>31.017199999999999</v>
      </c>
    </row>
    <row r="79" spans="1:10">
      <c r="A79" s="61">
        <f t="shared" si="10"/>
        <v>77</v>
      </c>
      <c r="B79" s="61">
        <f t="shared" si="8"/>
        <v>1.499806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3.0835699999999999</v>
      </c>
      <c r="G79" s="61">
        <f>IF(FT!B79&lt;&gt;"",FT!B79*100,"")</f>
        <v>51.621700000000004</v>
      </c>
      <c r="H79" s="61">
        <f t="shared" si="9"/>
        <v>1</v>
      </c>
      <c r="I79" t="str">
        <f>IF(FT!B79&lt;&gt;"",FT!E79,"")</f>
        <v>2 [31.391019]</v>
      </c>
      <c r="J79">
        <f>IF(FT!B79&lt;&gt;"",FT!C79,"")</f>
        <v>31.390999999999998</v>
      </c>
    </row>
    <row r="80" spans="1:10">
      <c r="A80" s="61">
        <f t="shared" si="10"/>
        <v>78</v>
      </c>
      <c r="B80" s="61">
        <f t="shared" si="8"/>
        <v>1.5192840000000003</v>
      </c>
      <c r="C80" s="61">
        <f>FH!A80*1</f>
        <v>166488</v>
      </c>
      <c r="D80" s="61">
        <f>FH!B80*1</f>
        <v>166488</v>
      </c>
      <c r="E80">
        <f t="shared" si="11"/>
        <v>78</v>
      </c>
      <c r="F80" s="61">
        <f>IF(FT!A80&lt;&gt;"",FT!A80*10,"")</f>
        <v>3.0880900000000002</v>
      </c>
      <c r="G80" s="61">
        <f>IF(FT!B80&lt;&gt;"",FT!B80*100,"")</f>
        <v>51.519000000000005</v>
      </c>
      <c r="H80" s="61">
        <f t="shared" si="9"/>
        <v>1</v>
      </c>
      <c r="I80" t="str">
        <f>IF(FT!B80&lt;&gt;"",FT!E80,"")</f>
        <v>2 [31.773533]</v>
      </c>
      <c r="J80">
        <f>IF(FT!B80&lt;&gt;"",FT!C80,"")</f>
        <v>31.773499999999999</v>
      </c>
    </row>
    <row r="81" spans="1:10">
      <c r="A81" s="61">
        <f t="shared" si="10"/>
        <v>79</v>
      </c>
      <c r="B81" s="61">
        <f t="shared" si="8"/>
        <v>1.5387620000000002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3.0952000000000002</v>
      </c>
      <c r="G81" s="61">
        <f>IF(FT!B81&lt;&gt;"",FT!B81*100,"")</f>
        <v>51.333500000000001</v>
      </c>
      <c r="H81" s="61">
        <f t="shared" si="9"/>
        <v>1</v>
      </c>
      <c r="I81" t="str">
        <f>IF(FT!B81&lt;&gt;"",FT!E81,"")</f>
        <v>2 [32.140149]</v>
      </c>
      <c r="J81">
        <f>IF(FT!B81&lt;&gt;"",FT!C81,"")</f>
        <v>32.140099999999997</v>
      </c>
    </row>
    <row r="82" spans="1:10">
      <c r="A82" s="61">
        <f t="shared" si="10"/>
        <v>80</v>
      </c>
      <c r="B82" s="61">
        <f t="shared" si="8"/>
        <v>1.5582400000000001</v>
      </c>
      <c r="C82" s="61">
        <f>FH!A82*1</f>
        <v>170414</v>
      </c>
      <c r="D82" s="61">
        <f>FH!B82*1</f>
        <v>170414</v>
      </c>
      <c r="E82">
        <f t="shared" si="11"/>
        <v>80</v>
      </c>
      <c r="F82" s="61">
        <f>IF(FT!A82&lt;&gt;"",FT!A82*10,"")</f>
        <v>3.10595</v>
      </c>
      <c r="G82" s="61">
        <f>IF(FT!B82&lt;&gt;"",FT!B82*100,"")</f>
        <v>51.023399999999995</v>
      </c>
      <c r="H82" s="61">
        <f t="shared" si="9"/>
        <v>1</v>
      </c>
      <c r="I82" t="str">
        <f>IF(FT!B82&lt;&gt;"",FT!E82,"")</f>
        <v>2 [32.544228]</v>
      </c>
      <c r="J82">
        <f>IF(FT!B82&lt;&gt;"",FT!C82,"")</f>
        <v>32.544199999999996</v>
      </c>
    </row>
    <row r="83" spans="1:10">
      <c r="A83" s="61">
        <f t="shared" si="10"/>
        <v>81</v>
      </c>
      <c r="B83" s="61">
        <f t="shared" si="8"/>
        <v>1.577718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3.1193399999999998</v>
      </c>
      <c r="G83" s="61">
        <f>IF(FT!B83&lt;&gt;"",FT!B83*100,"")</f>
        <v>50.646299999999997</v>
      </c>
      <c r="H83" s="61">
        <f t="shared" si="9"/>
        <v>1</v>
      </c>
      <c r="I83" t="str">
        <f>IF(FT!B83&lt;&gt;"",FT!E83,"")</f>
        <v>2 [32.965126]</v>
      </c>
      <c r="J83">
        <f>IF(FT!B83&lt;&gt;"",FT!C83,"")</f>
        <v>32.9651</v>
      </c>
    </row>
    <row r="84" spans="1:10">
      <c r="A84" s="61">
        <f t="shared" si="10"/>
        <v>82</v>
      </c>
      <c r="B84" s="61">
        <f t="shared" si="8"/>
        <v>1.5971960000000003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3.1339399999999999</v>
      </c>
      <c r="G84" s="61">
        <f>IF(FT!B84&lt;&gt;"",FT!B84*100,"")</f>
        <v>50.259299999999996</v>
      </c>
      <c r="H84" s="61">
        <f t="shared" si="9"/>
        <v>1</v>
      </c>
      <c r="I84" t="str">
        <f>IF(FT!B84&lt;&gt;"",FT!E84,"")</f>
        <v>2 [33.359083]</v>
      </c>
      <c r="J84">
        <f>IF(FT!B84&lt;&gt;"",FT!C84,"")</f>
        <v>33.359099999999998</v>
      </c>
    </row>
    <row r="85" spans="1:10">
      <c r="A85" s="61">
        <f t="shared" si="10"/>
        <v>83</v>
      </c>
      <c r="B85" s="61">
        <f t="shared" si="8"/>
        <v>1.6166740000000002</v>
      </c>
      <c r="C85" s="61">
        <f>FH!A85*1</f>
        <v>179025</v>
      </c>
      <c r="D85" s="61">
        <f>FH!B85*1</f>
        <v>179025</v>
      </c>
      <c r="E85">
        <f t="shared" si="11"/>
        <v>83</v>
      </c>
      <c r="F85" s="61">
        <f>IF(FT!A85&lt;&gt;"",FT!A85*10,"")</f>
        <v>3.1465700000000001</v>
      </c>
      <c r="G85" s="61">
        <f>IF(FT!B85&lt;&gt;"",FT!B85*100,"")</f>
        <v>49.925599999999996</v>
      </c>
      <c r="H85" s="61">
        <f t="shared" si="9"/>
        <v>1</v>
      </c>
      <c r="I85" t="str">
        <f>IF(FT!B85&lt;&gt;"",FT!E85,"")</f>
        <v>2 [33.772078]</v>
      </c>
      <c r="J85">
        <f>IF(FT!B85&lt;&gt;"",FT!C85,"")</f>
        <v>33.772100000000002</v>
      </c>
    </row>
    <row r="86" spans="1:10">
      <c r="A86" s="61">
        <f t="shared" si="10"/>
        <v>84</v>
      </c>
      <c r="B86" s="61">
        <f t="shared" si="8"/>
        <v>1.6361520000000001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3.1593</v>
      </c>
      <c r="G86" s="61">
        <f>IF(FT!B86&lt;&gt;"",FT!B86*100,"")</f>
        <v>49.682500000000005</v>
      </c>
      <c r="H86" s="61">
        <f t="shared" si="9"/>
        <v>1</v>
      </c>
      <c r="I86" t="str">
        <f>IF(FT!B86&lt;&gt;"",FT!E86,"")</f>
        <v>2 [34.169616]</v>
      </c>
      <c r="J86">
        <f>IF(FT!B86&lt;&gt;"",FT!C86,"")</f>
        <v>34.169600000000003</v>
      </c>
    </row>
    <row r="87" spans="1:10">
      <c r="A87" s="61">
        <f t="shared" si="10"/>
        <v>85</v>
      </c>
      <c r="B87" s="61">
        <f t="shared" si="8"/>
        <v>1.6556299999999999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3.1678299999999999</v>
      </c>
      <c r="G87" s="61">
        <f>IF(FT!B87&lt;&gt;"",FT!B87*100,"")</f>
        <v>49.498399999999997</v>
      </c>
      <c r="H87" s="61">
        <f t="shared" si="9"/>
        <v>1</v>
      </c>
      <c r="I87" t="str">
        <f>IF(FT!B87&lt;&gt;"",FT!E87,"")</f>
        <v>2 [34.574539]</v>
      </c>
      <c r="J87">
        <f>IF(FT!B87&lt;&gt;"",FT!C87,"")</f>
        <v>34.5745</v>
      </c>
    </row>
    <row r="88" spans="1:10">
      <c r="A88" s="61">
        <f t="shared" si="10"/>
        <v>86</v>
      </c>
      <c r="B88" s="61">
        <f t="shared" si="8"/>
        <v>1.6751080000000003</v>
      </c>
      <c r="C88" s="61">
        <f>FH!A88*1</f>
        <v>173378</v>
      </c>
      <c r="D88" s="61">
        <f>FH!B88*1</f>
        <v>173378</v>
      </c>
      <c r="E88">
        <f t="shared" si="11"/>
        <v>86</v>
      </c>
      <c r="F88" s="61">
        <f>IF(FT!A88&lt;&gt;"",FT!A88*10,"")</f>
        <v>3.1706799999999999</v>
      </c>
      <c r="G88" s="61">
        <f>IF(FT!B88&lt;&gt;"",FT!B88*100,"")</f>
        <v>49.375999999999998</v>
      </c>
      <c r="H88" s="61">
        <f t="shared" si="9"/>
        <v>1</v>
      </c>
      <c r="I88" t="str">
        <f>IF(FT!B88&lt;&gt;"",FT!E88,"")</f>
        <v>2 [34.997505]</v>
      </c>
      <c r="J88">
        <f>IF(FT!B88&lt;&gt;"",FT!C88,"")</f>
        <v>34.997500000000002</v>
      </c>
    </row>
    <row r="89" spans="1:10">
      <c r="A89" s="61">
        <f t="shared" si="10"/>
        <v>87</v>
      </c>
      <c r="B89" s="61">
        <f t="shared" si="8"/>
        <v>1.6945860000000001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3.17136</v>
      </c>
      <c r="G89" s="61">
        <f>IF(FT!B89&lt;&gt;"",FT!B89*100,"")</f>
        <v>49.220999999999997</v>
      </c>
      <c r="H89" s="61">
        <f t="shared" si="9"/>
        <v>1</v>
      </c>
      <c r="I89" t="str">
        <f>IF(FT!B89&lt;&gt;"",FT!E89,"")</f>
        <v>2 [35.390364]</v>
      </c>
      <c r="J89">
        <f>IF(FT!B89&lt;&gt;"",FT!C89,"")</f>
        <v>35.3904</v>
      </c>
    </row>
    <row r="90" spans="1:10">
      <c r="A90" s="61">
        <f t="shared" si="10"/>
        <v>88</v>
      </c>
      <c r="B90" s="61">
        <f t="shared" si="8"/>
        <v>1.714064</v>
      </c>
      <c r="C90" s="61">
        <f>FH!A90*1</f>
        <v>185503</v>
      </c>
      <c r="D90" s="61">
        <f>FH!B90*1</f>
        <v>185503</v>
      </c>
      <c r="E90">
        <f t="shared" si="11"/>
        <v>88</v>
      </c>
      <c r="F90" s="61">
        <f>IF(FT!A90&lt;&gt;"",FT!A90*10,"")</f>
        <v>3.1753799999999996</v>
      </c>
      <c r="G90" s="61">
        <f>IF(FT!B90&lt;&gt;"",FT!B90*100,"")</f>
        <v>48.987499999999997</v>
      </c>
      <c r="H90" s="61">
        <f t="shared" si="9"/>
        <v>1</v>
      </c>
      <c r="I90" t="str">
        <f>IF(FT!B90&lt;&gt;"",FT!E90,"")</f>
        <v>2 [35.795377]</v>
      </c>
      <c r="J90">
        <f>IF(FT!B90&lt;&gt;"",FT!C90,"")</f>
        <v>35.795400000000001</v>
      </c>
    </row>
    <row r="91" spans="1:10">
      <c r="A91" s="61">
        <f t="shared" si="10"/>
        <v>89</v>
      </c>
      <c r="B91" s="61">
        <f t="shared" si="8"/>
        <v>1.7335419999999999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3.1808399999999999</v>
      </c>
      <c r="G91" s="61">
        <f>IF(FT!B91&lt;&gt;"",FT!B91*100,"")</f>
        <v>48.671599999999998</v>
      </c>
      <c r="H91" s="61">
        <f t="shared" si="9"/>
        <v>1</v>
      </c>
      <c r="I91" t="str">
        <f>IF(FT!B91&lt;&gt;"",FT!E91,"")</f>
        <v>2 [36.205252]</v>
      </c>
      <c r="J91">
        <f>IF(FT!B91&lt;&gt;"",FT!C91,"")</f>
        <v>36.205300000000001</v>
      </c>
    </row>
    <row r="92" spans="1:10">
      <c r="A92" s="61">
        <f t="shared" si="10"/>
        <v>90</v>
      </c>
      <c r="B92" s="61">
        <f t="shared" si="8"/>
        <v>1.7530200000000002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3.18668</v>
      </c>
      <c r="G92" s="61">
        <f>IF(FT!B92&lt;&gt;"",FT!B92*100,"")</f>
        <v>48.3033</v>
      </c>
      <c r="H92" s="61">
        <f t="shared" si="9"/>
        <v>1</v>
      </c>
      <c r="I92" t="str">
        <f>IF(FT!B92&lt;&gt;"",FT!E92,"")</f>
        <v>2 [36.606712]</v>
      </c>
      <c r="J92">
        <f>IF(FT!B92&lt;&gt;"",FT!C92,"")</f>
        <v>36.606699999999996</v>
      </c>
    </row>
    <row r="93" spans="1:10">
      <c r="A93" s="61">
        <f t="shared" si="10"/>
        <v>91</v>
      </c>
      <c r="B93" s="61">
        <f t="shared" si="8"/>
        <v>1.7724980000000001</v>
      </c>
      <c r="C93" s="61">
        <f>FH!A93*1</f>
        <v>198822</v>
      </c>
      <c r="D93" s="61">
        <f>FH!B93*1</f>
        <v>198822</v>
      </c>
      <c r="E93">
        <f t="shared" si="11"/>
        <v>91</v>
      </c>
      <c r="F93" s="61">
        <f>IF(FT!A93&lt;&gt;"",FT!A93*10,"")</f>
        <v>3.19258</v>
      </c>
      <c r="G93" s="61">
        <f>IF(FT!B93&lt;&gt;"",FT!B93*100,"")</f>
        <v>47.962700000000005</v>
      </c>
      <c r="H93" s="61">
        <f t="shared" si="9"/>
        <v>1</v>
      </c>
      <c r="I93" t="str">
        <f>IF(FT!B93&lt;&gt;"",FT!E93,"")</f>
        <v>2 [37.012350]</v>
      </c>
      <c r="J93">
        <f>IF(FT!B93&lt;&gt;"",FT!C93,"")</f>
        <v>37.012300000000003</v>
      </c>
    </row>
    <row r="94" spans="1:10">
      <c r="A94" s="61">
        <f t="shared" si="10"/>
        <v>92</v>
      </c>
      <c r="B94" s="61">
        <f t="shared" si="8"/>
        <v>1.791976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3.1997</v>
      </c>
      <c r="G94" s="61">
        <f>IF(FT!B94&lt;&gt;"",FT!B94*100,"")</f>
        <v>47.6907</v>
      </c>
      <c r="H94" s="61">
        <f t="shared" si="9"/>
        <v>1</v>
      </c>
      <c r="I94" t="str">
        <f>IF(FT!B94&lt;&gt;"",FT!E94,"")</f>
        <v>2 [37.418925]</v>
      </c>
      <c r="J94">
        <f>IF(FT!B94&lt;&gt;"",FT!C94,"")</f>
        <v>37.418900000000001</v>
      </c>
    </row>
    <row r="95" spans="1:10">
      <c r="A95" s="61">
        <f t="shared" si="10"/>
        <v>93</v>
      </c>
      <c r="B95" s="61">
        <f t="shared" si="8"/>
        <v>1.8114539999999999</v>
      </c>
      <c r="C95" s="61">
        <f>FH!A95*1</f>
        <v>188710</v>
      </c>
      <c r="D95" s="61">
        <f>FH!B95*1</f>
        <v>188710</v>
      </c>
      <c r="E95">
        <f t="shared" si="11"/>
        <v>93</v>
      </c>
      <c r="F95" s="61">
        <f>IF(FT!A95&lt;&gt;"",FT!A95*10,"")</f>
        <v>3.2083200000000001</v>
      </c>
      <c r="G95" s="61">
        <f>IF(FT!B95&lt;&gt;"",FT!B95*100,"")</f>
        <v>47.544199999999996</v>
      </c>
      <c r="H95" s="61">
        <f t="shared" si="9"/>
        <v>1</v>
      </c>
      <c r="I95" t="str">
        <f>IF(FT!B95&lt;&gt;"",FT!E95,"")</f>
        <v>2 [37.827017]</v>
      </c>
      <c r="J95">
        <f>IF(FT!B95&lt;&gt;"",FT!C95,"")</f>
        <v>37.826999999999998</v>
      </c>
    </row>
    <row r="96" spans="1:10">
      <c r="A96" s="61">
        <f t="shared" si="10"/>
        <v>94</v>
      </c>
      <c r="B96" s="61">
        <f t="shared" si="8"/>
        <v>1.8309320000000002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3.21563</v>
      </c>
      <c r="G96" s="61">
        <f>IF(FT!B96&lt;&gt;"",FT!B96*100,"")</f>
        <v>47.506999999999998</v>
      </c>
      <c r="H96" s="61">
        <f t="shared" si="9"/>
        <v>1</v>
      </c>
      <c r="I96" t="str">
        <f>IF(FT!B96&lt;&gt;"",FT!E96,"")</f>
        <v>2 [38.230976]</v>
      </c>
      <c r="J96">
        <f>IF(FT!B96&lt;&gt;"",FT!C96,"")</f>
        <v>38.231000000000002</v>
      </c>
    </row>
    <row r="97" spans="1:10">
      <c r="A97" s="61">
        <f t="shared" si="10"/>
        <v>95</v>
      </c>
      <c r="B97" s="61">
        <f t="shared" si="8"/>
        <v>1.8504100000000001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3.2230699999999999</v>
      </c>
      <c r="G97" s="61">
        <f>IF(FT!B97&lt;&gt;"",FT!B97*100,"")</f>
        <v>47.482100000000003</v>
      </c>
      <c r="H97" s="61">
        <f t="shared" si="9"/>
        <v>1</v>
      </c>
      <c r="I97" t="str">
        <f>IF(FT!B97&lt;&gt;"",FT!E97,"")</f>
        <v>2 [38.636902]</v>
      </c>
      <c r="J97">
        <f>IF(FT!B97&lt;&gt;"",FT!C97,"")</f>
        <v>38.636899999999997</v>
      </c>
    </row>
    <row r="98" spans="1:10">
      <c r="A98" s="61">
        <f t="shared" si="10"/>
        <v>96</v>
      </c>
      <c r="B98" s="61">
        <f t="shared" si="8"/>
        <v>1.869888</v>
      </c>
      <c r="C98" s="61">
        <f>FH!A98*1</f>
        <v>182563</v>
      </c>
      <c r="D98" s="61">
        <f>FH!B98*1</f>
        <v>182563</v>
      </c>
      <c r="E98">
        <f t="shared" si="11"/>
        <v>96</v>
      </c>
      <c r="F98" s="61">
        <f>IF(FT!A98&lt;&gt;"",FT!A98*10,"")</f>
        <v>3.2320900000000004</v>
      </c>
      <c r="G98" s="61">
        <f>IF(FT!B98&lt;&gt;"",FT!B98*100,"")</f>
        <v>47.462700000000005</v>
      </c>
      <c r="H98" s="61">
        <f t="shared" si="9"/>
        <v>1</v>
      </c>
      <c r="I98" t="str">
        <f>IF(FT!B98&lt;&gt;"",FT!E98,"")</f>
        <v>2 [39.044178]</v>
      </c>
      <c r="J98">
        <f>IF(FT!B98&lt;&gt;"",FT!C98,"")</f>
        <v>39.044199999999996</v>
      </c>
    </row>
    <row r="99" spans="1:10">
      <c r="A99" s="61">
        <f t="shared" si="10"/>
        <v>97</v>
      </c>
      <c r="B99" s="61">
        <f t="shared" si="8"/>
        <v>1.8893660000000001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3.2403</v>
      </c>
      <c r="G99" s="61">
        <f>IF(FT!B99&lt;&gt;"",FT!B99*100,"")</f>
        <v>47.4251</v>
      </c>
      <c r="H99" s="61">
        <f t="shared" si="9"/>
        <v>1</v>
      </c>
      <c r="I99" t="str">
        <f>IF(FT!B99&lt;&gt;"",FT!E99,"")</f>
        <v>2 [39.448778]</v>
      </c>
      <c r="J99">
        <f>IF(FT!B99&lt;&gt;"",FT!C99,"")</f>
        <v>39.448799999999999</v>
      </c>
    </row>
    <row r="100" spans="1:10">
      <c r="A100" s="61">
        <f t="shared" si="10"/>
        <v>98</v>
      </c>
      <c r="B100" s="61">
        <f t="shared" si="8"/>
        <v>1.9088440000000002</v>
      </c>
      <c r="C100" s="61">
        <f>FH!A100*1</f>
        <v>180409</v>
      </c>
      <c r="D100" s="61">
        <f>FH!B100*1</f>
        <v>180409</v>
      </c>
      <c r="E100">
        <f t="shared" si="11"/>
        <v>98</v>
      </c>
      <c r="F100" s="61">
        <f>IF(FT!A100&lt;&gt;"",FT!A100*10,"")</f>
        <v>3.24532</v>
      </c>
      <c r="G100" s="61">
        <f>IF(FT!B100&lt;&gt;"",FT!B100*100,"")</f>
        <v>47.4465</v>
      </c>
      <c r="H100" s="61">
        <f t="shared" si="9"/>
        <v>1</v>
      </c>
      <c r="I100" t="str">
        <f>IF(FT!B100&lt;&gt;"",FT!E100,"")</f>
        <v>2 [39.855570]</v>
      </c>
      <c r="J100">
        <f>IF(FT!B100&lt;&gt;"",FT!C100,"")</f>
        <v>39.855600000000003</v>
      </c>
    </row>
    <row r="101" spans="1:10">
      <c r="A101" s="61">
        <f t="shared" si="10"/>
        <v>99</v>
      </c>
      <c r="B101" s="61">
        <f t="shared" si="8"/>
        <v>1.9283220000000001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3.24892</v>
      </c>
      <c r="G101" s="61">
        <f>IF(FT!B101&lt;&gt;"",FT!B101*100,"")</f>
        <v>47.479599999999998</v>
      </c>
      <c r="H101" s="61">
        <f t="shared" si="9"/>
        <v>1</v>
      </c>
      <c r="I101" t="str">
        <f>IF(FT!B101&lt;&gt;"",FT!E101,"")</f>
        <v>2 [40.263369]</v>
      </c>
      <c r="J101">
        <f>IF(FT!B101&lt;&gt;"",FT!C101,"")</f>
        <v>40.263399999999997</v>
      </c>
    </row>
    <row r="102" spans="1:10">
      <c r="A102" s="61">
        <f t="shared" si="10"/>
        <v>100</v>
      </c>
      <c r="B102" s="61">
        <f t="shared" si="8"/>
        <v>1.9478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3.2523</v>
      </c>
      <c r="G102" s="61">
        <f>IF(FT!B102&lt;&gt;"",FT!B102*100,"")</f>
        <v>47.451000000000001</v>
      </c>
      <c r="H102" s="61">
        <f t="shared" si="9"/>
        <v>1</v>
      </c>
      <c r="I102" t="str">
        <f>IF(FT!B102&lt;&gt;"",FT!E102,"")</f>
        <v>2 [40.668433]</v>
      </c>
      <c r="J102">
        <f>IF(FT!B102&lt;&gt;"",FT!C102,"")</f>
        <v>40.668399999999998</v>
      </c>
    </row>
    <row r="103" spans="1:10">
      <c r="A103" s="61">
        <f t="shared" si="10"/>
        <v>101</v>
      </c>
      <c r="B103" s="61">
        <f t="shared" si="8"/>
        <v>1.9672780000000001</v>
      </c>
      <c r="C103" s="61">
        <f>FH!A103*1</f>
        <v>164538</v>
      </c>
      <c r="D103" s="61">
        <f>FH!B103*1</f>
        <v>164538</v>
      </c>
      <c r="E103">
        <f t="shared" si="11"/>
        <v>101</v>
      </c>
      <c r="F103" s="61">
        <f>IF(FT!A103&lt;&gt;"",FT!A103*10,"")</f>
        <v>3.2523999999999997</v>
      </c>
      <c r="G103" s="61">
        <f>IF(FT!B103&lt;&gt;"",FT!B103*100,"")</f>
        <v>47.393000000000001</v>
      </c>
      <c r="H103" s="61">
        <f t="shared" si="9"/>
        <v>1</v>
      </c>
      <c r="I103" t="str">
        <f>IF(FT!B103&lt;&gt;"",FT!E103,"")</f>
        <v>2 [41.073457]</v>
      </c>
      <c r="J103">
        <f>IF(FT!B103&lt;&gt;"",FT!C103,"")</f>
        <v>41.073500000000003</v>
      </c>
    </row>
    <row r="104" spans="1:10">
      <c r="A104" s="61">
        <f t="shared" si="10"/>
        <v>102</v>
      </c>
      <c r="B104" s="61">
        <f t="shared" si="8"/>
        <v>1.9867560000000002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3.2518000000000002</v>
      </c>
      <c r="G104" s="61">
        <f>IF(FT!B104&lt;&gt;"",FT!B104*100,"")</f>
        <v>47.3048</v>
      </c>
      <c r="H104" s="61">
        <f t="shared" si="9"/>
        <v>1</v>
      </c>
      <c r="I104" t="str">
        <f>IF(FT!B104&lt;&gt;"",FT!E104,"")</f>
        <v>2 [41.483146]</v>
      </c>
      <c r="J104">
        <f>IF(FT!B104&lt;&gt;"",FT!C104,"")</f>
        <v>41.4831</v>
      </c>
    </row>
    <row r="105" spans="1:10">
      <c r="A105" s="61">
        <f t="shared" si="10"/>
        <v>103</v>
      </c>
      <c r="B105" s="61">
        <f t="shared" si="8"/>
        <v>2.0062340000000001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3.2505699999999997</v>
      </c>
      <c r="G105" s="61">
        <f>IF(FT!B105&lt;&gt;"",FT!B105*100,"")</f>
        <v>47.241599999999998</v>
      </c>
      <c r="H105" s="61">
        <f t="shared" si="9"/>
        <v>1</v>
      </c>
      <c r="I105" t="str">
        <f>IF(FT!B105&lt;&gt;"",FT!E105,"")</f>
        <v>2 [41.891135]</v>
      </c>
      <c r="J105">
        <f>IF(FT!B105&lt;&gt;"",FT!C105,"")</f>
        <v>41.891100000000002</v>
      </c>
    </row>
    <row r="106" spans="1:10">
      <c r="A106" s="61">
        <f t="shared" si="10"/>
        <v>104</v>
      </c>
      <c r="B106" s="61">
        <f t="shared" si="8"/>
        <v>2.025712</v>
      </c>
      <c r="C106" s="61">
        <f>FH!A106*1</f>
        <v>148648</v>
      </c>
      <c r="D106" s="61">
        <f>FH!B106*1</f>
        <v>148648</v>
      </c>
      <c r="E106">
        <f t="shared" si="11"/>
        <v>104</v>
      </c>
      <c r="F106" s="61">
        <f>IF(FT!A106&lt;&gt;"",FT!A106*10,"")</f>
        <v>3.2488000000000001</v>
      </c>
      <c r="G106" s="61">
        <f>IF(FT!B106&lt;&gt;"",FT!B106*100,"")</f>
        <v>47.220199999999998</v>
      </c>
      <c r="H106" s="61">
        <f t="shared" si="9"/>
        <v>1</v>
      </c>
      <c r="I106" t="str">
        <f>IF(FT!B106&lt;&gt;"",FT!E106,"")</f>
        <v>2 [42.312987]</v>
      </c>
      <c r="J106">
        <f>IF(FT!B106&lt;&gt;"",FT!C106,"")</f>
        <v>42.313000000000002</v>
      </c>
    </row>
    <row r="107" spans="1:10">
      <c r="A107" s="61">
        <f t="shared" si="10"/>
        <v>105</v>
      </c>
      <c r="B107" s="61">
        <f t="shared" si="8"/>
        <v>2.0451899999999998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3.2458100000000001</v>
      </c>
      <c r="G107" s="61">
        <f>IF(FT!B107&lt;&gt;"",FT!B107*100,"")</f>
        <v>47.2774</v>
      </c>
      <c r="H107" s="61">
        <f t="shared" si="9"/>
        <v>1</v>
      </c>
      <c r="I107" t="str">
        <f>IF(FT!B107&lt;&gt;"",FT!E107,"")</f>
        <v>2 [42.696952]</v>
      </c>
      <c r="J107">
        <f>IF(FT!B107&lt;&gt;"",FT!C107,"")</f>
        <v>42.697000000000003</v>
      </c>
    </row>
    <row r="108" spans="1:10">
      <c r="A108" s="61">
        <f t="shared" si="10"/>
        <v>106</v>
      </c>
      <c r="B108" s="61">
        <f t="shared" si="8"/>
        <v>2.0646680000000002</v>
      </c>
      <c r="C108" s="61">
        <f>FH!A108*1</f>
        <v>130771</v>
      </c>
      <c r="D108" s="61">
        <f>FH!B108*1</f>
        <v>130771</v>
      </c>
      <c r="E108">
        <f t="shared" si="11"/>
        <v>106</v>
      </c>
      <c r="F108" s="61">
        <f>IF(FT!A108&lt;&gt;"",FT!A108*10,"")</f>
        <v>3.2434600000000002</v>
      </c>
      <c r="G108" s="61">
        <f>IF(FT!B108&lt;&gt;"",FT!B108*100,"")</f>
        <v>47.374500000000005</v>
      </c>
      <c r="H108" s="61">
        <f t="shared" si="9"/>
        <v>1</v>
      </c>
      <c r="I108" t="str">
        <f>IF(FT!B108&lt;&gt;"",FT!E108,"")</f>
        <v>2 [43.107123]</v>
      </c>
      <c r="J108">
        <f>IF(FT!B108&lt;&gt;"",FT!C108,"")</f>
        <v>43.107100000000003</v>
      </c>
    </row>
    <row r="109" spans="1:10">
      <c r="A109" s="61">
        <f t="shared" si="10"/>
        <v>107</v>
      </c>
      <c r="B109" s="61">
        <f t="shared" si="8"/>
        <v>2.0841460000000001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3.2437</v>
      </c>
      <c r="G109" s="61">
        <f>IF(FT!B109&lt;&gt;"",FT!B109*100,"")</f>
        <v>47.549599999999998</v>
      </c>
      <c r="H109" s="61">
        <f t="shared" si="9"/>
        <v>1</v>
      </c>
      <c r="I109" t="str">
        <f>IF(FT!B109&lt;&gt;"",FT!E109,"")</f>
        <v>2 [43.511809]</v>
      </c>
      <c r="J109">
        <f>IF(FT!B109&lt;&gt;"",FT!C109,"")</f>
        <v>43.511800000000001</v>
      </c>
    </row>
    <row r="110" spans="1:10">
      <c r="A110" s="61">
        <f t="shared" si="10"/>
        <v>108</v>
      </c>
      <c r="B110" s="61">
        <f t="shared" si="8"/>
        <v>2.1036239999999999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3.24526</v>
      </c>
      <c r="G110" s="61">
        <f>IF(FT!B110&lt;&gt;"",FT!B110*100,"")</f>
        <v>47.713499999999996</v>
      </c>
      <c r="H110" s="61">
        <f t="shared" si="9"/>
        <v>1</v>
      </c>
      <c r="I110" t="str">
        <f>IF(FT!B110&lt;&gt;"",FT!E110,"")</f>
        <v>2 [43.919688]</v>
      </c>
      <c r="J110">
        <f>IF(FT!B110&lt;&gt;"",FT!C110,"")</f>
        <v>43.919699999999999</v>
      </c>
    </row>
    <row r="111" spans="1:10">
      <c r="A111" s="61">
        <f t="shared" si="10"/>
        <v>109</v>
      </c>
      <c r="B111" s="61">
        <f t="shared" si="8"/>
        <v>2.1231019999999998</v>
      </c>
      <c r="C111" s="61">
        <f>FH!A111*1</f>
        <v>114953</v>
      </c>
      <c r="D111" s="61">
        <f>FH!B111*1</f>
        <v>114953</v>
      </c>
      <c r="E111">
        <f t="shared" si="11"/>
        <v>109</v>
      </c>
      <c r="F111" s="61">
        <f>IF(FT!A111&lt;&gt;"",FT!A111*10,"")</f>
        <v>3.24491</v>
      </c>
      <c r="G111" s="61">
        <f>IF(FT!B111&lt;&gt;"",FT!B111*100,"")</f>
        <v>47.8262</v>
      </c>
      <c r="H111" s="61">
        <f t="shared" si="9"/>
        <v>1</v>
      </c>
      <c r="I111" t="str">
        <f>IF(FT!B111&lt;&gt;"",FT!E111,"")</f>
        <v>2 [44.328588]</v>
      </c>
      <c r="J111">
        <f>IF(FT!B111&lt;&gt;"",FT!C111,"")</f>
        <v>44.328600000000002</v>
      </c>
    </row>
    <row r="112" spans="1:10">
      <c r="A112" s="61">
        <f t="shared" si="10"/>
        <v>110</v>
      </c>
      <c r="B112" s="61">
        <f t="shared" si="8"/>
        <v>2.1425800000000002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3.2417400000000001</v>
      </c>
      <c r="G112" s="61">
        <f>IF(FT!B112&lt;&gt;"",FT!B112*100,"")</f>
        <v>47.897400000000005</v>
      </c>
      <c r="H112" s="61">
        <f t="shared" si="9"/>
        <v>1</v>
      </c>
      <c r="I112" t="str">
        <f>IF(FT!B112&lt;&gt;"",FT!E112,"")</f>
        <v>2 [44.749667]</v>
      </c>
      <c r="J112">
        <f>IF(FT!B112&lt;&gt;"",FT!C112,"")</f>
        <v>44.749699999999997</v>
      </c>
    </row>
    <row r="113" spans="1:10">
      <c r="A113" s="61">
        <f t="shared" si="10"/>
        <v>111</v>
      </c>
      <c r="B113" s="61">
        <f t="shared" si="8"/>
        <v>2.162058</v>
      </c>
      <c r="C113" s="61">
        <f>FH!A113*1</f>
        <v>96350</v>
      </c>
      <c r="D113" s="61">
        <f>FH!B113*1</f>
        <v>96350</v>
      </c>
      <c r="E113">
        <f t="shared" si="11"/>
        <v>111</v>
      </c>
      <c r="F113" s="61">
        <f>IF(FT!A113&lt;&gt;"",FT!A113*10,"")</f>
        <v>3.2421899999999999</v>
      </c>
      <c r="G113" s="61">
        <f>IF(FT!B113&lt;&gt;"",FT!B113*100,"")</f>
        <v>47.909300000000002</v>
      </c>
      <c r="H113" s="61">
        <f t="shared" si="9"/>
        <v>1</v>
      </c>
      <c r="I113" t="str">
        <f>IF(FT!B113&lt;&gt;"",FT!E113,"")</f>
        <v>2 [45.134485]</v>
      </c>
      <c r="J113">
        <f>IF(FT!B113&lt;&gt;"",FT!C113,"")</f>
        <v>45.134500000000003</v>
      </c>
    </row>
    <row r="114" spans="1:10">
      <c r="A114" s="61">
        <f t="shared" si="10"/>
        <v>112</v>
      </c>
      <c r="B114" s="61">
        <f t="shared" si="8"/>
        <v>2.1815359999999999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3.2456499999999999</v>
      </c>
      <c r="G114" s="61">
        <f>IF(FT!B114&lt;&gt;"",FT!B114*100,"")</f>
        <v>47.944099999999999</v>
      </c>
      <c r="H114" s="61">
        <f t="shared" si="9"/>
        <v>1</v>
      </c>
      <c r="I114" t="str">
        <f>IF(FT!B114&lt;&gt;"",FT!E114,"")</f>
        <v>2 [45.542368]</v>
      </c>
      <c r="J114">
        <f>IF(FT!B114&lt;&gt;"",FT!C114,"")</f>
        <v>45.542400000000001</v>
      </c>
    </row>
    <row r="115" spans="1:10">
      <c r="A115" s="61">
        <f t="shared" si="10"/>
        <v>113</v>
      </c>
      <c r="B115" s="61">
        <f t="shared" si="8"/>
        <v>2.2010139999999998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3.24674</v>
      </c>
      <c r="G115" s="61">
        <f>IF(FT!B115&lt;&gt;"",FT!B115*100,"")</f>
        <v>48.026600000000002</v>
      </c>
      <c r="H115" s="61">
        <f t="shared" si="9"/>
        <v>1</v>
      </c>
      <c r="I115" t="str">
        <f>IF(FT!B115&lt;&gt;"",FT!E115,"")</f>
        <v>2 [45.954506]</v>
      </c>
      <c r="J115">
        <f>IF(FT!B115&lt;&gt;"",FT!C115,"")</f>
        <v>45.954500000000003</v>
      </c>
    </row>
    <row r="116" spans="1:10">
      <c r="A116" s="61">
        <f t="shared" si="10"/>
        <v>114</v>
      </c>
      <c r="B116" s="61">
        <f t="shared" si="8"/>
        <v>2.2204920000000001</v>
      </c>
      <c r="C116" s="61">
        <f>FH!A116*1</f>
        <v>81926</v>
      </c>
      <c r="D116" s="61">
        <f>FH!B116*1</f>
        <v>81926</v>
      </c>
      <c r="E116">
        <f t="shared" si="11"/>
        <v>114</v>
      </c>
      <c r="F116" s="61">
        <f>IF(FT!A116&lt;&gt;"",FT!A116*10,"")</f>
        <v>3.2463899999999999</v>
      </c>
      <c r="G116" s="61">
        <f>IF(FT!B116&lt;&gt;"",FT!B116*100,"")</f>
        <v>48.173899999999996</v>
      </c>
      <c r="H116" s="61">
        <f t="shared" si="9"/>
        <v>1</v>
      </c>
      <c r="I116" t="str">
        <f>IF(FT!B116&lt;&gt;"",FT!E116,"")</f>
        <v>2 [46.355289]</v>
      </c>
      <c r="J116">
        <f>IF(FT!B116&lt;&gt;"",FT!C116,"")</f>
        <v>46.3553</v>
      </c>
    </row>
    <row r="117" spans="1:10">
      <c r="A117" s="61">
        <f t="shared" si="10"/>
        <v>115</v>
      </c>
      <c r="B117" s="61">
        <f t="shared" si="8"/>
        <v>2.23997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3.2423099999999998</v>
      </c>
      <c r="G117" s="61">
        <f>IF(FT!B117&lt;&gt;"",FT!B117*100,"")</f>
        <v>48.343000000000004</v>
      </c>
      <c r="H117" s="61">
        <f t="shared" si="9"/>
        <v>1</v>
      </c>
      <c r="I117" t="str">
        <f>IF(FT!B117&lt;&gt;"",FT!E117,"")</f>
        <v>2 [46.763566]</v>
      </c>
      <c r="J117">
        <f>IF(FT!B117&lt;&gt;"",FT!C117,"")</f>
        <v>46.763599999999997</v>
      </c>
    </row>
    <row r="118" spans="1:10">
      <c r="A118" s="61">
        <f t="shared" si="10"/>
        <v>116</v>
      </c>
      <c r="B118" s="61">
        <f t="shared" si="8"/>
        <v>2.2594479999999999</v>
      </c>
      <c r="C118" s="61">
        <f>FH!A118*1</f>
        <v>70043</v>
      </c>
      <c r="D118" s="61">
        <f>FH!B118*1</f>
        <v>70043</v>
      </c>
      <c r="E118">
        <f t="shared" si="11"/>
        <v>116</v>
      </c>
      <c r="F118" s="61">
        <f>IF(FT!A118&lt;&gt;"",FT!A118*10,"")</f>
        <v>3.2369599999999998</v>
      </c>
      <c r="G118" s="61">
        <f>IF(FT!B118&lt;&gt;"",FT!B118*100,"")</f>
        <v>48.467100000000002</v>
      </c>
      <c r="H118" s="61">
        <f t="shared" si="9"/>
        <v>1</v>
      </c>
      <c r="I118" t="str">
        <f>IF(FT!B118&lt;&gt;"",FT!E118,"")</f>
        <v>2 [47.169595]</v>
      </c>
      <c r="J118">
        <f>IF(FT!B118&lt;&gt;"",FT!C118,"")</f>
        <v>47.169600000000003</v>
      </c>
    </row>
    <row r="119" spans="1:10">
      <c r="A119" s="61">
        <f t="shared" si="10"/>
        <v>117</v>
      </c>
      <c r="B119" s="61">
        <f t="shared" si="8"/>
        <v>2.2789260000000002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3.2271000000000001</v>
      </c>
      <c r="G119" s="61">
        <f>IF(FT!B119&lt;&gt;"",FT!B119*100,"")</f>
        <v>48.526599999999995</v>
      </c>
      <c r="H119" s="61">
        <f t="shared" si="9"/>
        <v>1</v>
      </c>
      <c r="I119" t="str">
        <f>IF(FT!B119&lt;&gt;"",FT!E119,"")</f>
        <v>2 [47.575403]</v>
      </c>
      <c r="J119">
        <f>IF(FT!B119&lt;&gt;"",FT!C119,"")</f>
        <v>47.575400000000002</v>
      </c>
    </row>
    <row r="120" spans="1:10">
      <c r="A120" s="61">
        <f t="shared" si="10"/>
        <v>118</v>
      </c>
      <c r="B120" s="61">
        <f t="shared" si="8"/>
        <v>2.2984040000000001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3.2189000000000001</v>
      </c>
      <c r="G120" s="61">
        <f>IF(FT!B120&lt;&gt;"",FT!B120*100,"")</f>
        <v>48.5657</v>
      </c>
      <c r="H120" s="61">
        <f t="shared" si="9"/>
        <v>1</v>
      </c>
      <c r="I120" t="str">
        <f>IF(FT!B120&lt;&gt;"",FT!E120,"")</f>
        <v>2 [47.987572]</v>
      </c>
      <c r="J120">
        <f>IF(FT!B120&lt;&gt;"",FT!C120,"")</f>
        <v>47.9876</v>
      </c>
    </row>
    <row r="121" spans="1:10">
      <c r="A121" s="61">
        <f t="shared" si="10"/>
        <v>119</v>
      </c>
      <c r="B121" s="61">
        <f t="shared" si="8"/>
        <v>2.317882</v>
      </c>
      <c r="C121" s="61">
        <f>FH!A121*1</f>
        <v>51756</v>
      </c>
      <c r="D121" s="61">
        <f>FH!B121*1</f>
        <v>51756</v>
      </c>
      <c r="E121">
        <f t="shared" si="11"/>
        <v>119</v>
      </c>
      <c r="F121" s="61">
        <f>IF(FT!A121&lt;&gt;"",FT!A121*10,"")</f>
        <v>3.2142300000000001</v>
      </c>
      <c r="G121" s="61">
        <f>IF(FT!B121&lt;&gt;"",FT!B121*100,"")</f>
        <v>48.548200000000001</v>
      </c>
      <c r="H121" s="61">
        <f t="shared" si="9"/>
        <v>1</v>
      </c>
      <c r="I121" t="str">
        <f>IF(FT!B121&lt;&gt;"",FT!E121,"")</f>
        <v>2 [48.390216]</v>
      </c>
      <c r="J121">
        <f>IF(FT!B121&lt;&gt;"",FT!C121,"")</f>
        <v>48.3902</v>
      </c>
    </row>
    <row r="122" spans="1:10">
      <c r="A122" s="61">
        <f t="shared" si="10"/>
        <v>120</v>
      </c>
      <c r="B122" s="61">
        <f t="shared" si="8"/>
        <v>2.3373599999999999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3.2110599999999998</v>
      </c>
      <c r="G122" s="61">
        <f>IF(FT!B122&lt;&gt;"",FT!B122*100,"")</f>
        <v>48.520299999999999</v>
      </c>
      <c r="H122" s="61">
        <f t="shared" si="9"/>
        <v>1</v>
      </c>
      <c r="I122" t="str">
        <f>IF(FT!B122&lt;&gt;"",FT!E122,"")</f>
        <v>2 [48.793124]</v>
      </c>
      <c r="J122">
        <f>IF(FT!B122&lt;&gt;"",FT!C122,"")</f>
        <v>48.793100000000003</v>
      </c>
    </row>
    <row r="123" spans="1:10">
      <c r="A123" s="61">
        <f t="shared" si="10"/>
        <v>121</v>
      </c>
      <c r="B123" s="61">
        <f t="shared" si="8"/>
        <v>2.3568380000000002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3.2076500000000001</v>
      </c>
      <c r="G123" s="61">
        <f>IF(FT!B123&lt;&gt;"",FT!B123*100,"")</f>
        <v>48.571300000000001</v>
      </c>
      <c r="H123" s="61">
        <f t="shared" si="9"/>
        <v>1</v>
      </c>
      <c r="I123" t="str">
        <f>IF(FT!B123&lt;&gt;"",FT!E123,"")</f>
        <v>2 [49.196023]</v>
      </c>
      <c r="J123">
        <f>IF(FT!B123&lt;&gt;"",FT!C123,"")</f>
        <v>49.195999999999998</v>
      </c>
    </row>
    <row r="124" spans="1:10">
      <c r="A124" s="61">
        <f t="shared" si="10"/>
        <v>122</v>
      </c>
      <c r="B124" s="61">
        <f t="shared" si="8"/>
        <v>2.3763160000000001</v>
      </c>
      <c r="C124" s="61">
        <f>FH!A124*1</f>
        <v>40264</v>
      </c>
      <c r="D124" s="61">
        <f>FH!B124*1</f>
        <v>40264</v>
      </c>
      <c r="E124">
        <f t="shared" si="11"/>
        <v>122</v>
      </c>
      <c r="F124" s="61">
        <f>IF(FT!A124&lt;&gt;"",FT!A124*10,"")</f>
        <v>3.1985200000000003</v>
      </c>
      <c r="G124" s="61">
        <f>IF(FT!B124&lt;&gt;"",FT!B124*100,"")</f>
        <v>48.7211</v>
      </c>
      <c r="H124" s="61">
        <f t="shared" si="9"/>
        <v>1</v>
      </c>
      <c r="I124" t="str">
        <f>IF(FT!B124&lt;&gt;"",FT!E124,"")</f>
        <v>2 [49.606823]</v>
      </c>
      <c r="J124">
        <f>IF(FT!B124&lt;&gt;"",FT!C124,"")</f>
        <v>49.6068</v>
      </c>
    </row>
    <row r="125" spans="1:10">
      <c r="A125" s="61">
        <f t="shared" si="10"/>
        <v>123</v>
      </c>
      <c r="B125" s="61">
        <f t="shared" si="8"/>
        <v>2.395794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3.18912</v>
      </c>
      <c r="G125" s="61">
        <f>IF(FT!B125&lt;&gt;"",FT!B125*100,"")</f>
        <v>48.8095</v>
      </c>
      <c r="H125" s="61">
        <f t="shared" si="9"/>
        <v>1</v>
      </c>
      <c r="I125" t="str">
        <f>IF(FT!B125&lt;&gt;"",FT!E125,"")</f>
        <v>2 [50.010381]</v>
      </c>
      <c r="J125">
        <f>IF(FT!B125&lt;&gt;"",FT!C125,"")</f>
        <v>50.010399999999997</v>
      </c>
    </row>
    <row r="126" spans="1:10">
      <c r="A126" s="61">
        <f t="shared" si="10"/>
        <v>124</v>
      </c>
      <c r="B126" s="61">
        <f t="shared" si="8"/>
        <v>2.4152720000000003</v>
      </c>
      <c r="C126" s="61">
        <f>FH!A126*1</f>
        <v>27941</v>
      </c>
      <c r="D126" s="61">
        <f>FH!B126*1</f>
        <v>27941</v>
      </c>
      <c r="E126">
        <f t="shared" si="11"/>
        <v>124</v>
      </c>
      <c r="F126" s="61">
        <f>IF(FT!A126&lt;&gt;"",FT!A126*10,"")</f>
        <v>3.18343</v>
      </c>
      <c r="G126" s="61">
        <f>IF(FT!B126&lt;&gt;"",FT!B126*100,"")</f>
        <v>48.834300000000006</v>
      </c>
      <c r="H126" s="61">
        <f t="shared" si="9"/>
        <v>1</v>
      </c>
      <c r="I126" t="str">
        <f>IF(FT!B126&lt;&gt;"",FT!E126,"")</f>
        <v>2 [50.418903]</v>
      </c>
      <c r="J126">
        <f>IF(FT!B126&lt;&gt;"",FT!C126,"")</f>
        <v>50.418900000000001</v>
      </c>
    </row>
    <row r="127" spans="1:10">
      <c r="A127" s="61">
        <f t="shared" si="10"/>
        <v>125</v>
      </c>
      <c r="B127" s="61">
        <f t="shared" si="8"/>
        <v>2.4347500000000002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3.18025</v>
      </c>
      <c r="G127" s="61">
        <f>IF(FT!B127&lt;&gt;"",FT!B127*100,"")</f>
        <v>48.929699999999997</v>
      </c>
      <c r="H127" s="61">
        <f t="shared" si="9"/>
        <v>1</v>
      </c>
      <c r="I127" t="str">
        <f>IF(FT!B127&lt;&gt;"",FT!E127,"")</f>
        <v>2 [50.826583]</v>
      </c>
      <c r="J127">
        <f>IF(FT!B127&lt;&gt;"",FT!C127,"")</f>
        <v>50.826599999999999</v>
      </c>
    </row>
    <row r="128" spans="1:10">
      <c r="A128" s="61">
        <f t="shared" si="10"/>
        <v>126</v>
      </c>
      <c r="B128" s="61">
        <f t="shared" si="8"/>
        <v>2.4542280000000001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3.1789899999999998</v>
      </c>
      <c r="G128" s="61">
        <f>IF(FT!B128&lt;&gt;"",FT!B128*100,"")</f>
        <v>49.009500000000003</v>
      </c>
      <c r="H128" s="61">
        <f t="shared" si="9"/>
        <v>1</v>
      </c>
      <c r="I128" t="str">
        <f>IF(FT!B128&lt;&gt;"",FT!E128,"")</f>
        <v>2 [51.229555]</v>
      </c>
      <c r="J128">
        <f>IF(FT!B128&lt;&gt;"",FT!C128,"")</f>
        <v>51.229599999999998</v>
      </c>
    </row>
    <row r="129" spans="1:10">
      <c r="A129" s="61">
        <f t="shared" si="10"/>
        <v>127</v>
      </c>
      <c r="B129" s="61">
        <f t="shared" si="8"/>
        <v>2.473706</v>
      </c>
      <c r="C129" s="61">
        <f>FH!A129*1</f>
        <v>27184</v>
      </c>
      <c r="D129" s="61">
        <f>FH!B129*1</f>
        <v>27184</v>
      </c>
      <c r="E129">
        <f t="shared" si="11"/>
        <v>127</v>
      </c>
      <c r="F129" s="61">
        <f>IF(FT!A129&lt;&gt;"",FT!A129*10,"")</f>
        <v>3.1791599999999995</v>
      </c>
      <c r="G129" s="61">
        <f>IF(FT!B129&lt;&gt;"",FT!B129*100,"")</f>
        <v>49.081699999999998</v>
      </c>
      <c r="H129" s="61">
        <f t="shared" si="9"/>
        <v>1</v>
      </c>
      <c r="I129" t="str">
        <f>IF(FT!B129&lt;&gt;"",FT!E129,"")</f>
        <v>2 [51.635913]</v>
      </c>
      <c r="J129">
        <f>IF(FT!B129&lt;&gt;"",FT!C129,"")</f>
        <v>51.635899999999999</v>
      </c>
    </row>
    <row r="130" spans="1:10">
      <c r="A130" s="61">
        <f t="shared" si="10"/>
        <v>128</v>
      </c>
      <c r="B130" s="61">
        <f t="shared" si="8"/>
        <v>2.4931840000000003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3.1788499999999997</v>
      </c>
      <c r="G130" s="61">
        <f>IF(FT!B130&lt;&gt;"",FT!B130*100,"")</f>
        <v>49.146599999999999</v>
      </c>
      <c r="H130" s="61">
        <f t="shared" si="9"/>
        <v>1</v>
      </c>
      <c r="I130" t="str">
        <f>IF(FT!B130&lt;&gt;"",FT!E130,"")</f>
        <v>2 [52.047369]</v>
      </c>
      <c r="J130">
        <f>IF(FT!B130&lt;&gt;"",FT!C130,"")</f>
        <v>52.047400000000003</v>
      </c>
    </row>
    <row r="131" spans="1:10">
      <c r="A131" s="61">
        <f t="shared" si="10"/>
        <v>129</v>
      </c>
      <c r="B131" s="61">
        <f t="shared" ref="B131:B194" si="12">A131/255*$L$2</f>
        <v>2.5126620000000002</v>
      </c>
      <c r="C131" s="61">
        <f>FH!A131*1</f>
        <v>18759</v>
      </c>
      <c r="D131" s="61">
        <f>FH!B131*1</f>
        <v>18759</v>
      </c>
      <c r="E131">
        <f t="shared" si="11"/>
        <v>129</v>
      </c>
      <c r="F131" s="61">
        <f>IF(FT!A131&lt;&gt;"",FT!A131*10,"")</f>
        <v>3.1776</v>
      </c>
      <c r="G131" s="61">
        <f>IF(FT!B131&lt;&gt;"",FT!B131*100,"")</f>
        <v>49.200099999999999</v>
      </c>
      <c r="H131" s="61">
        <f t="shared" ref="H131:H194" si="13">(IF(F131&lt;&gt;"",1,""))</f>
        <v>1</v>
      </c>
      <c r="I131" t="str">
        <f>IF(FT!B131&lt;&gt;"",FT!E131,"")</f>
        <v>2 [52.451311]</v>
      </c>
      <c r="J131">
        <f>IF(FT!B131&lt;&gt;"",FT!C131,"")</f>
        <v>52.451300000000003</v>
      </c>
    </row>
    <row r="132" spans="1:10">
      <c r="A132" s="61">
        <f t="shared" ref="A132:A195" si="14">A131+1</f>
        <v>130</v>
      </c>
      <c r="B132" s="61">
        <f t="shared" si="12"/>
        <v>2.5321400000000001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3.1768000000000001</v>
      </c>
      <c r="G132" s="61">
        <f>IF(FT!B132&lt;&gt;"",FT!B132*100,"")</f>
        <v>49.2239</v>
      </c>
      <c r="H132" s="61">
        <f t="shared" si="13"/>
        <v>1</v>
      </c>
      <c r="I132" t="str">
        <f>IF(FT!B132&lt;&gt;"",FT!E132,"")</f>
        <v>2 [52.856231]</v>
      </c>
      <c r="J132">
        <f>IF(FT!B132&lt;&gt;"",FT!C132,"")</f>
        <v>52.856200000000001</v>
      </c>
    </row>
    <row r="133" spans="1:10">
      <c r="A133" s="61">
        <f t="shared" si="14"/>
        <v>131</v>
      </c>
      <c r="B133" s="61">
        <f t="shared" si="12"/>
        <v>2.5516179999999999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3.1727100000000004</v>
      </c>
      <c r="G133" s="61">
        <f>IF(FT!B133&lt;&gt;"",FT!B133*100,"")</f>
        <v>49.297400000000003</v>
      </c>
      <c r="H133" s="61">
        <f t="shared" si="13"/>
        <v>1</v>
      </c>
      <c r="I133" t="str">
        <f>IF(FT!B133&lt;&gt;"",FT!E133,"")</f>
        <v>2 [53.263109]</v>
      </c>
      <c r="J133">
        <f>IF(FT!B133&lt;&gt;"",FT!C133,"")</f>
        <v>53.263100000000001</v>
      </c>
    </row>
    <row r="134" spans="1:10">
      <c r="A134" s="61">
        <f t="shared" si="14"/>
        <v>132</v>
      </c>
      <c r="B134" s="61">
        <f t="shared" si="12"/>
        <v>2.5710960000000003</v>
      </c>
      <c r="C134" s="61">
        <f>FH!A134*1</f>
        <v>13919</v>
      </c>
      <c r="D134" s="61">
        <f>FH!B134*1</f>
        <v>13919</v>
      </c>
      <c r="E134">
        <f t="shared" si="15"/>
        <v>132</v>
      </c>
      <c r="F134" s="61">
        <f>IF(FT!A134&lt;&gt;"",FT!A134*10,"")</f>
        <v>3.16526</v>
      </c>
      <c r="G134" s="61">
        <f>IF(FT!B134&lt;&gt;"",FT!B134*100,"")</f>
        <v>49.340400000000002</v>
      </c>
      <c r="H134" s="61">
        <f t="shared" si="13"/>
        <v>1</v>
      </c>
      <c r="I134" t="str">
        <f>IF(FT!B134&lt;&gt;"",FT!E134,"")</f>
        <v>2 [53.665093]</v>
      </c>
      <c r="J134">
        <f>IF(FT!B134&lt;&gt;"",FT!C134,"")</f>
        <v>53.665100000000002</v>
      </c>
    </row>
    <row r="135" spans="1:10">
      <c r="A135" s="61">
        <f t="shared" si="14"/>
        <v>133</v>
      </c>
      <c r="B135" s="61">
        <f t="shared" si="12"/>
        <v>2.5905740000000002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3.1572</v>
      </c>
      <c r="G135" s="61">
        <f>IF(FT!B135&lt;&gt;"",FT!B135*100,"")</f>
        <v>49.384900000000002</v>
      </c>
      <c r="H135" s="61">
        <f t="shared" si="13"/>
        <v>1</v>
      </c>
      <c r="I135" t="str">
        <f>IF(FT!B135&lt;&gt;"",FT!E135,"")</f>
        <v>2 [54.074856]</v>
      </c>
      <c r="J135">
        <f>IF(FT!B135&lt;&gt;"",FT!C135,"")</f>
        <v>54.0749</v>
      </c>
    </row>
    <row r="136" spans="1:10">
      <c r="A136" s="61">
        <f t="shared" si="14"/>
        <v>134</v>
      </c>
      <c r="B136" s="61">
        <f t="shared" si="12"/>
        <v>2.610052</v>
      </c>
      <c r="C136" s="61">
        <f>FH!A136*1</f>
        <v>9413</v>
      </c>
      <c r="D136" s="61">
        <f>FH!B136*1</f>
        <v>9413</v>
      </c>
      <c r="E136">
        <f t="shared" si="15"/>
        <v>134</v>
      </c>
      <c r="F136" s="61">
        <f>IF(FT!A136&lt;&gt;"",FT!A136*10,"")</f>
        <v>3.1511899999999997</v>
      </c>
      <c r="G136" s="61">
        <f>IF(FT!B136&lt;&gt;"",FT!B136*100,"")</f>
        <v>49.4131</v>
      </c>
      <c r="H136" s="61">
        <f t="shared" si="13"/>
        <v>1</v>
      </c>
      <c r="I136" t="str">
        <f>IF(FT!B136&lt;&gt;"",FT!E136,"")</f>
        <v>2 [54.481883]</v>
      </c>
      <c r="J136">
        <f>IF(FT!B136&lt;&gt;"",FT!C136,"")</f>
        <v>54.481900000000003</v>
      </c>
    </row>
    <row r="137" spans="1:10">
      <c r="A137" s="61">
        <f t="shared" si="14"/>
        <v>135</v>
      </c>
      <c r="B137" s="61">
        <f t="shared" si="12"/>
        <v>2.6295300000000004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3.1504900000000005</v>
      </c>
      <c r="G137" s="61">
        <f>IF(FT!B137&lt;&gt;"",FT!B137*100,"")</f>
        <v>49.417699999999996</v>
      </c>
      <c r="H137" s="61">
        <f t="shared" si="13"/>
        <v>1</v>
      </c>
      <c r="I137" t="str">
        <f>IF(FT!B137&lt;&gt;"",FT!E137,"")</f>
        <v>2 [54.886702]</v>
      </c>
      <c r="J137">
        <f>IF(FT!B137&lt;&gt;"",FT!C137,"")</f>
        <v>54.886699999999998</v>
      </c>
    </row>
    <row r="138" spans="1:10">
      <c r="A138" s="61">
        <f t="shared" si="14"/>
        <v>136</v>
      </c>
      <c r="B138" s="61">
        <f t="shared" si="12"/>
        <v>2.6490080000000003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3.1495899999999999</v>
      </c>
      <c r="G138" s="61">
        <f>IF(FT!B138&lt;&gt;"",FT!B138*100,"")</f>
        <v>49.410900000000005</v>
      </c>
      <c r="H138" s="61">
        <f t="shared" si="13"/>
        <v>1</v>
      </c>
      <c r="I138" t="str">
        <f>IF(FT!B138&lt;&gt;"",FT!E138,"")</f>
        <v>2 [55.292653]</v>
      </c>
      <c r="J138">
        <f>IF(FT!B138&lt;&gt;"",FT!C138,"")</f>
        <v>55.292700000000004</v>
      </c>
    </row>
    <row r="139" spans="1:10">
      <c r="A139" s="61">
        <f t="shared" si="14"/>
        <v>137</v>
      </c>
      <c r="B139" s="61">
        <f t="shared" si="12"/>
        <v>2.6684860000000001</v>
      </c>
      <c r="C139" s="61">
        <f>FH!A139*1</f>
        <v>4668</v>
      </c>
      <c r="D139" s="61">
        <f>FH!B139*1</f>
        <v>4668</v>
      </c>
      <c r="E139">
        <f t="shared" si="15"/>
        <v>137</v>
      </c>
      <c r="F139" s="61">
        <f>IF(FT!A139&lt;&gt;"",FT!A139*10,"")</f>
        <v>3.1465300000000003</v>
      </c>
      <c r="G139" s="61">
        <f>IF(FT!B139&lt;&gt;"",FT!B139*100,"")</f>
        <v>49.434400000000004</v>
      </c>
      <c r="H139" s="61">
        <f t="shared" si="13"/>
        <v>1</v>
      </c>
      <c r="I139" t="str">
        <f>IF(FT!B139&lt;&gt;"",FT!E139,"")</f>
        <v>2 [55.702582]</v>
      </c>
      <c r="J139">
        <f>IF(FT!B139&lt;&gt;"",FT!C139,"")</f>
        <v>55.702599999999997</v>
      </c>
    </row>
    <row r="140" spans="1:10">
      <c r="A140" s="61">
        <f t="shared" si="14"/>
        <v>138</v>
      </c>
      <c r="B140" s="61">
        <f t="shared" si="12"/>
        <v>2.687964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3.1420300000000001</v>
      </c>
      <c r="G140" s="61">
        <f>IF(FT!B140&lt;&gt;"",FT!B140*100,"")</f>
        <v>49.4617</v>
      </c>
      <c r="H140" s="61">
        <f t="shared" si="13"/>
        <v>1</v>
      </c>
      <c r="I140" t="str">
        <f>IF(FT!B140&lt;&gt;"",FT!E140,"")</f>
        <v>2 [56.106556]</v>
      </c>
      <c r="J140">
        <f>IF(FT!B140&lt;&gt;"",FT!C140,"")</f>
        <v>56.1066</v>
      </c>
    </row>
    <row r="141" spans="1:10">
      <c r="A141" s="61">
        <f t="shared" si="14"/>
        <v>139</v>
      </c>
      <c r="B141" s="61">
        <f t="shared" si="12"/>
        <v>2.7074419999999999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3.1373199999999999</v>
      </c>
      <c r="G141" s="61">
        <f>IF(FT!B141&lt;&gt;"",FT!B141*100,"")</f>
        <v>49.472100000000005</v>
      </c>
      <c r="H141" s="61">
        <f t="shared" si="13"/>
        <v>1</v>
      </c>
      <c r="I141" t="str">
        <f>IF(FT!B141&lt;&gt;"",FT!E141,"")</f>
        <v>2 [56.512558]</v>
      </c>
      <c r="J141">
        <f>IF(FT!B141&lt;&gt;"",FT!C141,"")</f>
        <v>56.512599999999999</v>
      </c>
    </row>
    <row r="142" spans="1:10">
      <c r="A142" s="61">
        <f t="shared" si="14"/>
        <v>140</v>
      </c>
      <c r="B142" s="61">
        <f t="shared" si="12"/>
        <v>2.7269200000000002</v>
      </c>
      <c r="C142" s="61">
        <f>FH!A142*1</f>
        <v>2542</v>
      </c>
      <c r="D142" s="61">
        <f>FH!B142*1</f>
        <v>2542</v>
      </c>
      <c r="E142">
        <f t="shared" si="15"/>
        <v>140</v>
      </c>
      <c r="F142" s="61">
        <f>IF(FT!A142&lt;&gt;"",FT!A142*10,"")</f>
        <v>3.1361499999999998</v>
      </c>
      <c r="G142" s="61">
        <f>IF(FT!B142&lt;&gt;"",FT!B142*100,"")</f>
        <v>49.555900000000001</v>
      </c>
      <c r="H142" s="61">
        <f t="shared" si="13"/>
        <v>1</v>
      </c>
      <c r="I142" t="str">
        <f>IF(FT!B142&lt;&gt;"",FT!E142,"")</f>
        <v>2 [56.919399]</v>
      </c>
      <c r="J142">
        <f>IF(FT!B142&lt;&gt;"",FT!C142,"")</f>
        <v>56.919400000000003</v>
      </c>
    </row>
    <row r="143" spans="1:10">
      <c r="A143" s="61">
        <f t="shared" si="14"/>
        <v>141</v>
      </c>
      <c r="B143" s="61">
        <f t="shared" si="12"/>
        <v>2.7463980000000001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3.13673</v>
      </c>
      <c r="G143" s="61">
        <f>IF(FT!B143&lt;&gt;"",FT!B143*100,"")</f>
        <v>49.749700000000004</v>
      </c>
      <c r="H143" s="61">
        <f t="shared" si="13"/>
        <v>1</v>
      </c>
      <c r="I143" t="str">
        <f>IF(FT!B143&lt;&gt;"",FT!E143,"")</f>
        <v>2 [57.326227]</v>
      </c>
      <c r="J143">
        <f>IF(FT!B143&lt;&gt;"",FT!C143,"")</f>
        <v>57.3262</v>
      </c>
    </row>
    <row r="144" spans="1:10">
      <c r="A144" s="61">
        <f t="shared" si="14"/>
        <v>142</v>
      </c>
      <c r="B144" s="61">
        <f t="shared" si="12"/>
        <v>2.7658760000000004</v>
      </c>
      <c r="C144" s="61">
        <f>FH!A144*1</f>
        <v>1153</v>
      </c>
      <c r="D144" s="61">
        <f>FH!B144*1</f>
        <v>1153</v>
      </c>
      <c r="E144">
        <f t="shared" si="15"/>
        <v>142</v>
      </c>
      <c r="F144" s="61">
        <f>IF(FT!A144&lt;&gt;"",FT!A144*10,"")</f>
        <v>3.1449199999999999</v>
      </c>
      <c r="G144" s="61">
        <f>IF(FT!B144&lt;&gt;"",FT!B144*100,"")</f>
        <v>50.017500000000005</v>
      </c>
      <c r="H144" s="61">
        <f t="shared" si="13"/>
        <v>1</v>
      </c>
      <c r="I144" t="str">
        <f>IF(FT!B144&lt;&gt;"",FT!E144,"")</f>
        <v>2 [57.732095]</v>
      </c>
      <c r="J144">
        <f>IF(FT!B144&lt;&gt;"",FT!C144,"")</f>
        <v>57.732100000000003</v>
      </c>
    </row>
    <row r="145" spans="1:10">
      <c r="A145" s="61">
        <f t="shared" si="14"/>
        <v>143</v>
      </c>
      <c r="B145" s="61">
        <f t="shared" si="12"/>
        <v>2.7853540000000003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3.1530200000000002</v>
      </c>
      <c r="G145" s="61">
        <f>IF(FT!B145&lt;&gt;"",FT!B145*100,"")</f>
        <v>50.263899999999992</v>
      </c>
      <c r="H145" s="61">
        <f t="shared" si="13"/>
        <v>1</v>
      </c>
      <c r="I145" t="str">
        <f>IF(FT!B145&lt;&gt;"",FT!E145,"")</f>
        <v>2 [58.139071]</v>
      </c>
      <c r="J145">
        <f>IF(FT!B145&lt;&gt;"",FT!C145,"")</f>
        <v>58.139099999999999</v>
      </c>
    </row>
    <row r="146" spans="1:10">
      <c r="A146" s="61">
        <f t="shared" si="14"/>
        <v>144</v>
      </c>
      <c r="B146" s="61">
        <f t="shared" si="12"/>
        <v>2.8048320000000002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3.1535400000000005</v>
      </c>
      <c r="G146" s="61">
        <f>IF(FT!B146&lt;&gt;"",FT!B146*100,"")</f>
        <v>50.441400000000002</v>
      </c>
      <c r="H146" s="61">
        <f t="shared" si="13"/>
        <v>1</v>
      </c>
      <c r="I146" t="str">
        <f>IF(FT!B146&lt;&gt;"",FT!E146,"")</f>
        <v>2 [58.547107]</v>
      </c>
      <c r="J146">
        <f>IF(FT!B146&lt;&gt;"",FT!C146,"")</f>
        <v>58.5471</v>
      </c>
    </row>
    <row r="147" spans="1:10">
      <c r="A147" s="61">
        <f t="shared" si="14"/>
        <v>145</v>
      </c>
      <c r="B147" s="61">
        <f t="shared" si="12"/>
        <v>2.8243100000000001</v>
      </c>
      <c r="C147" s="61">
        <f>FH!A147*1</f>
        <v>420</v>
      </c>
      <c r="D147" s="61">
        <f>FH!B147*1</f>
        <v>420</v>
      </c>
      <c r="E147">
        <f t="shared" si="15"/>
        <v>145</v>
      </c>
      <c r="F147" s="61">
        <f>IF(FT!A147&lt;&gt;"",FT!A147*10,"")</f>
        <v>3.1436199999999999</v>
      </c>
      <c r="G147" s="61">
        <f>IF(FT!B147&lt;&gt;"",FT!B147*100,"")</f>
        <v>50.818300000000008</v>
      </c>
      <c r="H147" s="61">
        <f t="shared" si="13"/>
        <v>1</v>
      </c>
      <c r="I147" t="str">
        <f>IF(FT!B147&lt;&gt;"",FT!E147,"")</f>
        <v>2 [58.949042]</v>
      </c>
      <c r="J147">
        <f>IF(FT!B147&lt;&gt;"",FT!C147,"")</f>
        <v>58.948999999999998</v>
      </c>
    </row>
    <row r="148" spans="1:10">
      <c r="A148" s="61">
        <f t="shared" si="14"/>
        <v>146</v>
      </c>
      <c r="B148" s="61">
        <f t="shared" si="12"/>
        <v>2.843788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3.11808</v>
      </c>
      <c r="G148" s="61">
        <f>IF(FT!B148&lt;&gt;"",FT!B148*100,"")</f>
        <v>50.957900000000002</v>
      </c>
      <c r="H148" s="61">
        <f t="shared" si="13"/>
        <v>1</v>
      </c>
      <c r="I148" t="str">
        <f>IF(FT!B148&lt;&gt;"",FT!E148,"")</f>
        <v>2 [59.362941]</v>
      </c>
      <c r="J148">
        <f>IF(FT!B148&lt;&gt;"",FT!C148,"")</f>
        <v>59.362900000000003</v>
      </c>
    </row>
    <row r="149" spans="1:10">
      <c r="A149" s="61">
        <f t="shared" si="14"/>
        <v>147</v>
      </c>
      <c r="B149" s="61">
        <f t="shared" si="12"/>
        <v>2.8632659999999999</v>
      </c>
      <c r="C149" s="61">
        <f>FH!A149*1</f>
        <v>159</v>
      </c>
      <c r="D149" s="61">
        <f>FH!B149*1</f>
        <v>159</v>
      </c>
      <c r="E149">
        <f t="shared" si="15"/>
        <v>147</v>
      </c>
      <c r="F149" s="61">
        <f>IF(FT!A149&lt;&gt;"",FT!A149*10,"")</f>
        <v>3.1166399999999999</v>
      </c>
      <c r="G149" s="61">
        <f>IF(FT!B149&lt;&gt;"",FT!B149*100,"")</f>
        <v>50.433799999999998</v>
      </c>
      <c r="H149" s="61">
        <f t="shared" si="13"/>
        <v>1</v>
      </c>
      <c r="I149" t="str">
        <f>IF(FT!B149&lt;&gt;"",FT!E149,"")</f>
        <v>2 [59.763681]</v>
      </c>
      <c r="J149">
        <f>IF(FT!B149&lt;&gt;"",FT!C149,"")</f>
        <v>59.7637</v>
      </c>
    </row>
    <row r="150" spans="1:10">
      <c r="A150" s="61">
        <f t="shared" si="14"/>
        <v>148</v>
      </c>
      <c r="B150" s="61">
        <f t="shared" si="12"/>
        <v>2.8827440000000002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3.1122499999999995</v>
      </c>
      <c r="G150" s="61">
        <f>IF(FT!B150&lt;&gt;"",FT!B150*100,"")</f>
        <v>50.5717</v>
      </c>
      <c r="H150" s="61">
        <f t="shared" si="13"/>
        <v>1</v>
      </c>
      <c r="I150" t="str">
        <f>IF(FT!B150&lt;&gt;"",FT!E150,"")</f>
        <v>2 [60.168736]</v>
      </c>
      <c r="J150">
        <f>IF(FT!B150&lt;&gt;"",FT!C150,"")</f>
        <v>60.168700000000001</v>
      </c>
    </row>
    <row r="151" spans="1:10">
      <c r="A151" s="61">
        <f t="shared" si="14"/>
        <v>149</v>
      </c>
      <c r="B151" s="61">
        <f t="shared" si="12"/>
        <v>2.9022220000000005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2.9217000000000004</v>
      </c>
      <c r="C152" s="61">
        <f>FH!A152*1</f>
        <v>0</v>
      </c>
      <c r="D152" s="61">
        <f>FH!B152*1</f>
        <v>0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2.9411780000000003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2.9606560000000002</v>
      </c>
      <c r="C154" s="61">
        <f>FH!A154*1</f>
        <v>0</v>
      </c>
      <c r="D154" s="61">
        <f>FH!B154*1</f>
        <v>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2.9801340000000001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2.9996119999999999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3.0190899999999998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3.0385680000000006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3.0580460000000005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3.0775240000000004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3.0970020000000003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3.1164800000000001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3.135958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3.1554359999999999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3.1749139999999998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3.1943920000000006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3.2138700000000004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3.2333480000000003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3.2528260000000002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3.2723040000000001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3.291782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3.3112599999999999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3.3307379999999998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3.3502160000000005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3.3696940000000004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3.3891720000000003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3.4086500000000002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3.4281280000000001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3.4476059999999999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3.4670839999999998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3.4865619999999997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3.5060400000000005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3.5255180000000004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3.5449960000000003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3.5644740000000001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3.583952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3.6034299999999999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3.6229079999999998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3.6423860000000001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3.6618640000000005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3.6813420000000003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3.7008200000000002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3.7202980000000001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3.739776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3.7592539999999999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3.7787320000000002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3.7982100000000001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3.8176880000000004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3.8371660000000003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3.8566440000000002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3.8761220000000001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3.8956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3.9150780000000003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3.9345560000000002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3.954034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3.9735120000000004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3.9929900000000003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4.0124680000000001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4.0319460000000005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4.0514239999999999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4.0709020000000002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4.0903799999999997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4.109858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4.1293360000000003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4.1488140000000007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4.1682920000000001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4.1877700000000004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4.2072479999999999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4.2267260000000002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4.2462039999999996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4.265682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4.2851600000000003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4.3046380000000006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4.3241160000000001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4.3435940000000004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4.3630719999999998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4.3825500000000002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4.4020279999999996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4.4215059999999999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4.4409840000000003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4.4604620000000006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4.47994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4.4994180000000004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4.5188959999999998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4.5383740000000001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4.5578520000000005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4.5773299999999999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4.5968080000000002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4.6162860000000006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4.635764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4.6552420000000003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4.6747199999999998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4.6941980000000001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4.7136760000000004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4.7331539999999999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4.7526320000000002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4.7721100000000005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4.791588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4.8110660000000003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4.8305440000000006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4.8500220000000001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4.8695000000000004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4.8889779999999998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4.9084560000000002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4.9279340000000005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4.9474119999999999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4.9668900000000002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36.7241</v>
      </c>
      <c r="C5" s="66">
        <v>7.9867400000000002</v>
      </c>
      <c r="D5" s="66">
        <v>21.748000000000001</v>
      </c>
      <c r="E5" s="66">
        <v>20</v>
      </c>
      <c r="F5" s="66">
        <v>9.6417400000000004</v>
      </c>
      <c r="G5" s="66">
        <v>50</v>
      </c>
      <c r="H5" s="66">
        <v>43.929699999999997</v>
      </c>
    </row>
    <row r="6" spans="1:8">
      <c r="A6" s="58" t="s">
        <v>303</v>
      </c>
      <c r="B6" s="66">
        <v>31.444400000000002</v>
      </c>
      <c r="C6" s="66">
        <v>4.0943199999999997</v>
      </c>
      <c r="D6" s="66">
        <v>13.020799999999999</v>
      </c>
      <c r="E6" s="66">
        <v>20</v>
      </c>
      <c r="F6" s="66">
        <v>19.0441</v>
      </c>
      <c r="G6" s="66">
        <v>40</v>
      </c>
      <c r="H6" s="66">
        <v>36.227699999999999</v>
      </c>
    </row>
    <row r="7" spans="1:8">
      <c r="A7" s="58" t="s">
        <v>304</v>
      </c>
      <c r="B7" s="66">
        <v>30.288799999999998</v>
      </c>
      <c r="C7" s="66">
        <v>4.7619600000000002</v>
      </c>
      <c r="D7" s="66">
        <v>15.7219</v>
      </c>
      <c r="E7" s="66">
        <v>15</v>
      </c>
      <c r="F7" s="66">
        <v>20.051200000000001</v>
      </c>
      <c r="G7" s="66">
        <v>40</v>
      </c>
      <c r="H7" s="66">
        <v>46.249000000000002</v>
      </c>
    </row>
    <row r="8" spans="1:8">
      <c r="A8" s="58" t="s">
        <v>305</v>
      </c>
      <c r="B8" s="66">
        <v>32.495100000000001</v>
      </c>
      <c r="C8" s="66">
        <v>4.0661199999999997</v>
      </c>
      <c r="D8" s="66">
        <v>12.513</v>
      </c>
      <c r="E8" s="66">
        <v>20</v>
      </c>
      <c r="F8" s="66">
        <v>16.932099999999998</v>
      </c>
      <c r="G8" s="66">
        <v>50</v>
      </c>
      <c r="H8" s="66">
        <v>38.104399999999998</v>
      </c>
    </row>
    <row r="9" spans="1:8">
      <c r="A9" s="58" t="s">
        <v>306</v>
      </c>
      <c r="B9" s="66">
        <v>71.463099999999997</v>
      </c>
      <c r="C9" s="66">
        <v>6.23569</v>
      </c>
      <c r="D9" s="66">
        <v>8.7257499999999997</v>
      </c>
      <c r="E9" s="66">
        <v>50</v>
      </c>
      <c r="F9" s="66">
        <v>54.478700000000003</v>
      </c>
      <c r="G9" s="66">
        <v>100</v>
      </c>
      <c r="H9" s="66">
        <v>86.402299999999997</v>
      </c>
    </row>
    <row r="10" spans="1:8">
      <c r="A10" s="58" t="s">
        <v>307</v>
      </c>
      <c r="B10" s="66">
        <v>72.254099999999994</v>
      </c>
      <c r="C10" s="66">
        <v>6.8397800000000002</v>
      </c>
      <c r="D10" s="66">
        <v>9.4662799999999994</v>
      </c>
      <c r="E10" s="66">
        <v>40</v>
      </c>
      <c r="F10" s="66">
        <v>60.560200000000002</v>
      </c>
      <c r="G10" s="66">
        <v>100</v>
      </c>
      <c r="H10" s="66">
        <v>84.967799999999997</v>
      </c>
    </row>
    <row r="11" spans="1:8">
      <c r="A11" s="58" t="s">
        <v>308</v>
      </c>
      <c r="B11" s="66">
        <v>20.907800000000002</v>
      </c>
      <c r="C11" s="66">
        <v>4.0861200000000002</v>
      </c>
      <c r="D11" s="66">
        <v>19.543500000000002</v>
      </c>
      <c r="E11" s="66">
        <v>10</v>
      </c>
      <c r="F11" s="66">
        <v>7.3698699999999997</v>
      </c>
      <c r="G11" s="66">
        <v>50</v>
      </c>
      <c r="H11" s="66">
        <v>23.238900000000001</v>
      </c>
    </row>
    <row r="12" spans="1:8">
      <c r="A12" s="58" t="s">
        <v>309</v>
      </c>
      <c r="B12" s="66">
        <v>70.345299999999995</v>
      </c>
      <c r="C12" s="66">
        <v>5.37934</v>
      </c>
      <c r="D12" s="66">
        <v>7.6470500000000001</v>
      </c>
      <c r="E12" s="66">
        <v>50</v>
      </c>
      <c r="F12" s="66">
        <v>63.633000000000003</v>
      </c>
      <c r="G12" s="66">
        <v>100</v>
      </c>
      <c r="H12" s="66">
        <v>84.687299999999993</v>
      </c>
    </row>
    <row r="13" spans="1:8">
      <c r="A13" s="58" t="s">
        <v>310</v>
      </c>
      <c r="B13" s="66">
        <v>16.710699999999999</v>
      </c>
      <c r="C13" s="66">
        <v>1.7227600000000001</v>
      </c>
      <c r="D13" s="66">
        <v>10.3093</v>
      </c>
      <c r="E13" s="66">
        <v>10</v>
      </c>
      <c r="F13" s="66">
        <v>12.8691</v>
      </c>
      <c r="G13" s="66">
        <v>25</v>
      </c>
      <c r="H13" s="66">
        <v>20.7989</v>
      </c>
    </row>
    <row r="14" spans="1:8">
      <c r="A14" s="58" t="s">
        <v>311</v>
      </c>
      <c r="B14" s="66">
        <v>17.227599999999999</v>
      </c>
      <c r="C14" s="66">
        <v>4.452</v>
      </c>
      <c r="D14" s="66">
        <v>25.842300000000002</v>
      </c>
      <c r="E14" s="66">
        <v>10</v>
      </c>
      <c r="F14" s="66">
        <v>1.99254</v>
      </c>
      <c r="G14" s="66">
        <v>50</v>
      </c>
      <c r="H14" s="66">
        <v>21.371200000000002</v>
      </c>
    </row>
    <row r="15" spans="1:8">
      <c r="A15" s="58" t="s">
        <v>312</v>
      </c>
      <c r="B15" s="66">
        <v>4.8192699999999998E-2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7.3433300000000007E-2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14.453799999999999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0.65890199999999999</v>
      </c>
      <c r="C18" s="66">
        <v>4.5349899999999999E-2</v>
      </c>
      <c r="D18" s="66">
        <v>6.8826399999999996E-2</v>
      </c>
      <c r="E18" s="66">
        <v>0</v>
      </c>
      <c r="F18" s="66">
        <v>0.61355199999999999</v>
      </c>
      <c r="G18" s="66">
        <v>0</v>
      </c>
      <c r="H18" s="66">
        <v>0.70425199999999999</v>
      </c>
    </row>
    <row r="19" spans="1:8">
      <c r="A19" s="58" t="s">
        <v>316</v>
      </c>
      <c r="B19" s="66">
        <v>0.71526100000000004</v>
      </c>
      <c r="C19" s="66">
        <v>4.4542900000000003E-2</v>
      </c>
      <c r="D19" s="66">
        <v>6.2274999999999997E-2</v>
      </c>
      <c r="E19" s="66">
        <v>0</v>
      </c>
      <c r="F19" s="66">
        <v>0.67071800000000004</v>
      </c>
      <c r="G19" s="66">
        <v>0</v>
      </c>
      <c r="H19" s="66">
        <v>0.75980400000000003</v>
      </c>
    </row>
    <row r="20" spans="1:8">
      <c r="A20" s="58" t="s">
        <v>317</v>
      </c>
      <c r="B20" s="66">
        <v>1.9259E-4</v>
      </c>
      <c r="C20" s="66">
        <v>5.96263E-3</v>
      </c>
      <c r="D20" s="66">
        <v>30.9602</v>
      </c>
      <c r="E20" s="66">
        <v>0</v>
      </c>
      <c r="F20" s="196">
        <v>3.1924499999999998E-6</v>
      </c>
      <c r="G20" s="66">
        <v>0</v>
      </c>
      <c r="H20" s="66">
        <v>6.6043699999999997E-2</v>
      </c>
    </row>
    <row r="21" spans="1:8">
      <c r="A21" s="58" t="s">
        <v>318</v>
      </c>
      <c r="B21" s="66">
        <v>3.7568200000000003E-2</v>
      </c>
      <c r="C21" s="66">
        <v>5.8822100000000002E-2</v>
      </c>
      <c r="D21" s="66">
        <v>1.5657399999999999</v>
      </c>
      <c r="E21" s="66">
        <v>0</v>
      </c>
      <c r="F21" s="66">
        <v>1.4773499999999999E-4</v>
      </c>
      <c r="G21" s="66">
        <v>0</v>
      </c>
      <c r="H21" s="66">
        <v>0.47364800000000001</v>
      </c>
    </row>
    <row r="22" spans="1:8">
      <c r="A22" s="58" t="s">
        <v>319</v>
      </c>
      <c r="B22" s="66">
        <v>20.497699999999998</v>
      </c>
      <c r="C22" s="66">
        <v>6.2432400000000001</v>
      </c>
      <c r="D22" s="66">
        <v>0.30458299999999999</v>
      </c>
      <c r="E22" s="66">
        <v>0</v>
      </c>
      <c r="F22" s="66">
        <v>8.3147800000000007</v>
      </c>
      <c r="G22" s="66">
        <v>0</v>
      </c>
      <c r="H22" s="66">
        <v>53.345100000000002</v>
      </c>
    </row>
    <row r="23" spans="1:8">
      <c r="A23" s="58" t="s">
        <v>320</v>
      </c>
      <c r="B23" s="66">
        <v>10.9793</v>
      </c>
      <c r="C23" s="66">
        <v>1.2152099999999999</v>
      </c>
      <c r="D23" s="66">
        <v>0.110682</v>
      </c>
      <c r="E23" s="66">
        <v>0</v>
      </c>
      <c r="F23" s="66">
        <v>7.9075899999999999</v>
      </c>
      <c r="G23" s="66">
        <v>0</v>
      </c>
      <c r="H23" s="66">
        <v>11.9954</v>
      </c>
    </row>
    <row r="24" spans="1:8">
      <c r="A24" s="58" t="s">
        <v>321</v>
      </c>
      <c r="B24" s="66">
        <v>2.6328499999999998E-4</v>
      </c>
      <c r="C24" s="66">
        <v>3.29196E-3</v>
      </c>
      <c r="D24" s="66">
        <v>12.503399999999999</v>
      </c>
      <c r="E24" s="66">
        <v>0</v>
      </c>
      <c r="F24" s="196">
        <v>6.7377299999999996E-5</v>
      </c>
      <c r="G24" s="66">
        <v>0</v>
      </c>
      <c r="H24" s="66">
        <v>1.6358000000000001E-2</v>
      </c>
    </row>
    <row r="25" spans="1:8">
      <c r="A25" s="58" t="s">
        <v>322</v>
      </c>
      <c r="B25" s="66">
        <v>5.1702499999999998E-2</v>
      </c>
      <c r="C25" s="66">
        <v>2.8539100000000001E-2</v>
      </c>
      <c r="D25" s="66">
        <v>0.55198599999999998</v>
      </c>
      <c r="E25" s="66">
        <v>0</v>
      </c>
      <c r="F25" s="66">
        <v>8.5487900000000006E-3</v>
      </c>
      <c r="G25" s="66">
        <v>0</v>
      </c>
      <c r="H25" s="66">
        <v>0.18496199999999999</v>
      </c>
    </row>
    <row r="26" spans="1:8">
      <c r="A26" s="58" t="s">
        <v>323</v>
      </c>
      <c r="B26" s="196">
        <v>6.5651300000000006E-5</v>
      </c>
      <c r="C26" s="66">
        <v>4.9310700000000001E-4</v>
      </c>
      <c r="D26" s="66">
        <v>7.5110099999999997</v>
      </c>
      <c r="E26" s="66">
        <v>0</v>
      </c>
      <c r="F26" s="196">
        <v>3.2825599999999999E-6</v>
      </c>
      <c r="G26" s="66">
        <v>0</v>
      </c>
      <c r="H26" s="66">
        <v>4.9271300000000001E-3</v>
      </c>
    </row>
    <row r="27" spans="1:8">
      <c r="A27" s="58" t="s">
        <v>324</v>
      </c>
      <c r="B27" s="196">
        <v>-3.2825599999999999E-6</v>
      </c>
      <c r="C27" s="66">
        <v>4.4145399999999998E-4</v>
      </c>
      <c r="D27" s="66">
        <v>-134.48500000000001</v>
      </c>
      <c r="E27" s="66">
        <v>0</v>
      </c>
      <c r="F27" s="66">
        <v>-3.1775200000000001E-3</v>
      </c>
      <c r="G27" s="66">
        <v>0</v>
      </c>
      <c r="H27" s="66">
        <v>3.23661E-3</v>
      </c>
    </row>
    <row r="28" spans="1:8">
      <c r="A28" s="58" t="s">
        <v>325</v>
      </c>
      <c r="B28" s="66">
        <v>1.0328800000000001E-2</v>
      </c>
      <c r="C28" s="66">
        <v>1.0541500000000001E-2</v>
      </c>
      <c r="D28" s="66">
        <v>1.0206</v>
      </c>
      <c r="E28" s="66">
        <v>0</v>
      </c>
      <c r="F28" s="196">
        <v>4.8828100000000001E-5</v>
      </c>
      <c r="G28" s="66">
        <v>0</v>
      </c>
      <c r="H28" s="66">
        <v>6.4615900000000004E-2</v>
      </c>
    </row>
    <row r="29" spans="1:8">
      <c r="A29" s="58" t="s">
        <v>326</v>
      </c>
      <c r="B29" s="66">
        <v>61.386299999999999</v>
      </c>
      <c r="C29" s="66">
        <v>9.7574900000000007</v>
      </c>
      <c r="D29" s="66">
        <v>0.15895200000000001</v>
      </c>
      <c r="E29" s="66">
        <v>0</v>
      </c>
      <c r="F29" s="66">
        <v>37.179200000000002</v>
      </c>
      <c r="G29" s="66">
        <v>0</v>
      </c>
      <c r="H29" s="66">
        <v>88.680099999999996</v>
      </c>
    </row>
    <row r="30" spans="1:8">
      <c r="A30" s="58" t="s">
        <v>327</v>
      </c>
      <c r="B30" s="66">
        <v>27.4069</v>
      </c>
      <c r="C30" s="66">
        <v>6.5859899999999998</v>
      </c>
      <c r="D30" s="66">
        <v>0.24030399999999999</v>
      </c>
      <c r="E30" s="66">
        <v>0</v>
      </c>
      <c r="F30" s="66">
        <v>10.6953</v>
      </c>
      <c r="G30" s="66">
        <v>0</v>
      </c>
      <c r="H30" s="66">
        <v>32.127600000000001</v>
      </c>
    </row>
    <row r="31" spans="1:8">
      <c r="A31" s="58" t="s">
        <v>328</v>
      </c>
      <c r="B31" s="66">
        <v>90.650099999999995</v>
      </c>
      <c r="C31" s="66">
        <v>28.568999999999999</v>
      </c>
      <c r="D31" s="66">
        <v>0.31515599999999999</v>
      </c>
      <c r="E31" s="66">
        <v>0</v>
      </c>
      <c r="F31" s="66">
        <v>61.480600000000003</v>
      </c>
      <c r="G31" s="66">
        <v>0</v>
      </c>
      <c r="H31" s="66">
        <v>159.05799999999999</v>
      </c>
    </row>
    <row r="32" spans="1:8">
      <c r="A32" s="58" t="s">
        <v>329</v>
      </c>
      <c r="B32" s="66">
        <v>0.30288799999999999</v>
      </c>
      <c r="C32" s="66">
        <v>4.7619599999999998E-2</v>
      </c>
      <c r="D32" s="66">
        <v>0.157219</v>
      </c>
      <c r="E32" s="66">
        <v>0.15</v>
      </c>
      <c r="F32" s="66">
        <v>0.200512</v>
      </c>
      <c r="G32" s="66">
        <v>0.4</v>
      </c>
      <c r="H32" s="66">
        <v>0.46249000000000001</v>
      </c>
    </row>
    <row r="33" spans="1:8">
      <c r="A33" s="58" t="s">
        <v>330</v>
      </c>
      <c r="B33" s="66">
        <v>0.34676800000000002</v>
      </c>
      <c r="C33" s="66">
        <v>6.3294799999999998E-2</v>
      </c>
      <c r="D33" s="66">
        <v>0.182528</v>
      </c>
      <c r="E33" s="66">
        <v>0</v>
      </c>
      <c r="F33" s="66">
        <v>0.19928299999999999</v>
      </c>
      <c r="G33" s="66">
        <v>0</v>
      </c>
      <c r="H33" s="66">
        <v>0.39162400000000003</v>
      </c>
    </row>
    <row r="34" spans="1:8">
      <c r="A34" s="58" t="s">
        <v>331</v>
      </c>
      <c r="B34" s="66">
        <v>0.16710700000000001</v>
      </c>
      <c r="C34" s="66">
        <v>1.7227599999999999E-2</v>
      </c>
      <c r="D34" s="66">
        <v>0.103093</v>
      </c>
      <c r="E34" s="66">
        <v>0.1</v>
      </c>
      <c r="F34" s="66">
        <v>0.128691</v>
      </c>
      <c r="G34" s="66">
        <v>0.25</v>
      </c>
      <c r="H34" s="66">
        <v>0.20798900000000001</v>
      </c>
    </row>
    <row r="35" spans="1:8">
      <c r="A35" s="58" t="s">
        <v>332</v>
      </c>
      <c r="B35" s="66">
        <v>6.7835099999999995E-2</v>
      </c>
      <c r="C35" s="66">
        <v>1.9398800000000001E-2</v>
      </c>
      <c r="D35" s="66">
        <v>0.28597</v>
      </c>
      <c r="E35" s="66">
        <v>0</v>
      </c>
      <c r="F35" s="66">
        <v>2.4257500000000001E-2</v>
      </c>
      <c r="G35" s="66">
        <v>0</v>
      </c>
      <c r="H35" s="66">
        <v>0.122748</v>
      </c>
    </row>
    <row r="36" spans="1:8">
      <c r="A36" s="58" t="s">
        <v>333</v>
      </c>
      <c r="B36" s="66">
        <v>0.15701799999999999</v>
      </c>
      <c r="C36" s="66">
        <v>7.7997899999999995E-2</v>
      </c>
      <c r="D36" s="66">
        <v>0.49674400000000002</v>
      </c>
      <c r="E36" s="66">
        <v>0</v>
      </c>
      <c r="F36" s="66">
        <v>4.5451499999999999E-2</v>
      </c>
      <c r="G36" s="66">
        <v>0</v>
      </c>
      <c r="H36" s="66">
        <v>0.45044699999999999</v>
      </c>
    </row>
    <row r="37" spans="1:8">
      <c r="A37" s="58" t="s">
        <v>334</v>
      </c>
      <c r="B37" s="66">
        <v>0.17227600000000001</v>
      </c>
      <c r="C37" s="66">
        <v>4.4519999999999997E-2</v>
      </c>
      <c r="D37" s="66">
        <v>0.25842300000000001</v>
      </c>
      <c r="E37" s="66">
        <v>0.1</v>
      </c>
      <c r="F37" s="66">
        <v>1.9925399999999999E-2</v>
      </c>
      <c r="G37" s="66">
        <v>0.5</v>
      </c>
      <c r="H37" s="66">
        <v>0.21371200000000001</v>
      </c>
    </row>
    <row r="38" spans="1:8">
      <c r="A38" s="58" t="s">
        <v>335</v>
      </c>
      <c r="B38" s="66">
        <v>-6.4946599999999997</v>
      </c>
      <c r="C38" s="66">
        <v>42.006500000000003</v>
      </c>
      <c r="D38" s="66">
        <v>-6.4678599999999999</v>
      </c>
      <c r="E38" s="66">
        <v>0</v>
      </c>
      <c r="F38" s="66">
        <v>-170.46</v>
      </c>
      <c r="G38" s="66">
        <v>0</v>
      </c>
      <c r="H38" s="66">
        <v>223.999</v>
      </c>
    </row>
    <row r="39" spans="1:8">
      <c r="A39" s="58" t="s">
        <v>336</v>
      </c>
      <c r="B39" s="66">
        <v>-1.70713</v>
      </c>
      <c r="C39" s="66">
        <v>3.8022100000000001</v>
      </c>
      <c r="D39" s="66">
        <v>-2.2272500000000002</v>
      </c>
      <c r="E39" s="66">
        <v>0</v>
      </c>
      <c r="F39" s="66">
        <v>-17.308700000000002</v>
      </c>
      <c r="G39" s="66">
        <v>0</v>
      </c>
      <c r="H39" s="66">
        <v>23.8657</v>
      </c>
    </row>
    <row r="40" spans="1:8">
      <c r="A40" s="58" t="s">
        <v>337</v>
      </c>
      <c r="B40" s="66">
        <v>-0.77702099999999996</v>
      </c>
      <c r="C40" s="66">
        <v>0.92563899999999999</v>
      </c>
      <c r="D40" s="66">
        <v>-1.1912700000000001</v>
      </c>
      <c r="E40" s="66">
        <v>0</v>
      </c>
      <c r="F40" s="66">
        <v>-2.9087999999999998</v>
      </c>
      <c r="G40" s="66">
        <v>0</v>
      </c>
      <c r="H40" s="66">
        <v>0.47633700000000001</v>
      </c>
    </row>
    <row r="41" spans="1:8">
      <c r="A41" s="58" t="s">
        <v>338</v>
      </c>
      <c r="B41" s="66">
        <v>-0.110023</v>
      </c>
      <c r="C41" s="66">
        <v>0.39145600000000003</v>
      </c>
      <c r="D41" s="66">
        <v>-3.55796</v>
      </c>
      <c r="E41" s="66">
        <v>0</v>
      </c>
      <c r="F41" s="66">
        <v>-0.86387400000000003</v>
      </c>
      <c r="G41" s="66">
        <v>0</v>
      </c>
      <c r="H41" s="66">
        <v>1</v>
      </c>
    </row>
    <row r="42" spans="1:8">
      <c r="A42" s="58" t="s">
        <v>339</v>
      </c>
      <c r="B42" s="66">
        <v>-7.6298699999999997E-2</v>
      </c>
      <c r="C42" s="66">
        <v>0.12817500000000001</v>
      </c>
      <c r="D42" s="66">
        <v>-1.6799200000000001</v>
      </c>
      <c r="E42" s="66">
        <v>0</v>
      </c>
      <c r="F42" s="66">
        <v>-0.47916199999999998</v>
      </c>
      <c r="G42" s="66">
        <v>0</v>
      </c>
      <c r="H42" s="66">
        <v>0.30550500000000003</v>
      </c>
    </row>
    <row r="43" spans="1:8">
      <c r="A43" s="58" t="s">
        <v>340</v>
      </c>
      <c r="B43" s="66">
        <v>-2.73778E-3</v>
      </c>
      <c r="C43" s="66">
        <v>0.126197</v>
      </c>
      <c r="D43" s="66">
        <v>-46.094700000000003</v>
      </c>
      <c r="E43" s="66">
        <v>0</v>
      </c>
      <c r="F43" s="66">
        <v>-0.28347699999999998</v>
      </c>
      <c r="G43" s="66">
        <v>0</v>
      </c>
      <c r="H43" s="66">
        <v>0.10678700000000001</v>
      </c>
    </row>
    <row r="44" spans="1:8">
      <c r="A44" s="58" t="s">
        <v>341</v>
      </c>
      <c r="B44" s="66">
        <v>-13.556800000000001</v>
      </c>
      <c r="C44" s="66">
        <v>9.2240599999999997</v>
      </c>
      <c r="D44" s="66">
        <v>-0.68040299999999998</v>
      </c>
      <c r="E44" s="66">
        <v>0</v>
      </c>
      <c r="F44" s="66">
        <v>-34.170099999999998</v>
      </c>
      <c r="G44" s="66">
        <v>0</v>
      </c>
      <c r="H44" s="66">
        <v>-1.2092799999999999</v>
      </c>
    </row>
    <row r="45" spans="1:8">
      <c r="A45" s="58" t="s">
        <v>342</v>
      </c>
      <c r="B45" s="66">
        <v>51.476700000000001</v>
      </c>
      <c r="C45" s="66">
        <v>8.5829400000000007</v>
      </c>
      <c r="D45" s="66">
        <v>0.16673399999999999</v>
      </c>
      <c r="E45" s="66">
        <v>0</v>
      </c>
      <c r="F45" s="66">
        <v>30.942599999999999</v>
      </c>
      <c r="G45" s="66">
        <v>0</v>
      </c>
      <c r="H45" s="66">
        <v>75.861000000000004</v>
      </c>
    </row>
    <row r="46" spans="1:8">
      <c r="A46" s="58" t="s">
        <v>343</v>
      </c>
      <c r="B46" s="66">
        <v>28.5473</v>
      </c>
      <c r="C46" s="66">
        <v>7.19651</v>
      </c>
      <c r="D46" s="66">
        <v>0.25209100000000001</v>
      </c>
      <c r="E46" s="66">
        <v>0</v>
      </c>
      <c r="F46" s="66">
        <v>6.0165800000000003</v>
      </c>
      <c r="G46" s="66">
        <v>0</v>
      </c>
      <c r="H46" s="66">
        <v>33.005000000000003</v>
      </c>
    </row>
    <row r="47" spans="1:8">
      <c r="A47" s="58" t="s">
        <v>344</v>
      </c>
      <c r="B47" s="66">
        <v>0.69534799999999997</v>
      </c>
      <c r="C47" s="66">
        <v>0.26070199999999999</v>
      </c>
      <c r="D47" s="66">
        <v>0.37492199999999998</v>
      </c>
      <c r="E47" s="66">
        <v>0</v>
      </c>
      <c r="F47" s="66">
        <v>0.123734</v>
      </c>
      <c r="G47" s="66">
        <v>0</v>
      </c>
      <c r="H47" s="66">
        <v>1.84405</v>
      </c>
    </row>
    <row r="48" spans="1:8">
      <c r="A48" s="58" t="s">
        <v>345</v>
      </c>
      <c r="B48" s="66">
        <v>1.0232600000000001</v>
      </c>
      <c r="C48" s="66">
        <v>0.215697</v>
      </c>
      <c r="D48" s="66">
        <v>0.21079400000000001</v>
      </c>
      <c r="E48" s="66">
        <v>0</v>
      </c>
      <c r="F48" s="66">
        <v>0.49048599999999998</v>
      </c>
      <c r="G48" s="66">
        <v>0</v>
      </c>
      <c r="H48" s="66">
        <v>1.31002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7.0298000000000016</v>
      </c>
      <c r="C5" s="66">
        <f>'M2'!C5-'M1'!C5</f>
        <v>-6.9266499999999995</v>
      </c>
      <c r="D5" s="66">
        <f>'M2'!D5-'M1'!D5</f>
        <v>-23.663350000000001</v>
      </c>
      <c r="E5" s="66">
        <f>'M2'!E5-'M1'!E5</f>
        <v>0</v>
      </c>
      <c r="F5" s="66">
        <f>'M2'!F5-'M1'!F5</f>
        <v>24.583759999999998</v>
      </c>
      <c r="G5" s="66">
        <f>'M2'!G5-'M1'!G5</f>
        <v>0</v>
      </c>
      <c r="H5" s="66">
        <f>'M2'!H5-'M1'!H5</f>
        <v>4.8429999999999964</v>
      </c>
    </row>
    <row r="6" spans="1:8">
      <c r="A6" s="66" t="s">
        <v>244</v>
      </c>
      <c r="B6" s="66">
        <f>'M2'!B6-'M1'!B6</f>
        <v>7.8362999999999978</v>
      </c>
      <c r="C6" s="66">
        <f>'M2'!C6-'M1'!C6</f>
        <v>-3.4976569999999998</v>
      </c>
      <c r="D6" s="66">
        <f>'M2'!D6-'M1'!D6</f>
        <v>-15.048870000000001</v>
      </c>
      <c r="E6" s="66">
        <f>'M2'!E6-'M1'!E6</f>
        <v>0</v>
      </c>
      <c r="F6" s="66">
        <f>'M2'!F6-'M1'!F6</f>
        <v>12.099399999999999</v>
      </c>
      <c r="G6" s="66">
        <f>'M2'!G6-'M1'!G6</f>
        <v>0</v>
      </c>
      <c r="H6" s="66">
        <f>'M2'!H6-'M1'!H6</f>
        <v>-0.99230000000000018</v>
      </c>
    </row>
    <row r="7" spans="1:8">
      <c r="A7" s="66" t="s">
        <v>245</v>
      </c>
      <c r="B7" s="66">
        <f>'M2'!B7-'M1'!B7</f>
        <v>-2.5763999999999996</v>
      </c>
      <c r="C7" s="66">
        <f>'M2'!C7-'M1'!C7</f>
        <v>-0.41845999999999961</v>
      </c>
      <c r="D7" s="66">
        <f>'M2'!D7-'M1'!D7</f>
        <v>-0.19319999999999915</v>
      </c>
      <c r="E7" s="66">
        <f>'M2'!E7-'M1'!E7</f>
        <v>0</v>
      </c>
      <c r="F7" s="66">
        <f>'M2'!F7-'M1'!F7</f>
        <v>-2.678099999999997</v>
      </c>
      <c r="G7" s="66">
        <f>'M2'!G7-'M1'!G7</f>
        <v>0</v>
      </c>
      <c r="H7" s="66">
        <f>'M2'!H7-'M1'!H7</f>
        <v>-5.8834000000000017</v>
      </c>
    </row>
    <row r="8" spans="1:8">
      <c r="A8" s="66" t="s">
        <v>246</v>
      </c>
      <c r="B8" s="66">
        <f>'M2'!B8-'M1'!B8</f>
        <v>5.6189000000000036</v>
      </c>
      <c r="C8" s="66">
        <f>'M2'!C8-'M1'!C8</f>
        <v>-3.0860899999999996</v>
      </c>
      <c r="D8" s="66">
        <f>'M2'!D8-'M1'!D8</f>
        <v>-11.97298</v>
      </c>
      <c r="E8" s="66">
        <f>'M2'!E8-'M1'!E8</f>
        <v>0</v>
      </c>
      <c r="F8" s="66">
        <f>'M2'!F8-'M1'!F8</f>
        <v>12.737900000000003</v>
      </c>
      <c r="G8" s="66">
        <f>'M2'!G8-'M1'!G8</f>
        <v>0</v>
      </c>
      <c r="H8" s="66">
        <f>'M2'!H8-'M1'!H8</f>
        <v>-2.8746000000000009</v>
      </c>
    </row>
    <row r="9" spans="1:8">
      <c r="A9" s="66" t="s">
        <v>247</v>
      </c>
      <c r="B9" s="66">
        <f>'M2'!B9-'M1'!B9</f>
        <v>-4.9116999999999962</v>
      </c>
      <c r="C9" s="66">
        <f>'M2'!C9-'M1'!C9</f>
        <v>-0.61226000000000003</v>
      </c>
      <c r="D9" s="66">
        <f>'M2'!D9-'M1'!D9</f>
        <v>-0.29074999999999918</v>
      </c>
      <c r="E9" s="66">
        <f>'M2'!E9-'M1'!E9</f>
        <v>0</v>
      </c>
      <c r="F9" s="66">
        <f>'M2'!F9-'M1'!F9</f>
        <v>-5.6635999999999953</v>
      </c>
      <c r="G9" s="66">
        <f>'M2'!G9-'M1'!G9</f>
        <v>0</v>
      </c>
      <c r="H9" s="66">
        <f>'M2'!H9-'M1'!H9</f>
        <v>-6.9024000000000001</v>
      </c>
    </row>
    <row r="10" spans="1:8">
      <c r="A10" s="66" t="s">
        <v>248</v>
      </c>
      <c r="B10" s="66">
        <f>'M2'!B10-'M1'!B10</f>
        <v>-14.826399999999992</v>
      </c>
      <c r="C10" s="66">
        <f>'M2'!C10-'M1'!C10</f>
        <v>-1.5322299999999998</v>
      </c>
      <c r="D10" s="66">
        <f>'M2'!D10-'M1'!D10</f>
        <v>-0.94437000000000015</v>
      </c>
      <c r="E10" s="66">
        <f>'M2'!E10-'M1'!E10</f>
        <v>0</v>
      </c>
      <c r="F10" s="66">
        <f>'M2'!F10-'M1'!F10</f>
        <v>-9.7873999999999981</v>
      </c>
      <c r="G10" s="66">
        <f>'M2'!G10-'M1'!G10</f>
        <v>0</v>
      </c>
      <c r="H10" s="66">
        <f>'M2'!H10-'M1'!H10</f>
        <v>-11.564099999999996</v>
      </c>
    </row>
    <row r="11" spans="1:8">
      <c r="A11" s="66" t="s">
        <v>249</v>
      </c>
      <c r="B11" s="66">
        <f>'M2'!B11-'M1'!B11</f>
        <v>5.6993999999999989</v>
      </c>
      <c r="C11" s="66">
        <f>'M2'!C11-'M1'!C11</f>
        <v>-3.4295830000000005</v>
      </c>
      <c r="D11" s="66">
        <f>'M2'!D11-'M1'!D11</f>
        <v>-22.867180000000001</v>
      </c>
      <c r="E11" s="66">
        <f>'M2'!E11-'M1'!E11</f>
        <v>0</v>
      </c>
      <c r="F11" s="66">
        <f>'M2'!F11-'M1'!F11</f>
        <v>12.35453</v>
      </c>
      <c r="G11" s="66">
        <f>'M2'!G11-'M1'!G11</f>
        <v>0</v>
      </c>
      <c r="H11" s="66">
        <f>'M2'!H11-'M1'!H11</f>
        <v>1.0541000000000018</v>
      </c>
    </row>
    <row r="12" spans="1:8">
      <c r="A12" s="66" t="s">
        <v>250</v>
      </c>
      <c r="B12" s="66">
        <f>'M2'!B12-'M1'!B12</f>
        <v>-9.5764999999999958</v>
      </c>
      <c r="C12" s="66">
        <f>'M2'!C12-'M1'!C12</f>
        <v>-3.2368000000000001</v>
      </c>
      <c r="D12" s="66">
        <f>'M2'!D12-'M1'!D12</f>
        <v>-3.7847400000000002</v>
      </c>
      <c r="E12" s="66">
        <f>'M2'!E12-'M1'!E12</f>
        <v>0</v>
      </c>
      <c r="F12" s="66">
        <f>'M2'!F12-'M1'!F12</f>
        <v>-2.5153000000000034</v>
      </c>
      <c r="G12" s="66">
        <f>'M2'!G12-'M1'!G12</f>
        <v>0</v>
      </c>
      <c r="H12" s="66">
        <f>'M2'!H12-'M1'!H12</f>
        <v>-12.427799999999991</v>
      </c>
    </row>
    <row r="13" spans="1:8">
      <c r="A13" s="66" t="s">
        <v>251</v>
      </c>
      <c r="B13" s="66">
        <f>'M2'!B13-'M1'!B13</f>
        <v>-1.3216999999999999</v>
      </c>
      <c r="C13" s="66">
        <f>'M2'!C13-'M1'!C13</f>
        <v>0.26614000000000004</v>
      </c>
      <c r="D13" s="66">
        <f>'M2'!D13-'M1'!D13</f>
        <v>2.3581799999999991</v>
      </c>
      <c r="E13" s="66">
        <f>'M2'!E13-'M1'!E13</f>
        <v>0</v>
      </c>
      <c r="F13" s="66">
        <f>'M2'!F13-'M1'!F13</f>
        <v>-1.7231000000000005</v>
      </c>
      <c r="G13" s="66">
        <f>'M2'!G13-'M1'!G13</f>
        <v>0</v>
      </c>
      <c r="H13" s="66">
        <f>'M2'!H13-'M1'!H13</f>
        <v>-0.23709999999999809</v>
      </c>
    </row>
    <row r="14" spans="1:8">
      <c r="A14" s="66" t="s">
        <v>252</v>
      </c>
      <c r="B14" s="66">
        <f>'M2'!B14-'M1'!B14</f>
        <v>2.6613999999999987</v>
      </c>
      <c r="C14" s="66">
        <f>'M2'!C14-'M1'!C14</f>
        <v>0.38198000000000043</v>
      </c>
      <c r="D14" s="66">
        <f>'M2'!D14-'M1'!D14</f>
        <v>-2.1514000000000024</v>
      </c>
      <c r="E14" s="66">
        <f>'M2'!E14-'M1'!E14</f>
        <v>0</v>
      </c>
      <c r="F14" s="66">
        <f>'M2'!F14-'M1'!F14</f>
        <v>0.26944999999999997</v>
      </c>
      <c r="G14" s="66">
        <f>'M2'!G14-'M1'!G14</f>
        <v>0</v>
      </c>
      <c r="H14" s="66">
        <f>'M2'!H14-'M1'!H14</f>
        <v>-1.5030000000000001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4.5274999999999954E-2</v>
      </c>
      <c r="C18" s="66">
        <f>'M2'!C18-'M1'!C18</f>
        <v>4.5349899999999999E-2</v>
      </c>
      <c r="D18" s="66">
        <f>'M2'!D18-'M1'!D18</f>
        <v>6.8826399999999996E-2</v>
      </c>
      <c r="E18" s="66">
        <f>'M2'!E18-'M1'!E18</f>
        <v>0</v>
      </c>
      <c r="F18" s="66">
        <f>'M2'!F18-'M1'!F18</f>
        <v>0.61355199999999999</v>
      </c>
      <c r="G18" s="66">
        <f>'M2'!G18-'M1'!G18</f>
        <v>0</v>
      </c>
      <c r="H18" s="66">
        <f>'M2'!H18-'M1'!H18</f>
        <v>0.70425199999999999</v>
      </c>
    </row>
    <row r="19" spans="1:8">
      <c r="A19" s="66" t="s">
        <v>256</v>
      </c>
      <c r="B19" s="66">
        <f>'M2'!B19-'M1'!B19</f>
        <v>0.11275600000000008</v>
      </c>
      <c r="C19" s="66">
        <f>'M2'!C19-'M1'!C19</f>
        <v>4.4542900000000003E-2</v>
      </c>
      <c r="D19" s="66">
        <f>'M2'!D19-'M1'!D19</f>
        <v>6.2274999999999997E-2</v>
      </c>
      <c r="E19" s="66">
        <f>'M2'!E19-'M1'!E19</f>
        <v>0</v>
      </c>
      <c r="F19" s="66">
        <f>'M2'!F19-'M1'!F19</f>
        <v>0.67071800000000004</v>
      </c>
      <c r="G19" s="66">
        <f>'M2'!G19-'M1'!G19</f>
        <v>0</v>
      </c>
      <c r="H19" s="66">
        <f>'M2'!H19-'M1'!H19</f>
        <v>0.75980400000000003</v>
      </c>
    </row>
    <row r="20" spans="1:8">
      <c r="A20" s="66" t="s">
        <v>63</v>
      </c>
      <c r="B20" s="66">
        <f>'M2'!B20-'M1'!B20</f>
        <v>-2.7349999999999933E-6</v>
      </c>
      <c r="C20" s="66">
        <f>'M2'!C20-'M1'!C20</f>
        <v>-2.8371400000000001E-3</v>
      </c>
      <c r="D20" s="66">
        <f>'M2'!D20-'M1'!D20</f>
        <v>-14.3323</v>
      </c>
      <c r="E20" s="66">
        <f>'M2'!E20-'M1'!E20</f>
        <v>0</v>
      </c>
      <c r="F20" s="66">
        <f>'M2'!F20-'M1'!F20</f>
        <v>1.1624149999999999E-5</v>
      </c>
      <c r="G20" s="66">
        <f>'M2'!G20-'M1'!G20</f>
        <v>0</v>
      </c>
      <c r="H20" s="66">
        <f>'M2'!H20-'M1'!H20</f>
        <v>-1.7221099999999996E-2</v>
      </c>
    </row>
    <row r="21" spans="1:8">
      <c r="A21" s="66" t="s">
        <v>64</v>
      </c>
      <c r="B21" s="66">
        <f>'M2'!B21-'M1'!B21</f>
        <v>-7.7645000000000006E-3</v>
      </c>
      <c r="C21" s="66">
        <f>'M2'!C21-'M1'!C21</f>
        <v>-1.8356000000000004E-2</v>
      </c>
      <c r="D21" s="66">
        <f>'M2'!D21-'M1'!D21</f>
        <v>-0.17432999999999987</v>
      </c>
      <c r="E21" s="66">
        <f>'M2'!E21-'M1'!E21</f>
        <v>0</v>
      </c>
      <c r="F21" s="66">
        <f>'M2'!F21-'M1'!F21</f>
        <v>-1.0149000000000014E-5</v>
      </c>
      <c r="G21" s="66">
        <f>'M2'!G21-'M1'!G21</f>
        <v>0</v>
      </c>
      <c r="H21" s="66">
        <f>'M2'!H21-'M1'!H21</f>
        <v>-0.23555100000000001</v>
      </c>
    </row>
    <row r="22" spans="1:8">
      <c r="A22" s="66" t="s">
        <v>65</v>
      </c>
      <c r="B22" s="66">
        <f>'M2'!B22-'M1'!B22</f>
        <v>-2.8211999999999975</v>
      </c>
      <c r="C22" s="66">
        <f>'M2'!C22-'M1'!C22</f>
        <v>-0.28580000000000005</v>
      </c>
      <c r="D22" s="66">
        <f>'M2'!D22-'M1'!D22</f>
        <v>2.6129999999999987E-2</v>
      </c>
      <c r="E22" s="66">
        <f>'M2'!E22-'M1'!E22</f>
        <v>0</v>
      </c>
      <c r="F22" s="66">
        <f>'M2'!F22-'M1'!F22</f>
        <v>-2.9545199999999987</v>
      </c>
      <c r="G22" s="66">
        <f>'M2'!G22-'M1'!G22</f>
        <v>0</v>
      </c>
      <c r="H22" s="66">
        <f>'M2'!H22-'M1'!H22</f>
        <v>1.9463000000000008</v>
      </c>
    </row>
    <row r="23" spans="1:8">
      <c r="A23" s="66" t="s">
        <v>66</v>
      </c>
      <c r="B23" s="66">
        <f>'M2'!B23-'M1'!B23</f>
        <v>2.2196100000000012</v>
      </c>
      <c r="C23" s="66">
        <f>'M2'!C23-'M1'!C23</f>
        <v>-0.63479299999999994</v>
      </c>
      <c r="D23" s="66">
        <f>'M2'!D23-'M1'!D23</f>
        <v>-7.4172099999999991E-2</v>
      </c>
      <c r="E23" s="66">
        <f>'M2'!E23-'M1'!E23</f>
        <v>0</v>
      </c>
      <c r="F23" s="66">
        <f>'M2'!F23-'M1'!F23</f>
        <v>2.7999099999999997</v>
      </c>
      <c r="G23" s="66">
        <f>'M2'!G23-'M1'!G23</f>
        <v>0</v>
      </c>
      <c r="H23" s="66">
        <f>'M2'!H23-'M1'!H23</f>
        <v>0.62020000000000053</v>
      </c>
    </row>
    <row r="24" spans="1:8">
      <c r="A24" s="66" t="s">
        <v>67</v>
      </c>
      <c r="B24" s="66">
        <f>'M2'!B24-'M1'!B24</f>
        <v>-1.9440999999999979E-5</v>
      </c>
      <c r="C24" s="66">
        <f>'M2'!C24-'M1'!C24</f>
        <v>-1.4216100000000002E-3</v>
      </c>
      <c r="D24" s="66">
        <f>'M2'!D24-'M1'!D24</f>
        <v>-4.5159000000000002</v>
      </c>
      <c r="E24" s="66">
        <f>'M2'!E24-'M1'!E24</f>
        <v>0</v>
      </c>
      <c r="F24" s="66">
        <f>'M2'!F24-'M1'!F24</f>
        <v>1.3632000000000008E-5</v>
      </c>
      <c r="G24" s="66">
        <f>'M2'!G24-'M1'!G24</f>
        <v>0</v>
      </c>
      <c r="H24" s="66">
        <f>'M2'!H24-'M1'!H24</f>
        <v>-3.1062000000000017E-3</v>
      </c>
    </row>
    <row r="25" spans="1:8">
      <c r="A25" s="66" t="s">
        <v>68</v>
      </c>
      <c r="B25" s="66">
        <f>'M2'!B25-'M1'!B25</f>
        <v>-1.5109100000000007E-2</v>
      </c>
      <c r="C25" s="66">
        <f>'M2'!C25-'M1'!C25</f>
        <v>-8.2927000000000001E-3</v>
      </c>
      <c r="D25" s="66">
        <f>'M2'!D25-'M1'!D25</f>
        <v>-1.701999999999998E-2</v>
      </c>
      <c r="E25" s="66">
        <f>'M2'!E25-'M1'!E25</f>
        <v>0</v>
      </c>
      <c r="F25" s="66">
        <f>'M2'!F25-'M1'!F25</f>
        <v>-1.2104710000000001E-2</v>
      </c>
      <c r="G25" s="66">
        <f>'M2'!G25-'M1'!G25</f>
        <v>0</v>
      </c>
      <c r="H25" s="66">
        <f>'M2'!H25-'M1'!H25</f>
        <v>-6.5051999999999985E-2</v>
      </c>
    </row>
    <row r="26" spans="1:8">
      <c r="A26" s="66" t="s">
        <v>69</v>
      </c>
      <c r="B26" s="66">
        <f>'M2'!B26-'M1'!B26</f>
        <v>-3.2826000000000014E-6</v>
      </c>
      <c r="C26" s="66">
        <f>'M2'!C26-'M1'!C26</f>
        <v>-2.0283900000000001E-4</v>
      </c>
      <c r="D26" s="66">
        <f>'M2'!D26-'M1'!D26</f>
        <v>-2.7853900000000005</v>
      </c>
      <c r="E26" s="66">
        <f>'M2'!E26-'M1'!E26</f>
        <v>0</v>
      </c>
      <c r="F26" s="66">
        <f>'M2'!F26-'M1'!F26</f>
        <v>6.5651299999999996E-6</v>
      </c>
      <c r="G26" s="66">
        <f>'M2'!G26-'M1'!G26</f>
        <v>0</v>
      </c>
      <c r="H26" s="66">
        <f>'M2'!H26-'M1'!H26</f>
        <v>-1.3557E-3</v>
      </c>
    </row>
    <row r="27" spans="1:8">
      <c r="A27" s="66" t="s">
        <v>70</v>
      </c>
      <c r="B27" s="66">
        <f>'M2'!B27-'M1'!B27</f>
        <v>0</v>
      </c>
      <c r="C27" s="66">
        <f>'M2'!C27-'M1'!C27</f>
        <v>-1.9192699999999999E-4</v>
      </c>
      <c r="D27" s="66">
        <f>'M2'!D27-'M1'!D27</f>
        <v>58.468999999999994</v>
      </c>
      <c r="E27" s="66">
        <f>'M2'!E27-'M1'!E27</f>
        <v>0</v>
      </c>
      <c r="F27" s="66">
        <f>'M2'!F27-'M1'!F27</f>
        <v>4.7925000000000008E-4</v>
      </c>
      <c r="G27" s="66">
        <f>'M2'!G27-'M1'!G27</f>
        <v>0</v>
      </c>
      <c r="H27" s="66">
        <f>'M2'!H27-'M1'!H27</f>
        <v>-3.0528000000000022E-4</v>
      </c>
    </row>
    <row r="28" spans="1:8">
      <c r="A28" s="66" t="s">
        <v>71</v>
      </c>
      <c r="B28" s="66">
        <f>'M2'!B28-'M1'!B28</f>
        <v>-3.0280000000000064E-4</v>
      </c>
      <c r="C28" s="66">
        <f>'M2'!C28-'M1'!C28</f>
        <v>-1.4422499999999991E-3</v>
      </c>
      <c r="D28" s="66">
        <f>'M2'!D28-'M1'!D28</f>
        <v>-0.11114599999999986</v>
      </c>
      <c r="E28" s="66">
        <f>'M2'!E28-'M1'!E28</f>
        <v>0</v>
      </c>
      <c r="F28" s="66">
        <f>'M2'!F28-'M1'!F28</f>
        <v>3.2552000000000023E-6</v>
      </c>
      <c r="G28" s="66">
        <f>'M2'!G28-'M1'!G28</f>
        <v>0</v>
      </c>
      <c r="H28" s="66">
        <f>'M2'!H28-'M1'!H28</f>
        <v>-1.9329400000000004E-2</v>
      </c>
    </row>
    <row r="29" spans="1:8">
      <c r="A29" s="66" t="s">
        <v>72</v>
      </c>
      <c r="B29" s="66">
        <f>'M2'!B29-'M1'!B29</f>
        <v>-1.3710000000000022</v>
      </c>
      <c r="C29" s="66">
        <f>'M2'!C29-'M1'!C29</f>
        <v>2.0921299999999992</v>
      </c>
      <c r="D29" s="66">
        <f>'M2'!D29-'M1'!D29</f>
        <v>3.7788999999999989E-2</v>
      </c>
      <c r="E29" s="66">
        <f>'M2'!E29-'M1'!E29</f>
        <v>0</v>
      </c>
      <c r="F29" s="66">
        <f>'M2'!F29-'M1'!F29</f>
        <v>-4.8902999999999963</v>
      </c>
      <c r="G29" s="66">
        <f>'M2'!G29-'M1'!G29</f>
        <v>0</v>
      </c>
      <c r="H29" s="66">
        <f>'M2'!H29-'M1'!H29</f>
        <v>2.1482000000000028</v>
      </c>
    </row>
    <row r="30" spans="1:8">
      <c r="A30" s="66" t="s">
        <v>73</v>
      </c>
      <c r="B30" s="66">
        <f>'M2'!B30-'M1'!B30</f>
        <v>11.527800000000003</v>
      </c>
      <c r="C30" s="66">
        <f>'M2'!C30-'M1'!C30</f>
        <v>-3.9892599999999998</v>
      </c>
      <c r="D30" s="66">
        <f>'M2'!D30-'M1'!D30</f>
        <v>-0.23356659999999996</v>
      </c>
      <c r="E30" s="66">
        <f>'M2'!E30-'M1'!E30</f>
        <v>0</v>
      </c>
      <c r="F30" s="66">
        <f>'M2'!F30-'M1'!F30</f>
        <v>16.0593</v>
      </c>
      <c r="G30" s="66">
        <f>'M2'!G30-'M1'!G30</f>
        <v>0</v>
      </c>
      <c r="H30" s="66">
        <f>'M2'!H30-'M1'!H30</f>
        <v>4.2521000000000022</v>
      </c>
    </row>
    <row r="31" spans="1:8">
      <c r="A31" s="66" t="s">
        <v>74</v>
      </c>
      <c r="B31" s="66">
        <f>'M2'!B31-'M1'!B31</f>
        <v>-53.870500000000007</v>
      </c>
      <c r="C31" s="66">
        <f>'M2'!C31-'M1'!C31</f>
        <v>-12.863650000000002</v>
      </c>
      <c r="D31" s="66">
        <f>'M2'!D31-'M1'!D31</f>
        <v>-5.2869000000000013E-2</v>
      </c>
      <c r="E31" s="66">
        <f>'M2'!E31-'M1'!E31</f>
        <v>0</v>
      </c>
      <c r="F31" s="66">
        <f>'M2'!F31-'M1'!F31</f>
        <v>-22.258000000000003</v>
      </c>
      <c r="G31" s="66">
        <f>'M2'!G31-'M1'!G31</f>
        <v>0</v>
      </c>
      <c r="H31" s="66">
        <f>'M2'!H31-'M1'!H31</f>
        <v>-62.157399999999996</v>
      </c>
    </row>
    <row r="32" spans="1:8">
      <c r="A32" s="66" t="s">
        <v>75</v>
      </c>
      <c r="B32" s="66">
        <f>'M2'!B32-'M1'!B32</f>
        <v>-2.5764000000000009E-2</v>
      </c>
      <c r="C32" s="66">
        <f>'M2'!C32-'M1'!C32</f>
        <v>-4.1846000000000036E-3</v>
      </c>
      <c r="D32" s="66">
        <f>'M2'!D32-'M1'!D32</f>
        <v>-1.932000000000017E-3</v>
      </c>
      <c r="E32" s="66">
        <f>'M2'!E32-'M1'!E32</f>
        <v>0</v>
      </c>
      <c r="F32" s="66">
        <f>'M2'!F32-'M1'!F32</f>
        <v>-2.6780999999999999E-2</v>
      </c>
      <c r="G32" s="66">
        <f>'M2'!G32-'M1'!G32</f>
        <v>0</v>
      </c>
      <c r="H32" s="66">
        <f>'M2'!H32-'M1'!H32</f>
        <v>-5.8833999999999997E-2</v>
      </c>
    </row>
    <row r="33" spans="1:8">
      <c r="A33" s="66" t="s">
        <v>76</v>
      </c>
      <c r="B33" s="66">
        <f>'M2'!B33-'M1'!B33</f>
        <v>0.1222</v>
      </c>
      <c r="C33" s="66">
        <f>'M2'!C33-'M1'!C33</f>
        <v>-3.5377399999999996E-2</v>
      </c>
      <c r="D33" s="66">
        <f>'M2'!D33-'M1'!D33</f>
        <v>-0.16854720000000001</v>
      </c>
      <c r="E33" s="66">
        <f>'M2'!E33-'M1'!E33</f>
        <v>0</v>
      </c>
      <c r="F33" s="66">
        <f>'M2'!F33-'M1'!F33</f>
        <v>0.13095200000000001</v>
      </c>
      <c r="G33" s="66">
        <f>'M2'!G33-'M1'!G33</f>
        <v>0</v>
      </c>
      <c r="H33" s="66">
        <f>'M2'!H33-'M1'!H33</f>
        <v>2.2843000000000002E-2</v>
      </c>
    </row>
    <row r="34" spans="1:8">
      <c r="A34" s="66" t="s">
        <v>77</v>
      </c>
      <c r="B34" s="66">
        <f>'M2'!B34-'M1'!B34</f>
        <v>-1.3216999999999979E-2</v>
      </c>
      <c r="C34" s="66">
        <f>'M2'!C34-'M1'!C34</f>
        <v>2.6613999999999978E-3</v>
      </c>
      <c r="D34" s="66">
        <f>'M2'!D34-'M1'!D34</f>
        <v>2.35818E-2</v>
      </c>
      <c r="E34" s="66">
        <f>'M2'!E34-'M1'!E34</f>
        <v>0</v>
      </c>
      <c r="F34" s="66">
        <f>'M2'!F34-'M1'!F34</f>
        <v>-1.7230999999999996E-2</v>
      </c>
      <c r="G34" s="66">
        <f>'M2'!G34-'M1'!G34</f>
        <v>0</v>
      </c>
      <c r="H34" s="66">
        <f>'M2'!H34-'M1'!H34</f>
        <v>-2.371000000000012E-3</v>
      </c>
    </row>
    <row r="35" spans="1:8">
      <c r="A35" s="66" t="s">
        <v>78</v>
      </c>
      <c r="B35" s="66">
        <f>'M2'!B35-'M1'!B35</f>
        <v>-2.0231300000000008E-2</v>
      </c>
      <c r="C35" s="66">
        <f>'M2'!C35-'M1'!C35</f>
        <v>-6.0892000000000012E-3</v>
      </c>
      <c r="D35" s="66">
        <f>'M2'!D35-'M1'!D35</f>
        <v>-1.7121999999999998E-2</v>
      </c>
      <c r="E35" s="66">
        <f>'M2'!E35-'M1'!E35</f>
        <v>0</v>
      </c>
      <c r="F35" s="66">
        <f>'M2'!F35-'M1'!F35</f>
        <v>-2.0399599999999997E-2</v>
      </c>
      <c r="G35" s="66">
        <f>'M2'!G35-'M1'!G35</f>
        <v>0</v>
      </c>
      <c r="H35" s="66">
        <f>'M2'!H35-'M1'!H35</f>
        <v>-1.1273999999999992E-2</v>
      </c>
    </row>
    <row r="36" spans="1:8">
      <c r="A36" s="66" t="s">
        <v>79</v>
      </c>
      <c r="B36" s="66">
        <f>'M2'!B36-'M1'!B36</f>
        <v>-1.2158000000000002E-2</v>
      </c>
      <c r="C36" s="66">
        <f>'M2'!C36-'M1'!C36</f>
        <v>-1.3785400000000003E-2</v>
      </c>
      <c r="D36" s="66">
        <f>'M2'!D36-'M1'!D36</f>
        <v>-4.9421000000000048E-2</v>
      </c>
      <c r="E36" s="66">
        <f>'M2'!E36-'M1'!E36</f>
        <v>0</v>
      </c>
      <c r="F36" s="66">
        <f>'M2'!F36-'M1'!F36</f>
        <v>-8.1130000000000091E-4</v>
      </c>
      <c r="G36" s="66">
        <f>'M2'!G36-'M1'!G36</f>
        <v>0</v>
      </c>
      <c r="H36" s="66">
        <f>'M2'!H36-'M1'!H36</f>
        <v>-2.7469999999999994E-2</v>
      </c>
    </row>
    <row r="37" spans="1:8">
      <c r="A37" s="66" t="s">
        <v>80</v>
      </c>
      <c r="B37" s="66">
        <f>'M2'!B37-'M1'!B37</f>
        <v>2.6613999999999999E-2</v>
      </c>
      <c r="C37" s="66">
        <f>'M2'!C37-'M1'!C37</f>
        <v>3.8197999999999982E-3</v>
      </c>
      <c r="D37" s="66">
        <f>'M2'!D37-'M1'!D37</f>
        <v>-2.1513999999999978E-2</v>
      </c>
      <c r="E37" s="66">
        <f>'M2'!E37-'M1'!E37</f>
        <v>0</v>
      </c>
      <c r="F37" s="66">
        <f>'M2'!F37-'M1'!F37</f>
        <v>2.694499999999999E-3</v>
      </c>
      <c r="G37" s="66">
        <f>'M2'!G37-'M1'!G37</f>
        <v>0</v>
      </c>
      <c r="H37" s="66">
        <f>'M2'!H37-'M1'!H37</f>
        <v>-1.5030000000000016E-2</v>
      </c>
    </row>
    <row r="38" spans="1:8">
      <c r="A38" s="66" t="s">
        <v>81</v>
      </c>
      <c r="B38" s="66">
        <f>'M2'!B38-'M1'!B38</f>
        <v>9.4762589999999989</v>
      </c>
      <c r="C38" s="66">
        <f>'M2'!C38-'M1'!C38</f>
        <v>-11.4236</v>
      </c>
      <c r="D38" s="66">
        <f>'M2'!D38-'M1'!D38</f>
        <v>-45.621279999999999</v>
      </c>
      <c r="E38" s="66">
        <f>'M2'!E38-'M1'!E38</f>
        <v>0</v>
      </c>
      <c r="F38" s="66">
        <f>'M2'!F38-'M1'!F38</f>
        <v>26.308999999999997</v>
      </c>
      <c r="G38" s="66">
        <f>'M2'!G38-'M1'!G38</f>
        <v>0</v>
      </c>
      <c r="H38" s="66">
        <f>'M2'!H38-'M1'!H38</f>
        <v>25.027999999999992</v>
      </c>
    </row>
    <row r="39" spans="1:8">
      <c r="A39" s="66" t="s">
        <v>82</v>
      </c>
      <c r="B39" s="66">
        <f>'M2'!B39-'M1'!B39</f>
        <v>1.2775599999999998</v>
      </c>
      <c r="C39" s="66">
        <f>'M2'!C39-'M1'!C39</f>
        <v>-2.5980399999999997</v>
      </c>
      <c r="D39" s="66">
        <f>'M2'!D39-'M1'!D39</f>
        <v>7.4180000000000135E-2</v>
      </c>
      <c r="E39" s="66">
        <f>'M2'!E39-'M1'!E39</f>
        <v>0</v>
      </c>
      <c r="F39" s="66">
        <f>'M2'!F39-'M1'!F39</f>
        <v>9.1315200000000019</v>
      </c>
      <c r="G39" s="66">
        <f>'M2'!G39-'M1'!G39</f>
        <v>0</v>
      </c>
      <c r="H39" s="66">
        <f>'M2'!H39-'M1'!H39</f>
        <v>-17.806069999999998</v>
      </c>
    </row>
    <row r="40" spans="1:8">
      <c r="A40" s="66" t="s">
        <v>83</v>
      </c>
      <c r="B40" s="66">
        <f>'M2'!B40-'M1'!B40</f>
        <v>1.6742039999999998</v>
      </c>
      <c r="C40" s="66">
        <f>'M2'!C40-'M1'!C40</f>
        <v>-0.36564400000000002</v>
      </c>
      <c r="D40" s="66">
        <f>'M2'!D40-'M1'!D40</f>
        <v>-0.30477099999999996</v>
      </c>
      <c r="E40" s="66">
        <f>'M2'!E40-'M1'!E40</f>
        <v>0</v>
      </c>
      <c r="F40" s="66">
        <f>'M2'!F40-'M1'!F40</f>
        <v>2.0444359999999997</v>
      </c>
      <c r="G40" s="66">
        <f>'M2'!G40-'M1'!G40</f>
        <v>0</v>
      </c>
      <c r="H40" s="66">
        <f>'M2'!H40-'M1'!H40</f>
        <v>1.1804079999999999</v>
      </c>
    </row>
    <row r="41" spans="1:8">
      <c r="A41" s="66" t="s">
        <v>84</v>
      </c>
      <c r="B41" s="66">
        <f>'M2'!B41-'M1'!B41</f>
        <v>7.4791099999999999E-2</v>
      </c>
      <c r="C41" s="66">
        <f>'M2'!C41-'M1'!C41</f>
        <v>2.1229999999999971E-2</v>
      </c>
      <c r="D41" s="66">
        <f>'M2'!D41-'M1'!D41</f>
        <v>-3.3303099999999999</v>
      </c>
      <c r="E41" s="66">
        <f>'M2'!E41-'M1'!E41</f>
        <v>0</v>
      </c>
      <c r="F41" s="66">
        <f>'M2'!F41-'M1'!F41</f>
        <v>1.7720000000000069E-2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9.0757500000000005E-2</v>
      </c>
      <c r="C42" s="66">
        <f>'M2'!C42-'M1'!C42</f>
        <v>-2.2823999999999997E-2</v>
      </c>
      <c r="D42" s="66">
        <f>'M2'!D42-'M1'!D42</f>
        <v>-2.75942</v>
      </c>
      <c r="E42" s="66">
        <f>'M2'!E42-'M1'!E42</f>
        <v>0</v>
      </c>
      <c r="F42" s="66">
        <f>'M2'!F42-'M1'!F42</f>
        <v>0.11086399999999996</v>
      </c>
      <c r="G42" s="66">
        <f>'M2'!G42-'M1'!G42</f>
        <v>0</v>
      </c>
      <c r="H42" s="66">
        <f>'M2'!H42-'M1'!H42</f>
        <v>-7.1130000000000027E-2</v>
      </c>
    </row>
    <row r="43" spans="1:8">
      <c r="A43" s="66" t="s">
        <v>86</v>
      </c>
      <c r="B43" s="66">
        <f>'M2'!B43-'M1'!B43</f>
        <v>0.23168849999999999</v>
      </c>
      <c r="C43" s="66">
        <f>'M2'!C43-'M1'!C43</f>
        <v>-5.8943099999999998E-2</v>
      </c>
      <c r="D43" s="66">
        <f>'M2'!D43-'M1'!D43</f>
        <v>1.9721880000000001</v>
      </c>
      <c r="E43" s="66">
        <f>'M2'!E43-'M1'!E43</f>
        <v>0</v>
      </c>
      <c r="F43" s="66">
        <f>'M2'!F43-'M1'!F43</f>
        <v>0.2647891</v>
      </c>
      <c r="G43" s="66">
        <f>'M2'!G43-'M1'!G43</f>
        <v>0</v>
      </c>
      <c r="H43" s="66">
        <f>'M2'!H43-'M1'!H43</f>
        <v>9.0984599999999999E-2</v>
      </c>
    </row>
    <row r="44" spans="1:8">
      <c r="A44" s="66" t="s">
        <v>87</v>
      </c>
      <c r="B44" s="66">
        <f>'M2'!B44-'M1'!B44</f>
        <v>17.771829999999998</v>
      </c>
      <c r="C44" s="66">
        <f>'M2'!C44-'M1'!C44</f>
        <v>-3.6911000000000005</v>
      </c>
      <c r="D44" s="66">
        <f>'M2'!D44-'M1'!D44</f>
        <v>-0.15923900000000002</v>
      </c>
      <c r="E44" s="66">
        <f>'M2'!E44-'M1'!E44</f>
        <v>0</v>
      </c>
      <c r="F44" s="66">
        <f>'M2'!F44-'M1'!F44</f>
        <v>15.761699999999998</v>
      </c>
      <c r="G44" s="66">
        <f>'M2'!G44-'M1'!G44</f>
        <v>0</v>
      </c>
      <c r="H44" s="66">
        <f>'M2'!H44-'M1'!H44</f>
        <v>9.2615200000000009</v>
      </c>
    </row>
    <row r="45" spans="1:8">
      <c r="A45" s="66" t="s">
        <v>88</v>
      </c>
      <c r="B45" s="66">
        <f>'M2'!B45-'M1'!B45</f>
        <v>-5.1099999999998147E-2</v>
      </c>
      <c r="C45" s="66">
        <f>'M2'!C45-'M1'!C45</f>
        <v>1.3567499999999999</v>
      </c>
      <c r="D45" s="66">
        <f>'M2'!D45-'M1'!D45</f>
        <v>2.6522000000000018E-2</v>
      </c>
      <c r="E45" s="66">
        <f>'M2'!E45-'M1'!E45</f>
        <v>0</v>
      </c>
      <c r="F45" s="66">
        <f>'M2'!F45-'M1'!F45</f>
        <v>-3.5412000000000035</v>
      </c>
      <c r="G45" s="66">
        <f>'M2'!G45-'M1'!G45</f>
        <v>0</v>
      </c>
      <c r="H45" s="66">
        <f>'M2'!H45-'M1'!H45</f>
        <v>5.0799000000000092</v>
      </c>
    </row>
    <row r="46" spans="1:8">
      <c r="A46" s="66" t="s">
        <v>89</v>
      </c>
      <c r="B46" s="66">
        <f>'M2'!B46-'M1'!B46</f>
        <v>9.1862999999999992</v>
      </c>
      <c r="C46" s="66">
        <f>'M2'!C46-'M1'!C46</f>
        <v>-5.6754199999999999</v>
      </c>
      <c r="D46" s="66">
        <f>'M2'!D46-'M1'!D46</f>
        <v>-0.2847692</v>
      </c>
      <c r="E46" s="66">
        <f>'M2'!E46-'M1'!E46</f>
        <v>0</v>
      </c>
      <c r="F46" s="66">
        <f>'M2'!F46-'M1'!F46</f>
        <v>20.52712</v>
      </c>
      <c r="G46" s="66">
        <f>'M2'!G46-'M1'!G46</f>
        <v>0</v>
      </c>
      <c r="H46" s="66">
        <f>'M2'!H46-'M1'!H46</f>
        <v>3.1757000000000026</v>
      </c>
    </row>
    <row r="47" spans="1:8">
      <c r="A47" s="66" t="s">
        <v>90</v>
      </c>
      <c r="B47" s="66">
        <f>'M2'!B47-'M1'!B47</f>
        <v>9.1700000000005666E-4</v>
      </c>
      <c r="C47" s="66">
        <f>'M2'!C47-'M1'!C47</f>
        <v>-1.7515000000000003E-2</v>
      </c>
      <c r="D47" s="66">
        <f>'M2'!D47-'M1'!D47</f>
        <v>-2.5675999999999977E-2</v>
      </c>
      <c r="E47" s="66">
        <f>'M2'!E47-'M1'!E47</f>
        <v>0</v>
      </c>
      <c r="F47" s="66">
        <f>'M2'!F47-'M1'!F47</f>
        <v>-0.1517</v>
      </c>
      <c r="G47" s="66">
        <f>'M2'!G47-'M1'!G47</f>
        <v>0</v>
      </c>
      <c r="H47" s="66">
        <f>'M2'!H47-'M1'!H47</f>
        <v>-0.47441</v>
      </c>
    </row>
    <row r="48" spans="1:8">
      <c r="A48" s="66" t="s">
        <v>91</v>
      </c>
      <c r="B48" s="66">
        <f>'M2'!B48-'M1'!B48</f>
        <v>0.38570499999999996</v>
      </c>
      <c r="C48" s="66">
        <f>'M2'!C48-'M1'!C48</f>
        <v>-9.2853600000000008E-2</v>
      </c>
      <c r="D48" s="66">
        <f>'M2'!D48-'M1'!D48</f>
        <v>-0.15820390000000001</v>
      </c>
      <c r="E48" s="66">
        <f>'M2'!E48-'M1'!E48</f>
        <v>0</v>
      </c>
      <c r="F48" s="66">
        <f>'M2'!F48-'M1'!F48</f>
        <v>0.49472800000000006</v>
      </c>
      <c r="G48" s="66">
        <f>'M2'!G48-'M1'!G48</f>
        <v>0</v>
      </c>
      <c r="H48" s="66">
        <f>'M2'!H48-'M1'!H48</f>
        <v>0.13500999999999985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30.574300000000001</v>
      </c>
      <c r="C5" s="66">
        <v>8.5756099999999993</v>
      </c>
      <c r="D5" s="66">
        <v>28.048400000000001</v>
      </c>
      <c r="E5" s="66">
        <v>20</v>
      </c>
      <c r="F5" s="66">
        <v>9.6417400000000004</v>
      </c>
      <c r="G5" s="66">
        <v>50</v>
      </c>
      <c r="H5" s="66">
        <v>39.0867</v>
      </c>
    </row>
    <row r="6" spans="1:8">
      <c r="A6" s="66" t="s">
        <v>358</v>
      </c>
      <c r="B6" s="66">
        <v>24.3903</v>
      </c>
      <c r="C6" s="66">
        <v>4.2083599999999999</v>
      </c>
      <c r="D6" s="66">
        <v>17.254200000000001</v>
      </c>
      <c r="E6" s="66">
        <v>20</v>
      </c>
      <c r="F6" s="66">
        <v>19.0441</v>
      </c>
      <c r="G6" s="66">
        <v>40</v>
      </c>
      <c r="H6" s="66">
        <v>36.227699999999999</v>
      </c>
    </row>
    <row r="7" spans="1:8">
      <c r="A7" s="66" t="s">
        <v>359</v>
      </c>
      <c r="B7" s="66">
        <v>32.450800000000001</v>
      </c>
      <c r="C7" s="66">
        <v>4.5439499999999997</v>
      </c>
      <c r="D7" s="66">
        <v>14.002599999999999</v>
      </c>
      <c r="E7" s="66">
        <v>15</v>
      </c>
      <c r="F7" s="66">
        <v>22.729299999999999</v>
      </c>
      <c r="G7" s="66">
        <v>40</v>
      </c>
      <c r="H7" s="66">
        <v>46.249000000000002</v>
      </c>
    </row>
    <row r="8" spans="1:8">
      <c r="A8" s="66" t="s">
        <v>360</v>
      </c>
      <c r="B8" s="66">
        <v>27.882899999999999</v>
      </c>
      <c r="C8" s="66">
        <v>4.5904999999999996</v>
      </c>
      <c r="D8" s="66">
        <v>16.4635</v>
      </c>
      <c r="E8" s="66">
        <v>20</v>
      </c>
      <c r="F8" s="66">
        <v>16.932099999999998</v>
      </c>
      <c r="G8" s="66">
        <v>50</v>
      </c>
      <c r="H8" s="66">
        <v>38.104399999999998</v>
      </c>
    </row>
    <row r="9" spans="1:8">
      <c r="A9" s="66" t="s">
        <v>361</v>
      </c>
      <c r="B9" s="66">
        <v>74.535200000000003</v>
      </c>
      <c r="C9" s="66">
        <v>6.2191700000000001</v>
      </c>
      <c r="D9" s="66">
        <v>8.3439399999999999</v>
      </c>
      <c r="E9" s="66">
        <v>50</v>
      </c>
      <c r="F9" s="66">
        <v>60.142299999999999</v>
      </c>
      <c r="G9" s="66">
        <v>100</v>
      </c>
      <c r="H9" s="66">
        <v>86.402299999999997</v>
      </c>
    </row>
    <row r="10" spans="1:8">
      <c r="A10" s="66" t="s">
        <v>362</v>
      </c>
      <c r="B10" s="66">
        <v>82.053799999999995</v>
      </c>
      <c r="C10" s="66">
        <v>4.9662199999999999</v>
      </c>
      <c r="D10" s="66">
        <v>6.0523899999999999</v>
      </c>
      <c r="E10" s="66">
        <v>40</v>
      </c>
      <c r="F10" s="66">
        <v>70.3476</v>
      </c>
      <c r="G10" s="66">
        <v>100</v>
      </c>
      <c r="H10" s="66">
        <v>84.967799999999997</v>
      </c>
    </row>
    <row r="11" spans="1:8">
      <c r="A11" s="66" t="s">
        <v>363</v>
      </c>
      <c r="B11" s="66">
        <v>15.801</v>
      </c>
      <c r="C11" s="66">
        <v>4.1224800000000004</v>
      </c>
      <c r="D11" s="66">
        <v>26.0899</v>
      </c>
      <c r="E11" s="66">
        <v>10</v>
      </c>
      <c r="F11" s="66">
        <v>7.3698699999999997</v>
      </c>
      <c r="G11" s="66">
        <v>50</v>
      </c>
      <c r="H11" s="66">
        <v>22.184799999999999</v>
      </c>
    </row>
    <row r="12" spans="1:8">
      <c r="A12" s="66" t="s">
        <v>364</v>
      </c>
      <c r="B12" s="66">
        <v>78.226900000000001</v>
      </c>
      <c r="C12" s="66">
        <v>5.2161200000000001</v>
      </c>
      <c r="D12" s="66">
        <v>6.6679300000000001</v>
      </c>
      <c r="E12" s="66">
        <v>50</v>
      </c>
      <c r="F12" s="66">
        <v>66.148300000000006</v>
      </c>
      <c r="G12" s="66">
        <v>100</v>
      </c>
      <c r="H12" s="66">
        <v>84.687299999999993</v>
      </c>
    </row>
    <row r="13" spans="1:8">
      <c r="A13" s="66" t="s">
        <v>365</v>
      </c>
      <c r="B13" s="66">
        <v>17.2806</v>
      </c>
      <c r="C13" s="66">
        <v>1.4407399999999999</v>
      </c>
      <c r="D13" s="66">
        <v>8.3373200000000001</v>
      </c>
      <c r="E13" s="66">
        <v>10</v>
      </c>
      <c r="F13" s="66">
        <v>14.5922</v>
      </c>
      <c r="G13" s="66">
        <v>25</v>
      </c>
      <c r="H13" s="66">
        <v>20.7989</v>
      </c>
    </row>
    <row r="14" spans="1:8">
      <c r="A14" s="66" t="s">
        <v>366</v>
      </c>
      <c r="B14" s="66">
        <v>14.407400000000001</v>
      </c>
      <c r="C14" s="66">
        <v>4.0557699999999999</v>
      </c>
      <c r="D14" s="66">
        <v>28.150600000000001</v>
      </c>
      <c r="E14" s="66">
        <v>10</v>
      </c>
      <c r="F14" s="66">
        <v>1.99254</v>
      </c>
      <c r="G14" s="66">
        <v>50</v>
      </c>
      <c r="H14" s="66">
        <v>21.371200000000002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0.61362700000000003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0.60250499999999996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1.93594E-4</v>
      </c>
      <c r="C20" s="66">
        <v>7.1981900000000001E-3</v>
      </c>
      <c r="D20" s="66">
        <v>37.181899999999999</v>
      </c>
      <c r="E20" s="66">
        <v>0</v>
      </c>
      <c r="F20" s="196">
        <v>3.1924499999999998E-6</v>
      </c>
      <c r="G20" s="66">
        <v>0</v>
      </c>
      <c r="H20" s="66">
        <v>6.6043699999999997E-2</v>
      </c>
    </row>
    <row r="21" spans="1:8">
      <c r="A21" s="66" t="s">
        <v>373</v>
      </c>
      <c r="B21" s="66">
        <v>4.1553899999999998E-2</v>
      </c>
      <c r="C21" s="66">
        <v>6.6713400000000006E-2</v>
      </c>
      <c r="D21" s="66">
        <v>1.60547</v>
      </c>
      <c r="E21" s="66">
        <v>0</v>
      </c>
      <c r="F21" s="66">
        <v>1.5788400000000001E-4</v>
      </c>
      <c r="G21" s="66">
        <v>0</v>
      </c>
      <c r="H21" s="66">
        <v>0.47364800000000001</v>
      </c>
    </row>
    <row r="22" spans="1:8">
      <c r="A22" s="66" t="s">
        <v>374</v>
      </c>
      <c r="B22" s="66">
        <v>22.023499999999999</v>
      </c>
      <c r="C22" s="66">
        <v>6.1482599999999996</v>
      </c>
      <c r="D22" s="66">
        <v>0.279169</v>
      </c>
      <c r="E22" s="66">
        <v>0</v>
      </c>
      <c r="F22" s="66">
        <v>11.269299999999999</v>
      </c>
      <c r="G22" s="66">
        <v>0</v>
      </c>
      <c r="H22" s="66">
        <v>51.398800000000001</v>
      </c>
    </row>
    <row r="23" spans="1:8">
      <c r="A23" s="66" t="s">
        <v>375</v>
      </c>
      <c r="B23" s="66">
        <v>9.2275899999999993</v>
      </c>
      <c r="C23" s="66">
        <v>0.89078999999999997</v>
      </c>
      <c r="D23" s="66">
        <v>9.6535499999999996E-2</v>
      </c>
      <c r="E23" s="66">
        <v>0</v>
      </c>
      <c r="F23" s="66">
        <v>7.9075899999999999</v>
      </c>
      <c r="G23" s="66">
        <v>0</v>
      </c>
      <c r="H23" s="66">
        <v>11.3752</v>
      </c>
    </row>
    <row r="24" spans="1:8">
      <c r="A24" s="66" t="s">
        <v>376</v>
      </c>
      <c r="B24" s="66">
        <v>2.72778E-4</v>
      </c>
      <c r="C24" s="66">
        <v>3.8946100000000002E-3</v>
      </c>
      <c r="D24" s="66">
        <v>14.2776</v>
      </c>
      <c r="E24" s="66">
        <v>0</v>
      </c>
      <c r="F24" s="196">
        <v>6.7377299999999996E-5</v>
      </c>
      <c r="G24" s="66">
        <v>0</v>
      </c>
      <c r="H24" s="66">
        <v>1.6358000000000001E-2</v>
      </c>
    </row>
    <row r="25" spans="1:8">
      <c r="A25" s="66" t="s">
        <v>377</v>
      </c>
      <c r="B25" s="66">
        <v>6.2518000000000004E-2</v>
      </c>
      <c r="C25" s="66">
        <v>3.0974499999999999E-2</v>
      </c>
      <c r="D25" s="66">
        <v>0.495448</v>
      </c>
      <c r="E25" s="66">
        <v>0</v>
      </c>
      <c r="F25" s="66">
        <v>2.0653500000000002E-2</v>
      </c>
      <c r="G25" s="66">
        <v>0</v>
      </c>
      <c r="H25" s="66">
        <v>0.18496199999999999</v>
      </c>
    </row>
    <row r="26" spans="1:8">
      <c r="A26" s="66" t="s">
        <v>378</v>
      </c>
      <c r="B26" s="196">
        <v>6.5651300000000006E-5</v>
      </c>
      <c r="C26" s="66">
        <v>5.8235000000000003E-4</v>
      </c>
      <c r="D26" s="66">
        <v>8.8703500000000002</v>
      </c>
      <c r="E26" s="66">
        <v>0</v>
      </c>
      <c r="F26" s="196">
        <v>3.2825599999999999E-6</v>
      </c>
      <c r="G26" s="66">
        <v>0</v>
      </c>
      <c r="H26" s="66">
        <v>4.9271300000000001E-3</v>
      </c>
    </row>
    <row r="27" spans="1:8">
      <c r="A27" s="66" t="s">
        <v>379</v>
      </c>
      <c r="B27" s="196">
        <v>-3.2825599999999999E-6</v>
      </c>
      <c r="C27" s="66">
        <v>5.2542300000000001E-4</v>
      </c>
      <c r="D27" s="66">
        <v>-160.065</v>
      </c>
      <c r="E27" s="66">
        <v>0</v>
      </c>
      <c r="F27" s="66">
        <v>-3.1775200000000001E-3</v>
      </c>
      <c r="G27" s="66">
        <v>0</v>
      </c>
      <c r="H27" s="66">
        <v>3.23661E-3</v>
      </c>
    </row>
    <row r="28" spans="1:8">
      <c r="A28" s="66" t="s">
        <v>380</v>
      </c>
      <c r="B28" s="66">
        <v>1.0328800000000001E-2</v>
      </c>
      <c r="C28" s="66">
        <v>1.1188699999999999E-2</v>
      </c>
      <c r="D28" s="66">
        <v>1.0832599999999999</v>
      </c>
      <c r="E28" s="66">
        <v>0</v>
      </c>
      <c r="F28" s="196">
        <v>4.8828100000000001E-5</v>
      </c>
      <c r="G28" s="66">
        <v>0</v>
      </c>
      <c r="H28" s="66">
        <v>6.4615900000000004E-2</v>
      </c>
    </row>
    <row r="29" spans="1:8">
      <c r="A29" s="66" t="s">
        <v>381</v>
      </c>
      <c r="B29" s="66">
        <v>61.822600000000001</v>
      </c>
      <c r="C29" s="66">
        <v>8.6679700000000004</v>
      </c>
      <c r="D29" s="66">
        <v>0.140207</v>
      </c>
      <c r="E29" s="66">
        <v>0</v>
      </c>
      <c r="F29" s="66">
        <v>42.069499999999998</v>
      </c>
      <c r="G29" s="66">
        <v>0</v>
      </c>
      <c r="H29" s="66">
        <v>86.531899999999993</v>
      </c>
    </row>
    <row r="30" spans="1:8">
      <c r="A30" s="66" t="s">
        <v>382</v>
      </c>
      <c r="B30" s="66">
        <v>18.851099999999999</v>
      </c>
      <c r="C30" s="66">
        <v>5.0795399999999997</v>
      </c>
      <c r="D30" s="66">
        <v>0.26945599999999997</v>
      </c>
      <c r="E30" s="66">
        <v>0</v>
      </c>
      <c r="F30" s="66">
        <v>10.6953</v>
      </c>
      <c r="G30" s="66">
        <v>0</v>
      </c>
      <c r="H30" s="66">
        <v>27.875499999999999</v>
      </c>
    </row>
    <row r="31" spans="1:8">
      <c r="A31" s="66" t="s">
        <v>383</v>
      </c>
      <c r="B31" s="66">
        <v>126.194</v>
      </c>
      <c r="C31" s="66">
        <v>21.176500000000001</v>
      </c>
      <c r="D31" s="66">
        <v>0.16780900000000001</v>
      </c>
      <c r="E31" s="66">
        <v>0</v>
      </c>
      <c r="F31" s="66">
        <v>83.738600000000005</v>
      </c>
      <c r="G31" s="66">
        <v>0</v>
      </c>
      <c r="H31" s="66">
        <v>159.05799999999999</v>
      </c>
    </row>
    <row r="32" spans="1:8">
      <c r="A32" s="66" t="s">
        <v>384</v>
      </c>
      <c r="B32" s="66">
        <v>0.32450800000000002</v>
      </c>
      <c r="C32" s="66">
        <v>4.5439500000000001E-2</v>
      </c>
      <c r="D32" s="66">
        <v>0.14002600000000001</v>
      </c>
      <c r="E32" s="66">
        <v>0.15</v>
      </c>
      <c r="F32" s="66">
        <v>0.227293</v>
      </c>
      <c r="G32" s="66">
        <v>0.4</v>
      </c>
      <c r="H32" s="66">
        <v>0.46249000000000001</v>
      </c>
    </row>
    <row r="33" spans="1:8">
      <c r="A33" s="66" t="s">
        <v>385</v>
      </c>
      <c r="B33" s="66">
        <v>0.23708199999999999</v>
      </c>
      <c r="C33" s="66">
        <v>4.8849999999999998E-2</v>
      </c>
      <c r="D33" s="66">
        <v>0.20604600000000001</v>
      </c>
      <c r="E33" s="66">
        <v>0</v>
      </c>
      <c r="F33" s="66">
        <v>0.19928299999999999</v>
      </c>
      <c r="G33" s="66">
        <v>0</v>
      </c>
      <c r="H33" s="66">
        <v>0.36878100000000003</v>
      </c>
    </row>
    <row r="34" spans="1:8">
      <c r="A34" s="66" t="s">
        <v>386</v>
      </c>
      <c r="B34" s="66">
        <v>0.17280599999999999</v>
      </c>
      <c r="C34" s="66">
        <v>1.4407400000000001E-2</v>
      </c>
      <c r="D34" s="66">
        <v>8.3373199999999995E-2</v>
      </c>
      <c r="E34" s="66">
        <v>0.1</v>
      </c>
      <c r="F34" s="66">
        <v>0.145922</v>
      </c>
      <c r="G34" s="66">
        <v>0.25</v>
      </c>
      <c r="H34" s="66">
        <v>0.20798900000000001</v>
      </c>
    </row>
    <row r="35" spans="1:8">
      <c r="A35" s="66" t="s">
        <v>387</v>
      </c>
      <c r="B35" s="66">
        <v>8.3481600000000003E-2</v>
      </c>
      <c r="C35" s="66">
        <v>2.0657700000000001E-2</v>
      </c>
      <c r="D35" s="66">
        <v>0.24745200000000001</v>
      </c>
      <c r="E35" s="66">
        <v>0</v>
      </c>
      <c r="F35" s="66">
        <v>4.4657099999999998E-2</v>
      </c>
      <c r="G35" s="66">
        <v>0</v>
      </c>
      <c r="H35" s="66">
        <v>0.122748</v>
      </c>
    </row>
    <row r="36" spans="1:8">
      <c r="A36" s="66" t="s">
        <v>388</v>
      </c>
      <c r="B36" s="66">
        <v>0.16577</v>
      </c>
      <c r="C36" s="66">
        <v>8.4448800000000004E-2</v>
      </c>
      <c r="D36" s="66">
        <v>0.50943300000000002</v>
      </c>
      <c r="E36" s="66">
        <v>0</v>
      </c>
      <c r="F36" s="66">
        <v>4.62628E-2</v>
      </c>
      <c r="G36" s="66">
        <v>0</v>
      </c>
      <c r="H36" s="66">
        <v>0.45044699999999999</v>
      </c>
    </row>
    <row r="37" spans="1:8">
      <c r="A37" s="66" t="s">
        <v>389</v>
      </c>
      <c r="B37" s="66">
        <v>0.14407400000000001</v>
      </c>
      <c r="C37" s="66">
        <v>4.0557700000000002E-2</v>
      </c>
      <c r="D37" s="66">
        <v>0.28150599999999998</v>
      </c>
      <c r="E37" s="66">
        <v>0.1</v>
      </c>
      <c r="F37" s="66">
        <v>1.9925399999999999E-2</v>
      </c>
      <c r="G37" s="66">
        <v>0.5</v>
      </c>
      <c r="H37" s="66">
        <v>0.21371200000000001</v>
      </c>
    </row>
    <row r="38" spans="1:8">
      <c r="A38" s="66" t="s">
        <v>390</v>
      </c>
      <c r="B38" s="66">
        <v>-10.190099999999999</v>
      </c>
      <c r="C38" s="66">
        <v>47.303600000000003</v>
      </c>
      <c r="D38" s="66">
        <v>-4.6421200000000002</v>
      </c>
      <c r="E38" s="66">
        <v>0</v>
      </c>
      <c r="F38" s="66">
        <v>-170.46</v>
      </c>
      <c r="G38" s="66">
        <v>0</v>
      </c>
      <c r="H38" s="66">
        <v>198.971</v>
      </c>
    </row>
    <row r="39" spans="1:8">
      <c r="A39" s="66" t="s">
        <v>391</v>
      </c>
      <c r="B39" s="66">
        <v>-2.4507699999999999</v>
      </c>
      <c r="C39" s="66">
        <v>4.8169199999999996</v>
      </c>
      <c r="D39" s="66">
        <v>-1.9654700000000001</v>
      </c>
      <c r="E39" s="66">
        <v>0</v>
      </c>
      <c r="F39" s="66">
        <v>-17.308700000000002</v>
      </c>
      <c r="G39" s="66">
        <v>0</v>
      </c>
      <c r="H39" s="66">
        <v>23.8657</v>
      </c>
    </row>
    <row r="40" spans="1:8">
      <c r="A40" s="66" t="s">
        <v>392</v>
      </c>
      <c r="B40" s="66">
        <v>-2.2309899999999998</v>
      </c>
      <c r="C40" s="66">
        <v>0.71337300000000003</v>
      </c>
      <c r="D40" s="66">
        <v>-0.31975700000000001</v>
      </c>
      <c r="E40" s="66">
        <v>0</v>
      </c>
      <c r="F40" s="66">
        <v>-2.9087999999999998</v>
      </c>
      <c r="G40" s="66">
        <v>0</v>
      </c>
      <c r="H40" s="66">
        <v>-0.704071</v>
      </c>
    </row>
    <row r="41" spans="1:8">
      <c r="A41" s="66" t="s">
        <v>393</v>
      </c>
      <c r="B41" s="66">
        <v>-0.14151900000000001</v>
      </c>
      <c r="C41" s="66">
        <v>0.38032100000000002</v>
      </c>
      <c r="D41" s="66">
        <v>-2.68743</v>
      </c>
      <c r="E41" s="66">
        <v>0</v>
      </c>
      <c r="F41" s="66">
        <v>-0.86387400000000003</v>
      </c>
      <c r="G41" s="66">
        <v>0</v>
      </c>
      <c r="H41" s="66">
        <v>1</v>
      </c>
    </row>
    <row r="42" spans="1:8">
      <c r="A42" s="66" t="s">
        <v>394</v>
      </c>
      <c r="B42" s="66">
        <v>-0.118384</v>
      </c>
      <c r="C42" s="66">
        <v>0.12920999999999999</v>
      </c>
      <c r="D42" s="66">
        <v>-1.09145</v>
      </c>
      <c r="E42" s="66">
        <v>0</v>
      </c>
      <c r="F42" s="66">
        <v>-0.47916199999999998</v>
      </c>
      <c r="G42" s="66">
        <v>0</v>
      </c>
      <c r="H42" s="66">
        <v>0.30550500000000003</v>
      </c>
    </row>
    <row r="43" spans="1:8">
      <c r="A43" s="66" t="s">
        <v>395</v>
      </c>
      <c r="B43" s="66">
        <v>-0.20849699999999999</v>
      </c>
      <c r="C43" s="66">
        <v>9.42027E-2</v>
      </c>
      <c r="D43" s="66">
        <v>-0.451818</v>
      </c>
      <c r="E43" s="66">
        <v>0</v>
      </c>
      <c r="F43" s="66">
        <v>-0.28347699999999998</v>
      </c>
      <c r="G43" s="66">
        <v>0</v>
      </c>
      <c r="H43" s="66">
        <v>1.5802400000000001E-2</v>
      </c>
    </row>
    <row r="44" spans="1:8">
      <c r="A44" s="66" t="s">
        <v>396</v>
      </c>
      <c r="B44" s="66">
        <v>-26.140999999999998</v>
      </c>
      <c r="C44" s="66">
        <v>7.3896300000000004</v>
      </c>
      <c r="D44" s="66">
        <v>-0.28268399999999999</v>
      </c>
      <c r="E44" s="66">
        <v>0</v>
      </c>
      <c r="F44" s="66">
        <v>-34.170099999999998</v>
      </c>
      <c r="G44" s="66">
        <v>0</v>
      </c>
      <c r="H44" s="66">
        <v>-10.470800000000001</v>
      </c>
    </row>
    <row r="45" spans="1:8">
      <c r="A45" s="66" t="s">
        <v>397</v>
      </c>
      <c r="B45" s="66">
        <v>51.501300000000001</v>
      </c>
      <c r="C45" s="66">
        <v>7.89208</v>
      </c>
      <c r="D45" s="66">
        <v>0.15324099999999999</v>
      </c>
      <c r="E45" s="66">
        <v>0</v>
      </c>
      <c r="F45" s="66">
        <v>34.483800000000002</v>
      </c>
      <c r="G45" s="66">
        <v>0</v>
      </c>
      <c r="H45" s="66">
        <v>70.781099999999995</v>
      </c>
    </row>
    <row r="46" spans="1:8">
      <c r="A46" s="66" t="s">
        <v>398</v>
      </c>
      <c r="B46" s="66">
        <v>21.609500000000001</v>
      </c>
      <c r="C46" s="66">
        <v>7.2788599999999999</v>
      </c>
      <c r="D46" s="66">
        <v>0.33683600000000002</v>
      </c>
      <c r="E46" s="66">
        <v>0</v>
      </c>
      <c r="F46" s="66">
        <v>6.0165800000000003</v>
      </c>
      <c r="G46" s="66">
        <v>0</v>
      </c>
      <c r="H46" s="66">
        <v>29.8293</v>
      </c>
    </row>
    <row r="47" spans="1:8">
      <c r="A47" s="66" t="s">
        <v>399</v>
      </c>
      <c r="B47" s="66">
        <v>0.69506599999999996</v>
      </c>
      <c r="C47" s="66">
        <v>0.26903300000000002</v>
      </c>
      <c r="D47" s="66">
        <v>0.38706099999999999</v>
      </c>
      <c r="E47" s="66">
        <v>0</v>
      </c>
      <c r="F47" s="66">
        <v>0.27543400000000001</v>
      </c>
      <c r="G47" s="66">
        <v>0</v>
      </c>
      <c r="H47" s="66">
        <v>1.84405</v>
      </c>
    </row>
    <row r="48" spans="1:8">
      <c r="A48" s="66" t="s">
        <v>400</v>
      </c>
      <c r="B48" s="66">
        <v>0.74322500000000002</v>
      </c>
      <c r="C48" s="66">
        <v>0.16522700000000001</v>
      </c>
      <c r="D48" s="66">
        <v>0.22231200000000001</v>
      </c>
      <c r="E48" s="66">
        <v>0</v>
      </c>
      <c r="F48" s="66">
        <v>0.49048599999999998</v>
      </c>
      <c r="G48" s="66">
        <v>0</v>
      </c>
      <c r="H48" s="66">
        <v>1.1750100000000001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37.604100000000003</v>
      </c>
      <c r="C5" s="66">
        <v>1.64896</v>
      </c>
      <c r="D5" s="66">
        <v>4.3850499999999997</v>
      </c>
      <c r="E5" s="66">
        <v>20</v>
      </c>
      <c r="F5" s="66">
        <v>34.225499999999997</v>
      </c>
      <c r="G5" s="66">
        <v>50</v>
      </c>
      <c r="H5" s="66">
        <v>43.929699999999997</v>
      </c>
    </row>
    <row r="6" spans="1:8">
      <c r="A6" s="66" t="s">
        <v>358</v>
      </c>
      <c r="B6" s="66">
        <v>32.226599999999998</v>
      </c>
      <c r="C6" s="66">
        <v>0.71070299999999997</v>
      </c>
      <c r="D6" s="66">
        <v>2.20533</v>
      </c>
      <c r="E6" s="66">
        <v>20</v>
      </c>
      <c r="F6" s="66">
        <v>31.1435</v>
      </c>
      <c r="G6" s="66">
        <v>40</v>
      </c>
      <c r="H6" s="66">
        <v>35.235399999999998</v>
      </c>
    </row>
    <row r="7" spans="1:8">
      <c r="A7" s="66" t="s">
        <v>359</v>
      </c>
      <c r="B7" s="66">
        <v>29.874400000000001</v>
      </c>
      <c r="C7" s="66">
        <v>4.1254900000000001</v>
      </c>
      <c r="D7" s="66">
        <v>13.8094</v>
      </c>
      <c r="E7" s="66">
        <v>15</v>
      </c>
      <c r="F7" s="66">
        <v>20.051200000000001</v>
      </c>
      <c r="G7" s="66">
        <v>40</v>
      </c>
      <c r="H7" s="66">
        <v>40.365600000000001</v>
      </c>
    </row>
    <row r="8" spans="1:8">
      <c r="A8" s="66" t="s">
        <v>360</v>
      </c>
      <c r="B8" s="66">
        <v>33.501800000000003</v>
      </c>
      <c r="C8" s="66">
        <v>1.50441</v>
      </c>
      <c r="D8" s="66">
        <v>4.4905200000000001</v>
      </c>
      <c r="E8" s="66">
        <v>20</v>
      </c>
      <c r="F8" s="66">
        <v>29.67</v>
      </c>
      <c r="G8" s="66">
        <v>50</v>
      </c>
      <c r="H8" s="66">
        <v>35.229799999999997</v>
      </c>
    </row>
    <row r="9" spans="1:8">
      <c r="A9" s="66" t="s">
        <v>361</v>
      </c>
      <c r="B9" s="66">
        <v>69.623500000000007</v>
      </c>
      <c r="C9" s="66">
        <v>5.6069100000000001</v>
      </c>
      <c r="D9" s="66">
        <v>8.0531900000000007</v>
      </c>
      <c r="E9" s="66">
        <v>50</v>
      </c>
      <c r="F9" s="66">
        <v>54.478700000000003</v>
      </c>
      <c r="G9" s="66">
        <v>100</v>
      </c>
      <c r="H9" s="66">
        <v>79.499899999999997</v>
      </c>
    </row>
    <row r="10" spans="1:8">
      <c r="A10" s="66" t="s">
        <v>362</v>
      </c>
      <c r="B10" s="66">
        <v>67.227400000000003</v>
      </c>
      <c r="C10" s="66">
        <v>3.4339900000000001</v>
      </c>
      <c r="D10" s="66">
        <v>5.1080199999999998</v>
      </c>
      <c r="E10" s="66">
        <v>40</v>
      </c>
      <c r="F10" s="66">
        <v>60.560200000000002</v>
      </c>
      <c r="G10" s="66">
        <v>100</v>
      </c>
      <c r="H10" s="66">
        <v>73.403700000000001</v>
      </c>
    </row>
    <row r="11" spans="1:8">
      <c r="A11" s="66" t="s">
        <v>363</v>
      </c>
      <c r="B11" s="66">
        <v>21.500399999999999</v>
      </c>
      <c r="C11" s="66">
        <v>0.69289699999999999</v>
      </c>
      <c r="D11" s="66">
        <v>3.2227199999999998</v>
      </c>
      <c r="E11" s="66">
        <v>10</v>
      </c>
      <c r="F11" s="66">
        <v>19.724399999999999</v>
      </c>
      <c r="G11" s="66">
        <v>50</v>
      </c>
      <c r="H11" s="66">
        <v>23.238900000000001</v>
      </c>
    </row>
    <row r="12" spans="1:8">
      <c r="A12" s="66" t="s">
        <v>364</v>
      </c>
      <c r="B12" s="66">
        <v>68.650400000000005</v>
      </c>
      <c r="C12" s="66">
        <v>1.97932</v>
      </c>
      <c r="D12" s="66">
        <v>2.8831899999999999</v>
      </c>
      <c r="E12" s="66">
        <v>50</v>
      </c>
      <c r="F12" s="66">
        <v>63.633000000000003</v>
      </c>
      <c r="G12" s="66">
        <v>100</v>
      </c>
      <c r="H12" s="66">
        <v>72.259500000000003</v>
      </c>
    </row>
    <row r="13" spans="1:8">
      <c r="A13" s="66" t="s">
        <v>365</v>
      </c>
      <c r="B13" s="66">
        <v>15.9589</v>
      </c>
      <c r="C13" s="66">
        <v>1.70688</v>
      </c>
      <c r="D13" s="66">
        <v>10.695499999999999</v>
      </c>
      <c r="E13" s="66">
        <v>10</v>
      </c>
      <c r="F13" s="66">
        <v>12.8691</v>
      </c>
      <c r="G13" s="66">
        <v>25</v>
      </c>
      <c r="H13" s="66">
        <v>20.561800000000002</v>
      </c>
    </row>
    <row r="14" spans="1:8">
      <c r="A14" s="66" t="s">
        <v>366</v>
      </c>
      <c r="B14" s="66">
        <v>17.0688</v>
      </c>
      <c r="C14" s="66">
        <v>4.4377500000000003</v>
      </c>
      <c r="D14" s="66">
        <v>25.999199999999998</v>
      </c>
      <c r="E14" s="66">
        <v>10</v>
      </c>
      <c r="F14" s="66">
        <v>2.2619899999999999</v>
      </c>
      <c r="G14" s="66">
        <v>50</v>
      </c>
      <c r="H14" s="66">
        <v>19.868200000000002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0.65890199999999999</v>
      </c>
      <c r="C18" s="66">
        <v>4.5349899999999999E-2</v>
      </c>
      <c r="D18" s="66">
        <v>6.8826399999999996E-2</v>
      </c>
      <c r="E18" s="66">
        <v>0</v>
      </c>
      <c r="F18" s="66">
        <v>0.61355199999999999</v>
      </c>
      <c r="G18" s="66">
        <v>0</v>
      </c>
      <c r="H18" s="66">
        <v>0.70425199999999999</v>
      </c>
    </row>
    <row r="19" spans="1:8">
      <c r="A19" s="66" t="s">
        <v>371</v>
      </c>
      <c r="B19" s="66">
        <v>0.71526100000000004</v>
      </c>
      <c r="C19" s="66">
        <v>4.4542900000000003E-2</v>
      </c>
      <c r="D19" s="66">
        <v>6.2274999999999997E-2</v>
      </c>
      <c r="E19" s="66">
        <v>0</v>
      </c>
      <c r="F19" s="66">
        <v>0.67071800000000004</v>
      </c>
      <c r="G19" s="66">
        <v>0</v>
      </c>
      <c r="H19" s="66">
        <v>0.75980400000000003</v>
      </c>
    </row>
    <row r="20" spans="1:8">
      <c r="A20" s="66" t="s">
        <v>372</v>
      </c>
      <c r="B20" s="66">
        <v>1.9085900000000001E-4</v>
      </c>
      <c r="C20" s="66">
        <v>4.36105E-3</v>
      </c>
      <c r="D20" s="66">
        <v>22.849599999999999</v>
      </c>
      <c r="E20" s="66">
        <v>0</v>
      </c>
      <c r="F20" s="196">
        <v>1.48166E-5</v>
      </c>
      <c r="G20" s="66">
        <v>0</v>
      </c>
      <c r="H20" s="66">
        <v>4.8822600000000001E-2</v>
      </c>
    </row>
    <row r="21" spans="1:8">
      <c r="A21" s="66" t="s">
        <v>373</v>
      </c>
      <c r="B21" s="66">
        <v>3.3789399999999997E-2</v>
      </c>
      <c r="C21" s="66">
        <v>4.8357400000000002E-2</v>
      </c>
      <c r="D21" s="66">
        <v>1.4311400000000001</v>
      </c>
      <c r="E21" s="66">
        <v>0</v>
      </c>
      <c r="F21" s="66">
        <v>1.4773499999999999E-4</v>
      </c>
      <c r="G21" s="66">
        <v>0</v>
      </c>
      <c r="H21" s="66">
        <v>0.238097</v>
      </c>
    </row>
    <row r="22" spans="1:8">
      <c r="A22" s="66" t="s">
        <v>374</v>
      </c>
      <c r="B22" s="66">
        <v>19.202300000000001</v>
      </c>
      <c r="C22" s="66">
        <v>5.8624599999999996</v>
      </c>
      <c r="D22" s="66">
        <v>0.30529899999999999</v>
      </c>
      <c r="E22" s="66">
        <v>0</v>
      </c>
      <c r="F22" s="66">
        <v>8.3147800000000007</v>
      </c>
      <c r="G22" s="66">
        <v>0</v>
      </c>
      <c r="H22" s="66">
        <v>53.345100000000002</v>
      </c>
    </row>
    <row r="23" spans="1:8">
      <c r="A23" s="66" t="s">
        <v>375</v>
      </c>
      <c r="B23" s="66">
        <v>11.4472</v>
      </c>
      <c r="C23" s="66">
        <v>0.25599699999999997</v>
      </c>
      <c r="D23" s="66">
        <v>2.2363399999999999E-2</v>
      </c>
      <c r="E23" s="66">
        <v>0</v>
      </c>
      <c r="F23" s="66">
        <v>10.7075</v>
      </c>
      <c r="G23" s="66">
        <v>0</v>
      </c>
      <c r="H23" s="66">
        <v>11.9954</v>
      </c>
    </row>
    <row r="24" spans="1:8">
      <c r="A24" s="66" t="s">
        <v>401</v>
      </c>
      <c r="B24" s="66">
        <v>2.5333700000000002E-4</v>
      </c>
      <c r="C24" s="66">
        <v>2.4729999999999999E-3</v>
      </c>
      <c r="D24" s="66">
        <v>9.7616999999999994</v>
      </c>
      <c r="E24" s="66">
        <v>0</v>
      </c>
      <c r="F24" s="196">
        <v>8.1009300000000004E-5</v>
      </c>
      <c r="G24" s="66">
        <v>0</v>
      </c>
      <c r="H24" s="66">
        <v>1.3251799999999999E-2</v>
      </c>
    </row>
    <row r="25" spans="1:8">
      <c r="A25" s="66" t="s">
        <v>377</v>
      </c>
      <c r="B25" s="66">
        <v>4.7408899999999997E-2</v>
      </c>
      <c r="C25" s="66">
        <v>2.2681799999999998E-2</v>
      </c>
      <c r="D25" s="66">
        <v>0.47842800000000002</v>
      </c>
      <c r="E25" s="66">
        <v>0</v>
      </c>
      <c r="F25" s="66">
        <v>8.5487900000000006E-3</v>
      </c>
      <c r="G25" s="66">
        <v>0</v>
      </c>
      <c r="H25" s="66">
        <v>0.11991</v>
      </c>
    </row>
    <row r="26" spans="1:8">
      <c r="A26" s="66" t="s">
        <v>378</v>
      </c>
      <c r="B26" s="196">
        <v>6.2368700000000005E-5</v>
      </c>
      <c r="C26" s="66">
        <v>3.7951100000000002E-4</v>
      </c>
      <c r="D26" s="66">
        <v>6.0849599999999997</v>
      </c>
      <c r="E26" s="66">
        <v>0</v>
      </c>
      <c r="F26" s="196">
        <v>9.8476899999999999E-6</v>
      </c>
      <c r="G26" s="66">
        <v>0</v>
      </c>
      <c r="H26" s="66">
        <v>3.57143E-3</v>
      </c>
    </row>
    <row r="27" spans="1:8">
      <c r="A27" s="66" t="s">
        <v>379</v>
      </c>
      <c r="B27" s="196">
        <v>-3.2825599999999999E-6</v>
      </c>
      <c r="C27" s="66">
        <v>3.3349600000000002E-4</v>
      </c>
      <c r="D27" s="66">
        <v>-101.596</v>
      </c>
      <c r="E27" s="66">
        <v>0</v>
      </c>
      <c r="F27" s="66">
        <v>-2.69827E-3</v>
      </c>
      <c r="G27" s="66">
        <v>0</v>
      </c>
      <c r="H27" s="66">
        <v>2.9313299999999998E-3</v>
      </c>
    </row>
    <row r="28" spans="1:8">
      <c r="A28" s="66" t="s">
        <v>380</v>
      </c>
      <c r="B28" s="66">
        <v>1.0026E-2</v>
      </c>
      <c r="C28" s="66">
        <v>9.7464500000000003E-3</v>
      </c>
      <c r="D28" s="66">
        <v>0.97211400000000003</v>
      </c>
      <c r="E28" s="66">
        <v>0</v>
      </c>
      <c r="F28" s="196">
        <v>5.2083300000000003E-5</v>
      </c>
      <c r="G28" s="66">
        <v>0</v>
      </c>
      <c r="H28" s="66">
        <v>4.52865E-2</v>
      </c>
    </row>
    <row r="29" spans="1:8">
      <c r="A29" s="66" t="s">
        <v>381</v>
      </c>
      <c r="B29" s="66">
        <v>60.451599999999999</v>
      </c>
      <c r="C29" s="66">
        <v>10.7601</v>
      </c>
      <c r="D29" s="66">
        <v>0.17799599999999999</v>
      </c>
      <c r="E29" s="66">
        <v>0</v>
      </c>
      <c r="F29" s="66">
        <v>37.179200000000002</v>
      </c>
      <c r="G29" s="66">
        <v>0</v>
      </c>
      <c r="H29" s="66">
        <v>88.680099999999996</v>
      </c>
    </row>
    <row r="30" spans="1:8">
      <c r="A30" s="66" t="s">
        <v>382</v>
      </c>
      <c r="B30" s="66">
        <v>30.378900000000002</v>
      </c>
      <c r="C30" s="66">
        <v>1.0902799999999999</v>
      </c>
      <c r="D30" s="66">
        <v>3.5889400000000002E-2</v>
      </c>
      <c r="E30" s="66">
        <v>0</v>
      </c>
      <c r="F30" s="66">
        <v>26.7546</v>
      </c>
      <c r="G30" s="66">
        <v>0</v>
      </c>
      <c r="H30" s="66">
        <v>32.127600000000001</v>
      </c>
    </row>
    <row r="31" spans="1:8">
      <c r="A31" s="66" t="s">
        <v>383</v>
      </c>
      <c r="B31" s="66">
        <v>72.323499999999996</v>
      </c>
      <c r="C31" s="66">
        <v>8.3128499999999992</v>
      </c>
      <c r="D31" s="66">
        <v>0.11494</v>
      </c>
      <c r="E31" s="66">
        <v>0</v>
      </c>
      <c r="F31" s="66">
        <v>61.480600000000003</v>
      </c>
      <c r="G31" s="66">
        <v>0</v>
      </c>
      <c r="H31" s="66">
        <v>96.900599999999997</v>
      </c>
    </row>
    <row r="32" spans="1:8">
      <c r="A32" s="66" t="s">
        <v>384</v>
      </c>
      <c r="B32" s="66">
        <v>0.29874400000000001</v>
      </c>
      <c r="C32" s="66">
        <v>4.1254899999999997E-2</v>
      </c>
      <c r="D32" s="66">
        <v>0.13809399999999999</v>
      </c>
      <c r="E32" s="66">
        <v>0.15</v>
      </c>
      <c r="F32" s="66">
        <v>0.200512</v>
      </c>
      <c r="G32" s="66">
        <v>0.4</v>
      </c>
      <c r="H32" s="66">
        <v>0.40365600000000001</v>
      </c>
    </row>
    <row r="33" spans="1:8">
      <c r="A33" s="66" t="s">
        <v>385</v>
      </c>
      <c r="B33" s="66">
        <v>0.35928199999999999</v>
      </c>
      <c r="C33" s="66">
        <v>1.34726E-2</v>
      </c>
      <c r="D33" s="66">
        <v>3.7498799999999999E-2</v>
      </c>
      <c r="E33" s="66">
        <v>0</v>
      </c>
      <c r="F33" s="66">
        <v>0.330235</v>
      </c>
      <c r="G33" s="66">
        <v>0</v>
      </c>
      <c r="H33" s="66">
        <v>0.39162400000000003</v>
      </c>
    </row>
    <row r="34" spans="1:8">
      <c r="A34" s="66" t="s">
        <v>386</v>
      </c>
      <c r="B34" s="66">
        <v>0.15958900000000001</v>
      </c>
      <c r="C34" s="66">
        <v>1.7068799999999999E-2</v>
      </c>
      <c r="D34" s="66">
        <v>0.10695499999999999</v>
      </c>
      <c r="E34" s="66">
        <v>0.1</v>
      </c>
      <c r="F34" s="66">
        <v>0.128691</v>
      </c>
      <c r="G34" s="66">
        <v>0.25</v>
      </c>
      <c r="H34" s="66">
        <v>0.205618</v>
      </c>
    </row>
    <row r="35" spans="1:8">
      <c r="A35" s="66" t="s">
        <v>387</v>
      </c>
      <c r="B35" s="66">
        <v>6.3250299999999995E-2</v>
      </c>
      <c r="C35" s="66">
        <v>1.45685E-2</v>
      </c>
      <c r="D35" s="66">
        <v>0.23033000000000001</v>
      </c>
      <c r="E35" s="66">
        <v>0</v>
      </c>
      <c r="F35" s="66">
        <v>2.4257500000000001E-2</v>
      </c>
      <c r="G35" s="66">
        <v>0</v>
      </c>
      <c r="H35" s="66">
        <v>0.111474</v>
      </c>
    </row>
    <row r="36" spans="1:8">
      <c r="A36" s="66" t="s">
        <v>388</v>
      </c>
      <c r="B36" s="66">
        <v>0.153612</v>
      </c>
      <c r="C36" s="66">
        <v>7.0663400000000001E-2</v>
      </c>
      <c r="D36" s="66">
        <v>0.46001199999999998</v>
      </c>
      <c r="E36" s="66">
        <v>0</v>
      </c>
      <c r="F36" s="66">
        <v>4.5451499999999999E-2</v>
      </c>
      <c r="G36" s="66">
        <v>0</v>
      </c>
      <c r="H36" s="66">
        <v>0.42297699999999999</v>
      </c>
    </row>
    <row r="37" spans="1:8">
      <c r="A37" s="66" t="s">
        <v>389</v>
      </c>
      <c r="B37" s="66">
        <v>0.17068800000000001</v>
      </c>
      <c r="C37" s="66">
        <v>4.43775E-2</v>
      </c>
      <c r="D37" s="66">
        <v>0.259992</v>
      </c>
      <c r="E37" s="66">
        <v>0.1</v>
      </c>
      <c r="F37" s="66">
        <v>2.2619899999999998E-2</v>
      </c>
      <c r="G37" s="66">
        <v>0.5</v>
      </c>
      <c r="H37" s="66">
        <v>0.198682</v>
      </c>
    </row>
    <row r="38" spans="1:8">
      <c r="A38" s="66" t="s">
        <v>390</v>
      </c>
      <c r="B38" s="66">
        <v>-0.71384099999999995</v>
      </c>
      <c r="C38" s="66">
        <v>35.880000000000003</v>
      </c>
      <c r="D38" s="66">
        <v>-50.263399999999997</v>
      </c>
      <c r="E38" s="66">
        <v>0</v>
      </c>
      <c r="F38" s="66">
        <v>-144.15100000000001</v>
      </c>
      <c r="G38" s="66">
        <v>0</v>
      </c>
      <c r="H38" s="66">
        <v>223.999</v>
      </c>
    </row>
    <row r="39" spans="1:8">
      <c r="A39" s="66" t="s">
        <v>391</v>
      </c>
      <c r="B39" s="66">
        <v>-1.1732100000000001</v>
      </c>
      <c r="C39" s="66">
        <v>2.21888</v>
      </c>
      <c r="D39" s="66">
        <v>-1.8912899999999999</v>
      </c>
      <c r="E39" s="66">
        <v>0</v>
      </c>
      <c r="F39" s="66">
        <v>-8.1771799999999999</v>
      </c>
      <c r="G39" s="66">
        <v>0</v>
      </c>
      <c r="H39" s="66">
        <v>6.0596300000000003</v>
      </c>
    </row>
    <row r="40" spans="1:8">
      <c r="A40" s="66" t="s">
        <v>392</v>
      </c>
      <c r="B40" s="66">
        <v>-0.556786</v>
      </c>
      <c r="C40" s="66">
        <v>0.34772900000000001</v>
      </c>
      <c r="D40" s="66">
        <v>-0.62452799999999997</v>
      </c>
      <c r="E40" s="66">
        <v>0</v>
      </c>
      <c r="F40" s="66">
        <v>-0.86436400000000002</v>
      </c>
      <c r="G40" s="66">
        <v>0</v>
      </c>
      <c r="H40" s="66">
        <v>0.47633700000000001</v>
      </c>
    </row>
    <row r="41" spans="1:8">
      <c r="A41" s="66" t="s">
        <v>393</v>
      </c>
      <c r="B41" s="66">
        <v>-6.6727900000000007E-2</v>
      </c>
      <c r="C41" s="66">
        <v>0.40155099999999999</v>
      </c>
      <c r="D41" s="66">
        <v>-6.0177399999999999</v>
      </c>
      <c r="E41" s="66">
        <v>0</v>
      </c>
      <c r="F41" s="66">
        <v>-0.84615399999999996</v>
      </c>
      <c r="G41" s="66">
        <v>0</v>
      </c>
      <c r="H41" s="66">
        <v>1</v>
      </c>
    </row>
    <row r="42" spans="1:8">
      <c r="A42" s="66" t="s">
        <v>394</v>
      </c>
      <c r="B42" s="66">
        <v>-2.7626499999999998E-2</v>
      </c>
      <c r="C42" s="66">
        <v>0.10638599999999999</v>
      </c>
      <c r="D42" s="66">
        <v>-3.85087</v>
      </c>
      <c r="E42" s="66">
        <v>0</v>
      </c>
      <c r="F42" s="66">
        <v>-0.36829800000000001</v>
      </c>
      <c r="G42" s="66">
        <v>0</v>
      </c>
      <c r="H42" s="66">
        <v>0.234375</v>
      </c>
    </row>
    <row r="43" spans="1:8">
      <c r="A43" s="66" t="s">
        <v>395</v>
      </c>
      <c r="B43" s="66">
        <v>2.31915E-2</v>
      </c>
      <c r="C43" s="66">
        <v>3.5259600000000002E-2</v>
      </c>
      <c r="D43" s="66">
        <v>1.52037</v>
      </c>
      <c r="E43" s="66">
        <v>0</v>
      </c>
      <c r="F43" s="66">
        <v>-1.86879E-2</v>
      </c>
      <c r="G43" s="66">
        <v>0</v>
      </c>
      <c r="H43" s="66">
        <v>0.10678700000000001</v>
      </c>
    </row>
    <row r="44" spans="1:8">
      <c r="A44" s="66" t="s">
        <v>396</v>
      </c>
      <c r="B44" s="66">
        <v>-8.3691700000000004</v>
      </c>
      <c r="C44" s="66">
        <v>3.6985299999999999</v>
      </c>
      <c r="D44" s="66">
        <v>-0.44192300000000001</v>
      </c>
      <c r="E44" s="66">
        <v>0</v>
      </c>
      <c r="F44" s="66">
        <v>-18.4084</v>
      </c>
      <c r="G44" s="66">
        <v>0</v>
      </c>
      <c r="H44" s="66">
        <v>-1.2092799999999999</v>
      </c>
    </row>
    <row r="45" spans="1:8">
      <c r="A45" s="66" t="s">
        <v>397</v>
      </c>
      <c r="B45" s="66">
        <v>51.450200000000002</v>
      </c>
      <c r="C45" s="66">
        <v>9.2488299999999999</v>
      </c>
      <c r="D45" s="66">
        <v>0.17976300000000001</v>
      </c>
      <c r="E45" s="66">
        <v>0</v>
      </c>
      <c r="F45" s="66">
        <v>30.942599999999999</v>
      </c>
      <c r="G45" s="66">
        <v>0</v>
      </c>
      <c r="H45" s="66">
        <v>75.861000000000004</v>
      </c>
    </row>
    <row r="46" spans="1:8">
      <c r="A46" s="66" t="s">
        <v>398</v>
      </c>
      <c r="B46" s="66">
        <v>30.7958</v>
      </c>
      <c r="C46" s="66">
        <v>1.60344</v>
      </c>
      <c r="D46" s="66">
        <v>5.2066800000000003E-2</v>
      </c>
      <c r="E46" s="66">
        <v>0</v>
      </c>
      <c r="F46" s="66">
        <v>26.543700000000001</v>
      </c>
      <c r="G46" s="66">
        <v>0</v>
      </c>
      <c r="H46" s="66">
        <v>33.005000000000003</v>
      </c>
    </row>
    <row r="47" spans="1:8">
      <c r="A47" s="66" t="s">
        <v>399</v>
      </c>
      <c r="B47" s="66">
        <v>0.69598300000000002</v>
      </c>
      <c r="C47" s="66">
        <v>0.25151800000000002</v>
      </c>
      <c r="D47" s="66">
        <v>0.36138500000000001</v>
      </c>
      <c r="E47" s="66">
        <v>0</v>
      </c>
      <c r="F47" s="66">
        <v>0.123734</v>
      </c>
      <c r="G47" s="66">
        <v>0</v>
      </c>
      <c r="H47" s="66">
        <v>1.36964</v>
      </c>
    </row>
    <row r="48" spans="1:8">
      <c r="A48" s="66" t="s">
        <v>400</v>
      </c>
      <c r="B48" s="66">
        <v>1.12893</v>
      </c>
      <c r="C48" s="66">
        <v>7.2373400000000004E-2</v>
      </c>
      <c r="D48" s="66">
        <v>6.4108100000000001E-2</v>
      </c>
      <c r="E48" s="66">
        <v>0</v>
      </c>
      <c r="F48" s="66">
        <v>0.98521400000000003</v>
      </c>
      <c r="G48" s="66">
        <v>0</v>
      </c>
      <c r="H48" s="66">
        <v>1.31002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73.710649672841726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1.4357360343276111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0.53269584857350183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4005</v>
      </c>
      <c r="B8" s="66">
        <v>4005</v>
      </c>
      <c r="D8">
        <f t="shared" si="0"/>
        <v>2.0143646075384013E-2</v>
      </c>
      <c r="E8">
        <f t="shared" si="0"/>
        <v>2.0143646075384013E-2</v>
      </c>
      <c r="G8">
        <f t="shared" ca="1" si="1"/>
        <v>6</v>
      </c>
      <c r="H8">
        <f t="shared" ca="1" si="2"/>
        <v>0.12086187645230408</v>
      </c>
      <c r="I8">
        <f t="shared" ca="1" si="3"/>
        <v>92.353220352218543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6617</v>
      </c>
      <c r="B10" s="66">
        <v>6617</v>
      </c>
      <c r="D10">
        <f t="shared" si="0"/>
        <v>3.3281025238655684E-2</v>
      </c>
      <c r="E10">
        <f t="shared" si="0"/>
        <v>3.3281025238655684E-2</v>
      </c>
      <c r="G10">
        <f t="shared" ca="1" si="1"/>
        <v>8</v>
      </c>
      <c r="H10">
        <f t="shared" ca="1" si="2"/>
        <v>0.26624820190924547</v>
      </c>
      <c r="I10">
        <f t="shared" ca="1" si="3"/>
        <v>143.7037887758147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10752</v>
      </c>
      <c r="B13" s="66">
        <v>10752</v>
      </c>
      <c r="D13">
        <f t="shared" si="0"/>
        <v>5.4078522497510335E-2</v>
      </c>
      <c r="E13">
        <f t="shared" si="0"/>
        <v>5.4078522497510335E-2</v>
      </c>
      <c r="G13">
        <f t="shared" ca="1" si="1"/>
        <v>11</v>
      </c>
      <c r="H13">
        <f t="shared" ca="1" si="2"/>
        <v>0.59486374747261372</v>
      </c>
      <c r="I13">
        <f t="shared" ca="1" si="3"/>
        <v>212.67058103155603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19941</v>
      </c>
      <c r="B15" s="66">
        <v>19941</v>
      </c>
      <c r="D15">
        <f t="shared" si="0"/>
        <v>0.10029574191990825</v>
      </c>
      <c r="E15">
        <f t="shared" si="0"/>
        <v>0.10029574191990825</v>
      </c>
      <c r="G15">
        <f t="shared" ca="1" si="1"/>
        <v>13</v>
      </c>
      <c r="H15">
        <f t="shared" ca="1" si="2"/>
        <v>1.3038446449588073</v>
      </c>
      <c r="I15">
        <f t="shared" ca="1" si="3"/>
        <v>369.66833890581586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32262</v>
      </c>
      <c r="B18" s="66">
        <v>32262</v>
      </c>
      <c r="D18">
        <f t="shared" si="0"/>
        <v>0.16226574523946041</v>
      </c>
      <c r="E18">
        <f t="shared" si="0"/>
        <v>0.16226574523946041</v>
      </c>
      <c r="G18">
        <f t="shared" ca="1" si="1"/>
        <v>16</v>
      </c>
      <c r="H18">
        <f t="shared" ca="1" si="2"/>
        <v>2.5962519238313666</v>
      </c>
      <c r="I18">
        <f t="shared" ca="1" si="3"/>
        <v>540.4291614691042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38668</v>
      </c>
      <c r="B21" s="66">
        <v>38668</v>
      </c>
      <c r="D21">
        <f t="shared" si="0"/>
        <v>0.19448551971109837</v>
      </c>
      <c r="E21">
        <f t="shared" si="0"/>
        <v>0.19448551971109837</v>
      </c>
      <c r="G21">
        <f t="shared" ca="1" si="1"/>
        <v>19</v>
      </c>
      <c r="H21">
        <f t="shared" ca="1" si="2"/>
        <v>3.6952248745108691</v>
      </c>
      <c r="I21">
        <f t="shared" ca="1" si="3"/>
        <v>582.14479079307591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50526</v>
      </c>
      <c r="B23" s="66">
        <v>50526</v>
      </c>
      <c r="D23">
        <f t="shared" si="0"/>
        <v>0.25412680689259742</v>
      </c>
      <c r="E23">
        <f t="shared" si="0"/>
        <v>0.25412680689259742</v>
      </c>
      <c r="G23">
        <f t="shared" ca="1" si="1"/>
        <v>21</v>
      </c>
      <c r="H23">
        <f t="shared" ca="1" si="2"/>
        <v>5.3366629447445462</v>
      </c>
      <c r="I23">
        <f t="shared" ca="1" si="3"/>
        <v>706.06911945575075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56473</v>
      </c>
      <c r="B26" s="66">
        <v>56473</v>
      </c>
      <c r="D26">
        <f t="shared" si="0"/>
        <v>0.28403798372413513</v>
      </c>
      <c r="E26">
        <f t="shared" si="0"/>
        <v>0.28403798372413513</v>
      </c>
      <c r="G26">
        <f t="shared" ca="1" si="1"/>
        <v>24</v>
      </c>
      <c r="H26">
        <f t="shared" ca="1" si="2"/>
        <v>6.8169116093792432</v>
      </c>
      <c r="I26">
        <f t="shared" ca="1" si="3"/>
        <v>701.90009164463561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66183</v>
      </c>
      <c r="B28" s="66">
        <v>66183</v>
      </c>
      <c r="D28">
        <f t="shared" si="0"/>
        <v>0.3328756375049039</v>
      </c>
      <c r="E28">
        <f t="shared" si="0"/>
        <v>0.3328756375049039</v>
      </c>
      <c r="G28">
        <f t="shared" ca="1" si="1"/>
        <v>26</v>
      </c>
      <c r="H28">
        <f t="shared" ca="1" si="2"/>
        <v>8.6547665751275016</v>
      </c>
      <c r="I28">
        <f t="shared" ca="1" si="3"/>
        <v>757.72684159891355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66356</v>
      </c>
      <c r="B31" s="66">
        <v>66356</v>
      </c>
      <c r="D31">
        <f t="shared" si="0"/>
        <v>0.33374576254136867</v>
      </c>
      <c r="E31">
        <f t="shared" si="0"/>
        <v>0.33374576254136867</v>
      </c>
      <c r="G31">
        <f t="shared" ca="1" si="1"/>
        <v>29</v>
      </c>
      <c r="H31">
        <f t="shared" ca="1" si="2"/>
        <v>9.678627113699692</v>
      </c>
      <c r="I31">
        <f t="shared" ca="1" si="3"/>
        <v>667.17186144483048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79153</v>
      </c>
      <c r="B33" s="66">
        <v>79153</v>
      </c>
      <c r="D33">
        <f t="shared" si="0"/>
        <v>0.39810986711732105</v>
      </c>
      <c r="E33">
        <f t="shared" si="0"/>
        <v>0.39810986711732105</v>
      </c>
      <c r="G33">
        <f t="shared" ca="1" si="1"/>
        <v>31</v>
      </c>
      <c r="H33">
        <f t="shared" ca="1" si="2"/>
        <v>12.341405880636952</v>
      </c>
      <c r="I33">
        <f t="shared" ca="1" si="3"/>
        <v>726.23185855050679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78624</v>
      </c>
      <c r="B36" s="66">
        <v>78624</v>
      </c>
      <c r="D36">
        <f t="shared" si="0"/>
        <v>0.39544919576304433</v>
      </c>
      <c r="E36">
        <f t="shared" si="0"/>
        <v>0.39544919576304433</v>
      </c>
      <c r="G36">
        <f t="shared" ca="1" si="1"/>
        <v>34</v>
      </c>
      <c r="H36">
        <f t="shared" ca="1" si="2"/>
        <v>13.445272655943507</v>
      </c>
      <c r="I36">
        <f t="shared" ca="1" si="3"/>
        <v>623.59795332235308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105135</v>
      </c>
      <c r="B39" s="66">
        <v>105135</v>
      </c>
      <c r="D39">
        <f t="shared" si="0"/>
        <v>0.52878957057066123</v>
      </c>
      <c r="E39">
        <f t="shared" si="0"/>
        <v>0.52878957057066123</v>
      </c>
      <c r="G39">
        <f t="shared" ca="1" si="1"/>
        <v>37</v>
      </c>
      <c r="H39">
        <f t="shared" ca="1" si="2"/>
        <v>19.565214111114464</v>
      </c>
      <c r="I39">
        <f t="shared" ca="1" si="3"/>
        <v>712.63479207603439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103649</v>
      </c>
      <c r="B41" s="66">
        <v>103649</v>
      </c>
      <c r="D41">
        <f t="shared" si="0"/>
        <v>0.52131554858114293</v>
      </c>
      <c r="E41">
        <f t="shared" si="0"/>
        <v>0.52131554858114293</v>
      </c>
      <c r="G41">
        <f t="shared" ca="1" si="1"/>
        <v>39</v>
      </c>
      <c r="H41">
        <f t="shared" ca="1" si="2"/>
        <v>20.331306394664573</v>
      </c>
      <c r="I41">
        <f t="shared" ca="1" si="3"/>
        <v>628.09619571510325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118044</v>
      </c>
      <c r="B44" s="66">
        <v>118044</v>
      </c>
      <c r="D44">
        <f t="shared" si="0"/>
        <v>0.59371699308929593</v>
      </c>
      <c r="E44">
        <f t="shared" si="0"/>
        <v>0.59371699308929593</v>
      </c>
      <c r="G44">
        <f t="shared" ca="1" si="1"/>
        <v>42</v>
      </c>
      <c r="H44">
        <f t="shared" ca="1" si="2"/>
        <v>24.93611370975043</v>
      </c>
      <c r="I44">
        <f t="shared" ca="1" si="3"/>
        <v>597.02120785835518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126405</v>
      </c>
      <c r="B46" s="66">
        <v>126405</v>
      </c>
      <c r="D46">
        <f t="shared" si="0"/>
        <v>0.63576968343543472</v>
      </c>
      <c r="E46">
        <f t="shared" si="0"/>
        <v>0.63576968343543472</v>
      </c>
      <c r="G46">
        <f t="shared" ca="1" si="1"/>
        <v>44</v>
      </c>
      <c r="H46">
        <f t="shared" ca="1" si="2"/>
        <v>27.973866071159129</v>
      </c>
      <c r="I46">
        <f t="shared" ca="1" si="3"/>
        <v>561.20833407211694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136011</v>
      </c>
      <c r="B49" s="66">
        <v>136011</v>
      </c>
      <c r="D49">
        <f t="shared" si="0"/>
        <v>0.68408425626942693</v>
      </c>
      <c r="E49">
        <f t="shared" si="0"/>
        <v>0.68408425626942693</v>
      </c>
      <c r="G49">
        <f t="shared" ca="1" si="1"/>
        <v>47</v>
      </c>
      <c r="H49">
        <f t="shared" ca="1" si="2"/>
        <v>32.151960044663063</v>
      </c>
      <c r="I49">
        <f t="shared" ca="1" si="3"/>
        <v>488.06593664395012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137716</v>
      </c>
      <c r="B51" s="66">
        <v>137716</v>
      </c>
      <c r="D51">
        <f t="shared" si="0"/>
        <v>0.69265976602186885</v>
      </c>
      <c r="E51">
        <f t="shared" si="0"/>
        <v>0.69265976602186885</v>
      </c>
      <c r="G51">
        <f t="shared" ca="1" si="1"/>
        <v>49</v>
      </c>
      <c r="H51">
        <f t="shared" ca="1" si="2"/>
        <v>33.940328535071572</v>
      </c>
      <c r="I51">
        <f t="shared" ca="1" si="3"/>
        <v>422.94927924565627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135109</v>
      </c>
      <c r="B54" s="66">
        <v>135109</v>
      </c>
      <c r="D54">
        <f t="shared" si="0"/>
        <v>0.67954753498103837</v>
      </c>
      <c r="E54">
        <f t="shared" si="0"/>
        <v>0.67954753498103837</v>
      </c>
      <c r="G54">
        <f t="shared" ca="1" si="1"/>
        <v>52</v>
      </c>
      <c r="H54">
        <f t="shared" ca="1" si="2"/>
        <v>35.336471819013994</v>
      </c>
      <c r="I54">
        <f t="shared" ca="1" si="3"/>
        <v>320.30629983593911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147387</v>
      </c>
      <c r="B57" s="66">
        <v>147387</v>
      </c>
      <c r="D57">
        <f t="shared" si="0"/>
        <v>0.74130126444759636</v>
      </c>
      <c r="E57">
        <f t="shared" si="0"/>
        <v>0.74130126444759636</v>
      </c>
      <c r="G57">
        <f t="shared" ca="1" si="1"/>
        <v>55</v>
      </c>
      <c r="H57">
        <f t="shared" ca="1" si="2"/>
        <v>40.771569544617797</v>
      </c>
      <c r="I57">
        <f t="shared" ca="1" si="3"/>
        <v>259.5209818760448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139543</v>
      </c>
      <c r="B59" s="66">
        <v>139543</v>
      </c>
      <c r="D59">
        <f t="shared" si="0"/>
        <v>0.70184888996187544</v>
      </c>
      <c r="E59">
        <f t="shared" si="0"/>
        <v>0.70184888996187544</v>
      </c>
      <c r="G59">
        <f t="shared" ca="1" si="1"/>
        <v>57</v>
      </c>
      <c r="H59">
        <f t="shared" ca="1" si="2"/>
        <v>40.005386727826902</v>
      </c>
      <c r="I59">
        <f t="shared" ca="1" si="3"/>
        <v>195.98836352151733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141836</v>
      </c>
      <c r="B62" s="66">
        <v>141836</v>
      </c>
      <c r="D62">
        <f t="shared" si="0"/>
        <v>0.71338181891339991</v>
      </c>
      <c r="E62">
        <f t="shared" si="0"/>
        <v>0.71338181891339991</v>
      </c>
      <c r="G62">
        <f t="shared" ca="1" si="1"/>
        <v>60</v>
      </c>
      <c r="H62">
        <f t="shared" ca="1" si="2"/>
        <v>42.802909134803997</v>
      </c>
      <c r="I62">
        <f t="shared" ca="1" si="3"/>
        <v>134.10288005415924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145287</v>
      </c>
      <c r="B64" s="66">
        <v>145287</v>
      </c>
      <c r="D64">
        <f t="shared" si="0"/>
        <v>0.73073905302230135</v>
      </c>
      <c r="E64">
        <f t="shared" si="0"/>
        <v>0.73073905302230135</v>
      </c>
      <c r="G64">
        <f t="shared" ca="1" si="1"/>
        <v>62</v>
      </c>
      <c r="H64">
        <f t="shared" ca="1" si="2"/>
        <v>45.305821287382685</v>
      </c>
      <c r="I64">
        <f t="shared" ca="1" si="3"/>
        <v>100.21305373060923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147010</v>
      </c>
      <c r="B67" s="66">
        <v>147010</v>
      </c>
      <c r="D67">
        <f t="shared" ref="D67:E130" si="4">IFERROR( A67/MAX(A$2:A$257), 0 )</f>
        <v>0.7394050960155315</v>
      </c>
      <c r="E67">
        <f t="shared" si="4"/>
        <v>0.7394050960155315</v>
      </c>
      <c r="G67">
        <f t="shared" ref="G67:G130" ca="1" si="5">CELL("row",D67)-2</f>
        <v>65</v>
      </c>
      <c r="H67">
        <f t="shared" ref="H67:H130" ca="1" si="6">D67*G67</f>
        <v>48.061331241009547</v>
      </c>
      <c r="I67">
        <f t="shared" ref="I67:I130" ca="1" si="7">D67*((G67-$L$1)^2)</f>
        <v>56.102670526676853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141018</v>
      </c>
      <c r="B69" s="66">
        <v>141018</v>
      </c>
      <c r="D69">
        <f t="shared" si="4"/>
        <v>0.70926758608202312</v>
      </c>
      <c r="E69">
        <f t="shared" si="4"/>
        <v>0.70926758608202312</v>
      </c>
      <c r="G69">
        <f t="shared" ca="1" si="5"/>
        <v>67</v>
      </c>
      <c r="H69">
        <f t="shared" ca="1" si="6"/>
        <v>47.520928267495549</v>
      </c>
      <c r="I69">
        <f t="shared" ca="1" si="7"/>
        <v>31.94031884901915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154275</v>
      </c>
      <c r="B72" s="66">
        <v>154275</v>
      </c>
      <c r="D72">
        <f t="shared" si="4"/>
        <v>0.77594531792256394</v>
      </c>
      <c r="E72">
        <f t="shared" si="4"/>
        <v>0.77594531792256394</v>
      </c>
      <c r="G72">
        <f t="shared" ca="1" si="5"/>
        <v>70</v>
      </c>
      <c r="H72">
        <f t="shared" ca="1" si="6"/>
        <v>54.316172254579477</v>
      </c>
      <c r="I72">
        <f t="shared" ca="1" si="7"/>
        <v>10.683929778574839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153113</v>
      </c>
      <c r="B75" s="66">
        <v>153113</v>
      </c>
      <c r="D75">
        <f t="shared" si="4"/>
        <v>0.77010089426723405</v>
      </c>
      <c r="E75">
        <f t="shared" si="4"/>
        <v>0.77010089426723405</v>
      </c>
      <c r="G75">
        <f t="shared" ca="1" si="5"/>
        <v>73</v>
      </c>
      <c r="H75">
        <f t="shared" ca="1" si="6"/>
        <v>56.217365281508087</v>
      </c>
      <c r="I75">
        <f t="shared" ca="1" si="7"/>
        <v>0.38891863120397402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160159</v>
      </c>
      <c r="B77" s="66">
        <v>160159</v>
      </c>
      <c r="D77">
        <f t="shared" si="4"/>
        <v>0.80553962841134286</v>
      </c>
      <c r="E77">
        <f t="shared" si="4"/>
        <v>0.80553962841134286</v>
      </c>
      <c r="G77">
        <f t="shared" ca="1" si="5"/>
        <v>75</v>
      </c>
      <c r="H77">
        <f t="shared" ca="1" si="6"/>
        <v>60.415472130850716</v>
      </c>
      <c r="I77">
        <f t="shared" ca="1" si="7"/>
        <v>1.3391486256109519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166488</v>
      </c>
      <c r="B80" s="66">
        <v>166488</v>
      </c>
      <c r="D80">
        <f t="shared" si="4"/>
        <v>0.83737212179738663</v>
      </c>
      <c r="E80">
        <f t="shared" si="4"/>
        <v>0.83737212179738663</v>
      </c>
      <c r="G80">
        <f t="shared" ca="1" si="5"/>
        <v>78</v>
      </c>
      <c r="H80">
        <f t="shared" ca="1" si="6"/>
        <v>65.315025500196157</v>
      </c>
      <c r="I80">
        <f t="shared" ca="1" si="7"/>
        <v>15.406412946400303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170414</v>
      </c>
      <c r="B82" s="66">
        <v>170414</v>
      </c>
      <c r="D82">
        <f t="shared" si="4"/>
        <v>0.8571184275382</v>
      </c>
      <c r="E82">
        <f t="shared" si="4"/>
        <v>0.8571184275382</v>
      </c>
      <c r="G82">
        <f t="shared" ca="1" si="5"/>
        <v>80</v>
      </c>
      <c r="H82">
        <f t="shared" ca="1" si="6"/>
        <v>68.569474203056004</v>
      </c>
      <c r="I82">
        <f t="shared" ca="1" si="7"/>
        <v>33.904114410950598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179025</v>
      </c>
      <c r="B85" s="66">
        <v>179025</v>
      </c>
      <c r="D85">
        <f t="shared" si="4"/>
        <v>0.90042852400639772</v>
      </c>
      <c r="E85">
        <f t="shared" si="4"/>
        <v>0.90042852400639772</v>
      </c>
      <c r="G85">
        <f t="shared" ca="1" si="5"/>
        <v>83</v>
      </c>
      <c r="H85">
        <f t="shared" ca="1" si="6"/>
        <v>74.735567492531004</v>
      </c>
      <c r="I85">
        <f t="shared" ca="1" si="7"/>
        <v>77.699804756809812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173378</v>
      </c>
      <c r="B88" s="66">
        <v>173378</v>
      </c>
      <c r="D88">
        <f t="shared" si="4"/>
        <v>0.87202623452133066</v>
      </c>
      <c r="E88">
        <f t="shared" si="4"/>
        <v>0.87202623452133066</v>
      </c>
      <c r="G88">
        <f t="shared" ca="1" si="5"/>
        <v>86</v>
      </c>
      <c r="H88">
        <f t="shared" ca="1" si="6"/>
        <v>74.99425616883444</v>
      </c>
      <c r="I88">
        <f t="shared" ca="1" si="7"/>
        <v>131.70049278701757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185503</v>
      </c>
      <c r="B90" s="66">
        <v>185503</v>
      </c>
      <c r="D90">
        <f t="shared" si="4"/>
        <v>0.93301043144118856</v>
      </c>
      <c r="E90">
        <f t="shared" si="4"/>
        <v>0.93301043144118856</v>
      </c>
      <c r="G90">
        <f t="shared" ca="1" si="5"/>
        <v>88</v>
      </c>
      <c r="H90">
        <f t="shared" ca="1" si="6"/>
        <v>82.104917966824587</v>
      </c>
      <c r="I90">
        <f t="shared" ca="1" si="7"/>
        <v>190.50723202589364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198822</v>
      </c>
      <c r="B93" s="66">
        <v>198822</v>
      </c>
      <c r="D93">
        <f t="shared" si="4"/>
        <v>1</v>
      </c>
      <c r="E93">
        <f t="shared" si="4"/>
        <v>1</v>
      </c>
      <c r="G93">
        <f t="shared" ca="1" si="5"/>
        <v>91</v>
      </c>
      <c r="H93">
        <f t="shared" ca="1" si="6"/>
        <v>91</v>
      </c>
      <c r="I93">
        <f t="shared" ca="1" si="7"/>
        <v>298.92163473520793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188710</v>
      </c>
      <c r="B95" s="66">
        <v>188710</v>
      </c>
      <c r="D95">
        <f t="shared" si="4"/>
        <v>0.94914043717496055</v>
      </c>
      <c r="E95">
        <f t="shared" si="4"/>
        <v>0.94914043717496055</v>
      </c>
      <c r="G95">
        <f t="shared" ca="1" si="5"/>
        <v>93</v>
      </c>
      <c r="H95">
        <f t="shared" ca="1" si="6"/>
        <v>88.27006065727133</v>
      </c>
      <c r="I95">
        <f t="shared" ca="1" si="7"/>
        <v>353.15525893428918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182563</v>
      </c>
      <c r="B98" s="66">
        <v>182563</v>
      </c>
      <c r="D98">
        <f t="shared" si="4"/>
        <v>0.91822333544577561</v>
      </c>
      <c r="E98">
        <f t="shared" si="4"/>
        <v>0.91822333544577561</v>
      </c>
      <c r="G98">
        <f t="shared" ca="1" si="5"/>
        <v>96</v>
      </c>
      <c r="H98">
        <f t="shared" ca="1" si="6"/>
        <v>88.149440202794466</v>
      </c>
      <c r="I98">
        <f t="shared" ca="1" si="7"/>
        <v>456.18725312054863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180409</v>
      </c>
      <c r="B100" s="66">
        <v>180409</v>
      </c>
      <c r="D100">
        <f t="shared" si="4"/>
        <v>0.90738952429811592</v>
      </c>
      <c r="E100">
        <f t="shared" si="4"/>
        <v>0.90738952429811592</v>
      </c>
      <c r="G100">
        <f t="shared" ca="1" si="5"/>
        <v>98</v>
      </c>
      <c r="H100">
        <f t="shared" ca="1" si="6"/>
        <v>88.924173381215354</v>
      </c>
      <c r="I100">
        <f t="shared" ca="1" si="7"/>
        <v>535.33490179837383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164538</v>
      </c>
      <c r="B103" s="66">
        <v>164538</v>
      </c>
      <c r="D103">
        <f t="shared" si="4"/>
        <v>0.82756435404532702</v>
      </c>
      <c r="E103">
        <f t="shared" si="4"/>
        <v>0.82756435404532702</v>
      </c>
      <c r="G103">
        <f t="shared" ca="1" si="5"/>
        <v>101</v>
      </c>
      <c r="H103">
        <f t="shared" ca="1" si="6"/>
        <v>83.583999758578031</v>
      </c>
      <c r="I103">
        <f t="shared" ca="1" si="7"/>
        <v>616.29432567151025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148648</v>
      </c>
      <c r="B106" s="66">
        <v>148648</v>
      </c>
      <c r="D106">
        <f t="shared" si="4"/>
        <v>0.74764362092726155</v>
      </c>
      <c r="E106">
        <f t="shared" si="4"/>
        <v>0.74764362092726155</v>
      </c>
      <c r="G106">
        <f t="shared" ca="1" si="5"/>
        <v>104</v>
      </c>
      <c r="H106">
        <f t="shared" ca="1" si="6"/>
        <v>77.754936576435199</v>
      </c>
      <c r="I106">
        <f t="shared" ca="1" si="7"/>
        <v>685.92170983762458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130771</v>
      </c>
      <c r="B108" s="66">
        <v>130771</v>
      </c>
      <c r="D108">
        <f t="shared" si="4"/>
        <v>0.6577290239510718</v>
      </c>
      <c r="E108">
        <f t="shared" si="4"/>
        <v>0.6577290239510718</v>
      </c>
      <c r="G108">
        <f t="shared" ca="1" si="5"/>
        <v>106</v>
      </c>
      <c r="H108">
        <f t="shared" ca="1" si="6"/>
        <v>69.719276538813617</v>
      </c>
      <c r="I108">
        <f t="shared" ca="1" si="7"/>
        <v>685.74969090413697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114953</v>
      </c>
      <c r="B111" s="66">
        <v>114953</v>
      </c>
      <c r="D111">
        <f t="shared" si="4"/>
        <v>0.57817042379615935</v>
      </c>
      <c r="E111">
        <f t="shared" si="4"/>
        <v>0.57817042379615935</v>
      </c>
      <c r="G111">
        <f t="shared" ca="1" si="5"/>
        <v>109</v>
      </c>
      <c r="H111">
        <f t="shared" ca="1" si="6"/>
        <v>63.020576193781366</v>
      </c>
      <c r="I111">
        <f t="shared" ca="1" si="7"/>
        <v>720.01774175593278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96350</v>
      </c>
      <c r="B113" s="66">
        <v>96350</v>
      </c>
      <c r="D113">
        <f t="shared" si="4"/>
        <v>0.4846043194415105</v>
      </c>
      <c r="E113">
        <f t="shared" si="4"/>
        <v>0.4846043194415105</v>
      </c>
      <c r="G113">
        <f t="shared" ca="1" si="5"/>
        <v>111</v>
      </c>
      <c r="H113">
        <f t="shared" ca="1" si="6"/>
        <v>53.791079458007665</v>
      </c>
      <c r="I113">
        <f t="shared" ca="1" si="7"/>
        <v>673.84019709893914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81926</v>
      </c>
      <c r="B116" s="66">
        <v>81926</v>
      </c>
      <c r="D116">
        <f t="shared" si="4"/>
        <v>0.41205701582319865</v>
      </c>
      <c r="E116">
        <f t="shared" si="4"/>
        <v>0.41205701582319865</v>
      </c>
      <c r="G116">
        <f t="shared" ca="1" si="5"/>
        <v>114</v>
      </c>
      <c r="H116">
        <f t="shared" ca="1" si="6"/>
        <v>46.974499803844644</v>
      </c>
      <c r="I116">
        <f t="shared" ca="1" si="7"/>
        <v>668.86403080566538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70043</v>
      </c>
      <c r="B118" s="66">
        <v>70043</v>
      </c>
      <c r="D118">
        <f t="shared" si="4"/>
        <v>0.35228998802949374</v>
      </c>
      <c r="E118">
        <f t="shared" si="4"/>
        <v>0.35228998802949374</v>
      </c>
      <c r="G118">
        <f t="shared" ca="1" si="5"/>
        <v>116</v>
      </c>
      <c r="H118">
        <f t="shared" ca="1" si="6"/>
        <v>40.865638611421275</v>
      </c>
      <c r="I118">
        <f t="shared" ca="1" si="7"/>
        <v>630.03159263067232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51756</v>
      </c>
      <c r="B121" s="66">
        <v>51756</v>
      </c>
      <c r="D121">
        <f t="shared" si="4"/>
        <v>0.2603132450131273</v>
      </c>
      <c r="E121">
        <f t="shared" si="4"/>
        <v>0.2603132450131273</v>
      </c>
      <c r="G121">
        <f t="shared" ca="1" si="5"/>
        <v>119</v>
      </c>
      <c r="H121">
        <f t="shared" ca="1" si="6"/>
        <v>30.977276156562148</v>
      </c>
      <c r="I121">
        <f t="shared" ca="1" si="7"/>
        <v>533.93507055139787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40264</v>
      </c>
      <c r="B124" s="66">
        <v>40264</v>
      </c>
      <c r="D124">
        <f t="shared" si="4"/>
        <v>0.20251280039432257</v>
      </c>
      <c r="E124">
        <f t="shared" si="4"/>
        <v>0.20251280039432257</v>
      </c>
      <c r="G124">
        <f t="shared" ca="1" si="5"/>
        <v>122</v>
      </c>
      <c r="H124">
        <f t="shared" ca="1" si="6"/>
        <v>24.706561648107353</v>
      </c>
      <c r="I124">
        <f t="shared" ca="1" si="7"/>
        <v>472.23177313620158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27941</v>
      </c>
      <c r="B126" s="66">
        <v>27941</v>
      </c>
      <c r="D126">
        <f t="shared" si="4"/>
        <v>0.14053273782579392</v>
      </c>
      <c r="E126">
        <f t="shared" si="4"/>
        <v>0.14053273782579392</v>
      </c>
      <c r="G126">
        <f t="shared" ca="1" si="5"/>
        <v>124</v>
      </c>
      <c r="H126">
        <f t="shared" ca="1" si="6"/>
        <v>17.426059490398448</v>
      </c>
      <c r="I126">
        <f t="shared" ca="1" si="7"/>
        <v>355.40992983950963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27184</v>
      </c>
      <c r="B129" s="66">
        <v>27184</v>
      </c>
      <c r="D129">
        <f t="shared" si="4"/>
        <v>0.13672531208819949</v>
      </c>
      <c r="E129">
        <f t="shared" si="4"/>
        <v>0.13672531208819949</v>
      </c>
      <c r="G129">
        <f t="shared" ca="1" si="5"/>
        <v>127</v>
      </c>
      <c r="H129">
        <f t="shared" ca="1" si="6"/>
        <v>17.364114635201336</v>
      </c>
      <c r="I129">
        <f t="shared" ca="1" si="7"/>
        <v>388.26636925376351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18759</v>
      </c>
      <c r="B131" s="66">
        <v>18759</v>
      </c>
      <c r="D131">
        <f t="shared" ref="D131:E194" si="8">IFERROR( A131/MAX(A$2:A$257), 0 )</f>
        <v>9.4350725774813654E-2</v>
      </c>
      <c r="E131">
        <f t="shared" si="8"/>
        <v>9.4350725774813654E-2</v>
      </c>
      <c r="G131">
        <f t="shared" ref="G131:G194" ca="1" si="9">CELL("row",D131)-2</f>
        <v>129</v>
      </c>
      <c r="H131">
        <f t="shared" ref="H131:H194" ca="1" si="10">D131*G131</f>
        <v>12.171243624950961</v>
      </c>
      <c r="I131">
        <f t="shared" ref="I131:I194" ca="1" si="11">D131*((G131-$L$1)^2)</f>
        <v>288.42189032311353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13919</v>
      </c>
      <c r="B134" s="66">
        <v>13919</v>
      </c>
      <c r="D134">
        <f t="shared" si="8"/>
        <v>7.0007343251752827E-2</v>
      </c>
      <c r="E134">
        <f t="shared" si="8"/>
        <v>7.0007343251752827E-2</v>
      </c>
      <c r="G134">
        <f t="shared" ca="1" si="9"/>
        <v>132</v>
      </c>
      <c r="H134">
        <f t="shared" ca="1" si="10"/>
        <v>9.2409693092313727</v>
      </c>
      <c r="I134">
        <f t="shared" ca="1" si="11"/>
        <v>237.86033509663957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9413</v>
      </c>
      <c r="B136" s="66">
        <v>9413</v>
      </c>
      <c r="D136">
        <f t="shared" si="8"/>
        <v>4.7343855307762722E-2</v>
      </c>
      <c r="E136">
        <f t="shared" si="8"/>
        <v>4.7343855307762722E-2</v>
      </c>
      <c r="G136">
        <f t="shared" ca="1" si="9"/>
        <v>134</v>
      </c>
      <c r="H136">
        <f t="shared" ca="1" si="10"/>
        <v>6.3440766112402045</v>
      </c>
      <c r="I136">
        <f t="shared" ca="1" si="11"/>
        <v>172.0857181091782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4668</v>
      </c>
      <c r="B139" s="66">
        <v>4668</v>
      </c>
      <c r="D139">
        <f t="shared" si="8"/>
        <v>2.3478287111084288E-2</v>
      </c>
      <c r="E139">
        <f t="shared" si="8"/>
        <v>2.3478287111084288E-2</v>
      </c>
      <c r="G139">
        <f t="shared" ca="1" si="9"/>
        <v>137</v>
      </c>
      <c r="H139">
        <f t="shared" ca="1" si="10"/>
        <v>3.2165253342185474</v>
      </c>
      <c r="I139">
        <f t="shared" ca="1" si="11"/>
        <v>94.043261938035201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2542</v>
      </c>
      <c r="B142" s="66">
        <v>2542</v>
      </c>
      <c r="D142">
        <f t="shared" si="8"/>
        <v>1.2785305449095171E-2</v>
      </c>
      <c r="E142">
        <f t="shared" si="8"/>
        <v>1.2785305449095171E-2</v>
      </c>
      <c r="G142">
        <f t="shared" ca="1" si="9"/>
        <v>140</v>
      </c>
      <c r="H142">
        <f t="shared" ca="1" si="10"/>
        <v>1.789942762873324</v>
      </c>
      <c r="I142">
        <f t="shared" ca="1" si="11"/>
        <v>56.182186033724939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1153</v>
      </c>
      <c r="B144" s="66">
        <v>1153</v>
      </c>
      <c r="D144">
        <f t="shared" si="8"/>
        <v>5.7991570349357714E-3</v>
      </c>
      <c r="E144">
        <f t="shared" si="8"/>
        <v>5.7991570349357714E-3</v>
      </c>
      <c r="G144">
        <f t="shared" ca="1" si="9"/>
        <v>142</v>
      </c>
      <c r="H144">
        <f t="shared" ca="1" si="10"/>
        <v>0.82348029896087949</v>
      </c>
      <c r="I144">
        <f t="shared" ca="1" si="11"/>
        <v>27.04399402191644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420</v>
      </c>
      <c r="B147" s="66">
        <v>420</v>
      </c>
      <c r="D147">
        <f t="shared" si="8"/>
        <v>2.1124422850589976E-3</v>
      </c>
      <c r="E147">
        <f t="shared" si="8"/>
        <v>2.1124422850589976E-3</v>
      </c>
      <c r="G147">
        <f t="shared" ca="1" si="9"/>
        <v>145</v>
      </c>
      <c r="H147">
        <f t="shared" ca="1" si="10"/>
        <v>0.30630413133355466</v>
      </c>
      <c r="I147">
        <f t="shared" ca="1" si="11"/>
        <v>10.735793913292728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159</v>
      </c>
      <c r="B149" s="66">
        <v>159</v>
      </c>
      <c r="D149">
        <f t="shared" si="8"/>
        <v>7.9971029362947764E-4</v>
      </c>
      <c r="E149">
        <f t="shared" si="8"/>
        <v>7.9971029362947764E-4</v>
      </c>
      <c r="G149">
        <f t="shared" ca="1" si="9"/>
        <v>147</v>
      </c>
      <c r="H149">
        <f t="shared" ca="1" si="10"/>
        <v>0.11755741316353321</v>
      </c>
      <c r="I149">
        <f t="shared" ca="1" si="11"/>
        <v>4.2955069889093389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0</v>
      </c>
      <c r="B152" s="66">
        <v>0</v>
      </c>
      <c r="D152">
        <f t="shared" si="8"/>
        <v>0</v>
      </c>
      <c r="E152">
        <f t="shared" si="8"/>
        <v>0</v>
      </c>
      <c r="G152">
        <f t="shared" ca="1" si="9"/>
        <v>150</v>
      </c>
      <c r="H152">
        <f t="shared" ca="1" si="10"/>
        <v>0</v>
      </c>
      <c r="I152">
        <f t="shared" ca="1" si="11"/>
        <v>0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0</v>
      </c>
      <c r="B154" s="66">
        <v>0</v>
      </c>
      <c r="D154">
        <f t="shared" si="8"/>
        <v>0</v>
      </c>
      <c r="E154">
        <f t="shared" si="8"/>
        <v>0</v>
      </c>
      <c r="G154">
        <f t="shared" ca="1" si="9"/>
        <v>152</v>
      </c>
      <c r="H154">
        <f t="shared" ca="1" si="10"/>
        <v>0</v>
      </c>
      <c r="I154">
        <f t="shared" ca="1" si="11"/>
        <v>0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63.100337175486573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1.2290683675041274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0.50548764526650314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809</v>
      </c>
      <c r="B8" s="66">
        <v>809</v>
      </c>
      <c r="D8">
        <f t="shared" si="0"/>
        <v>0.97695874794705828</v>
      </c>
      <c r="E8">
        <f t="shared" si="1"/>
        <v>0.97695874794705828</v>
      </c>
      <c r="G8">
        <f t="shared" ca="1" si="2"/>
        <v>6</v>
      </c>
      <c r="H8">
        <f t="shared" ca="1" si="3"/>
        <v>5.8617524876823497</v>
      </c>
      <c r="I8">
        <f t="shared" ca="1" si="4"/>
        <v>3185.3236897321412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2571</v>
      </c>
      <c r="B10" s="66">
        <v>2571</v>
      </c>
      <c r="D10">
        <f t="shared" si="0"/>
        <v>3.1047724857501691</v>
      </c>
      <c r="E10">
        <f t="shared" si="1"/>
        <v>3.1047724857501691</v>
      </c>
      <c r="G10">
        <f t="shared" ca="1" si="2"/>
        <v>8</v>
      </c>
      <c r="H10">
        <f t="shared" ca="1" si="3"/>
        <v>24.838179886001353</v>
      </c>
      <c r="I10">
        <f t="shared" ca="1" si="4"/>
        <v>9426.2356780350729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4585</v>
      </c>
      <c r="B13" s="66">
        <v>4585</v>
      </c>
      <c r="D13">
        <f t="shared" si="0"/>
        <v>5.53690464689402</v>
      </c>
      <c r="E13">
        <f t="shared" si="1"/>
        <v>5.53690464689402</v>
      </c>
      <c r="G13">
        <f t="shared" ca="1" si="2"/>
        <v>11</v>
      </c>
      <c r="H13">
        <f t="shared" ca="1" si="3"/>
        <v>60.90595111583422</v>
      </c>
      <c r="I13">
        <f t="shared" ca="1" si="4"/>
        <v>15029.623875072693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10486</v>
      </c>
      <c r="B15" s="66">
        <v>10486</v>
      </c>
      <c r="D15">
        <f t="shared" si="0"/>
        <v>12.663027726789682</v>
      </c>
      <c r="E15">
        <f t="shared" si="1"/>
        <v>12.663027726789682</v>
      </c>
      <c r="G15">
        <f t="shared" ca="1" si="2"/>
        <v>13</v>
      </c>
      <c r="H15">
        <f t="shared" ca="1" si="3"/>
        <v>164.61936044826587</v>
      </c>
      <c r="I15">
        <f t="shared" ca="1" si="4"/>
        <v>31784.754046145026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19322</v>
      </c>
      <c r="B18" s="66">
        <v>19322</v>
      </c>
      <c r="D18">
        <f t="shared" si="0"/>
        <v>23.333494348372138</v>
      </c>
      <c r="E18">
        <f t="shared" si="1"/>
        <v>23.333494348372138</v>
      </c>
      <c r="G18">
        <f t="shared" ca="1" si="2"/>
        <v>16</v>
      </c>
      <c r="H18">
        <f t="shared" ca="1" si="3"/>
        <v>373.33590957395421</v>
      </c>
      <c r="I18">
        <f t="shared" ca="1" si="4"/>
        <v>51763.99831685859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22244</v>
      </c>
      <c r="B21" s="66">
        <v>22244</v>
      </c>
      <c r="D21">
        <f t="shared" si="0"/>
        <v>26.862138923775479</v>
      </c>
      <c r="E21">
        <f t="shared" si="1"/>
        <v>26.862138923775479</v>
      </c>
      <c r="G21">
        <f t="shared" ca="1" si="2"/>
        <v>19</v>
      </c>
      <c r="H21">
        <f t="shared" ca="1" si="3"/>
        <v>510.38063955173408</v>
      </c>
      <c r="I21">
        <f t="shared" ca="1" si="4"/>
        <v>52242.555253271683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32694</v>
      </c>
      <c r="B23" s="66">
        <v>32694</v>
      </c>
      <c r="D23">
        <f t="shared" si="0"/>
        <v>39.481692590087917</v>
      </c>
      <c r="E23">
        <f t="shared" si="1"/>
        <v>39.481692590087917</v>
      </c>
      <c r="G23">
        <f t="shared" ca="1" si="2"/>
        <v>21</v>
      </c>
      <c r="H23">
        <f t="shared" ca="1" si="3"/>
        <v>829.11554439184624</v>
      </c>
      <c r="I23">
        <f t="shared" ca="1" si="4"/>
        <v>69978.867660286502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40905</v>
      </c>
      <c r="B26" s="66">
        <v>40905</v>
      </c>
      <c r="D26">
        <f t="shared" si="0"/>
        <v>49.397401217273696</v>
      </c>
      <c r="E26">
        <f t="shared" si="1"/>
        <v>49.397401217273696</v>
      </c>
      <c r="G26">
        <f t="shared" ca="1" si="2"/>
        <v>24</v>
      </c>
      <c r="H26">
        <f t="shared" ca="1" si="3"/>
        <v>1185.5376292145688</v>
      </c>
      <c r="I26">
        <f t="shared" ca="1" si="4"/>
        <v>75520.543427952303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49643</v>
      </c>
      <c r="B28" s="66">
        <v>49643</v>
      </c>
      <c r="D28">
        <f t="shared" si="0"/>
        <v>59.949521785334753</v>
      </c>
      <c r="E28">
        <f t="shared" si="1"/>
        <v>59.949521785334753</v>
      </c>
      <c r="G28">
        <f t="shared" ca="1" si="2"/>
        <v>26</v>
      </c>
      <c r="H28">
        <f t="shared" ca="1" si="3"/>
        <v>1558.6875664187037</v>
      </c>
      <c r="I28">
        <f t="shared" ca="1" si="4"/>
        <v>82516.621129749095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47605</v>
      </c>
      <c r="B31" s="66">
        <v>47605</v>
      </c>
      <c r="D31">
        <f t="shared" si="0"/>
        <v>57.488406917206071</v>
      </c>
      <c r="E31">
        <f t="shared" si="1"/>
        <v>57.488406917206071</v>
      </c>
      <c r="G31">
        <f t="shared" ca="1" si="2"/>
        <v>29</v>
      </c>
      <c r="H31">
        <f t="shared" ca="1" si="3"/>
        <v>1667.163800598976</v>
      </c>
      <c r="I31">
        <f t="shared" ca="1" si="4"/>
        <v>66849.416421015485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61253</v>
      </c>
      <c r="B33" s="66">
        <v>61253</v>
      </c>
      <c r="D33">
        <f t="shared" si="0"/>
        <v>73.969906289247419</v>
      </c>
      <c r="E33">
        <f t="shared" si="1"/>
        <v>73.969906289247419</v>
      </c>
      <c r="G33">
        <f t="shared" ca="1" si="2"/>
        <v>31</v>
      </c>
      <c r="H33">
        <f t="shared" ca="1" si="3"/>
        <v>2293.0670949666701</v>
      </c>
      <c r="I33">
        <f t="shared" ca="1" si="4"/>
        <v>76220.932349785973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53119</v>
      </c>
      <c r="B36" s="66">
        <v>53119</v>
      </c>
      <c r="D36">
        <f t="shared" si="0"/>
        <v>64.147183846971302</v>
      </c>
      <c r="E36">
        <f t="shared" si="1"/>
        <v>64.147183846971302</v>
      </c>
      <c r="G36">
        <f t="shared" ca="1" si="2"/>
        <v>34</v>
      </c>
      <c r="H36">
        <f t="shared" ca="1" si="3"/>
        <v>2181.0042507970243</v>
      </c>
      <c r="I36">
        <f t="shared" ca="1" si="4"/>
        <v>54321.735560277775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69438</v>
      </c>
      <c r="B39" s="66">
        <v>69438</v>
      </c>
      <c r="D39">
        <f t="shared" si="0"/>
        <v>83.854216983866294</v>
      </c>
      <c r="E39">
        <f t="shared" si="1"/>
        <v>83.854216983866294</v>
      </c>
      <c r="G39">
        <f t="shared" ca="1" si="2"/>
        <v>37</v>
      </c>
      <c r="H39">
        <f t="shared" ca="1" si="3"/>
        <v>3102.6060284030527</v>
      </c>
      <c r="I39">
        <f t="shared" ca="1" si="4"/>
        <v>57123.80704232346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62516</v>
      </c>
      <c r="B41" s="66">
        <v>62516</v>
      </c>
      <c r="D41">
        <f t="shared" si="0"/>
        <v>75.495121244324224</v>
      </c>
      <c r="E41">
        <f t="shared" si="1"/>
        <v>75.495121244324224</v>
      </c>
      <c r="G41">
        <f t="shared" ca="1" si="2"/>
        <v>39</v>
      </c>
      <c r="H41">
        <f t="shared" ca="1" si="3"/>
        <v>2944.3097285286449</v>
      </c>
      <c r="I41">
        <f t="shared" ca="1" si="4"/>
        <v>43849.548314523126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65803</v>
      </c>
      <c r="B44" s="66">
        <v>65803</v>
      </c>
      <c r="D44">
        <f t="shared" si="0"/>
        <v>79.464544488455218</v>
      </c>
      <c r="E44">
        <f t="shared" si="1"/>
        <v>79.464544488455218</v>
      </c>
      <c r="G44">
        <f t="shared" ca="1" si="2"/>
        <v>42</v>
      </c>
      <c r="H44">
        <f t="shared" ca="1" si="3"/>
        <v>3337.510868515119</v>
      </c>
      <c r="I44">
        <f t="shared" ca="1" si="4"/>
        <v>35379.54054628958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72042</v>
      </c>
      <c r="B46" s="66">
        <v>72042</v>
      </c>
      <c r="D46">
        <f t="shared" si="0"/>
        <v>86.998840691720602</v>
      </c>
      <c r="E46">
        <f t="shared" si="1"/>
        <v>86.998840691720602</v>
      </c>
      <c r="G46">
        <f t="shared" ca="1" si="2"/>
        <v>44</v>
      </c>
      <c r="H46">
        <f t="shared" ca="1" si="3"/>
        <v>3827.9489904357065</v>
      </c>
      <c r="I46">
        <f t="shared" ca="1" si="4"/>
        <v>31739.16763671732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79179</v>
      </c>
      <c r="B49" s="66">
        <v>79179</v>
      </c>
      <c r="D49">
        <f t="shared" si="0"/>
        <v>95.617573181335132</v>
      </c>
      <c r="E49">
        <f t="shared" si="1"/>
        <v>95.617573181335132</v>
      </c>
      <c r="G49">
        <f t="shared" ca="1" si="2"/>
        <v>47</v>
      </c>
      <c r="H49">
        <f t="shared" ca="1" si="3"/>
        <v>4494.0259395227513</v>
      </c>
      <c r="I49">
        <f t="shared" ca="1" si="4"/>
        <v>24786.069280041127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82808</v>
      </c>
      <c r="B51" s="66">
        <v>82808</v>
      </c>
      <c r="D51">
        <f t="shared" si="0"/>
        <v>100</v>
      </c>
      <c r="E51">
        <f t="shared" si="1"/>
        <v>100</v>
      </c>
      <c r="G51">
        <f t="shared" ca="1" si="2"/>
        <v>49</v>
      </c>
      <c r="H51">
        <f t="shared" ca="1" si="3"/>
        <v>4900</v>
      </c>
      <c r="I51">
        <f t="shared" ca="1" si="4"/>
        <v>19881.950846240867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75264</v>
      </c>
      <c r="B54" s="66">
        <v>75264</v>
      </c>
      <c r="D54">
        <f t="shared" si="0"/>
        <v>90.88976910443435</v>
      </c>
      <c r="E54">
        <f t="shared" si="1"/>
        <v>90.88976910443435</v>
      </c>
      <c r="G54">
        <f t="shared" ca="1" si="2"/>
        <v>52</v>
      </c>
      <c r="H54">
        <f t="shared" ca="1" si="3"/>
        <v>4726.2679934305861</v>
      </c>
      <c r="I54">
        <f t="shared" ca="1" si="4"/>
        <v>11199.208798497482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81992</v>
      </c>
      <c r="B57" s="66">
        <v>81992</v>
      </c>
      <c r="D57">
        <f t="shared" si="0"/>
        <v>99.014587962515705</v>
      </c>
      <c r="E57">
        <f t="shared" si="1"/>
        <v>99.014587962515705</v>
      </c>
      <c r="G57">
        <f t="shared" ca="1" si="2"/>
        <v>55</v>
      </c>
      <c r="H57">
        <f t="shared" ca="1" si="3"/>
        <v>5445.802337938364</v>
      </c>
      <c r="I57">
        <f t="shared" ca="1" si="4"/>
        <v>6496.8879692057162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68796</v>
      </c>
      <c r="B59" s="66">
        <v>68796</v>
      </c>
      <c r="D59">
        <f t="shared" si="0"/>
        <v>83.078929572022034</v>
      </c>
      <c r="E59">
        <f t="shared" si="1"/>
        <v>83.078929572022034</v>
      </c>
      <c r="G59">
        <f t="shared" ca="1" si="2"/>
        <v>57</v>
      </c>
      <c r="H59">
        <f t="shared" ca="1" si="3"/>
        <v>4735.4989856052562</v>
      </c>
      <c r="I59">
        <f t="shared" ca="1" si="4"/>
        <v>3091.708727397689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65372</v>
      </c>
      <c r="B62" s="66">
        <v>65372</v>
      </c>
      <c r="D62">
        <f t="shared" si="0"/>
        <v>78.944063375519278</v>
      </c>
      <c r="E62">
        <f t="shared" si="1"/>
        <v>78.944063375519278</v>
      </c>
      <c r="G62">
        <f t="shared" ca="1" si="2"/>
        <v>60</v>
      </c>
      <c r="H62">
        <f t="shared" ca="1" si="3"/>
        <v>4736.6438025311563</v>
      </c>
      <c r="I62">
        <f t="shared" ca="1" si="4"/>
        <v>758.8174896321583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69003</v>
      </c>
      <c r="B64" s="66">
        <v>69003</v>
      </c>
      <c r="D64">
        <f t="shared" si="0"/>
        <v>83.328905419766201</v>
      </c>
      <c r="E64">
        <f t="shared" si="1"/>
        <v>83.328905419766201</v>
      </c>
      <c r="G64">
        <f t="shared" ca="1" si="2"/>
        <v>62</v>
      </c>
      <c r="H64">
        <f t="shared" ca="1" si="3"/>
        <v>5166.3921360255044</v>
      </c>
      <c r="I64">
        <f t="shared" ca="1" si="4"/>
        <v>100.88979725266313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66530</v>
      </c>
      <c r="B67" s="66">
        <v>66530</v>
      </c>
      <c r="D67">
        <f t="shared" ref="D67:D130" si="5">IFERROR( 100*A67/MAX(A$2:A$257), 0 )</f>
        <v>80.342478987537433</v>
      </c>
      <c r="E67">
        <f t="shared" ref="E67:E130" si="6">IFERROR( 100*B67/MAX(B$2:B$257), 0 )</f>
        <v>80.342478987537433</v>
      </c>
      <c r="G67">
        <f t="shared" ref="G67:G130" ca="1" si="7">CELL("row",D67)-2</f>
        <v>65</v>
      </c>
      <c r="H67">
        <f t="shared" ref="H67:H130" ca="1" si="8">D67*G67</f>
        <v>5222.2611341899328</v>
      </c>
      <c r="I67">
        <f t="shared" ref="I67:I130" ca="1" si="9">D67*((G67-$L$1)^2)</f>
        <v>289.93341812403912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60540</v>
      </c>
      <c r="B69" s="66">
        <v>60540</v>
      </c>
      <c r="D69">
        <f t="shared" si="5"/>
        <v>73.10887836923969</v>
      </c>
      <c r="E69">
        <f t="shared" si="6"/>
        <v>73.10887836923969</v>
      </c>
      <c r="G69">
        <f t="shared" ca="1" si="7"/>
        <v>67</v>
      </c>
      <c r="H69">
        <f t="shared" ca="1" si="8"/>
        <v>4898.2948507390593</v>
      </c>
      <c r="I69">
        <f t="shared" ca="1" si="9"/>
        <v>1111.7937742389192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65615</v>
      </c>
      <c r="B72" s="66">
        <v>65615</v>
      </c>
      <c r="D72">
        <f t="shared" si="5"/>
        <v>79.237513283740697</v>
      </c>
      <c r="E72">
        <f t="shared" si="6"/>
        <v>79.237513283740697</v>
      </c>
      <c r="G72">
        <f t="shared" ca="1" si="7"/>
        <v>70</v>
      </c>
      <c r="H72">
        <f t="shared" ca="1" si="8"/>
        <v>5546.6259298618488</v>
      </c>
      <c r="I72">
        <f t="shared" ca="1" si="9"/>
        <v>3772.1293225772665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62831</v>
      </c>
      <c r="B75" s="66">
        <v>62831</v>
      </c>
      <c r="D75">
        <f t="shared" si="5"/>
        <v>75.875519273500146</v>
      </c>
      <c r="E75">
        <f t="shared" si="6"/>
        <v>75.875519273500146</v>
      </c>
      <c r="G75">
        <f t="shared" ca="1" si="7"/>
        <v>73</v>
      </c>
      <c r="H75">
        <f t="shared" ca="1" si="8"/>
        <v>5538.912906965511</v>
      </c>
      <c r="I75">
        <f t="shared" ca="1" si="9"/>
        <v>7436.0531019922591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63845</v>
      </c>
      <c r="B77" s="66">
        <v>63845</v>
      </c>
      <c r="D77">
        <f t="shared" si="5"/>
        <v>77.100038643609309</v>
      </c>
      <c r="E77">
        <f t="shared" si="6"/>
        <v>77.100038643609309</v>
      </c>
      <c r="G77">
        <f t="shared" ca="1" si="7"/>
        <v>75</v>
      </c>
      <c r="H77">
        <f t="shared" ca="1" si="8"/>
        <v>5782.5028982706981</v>
      </c>
      <c r="I77">
        <f t="shared" ca="1" si="9"/>
        <v>10917.517770502354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63532</v>
      </c>
      <c r="B80" s="66">
        <v>63532</v>
      </c>
      <c r="D80">
        <f t="shared" si="5"/>
        <v>76.722055840015457</v>
      </c>
      <c r="E80">
        <f t="shared" si="6"/>
        <v>76.722055840015457</v>
      </c>
      <c r="G80">
        <f t="shared" ca="1" si="7"/>
        <v>78</v>
      </c>
      <c r="H80">
        <f t="shared" ca="1" si="8"/>
        <v>5984.3203555212058</v>
      </c>
      <c r="I80">
        <f t="shared" ca="1" si="9"/>
        <v>17032.292735628198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60907</v>
      </c>
      <c r="B82" s="66">
        <v>60907</v>
      </c>
      <c r="D82">
        <f t="shared" si="5"/>
        <v>73.55207226354942</v>
      </c>
      <c r="E82">
        <f t="shared" si="6"/>
        <v>73.55207226354942</v>
      </c>
      <c r="G82">
        <f t="shared" ca="1" si="7"/>
        <v>80</v>
      </c>
      <c r="H82">
        <f t="shared" ca="1" si="8"/>
        <v>5884.1657810839533</v>
      </c>
      <c r="I82">
        <f t="shared" ca="1" si="9"/>
        <v>21006.369129049803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59886</v>
      </c>
      <c r="B85" s="66">
        <v>59886</v>
      </c>
      <c r="D85">
        <f t="shared" si="5"/>
        <v>72.319099603902998</v>
      </c>
      <c r="E85">
        <f t="shared" si="6"/>
        <v>72.319099603902998</v>
      </c>
      <c r="G85">
        <f t="shared" ca="1" si="7"/>
        <v>83</v>
      </c>
      <c r="H85">
        <f t="shared" ca="1" si="8"/>
        <v>6002.4852671239487</v>
      </c>
      <c r="I85">
        <f t="shared" ca="1" si="9"/>
        <v>28638.116150105012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55398</v>
      </c>
      <c r="B88" s="66">
        <v>55398</v>
      </c>
      <c r="D88">
        <f t="shared" si="5"/>
        <v>66.899333397739355</v>
      </c>
      <c r="E88">
        <f t="shared" si="6"/>
        <v>66.899333397739355</v>
      </c>
      <c r="G88">
        <f t="shared" ca="1" si="7"/>
        <v>86</v>
      </c>
      <c r="H88">
        <f t="shared" ca="1" si="8"/>
        <v>5753.3426722055847</v>
      </c>
      <c r="I88">
        <f t="shared" ca="1" si="9"/>
        <v>35081.64633257383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59781</v>
      </c>
      <c r="B90" s="66">
        <v>59781</v>
      </c>
      <c r="D90">
        <f t="shared" si="5"/>
        <v>72.192300260844362</v>
      </c>
      <c r="E90">
        <f t="shared" si="6"/>
        <v>72.192300260844362</v>
      </c>
      <c r="G90">
        <f t="shared" ca="1" si="7"/>
        <v>88</v>
      </c>
      <c r="H90">
        <f t="shared" ca="1" si="8"/>
        <v>6352.9224229543042</v>
      </c>
      <c r="I90">
        <f t="shared" ca="1" si="9"/>
        <v>44758.735887529889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57884</v>
      </c>
      <c r="B93" s="66">
        <v>57884</v>
      </c>
      <c r="D93">
        <f t="shared" si="5"/>
        <v>69.901458796251575</v>
      </c>
      <c r="E93">
        <f t="shared" si="6"/>
        <v>69.901458796251575</v>
      </c>
      <c r="G93">
        <f t="shared" ca="1" si="7"/>
        <v>91</v>
      </c>
      <c r="H93">
        <f t="shared" ca="1" si="8"/>
        <v>6361.0327504588931</v>
      </c>
      <c r="I93">
        <f t="shared" ca="1" si="9"/>
        <v>54410.679396079395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56179</v>
      </c>
      <c r="B95" s="66">
        <v>56179</v>
      </c>
      <c r="D95">
        <f t="shared" si="5"/>
        <v>67.842478987537433</v>
      </c>
      <c r="E95">
        <f t="shared" si="6"/>
        <v>67.842478987537433</v>
      </c>
      <c r="G95">
        <f t="shared" ca="1" si="7"/>
        <v>93</v>
      </c>
      <c r="H95">
        <f t="shared" ca="1" si="8"/>
        <v>6309.3505458409809</v>
      </c>
      <c r="I95">
        <f t="shared" ca="1" si="9"/>
        <v>60650.486733073565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50400</v>
      </c>
      <c r="B98" s="66">
        <v>50400</v>
      </c>
      <c r="D98">
        <f t="shared" si="5"/>
        <v>60.863684668148004</v>
      </c>
      <c r="E98">
        <f t="shared" si="6"/>
        <v>60.863684668148004</v>
      </c>
      <c r="G98">
        <f t="shared" ca="1" si="7"/>
        <v>96</v>
      </c>
      <c r="H98">
        <f t="shared" ca="1" si="8"/>
        <v>5842.9137281422081</v>
      </c>
      <c r="I98">
        <f t="shared" ca="1" si="9"/>
        <v>65878.110597913503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46292</v>
      </c>
      <c r="B100" s="66">
        <v>46292</v>
      </c>
      <c r="D100">
        <f t="shared" si="5"/>
        <v>55.902811322577527</v>
      </c>
      <c r="E100">
        <f t="shared" si="6"/>
        <v>55.902811322577527</v>
      </c>
      <c r="G100">
        <f t="shared" ca="1" si="7"/>
        <v>98</v>
      </c>
      <c r="H100">
        <f t="shared" ca="1" si="8"/>
        <v>5478.4755096125973</v>
      </c>
      <c r="I100">
        <f t="shared" ca="1" si="9"/>
        <v>68088.867561147024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39351</v>
      </c>
      <c r="B103" s="66">
        <v>39351</v>
      </c>
      <c r="D103">
        <f t="shared" si="5"/>
        <v>47.520770940005796</v>
      </c>
      <c r="E103">
        <f t="shared" si="6"/>
        <v>47.520770940005796</v>
      </c>
      <c r="G103">
        <f t="shared" ca="1" si="7"/>
        <v>101</v>
      </c>
      <c r="H103">
        <f t="shared" ca="1" si="8"/>
        <v>4799.5978649405852</v>
      </c>
      <c r="I103">
        <f t="shared" ca="1" si="9"/>
        <v>68258.096060135184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29008</v>
      </c>
      <c r="B106" s="66">
        <v>29008</v>
      </c>
      <c r="D106">
        <f t="shared" si="5"/>
        <v>35.030431842334075</v>
      </c>
      <c r="E106">
        <f t="shared" si="6"/>
        <v>35.030431842334075</v>
      </c>
      <c r="G106">
        <f t="shared" ca="1" si="7"/>
        <v>104</v>
      </c>
      <c r="H106">
        <f t="shared" ca="1" si="8"/>
        <v>3643.1649116027438</v>
      </c>
      <c r="I106">
        <f t="shared" ca="1" si="9"/>
        <v>58598.290521400057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27463</v>
      </c>
      <c r="B108" s="66">
        <v>27463</v>
      </c>
      <c r="D108">
        <f t="shared" si="5"/>
        <v>33.164670080185488</v>
      </c>
      <c r="E108">
        <f t="shared" si="6"/>
        <v>33.164670080185488</v>
      </c>
      <c r="G108">
        <f t="shared" ca="1" si="7"/>
        <v>106</v>
      </c>
      <c r="H108">
        <f t="shared" ca="1" si="8"/>
        <v>3515.4550284996617</v>
      </c>
      <c r="I108">
        <f t="shared" ca="1" si="9"/>
        <v>61035.631023522998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23202</v>
      </c>
      <c r="B111" s="66">
        <v>23202</v>
      </c>
      <c r="D111">
        <f t="shared" si="5"/>
        <v>28.019031977586707</v>
      </c>
      <c r="E111">
        <f t="shared" si="6"/>
        <v>28.019031977586707</v>
      </c>
      <c r="G111">
        <f t="shared" ca="1" si="7"/>
        <v>109</v>
      </c>
      <c r="H111">
        <f t="shared" ca="1" si="8"/>
        <v>3054.074485556951</v>
      </c>
      <c r="I111">
        <f t="shared" ca="1" si="9"/>
        <v>59029.909498922891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18109</v>
      </c>
      <c r="B113" s="66">
        <v>18109</v>
      </c>
      <c r="D113">
        <f t="shared" si="5"/>
        <v>21.868660032847067</v>
      </c>
      <c r="E113">
        <f t="shared" si="6"/>
        <v>21.868660032847067</v>
      </c>
      <c r="G113">
        <f t="shared" ca="1" si="7"/>
        <v>111</v>
      </c>
      <c r="H113">
        <f t="shared" ca="1" si="8"/>
        <v>2427.4212636460243</v>
      </c>
      <c r="I113">
        <f t="shared" ca="1" si="9"/>
        <v>50174.965879861673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13945</v>
      </c>
      <c r="B116" s="66">
        <v>13945</v>
      </c>
      <c r="D116">
        <f t="shared" si="5"/>
        <v>16.840160370978648</v>
      </c>
      <c r="E116">
        <f t="shared" si="6"/>
        <v>16.840160370978648</v>
      </c>
      <c r="G116">
        <f t="shared" ca="1" si="7"/>
        <v>114</v>
      </c>
      <c r="H116">
        <f t="shared" ca="1" si="8"/>
        <v>1919.7782822915658</v>
      </c>
      <c r="I116">
        <f t="shared" ca="1" si="9"/>
        <v>43629.077863162318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10720</v>
      </c>
      <c r="B118" s="66">
        <v>10720</v>
      </c>
      <c r="D118">
        <f t="shared" si="5"/>
        <v>12.945609119891797</v>
      </c>
      <c r="E118">
        <f t="shared" si="6"/>
        <v>12.945609119891797</v>
      </c>
      <c r="G118">
        <f t="shared" ca="1" si="7"/>
        <v>116</v>
      </c>
      <c r="H118">
        <f t="shared" ca="1" si="8"/>
        <v>1501.6906579074484</v>
      </c>
      <c r="I118">
        <f t="shared" ca="1" si="9"/>
        <v>36226.660207798843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7310</v>
      </c>
      <c r="B121" s="66">
        <v>7310</v>
      </c>
      <c r="D121">
        <f t="shared" si="5"/>
        <v>8.8276495024635295</v>
      </c>
      <c r="E121">
        <f t="shared" si="6"/>
        <v>8.8276495024635295</v>
      </c>
      <c r="G121">
        <f t="shared" ca="1" si="7"/>
        <v>119</v>
      </c>
      <c r="H121">
        <f t="shared" ca="1" si="8"/>
        <v>1050.4902907931601</v>
      </c>
      <c r="I121">
        <f t="shared" ca="1" si="9"/>
        <v>27584.394673784234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5315</v>
      </c>
      <c r="B124" s="66">
        <v>5315</v>
      </c>
      <c r="D124">
        <f t="shared" si="5"/>
        <v>6.4184619843493378</v>
      </c>
      <c r="E124">
        <f t="shared" si="6"/>
        <v>6.4184619843493378</v>
      </c>
      <c r="G124">
        <f t="shared" ca="1" si="7"/>
        <v>122</v>
      </c>
      <c r="H124">
        <f t="shared" ca="1" si="8"/>
        <v>783.05236209061923</v>
      </c>
      <c r="I124">
        <f t="shared" ca="1" si="9"/>
        <v>22266.737564814845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4730</v>
      </c>
      <c r="B126" s="66">
        <v>4730</v>
      </c>
      <c r="D126">
        <f t="shared" si="5"/>
        <v>5.7120085015940489</v>
      </c>
      <c r="E126">
        <f t="shared" si="6"/>
        <v>5.7120085015940489</v>
      </c>
      <c r="G126">
        <f t="shared" ca="1" si="7"/>
        <v>124</v>
      </c>
      <c r="H126">
        <f t="shared" ca="1" si="8"/>
        <v>708.28905419766204</v>
      </c>
      <c r="I126">
        <f t="shared" ca="1" si="9"/>
        <v>21184.519670828264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2978</v>
      </c>
      <c r="B129" s="66">
        <v>2978</v>
      </c>
      <c r="D129">
        <f t="shared" si="5"/>
        <v>3.5962708917012849</v>
      </c>
      <c r="E129">
        <f t="shared" si="6"/>
        <v>3.5962708917012849</v>
      </c>
      <c r="G129">
        <f t="shared" ca="1" si="7"/>
        <v>127</v>
      </c>
      <c r="H129">
        <f t="shared" ca="1" si="8"/>
        <v>456.72640324606317</v>
      </c>
      <c r="I129">
        <f t="shared" ca="1" si="9"/>
        <v>14684.174301105699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1880</v>
      </c>
      <c r="B131" s="66">
        <v>1880</v>
      </c>
      <c r="D131">
        <f t="shared" ref="D131:D194" si="10">IFERROR( 100*A131/MAX(A$2:A$257), 0 )</f>
        <v>2.2703120471452034</v>
      </c>
      <c r="E131">
        <f t="shared" ref="E131:E194" si="11">IFERROR( 100*B131/MAX(B$2:B$257), 0 )</f>
        <v>2.2703120471452034</v>
      </c>
      <c r="G131">
        <f t="shared" ref="G131:G194" ca="1" si="12">CELL("row",D131)-2</f>
        <v>129</v>
      </c>
      <c r="H131">
        <f t="shared" ref="H131:H194" ca="1" si="13">D131*G131</f>
        <v>292.87025408173122</v>
      </c>
      <c r="I131">
        <f t="shared" ref="I131:I194" ca="1" si="14">D131*((G131-$L$1)^2)</f>
        <v>9859.4329696683508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1177</v>
      </c>
      <c r="B134" s="66">
        <v>1177</v>
      </c>
      <c r="D134">
        <f t="shared" si="10"/>
        <v>1.4213602550478215</v>
      </c>
      <c r="E134">
        <f t="shared" si="11"/>
        <v>1.4213602550478215</v>
      </c>
      <c r="G134">
        <f t="shared" ca="1" si="12"/>
        <v>132</v>
      </c>
      <c r="H134">
        <f t="shared" ca="1" si="13"/>
        <v>187.61955366631244</v>
      </c>
      <c r="I134">
        <f t="shared" ca="1" si="14"/>
        <v>6747.4295761754147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1451</v>
      </c>
      <c r="B136" s="66">
        <v>1451</v>
      </c>
      <c r="D136">
        <f t="shared" si="10"/>
        <v>1.7522461597913246</v>
      </c>
      <c r="E136">
        <f t="shared" si="11"/>
        <v>1.7522461597913246</v>
      </c>
      <c r="G136">
        <f t="shared" ca="1" si="12"/>
        <v>134</v>
      </c>
      <c r="H136">
        <f t="shared" ca="1" si="13"/>
        <v>234.80098541203751</v>
      </c>
      <c r="I136">
        <f t="shared" ca="1" si="14"/>
        <v>8808.1247412106095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1133</v>
      </c>
      <c r="B139" s="66">
        <v>1133</v>
      </c>
      <c r="D139">
        <f t="shared" si="10"/>
        <v>1.3682252922422955</v>
      </c>
      <c r="E139">
        <f t="shared" si="11"/>
        <v>1.3682252922422955</v>
      </c>
      <c r="G139">
        <f t="shared" ca="1" si="12"/>
        <v>137</v>
      </c>
      <c r="H139">
        <f t="shared" ca="1" si="13"/>
        <v>187.44686503719447</v>
      </c>
      <c r="I139">
        <f t="shared" ca="1" si="14"/>
        <v>7472.0974635282619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973</v>
      </c>
      <c r="B142" s="66">
        <v>973</v>
      </c>
      <c r="D142">
        <f t="shared" si="10"/>
        <v>1.1750072456767462</v>
      </c>
      <c r="E142">
        <f t="shared" si="11"/>
        <v>1.1750072456767462</v>
      </c>
      <c r="G142">
        <f t="shared" ca="1" si="12"/>
        <v>140</v>
      </c>
      <c r="H142">
        <f t="shared" ca="1" si="13"/>
        <v>164.50101439474446</v>
      </c>
      <c r="I142">
        <f t="shared" ca="1" si="14"/>
        <v>6948.4736651962476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761</v>
      </c>
      <c r="B144" s="66">
        <v>761</v>
      </c>
      <c r="D144">
        <f t="shared" si="10"/>
        <v>0.91899333397739347</v>
      </c>
      <c r="E144">
        <f t="shared" si="11"/>
        <v>0.91899333397739347</v>
      </c>
      <c r="G144">
        <f t="shared" ca="1" si="12"/>
        <v>142</v>
      </c>
      <c r="H144">
        <f t="shared" ca="1" si="13"/>
        <v>130.49705342478987</v>
      </c>
      <c r="I144">
        <f t="shared" ca="1" si="14"/>
        <v>5720.8775964864144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303</v>
      </c>
      <c r="B147" s="66">
        <v>303</v>
      </c>
      <c r="D147">
        <f t="shared" si="10"/>
        <v>0.36590667568350882</v>
      </c>
      <c r="E147">
        <f t="shared" si="11"/>
        <v>0.36590667568350882</v>
      </c>
      <c r="G147">
        <f t="shared" ca="1" si="12"/>
        <v>145</v>
      </c>
      <c r="H147">
        <f t="shared" ca="1" si="13"/>
        <v>53.056467974108777</v>
      </c>
      <c r="I147">
        <f t="shared" ca="1" si="14"/>
        <v>2454.3390681371397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159</v>
      </c>
      <c r="B149" s="66">
        <v>159</v>
      </c>
      <c r="D149">
        <f t="shared" si="10"/>
        <v>0.19201043377451454</v>
      </c>
      <c r="E149">
        <f t="shared" si="11"/>
        <v>0.19201043377451454</v>
      </c>
      <c r="G149">
        <f t="shared" ca="1" si="12"/>
        <v>147</v>
      </c>
      <c r="H149">
        <f t="shared" ca="1" si="13"/>
        <v>28.225533764853637</v>
      </c>
      <c r="I149">
        <f t="shared" ca="1" si="14"/>
        <v>1351.5909019764508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80.88158684875269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1.5754115486400049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0.50394813352867596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3249</v>
      </c>
      <c r="B8" s="66">
        <v>3249</v>
      </c>
      <c r="D8">
        <f t="shared" si="0"/>
        <v>2.2374338032242735</v>
      </c>
      <c r="E8">
        <f t="shared" si="1"/>
        <v>2.2374338032242735</v>
      </c>
      <c r="G8">
        <f t="shared" ca="1" si="2"/>
        <v>6</v>
      </c>
      <c r="H8">
        <f t="shared" ca="1" si="3"/>
        <v>13.42460281934564</v>
      </c>
      <c r="I8">
        <f t="shared" ca="1" si="4"/>
        <v>12545.855277602737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4207</v>
      </c>
      <c r="B10" s="66">
        <v>4207</v>
      </c>
      <c r="D10">
        <f t="shared" si="0"/>
        <v>2.8971634380315541</v>
      </c>
      <c r="E10">
        <f t="shared" si="1"/>
        <v>2.8971634380315541</v>
      </c>
      <c r="G10">
        <f t="shared" ca="1" si="2"/>
        <v>8</v>
      </c>
      <c r="H10">
        <f t="shared" ca="1" si="3"/>
        <v>23.177307504252433</v>
      </c>
      <c r="I10">
        <f t="shared" ca="1" si="4"/>
        <v>15388.937495505663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6300</v>
      </c>
      <c r="B13" s="66">
        <v>6300</v>
      </c>
      <c r="D13">
        <f t="shared" si="0"/>
        <v>4.3385142998808632</v>
      </c>
      <c r="E13">
        <f t="shared" si="1"/>
        <v>4.3385142998808632</v>
      </c>
      <c r="G13">
        <f t="shared" ca="1" si="2"/>
        <v>11</v>
      </c>
      <c r="H13">
        <f t="shared" ca="1" si="3"/>
        <v>47.723657298689496</v>
      </c>
      <c r="I13">
        <f t="shared" ca="1" si="4"/>
        <v>21186.857701653815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9643</v>
      </c>
      <c r="B15" s="66">
        <v>9643</v>
      </c>
      <c r="D15">
        <f t="shared" si="0"/>
        <v>6.6406814910716134</v>
      </c>
      <c r="E15">
        <f t="shared" si="1"/>
        <v>6.6406814910716134</v>
      </c>
      <c r="G15">
        <f t="shared" ca="1" si="2"/>
        <v>13</v>
      </c>
      <c r="H15">
        <f t="shared" ca="1" si="3"/>
        <v>86.328859383930975</v>
      </c>
      <c r="I15">
        <f t="shared" ca="1" si="4"/>
        <v>30599.661541225629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13353</v>
      </c>
      <c r="B18" s="66">
        <v>13353</v>
      </c>
      <c r="D18">
        <f t="shared" si="0"/>
        <v>9.1955843565570099</v>
      </c>
      <c r="E18">
        <f t="shared" si="1"/>
        <v>9.1955843565570099</v>
      </c>
      <c r="G18">
        <f t="shared" ca="1" si="2"/>
        <v>16</v>
      </c>
      <c r="H18">
        <f t="shared" ca="1" si="3"/>
        <v>147.12934970491216</v>
      </c>
      <c r="I18">
        <f t="shared" ca="1" si="4"/>
        <v>38709.918688184378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17214</v>
      </c>
      <c r="B21" s="66">
        <v>17214</v>
      </c>
      <c r="D21">
        <f t="shared" si="0"/>
        <v>11.854473834626853</v>
      </c>
      <c r="E21">
        <f t="shared" si="1"/>
        <v>11.854473834626853</v>
      </c>
      <c r="G21">
        <f t="shared" ca="1" si="2"/>
        <v>19</v>
      </c>
      <c r="H21">
        <f t="shared" ca="1" si="3"/>
        <v>225.23500285791022</v>
      </c>
      <c r="I21">
        <f t="shared" ca="1" si="4"/>
        <v>45394.701665088796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18382</v>
      </c>
      <c r="B23" s="66">
        <v>18382</v>
      </c>
      <c r="D23">
        <f t="shared" si="0"/>
        <v>12.658820612763495</v>
      </c>
      <c r="E23">
        <f t="shared" si="1"/>
        <v>12.658820612763495</v>
      </c>
      <c r="G23">
        <f t="shared" ca="1" si="2"/>
        <v>21</v>
      </c>
      <c r="H23">
        <f t="shared" ca="1" si="3"/>
        <v>265.83523286803342</v>
      </c>
      <c r="I23">
        <f t="shared" ca="1" si="4"/>
        <v>45392.055203029551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16541</v>
      </c>
      <c r="B26" s="66">
        <v>16541</v>
      </c>
      <c r="D26">
        <f t="shared" si="0"/>
        <v>11.391010322909422</v>
      </c>
      <c r="E26">
        <f t="shared" si="1"/>
        <v>11.391010322909422</v>
      </c>
      <c r="G26">
        <f t="shared" ca="1" si="2"/>
        <v>24</v>
      </c>
      <c r="H26">
        <f t="shared" ca="1" si="3"/>
        <v>273.3842477498261</v>
      </c>
      <c r="I26">
        <f t="shared" ca="1" si="4"/>
        <v>36855.78388135261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17410</v>
      </c>
      <c r="B28" s="66">
        <v>17410</v>
      </c>
      <c r="D28">
        <f t="shared" si="0"/>
        <v>11.989449835067591</v>
      </c>
      <c r="E28">
        <f t="shared" si="1"/>
        <v>11.989449835067591</v>
      </c>
      <c r="G28">
        <f t="shared" ca="1" si="2"/>
        <v>26</v>
      </c>
      <c r="H28">
        <f t="shared" ca="1" si="3"/>
        <v>311.72569571175734</v>
      </c>
      <c r="I28">
        <f t="shared" ca="1" si="4"/>
        <v>36112.085924205036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19215</v>
      </c>
      <c r="B31" s="66">
        <v>19215</v>
      </c>
      <c r="D31">
        <f t="shared" si="0"/>
        <v>13.232468614636632</v>
      </c>
      <c r="E31">
        <f t="shared" si="1"/>
        <v>13.232468614636632</v>
      </c>
      <c r="G31">
        <f t="shared" ca="1" si="2"/>
        <v>29</v>
      </c>
      <c r="H31">
        <f t="shared" ca="1" si="3"/>
        <v>383.74158982446232</v>
      </c>
      <c r="I31">
        <f t="shared" ca="1" si="4"/>
        <v>35617.823251369933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18317</v>
      </c>
      <c r="B33" s="66">
        <v>18317</v>
      </c>
      <c r="D33">
        <f t="shared" si="0"/>
        <v>12.614058163637742</v>
      </c>
      <c r="E33">
        <f t="shared" si="1"/>
        <v>12.614058163637742</v>
      </c>
      <c r="G33">
        <f t="shared" ca="1" si="2"/>
        <v>31</v>
      </c>
      <c r="H33">
        <f t="shared" ca="1" si="3"/>
        <v>391.03580307276997</v>
      </c>
      <c r="I33">
        <f t="shared" ca="1" si="4"/>
        <v>31385.955241593321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26201</v>
      </c>
      <c r="B36" s="66">
        <v>26201</v>
      </c>
      <c r="D36">
        <f t="shared" si="0"/>
        <v>18.043398916060077</v>
      </c>
      <c r="E36">
        <f t="shared" si="1"/>
        <v>18.043398916060077</v>
      </c>
      <c r="G36">
        <f t="shared" ca="1" si="2"/>
        <v>34</v>
      </c>
      <c r="H36">
        <f t="shared" ca="1" si="3"/>
        <v>613.47556314604265</v>
      </c>
      <c r="I36">
        <f t="shared" ca="1" si="4"/>
        <v>39657.283086104057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36673</v>
      </c>
      <c r="B39" s="66">
        <v>36673</v>
      </c>
      <c r="D39">
        <f t="shared" si="0"/>
        <v>25.254973796750935</v>
      </c>
      <c r="E39">
        <f t="shared" si="1"/>
        <v>25.254973796750935</v>
      </c>
      <c r="G39">
        <f t="shared" ca="1" si="2"/>
        <v>37</v>
      </c>
      <c r="H39">
        <f t="shared" ca="1" si="3"/>
        <v>934.43403047978461</v>
      </c>
      <c r="I39">
        <f t="shared" ca="1" si="4"/>
        <v>48630.817536718219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41906</v>
      </c>
      <c r="B41" s="66">
        <v>41906</v>
      </c>
      <c r="D41">
        <f t="shared" si="0"/>
        <v>28.858695277905944</v>
      </c>
      <c r="E41">
        <f t="shared" si="1"/>
        <v>28.858695277905944</v>
      </c>
      <c r="G41">
        <f t="shared" ca="1" si="2"/>
        <v>39</v>
      </c>
      <c r="H41">
        <f t="shared" ca="1" si="3"/>
        <v>1125.4891158383318</v>
      </c>
      <c r="I41">
        <f t="shared" ca="1" si="4"/>
        <v>50620.094197360158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53688</v>
      </c>
      <c r="B44" s="66">
        <v>53688</v>
      </c>
      <c r="D44">
        <f t="shared" si="0"/>
        <v>36.972405671746628</v>
      </c>
      <c r="E44">
        <f t="shared" si="1"/>
        <v>36.972405671746628</v>
      </c>
      <c r="G44">
        <f t="shared" ca="1" si="2"/>
        <v>42</v>
      </c>
      <c r="H44">
        <f t="shared" ca="1" si="3"/>
        <v>1552.8410382133584</v>
      </c>
      <c r="I44">
        <f t="shared" ca="1" si="4"/>
        <v>55894.061954707046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56658</v>
      </c>
      <c r="B46" s="66">
        <v>56658</v>
      </c>
      <c r="D46">
        <f t="shared" si="0"/>
        <v>39.017705270261892</v>
      </c>
      <c r="E46">
        <f t="shared" si="1"/>
        <v>39.017705270261892</v>
      </c>
      <c r="G46">
        <f t="shared" ca="1" si="2"/>
        <v>44</v>
      </c>
      <c r="H46">
        <f t="shared" ca="1" si="3"/>
        <v>1716.7790318915233</v>
      </c>
      <c r="I46">
        <f t="shared" ca="1" si="4"/>
        <v>53073.890110320914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58777</v>
      </c>
      <c r="B49" s="66">
        <v>58777</v>
      </c>
      <c r="D49">
        <f t="shared" si="0"/>
        <v>40.476961111761504</v>
      </c>
      <c r="E49">
        <f t="shared" si="1"/>
        <v>40.476961111761504</v>
      </c>
      <c r="G49">
        <f t="shared" ca="1" si="2"/>
        <v>47</v>
      </c>
      <c r="H49">
        <f t="shared" ca="1" si="3"/>
        <v>1902.4171722527908</v>
      </c>
      <c r="I49">
        <f t="shared" ca="1" si="4"/>
        <v>46466.010292730454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56717</v>
      </c>
      <c r="B51" s="66">
        <v>56717</v>
      </c>
      <c r="D51">
        <f t="shared" si="0"/>
        <v>39.058335801006812</v>
      </c>
      <c r="E51">
        <f t="shared" si="1"/>
        <v>39.058335801006812</v>
      </c>
      <c r="G51">
        <f t="shared" ca="1" si="2"/>
        <v>49</v>
      </c>
      <c r="H51">
        <f t="shared" ca="1" si="3"/>
        <v>1913.8584542493338</v>
      </c>
      <c r="I51">
        <f t="shared" ca="1" si="4"/>
        <v>39700.282203518669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61692</v>
      </c>
      <c r="B54" s="66">
        <v>61692</v>
      </c>
      <c r="D54">
        <f t="shared" si="0"/>
        <v>42.484384791785743</v>
      </c>
      <c r="E54">
        <f t="shared" si="1"/>
        <v>42.484384791785743</v>
      </c>
      <c r="G54">
        <f t="shared" ca="1" si="2"/>
        <v>52</v>
      </c>
      <c r="H54">
        <f t="shared" ca="1" si="3"/>
        <v>2209.1880091728585</v>
      </c>
      <c r="I54">
        <f t="shared" ca="1" si="4"/>
        <v>35438.182138946031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67411</v>
      </c>
      <c r="B57" s="66">
        <v>67411</v>
      </c>
      <c r="D57">
        <f t="shared" si="0"/>
        <v>46.422791661788708</v>
      </c>
      <c r="E57">
        <f t="shared" si="1"/>
        <v>46.422791661788708</v>
      </c>
      <c r="G57">
        <f t="shared" ca="1" si="2"/>
        <v>55</v>
      </c>
      <c r="H57">
        <f t="shared" ca="1" si="3"/>
        <v>2553.2535413983787</v>
      </c>
      <c r="I57">
        <f t="shared" ca="1" si="4"/>
        <v>31096.610498018817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72972</v>
      </c>
      <c r="B59" s="66">
        <v>72972</v>
      </c>
      <c r="D59">
        <f t="shared" si="0"/>
        <v>50.252391347762909</v>
      </c>
      <c r="E59">
        <f t="shared" si="1"/>
        <v>50.252391347762909</v>
      </c>
      <c r="G59">
        <f t="shared" ca="1" si="2"/>
        <v>57</v>
      </c>
      <c r="H59">
        <f t="shared" ca="1" si="3"/>
        <v>2864.3863068224859</v>
      </c>
      <c r="I59">
        <f t="shared" ca="1" si="4"/>
        <v>28660.455926154471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78732</v>
      </c>
      <c r="B62" s="66">
        <v>78732</v>
      </c>
      <c r="D62">
        <f t="shared" si="0"/>
        <v>54.219032993368273</v>
      </c>
      <c r="E62">
        <f t="shared" si="1"/>
        <v>54.219032993368273</v>
      </c>
      <c r="G62">
        <f t="shared" ca="1" si="2"/>
        <v>60</v>
      </c>
      <c r="H62">
        <f t="shared" ca="1" si="3"/>
        <v>3253.1419796020964</v>
      </c>
      <c r="I62">
        <f t="shared" ca="1" si="4"/>
        <v>23641.703436419972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79292</v>
      </c>
      <c r="B64" s="66">
        <v>79292</v>
      </c>
      <c r="D64">
        <f t="shared" si="0"/>
        <v>54.604678708913234</v>
      </c>
      <c r="E64">
        <f t="shared" si="1"/>
        <v>54.604678708913234</v>
      </c>
      <c r="G64">
        <f t="shared" ca="1" si="2"/>
        <v>62</v>
      </c>
      <c r="H64">
        <f t="shared" ca="1" si="3"/>
        <v>3385.4900799526204</v>
      </c>
      <c r="I64">
        <f t="shared" ca="1" si="4"/>
        <v>19467.350003949377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83292</v>
      </c>
      <c r="B67" s="66">
        <v>83292</v>
      </c>
      <c r="D67">
        <f t="shared" ref="D67:D130" si="5">IFERROR(100*A67/MAX(A$2:A$257), 0 )</f>
        <v>57.359290962805851</v>
      </c>
      <c r="E67">
        <f t="shared" ref="E67:E130" si="6">IFERROR(100*B67/MAX(B$2:B$257), 0 )</f>
        <v>57.359290962805851</v>
      </c>
      <c r="G67">
        <f t="shared" ref="G67:G130" ca="1" si="7">CELL("row",D67)-2</f>
        <v>65</v>
      </c>
      <c r="H67">
        <f t="shared" ref="H67:H130" ca="1" si="8">D67*G67</f>
        <v>3728.3539125823804</v>
      </c>
      <c r="I67">
        <f t="shared" ref="I67:I130" ca="1" si="9">D67*((G67-$L$1)^2)</f>
        <v>14467.435739100372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82762</v>
      </c>
      <c r="B69" s="66">
        <v>82762</v>
      </c>
      <c r="D69">
        <f t="shared" si="5"/>
        <v>56.994304839165075</v>
      </c>
      <c r="E69">
        <f t="shared" si="6"/>
        <v>56.994304839165075</v>
      </c>
      <c r="G69">
        <f t="shared" ca="1" si="7"/>
        <v>67</v>
      </c>
      <c r="H69">
        <f t="shared" ca="1" si="8"/>
        <v>3818.6184242240602</v>
      </c>
      <c r="I69">
        <f t="shared" ca="1" si="9"/>
        <v>10982.714397364449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91349</v>
      </c>
      <c r="B72" s="66">
        <v>91349</v>
      </c>
      <c r="D72">
        <f t="shared" si="5"/>
        <v>62.907768695209043</v>
      </c>
      <c r="E72">
        <f t="shared" si="6"/>
        <v>62.907768695209043</v>
      </c>
      <c r="G72">
        <f t="shared" ca="1" si="7"/>
        <v>70</v>
      </c>
      <c r="H72">
        <f t="shared" ca="1" si="8"/>
        <v>4403.5438086646327</v>
      </c>
      <c r="I72">
        <f t="shared" ca="1" si="9"/>
        <v>7448.8417275284291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93345</v>
      </c>
      <c r="B75" s="66">
        <v>93345</v>
      </c>
      <c r="D75">
        <f t="shared" si="5"/>
        <v>64.282320209901457</v>
      </c>
      <c r="E75">
        <f t="shared" si="6"/>
        <v>64.282320209901457</v>
      </c>
      <c r="G75">
        <f t="shared" ca="1" si="7"/>
        <v>73</v>
      </c>
      <c r="H75">
        <f t="shared" ca="1" si="8"/>
        <v>4692.609375322806</v>
      </c>
      <c r="I75">
        <f t="shared" ca="1" si="9"/>
        <v>3993.1798855079128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100098</v>
      </c>
      <c r="B77" s="66">
        <v>100098</v>
      </c>
      <c r="D77">
        <f t="shared" si="5"/>
        <v>68.932794347535662</v>
      </c>
      <c r="E77">
        <f t="shared" si="6"/>
        <v>68.932794347535662</v>
      </c>
      <c r="G77">
        <f t="shared" ca="1" si="7"/>
        <v>75</v>
      </c>
      <c r="H77">
        <f t="shared" ca="1" si="8"/>
        <v>5169.9595760651746</v>
      </c>
      <c r="I77">
        <f t="shared" ca="1" si="9"/>
        <v>2384.5965568726083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105929</v>
      </c>
      <c r="B80" s="66">
        <v>105929</v>
      </c>
      <c r="D80">
        <f t="shared" si="5"/>
        <v>72.948330360647603</v>
      </c>
      <c r="E80">
        <f t="shared" si="6"/>
        <v>72.948330360647603</v>
      </c>
      <c r="G80">
        <f t="shared" ca="1" si="7"/>
        <v>78</v>
      </c>
      <c r="H80">
        <f t="shared" ca="1" si="8"/>
        <v>5689.9697681305133</v>
      </c>
      <c r="I80">
        <f t="shared" ca="1" si="9"/>
        <v>605.72958092391229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112270</v>
      </c>
      <c r="B82" s="66">
        <v>112270</v>
      </c>
      <c r="D82">
        <f t="shared" si="5"/>
        <v>77.315079436130873</v>
      </c>
      <c r="E82">
        <f t="shared" si="6"/>
        <v>77.315079436130873</v>
      </c>
      <c r="G82">
        <f t="shared" ca="1" si="7"/>
        <v>80</v>
      </c>
      <c r="H82">
        <f t="shared" ca="1" si="8"/>
        <v>6185.2063548904698</v>
      </c>
      <c r="I82">
        <f t="shared" ca="1" si="9"/>
        <v>60.088921915354547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122421</v>
      </c>
      <c r="B85" s="66">
        <v>122421</v>
      </c>
      <c r="D85">
        <f t="shared" si="5"/>
        <v>84.305596683446851</v>
      </c>
      <c r="E85">
        <f t="shared" si="6"/>
        <v>84.305596683446851</v>
      </c>
      <c r="G85">
        <f t="shared" ca="1" si="7"/>
        <v>83</v>
      </c>
      <c r="H85">
        <f t="shared" ca="1" si="8"/>
        <v>6997.3645247260883</v>
      </c>
      <c r="I85">
        <f t="shared" ca="1" si="9"/>
        <v>378.33605784388243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121051</v>
      </c>
      <c r="B88" s="66">
        <v>121051</v>
      </c>
      <c r="D88">
        <f t="shared" si="5"/>
        <v>83.362141986488624</v>
      </c>
      <c r="E88">
        <f t="shared" si="6"/>
        <v>83.362141986488624</v>
      </c>
      <c r="G88">
        <f t="shared" ca="1" si="7"/>
        <v>86</v>
      </c>
      <c r="H88">
        <f t="shared" ca="1" si="8"/>
        <v>7169.1442108380215</v>
      </c>
      <c r="I88">
        <f t="shared" ca="1" si="9"/>
        <v>2183.9341657469208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129907</v>
      </c>
      <c r="B90" s="66">
        <v>129907</v>
      </c>
      <c r="D90">
        <f t="shared" si="5"/>
        <v>89.460853516606875</v>
      </c>
      <c r="E90">
        <f t="shared" si="6"/>
        <v>89.460853516606875</v>
      </c>
      <c r="G90">
        <f t="shared" ca="1" si="7"/>
        <v>88</v>
      </c>
      <c r="H90">
        <f t="shared" ca="1" si="8"/>
        <v>7872.5551094614048</v>
      </c>
      <c r="I90">
        <f t="shared" ca="1" si="9"/>
        <v>4533.1429953667039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145211</v>
      </c>
      <c r="B93" s="66">
        <v>145211</v>
      </c>
      <c r="D93">
        <f t="shared" si="5"/>
        <v>100</v>
      </c>
      <c r="E93">
        <f t="shared" si="6"/>
        <v>100</v>
      </c>
      <c r="G93">
        <f t="shared" ca="1" si="7"/>
        <v>91</v>
      </c>
      <c r="H93">
        <f t="shared" ca="1" si="8"/>
        <v>9100</v>
      </c>
      <c r="I93">
        <f t="shared" ca="1" si="9"/>
        <v>10238.228469933452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137302</v>
      </c>
      <c r="B95" s="66">
        <v>137302</v>
      </c>
      <c r="D95">
        <f t="shared" si="5"/>
        <v>94.553442920990832</v>
      </c>
      <c r="E95">
        <f t="shared" si="6"/>
        <v>94.553442920990832</v>
      </c>
      <c r="G95">
        <f t="shared" ca="1" si="7"/>
        <v>93</v>
      </c>
      <c r="H95">
        <f t="shared" ca="1" si="8"/>
        <v>8793.4701916521481</v>
      </c>
      <c r="I95">
        <f t="shared" ca="1" si="9"/>
        <v>13885.734485512985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136920</v>
      </c>
      <c r="B98" s="66">
        <v>136920</v>
      </c>
      <c r="D98">
        <f t="shared" si="5"/>
        <v>94.290377450744089</v>
      </c>
      <c r="E98">
        <f t="shared" si="6"/>
        <v>94.290377450744089</v>
      </c>
      <c r="G98">
        <f t="shared" ca="1" si="7"/>
        <v>96</v>
      </c>
      <c r="H98">
        <f t="shared" ca="1" si="8"/>
        <v>9051.876235271433</v>
      </c>
      <c r="I98">
        <f t="shared" ca="1" si="9"/>
        <v>21551.613657175214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138815</v>
      </c>
      <c r="B100" s="66">
        <v>138815</v>
      </c>
      <c r="D100">
        <f t="shared" si="5"/>
        <v>95.595375006025719</v>
      </c>
      <c r="E100">
        <f t="shared" si="6"/>
        <v>95.595375006025719</v>
      </c>
      <c r="G100">
        <f t="shared" ca="1" si="7"/>
        <v>98</v>
      </c>
      <c r="H100">
        <f t="shared" ca="1" si="8"/>
        <v>9368.346750590521</v>
      </c>
      <c r="I100">
        <f t="shared" ca="1" si="9"/>
        <v>28013.275270333281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129379</v>
      </c>
      <c r="B103" s="66">
        <v>129379</v>
      </c>
      <c r="D103">
        <f t="shared" si="5"/>
        <v>89.097244699093039</v>
      </c>
      <c r="E103">
        <f t="shared" si="6"/>
        <v>89.097244699093039</v>
      </c>
      <c r="G103">
        <f t="shared" ca="1" si="7"/>
        <v>101</v>
      </c>
      <c r="H103">
        <f t="shared" ca="1" si="8"/>
        <v>8998.8217146083971</v>
      </c>
      <c r="I103">
        <f t="shared" ca="1" si="9"/>
        <v>36062.158592682179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123014</v>
      </c>
      <c r="B106" s="66">
        <v>123014</v>
      </c>
      <c r="D106">
        <f t="shared" si="5"/>
        <v>84.713967950086428</v>
      </c>
      <c r="E106">
        <f t="shared" si="6"/>
        <v>84.713967950086428</v>
      </c>
      <c r="G106">
        <f t="shared" ca="1" si="7"/>
        <v>104</v>
      </c>
      <c r="H106">
        <f t="shared" ca="1" si="8"/>
        <v>8810.2526668089886</v>
      </c>
      <c r="I106">
        <f t="shared" ca="1" si="9"/>
        <v>45276.314280653598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106909</v>
      </c>
      <c r="B108" s="66">
        <v>106909</v>
      </c>
      <c r="D108">
        <f t="shared" si="5"/>
        <v>73.623210362851296</v>
      </c>
      <c r="E108">
        <f t="shared" si="6"/>
        <v>73.623210362851296</v>
      </c>
      <c r="G108">
        <f t="shared" ca="1" si="7"/>
        <v>106</v>
      </c>
      <c r="H108">
        <f t="shared" ca="1" si="8"/>
        <v>7804.0602984622374</v>
      </c>
      <c r="I108">
        <f t="shared" ca="1" si="9"/>
        <v>46451.436614665632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95500</v>
      </c>
      <c r="B111" s="66">
        <v>95500</v>
      </c>
      <c r="D111">
        <f t="shared" si="5"/>
        <v>65.766367561686096</v>
      </c>
      <c r="E111">
        <f t="shared" si="6"/>
        <v>65.766367561686096</v>
      </c>
      <c r="G111">
        <f t="shared" ca="1" si="7"/>
        <v>109</v>
      </c>
      <c r="H111">
        <f t="shared" ca="1" si="8"/>
        <v>7168.5340642237843</v>
      </c>
      <c r="I111">
        <f t="shared" ca="1" si="9"/>
        <v>51997.860081381368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80393</v>
      </c>
      <c r="B113" s="66">
        <v>80393</v>
      </c>
      <c r="D113">
        <f t="shared" si="5"/>
        <v>55.362885731797178</v>
      </c>
      <c r="E113">
        <f t="shared" si="6"/>
        <v>55.362885731797178</v>
      </c>
      <c r="G113">
        <f t="shared" ca="1" si="7"/>
        <v>111</v>
      </c>
      <c r="H113">
        <f t="shared" ca="1" si="8"/>
        <v>6145.2803162294867</v>
      </c>
      <c r="I113">
        <f t="shared" ca="1" si="9"/>
        <v>50220.715064673197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69093</v>
      </c>
      <c r="B116" s="66">
        <v>69093</v>
      </c>
      <c r="D116">
        <f t="shared" si="5"/>
        <v>47.581106114550551</v>
      </c>
      <c r="E116">
        <f t="shared" si="6"/>
        <v>47.581106114550551</v>
      </c>
      <c r="G116">
        <f t="shared" ca="1" si="7"/>
        <v>114</v>
      </c>
      <c r="H116">
        <f t="shared" ca="1" si="8"/>
        <v>5424.2460970587626</v>
      </c>
      <c r="I116">
        <f t="shared" ca="1" si="9"/>
        <v>52188.350820703061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60874</v>
      </c>
      <c r="B118" s="66">
        <v>60874</v>
      </c>
      <c r="D118">
        <f t="shared" si="5"/>
        <v>41.921066585864708</v>
      </c>
      <c r="E118">
        <f t="shared" si="6"/>
        <v>41.921066585864708</v>
      </c>
      <c r="G118">
        <f t="shared" ca="1" si="7"/>
        <v>116</v>
      </c>
      <c r="H118">
        <f t="shared" ca="1" si="8"/>
        <v>4862.8437239603063</v>
      </c>
      <c r="I118">
        <f t="shared" ca="1" si="9"/>
        <v>51701.374763095584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45282</v>
      </c>
      <c r="B121" s="66">
        <v>45282</v>
      </c>
      <c r="D121">
        <f t="shared" si="5"/>
        <v>31.183588020191308</v>
      </c>
      <c r="E121">
        <f t="shared" si="6"/>
        <v>31.183588020191308</v>
      </c>
      <c r="G121">
        <f t="shared" ca="1" si="7"/>
        <v>119</v>
      </c>
      <c r="H121">
        <f t="shared" ca="1" si="8"/>
        <v>3710.8469744027657</v>
      </c>
      <c r="I121">
        <f t="shared" ca="1" si="9"/>
        <v>45310.171913548547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35538</v>
      </c>
      <c r="B124" s="66">
        <v>35538</v>
      </c>
      <c r="D124">
        <f t="shared" si="5"/>
        <v>24.473352569708908</v>
      </c>
      <c r="E124">
        <f t="shared" si="6"/>
        <v>24.473352569708908</v>
      </c>
      <c r="G124">
        <f t="shared" ca="1" si="7"/>
        <v>122</v>
      </c>
      <c r="H124">
        <f t="shared" ca="1" si="8"/>
        <v>2985.7490135044868</v>
      </c>
      <c r="I124">
        <f t="shared" ca="1" si="9"/>
        <v>41377.682104609587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24150</v>
      </c>
      <c r="B126" s="66">
        <v>24150</v>
      </c>
      <c r="D126">
        <f t="shared" si="5"/>
        <v>16.630971482876642</v>
      </c>
      <c r="E126">
        <f t="shared" si="6"/>
        <v>16.630971482876642</v>
      </c>
      <c r="G126">
        <f t="shared" ca="1" si="7"/>
        <v>124</v>
      </c>
      <c r="H126">
        <f t="shared" ca="1" si="8"/>
        <v>2062.2404638767039</v>
      </c>
      <c r="I126">
        <f t="shared" ca="1" si="9"/>
        <v>30920.261479682682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24699</v>
      </c>
      <c r="B129" s="66">
        <v>24699</v>
      </c>
      <c r="D129">
        <f t="shared" si="5"/>
        <v>17.009042014723402</v>
      </c>
      <c r="E129">
        <f t="shared" si="6"/>
        <v>17.009042014723402</v>
      </c>
      <c r="G129">
        <f t="shared" ca="1" si="7"/>
        <v>127</v>
      </c>
      <c r="H129">
        <f t="shared" ca="1" si="8"/>
        <v>2160.148335869872</v>
      </c>
      <c r="I129">
        <f t="shared" ca="1" si="9"/>
        <v>36176.668070752348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17166</v>
      </c>
      <c r="B131" s="66">
        <v>17166</v>
      </c>
      <c r="D131">
        <f t="shared" ref="D131:D194" si="10">IFERROR(100*A131/MAX(A$2:A$257), 0 )</f>
        <v>11.821418487580141</v>
      </c>
      <c r="E131">
        <f t="shared" ref="E131:E194" si="11">IFERROR(100*B131/MAX(B$2:B$257), 0 )</f>
        <v>11.821418487580141</v>
      </c>
      <c r="G131">
        <f t="shared" ref="G131:G194" ca="1" si="12">CELL("row",D131)-2</f>
        <v>129</v>
      </c>
      <c r="H131">
        <f t="shared" ref="H131:H194" ca="1" si="13">D131*G131</f>
        <v>1524.9629848978382</v>
      </c>
      <c r="I131">
        <f t="shared" ref="I131:I194" ca="1" si="14">D131*((G131-$L$1)^2)</f>
        <v>27371.095847336936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12911</v>
      </c>
      <c r="B134" s="66">
        <v>12911</v>
      </c>
      <c r="D134">
        <f t="shared" si="10"/>
        <v>8.8911997025018774</v>
      </c>
      <c r="E134">
        <f t="shared" si="11"/>
        <v>8.8911997025018774</v>
      </c>
      <c r="G134">
        <f t="shared" ca="1" si="12"/>
        <v>132</v>
      </c>
      <c r="H134">
        <f t="shared" ca="1" si="13"/>
        <v>1173.6383607302478</v>
      </c>
      <c r="I134">
        <f t="shared" ca="1" si="14"/>
        <v>23233.524263179057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8126</v>
      </c>
      <c r="B136" s="66">
        <v>8126</v>
      </c>
      <c r="D136">
        <f t="shared" si="10"/>
        <v>5.5959947937828405</v>
      </c>
      <c r="E136">
        <f t="shared" si="11"/>
        <v>5.5959947937828405</v>
      </c>
      <c r="G136">
        <f t="shared" ca="1" si="12"/>
        <v>134</v>
      </c>
      <c r="H136">
        <f t="shared" ca="1" si="13"/>
        <v>749.8633023669006</v>
      </c>
      <c r="I136">
        <f t="shared" ca="1" si="14"/>
        <v>15789.467615009786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3576</v>
      </c>
      <c r="B139" s="66">
        <v>3576</v>
      </c>
      <c r="D139">
        <f t="shared" si="10"/>
        <v>2.4626233549799945</v>
      </c>
      <c r="E139">
        <f t="shared" si="11"/>
        <v>2.4626233549799945</v>
      </c>
      <c r="G139">
        <f t="shared" ca="1" si="12"/>
        <v>137</v>
      </c>
      <c r="H139">
        <f t="shared" ca="1" si="13"/>
        <v>337.37939963225926</v>
      </c>
      <c r="I139">
        <f t="shared" ca="1" si="14"/>
        <v>7755.4813544015087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1569</v>
      </c>
      <c r="B142" s="66">
        <v>1569</v>
      </c>
      <c r="D142">
        <f t="shared" si="10"/>
        <v>1.0804966565893768</v>
      </c>
      <c r="E142">
        <f t="shared" si="11"/>
        <v>1.0804966565893768</v>
      </c>
      <c r="G142">
        <f t="shared" ca="1" si="12"/>
        <v>140</v>
      </c>
      <c r="H142">
        <f t="shared" ca="1" si="13"/>
        <v>151.26953192251275</v>
      </c>
      <c r="I142">
        <f t="shared" ca="1" si="14"/>
        <v>3776.3215236141505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392</v>
      </c>
      <c r="B144" s="66">
        <v>392</v>
      </c>
      <c r="D144">
        <f t="shared" si="10"/>
        <v>0.26995200088147592</v>
      </c>
      <c r="E144">
        <f t="shared" si="11"/>
        <v>0.26995200088147592</v>
      </c>
      <c r="G144">
        <f t="shared" ca="1" si="12"/>
        <v>142</v>
      </c>
      <c r="H144">
        <f t="shared" ca="1" si="13"/>
        <v>38.333184125169581</v>
      </c>
      <c r="I144">
        <f t="shared" ca="1" si="14"/>
        <v>1008.3950162464356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117</v>
      </c>
      <c r="B147" s="66">
        <v>117</v>
      </c>
      <c r="D147">
        <f t="shared" si="10"/>
        <v>8.0572408426358891E-2</v>
      </c>
      <c r="E147">
        <f t="shared" si="11"/>
        <v>8.0572408426358891E-2</v>
      </c>
      <c r="G147">
        <f t="shared" ca="1" si="12"/>
        <v>145</v>
      </c>
      <c r="H147">
        <f t="shared" ca="1" si="13"/>
        <v>11.682999221822039</v>
      </c>
      <c r="I147">
        <f t="shared" ca="1" si="14"/>
        <v>331.24694127096654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0.16117200000000001</v>
      </c>
      <c r="B2" s="68">
        <v>0.71862099999999995</v>
      </c>
      <c r="C2" s="68">
        <v>0</v>
      </c>
      <c r="D2" s="68">
        <v>1</v>
      </c>
      <c r="E2" s="68" t="s">
        <v>409</v>
      </c>
    </row>
    <row r="3" spans="1:5">
      <c r="A3" s="68">
        <v>0.16513700000000001</v>
      </c>
      <c r="B3" s="68">
        <v>0.71530400000000005</v>
      </c>
      <c r="C3" s="68">
        <v>0.38896900000000001</v>
      </c>
      <c r="D3" s="89">
        <v>1</v>
      </c>
      <c r="E3" s="68" t="s">
        <v>410</v>
      </c>
    </row>
    <row r="4" spans="1:5">
      <c r="A4" s="68">
        <v>0.16903899999999999</v>
      </c>
      <c r="B4" s="68">
        <v>0.71253</v>
      </c>
      <c r="C4" s="68">
        <v>0.79472500000000001</v>
      </c>
      <c r="D4" s="89">
        <v>1</v>
      </c>
      <c r="E4" s="68" t="s">
        <v>411</v>
      </c>
    </row>
    <row r="5" spans="1:5">
      <c r="A5" s="89">
        <v>0.17296700000000001</v>
      </c>
      <c r="B5" s="89">
        <v>0.70955199999999996</v>
      </c>
      <c r="C5" s="89">
        <v>1.1976500000000001</v>
      </c>
      <c r="D5" s="89">
        <v>1</v>
      </c>
      <c r="E5" s="68" t="s">
        <v>412</v>
      </c>
    </row>
    <row r="6" spans="1:5">
      <c r="A6" s="68">
        <v>0.17688499999999999</v>
      </c>
      <c r="B6" s="68">
        <v>0.705515</v>
      </c>
      <c r="C6" s="68">
        <v>1.6075999999999999</v>
      </c>
      <c r="D6" s="68">
        <v>1</v>
      </c>
      <c r="E6" s="68" t="s">
        <v>413</v>
      </c>
    </row>
    <row r="7" spans="1:5">
      <c r="A7" s="68">
        <v>0.18069499999999999</v>
      </c>
      <c r="B7" s="68">
        <v>0.70039200000000001</v>
      </c>
      <c r="C7" s="68">
        <v>2.0154100000000001</v>
      </c>
      <c r="D7" s="68">
        <v>1</v>
      </c>
      <c r="E7" s="68" t="s">
        <v>414</v>
      </c>
    </row>
    <row r="8" spans="1:5">
      <c r="A8" s="68">
        <v>0.184365</v>
      </c>
      <c r="B8" s="68">
        <v>0.69483600000000001</v>
      </c>
      <c r="C8" s="68">
        <v>2.4194300000000002</v>
      </c>
      <c r="D8" s="68">
        <v>1</v>
      </c>
      <c r="E8" s="68" t="s">
        <v>415</v>
      </c>
    </row>
    <row r="9" spans="1:5">
      <c r="A9" s="68">
        <v>0.18815699999999999</v>
      </c>
      <c r="B9" s="68">
        <v>0.68772100000000003</v>
      </c>
      <c r="C9" s="68">
        <v>2.8283700000000001</v>
      </c>
      <c r="D9" s="68">
        <v>1</v>
      </c>
      <c r="E9" s="68" t="s">
        <v>416</v>
      </c>
    </row>
    <row r="10" spans="1:5">
      <c r="A10" s="68">
        <v>0.19198499999999999</v>
      </c>
      <c r="B10" s="68">
        <v>0.67949499999999996</v>
      </c>
      <c r="C10" s="68">
        <v>3.2325900000000001</v>
      </c>
      <c r="D10" s="68">
        <v>1</v>
      </c>
      <c r="E10" s="68" t="s">
        <v>417</v>
      </c>
    </row>
    <row r="11" spans="1:5">
      <c r="A11" s="68">
        <v>0.19569</v>
      </c>
      <c r="B11" s="68">
        <v>0.67106200000000005</v>
      </c>
      <c r="C11" s="68">
        <v>3.6364299999999998</v>
      </c>
      <c r="D11" s="68">
        <v>1</v>
      </c>
      <c r="E11" s="68" t="s">
        <v>418</v>
      </c>
    </row>
    <row r="12" spans="1:5">
      <c r="A12" s="68">
        <v>0.199236</v>
      </c>
      <c r="B12" s="68">
        <v>0.66289299999999995</v>
      </c>
      <c r="C12" s="68">
        <v>4.0432600000000001</v>
      </c>
      <c r="D12" s="68">
        <v>1</v>
      </c>
      <c r="E12" s="68" t="s">
        <v>419</v>
      </c>
    </row>
    <row r="13" spans="1:5">
      <c r="A13" s="68">
        <v>0.20263800000000001</v>
      </c>
      <c r="B13" s="68">
        <v>0.65536499999999998</v>
      </c>
      <c r="C13" s="68">
        <v>4.4521100000000002</v>
      </c>
      <c r="D13" s="68">
        <v>1</v>
      </c>
      <c r="E13" s="68" t="s">
        <v>420</v>
      </c>
    </row>
    <row r="14" spans="1:5">
      <c r="A14" s="68">
        <v>0.205902</v>
      </c>
      <c r="B14" s="68">
        <v>0.64789399999999997</v>
      </c>
      <c r="C14" s="68">
        <v>4.8569100000000001</v>
      </c>
      <c r="D14" s="68">
        <v>1</v>
      </c>
      <c r="E14" s="68" t="s">
        <v>421</v>
      </c>
    </row>
    <row r="15" spans="1:5">
      <c r="A15" s="68">
        <v>0.20918800000000001</v>
      </c>
      <c r="B15" s="68">
        <v>0.64056199999999996</v>
      </c>
      <c r="C15" s="68">
        <v>5.2599799999999997</v>
      </c>
      <c r="D15" s="68">
        <v>1</v>
      </c>
      <c r="E15" s="68" t="s">
        <v>422</v>
      </c>
    </row>
    <row r="16" spans="1:5">
      <c r="A16" s="68">
        <v>0.21256</v>
      </c>
      <c r="B16" s="68">
        <v>0.63283599999999995</v>
      </c>
      <c r="C16" s="68">
        <v>5.6687799999999999</v>
      </c>
      <c r="D16" s="68">
        <v>1</v>
      </c>
      <c r="E16" s="68" t="s">
        <v>423</v>
      </c>
    </row>
    <row r="17" spans="1:5">
      <c r="A17" s="68">
        <v>0.215615</v>
      </c>
      <c r="B17" s="68">
        <v>0.62572399999999995</v>
      </c>
      <c r="C17" s="68">
        <v>6.0767100000000003</v>
      </c>
      <c r="D17" s="68">
        <v>1</v>
      </c>
      <c r="E17" s="68" t="s">
        <v>424</v>
      </c>
    </row>
    <row r="18" spans="1:5">
      <c r="A18" s="68">
        <v>0.218199</v>
      </c>
      <c r="B18" s="68">
        <v>0.61983699999999997</v>
      </c>
      <c r="C18" s="68">
        <v>6.4809099999999997</v>
      </c>
      <c r="D18" s="68">
        <v>1</v>
      </c>
      <c r="E18" s="68" t="s">
        <v>425</v>
      </c>
    </row>
    <row r="19" spans="1:5">
      <c r="A19" s="68">
        <v>0.22075600000000001</v>
      </c>
      <c r="B19" s="68">
        <v>0.61372199999999999</v>
      </c>
      <c r="C19" s="68">
        <v>6.8879299999999999</v>
      </c>
      <c r="D19" s="68">
        <v>1</v>
      </c>
      <c r="E19" s="68" t="s">
        <v>426</v>
      </c>
    </row>
    <row r="20" spans="1:5">
      <c r="A20" s="68">
        <v>0.22348699999999999</v>
      </c>
      <c r="B20" s="68">
        <v>0.60691799999999996</v>
      </c>
      <c r="C20" s="68">
        <v>7.2904400000000003</v>
      </c>
      <c r="D20" s="68">
        <v>1</v>
      </c>
      <c r="E20" s="68" t="s">
        <v>427</v>
      </c>
    </row>
    <row r="21" spans="1:5">
      <c r="A21" s="68">
        <v>0.22650200000000001</v>
      </c>
      <c r="B21" s="68">
        <v>0.59981899999999999</v>
      </c>
      <c r="C21" s="68">
        <v>7.7017600000000002</v>
      </c>
      <c r="D21" s="68">
        <v>1</v>
      </c>
      <c r="E21" s="68" t="s">
        <v>428</v>
      </c>
    </row>
    <row r="22" spans="1:5">
      <c r="A22" s="68">
        <v>0.22955100000000001</v>
      </c>
      <c r="B22" s="68">
        <v>0.59301999999999999</v>
      </c>
      <c r="C22" s="68">
        <v>8.1073199999999996</v>
      </c>
      <c r="D22" s="68">
        <v>1</v>
      </c>
      <c r="E22" s="68" t="s">
        <v>429</v>
      </c>
    </row>
    <row r="23" spans="1:5">
      <c r="A23" s="68">
        <v>0.23258300000000001</v>
      </c>
      <c r="B23" s="68">
        <v>0.58619299999999996</v>
      </c>
      <c r="C23" s="68">
        <v>8.5123899999999999</v>
      </c>
      <c r="D23" s="68">
        <v>1</v>
      </c>
      <c r="E23" s="68" t="s">
        <v>430</v>
      </c>
    </row>
    <row r="24" spans="1:5">
      <c r="A24" s="68">
        <v>0.23564399999999999</v>
      </c>
      <c r="B24" s="68">
        <v>0.579955</v>
      </c>
      <c r="C24" s="68">
        <v>8.9219899999999992</v>
      </c>
      <c r="D24" s="68">
        <v>1</v>
      </c>
      <c r="E24" s="68" t="s">
        <v>431</v>
      </c>
    </row>
    <row r="25" spans="1:5">
      <c r="A25" s="68">
        <v>0.23822299999999999</v>
      </c>
      <c r="B25" s="68">
        <v>0.57576400000000005</v>
      </c>
      <c r="C25" s="68">
        <v>9.32897</v>
      </c>
      <c r="D25" s="68">
        <v>1</v>
      </c>
      <c r="E25" s="68" t="s">
        <v>432</v>
      </c>
    </row>
    <row r="26" spans="1:5">
      <c r="A26" s="68">
        <v>0.240955</v>
      </c>
      <c r="B26" s="68">
        <v>0.57170299999999996</v>
      </c>
      <c r="C26" s="68">
        <v>9.7308800000000009</v>
      </c>
      <c r="D26" s="68">
        <v>1</v>
      </c>
      <c r="E26" s="68" t="s">
        <v>433</v>
      </c>
    </row>
    <row r="27" spans="1:5">
      <c r="A27" s="68">
        <v>0.24377299999999999</v>
      </c>
      <c r="B27" s="68">
        <v>0.56757500000000005</v>
      </c>
      <c r="C27" s="68">
        <v>10.1379</v>
      </c>
      <c r="D27" s="68">
        <v>1</v>
      </c>
      <c r="E27" s="68" t="s">
        <v>434</v>
      </c>
    </row>
    <row r="28" spans="1:5">
      <c r="A28" s="68">
        <v>0.24673900000000001</v>
      </c>
      <c r="B28" s="68">
        <v>0.56378899999999998</v>
      </c>
      <c r="C28" s="68">
        <v>10.541600000000001</v>
      </c>
      <c r="D28" s="68">
        <v>1</v>
      </c>
      <c r="E28" s="68" t="s">
        <v>435</v>
      </c>
    </row>
    <row r="29" spans="1:5">
      <c r="A29" s="68">
        <v>0.24976499999999999</v>
      </c>
      <c r="B29" s="68">
        <v>0.559782</v>
      </c>
      <c r="C29" s="68">
        <v>10.951700000000001</v>
      </c>
      <c r="D29" s="68">
        <v>1</v>
      </c>
      <c r="E29" s="68" t="s">
        <v>436</v>
      </c>
    </row>
    <row r="30" spans="1:5">
      <c r="A30" s="68">
        <v>0.25262000000000001</v>
      </c>
      <c r="B30" s="68">
        <v>0.55621799999999999</v>
      </c>
      <c r="C30" s="68">
        <v>11.3574</v>
      </c>
      <c r="D30" s="68">
        <v>1</v>
      </c>
      <c r="E30" s="68" t="s">
        <v>437</v>
      </c>
    </row>
    <row r="31" spans="1:5">
      <c r="A31" s="68">
        <v>0.25509599999999999</v>
      </c>
      <c r="B31" s="68">
        <v>0.55372699999999997</v>
      </c>
      <c r="C31" s="68">
        <v>11.7646</v>
      </c>
      <c r="D31" s="68">
        <v>1</v>
      </c>
      <c r="E31" s="68" t="s">
        <v>438</v>
      </c>
    </row>
    <row r="32" spans="1:5">
      <c r="A32" s="68">
        <v>0.25754199999999999</v>
      </c>
      <c r="B32" s="68">
        <v>0.551207</v>
      </c>
      <c r="C32" s="68">
        <v>12.1707</v>
      </c>
      <c r="D32" s="68">
        <v>1</v>
      </c>
      <c r="E32" s="68" t="s">
        <v>439</v>
      </c>
    </row>
    <row r="33" spans="1:5">
      <c r="A33" s="68">
        <v>0.259849</v>
      </c>
      <c r="B33" s="68">
        <v>0.54895799999999995</v>
      </c>
      <c r="C33" s="68">
        <v>12.575200000000001</v>
      </c>
      <c r="D33" s="68">
        <v>1</v>
      </c>
      <c r="E33" s="68" t="s">
        <v>440</v>
      </c>
    </row>
    <row r="34" spans="1:5">
      <c r="A34" s="68">
        <v>0.26219799999999999</v>
      </c>
      <c r="B34" s="68">
        <v>0.545906</v>
      </c>
      <c r="C34" s="68">
        <v>12.982100000000001</v>
      </c>
      <c r="D34" s="68">
        <v>1</v>
      </c>
      <c r="E34" s="68" t="s">
        <v>441</v>
      </c>
    </row>
    <row r="35" spans="1:5">
      <c r="A35" s="68">
        <v>0.26480999999999999</v>
      </c>
      <c r="B35" s="68">
        <v>0.54179900000000003</v>
      </c>
      <c r="C35" s="68">
        <v>13.385999999999999</v>
      </c>
      <c r="D35" s="68">
        <v>1</v>
      </c>
      <c r="E35" s="68" t="s">
        <v>442</v>
      </c>
    </row>
    <row r="36" spans="1:5">
      <c r="A36" s="68">
        <v>0.267536</v>
      </c>
      <c r="B36" s="68">
        <v>0.53748099999999999</v>
      </c>
      <c r="C36" s="68">
        <v>13.807</v>
      </c>
      <c r="D36" s="68">
        <v>1</v>
      </c>
      <c r="E36" s="68" t="s">
        <v>443</v>
      </c>
    </row>
    <row r="37" spans="1:5">
      <c r="A37" s="68">
        <v>0.27020499999999997</v>
      </c>
      <c r="B37" s="68">
        <v>0.53366000000000002</v>
      </c>
      <c r="C37" s="68">
        <v>14.202</v>
      </c>
      <c r="D37" s="68">
        <v>1</v>
      </c>
      <c r="E37" s="68" t="s">
        <v>444</v>
      </c>
    </row>
    <row r="38" spans="1:5">
      <c r="A38" s="68">
        <v>0.27295900000000001</v>
      </c>
      <c r="B38" s="68">
        <v>0.53027999999999997</v>
      </c>
      <c r="C38" s="68">
        <v>14.6044</v>
      </c>
      <c r="D38" s="68">
        <v>1</v>
      </c>
      <c r="E38" s="68" t="s">
        <v>445</v>
      </c>
    </row>
    <row r="39" spans="1:5">
      <c r="A39" s="68">
        <v>0.27572999999999998</v>
      </c>
      <c r="B39" s="68">
        <v>0.52763499999999997</v>
      </c>
      <c r="C39" s="68">
        <v>15.0078</v>
      </c>
      <c r="D39" s="68">
        <v>1</v>
      </c>
      <c r="E39" s="68" t="s">
        <v>446</v>
      </c>
    </row>
    <row r="40" spans="1:5">
      <c r="A40" s="68">
        <v>0.278478</v>
      </c>
      <c r="B40" s="68">
        <v>0.52539499999999995</v>
      </c>
      <c r="C40" s="68">
        <v>15.422599999999999</v>
      </c>
      <c r="D40" s="68">
        <v>1</v>
      </c>
      <c r="E40" s="68" t="s">
        <v>447</v>
      </c>
    </row>
    <row r="41" spans="1:5">
      <c r="A41" s="68">
        <v>0.28104899999999999</v>
      </c>
      <c r="B41" s="68">
        <v>0.52356800000000003</v>
      </c>
      <c r="C41" s="68">
        <v>15.823600000000001</v>
      </c>
      <c r="D41" s="68">
        <v>1</v>
      </c>
      <c r="E41" s="68" t="s">
        <v>448</v>
      </c>
    </row>
    <row r="42" spans="1:5">
      <c r="A42" s="68">
        <v>0.28376499999999999</v>
      </c>
      <c r="B42" s="68">
        <v>0.522617</v>
      </c>
      <c r="C42" s="68">
        <v>16.230499999999999</v>
      </c>
      <c r="D42" s="68">
        <v>1</v>
      </c>
      <c r="E42" s="68" t="s">
        <v>449</v>
      </c>
    </row>
    <row r="43" spans="1:5">
      <c r="A43" s="68">
        <v>0.28669099999999997</v>
      </c>
      <c r="B43" s="68">
        <v>0.52227400000000002</v>
      </c>
      <c r="C43" s="68">
        <v>16.641400000000001</v>
      </c>
      <c r="D43" s="68">
        <v>1</v>
      </c>
      <c r="E43" s="68" t="s">
        <v>450</v>
      </c>
    </row>
    <row r="44" spans="1:5">
      <c r="A44" s="68">
        <v>0.289466</v>
      </c>
      <c r="B44" s="68">
        <v>0.52212000000000003</v>
      </c>
      <c r="C44" s="68">
        <v>17.043199999999999</v>
      </c>
      <c r="D44" s="68">
        <v>1</v>
      </c>
      <c r="E44" s="68" t="s">
        <v>451</v>
      </c>
    </row>
    <row r="45" spans="1:5">
      <c r="A45" s="68">
        <v>0.29177999999999998</v>
      </c>
      <c r="B45" s="68">
        <v>0.52197099999999996</v>
      </c>
      <c r="C45" s="68">
        <v>17.4512</v>
      </c>
      <c r="D45" s="68">
        <v>1</v>
      </c>
      <c r="E45" s="68" t="s">
        <v>452</v>
      </c>
    </row>
    <row r="46" spans="1:5">
      <c r="A46" s="68">
        <v>0.29416100000000001</v>
      </c>
      <c r="B46" s="68">
        <v>0.52066100000000004</v>
      </c>
      <c r="C46" s="68">
        <v>17.859200000000001</v>
      </c>
      <c r="D46" s="68">
        <v>1</v>
      </c>
      <c r="E46" s="68" t="s">
        <v>453</v>
      </c>
    </row>
    <row r="47" spans="1:5">
      <c r="A47" s="68">
        <v>0.29609000000000002</v>
      </c>
      <c r="B47" s="68">
        <v>0.519787</v>
      </c>
      <c r="C47" s="68">
        <v>18.266200000000001</v>
      </c>
      <c r="D47" s="68">
        <v>1</v>
      </c>
      <c r="E47" s="68" t="s">
        <v>454</v>
      </c>
    </row>
    <row r="48" spans="1:5">
      <c r="A48" s="68">
        <v>0.29761599999999999</v>
      </c>
      <c r="B48" s="68">
        <v>0.51893199999999995</v>
      </c>
      <c r="C48" s="68">
        <v>18.6692</v>
      </c>
      <c r="D48" s="68">
        <v>1</v>
      </c>
      <c r="E48" s="68" t="s">
        <v>455</v>
      </c>
    </row>
    <row r="49" spans="1:5">
      <c r="A49" s="68">
        <v>0.298933</v>
      </c>
      <c r="B49" s="68">
        <v>0.518069</v>
      </c>
      <c r="C49" s="68">
        <v>19.071999999999999</v>
      </c>
      <c r="D49" s="68">
        <v>1</v>
      </c>
      <c r="E49" s="68" t="s">
        <v>456</v>
      </c>
    </row>
    <row r="50" spans="1:5">
      <c r="A50" s="68">
        <v>0.30076999999999998</v>
      </c>
      <c r="B50" s="68">
        <v>0.51735299999999995</v>
      </c>
      <c r="C50" s="68">
        <v>19.482900000000001</v>
      </c>
      <c r="D50" s="68">
        <v>1</v>
      </c>
      <c r="E50" s="68" t="s">
        <v>457</v>
      </c>
    </row>
    <row r="51" spans="1:5">
      <c r="A51" s="68">
        <v>0.30251400000000001</v>
      </c>
      <c r="B51" s="68">
        <v>0.51626399999999995</v>
      </c>
      <c r="C51" s="68">
        <v>19.895700000000001</v>
      </c>
      <c r="D51" s="68">
        <v>1</v>
      </c>
      <c r="E51" s="68" t="s">
        <v>458</v>
      </c>
    </row>
    <row r="52" spans="1:5">
      <c r="A52" s="68">
        <v>0.30384299999999997</v>
      </c>
      <c r="B52" s="68">
        <v>0.51554699999999998</v>
      </c>
      <c r="C52" s="68">
        <v>20.2927</v>
      </c>
      <c r="D52" s="68">
        <v>1</v>
      </c>
      <c r="E52" s="68" t="s">
        <v>459</v>
      </c>
    </row>
    <row r="53" spans="1:5">
      <c r="A53" s="68">
        <v>0.30526199999999998</v>
      </c>
      <c r="B53" s="68">
        <v>0.51422800000000002</v>
      </c>
      <c r="C53" s="68">
        <v>20.700600000000001</v>
      </c>
      <c r="D53" s="68">
        <v>1</v>
      </c>
      <c r="E53" s="68" t="s">
        <v>460</v>
      </c>
    </row>
    <row r="54" spans="1:5">
      <c r="A54" s="68">
        <v>0.30660900000000002</v>
      </c>
      <c r="B54" s="68">
        <v>0.51293699999999998</v>
      </c>
      <c r="C54" s="68">
        <v>21.110600000000002</v>
      </c>
      <c r="D54" s="68">
        <v>1</v>
      </c>
      <c r="E54" s="68" t="s">
        <v>461</v>
      </c>
    </row>
    <row r="55" spans="1:5">
      <c r="A55" s="68">
        <v>0.30782700000000002</v>
      </c>
      <c r="B55" s="68">
        <v>0.51211099999999998</v>
      </c>
      <c r="C55" s="68">
        <v>21.511700000000001</v>
      </c>
      <c r="D55" s="68">
        <v>1</v>
      </c>
      <c r="E55" s="68" t="s">
        <v>462</v>
      </c>
    </row>
    <row r="56" spans="1:5">
      <c r="A56" s="68">
        <v>0.30894300000000002</v>
      </c>
      <c r="B56" s="68">
        <v>0.51192300000000002</v>
      </c>
      <c r="C56" s="68">
        <v>21.921500000000002</v>
      </c>
      <c r="D56" s="68">
        <v>1</v>
      </c>
      <c r="E56" s="68" t="s">
        <v>463</v>
      </c>
    </row>
    <row r="57" spans="1:5">
      <c r="A57" s="68">
        <v>0.30965599999999999</v>
      </c>
      <c r="B57" s="68">
        <v>0.51243799999999995</v>
      </c>
      <c r="C57" s="68">
        <v>22.3262</v>
      </c>
      <c r="D57" s="68">
        <v>1</v>
      </c>
      <c r="E57" s="68" t="s">
        <v>464</v>
      </c>
    </row>
    <row r="58" spans="1:5">
      <c r="A58" s="68">
        <v>0.310199</v>
      </c>
      <c r="B58" s="68">
        <v>0.51314700000000002</v>
      </c>
      <c r="C58" s="68">
        <v>22.731999999999999</v>
      </c>
      <c r="D58" s="68">
        <v>1</v>
      </c>
      <c r="E58" s="68" t="s">
        <v>465</v>
      </c>
    </row>
    <row r="59" spans="1:5">
      <c r="A59" s="68">
        <v>0.31025599999999998</v>
      </c>
      <c r="B59" s="68">
        <v>0.51382799999999995</v>
      </c>
      <c r="C59" s="68">
        <v>23.135200000000001</v>
      </c>
      <c r="D59" s="68">
        <v>1</v>
      </c>
      <c r="E59" s="68" t="s">
        <v>466</v>
      </c>
    </row>
    <row r="60" spans="1:5">
      <c r="A60" s="68">
        <v>0.30989899999999998</v>
      </c>
      <c r="B60" s="68">
        <v>0.51451599999999997</v>
      </c>
      <c r="C60" s="68">
        <v>23.544</v>
      </c>
      <c r="D60" s="68">
        <v>1</v>
      </c>
      <c r="E60" s="68" t="s">
        <v>467</v>
      </c>
    </row>
    <row r="61" spans="1:5">
      <c r="A61" s="68">
        <v>0.30931599999999998</v>
      </c>
      <c r="B61" s="68">
        <v>0.515347</v>
      </c>
      <c r="C61" s="68">
        <v>23.956099999999999</v>
      </c>
      <c r="D61" s="68">
        <v>1</v>
      </c>
      <c r="E61" s="68" t="s">
        <v>468</v>
      </c>
    </row>
    <row r="62" spans="1:5">
      <c r="A62" s="68">
        <v>0.30896800000000002</v>
      </c>
      <c r="B62" s="68">
        <v>0.51583199999999996</v>
      </c>
      <c r="C62" s="68">
        <v>24.357900000000001</v>
      </c>
      <c r="D62" s="68">
        <v>1</v>
      </c>
      <c r="E62" s="68" t="s">
        <v>469</v>
      </c>
    </row>
    <row r="63" spans="1:5">
      <c r="A63" s="68">
        <v>0.308921</v>
      </c>
      <c r="B63" s="68">
        <v>0.51623300000000005</v>
      </c>
      <c r="C63" s="68">
        <v>24.762799999999999</v>
      </c>
      <c r="D63" s="68">
        <v>1</v>
      </c>
      <c r="E63" s="68" t="s">
        <v>470</v>
      </c>
    </row>
    <row r="64" spans="1:5">
      <c r="A64" s="68">
        <v>0.30881999999999998</v>
      </c>
      <c r="B64" s="68">
        <v>0.51647399999999999</v>
      </c>
      <c r="C64" s="68">
        <v>25.166799999999999</v>
      </c>
      <c r="D64" s="68">
        <v>1</v>
      </c>
      <c r="E64" s="68" t="s">
        <v>471</v>
      </c>
    </row>
    <row r="65" spans="1:5">
      <c r="A65" s="68">
        <v>0.308591</v>
      </c>
      <c r="B65" s="68">
        <v>0.51676500000000003</v>
      </c>
      <c r="C65" s="68">
        <v>25.573699999999999</v>
      </c>
      <c r="D65" s="68">
        <v>1</v>
      </c>
      <c r="E65" s="68" t="s">
        <v>472</v>
      </c>
    </row>
    <row r="66" spans="1:5">
      <c r="A66" s="68">
        <v>0.30828</v>
      </c>
      <c r="B66" s="68">
        <v>0.51737699999999998</v>
      </c>
      <c r="C66" s="68">
        <v>25.982500000000002</v>
      </c>
      <c r="D66" s="68">
        <v>1</v>
      </c>
      <c r="E66" s="68" t="s">
        <v>473</v>
      </c>
    </row>
    <row r="67" spans="1:5">
      <c r="A67" s="68">
        <v>0.30795499999999998</v>
      </c>
      <c r="B67" s="68">
        <v>0.51814300000000002</v>
      </c>
      <c r="C67" s="68">
        <v>26.389500000000002</v>
      </c>
      <c r="D67" s="68">
        <v>1</v>
      </c>
      <c r="E67" s="68" t="s">
        <v>474</v>
      </c>
    </row>
    <row r="68" spans="1:5">
      <c r="A68" s="68">
        <v>0.30782199999999998</v>
      </c>
      <c r="B68" s="68">
        <v>0.51880999999999999</v>
      </c>
      <c r="C68" s="68">
        <v>26.796199999999999</v>
      </c>
      <c r="D68" s="68">
        <v>1</v>
      </c>
      <c r="E68" s="68" t="s">
        <v>475</v>
      </c>
    </row>
    <row r="69" spans="1:5">
      <c r="A69" s="68">
        <v>0.30766300000000002</v>
      </c>
      <c r="B69" s="68">
        <v>0.51976800000000001</v>
      </c>
      <c r="C69" s="68">
        <v>27.194900000000001</v>
      </c>
      <c r="D69" s="68">
        <v>1</v>
      </c>
      <c r="E69" s="68" t="s">
        <v>476</v>
      </c>
    </row>
    <row r="70" spans="1:5">
      <c r="A70" s="68">
        <v>0.307647</v>
      </c>
      <c r="B70" s="68">
        <v>0.52002000000000004</v>
      </c>
      <c r="C70" s="68">
        <v>27.6037</v>
      </c>
      <c r="D70" s="68">
        <v>1</v>
      </c>
      <c r="E70" s="68" t="s">
        <v>477</v>
      </c>
    </row>
    <row r="71" spans="1:5">
      <c r="A71" s="68">
        <v>0.30707899999999999</v>
      </c>
      <c r="B71" s="68">
        <v>0.52069900000000002</v>
      </c>
      <c r="C71" s="68">
        <v>28.0181</v>
      </c>
      <c r="D71" s="68">
        <v>1</v>
      </c>
      <c r="E71" s="68" t="s">
        <v>478</v>
      </c>
    </row>
    <row r="72" spans="1:5">
      <c r="A72" s="68">
        <v>0.30682799999999999</v>
      </c>
      <c r="B72" s="68">
        <v>0.52124099999999995</v>
      </c>
      <c r="C72" s="68">
        <v>28.419</v>
      </c>
      <c r="D72" s="68">
        <v>1</v>
      </c>
      <c r="E72" s="68" t="s">
        <v>479</v>
      </c>
    </row>
    <row r="73" spans="1:5">
      <c r="A73" s="68">
        <v>0.30669800000000003</v>
      </c>
      <c r="B73" s="68">
        <v>0.52185300000000001</v>
      </c>
      <c r="C73" s="68">
        <v>28.831800000000001</v>
      </c>
      <c r="D73" s="68">
        <v>1</v>
      </c>
      <c r="E73" s="68" t="s">
        <v>480</v>
      </c>
    </row>
    <row r="74" spans="1:5">
      <c r="A74" s="68">
        <v>0.30676999999999999</v>
      </c>
      <c r="B74" s="68">
        <v>0.52187799999999995</v>
      </c>
      <c r="C74" s="68">
        <v>29.230899999999998</v>
      </c>
      <c r="D74" s="68">
        <v>1</v>
      </c>
      <c r="E74" s="68" t="s">
        <v>481</v>
      </c>
    </row>
    <row r="75" spans="1:5">
      <c r="A75" s="68">
        <v>0.30719999999999997</v>
      </c>
      <c r="B75" s="68">
        <v>0.52071699999999999</v>
      </c>
      <c r="C75" s="68">
        <v>29.636099999999999</v>
      </c>
      <c r="D75" s="68">
        <v>1</v>
      </c>
      <c r="E75" s="68" t="s">
        <v>482</v>
      </c>
    </row>
    <row r="76" spans="1:5">
      <c r="A76" s="68">
        <v>0.30753900000000001</v>
      </c>
      <c r="B76" s="68">
        <v>0.519594</v>
      </c>
      <c r="C76" s="68">
        <v>30.044</v>
      </c>
      <c r="D76" s="68">
        <v>1</v>
      </c>
      <c r="E76" s="68" t="s">
        <v>483</v>
      </c>
    </row>
    <row r="77" spans="1:5">
      <c r="A77" s="68">
        <v>0.30793500000000001</v>
      </c>
      <c r="B77" s="68">
        <v>0.51750499999999999</v>
      </c>
      <c r="C77" s="68">
        <v>30.6374</v>
      </c>
      <c r="D77" s="68">
        <v>2</v>
      </c>
      <c r="E77" s="68" t="s">
        <v>484</v>
      </c>
    </row>
    <row r="78" spans="1:5">
      <c r="A78" s="68">
        <v>0.308203</v>
      </c>
      <c r="B78" s="68">
        <v>0.51655700000000004</v>
      </c>
      <c r="C78" s="68">
        <v>31.017199999999999</v>
      </c>
      <c r="D78" s="68">
        <v>2</v>
      </c>
      <c r="E78" s="68" t="s">
        <v>485</v>
      </c>
    </row>
    <row r="79" spans="1:5">
      <c r="A79" s="68">
        <v>0.30835699999999999</v>
      </c>
      <c r="B79" s="68">
        <v>0.51621700000000004</v>
      </c>
      <c r="C79" s="68">
        <v>31.390999999999998</v>
      </c>
      <c r="D79" s="68">
        <v>2</v>
      </c>
      <c r="E79" s="68" t="s">
        <v>486</v>
      </c>
    </row>
    <row r="80" spans="1:5">
      <c r="A80" s="68">
        <v>0.308809</v>
      </c>
      <c r="B80" s="68">
        <v>0.51519000000000004</v>
      </c>
      <c r="C80" s="68">
        <v>31.773499999999999</v>
      </c>
      <c r="D80" s="68">
        <v>2</v>
      </c>
      <c r="E80" s="68" t="s">
        <v>487</v>
      </c>
    </row>
    <row r="81" spans="1:5">
      <c r="A81" s="68">
        <v>0.30952000000000002</v>
      </c>
      <c r="B81" s="68">
        <v>0.51333499999999999</v>
      </c>
      <c r="C81" s="68">
        <v>32.140099999999997</v>
      </c>
      <c r="D81" s="68">
        <v>2</v>
      </c>
      <c r="E81" s="68" t="s">
        <v>488</v>
      </c>
    </row>
    <row r="82" spans="1:5">
      <c r="A82" s="68">
        <v>0.31059500000000001</v>
      </c>
      <c r="B82" s="68">
        <v>0.51023399999999997</v>
      </c>
      <c r="C82" s="68">
        <v>32.544199999999996</v>
      </c>
      <c r="D82" s="68">
        <v>2</v>
      </c>
      <c r="E82" s="68" t="s">
        <v>489</v>
      </c>
    </row>
    <row r="83" spans="1:5">
      <c r="A83" s="68">
        <v>0.31193399999999999</v>
      </c>
      <c r="B83" s="68">
        <v>0.506463</v>
      </c>
      <c r="C83" s="68">
        <v>32.9651</v>
      </c>
      <c r="D83" s="68">
        <v>2</v>
      </c>
      <c r="E83" s="68" t="s">
        <v>490</v>
      </c>
    </row>
    <row r="84" spans="1:5">
      <c r="A84" s="68">
        <v>0.31339400000000001</v>
      </c>
      <c r="B84" s="68">
        <v>0.50259299999999996</v>
      </c>
      <c r="C84" s="68">
        <v>33.359099999999998</v>
      </c>
      <c r="D84" s="68">
        <v>2</v>
      </c>
      <c r="E84" s="68" t="s">
        <v>491</v>
      </c>
    </row>
    <row r="85" spans="1:5">
      <c r="A85" s="68">
        <v>0.31465700000000002</v>
      </c>
      <c r="B85" s="68">
        <v>0.49925599999999998</v>
      </c>
      <c r="C85" s="68">
        <v>33.772100000000002</v>
      </c>
      <c r="D85" s="68">
        <v>2</v>
      </c>
      <c r="E85" s="68" t="s">
        <v>492</v>
      </c>
    </row>
    <row r="86" spans="1:5">
      <c r="A86" s="68">
        <v>0.31592999999999999</v>
      </c>
      <c r="B86" s="68">
        <v>0.49682500000000002</v>
      </c>
      <c r="C86" s="68">
        <v>34.169600000000003</v>
      </c>
      <c r="D86" s="68">
        <v>2</v>
      </c>
      <c r="E86" s="68" t="s">
        <v>493</v>
      </c>
    </row>
    <row r="87" spans="1:5">
      <c r="A87" s="68">
        <v>0.31678299999999998</v>
      </c>
      <c r="B87" s="68">
        <v>0.49498399999999998</v>
      </c>
      <c r="C87" s="68">
        <v>34.5745</v>
      </c>
      <c r="D87" s="68">
        <v>2</v>
      </c>
      <c r="E87" s="68" t="s">
        <v>494</v>
      </c>
    </row>
    <row r="88" spans="1:5">
      <c r="A88" s="68">
        <v>0.31706800000000002</v>
      </c>
      <c r="B88" s="68">
        <v>0.49375999999999998</v>
      </c>
      <c r="C88" s="68">
        <v>34.997500000000002</v>
      </c>
      <c r="D88" s="68">
        <v>2</v>
      </c>
      <c r="E88" s="68" t="s">
        <v>495</v>
      </c>
    </row>
    <row r="89" spans="1:5">
      <c r="A89" s="68">
        <v>0.31713599999999997</v>
      </c>
      <c r="B89" s="68">
        <v>0.49220999999999998</v>
      </c>
      <c r="C89" s="68">
        <v>35.3904</v>
      </c>
      <c r="D89" s="68">
        <v>2</v>
      </c>
      <c r="E89" s="68" t="s">
        <v>496</v>
      </c>
    </row>
    <row r="90" spans="1:5">
      <c r="A90" s="68">
        <v>0.31753799999999999</v>
      </c>
      <c r="B90" s="68">
        <v>0.489875</v>
      </c>
      <c r="C90" s="68">
        <v>35.795400000000001</v>
      </c>
      <c r="D90" s="68">
        <v>2</v>
      </c>
      <c r="E90" s="68" t="s">
        <v>497</v>
      </c>
    </row>
    <row r="91" spans="1:5">
      <c r="A91" s="68">
        <v>0.31808399999999998</v>
      </c>
      <c r="B91" s="68">
        <v>0.48671599999999998</v>
      </c>
      <c r="C91" s="68">
        <v>36.205300000000001</v>
      </c>
      <c r="D91" s="68">
        <v>2</v>
      </c>
      <c r="E91" s="68" t="s">
        <v>498</v>
      </c>
    </row>
    <row r="92" spans="1:5">
      <c r="A92" s="68">
        <v>0.31866800000000001</v>
      </c>
      <c r="B92" s="68">
        <v>0.48303299999999999</v>
      </c>
      <c r="C92" s="68">
        <v>36.606699999999996</v>
      </c>
      <c r="D92" s="68">
        <v>2</v>
      </c>
      <c r="E92" s="68" t="s">
        <v>499</v>
      </c>
    </row>
    <row r="93" spans="1:5">
      <c r="A93" s="68">
        <v>0.31925799999999999</v>
      </c>
      <c r="B93" s="68">
        <v>0.47962700000000003</v>
      </c>
      <c r="C93" s="68">
        <v>37.012300000000003</v>
      </c>
      <c r="D93" s="68">
        <v>2</v>
      </c>
      <c r="E93" s="68" t="s">
        <v>500</v>
      </c>
    </row>
    <row r="94" spans="1:5">
      <c r="A94" s="68">
        <v>0.31996999999999998</v>
      </c>
      <c r="B94" s="68">
        <v>0.47690700000000003</v>
      </c>
      <c r="C94" s="68">
        <v>37.418900000000001</v>
      </c>
      <c r="D94" s="68">
        <v>2</v>
      </c>
      <c r="E94" s="68" t="s">
        <v>501</v>
      </c>
    </row>
    <row r="95" spans="1:5">
      <c r="A95" s="68">
        <v>0.32083200000000001</v>
      </c>
      <c r="B95" s="68">
        <v>0.47544199999999998</v>
      </c>
      <c r="C95" s="68">
        <v>37.826999999999998</v>
      </c>
      <c r="D95" s="68">
        <v>2</v>
      </c>
      <c r="E95" s="68" t="s">
        <v>502</v>
      </c>
    </row>
    <row r="96" spans="1:5">
      <c r="A96" s="68">
        <v>0.32156299999999999</v>
      </c>
      <c r="B96" s="68">
        <v>0.47506999999999999</v>
      </c>
      <c r="C96" s="68">
        <v>38.231000000000002</v>
      </c>
      <c r="D96" s="68">
        <v>2</v>
      </c>
      <c r="E96" s="68" t="s">
        <v>503</v>
      </c>
    </row>
    <row r="97" spans="1:5">
      <c r="A97" s="68">
        <v>0.32230700000000001</v>
      </c>
      <c r="B97" s="68">
        <v>0.47482099999999999</v>
      </c>
      <c r="C97" s="68">
        <v>38.636899999999997</v>
      </c>
      <c r="D97" s="68">
        <v>2</v>
      </c>
      <c r="E97" s="68" t="s">
        <v>504</v>
      </c>
    </row>
    <row r="98" spans="1:5">
      <c r="A98" s="68">
        <v>0.32320900000000002</v>
      </c>
      <c r="B98" s="68">
        <v>0.47462700000000002</v>
      </c>
      <c r="C98" s="68">
        <v>39.044199999999996</v>
      </c>
      <c r="D98" s="68">
        <v>2</v>
      </c>
      <c r="E98" s="68" t="s">
        <v>505</v>
      </c>
    </row>
    <row r="99" spans="1:5">
      <c r="A99" s="68">
        <v>0.32402999999999998</v>
      </c>
      <c r="B99" s="68">
        <v>0.47425099999999998</v>
      </c>
      <c r="C99" s="68">
        <v>39.448799999999999</v>
      </c>
      <c r="D99" s="68">
        <v>2</v>
      </c>
      <c r="E99" s="68" t="s">
        <v>506</v>
      </c>
    </row>
    <row r="100" spans="1:5">
      <c r="A100" s="68">
        <v>0.32453199999999999</v>
      </c>
      <c r="B100" s="68">
        <v>0.47446500000000003</v>
      </c>
      <c r="C100" s="68">
        <v>39.855600000000003</v>
      </c>
      <c r="D100" s="68">
        <v>2</v>
      </c>
      <c r="E100" s="68" t="s">
        <v>507</v>
      </c>
    </row>
    <row r="101" spans="1:5">
      <c r="A101" s="68">
        <v>0.32489200000000001</v>
      </c>
      <c r="B101" s="68">
        <v>0.474796</v>
      </c>
      <c r="C101" s="68">
        <v>40.263399999999997</v>
      </c>
      <c r="D101" s="68">
        <v>2</v>
      </c>
      <c r="E101" s="68" t="s">
        <v>508</v>
      </c>
    </row>
    <row r="102" spans="1:5">
      <c r="A102" s="68">
        <v>0.32523000000000002</v>
      </c>
      <c r="B102" s="68">
        <v>0.47450999999999999</v>
      </c>
      <c r="C102" s="68">
        <v>40.668399999999998</v>
      </c>
      <c r="D102" s="68">
        <v>2</v>
      </c>
      <c r="E102" s="68" t="s">
        <v>509</v>
      </c>
    </row>
    <row r="103" spans="1:5">
      <c r="A103" s="68">
        <v>0.32523999999999997</v>
      </c>
      <c r="B103" s="68">
        <v>0.47393000000000002</v>
      </c>
      <c r="C103" s="68">
        <v>41.073500000000003</v>
      </c>
      <c r="D103" s="68">
        <v>2</v>
      </c>
      <c r="E103" s="68" t="s">
        <v>510</v>
      </c>
    </row>
    <row r="104" spans="1:5">
      <c r="A104" s="68">
        <v>0.32518000000000002</v>
      </c>
      <c r="B104" s="68">
        <v>0.47304800000000002</v>
      </c>
      <c r="C104" s="68">
        <v>41.4831</v>
      </c>
      <c r="D104" s="68">
        <v>2</v>
      </c>
      <c r="E104" s="68" t="s">
        <v>511</v>
      </c>
    </row>
    <row r="105" spans="1:5">
      <c r="A105" s="68">
        <v>0.32505699999999998</v>
      </c>
      <c r="B105" s="68">
        <v>0.472416</v>
      </c>
      <c r="C105" s="68">
        <v>41.891100000000002</v>
      </c>
      <c r="D105" s="68">
        <v>2</v>
      </c>
      <c r="E105" s="68" t="s">
        <v>512</v>
      </c>
    </row>
    <row r="106" spans="1:5">
      <c r="A106" s="68">
        <v>0.32488</v>
      </c>
      <c r="B106" s="68">
        <v>0.47220200000000001</v>
      </c>
      <c r="C106" s="68">
        <v>42.313000000000002</v>
      </c>
      <c r="D106" s="68">
        <v>2</v>
      </c>
      <c r="E106" s="68" t="s">
        <v>513</v>
      </c>
    </row>
    <row r="107" spans="1:5">
      <c r="A107" s="68">
        <v>0.32458100000000001</v>
      </c>
      <c r="B107" s="68">
        <v>0.47277400000000003</v>
      </c>
      <c r="C107" s="68">
        <v>42.697000000000003</v>
      </c>
      <c r="D107" s="68">
        <v>2</v>
      </c>
      <c r="E107" s="68" t="s">
        <v>514</v>
      </c>
    </row>
    <row r="108" spans="1:5">
      <c r="A108" s="68">
        <v>0.32434600000000002</v>
      </c>
      <c r="B108" s="68">
        <v>0.47374500000000003</v>
      </c>
      <c r="C108" s="68">
        <v>43.107100000000003</v>
      </c>
      <c r="D108" s="68">
        <v>2</v>
      </c>
      <c r="E108" s="68" t="s">
        <v>515</v>
      </c>
    </row>
    <row r="109" spans="1:5">
      <c r="A109" s="68">
        <v>0.32436999999999999</v>
      </c>
      <c r="B109" s="68">
        <v>0.47549599999999997</v>
      </c>
      <c r="C109" s="68">
        <v>43.511800000000001</v>
      </c>
      <c r="D109" s="68">
        <v>2</v>
      </c>
      <c r="E109" s="68" t="s">
        <v>516</v>
      </c>
    </row>
    <row r="110" spans="1:5">
      <c r="A110" s="68">
        <v>0.32452599999999998</v>
      </c>
      <c r="B110" s="68">
        <v>0.47713499999999998</v>
      </c>
      <c r="C110" s="68">
        <v>43.919699999999999</v>
      </c>
      <c r="D110" s="68">
        <v>2</v>
      </c>
      <c r="E110" s="68" t="s">
        <v>517</v>
      </c>
    </row>
    <row r="111" spans="1:5">
      <c r="A111" s="68">
        <v>0.32449099999999997</v>
      </c>
      <c r="B111" s="68">
        <v>0.47826200000000002</v>
      </c>
      <c r="C111" s="68">
        <v>44.328600000000002</v>
      </c>
      <c r="D111" s="68">
        <v>2</v>
      </c>
      <c r="E111" s="68" t="s">
        <v>518</v>
      </c>
    </row>
    <row r="112" spans="1:5">
      <c r="A112" s="68">
        <v>0.32417400000000002</v>
      </c>
      <c r="B112" s="68">
        <v>0.47897400000000001</v>
      </c>
      <c r="C112" s="68">
        <v>44.749699999999997</v>
      </c>
      <c r="D112" s="68">
        <v>2</v>
      </c>
      <c r="E112" s="68" t="s">
        <v>519</v>
      </c>
    </row>
    <row r="113" spans="1:5">
      <c r="A113" s="68">
        <v>0.32421899999999998</v>
      </c>
      <c r="B113" s="68">
        <v>0.47909299999999999</v>
      </c>
      <c r="C113" s="68">
        <v>45.134500000000003</v>
      </c>
      <c r="D113" s="68">
        <v>2</v>
      </c>
      <c r="E113" s="68" t="s">
        <v>520</v>
      </c>
    </row>
    <row r="114" spans="1:5">
      <c r="A114" s="68">
        <v>0.32456499999999999</v>
      </c>
      <c r="B114" s="68">
        <v>0.47944100000000001</v>
      </c>
      <c r="C114" s="68">
        <v>45.542400000000001</v>
      </c>
      <c r="D114" s="68">
        <v>2</v>
      </c>
      <c r="E114" s="68" t="s">
        <v>521</v>
      </c>
    </row>
    <row r="115" spans="1:5">
      <c r="A115" s="68">
        <v>0.32467400000000002</v>
      </c>
      <c r="B115" s="68">
        <v>0.48026600000000003</v>
      </c>
      <c r="C115" s="68">
        <v>45.954500000000003</v>
      </c>
      <c r="D115" s="68">
        <v>2</v>
      </c>
      <c r="E115" s="68" t="s">
        <v>522</v>
      </c>
    </row>
    <row r="116" spans="1:5">
      <c r="A116" s="68">
        <v>0.32463900000000001</v>
      </c>
      <c r="B116" s="68">
        <v>0.48173899999999997</v>
      </c>
      <c r="C116" s="68">
        <v>46.3553</v>
      </c>
      <c r="D116" s="68">
        <v>2</v>
      </c>
      <c r="E116" s="68" t="s">
        <v>523</v>
      </c>
    </row>
    <row r="117" spans="1:5">
      <c r="A117" s="68">
        <v>0.32423099999999999</v>
      </c>
      <c r="B117" s="68">
        <v>0.48343000000000003</v>
      </c>
      <c r="C117" s="68">
        <v>46.763599999999997</v>
      </c>
      <c r="D117" s="68">
        <v>2</v>
      </c>
      <c r="E117" s="68" t="s">
        <v>524</v>
      </c>
    </row>
    <row r="118" spans="1:5">
      <c r="A118" s="68">
        <v>0.32369599999999998</v>
      </c>
      <c r="B118" s="68">
        <v>0.48467100000000002</v>
      </c>
      <c r="C118" s="68">
        <v>47.169600000000003</v>
      </c>
      <c r="D118" s="68">
        <v>2</v>
      </c>
      <c r="E118" s="68" t="s">
        <v>525</v>
      </c>
    </row>
    <row r="119" spans="1:5">
      <c r="A119" s="68">
        <v>0.32271</v>
      </c>
      <c r="B119" s="68">
        <v>0.48526599999999998</v>
      </c>
      <c r="C119" s="68">
        <v>47.575400000000002</v>
      </c>
      <c r="D119" s="68">
        <v>2</v>
      </c>
      <c r="E119" s="68" t="s">
        <v>526</v>
      </c>
    </row>
    <row r="120" spans="1:5">
      <c r="A120" s="68">
        <v>0.32189000000000001</v>
      </c>
      <c r="B120" s="68">
        <v>0.48565700000000001</v>
      </c>
      <c r="C120" s="68">
        <v>47.9876</v>
      </c>
      <c r="D120" s="68">
        <v>2</v>
      </c>
      <c r="E120" s="68" t="s">
        <v>527</v>
      </c>
    </row>
    <row r="121" spans="1:5">
      <c r="A121" s="68">
        <v>0.32142300000000001</v>
      </c>
      <c r="B121" s="68">
        <v>0.48548200000000002</v>
      </c>
      <c r="C121" s="68">
        <v>48.3902</v>
      </c>
      <c r="D121" s="68">
        <v>2</v>
      </c>
      <c r="E121" s="68" t="s">
        <v>528</v>
      </c>
    </row>
    <row r="122" spans="1:5">
      <c r="A122" s="68">
        <v>0.321106</v>
      </c>
      <c r="B122" s="68">
        <v>0.485203</v>
      </c>
      <c r="C122" s="68">
        <v>48.793100000000003</v>
      </c>
      <c r="D122" s="68">
        <v>2</v>
      </c>
      <c r="E122" s="68" t="s">
        <v>529</v>
      </c>
    </row>
    <row r="123" spans="1:5">
      <c r="A123" s="68">
        <v>0.32076500000000002</v>
      </c>
      <c r="B123" s="68">
        <v>0.48571300000000001</v>
      </c>
      <c r="C123" s="68">
        <v>49.195999999999998</v>
      </c>
      <c r="D123" s="68">
        <v>2</v>
      </c>
      <c r="E123" s="68" t="s">
        <v>530</v>
      </c>
    </row>
    <row r="124" spans="1:5">
      <c r="A124" s="68">
        <v>0.31985200000000003</v>
      </c>
      <c r="B124" s="68">
        <v>0.48721100000000001</v>
      </c>
      <c r="C124" s="68">
        <v>49.6068</v>
      </c>
      <c r="D124" s="68">
        <v>2</v>
      </c>
      <c r="E124" s="68" t="s">
        <v>531</v>
      </c>
    </row>
    <row r="125" spans="1:5">
      <c r="A125" s="68">
        <v>0.31891199999999997</v>
      </c>
      <c r="B125" s="68">
        <v>0.488095</v>
      </c>
      <c r="C125" s="68">
        <v>50.010399999999997</v>
      </c>
      <c r="D125" s="68">
        <v>2</v>
      </c>
      <c r="E125" s="68" t="s">
        <v>532</v>
      </c>
    </row>
    <row r="126" spans="1:5">
      <c r="A126" s="68">
        <v>0.31834299999999999</v>
      </c>
      <c r="B126" s="68">
        <v>0.48834300000000003</v>
      </c>
      <c r="C126" s="68">
        <v>50.418900000000001</v>
      </c>
      <c r="D126" s="68">
        <v>2</v>
      </c>
      <c r="E126" s="68" t="s">
        <v>533</v>
      </c>
    </row>
    <row r="127" spans="1:5">
      <c r="A127" s="68">
        <v>0.318025</v>
      </c>
      <c r="B127" s="68">
        <v>0.48929699999999998</v>
      </c>
      <c r="C127" s="68">
        <v>50.826599999999999</v>
      </c>
      <c r="D127" s="68">
        <v>2</v>
      </c>
      <c r="E127" s="68" t="s">
        <v>534</v>
      </c>
    </row>
    <row r="128" spans="1:5">
      <c r="A128" s="68">
        <v>0.31789899999999999</v>
      </c>
      <c r="B128" s="68">
        <v>0.490095</v>
      </c>
      <c r="C128" s="68">
        <v>51.229599999999998</v>
      </c>
      <c r="D128" s="68">
        <v>2</v>
      </c>
      <c r="E128" s="68" t="s">
        <v>535</v>
      </c>
    </row>
    <row r="129" spans="1:5">
      <c r="A129" s="68">
        <v>0.31791599999999998</v>
      </c>
      <c r="B129" s="68">
        <v>0.490817</v>
      </c>
      <c r="C129" s="68">
        <v>51.635899999999999</v>
      </c>
      <c r="D129" s="68">
        <v>2</v>
      </c>
      <c r="E129" s="68" t="s">
        <v>536</v>
      </c>
    </row>
    <row r="130" spans="1:5">
      <c r="A130" s="68">
        <v>0.31788499999999997</v>
      </c>
      <c r="B130" s="68">
        <v>0.49146600000000001</v>
      </c>
      <c r="C130" s="68">
        <v>52.047400000000003</v>
      </c>
      <c r="D130" s="68">
        <v>2</v>
      </c>
      <c r="E130" s="68" t="s">
        <v>537</v>
      </c>
    </row>
    <row r="131" spans="1:5">
      <c r="A131" s="68">
        <v>0.31775999999999999</v>
      </c>
      <c r="B131" s="68">
        <v>0.49200100000000002</v>
      </c>
      <c r="C131" s="68">
        <v>52.451300000000003</v>
      </c>
      <c r="D131" s="68">
        <v>2</v>
      </c>
      <c r="E131" s="68" t="s">
        <v>538</v>
      </c>
    </row>
    <row r="132" spans="1:5">
      <c r="A132" s="68">
        <v>0.31768000000000002</v>
      </c>
      <c r="B132" s="68">
        <v>0.49223899999999998</v>
      </c>
      <c r="C132" s="68">
        <v>52.856200000000001</v>
      </c>
      <c r="D132" s="68">
        <v>2</v>
      </c>
      <c r="E132" s="68" t="s">
        <v>539</v>
      </c>
    </row>
    <row r="133" spans="1:5">
      <c r="A133" s="68">
        <v>0.31727100000000003</v>
      </c>
      <c r="B133" s="68">
        <v>0.49297400000000002</v>
      </c>
      <c r="C133" s="68">
        <v>53.263100000000001</v>
      </c>
      <c r="D133" s="68">
        <v>2</v>
      </c>
      <c r="E133" s="68" t="s">
        <v>540</v>
      </c>
    </row>
    <row r="134" spans="1:5">
      <c r="A134" s="68">
        <v>0.31652599999999997</v>
      </c>
      <c r="B134" s="68">
        <v>0.49340400000000001</v>
      </c>
      <c r="C134" s="68">
        <v>53.665100000000002</v>
      </c>
      <c r="D134" s="68">
        <v>2</v>
      </c>
      <c r="E134" s="68" t="s">
        <v>541</v>
      </c>
    </row>
    <row r="135" spans="1:5">
      <c r="A135" s="68">
        <v>0.31572</v>
      </c>
      <c r="B135" s="68">
        <v>0.49384899999999998</v>
      </c>
      <c r="C135" s="68">
        <v>54.0749</v>
      </c>
      <c r="D135" s="68">
        <v>2</v>
      </c>
      <c r="E135" s="68" t="s">
        <v>542</v>
      </c>
    </row>
    <row r="136" spans="1:5">
      <c r="A136" s="68">
        <v>0.31511899999999998</v>
      </c>
      <c r="B136" s="68">
        <v>0.49413099999999999</v>
      </c>
      <c r="C136" s="68">
        <v>54.481900000000003</v>
      </c>
      <c r="D136" s="68">
        <v>2</v>
      </c>
      <c r="E136" s="68" t="s">
        <v>543</v>
      </c>
    </row>
    <row r="137" spans="1:5">
      <c r="A137" s="68">
        <v>0.31504900000000002</v>
      </c>
      <c r="B137" s="68">
        <v>0.49417699999999998</v>
      </c>
      <c r="C137" s="68">
        <v>54.886699999999998</v>
      </c>
      <c r="D137" s="68">
        <v>2</v>
      </c>
      <c r="E137" s="68" t="s">
        <v>544</v>
      </c>
    </row>
    <row r="138" spans="1:5">
      <c r="A138" s="68">
        <v>0.31495899999999999</v>
      </c>
      <c r="B138" s="68">
        <v>0.49410900000000002</v>
      </c>
      <c r="C138" s="68">
        <v>55.292700000000004</v>
      </c>
      <c r="D138" s="68">
        <v>2</v>
      </c>
      <c r="E138" s="68" t="s">
        <v>545</v>
      </c>
    </row>
    <row r="139" spans="1:5">
      <c r="A139" s="68">
        <v>0.31465300000000002</v>
      </c>
      <c r="B139" s="68">
        <v>0.49434400000000001</v>
      </c>
      <c r="C139" s="68">
        <v>55.702599999999997</v>
      </c>
      <c r="D139" s="68">
        <v>2</v>
      </c>
      <c r="E139" s="68" t="s">
        <v>546</v>
      </c>
    </row>
    <row r="140" spans="1:5">
      <c r="A140" s="68">
        <v>0.31420300000000001</v>
      </c>
      <c r="B140" s="68">
        <v>0.49461699999999997</v>
      </c>
      <c r="C140" s="68">
        <v>56.1066</v>
      </c>
      <c r="D140" s="68">
        <v>2</v>
      </c>
      <c r="E140" s="68" t="s">
        <v>547</v>
      </c>
    </row>
    <row r="141" spans="1:5">
      <c r="A141" s="68">
        <v>0.31373200000000001</v>
      </c>
      <c r="B141" s="68">
        <v>0.49472100000000002</v>
      </c>
      <c r="C141" s="68">
        <v>56.512599999999999</v>
      </c>
      <c r="D141" s="68">
        <v>2</v>
      </c>
      <c r="E141" s="68" t="s">
        <v>548</v>
      </c>
    </row>
    <row r="142" spans="1:5">
      <c r="A142" s="68">
        <v>0.31361499999999998</v>
      </c>
      <c r="B142" s="68">
        <v>0.49555900000000003</v>
      </c>
      <c r="C142" s="68">
        <v>56.919400000000003</v>
      </c>
      <c r="D142" s="68">
        <v>2</v>
      </c>
      <c r="E142" s="68" t="s">
        <v>549</v>
      </c>
    </row>
    <row r="143" spans="1:5">
      <c r="A143" s="68">
        <v>0.31367299999999998</v>
      </c>
      <c r="B143" s="68">
        <v>0.49749700000000002</v>
      </c>
      <c r="C143" s="68">
        <v>57.3262</v>
      </c>
      <c r="D143" s="68">
        <v>2</v>
      </c>
      <c r="E143" s="68" t="s">
        <v>550</v>
      </c>
    </row>
    <row r="144" spans="1:5">
      <c r="A144" s="68">
        <v>0.31449199999999999</v>
      </c>
      <c r="B144" s="68">
        <v>0.50017500000000004</v>
      </c>
      <c r="C144" s="68">
        <v>57.732100000000003</v>
      </c>
      <c r="D144" s="68">
        <v>2</v>
      </c>
      <c r="E144" s="68" t="s">
        <v>551</v>
      </c>
    </row>
    <row r="145" spans="1:5">
      <c r="A145" s="68">
        <v>0.31530200000000003</v>
      </c>
      <c r="B145" s="68">
        <v>0.50263899999999995</v>
      </c>
      <c r="C145" s="68">
        <v>58.139099999999999</v>
      </c>
      <c r="D145" s="68">
        <v>2</v>
      </c>
      <c r="E145" s="68" t="s">
        <v>552</v>
      </c>
    </row>
    <row r="146" spans="1:5">
      <c r="A146" s="68">
        <v>0.31535400000000002</v>
      </c>
      <c r="B146" s="68">
        <v>0.50441400000000003</v>
      </c>
      <c r="C146" s="68">
        <v>58.5471</v>
      </c>
      <c r="D146" s="68">
        <v>2</v>
      </c>
      <c r="E146" s="68" t="s">
        <v>553</v>
      </c>
    </row>
    <row r="147" spans="1:5">
      <c r="A147" s="68">
        <v>0.31436199999999997</v>
      </c>
      <c r="B147" s="68">
        <v>0.50818300000000005</v>
      </c>
      <c r="C147" s="68">
        <v>58.948999999999998</v>
      </c>
      <c r="D147" s="68">
        <v>2</v>
      </c>
      <c r="E147" s="68" t="s">
        <v>554</v>
      </c>
    </row>
    <row r="148" spans="1:5">
      <c r="A148" s="68">
        <v>0.31180799999999997</v>
      </c>
      <c r="B148" s="68">
        <v>0.509579</v>
      </c>
      <c r="C148" s="68">
        <v>59.362900000000003</v>
      </c>
      <c r="D148" s="68">
        <v>2</v>
      </c>
      <c r="E148" s="68" t="s">
        <v>555</v>
      </c>
    </row>
    <row r="149" spans="1:5">
      <c r="A149" s="68">
        <v>0.311664</v>
      </c>
      <c r="B149" s="68">
        <v>0.50433799999999995</v>
      </c>
      <c r="C149" s="68">
        <v>59.7637</v>
      </c>
      <c r="D149" s="68">
        <v>2</v>
      </c>
      <c r="E149" s="68" t="s">
        <v>556</v>
      </c>
    </row>
    <row r="150" spans="1:5">
      <c r="A150" s="68">
        <v>0.31122499999999997</v>
      </c>
      <c r="B150" s="68">
        <v>0.50571699999999997</v>
      </c>
      <c r="C150" s="32">
        <v>60.168700000000001</v>
      </c>
      <c r="D150" s="32">
        <v>2</v>
      </c>
      <c r="E150" s="32" t="s">
        <v>557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563</v>
      </c>
      <c r="G1" s="66" t="s">
        <v>349</v>
      </c>
      <c r="H1" s="66" t="s">
        <v>564</v>
      </c>
      <c r="I1" s="66" t="s">
        <v>565</v>
      </c>
      <c r="J1" s="66" t="s">
        <v>566</v>
      </c>
      <c r="K1" s="66" t="s">
        <v>567</v>
      </c>
      <c r="L1" s="66" t="s">
        <v>568</v>
      </c>
      <c r="M1" s="66" t="s">
        <v>569</v>
      </c>
      <c r="N1" s="66"/>
    </row>
    <row r="2" spans="1:14">
      <c r="A2" s="75">
        <v>43605.730081018519</v>
      </c>
      <c r="B2" s="66" t="s">
        <v>559</v>
      </c>
      <c r="C2" s="66"/>
      <c r="D2" s="66"/>
      <c r="E2" s="66">
        <v>4.9668900000000002</v>
      </c>
      <c r="F2" s="66">
        <v>1.57498</v>
      </c>
      <c r="G2" s="66">
        <v>0.50452600000000003</v>
      </c>
      <c r="H2" s="66">
        <v>0</v>
      </c>
      <c r="I2" s="66">
        <v>145211</v>
      </c>
      <c r="J2" s="66">
        <v>91</v>
      </c>
      <c r="K2" s="66">
        <v>91</v>
      </c>
      <c r="L2" s="66">
        <v>0</v>
      </c>
      <c r="M2" s="66" t="s">
        <v>570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2019-05-20T09:32:22Z</cp:lastPrinted>
  <dcterms:created xsi:type="dcterms:W3CDTF">2010-10-29T12:53:05Z</dcterms:created>
  <dcterms:modified xsi:type="dcterms:W3CDTF">2019-05-20T09:33:20Z</dcterms:modified>
</cp:coreProperties>
</file>