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<sst xmlns="http://schemas.openxmlformats.org/spreadsheetml/2006/main" count="701" uniqueCount="517">
  <si>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</si>
  <si>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</si>
  <si>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</si>
  <si>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</si>
  <si>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</si>
  <si>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</si>
  <si>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</si>
  <si>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</si>
  <si>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</si>
  <si>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</si>
  <si>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</si>
  <si>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</si>
  <si>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</si>
  <si>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</si>
  <si>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</si>
  <si>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</si>
  <si>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</si>
  <si>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</si>
  <si>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</si>
  <si>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</si>
  <si>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</si>
  <si>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</si>
  <si>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</si>
  <si>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</si>
  <si>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</si>
  <si>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</si>
  <si>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</si>
  <si>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</si>
  <si>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</si>
  <si>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</si>
  <si>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</si>
  <si>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</si>
  <si>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</si>
  <si>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</si>
  <si>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</si>
  <si>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</si>
  <si>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</si>
  <si>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</si>
  <si>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</si>
  <si>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</si>
  <si>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</si>
  <si>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</si>
  <si>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</si>
  <si>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</si>
  <si>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</si>
  <si>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</si>
  <si>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</si>
  <si>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</si>
  <si>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</si>
  <si>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</si>
  <si>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</si>
  <si>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</si>
  <si>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</si>
  <si>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</si>
  <si>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</si>
  <si>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</si>
  <si>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</si>
  <si>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</si>
  <si>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</si>
  <si>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</si>
  <si>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</si>
  <si>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</si>
  <si>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</si>
  <si>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</si>
  <si>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</si>
  <si>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</si>
  <si>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</si>
  <si>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</si>
  <si>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</si>
  <si>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</si>
  <si>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</si>
  <si>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</si>
  <si>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</si>
  <si>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</si>
  <si>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</si>
  <si>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</si>
  <si>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</si>
  <si>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</si>
  <si>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</si>
  <si>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</si>
  <si>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</si>
  <si>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</si>
  <si>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</si>
  <si>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</si>
  <si>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</si>
  <si>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</si>
  <si>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</si>
  <si>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</si>
  <si>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</si>
  <si>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</si>
  <si>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</si>
  <si>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</si>
  <si>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</si>
  <si>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</si>
  <si>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</si>
  <si>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</si>
  <si>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</si>
  <si>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</si>
  <si>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</si>
  <si>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</si>
  <si>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</si>
  <si>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</si>
  <si>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</si>
  <si>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</si>
  <si>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</si>
  <si>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</si>
  <si>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</si>
  <si>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</si>
  <si>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</si>
  <si>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</si>
  <si>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</si>
  <si>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</si>
  <si>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</si>
  <si>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</si>
  <si>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</si>
  <si>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</si>
  <si>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</si>
  <si>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</si>
  <si>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</si>
  <si>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</si>
  <si>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</si>
  <si>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</si>
  <si>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</si>
  <si>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</si>
  <si>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</si>
  <si>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</si>
  <si>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</si>
  <si>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</si>
  <si>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</si>
  <si>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</si>
  <si>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</si>
  <si>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</si>
  <si>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</si>
  <si>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</si>
  <si>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</si>
  <si>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</si>
  <si>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</si>
  <si>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</si>
  <si>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</si>
  <si>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</si>
  <si>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</si>
  <si>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</si>
  <si>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</si>
  <si>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</si>
  <si>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</si>
  <si>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</si>
  <si>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</si>
  <si>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</si>
  <si>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</si>
  <si>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</si>
  <si>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</si>
  <si>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</si>
  <si>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</si>
  <si>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</si>
  <si>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</si>
  <si>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</si>
  <si>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</si>
  <si>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</si>
  <si>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</si>
  <si>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</si>
  <si>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</si>
  <si>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</si>
  <si>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</si>
  <si>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</si>
  <si>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</si>
  <si>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</si>
  <si>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</si>
  <si>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</si>
  <si>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</si>
  <si>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</si>
  <si>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</si>
  <si>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</si>
  <si>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</si>
  <si>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</si>
  <si>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</si>
  <si>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</si>
  <si>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</si>
  <si>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</si>
  <si>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</si>
  <si>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</si>
  <si>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</si>
  <si>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</si>
  <si>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</si>
  <si>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</si>
  <si>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</si>
  <si>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</si>
  <si>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</si>
  <si>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</si>
  <si>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</si>
  <si>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</si>
  <si>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</si>
  <si>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</si>
  <si>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</si>
  <si>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</si>
  <si>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</si>
  <si>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</si>
  <si>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</si>
  <si>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</si>
  <si>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</si>
  <si>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</si>
  <si>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</si>
  <si>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</si>
  <si>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</si>
  <si>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</si>
  <si>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</si>
  <si>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</si>
  <si>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</si>
  <si>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</si>
  <si>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</si>
  <si>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</si>
  <si>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</si>
  <si>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</si>
  <si>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</si>
  <si>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</si>
  <si>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</si>
  <si>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</si>
  <si>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</si>
  <si>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</si>
  <si>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</si>
  <si>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</si>
  <si>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</si>
  <si>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</si>
  <si>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</si>
  <si>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</si>
  <si>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</si>
  <si>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</si>
  <si>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</si>
  <si>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</si>
  <si>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</si>
  <si>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</si>
  <si>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</si>
  <si>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</si>
  <si>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</si>
  <si>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</si>
  <si>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</si>
  <si>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</si>
  <si>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</si>
  <si>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</si>
  <si>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</si>
  <si>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</si>
  <si>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</si>
  <si>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</si>
  <si>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</si>
  <si>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</si>
  <si>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</si>
  <si>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</si>
  <si>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</si>
  <si>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</si>
  <si>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</si>
  <si>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</si>
  <si>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</si>
  <si>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</si>
  <si>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</si>
  <si>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</si>
  <si>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</si>
  <si>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</si>
  <si>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</si>
  <si>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</si>
  <si>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</si>
  <si>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</si>
  <si>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</si>
  <si>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</si>
  <si>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</si>
  <si>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</si>
  <si>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</si>
  <si>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</si>
  <si>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</si>
  <si>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</si>
  <si>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</si>
  <si>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</si>
  <si>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</si>
  <si>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</si>
  <si>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</si>
  <si>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</si>
  <si>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</si>
  <si>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</si>
  <si>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</si>
  <si>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</si>
  <si>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</si>
  <si>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</si>
  <si>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</si>
  <si>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</si>
  <si>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</si>
  <si>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</si>
  <si>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</si>
  <si>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</si>
  <si>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</si>
  <si>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</si>
  <si>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</si>
  <si>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</si>
  <si>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</si>
  <si>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</si>
  <si>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</si>
  <si>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</si>
  <si>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</si>
  <si>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</si>
  <si>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</si>
  <si>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</si>
  <si>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</si>
  <si>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</si>
  <si>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</si>
  <si>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</si>
  <si>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</si>
  <si>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</si>
  <si>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</si>
  <si>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</si>
  <si>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</si>
  <si>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</si>
  <si>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</si>
  <si>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</si>
  <si>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</si>
  <si>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</si>
  <si>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</si>
  <si>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</si>
  <si>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</si>
  <si>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</si>
  <si>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</si>
  <si>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</si>
  <si>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</si>
  <si>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</si>
  <si>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</si>
  <si>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</si>
  <si>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</si>
  <si>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</si>
  <si>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</si>
  <si>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</si>
  <si>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</si>
  <si>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</si>
  <si>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</si>
  <si>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</si>
  <si>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</si>
  <si>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</si>
  <si>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</si>
  <si>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</si>
  <si>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</si>
  <si>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</si>
  <si>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</si>
  <si>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</si>
  <si>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</si>
  <si>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</si>
  <si>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</si>
  <si>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</si>
  <si>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</si>
  <si>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</si>
  <si>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</si>
  <si>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</si>
  <si>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</si>
  <si>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</si>
  <si>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</si>
  <si>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</si>
  <si>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</si>
  <si>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</si>
  <si>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</si>
  <si>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</si>
  <si>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</si>
  <si>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</si>
  <si>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[0.404678]</t>
  </si>
  <si>
    <t>1 [0.812080]</t>
  </si>
  <si>
    <t>1 [1.219516]</t>
  </si>
  <si>
    <t>1 [1.622817]</t>
  </si>
  <si>
    <t>1 [2.027622]</t>
  </si>
  <si>
    <t>1 [2.435661]</t>
  </si>
  <si>
    <t>1 [2.841320]</t>
  </si>
  <si>
    <t>1 [3.246742]</t>
  </si>
  <si>
    <t>1 [3.656711]</t>
  </si>
  <si>
    <t>1 [4.061126]</t>
  </si>
  <si>
    <t>1 [4.468082]</t>
  </si>
  <si>
    <t>1 [4.872808]</t>
  </si>
  <si>
    <t>1 [5.278746]</t>
  </si>
  <si>
    <t>1 [5.684825]</t>
  </si>
  <si>
    <t>1 [6.092962]</t>
  </si>
  <si>
    <t>1 [6.501731]</t>
  </si>
  <si>
    <t>1 [6.902242]</t>
  </si>
  <si>
    <t>1 [7.308439]</t>
  </si>
  <si>
    <t>1 [7.718246]</t>
  </si>
  <si>
    <t>1 [8.120117]</t>
  </si>
  <si>
    <t>1 [8.529163]</t>
  </si>
  <si>
    <t>1 [8.936318]</t>
  </si>
  <si>
    <t>1 [9.344107]</t>
  </si>
  <si>
    <t>1 [9.747894]</t>
  </si>
  <si>
    <t>1 [10.154567]</t>
  </si>
  <si>
    <t>1 [10.559694]</t>
  </si>
  <si>
    <t>1 [10.968579]</t>
  </si>
  <si>
    <t>1 [11.372432]</t>
  </si>
  <si>
    <t>1 [11.780021]</t>
  </si>
  <si>
    <t>1 [12.184760]</t>
  </si>
  <si>
    <t>1 [12.590696]</t>
  </si>
  <si>
    <t>1 [12.996880]</t>
  </si>
  <si>
    <t>1 [13.405778]</t>
  </si>
  <si>
    <t>1 [13.810364]</t>
  </si>
  <si>
    <t>1 [14.217054]</t>
  </si>
  <si>
    <t>1 [14.622432]</t>
  </si>
  <si>
    <t>1 [15.028047]</t>
  </si>
  <si>
    <t>1 [15.437838]</t>
  </si>
  <si>
    <t>1 [15.842613]</t>
  </si>
  <si>
    <t>1 [16.247143]</t>
  </si>
  <si>
    <t>1 [16.653015]</t>
  </si>
  <si>
    <t>1 [17.063426]</t>
  </si>
  <si>
    <t>1 [17.468421]</t>
  </si>
  <si>
    <t>1 [17.871722]</t>
  </si>
  <si>
    <t>1 [18.278092]</t>
  </si>
  <si>
    <t>1 [18.685592]</t>
  </si>
  <si>
    <t>1 [19.090940]</t>
  </si>
  <si>
    <t>1 [19.498131]</t>
  </si>
  <si>
    <t>1 [19.905341]</t>
  </si>
  <si>
    <t>1 [20.311988]</t>
  </si>
  <si>
    <t>1 [20.715650]</t>
  </si>
  <si>
    <t>1 [21.122516]</t>
  </si>
  <si>
    <t>1 [21.529885]</t>
  </si>
  <si>
    <t>1 [21.933873]</t>
  </si>
  <si>
    <t>1 [22.341988]</t>
  </si>
  <si>
    <t>1 [22.745442]</t>
  </si>
  <si>
    <t>1 [23.153429]</t>
  </si>
  <si>
    <t>1 [23.559799]</t>
  </si>
  <si>
    <t>1 [23.967619]</t>
  </si>
  <si>
    <t>1 [24.371396]</t>
  </si>
  <si>
    <t>1 [24.780201]</t>
  </si>
  <si>
    <t>1 [25.187666]</t>
  </si>
  <si>
    <t>1 [25.590587]</t>
  </si>
  <si>
    <t>1 [25.996304]</t>
  </si>
  <si>
    <t>1 [26.403423]</t>
  </si>
  <si>
    <t>1 [26.812292]</t>
  </si>
  <si>
    <t>1 [27.215859]</t>
  </si>
  <si>
    <t>1 [27.625066]</t>
  </si>
  <si>
    <t>1 [28.030370]</t>
  </si>
  <si>
    <t>1 [28.435462]</t>
  </si>
  <si>
    <t>1 [28.843600]</t>
  </si>
  <si>
    <t>1 [29.248088]</t>
  </si>
  <si>
    <t>1 [29.654493]</t>
  </si>
  <si>
    <t>2 [30.059997]</t>
  </si>
  <si>
    <t>2 [30.519178]</t>
  </si>
  <si>
    <t>2 [30.925210]</t>
  </si>
  <si>
    <t>2 [31.327776]</t>
  </si>
  <si>
    <t>2 [31.732956]</t>
  </si>
  <si>
    <t>2 [32.142998]</t>
  </si>
  <si>
    <t>2 [32.547268]</t>
  </si>
  <si>
    <t>2 [32.952845]</t>
  </si>
  <si>
    <t>2 [33.357289]</t>
  </si>
  <si>
    <t>2 [33.763321]</t>
  </si>
  <si>
    <t>2 [34.171581]</t>
  </si>
  <si>
    <t>2 [34.581110]</t>
  </si>
  <si>
    <t>2 [34.983861]</t>
  </si>
  <si>
    <t>2 [35.390004]</t>
  </si>
  <si>
    <t>2 [35.794214]</t>
  </si>
  <si>
    <t>2 [36.200447]</t>
  </si>
  <si>
    <t>2 [36.607572]</t>
  </si>
  <si>
    <t>2 [37.012382]</t>
  </si>
  <si>
    <t>2 [37.421712]</t>
  </si>
  <si>
    <t>2 [37.826690]</t>
  </si>
  <si>
    <t>2 [38.232462]</t>
  </si>
  <si>
    <t>2 [38.638935]</t>
  </si>
  <si>
    <t>2 [39.046464]</t>
  </si>
  <si>
    <t>2 [39.451177]</t>
  </si>
  <si>
    <t>2 [39.860991]</t>
  </si>
  <si>
    <t>2 [40.265103]</t>
  </si>
  <si>
    <t>2 [40.667903]</t>
  </si>
  <si>
    <t>2 [41.076738]</t>
  </si>
  <si>
    <t>2 [41.482318]</t>
  </si>
  <si>
    <t>2 [41.890871]</t>
  </si>
  <si>
    <t>2 [42.294029]</t>
  </si>
  <si>
    <t>2 [42.700332]</t>
  </si>
  <si>
    <t>2 [43.107564]</t>
  </si>
  <si>
    <t>2 [43.514296]</t>
  </si>
  <si>
    <t>2 [43.922158]</t>
  </si>
  <si>
    <t>2 [44.326863]</t>
  </si>
  <si>
    <t>2 [44.734208]</t>
  </si>
  <si>
    <t>2 [45.137021]</t>
  </si>
  <si>
    <t>2 [45.547295]</t>
  </si>
  <si>
    <t>2 [45.951205]</t>
  </si>
  <si>
    <t>2 [46.358427]</t>
  </si>
  <si>
    <t>2 [46.761616]</t>
  </si>
  <si>
    <t>2 [47.167119]</t>
  </si>
  <si>
    <t>2 [47.577203]</t>
  </si>
  <si>
    <t>2 [47.984293]</t>
  </si>
  <si>
    <t>2 [48.387351]</t>
  </si>
  <si>
    <t>2 [48.794644]</t>
  </si>
  <si>
    <t>2 [49.198813]</t>
  </si>
  <si>
    <t>2 [49.607636]</t>
  </si>
  <si>
    <t>2 [50.013583]</t>
  </si>
  <si>
    <t>2 [50.420599]</t>
  </si>
  <si>
    <t>2 [50.824349]</t>
  </si>
  <si>
    <t>2 [51.233643]</t>
  </si>
  <si>
    <t>2 [51.636474]</t>
  </si>
  <si>
    <t>2 [52.044704]</t>
  </si>
  <si>
    <t>2 [52.450247]</t>
  </si>
  <si>
    <t>2 [52.859875]</t>
  </si>
  <si>
    <t>2 [53.266911]</t>
  </si>
  <si>
    <t>2 [53.670639]</t>
  </si>
  <si>
    <t>2 [54.075942]</t>
  </si>
  <si>
    <t>2 [54.481651]</t>
  </si>
  <si>
    <t>2 [54.890256]</t>
  </si>
  <si>
    <t>2 [55.297032]</t>
  </si>
  <si>
    <t>2 [55.702119]</t>
  </si>
  <si>
    <t>2 [56.105017]</t>
  </si>
  <si>
    <t>2 [56.516214]</t>
  </si>
  <si>
    <t>2 [56.921437]</t>
  </si>
  <si>
    <t>2 [57.325875]</t>
  </si>
  <si>
    <t>2 [57.732788]</t>
  </si>
  <si>
    <t>2 [58.137798]</t>
  </si>
  <si>
    <t>2 [58.545224]</t>
  </si>
  <si>
    <t>2 [58.954225]</t>
  </si>
  <si>
    <t>2 [59.356998]</t>
  </si>
  <si>
    <t>2 [59.763749]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</si>
  <si>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</si>
  <si>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</si>
  <si>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</si>
  <si>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</si>
  <si>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</si>
  <si>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</si>
  <si>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</si>
  <si>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</si>
  <si>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</si>
  <si>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</si>
  <si>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</si>
  <si>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</si>
  <si>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</si>
  <si>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郝秀玲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</si>
</sst>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40.699100000000001</c:v>
                </c:pt>
                <c:pt idx="1">
                  <c:v>36.3752</c:v>
                </c:pt>
                <c:pt idx="2">
                  <c:v>33.033999999999999</c:v>
                </c:pt>
                <c:pt idx="3">
                  <c:v>35.923699999999997</c:v>
                </c:pt>
                <c:pt idx="4">
                  <c:v>66.413399999999996</c:v>
                </c:pt>
                <c:pt idx="5">
                  <c:v>59.000700000000002</c:v>
                </c:pt>
                <c:pt idx="6">
                  <c:v>16.6602</c:v>
                </c:pt>
                <c:pt idx="7">
                  <c:v>62.566699999999997</c:v>
                </c:pt>
                <c:pt idx="8">
                  <c:v>16.465299999999999</c:v>
                </c:pt>
                <c:pt idx="9">
                  <c:v>24.582699999999999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0.47286427632293437</c:v>
                </c:pt>
                <c:pt idx="1">
                  <c:v>0.33743636905600904</c:v>
                </c:pt>
                <c:pt idx="2">
                  <c:v>0.1896993546210565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22704</c:v>
                </c:pt>
                <c:pt idx="7">
                  <c:v>0</c:v>
                </c:pt>
                <c:pt idx="8">
                  <c:v>25596</c:v>
                </c:pt>
                <c:pt idx="9">
                  <c:v>0</c:v>
                </c:pt>
                <c:pt idx="10">
                  <c:v>0</c:v>
                </c:pt>
                <c:pt idx="11">
                  <c:v>37160</c:v>
                </c:pt>
                <c:pt idx="12">
                  <c:v>0</c:v>
                </c:pt>
                <c:pt idx="13">
                  <c:v>47783</c:v>
                </c:pt>
                <c:pt idx="14">
                  <c:v>0</c:v>
                </c:pt>
                <c:pt idx="15">
                  <c:v>0</c:v>
                </c:pt>
                <c:pt idx="16">
                  <c:v>48914</c:v>
                </c:pt>
                <c:pt idx="17">
                  <c:v>0</c:v>
                </c:pt>
                <c:pt idx="18">
                  <c:v>0</c:v>
                </c:pt>
                <c:pt idx="19">
                  <c:v>53688</c:v>
                </c:pt>
                <c:pt idx="20">
                  <c:v>0</c:v>
                </c:pt>
                <c:pt idx="21">
                  <c:v>59129</c:v>
                </c:pt>
                <c:pt idx="22">
                  <c:v>0</c:v>
                </c:pt>
                <c:pt idx="23">
                  <c:v>0</c:v>
                </c:pt>
                <c:pt idx="24">
                  <c:v>60233</c:v>
                </c:pt>
                <c:pt idx="25">
                  <c:v>0</c:v>
                </c:pt>
                <c:pt idx="26">
                  <c:v>62026</c:v>
                </c:pt>
                <c:pt idx="27">
                  <c:v>0</c:v>
                </c:pt>
                <c:pt idx="28">
                  <c:v>0</c:v>
                </c:pt>
                <c:pt idx="29">
                  <c:v>63295</c:v>
                </c:pt>
                <c:pt idx="30">
                  <c:v>0</c:v>
                </c:pt>
                <c:pt idx="31">
                  <c:v>63731</c:v>
                </c:pt>
                <c:pt idx="32">
                  <c:v>0</c:v>
                </c:pt>
                <c:pt idx="33">
                  <c:v>0</c:v>
                </c:pt>
                <c:pt idx="34">
                  <c:v>66073</c:v>
                </c:pt>
                <c:pt idx="35">
                  <c:v>0</c:v>
                </c:pt>
                <c:pt idx="36">
                  <c:v>0</c:v>
                </c:pt>
                <c:pt idx="37">
                  <c:v>67730</c:v>
                </c:pt>
                <c:pt idx="38">
                  <c:v>0</c:v>
                </c:pt>
                <c:pt idx="39">
                  <c:v>74030</c:v>
                </c:pt>
                <c:pt idx="40">
                  <c:v>0</c:v>
                </c:pt>
                <c:pt idx="41">
                  <c:v>0</c:v>
                </c:pt>
                <c:pt idx="42">
                  <c:v>72229</c:v>
                </c:pt>
                <c:pt idx="43">
                  <c:v>0</c:v>
                </c:pt>
                <c:pt idx="44">
                  <c:v>73226</c:v>
                </c:pt>
                <c:pt idx="45">
                  <c:v>0</c:v>
                </c:pt>
                <c:pt idx="46">
                  <c:v>0</c:v>
                </c:pt>
                <c:pt idx="47">
                  <c:v>74718</c:v>
                </c:pt>
                <c:pt idx="48">
                  <c:v>0</c:v>
                </c:pt>
                <c:pt idx="49">
                  <c:v>78314</c:v>
                </c:pt>
                <c:pt idx="50">
                  <c:v>0</c:v>
                </c:pt>
                <c:pt idx="51">
                  <c:v>0</c:v>
                </c:pt>
                <c:pt idx="52">
                  <c:v>77006</c:v>
                </c:pt>
                <c:pt idx="53">
                  <c:v>0</c:v>
                </c:pt>
                <c:pt idx="54">
                  <c:v>0</c:v>
                </c:pt>
                <c:pt idx="55">
                  <c:v>81535</c:v>
                </c:pt>
                <c:pt idx="56">
                  <c:v>0</c:v>
                </c:pt>
                <c:pt idx="57">
                  <c:v>80038</c:v>
                </c:pt>
                <c:pt idx="58">
                  <c:v>0</c:v>
                </c:pt>
                <c:pt idx="59">
                  <c:v>0</c:v>
                </c:pt>
                <c:pt idx="60">
                  <c:v>79920</c:v>
                </c:pt>
                <c:pt idx="61">
                  <c:v>0</c:v>
                </c:pt>
                <c:pt idx="62">
                  <c:v>86589</c:v>
                </c:pt>
                <c:pt idx="63">
                  <c:v>0</c:v>
                </c:pt>
                <c:pt idx="64">
                  <c:v>0</c:v>
                </c:pt>
                <c:pt idx="65">
                  <c:v>93919</c:v>
                </c:pt>
                <c:pt idx="66">
                  <c:v>0</c:v>
                </c:pt>
                <c:pt idx="67">
                  <c:v>99820</c:v>
                </c:pt>
                <c:pt idx="68">
                  <c:v>0</c:v>
                </c:pt>
                <c:pt idx="69">
                  <c:v>0</c:v>
                </c:pt>
                <c:pt idx="70">
                  <c:v>100647</c:v>
                </c:pt>
                <c:pt idx="71">
                  <c:v>0</c:v>
                </c:pt>
                <c:pt idx="72">
                  <c:v>0</c:v>
                </c:pt>
                <c:pt idx="73">
                  <c:v>101143</c:v>
                </c:pt>
                <c:pt idx="74">
                  <c:v>0</c:v>
                </c:pt>
                <c:pt idx="75">
                  <c:v>104066</c:v>
                </c:pt>
                <c:pt idx="76">
                  <c:v>0</c:v>
                </c:pt>
                <c:pt idx="77">
                  <c:v>0</c:v>
                </c:pt>
                <c:pt idx="78">
                  <c:v>117516</c:v>
                </c:pt>
                <c:pt idx="79">
                  <c:v>0</c:v>
                </c:pt>
                <c:pt idx="80">
                  <c:v>121499</c:v>
                </c:pt>
                <c:pt idx="81">
                  <c:v>0</c:v>
                </c:pt>
                <c:pt idx="82">
                  <c:v>0</c:v>
                </c:pt>
                <c:pt idx="83">
                  <c:v>122133</c:v>
                </c:pt>
                <c:pt idx="84">
                  <c:v>0</c:v>
                </c:pt>
                <c:pt idx="85">
                  <c:v>0</c:v>
                </c:pt>
                <c:pt idx="86">
                  <c:v>116045</c:v>
                </c:pt>
                <c:pt idx="87">
                  <c:v>0</c:v>
                </c:pt>
                <c:pt idx="88">
                  <c:v>121503</c:v>
                </c:pt>
                <c:pt idx="89">
                  <c:v>0</c:v>
                </c:pt>
                <c:pt idx="90">
                  <c:v>0</c:v>
                </c:pt>
                <c:pt idx="91">
                  <c:v>118187</c:v>
                </c:pt>
                <c:pt idx="92">
                  <c:v>0</c:v>
                </c:pt>
                <c:pt idx="93">
                  <c:v>118347</c:v>
                </c:pt>
                <c:pt idx="94">
                  <c:v>0</c:v>
                </c:pt>
                <c:pt idx="95">
                  <c:v>0</c:v>
                </c:pt>
                <c:pt idx="96">
                  <c:v>116166</c:v>
                </c:pt>
                <c:pt idx="97">
                  <c:v>0</c:v>
                </c:pt>
                <c:pt idx="98">
                  <c:v>106105</c:v>
                </c:pt>
                <c:pt idx="99">
                  <c:v>0</c:v>
                </c:pt>
                <c:pt idx="100">
                  <c:v>0</c:v>
                </c:pt>
                <c:pt idx="101">
                  <c:v>96379</c:v>
                </c:pt>
                <c:pt idx="102">
                  <c:v>0</c:v>
                </c:pt>
                <c:pt idx="103">
                  <c:v>0</c:v>
                </c:pt>
                <c:pt idx="104">
                  <c:v>87777</c:v>
                </c:pt>
                <c:pt idx="105">
                  <c:v>0</c:v>
                </c:pt>
                <c:pt idx="106">
                  <c:v>77332</c:v>
                </c:pt>
                <c:pt idx="107">
                  <c:v>0</c:v>
                </c:pt>
                <c:pt idx="108">
                  <c:v>0</c:v>
                </c:pt>
                <c:pt idx="109">
                  <c:v>65680</c:v>
                </c:pt>
                <c:pt idx="110">
                  <c:v>0</c:v>
                </c:pt>
                <c:pt idx="111">
                  <c:v>63000</c:v>
                </c:pt>
                <c:pt idx="112">
                  <c:v>0</c:v>
                </c:pt>
                <c:pt idx="113">
                  <c:v>0</c:v>
                </c:pt>
                <c:pt idx="114">
                  <c:v>57198</c:v>
                </c:pt>
                <c:pt idx="115">
                  <c:v>0</c:v>
                </c:pt>
                <c:pt idx="116">
                  <c:v>47371</c:v>
                </c:pt>
                <c:pt idx="117">
                  <c:v>0</c:v>
                </c:pt>
                <c:pt idx="118">
                  <c:v>0</c:v>
                </c:pt>
                <c:pt idx="119">
                  <c:v>47810</c:v>
                </c:pt>
                <c:pt idx="120">
                  <c:v>0</c:v>
                </c:pt>
                <c:pt idx="121">
                  <c:v>0</c:v>
                </c:pt>
                <c:pt idx="122">
                  <c:v>39473</c:v>
                </c:pt>
                <c:pt idx="123">
                  <c:v>0</c:v>
                </c:pt>
                <c:pt idx="124">
                  <c:v>34323</c:v>
                </c:pt>
                <c:pt idx="125">
                  <c:v>0</c:v>
                </c:pt>
                <c:pt idx="126">
                  <c:v>0</c:v>
                </c:pt>
                <c:pt idx="127">
                  <c:v>32038</c:v>
                </c:pt>
                <c:pt idx="128">
                  <c:v>0</c:v>
                </c:pt>
                <c:pt idx="129">
                  <c:v>32244</c:v>
                </c:pt>
                <c:pt idx="130">
                  <c:v>0</c:v>
                </c:pt>
                <c:pt idx="131">
                  <c:v>0</c:v>
                </c:pt>
                <c:pt idx="132">
                  <c:v>28633</c:v>
                </c:pt>
                <c:pt idx="133">
                  <c:v>0</c:v>
                </c:pt>
                <c:pt idx="134">
                  <c:v>28904</c:v>
                </c:pt>
                <c:pt idx="135">
                  <c:v>0</c:v>
                </c:pt>
                <c:pt idx="136">
                  <c:v>0</c:v>
                </c:pt>
                <c:pt idx="137">
                  <c:v>26572</c:v>
                </c:pt>
                <c:pt idx="138">
                  <c:v>0</c:v>
                </c:pt>
                <c:pt idx="139">
                  <c:v>0</c:v>
                </c:pt>
                <c:pt idx="140">
                  <c:v>23501</c:v>
                </c:pt>
                <c:pt idx="141">
                  <c:v>0</c:v>
                </c:pt>
                <c:pt idx="142">
                  <c:v>22826</c:v>
                </c:pt>
                <c:pt idx="143">
                  <c:v>0</c:v>
                </c:pt>
                <c:pt idx="144">
                  <c:v>0</c:v>
                </c:pt>
                <c:pt idx="145">
                  <c:v>21422</c:v>
                </c:pt>
                <c:pt idx="146">
                  <c:v>0</c:v>
                </c:pt>
                <c:pt idx="147">
                  <c:v>20187</c:v>
                </c:pt>
                <c:pt idx="148">
                  <c:v>0</c:v>
                </c:pt>
                <c:pt idx="149">
                  <c:v>0</c:v>
                </c:pt>
                <c:pt idx="150">
                  <c:v>18152</c:v>
                </c:pt>
                <c:pt idx="151">
                  <c:v>0</c:v>
                </c:pt>
                <c:pt idx="152">
                  <c:v>15821</c:v>
                </c:pt>
                <c:pt idx="153">
                  <c:v>0</c:v>
                </c:pt>
                <c:pt idx="154">
                  <c:v>0</c:v>
                </c:pt>
                <c:pt idx="155">
                  <c:v>9133</c:v>
                </c:pt>
                <c:pt idx="156">
                  <c:v>0</c:v>
                </c:pt>
                <c:pt idx="157">
                  <c:v>0</c:v>
                </c:pt>
                <c:pt idx="158">
                  <c:v>8389</c:v>
                </c:pt>
                <c:pt idx="159">
                  <c:v>0</c:v>
                </c:pt>
                <c:pt idx="160">
                  <c:v>7244</c:v>
                </c:pt>
                <c:pt idx="161">
                  <c:v>0</c:v>
                </c:pt>
                <c:pt idx="162">
                  <c:v>0</c:v>
                </c:pt>
                <c:pt idx="163">
                  <c:v>5838</c:v>
                </c:pt>
                <c:pt idx="164">
                  <c:v>0</c:v>
                </c:pt>
                <c:pt idx="165">
                  <c:v>5019</c:v>
                </c:pt>
                <c:pt idx="166">
                  <c:v>0</c:v>
                </c:pt>
                <c:pt idx="167">
                  <c:v>0</c:v>
                </c:pt>
                <c:pt idx="168">
                  <c:v>3937</c:v>
                </c:pt>
                <c:pt idx="169">
                  <c:v>0</c:v>
                </c:pt>
                <c:pt idx="170">
                  <c:v>0</c:v>
                </c:pt>
                <c:pt idx="171">
                  <c:v>2144</c:v>
                </c:pt>
                <c:pt idx="172">
                  <c:v>0</c:v>
                </c:pt>
                <c:pt idx="173">
                  <c:v>1690</c:v>
                </c:pt>
                <c:pt idx="174">
                  <c:v>0</c:v>
                </c:pt>
                <c:pt idx="175">
                  <c:v>0</c:v>
                </c:pt>
                <c:pt idx="176">
                  <c:v>885</c:v>
                </c:pt>
                <c:pt idx="177">
                  <c:v>0</c:v>
                </c:pt>
                <c:pt idx="178">
                  <c:v>447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1.40873</c:v>
                </c:pt>
                <c:pt idx="1">
                  <c:v>1.45428</c:v>
                </c:pt>
                <c:pt idx="2">
                  <c:v>1.5002099999999998</c:v>
                </c:pt>
                <c:pt idx="3">
                  <c:v>1.5480700000000001</c:v>
                </c:pt>
                <c:pt idx="4">
                  <c:v>1.59551</c:v>
                </c:pt>
                <c:pt idx="5">
                  <c:v>1.64297</c:v>
                </c:pt>
                <c:pt idx="6">
                  <c:v>1.6940599999999999</c:v>
                </c:pt>
                <c:pt idx="7">
                  <c:v>1.7464599999999999</c:v>
                </c:pt>
                <c:pt idx="8">
                  <c:v>1.7990300000000001</c:v>
                </c:pt>
                <c:pt idx="9">
                  <c:v>1.85175</c:v>
                </c:pt>
                <c:pt idx="10">
                  <c:v>1.9061300000000001</c:v>
                </c:pt>
                <c:pt idx="11">
                  <c:v>1.9636300000000002</c:v>
                </c:pt>
                <c:pt idx="12">
                  <c:v>2.0217900000000002</c:v>
                </c:pt>
                <c:pt idx="13">
                  <c:v>2.0807700000000002</c:v>
                </c:pt>
                <c:pt idx="14">
                  <c:v>2.1424000000000003</c:v>
                </c:pt>
                <c:pt idx="15">
                  <c:v>2.2024400000000002</c:v>
                </c:pt>
                <c:pt idx="16">
                  <c:v>2.2578400000000003</c:v>
                </c:pt>
                <c:pt idx="17">
                  <c:v>2.3106900000000001</c:v>
                </c:pt>
                <c:pt idx="18">
                  <c:v>2.3667099999999999</c:v>
                </c:pt>
                <c:pt idx="19">
                  <c:v>2.4208099999999999</c:v>
                </c:pt>
                <c:pt idx="20">
                  <c:v>2.4718300000000002</c:v>
                </c:pt>
                <c:pt idx="21">
                  <c:v>2.5184800000000003</c:v>
                </c:pt>
                <c:pt idx="22">
                  <c:v>2.5607799999999998</c:v>
                </c:pt>
                <c:pt idx="23">
                  <c:v>2.59985</c:v>
                </c:pt>
                <c:pt idx="24">
                  <c:v>2.6359900000000005</c:v>
                </c:pt>
                <c:pt idx="25">
                  <c:v>2.67069</c:v>
                </c:pt>
                <c:pt idx="26">
                  <c:v>2.70336</c:v>
                </c:pt>
                <c:pt idx="27">
                  <c:v>2.7358500000000001</c:v>
                </c:pt>
                <c:pt idx="28">
                  <c:v>2.7688200000000003</c:v>
                </c:pt>
                <c:pt idx="29">
                  <c:v>2.7996300000000001</c:v>
                </c:pt>
                <c:pt idx="30">
                  <c:v>2.8294700000000002</c:v>
                </c:pt>
                <c:pt idx="31">
                  <c:v>2.8583999999999996</c:v>
                </c:pt>
                <c:pt idx="32">
                  <c:v>2.8834300000000002</c:v>
                </c:pt>
                <c:pt idx="33">
                  <c:v>2.9060200000000003</c:v>
                </c:pt>
                <c:pt idx="34">
                  <c:v>2.9276999999999997</c:v>
                </c:pt>
                <c:pt idx="35">
                  <c:v>2.9481899999999999</c:v>
                </c:pt>
                <c:pt idx="36">
                  <c:v>2.96543</c:v>
                </c:pt>
                <c:pt idx="37">
                  <c:v>2.9800900000000001</c:v>
                </c:pt>
                <c:pt idx="38">
                  <c:v>2.9927900000000003</c:v>
                </c:pt>
                <c:pt idx="39">
                  <c:v>3.00101</c:v>
                </c:pt>
                <c:pt idx="40">
                  <c:v>3.0036400000000003</c:v>
                </c:pt>
                <c:pt idx="41">
                  <c:v>3.0053900000000002</c:v>
                </c:pt>
                <c:pt idx="42">
                  <c:v>3.0108899999999998</c:v>
                </c:pt>
                <c:pt idx="43">
                  <c:v>3.0110900000000003</c:v>
                </c:pt>
                <c:pt idx="44">
                  <c:v>3.0099</c:v>
                </c:pt>
                <c:pt idx="45">
                  <c:v>3.00915</c:v>
                </c:pt>
                <c:pt idx="46">
                  <c:v>3.0123199999999999</c:v>
                </c:pt>
                <c:pt idx="47">
                  <c:v>3.0136400000000001</c:v>
                </c:pt>
                <c:pt idx="48">
                  <c:v>3.0182199999999999</c:v>
                </c:pt>
                <c:pt idx="49">
                  <c:v>3.0262499999999997</c:v>
                </c:pt>
                <c:pt idx="50">
                  <c:v>3.0330699999999999</c:v>
                </c:pt>
                <c:pt idx="51">
                  <c:v>3.04366</c:v>
                </c:pt>
                <c:pt idx="52">
                  <c:v>3.0556200000000002</c:v>
                </c:pt>
                <c:pt idx="53">
                  <c:v>3.0665399999999998</c:v>
                </c:pt>
                <c:pt idx="54">
                  <c:v>3.0732500000000003</c:v>
                </c:pt>
                <c:pt idx="55">
                  <c:v>3.0826700000000002</c:v>
                </c:pt>
                <c:pt idx="56">
                  <c:v>3.0904799999999999</c:v>
                </c:pt>
                <c:pt idx="57">
                  <c:v>3.1027900000000002</c:v>
                </c:pt>
                <c:pt idx="58">
                  <c:v>3.11564</c:v>
                </c:pt>
                <c:pt idx="59">
                  <c:v>3.1305800000000001</c:v>
                </c:pt>
                <c:pt idx="60">
                  <c:v>3.1492199999999997</c:v>
                </c:pt>
                <c:pt idx="61">
                  <c:v>3.1743900000000003</c:v>
                </c:pt>
                <c:pt idx="62">
                  <c:v>3.1939699999999998</c:v>
                </c:pt>
                <c:pt idx="63">
                  <c:v>3.2070400000000001</c:v>
                </c:pt>
                <c:pt idx="64">
                  <c:v>3.2291999999999996</c:v>
                </c:pt>
                <c:pt idx="65">
                  <c:v>3.2639499999999999</c:v>
                </c:pt>
                <c:pt idx="66">
                  <c:v>3.2944200000000001</c:v>
                </c:pt>
                <c:pt idx="67">
                  <c:v>3.3136900000000002</c:v>
                </c:pt>
                <c:pt idx="68">
                  <c:v>3.3469300000000004</c:v>
                </c:pt>
                <c:pt idx="69">
                  <c:v>3.3652199999999999</c:v>
                </c:pt>
                <c:pt idx="70">
                  <c:v>3.3816099999999998</c:v>
                </c:pt>
                <c:pt idx="71">
                  <c:v>3.39358</c:v>
                </c:pt>
                <c:pt idx="72">
                  <c:v>3.40672</c:v>
                </c:pt>
                <c:pt idx="73">
                  <c:v>3.4140999999999999</c:v>
                </c:pt>
                <c:pt idx="74">
                  <c:v>3.42347</c:v>
                </c:pt>
                <c:pt idx="75">
                  <c:v>3.4327700000000001</c:v>
                </c:pt>
                <c:pt idx="76">
                  <c:v>3.4387099999999999</c:v>
                </c:pt>
                <c:pt idx="77">
                  <c:v>3.4437000000000002</c:v>
                </c:pt>
                <c:pt idx="78">
                  <c:v>3.4418300000000004</c:v>
                </c:pt>
                <c:pt idx="79">
                  <c:v>3.4388899999999998</c:v>
                </c:pt>
                <c:pt idx="80">
                  <c:v>3.4348200000000002</c:v>
                </c:pt>
                <c:pt idx="81">
                  <c:v>3.43207</c:v>
                </c:pt>
                <c:pt idx="82">
                  <c:v>3.4291500000000004</c:v>
                </c:pt>
                <c:pt idx="83">
                  <c:v>3.4238800000000005</c:v>
                </c:pt>
                <c:pt idx="84">
                  <c:v>3.41256</c:v>
                </c:pt>
                <c:pt idx="85">
                  <c:v>3.3969800000000001</c:v>
                </c:pt>
                <c:pt idx="86">
                  <c:v>3.3800000000000003</c:v>
                </c:pt>
                <c:pt idx="87">
                  <c:v>3.35771</c:v>
                </c:pt>
                <c:pt idx="88">
                  <c:v>3.32897</c:v>
                </c:pt>
                <c:pt idx="89">
                  <c:v>3.3021799999999999</c:v>
                </c:pt>
                <c:pt idx="90">
                  <c:v>3.2722199999999999</c:v>
                </c:pt>
                <c:pt idx="91">
                  <c:v>3.2382499999999999</c:v>
                </c:pt>
                <c:pt idx="92">
                  <c:v>3.2020900000000001</c:v>
                </c:pt>
                <c:pt idx="93">
                  <c:v>3.1689699999999998</c:v>
                </c:pt>
                <c:pt idx="94">
                  <c:v>3.1391999999999998</c:v>
                </c:pt>
                <c:pt idx="95">
                  <c:v>3.10778</c:v>
                </c:pt>
                <c:pt idx="96">
                  <c:v>3.0784499999999997</c:v>
                </c:pt>
                <c:pt idx="97">
                  <c:v>3.0524899999999997</c:v>
                </c:pt>
                <c:pt idx="98">
                  <c:v>3.0290499999999998</c:v>
                </c:pt>
                <c:pt idx="99">
                  <c:v>3.00576</c:v>
                </c:pt>
                <c:pt idx="100">
                  <c:v>2.9796200000000002</c:v>
                </c:pt>
                <c:pt idx="101">
                  <c:v>2.9582100000000002</c:v>
                </c:pt>
                <c:pt idx="102">
                  <c:v>2.9392400000000003</c:v>
                </c:pt>
                <c:pt idx="103">
                  <c:v>2.9264700000000001</c:v>
                </c:pt>
                <c:pt idx="104">
                  <c:v>2.9180999999999999</c:v>
                </c:pt>
                <c:pt idx="105">
                  <c:v>2.91228</c:v>
                </c:pt>
                <c:pt idx="106">
                  <c:v>2.9058899999999999</c:v>
                </c:pt>
                <c:pt idx="107">
                  <c:v>2.89873</c:v>
                </c:pt>
                <c:pt idx="108">
                  <c:v>2.8909099999999999</c:v>
                </c:pt>
                <c:pt idx="109">
                  <c:v>2.8828399999999998</c:v>
                </c:pt>
                <c:pt idx="110">
                  <c:v>2.88009</c:v>
                </c:pt>
                <c:pt idx="111">
                  <c:v>2.8838200000000001</c:v>
                </c:pt>
                <c:pt idx="112">
                  <c:v>2.8965700000000001</c:v>
                </c:pt>
                <c:pt idx="113">
                  <c:v>2.9149000000000003</c:v>
                </c:pt>
                <c:pt idx="114">
                  <c:v>2.9321799999999998</c:v>
                </c:pt>
                <c:pt idx="115">
                  <c:v>2.9475899999999999</c:v>
                </c:pt>
                <c:pt idx="116">
                  <c:v>2.96434</c:v>
                </c:pt>
                <c:pt idx="117">
                  <c:v>2.98244</c:v>
                </c:pt>
                <c:pt idx="118">
                  <c:v>3.00298</c:v>
                </c:pt>
                <c:pt idx="119">
                  <c:v>3.0292300000000001</c:v>
                </c:pt>
                <c:pt idx="120">
                  <c:v>3.0595699999999999</c:v>
                </c:pt>
                <c:pt idx="121">
                  <c:v>3.0900400000000001</c:v>
                </c:pt>
                <c:pt idx="122">
                  <c:v>3.1185099999999997</c:v>
                </c:pt>
                <c:pt idx="123">
                  <c:v>3.14621</c:v>
                </c:pt>
                <c:pt idx="124">
                  <c:v>3.1571700000000003</c:v>
                </c:pt>
                <c:pt idx="125">
                  <c:v>3.1694299999999997</c:v>
                </c:pt>
                <c:pt idx="126">
                  <c:v>3.18126</c:v>
                </c:pt>
                <c:pt idx="127">
                  <c:v>3.1935799999999999</c:v>
                </c:pt>
                <c:pt idx="128">
                  <c:v>3.2060399999999998</c:v>
                </c:pt>
                <c:pt idx="129">
                  <c:v>3.2172200000000002</c:v>
                </c:pt>
                <c:pt idx="130">
                  <c:v>3.2293799999999999</c:v>
                </c:pt>
                <c:pt idx="131">
                  <c:v>3.2408799999999998</c:v>
                </c:pt>
                <c:pt idx="132">
                  <c:v>3.2547700000000002</c:v>
                </c:pt>
                <c:pt idx="133">
                  <c:v>3.2740799999999997</c:v>
                </c:pt>
                <c:pt idx="134">
                  <c:v>3.2984999999999998</c:v>
                </c:pt>
                <c:pt idx="135">
                  <c:v>3.3221699999999998</c:v>
                </c:pt>
                <c:pt idx="136">
                  <c:v>3.3411400000000002</c:v>
                </c:pt>
                <c:pt idx="137">
                  <c:v>3.3543600000000002</c:v>
                </c:pt>
                <c:pt idx="138">
                  <c:v>3.3664100000000001</c:v>
                </c:pt>
                <c:pt idx="139">
                  <c:v>3.3796300000000001</c:v>
                </c:pt>
                <c:pt idx="140">
                  <c:v>3.3975400000000002</c:v>
                </c:pt>
                <c:pt idx="141">
                  <c:v>3.4181499999999998</c:v>
                </c:pt>
                <c:pt idx="142">
                  <c:v>3.4423700000000004</c:v>
                </c:pt>
                <c:pt idx="143">
                  <c:v>3.4640700000000004</c:v>
                </c:pt>
                <c:pt idx="144">
                  <c:v>3.4710400000000003</c:v>
                </c:pt>
                <c:pt idx="145">
                  <c:v>3.4715699999999998</c:v>
                </c:pt>
                <c:pt idx="146">
                  <c:v>3.4711500000000002</c:v>
                </c:pt>
                <c:pt idx="147">
                  <c:v>3.4798299999999998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59.154300000000006</c:v>
                </c:pt>
                <c:pt idx="1">
                  <c:v>58.235000000000007</c:v>
                </c:pt>
                <c:pt idx="2">
                  <c:v>57.332700000000003</c:v>
                </c:pt>
                <c:pt idx="3">
                  <c:v>56.3964</c:v>
                </c:pt>
                <c:pt idx="4">
                  <c:v>55.492699999999992</c:v>
                </c:pt>
                <c:pt idx="5">
                  <c:v>54.528500000000001</c:v>
                </c:pt>
                <c:pt idx="6">
                  <c:v>53.436099999999996</c:v>
                </c:pt>
                <c:pt idx="7">
                  <c:v>52.253899999999994</c:v>
                </c:pt>
                <c:pt idx="8">
                  <c:v>51.014099999999999</c:v>
                </c:pt>
                <c:pt idx="9">
                  <c:v>49.799399999999999</c:v>
                </c:pt>
                <c:pt idx="10">
                  <c:v>48.522500000000001</c:v>
                </c:pt>
                <c:pt idx="11">
                  <c:v>47.161799999999999</c:v>
                </c:pt>
                <c:pt idx="12">
                  <c:v>45.748699999999999</c:v>
                </c:pt>
                <c:pt idx="13">
                  <c:v>44.240600000000001</c:v>
                </c:pt>
                <c:pt idx="14">
                  <c:v>42.617199999999997</c:v>
                </c:pt>
                <c:pt idx="15">
                  <c:v>41.112500000000004</c:v>
                </c:pt>
                <c:pt idx="16">
                  <c:v>39.837299999999999</c:v>
                </c:pt>
                <c:pt idx="17">
                  <c:v>38.769599999999997</c:v>
                </c:pt>
                <c:pt idx="18">
                  <c:v>37.739200000000004</c:v>
                </c:pt>
                <c:pt idx="19">
                  <c:v>36.641800000000003</c:v>
                </c:pt>
                <c:pt idx="20">
                  <c:v>35.632100000000001</c:v>
                </c:pt>
                <c:pt idx="21">
                  <c:v>34.754600000000003</c:v>
                </c:pt>
                <c:pt idx="22">
                  <c:v>34.011200000000002</c:v>
                </c:pt>
                <c:pt idx="23">
                  <c:v>33.4163</c:v>
                </c:pt>
                <c:pt idx="24">
                  <c:v>32.972200000000001</c:v>
                </c:pt>
                <c:pt idx="25">
                  <c:v>32.6145</c:v>
                </c:pt>
                <c:pt idx="26">
                  <c:v>32.330300000000001</c:v>
                </c:pt>
                <c:pt idx="27">
                  <c:v>32.024500000000003</c:v>
                </c:pt>
                <c:pt idx="28">
                  <c:v>31.670100000000001</c:v>
                </c:pt>
                <c:pt idx="29">
                  <c:v>31.375299999999999</c:v>
                </c:pt>
                <c:pt idx="30">
                  <c:v>31.127100000000002</c:v>
                </c:pt>
                <c:pt idx="31">
                  <c:v>30.859199999999998</c:v>
                </c:pt>
                <c:pt idx="32">
                  <c:v>30.636000000000003</c:v>
                </c:pt>
                <c:pt idx="33">
                  <c:v>30.414600000000004</c:v>
                </c:pt>
                <c:pt idx="34">
                  <c:v>30.223699999999997</c:v>
                </c:pt>
                <c:pt idx="35">
                  <c:v>30.0639</c:v>
                </c:pt>
                <c:pt idx="36">
                  <c:v>29.895199999999999</c:v>
                </c:pt>
                <c:pt idx="37">
                  <c:v>29.8004</c:v>
                </c:pt>
                <c:pt idx="38">
                  <c:v>29.802899999999998</c:v>
                </c:pt>
                <c:pt idx="39">
                  <c:v>29.899799999999999</c:v>
                </c:pt>
                <c:pt idx="40">
                  <c:v>30.025000000000002</c:v>
                </c:pt>
                <c:pt idx="41">
                  <c:v>30.087199999999996</c:v>
                </c:pt>
                <c:pt idx="42">
                  <c:v>30.153200000000002</c:v>
                </c:pt>
                <c:pt idx="43">
                  <c:v>30.214099999999998</c:v>
                </c:pt>
                <c:pt idx="44">
                  <c:v>30.443300000000001</c:v>
                </c:pt>
                <c:pt idx="45">
                  <c:v>30.721500000000002</c:v>
                </c:pt>
                <c:pt idx="46">
                  <c:v>31.016899999999996</c:v>
                </c:pt>
                <c:pt idx="47">
                  <c:v>31.273499999999999</c:v>
                </c:pt>
                <c:pt idx="48">
                  <c:v>31.419799999999999</c:v>
                </c:pt>
                <c:pt idx="49">
                  <c:v>31.476700000000001</c:v>
                </c:pt>
                <c:pt idx="50">
                  <c:v>31.509399999999999</c:v>
                </c:pt>
                <c:pt idx="51">
                  <c:v>31.533000000000001</c:v>
                </c:pt>
                <c:pt idx="52">
                  <c:v>31.595600000000001</c:v>
                </c:pt>
                <c:pt idx="53">
                  <c:v>31.653100000000002</c:v>
                </c:pt>
                <c:pt idx="54">
                  <c:v>31.725100000000001</c:v>
                </c:pt>
                <c:pt idx="55">
                  <c:v>31.7743</c:v>
                </c:pt>
                <c:pt idx="56">
                  <c:v>31.819799999999997</c:v>
                </c:pt>
                <c:pt idx="57">
                  <c:v>31.797599999999999</c:v>
                </c:pt>
                <c:pt idx="58">
                  <c:v>31.837100000000003</c:v>
                </c:pt>
                <c:pt idx="59">
                  <c:v>31.841900000000003</c:v>
                </c:pt>
                <c:pt idx="60">
                  <c:v>31.797900000000002</c:v>
                </c:pt>
                <c:pt idx="61">
                  <c:v>31.694299999999998</c:v>
                </c:pt>
                <c:pt idx="62">
                  <c:v>31.613700000000001</c:v>
                </c:pt>
                <c:pt idx="63">
                  <c:v>31.563700000000001</c:v>
                </c:pt>
                <c:pt idx="64">
                  <c:v>31.3934</c:v>
                </c:pt>
                <c:pt idx="65">
                  <c:v>31.102600000000002</c:v>
                </c:pt>
                <c:pt idx="66">
                  <c:v>30.849799999999998</c:v>
                </c:pt>
                <c:pt idx="67">
                  <c:v>30.701800000000002</c:v>
                </c:pt>
                <c:pt idx="68">
                  <c:v>30.408200000000001</c:v>
                </c:pt>
                <c:pt idx="69">
                  <c:v>30.353999999999999</c:v>
                </c:pt>
                <c:pt idx="70">
                  <c:v>30.335600000000003</c:v>
                </c:pt>
                <c:pt idx="71">
                  <c:v>30.298399999999997</c:v>
                </c:pt>
                <c:pt idx="72">
                  <c:v>30.289700000000003</c:v>
                </c:pt>
                <c:pt idx="73">
                  <c:v>30.368000000000002</c:v>
                </c:pt>
                <c:pt idx="74">
                  <c:v>30.390899999999998</c:v>
                </c:pt>
                <c:pt idx="75">
                  <c:v>30.5334</c:v>
                </c:pt>
                <c:pt idx="76">
                  <c:v>30.6707</c:v>
                </c:pt>
                <c:pt idx="77">
                  <c:v>30.805700000000002</c:v>
                </c:pt>
                <c:pt idx="78">
                  <c:v>30.961499999999997</c:v>
                </c:pt>
                <c:pt idx="79">
                  <c:v>31.096699999999998</c:v>
                </c:pt>
                <c:pt idx="80">
                  <c:v>31.176900000000003</c:v>
                </c:pt>
                <c:pt idx="81">
                  <c:v>31.1983</c:v>
                </c:pt>
                <c:pt idx="82">
                  <c:v>31.186499999999999</c:v>
                </c:pt>
                <c:pt idx="83">
                  <c:v>31.174099999999999</c:v>
                </c:pt>
                <c:pt idx="84">
                  <c:v>31.204700000000003</c:v>
                </c:pt>
                <c:pt idx="85">
                  <c:v>31.2959</c:v>
                </c:pt>
                <c:pt idx="86">
                  <c:v>31.455499999999997</c:v>
                </c:pt>
                <c:pt idx="87">
                  <c:v>31.637599999999999</c:v>
                </c:pt>
                <c:pt idx="88">
                  <c:v>31.866399999999999</c:v>
                </c:pt>
                <c:pt idx="89">
                  <c:v>32.093800000000002</c:v>
                </c:pt>
                <c:pt idx="90">
                  <c:v>32.4771</c:v>
                </c:pt>
                <c:pt idx="91">
                  <c:v>32.992100000000001</c:v>
                </c:pt>
                <c:pt idx="92">
                  <c:v>33.589999999999996</c:v>
                </c:pt>
                <c:pt idx="93">
                  <c:v>34.161200000000001</c:v>
                </c:pt>
                <c:pt idx="94">
                  <c:v>34.633099999999999</c:v>
                </c:pt>
                <c:pt idx="95">
                  <c:v>35.090800000000002</c:v>
                </c:pt>
                <c:pt idx="96">
                  <c:v>35.543200000000006</c:v>
                </c:pt>
                <c:pt idx="97">
                  <c:v>36.004899999999999</c:v>
                </c:pt>
                <c:pt idx="98">
                  <c:v>36.4724</c:v>
                </c:pt>
                <c:pt idx="99">
                  <c:v>37.0443</c:v>
                </c:pt>
                <c:pt idx="100">
                  <c:v>37.684400000000004</c:v>
                </c:pt>
                <c:pt idx="101">
                  <c:v>38.254199999999997</c:v>
                </c:pt>
                <c:pt idx="102">
                  <c:v>38.853900000000003</c:v>
                </c:pt>
                <c:pt idx="103">
                  <c:v>39.317800000000005</c:v>
                </c:pt>
                <c:pt idx="104">
                  <c:v>39.7166</c:v>
                </c:pt>
                <c:pt idx="105">
                  <c:v>40.110700000000001</c:v>
                </c:pt>
                <c:pt idx="106">
                  <c:v>40.666000000000004</c:v>
                </c:pt>
                <c:pt idx="107">
                  <c:v>41.269500000000001</c:v>
                </c:pt>
                <c:pt idx="108">
                  <c:v>41.827300000000001</c:v>
                </c:pt>
                <c:pt idx="109">
                  <c:v>42.329599999999999</c:v>
                </c:pt>
                <c:pt idx="110">
                  <c:v>42.692799999999998</c:v>
                </c:pt>
                <c:pt idx="111">
                  <c:v>42.9313</c:v>
                </c:pt>
                <c:pt idx="112">
                  <c:v>43.046599999999998</c:v>
                </c:pt>
                <c:pt idx="113">
                  <c:v>43.062199999999997</c:v>
                </c:pt>
                <c:pt idx="114">
                  <c:v>43.069499999999998</c:v>
                </c:pt>
                <c:pt idx="115">
                  <c:v>43.119199999999999</c:v>
                </c:pt>
                <c:pt idx="116">
                  <c:v>43.131500000000003</c:v>
                </c:pt>
                <c:pt idx="117">
                  <c:v>43.139099999999999</c:v>
                </c:pt>
                <c:pt idx="118">
                  <c:v>43.039100000000005</c:v>
                </c:pt>
                <c:pt idx="119">
                  <c:v>42.791000000000004</c:v>
                </c:pt>
                <c:pt idx="120">
                  <c:v>42.518599999999999</c:v>
                </c:pt>
                <c:pt idx="121">
                  <c:v>42.278999999999996</c:v>
                </c:pt>
                <c:pt idx="122">
                  <c:v>42.110100000000003</c:v>
                </c:pt>
                <c:pt idx="123">
                  <c:v>41.913499999999999</c:v>
                </c:pt>
                <c:pt idx="124">
                  <c:v>41.9527</c:v>
                </c:pt>
                <c:pt idx="125">
                  <c:v>41.966999999999999</c:v>
                </c:pt>
                <c:pt idx="126">
                  <c:v>41.962200000000003</c:v>
                </c:pt>
                <c:pt idx="127">
                  <c:v>41.912500000000001</c:v>
                </c:pt>
                <c:pt idx="128">
                  <c:v>41.8431</c:v>
                </c:pt>
                <c:pt idx="129">
                  <c:v>41.797899999999998</c:v>
                </c:pt>
                <c:pt idx="130">
                  <c:v>41.747399999999999</c:v>
                </c:pt>
                <c:pt idx="131">
                  <c:v>41.608200000000004</c:v>
                </c:pt>
                <c:pt idx="132">
                  <c:v>41.446600000000004</c:v>
                </c:pt>
                <c:pt idx="133">
                  <c:v>41.3048</c:v>
                </c:pt>
                <c:pt idx="134">
                  <c:v>41.193999999999996</c:v>
                </c:pt>
                <c:pt idx="135">
                  <c:v>41.084099999999999</c:v>
                </c:pt>
                <c:pt idx="136">
                  <c:v>40.902799999999999</c:v>
                </c:pt>
                <c:pt idx="137">
                  <c:v>40.629100000000001</c:v>
                </c:pt>
                <c:pt idx="138">
                  <c:v>40.341700000000003</c:v>
                </c:pt>
                <c:pt idx="139">
                  <c:v>40.082799999999999</c:v>
                </c:pt>
                <c:pt idx="140">
                  <c:v>39.769300000000001</c:v>
                </c:pt>
                <c:pt idx="141">
                  <c:v>39.513100000000001</c:v>
                </c:pt>
                <c:pt idx="142">
                  <c:v>39.182099999999998</c:v>
                </c:pt>
                <c:pt idx="143">
                  <c:v>38.934100000000001</c:v>
                </c:pt>
                <c:pt idx="144">
                  <c:v>38.800200000000004</c:v>
                </c:pt>
                <c:pt idx="145">
                  <c:v>38.793799999999997</c:v>
                </c:pt>
                <c:pt idx="146">
                  <c:v>38.911799999999999</c:v>
                </c:pt>
                <c:pt idx="147">
                  <c:v>38.698300000000003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1.40873</c:v>
                </c:pt>
                <c:pt idx="1">
                  <c:v>1.45428</c:v>
                </c:pt>
                <c:pt idx="2">
                  <c:v>1.5002099999999998</c:v>
                </c:pt>
                <c:pt idx="3">
                  <c:v>1.5480700000000001</c:v>
                </c:pt>
                <c:pt idx="4">
                  <c:v>1.59551</c:v>
                </c:pt>
                <c:pt idx="5">
                  <c:v>1.64297</c:v>
                </c:pt>
                <c:pt idx="6">
                  <c:v>1.6940599999999999</c:v>
                </c:pt>
                <c:pt idx="7">
                  <c:v>1.7464599999999999</c:v>
                </c:pt>
                <c:pt idx="8">
                  <c:v>1.7990300000000001</c:v>
                </c:pt>
                <c:pt idx="9">
                  <c:v>1.85175</c:v>
                </c:pt>
                <c:pt idx="10">
                  <c:v>1.9061300000000001</c:v>
                </c:pt>
                <c:pt idx="11">
                  <c:v>1.9636300000000002</c:v>
                </c:pt>
                <c:pt idx="12">
                  <c:v>2.0217900000000002</c:v>
                </c:pt>
                <c:pt idx="13">
                  <c:v>2.0807700000000002</c:v>
                </c:pt>
                <c:pt idx="14">
                  <c:v>2.1424000000000003</c:v>
                </c:pt>
                <c:pt idx="15">
                  <c:v>2.2024400000000002</c:v>
                </c:pt>
                <c:pt idx="16">
                  <c:v>2.2578400000000003</c:v>
                </c:pt>
                <c:pt idx="17">
                  <c:v>2.3106900000000001</c:v>
                </c:pt>
                <c:pt idx="18">
                  <c:v>2.3667099999999999</c:v>
                </c:pt>
                <c:pt idx="19">
                  <c:v>2.4208099999999999</c:v>
                </c:pt>
                <c:pt idx="20">
                  <c:v>2.4718300000000002</c:v>
                </c:pt>
                <c:pt idx="21">
                  <c:v>2.5184800000000003</c:v>
                </c:pt>
                <c:pt idx="22">
                  <c:v>2.5607799999999998</c:v>
                </c:pt>
                <c:pt idx="23">
                  <c:v>2.59985</c:v>
                </c:pt>
                <c:pt idx="24">
                  <c:v>2.6359900000000005</c:v>
                </c:pt>
                <c:pt idx="25">
                  <c:v>2.67069</c:v>
                </c:pt>
                <c:pt idx="26">
                  <c:v>2.70336</c:v>
                </c:pt>
                <c:pt idx="27">
                  <c:v>2.7358500000000001</c:v>
                </c:pt>
                <c:pt idx="28">
                  <c:v>2.7688200000000003</c:v>
                </c:pt>
                <c:pt idx="29">
                  <c:v>2.7996300000000001</c:v>
                </c:pt>
                <c:pt idx="30">
                  <c:v>2.8294700000000002</c:v>
                </c:pt>
                <c:pt idx="31">
                  <c:v>2.8583999999999996</c:v>
                </c:pt>
                <c:pt idx="32">
                  <c:v>2.8834300000000002</c:v>
                </c:pt>
                <c:pt idx="33">
                  <c:v>2.9060200000000003</c:v>
                </c:pt>
                <c:pt idx="34">
                  <c:v>2.9276999999999997</c:v>
                </c:pt>
                <c:pt idx="35">
                  <c:v>2.9481899999999999</c:v>
                </c:pt>
                <c:pt idx="36">
                  <c:v>2.96543</c:v>
                </c:pt>
                <c:pt idx="37">
                  <c:v>2.9800900000000001</c:v>
                </c:pt>
                <c:pt idx="38">
                  <c:v>2.9927900000000003</c:v>
                </c:pt>
                <c:pt idx="39">
                  <c:v>3.00101</c:v>
                </c:pt>
                <c:pt idx="40">
                  <c:v>3.0036400000000003</c:v>
                </c:pt>
                <c:pt idx="41">
                  <c:v>3.0053900000000002</c:v>
                </c:pt>
                <c:pt idx="42">
                  <c:v>3.0108899999999998</c:v>
                </c:pt>
                <c:pt idx="43">
                  <c:v>3.0110900000000003</c:v>
                </c:pt>
                <c:pt idx="44">
                  <c:v>3.0099</c:v>
                </c:pt>
                <c:pt idx="45">
                  <c:v>3.00915</c:v>
                </c:pt>
                <c:pt idx="46">
                  <c:v>3.0123199999999999</c:v>
                </c:pt>
                <c:pt idx="47">
                  <c:v>3.0136400000000001</c:v>
                </c:pt>
                <c:pt idx="48">
                  <c:v>3.0182199999999999</c:v>
                </c:pt>
                <c:pt idx="49">
                  <c:v>3.0262499999999997</c:v>
                </c:pt>
                <c:pt idx="50">
                  <c:v>3.0330699999999999</c:v>
                </c:pt>
                <c:pt idx="51">
                  <c:v>3.04366</c:v>
                </c:pt>
                <c:pt idx="52">
                  <c:v>3.0556200000000002</c:v>
                </c:pt>
                <c:pt idx="53">
                  <c:v>3.0665399999999998</c:v>
                </c:pt>
                <c:pt idx="54">
                  <c:v>3.0732500000000003</c:v>
                </c:pt>
                <c:pt idx="55">
                  <c:v>3.0826700000000002</c:v>
                </c:pt>
                <c:pt idx="56">
                  <c:v>3.0904799999999999</c:v>
                </c:pt>
                <c:pt idx="57">
                  <c:v>3.1027900000000002</c:v>
                </c:pt>
                <c:pt idx="58">
                  <c:v>3.11564</c:v>
                </c:pt>
                <c:pt idx="59">
                  <c:v>3.1305800000000001</c:v>
                </c:pt>
                <c:pt idx="60">
                  <c:v>3.1492199999999997</c:v>
                </c:pt>
                <c:pt idx="61">
                  <c:v>3.1743900000000003</c:v>
                </c:pt>
                <c:pt idx="62">
                  <c:v>3.1939699999999998</c:v>
                </c:pt>
                <c:pt idx="63">
                  <c:v>3.2070400000000001</c:v>
                </c:pt>
                <c:pt idx="64">
                  <c:v>3.2291999999999996</c:v>
                </c:pt>
                <c:pt idx="65">
                  <c:v>3.2639499999999999</c:v>
                </c:pt>
                <c:pt idx="66">
                  <c:v>3.2944200000000001</c:v>
                </c:pt>
                <c:pt idx="67">
                  <c:v>3.3136900000000002</c:v>
                </c:pt>
                <c:pt idx="68">
                  <c:v>3.3469300000000004</c:v>
                </c:pt>
                <c:pt idx="69">
                  <c:v>3.3652199999999999</c:v>
                </c:pt>
                <c:pt idx="70">
                  <c:v>3.3816099999999998</c:v>
                </c:pt>
                <c:pt idx="71">
                  <c:v>3.39358</c:v>
                </c:pt>
                <c:pt idx="72">
                  <c:v>3.40672</c:v>
                </c:pt>
                <c:pt idx="73">
                  <c:v>3.4140999999999999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59.154300000000006</c:v>
                </c:pt>
                <c:pt idx="1">
                  <c:v>58.235000000000007</c:v>
                </c:pt>
                <c:pt idx="2">
                  <c:v>57.332700000000003</c:v>
                </c:pt>
                <c:pt idx="3">
                  <c:v>56.3964</c:v>
                </c:pt>
                <c:pt idx="4">
                  <c:v>55.492699999999992</c:v>
                </c:pt>
                <c:pt idx="5">
                  <c:v>54.528500000000001</c:v>
                </c:pt>
                <c:pt idx="6">
                  <c:v>53.436099999999996</c:v>
                </c:pt>
                <c:pt idx="7">
                  <c:v>52.253899999999994</c:v>
                </c:pt>
                <c:pt idx="8">
                  <c:v>51.014099999999999</c:v>
                </c:pt>
                <c:pt idx="9">
                  <c:v>49.799399999999999</c:v>
                </c:pt>
                <c:pt idx="10">
                  <c:v>48.522500000000001</c:v>
                </c:pt>
                <c:pt idx="11">
                  <c:v>47.161799999999999</c:v>
                </c:pt>
                <c:pt idx="12">
                  <c:v>45.748699999999999</c:v>
                </c:pt>
                <c:pt idx="13">
                  <c:v>44.240600000000001</c:v>
                </c:pt>
                <c:pt idx="14">
                  <c:v>42.617199999999997</c:v>
                </c:pt>
                <c:pt idx="15">
                  <c:v>41.112500000000004</c:v>
                </c:pt>
                <c:pt idx="16">
                  <c:v>39.837299999999999</c:v>
                </c:pt>
                <c:pt idx="17">
                  <c:v>38.769599999999997</c:v>
                </c:pt>
                <c:pt idx="18">
                  <c:v>37.739200000000004</c:v>
                </c:pt>
                <c:pt idx="19">
                  <c:v>36.641800000000003</c:v>
                </c:pt>
                <c:pt idx="20">
                  <c:v>35.632100000000001</c:v>
                </c:pt>
                <c:pt idx="21">
                  <c:v>34.754600000000003</c:v>
                </c:pt>
                <c:pt idx="22">
                  <c:v>34.011200000000002</c:v>
                </c:pt>
                <c:pt idx="23">
                  <c:v>33.4163</c:v>
                </c:pt>
                <c:pt idx="24">
                  <c:v>32.972200000000001</c:v>
                </c:pt>
                <c:pt idx="25">
                  <c:v>32.6145</c:v>
                </c:pt>
                <c:pt idx="26">
                  <c:v>32.330300000000001</c:v>
                </c:pt>
                <c:pt idx="27">
                  <c:v>32.024500000000003</c:v>
                </c:pt>
                <c:pt idx="28">
                  <c:v>31.670100000000001</c:v>
                </c:pt>
                <c:pt idx="29">
                  <c:v>31.375299999999999</c:v>
                </c:pt>
                <c:pt idx="30">
                  <c:v>31.127100000000002</c:v>
                </c:pt>
                <c:pt idx="31">
                  <c:v>30.859199999999998</c:v>
                </c:pt>
                <c:pt idx="32">
                  <c:v>30.636000000000003</c:v>
                </c:pt>
                <c:pt idx="33">
                  <c:v>30.414600000000004</c:v>
                </c:pt>
                <c:pt idx="34">
                  <c:v>30.223699999999997</c:v>
                </c:pt>
                <c:pt idx="35">
                  <c:v>30.0639</c:v>
                </c:pt>
                <c:pt idx="36">
                  <c:v>29.895199999999999</c:v>
                </c:pt>
                <c:pt idx="37">
                  <c:v>29.8004</c:v>
                </c:pt>
                <c:pt idx="38">
                  <c:v>29.802899999999998</c:v>
                </c:pt>
                <c:pt idx="39">
                  <c:v>29.899799999999999</c:v>
                </c:pt>
                <c:pt idx="40">
                  <c:v>30.025000000000002</c:v>
                </c:pt>
                <c:pt idx="41">
                  <c:v>30.087199999999996</c:v>
                </c:pt>
                <c:pt idx="42">
                  <c:v>30.153200000000002</c:v>
                </c:pt>
                <c:pt idx="43">
                  <c:v>30.214099999999998</c:v>
                </c:pt>
                <c:pt idx="44">
                  <c:v>30.443300000000001</c:v>
                </c:pt>
                <c:pt idx="45">
                  <c:v>30.721500000000002</c:v>
                </c:pt>
                <c:pt idx="46">
                  <c:v>31.016899999999996</c:v>
                </c:pt>
                <c:pt idx="47">
                  <c:v>31.273499999999999</c:v>
                </c:pt>
                <c:pt idx="48">
                  <c:v>31.419799999999999</c:v>
                </c:pt>
                <c:pt idx="49">
                  <c:v>31.476700000000001</c:v>
                </c:pt>
                <c:pt idx="50">
                  <c:v>31.509399999999999</c:v>
                </c:pt>
                <c:pt idx="51">
                  <c:v>31.533000000000001</c:v>
                </c:pt>
                <c:pt idx="52">
                  <c:v>31.595600000000001</c:v>
                </c:pt>
                <c:pt idx="53">
                  <c:v>31.653100000000002</c:v>
                </c:pt>
                <c:pt idx="54">
                  <c:v>31.725100000000001</c:v>
                </c:pt>
                <c:pt idx="55">
                  <c:v>31.7743</c:v>
                </c:pt>
                <c:pt idx="56">
                  <c:v>31.819799999999997</c:v>
                </c:pt>
                <c:pt idx="57">
                  <c:v>31.797599999999999</c:v>
                </c:pt>
                <c:pt idx="58">
                  <c:v>31.837100000000003</c:v>
                </c:pt>
                <c:pt idx="59">
                  <c:v>31.841900000000003</c:v>
                </c:pt>
                <c:pt idx="60">
                  <c:v>31.797900000000002</c:v>
                </c:pt>
                <c:pt idx="61">
                  <c:v>31.694299999999998</c:v>
                </c:pt>
                <c:pt idx="62">
                  <c:v>31.613700000000001</c:v>
                </c:pt>
                <c:pt idx="63">
                  <c:v>31.563700000000001</c:v>
                </c:pt>
                <c:pt idx="64">
                  <c:v>31.3934</c:v>
                </c:pt>
                <c:pt idx="65">
                  <c:v>31.102600000000002</c:v>
                </c:pt>
                <c:pt idx="66">
                  <c:v>30.849799999999998</c:v>
                </c:pt>
                <c:pt idx="67">
                  <c:v>30.701800000000002</c:v>
                </c:pt>
                <c:pt idx="68">
                  <c:v>30.408200000000001</c:v>
                </c:pt>
                <c:pt idx="69">
                  <c:v>30.353999999999999</c:v>
                </c:pt>
                <c:pt idx="70">
                  <c:v>30.335600000000003</c:v>
                </c:pt>
                <c:pt idx="71">
                  <c:v>30.298399999999997</c:v>
                </c:pt>
                <c:pt idx="72">
                  <c:v>30.289700000000003</c:v>
                </c:pt>
                <c:pt idx="73">
                  <c:v>30.368000000000002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3.4140999999999999</c:v>
                </c:pt>
                <c:pt idx="1">
                  <c:v>3.42347</c:v>
                </c:pt>
                <c:pt idx="2">
                  <c:v>3.4327700000000001</c:v>
                </c:pt>
                <c:pt idx="3">
                  <c:v>3.4387099999999999</c:v>
                </c:pt>
                <c:pt idx="4">
                  <c:v>3.4437000000000002</c:v>
                </c:pt>
                <c:pt idx="5">
                  <c:v>3.4418300000000004</c:v>
                </c:pt>
                <c:pt idx="6">
                  <c:v>3.4388899999999998</c:v>
                </c:pt>
                <c:pt idx="7">
                  <c:v>3.4348200000000002</c:v>
                </c:pt>
                <c:pt idx="8">
                  <c:v>3.43207</c:v>
                </c:pt>
                <c:pt idx="9">
                  <c:v>3.4291500000000004</c:v>
                </c:pt>
                <c:pt idx="10">
                  <c:v>3.4238800000000005</c:v>
                </c:pt>
                <c:pt idx="11">
                  <c:v>3.41256</c:v>
                </c:pt>
                <c:pt idx="12">
                  <c:v>3.3969800000000001</c:v>
                </c:pt>
                <c:pt idx="13">
                  <c:v>3.3800000000000003</c:v>
                </c:pt>
                <c:pt idx="14">
                  <c:v>3.35771</c:v>
                </c:pt>
                <c:pt idx="15">
                  <c:v>3.32897</c:v>
                </c:pt>
                <c:pt idx="16">
                  <c:v>3.3021799999999999</c:v>
                </c:pt>
                <c:pt idx="17">
                  <c:v>3.2722199999999999</c:v>
                </c:pt>
                <c:pt idx="18">
                  <c:v>3.2382499999999999</c:v>
                </c:pt>
                <c:pt idx="19">
                  <c:v>3.2020900000000001</c:v>
                </c:pt>
                <c:pt idx="20">
                  <c:v>3.1689699999999998</c:v>
                </c:pt>
                <c:pt idx="21">
                  <c:v>3.1391999999999998</c:v>
                </c:pt>
                <c:pt idx="22">
                  <c:v>3.10778</c:v>
                </c:pt>
                <c:pt idx="23">
                  <c:v>3.0784499999999997</c:v>
                </c:pt>
                <c:pt idx="24">
                  <c:v>3.0524899999999997</c:v>
                </c:pt>
                <c:pt idx="25">
                  <c:v>3.0290499999999998</c:v>
                </c:pt>
                <c:pt idx="26">
                  <c:v>3.00576</c:v>
                </c:pt>
                <c:pt idx="27">
                  <c:v>2.9796200000000002</c:v>
                </c:pt>
                <c:pt idx="28">
                  <c:v>2.9582100000000002</c:v>
                </c:pt>
                <c:pt idx="29">
                  <c:v>2.9392400000000003</c:v>
                </c:pt>
                <c:pt idx="30">
                  <c:v>2.9264700000000001</c:v>
                </c:pt>
                <c:pt idx="31">
                  <c:v>2.9180999999999999</c:v>
                </c:pt>
                <c:pt idx="32">
                  <c:v>2.91228</c:v>
                </c:pt>
                <c:pt idx="33">
                  <c:v>2.9058899999999999</c:v>
                </c:pt>
                <c:pt idx="34">
                  <c:v>2.89873</c:v>
                </c:pt>
                <c:pt idx="35">
                  <c:v>2.8909099999999999</c:v>
                </c:pt>
                <c:pt idx="36">
                  <c:v>2.8828399999999998</c:v>
                </c:pt>
                <c:pt idx="37">
                  <c:v>2.88009</c:v>
                </c:pt>
                <c:pt idx="38">
                  <c:v>2.8838200000000001</c:v>
                </c:pt>
                <c:pt idx="39">
                  <c:v>2.8965700000000001</c:v>
                </c:pt>
                <c:pt idx="40">
                  <c:v>2.9149000000000003</c:v>
                </c:pt>
                <c:pt idx="41">
                  <c:v>2.9321799999999998</c:v>
                </c:pt>
                <c:pt idx="42">
                  <c:v>2.9475899999999999</c:v>
                </c:pt>
                <c:pt idx="43">
                  <c:v>2.96434</c:v>
                </c:pt>
                <c:pt idx="44">
                  <c:v>2.98244</c:v>
                </c:pt>
                <c:pt idx="45">
                  <c:v>3.00298</c:v>
                </c:pt>
                <c:pt idx="46">
                  <c:v>3.0292300000000001</c:v>
                </c:pt>
                <c:pt idx="47">
                  <c:v>3.0595699999999999</c:v>
                </c:pt>
                <c:pt idx="48">
                  <c:v>3.0900400000000001</c:v>
                </c:pt>
                <c:pt idx="49">
                  <c:v>3.1185099999999997</c:v>
                </c:pt>
                <c:pt idx="50">
                  <c:v>3.14621</c:v>
                </c:pt>
                <c:pt idx="51">
                  <c:v>3.1571700000000003</c:v>
                </c:pt>
                <c:pt idx="52">
                  <c:v>3.1694299999999997</c:v>
                </c:pt>
                <c:pt idx="53">
                  <c:v>3.18126</c:v>
                </c:pt>
                <c:pt idx="54">
                  <c:v>3.1935799999999999</c:v>
                </c:pt>
                <c:pt idx="55">
                  <c:v>3.2060399999999998</c:v>
                </c:pt>
                <c:pt idx="56">
                  <c:v>3.2172200000000002</c:v>
                </c:pt>
                <c:pt idx="57">
                  <c:v>3.2293799999999999</c:v>
                </c:pt>
                <c:pt idx="58">
                  <c:v>3.2408799999999998</c:v>
                </c:pt>
                <c:pt idx="59">
                  <c:v>3.2547700000000002</c:v>
                </c:pt>
                <c:pt idx="60">
                  <c:v>3.2740799999999997</c:v>
                </c:pt>
                <c:pt idx="61">
                  <c:v>3.2984999999999998</c:v>
                </c:pt>
                <c:pt idx="62">
                  <c:v>3.3221699999999998</c:v>
                </c:pt>
                <c:pt idx="63">
                  <c:v>3.3411400000000002</c:v>
                </c:pt>
                <c:pt idx="64">
                  <c:v>3.3543600000000002</c:v>
                </c:pt>
                <c:pt idx="65">
                  <c:v>3.3664100000000001</c:v>
                </c:pt>
                <c:pt idx="66">
                  <c:v>3.3796300000000001</c:v>
                </c:pt>
                <c:pt idx="67">
                  <c:v>3.3975400000000002</c:v>
                </c:pt>
                <c:pt idx="68">
                  <c:v>3.4181499999999998</c:v>
                </c:pt>
                <c:pt idx="69">
                  <c:v>3.4423700000000004</c:v>
                </c:pt>
                <c:pt idx="70">
                  <c:v>3.4640700000000004</c:v>
                </c:pt>
                <c:pt idx="71">
                  <c:v>3.4710400000000003</c:v>
                </c:pt>
                <c:pt idx="72">
                  <c:v>3.4715699999999998</c:v>
                </c:pt>
                <c:pt idx="73">
                  <c:v>3.4711500000000002</c:v>
                </c:pt>
                <c:pt idx="74">
                  <c:v>3.4798299999999998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30.368000000000002</c:v>
                </c:pt>
                <c:pt idx="1">
                  <c:v>30.390899999999998</c:v>
                </c:pt>
                <c:pt idx="2">
                  <c:v>30.5334</c:v>
                </c:pt>
                <c:pt idx="3">
                  <c:v>30.6707</c:v>
                </c:pt>
                <c:pt idx="4">
                  <c:v>30.805700000000002</c:v>
                </c:pt>
                <c:pt idx="5">
                  <c:v>30.961499999999997</c:v>
                </c:pt>
                <c:pt idx="6">
                  <c:v>31.096699999999998</c:v>
                </c:pt>
                <c:pt idx="7">
                  <c:v>31.176900000000003</c:v>
                </c:pt>
                <c:pt idx="8">
                  <c:v>31.1983</c:v>
                </c:pt>
                <c:pt idx="9">
                  <c:v>31.186499999999999</c:v>
                </c:pt>
                <c:pt idx="10">
                  <c:v>31.174099999999999</c:v>
                </c:pt>
                <c:pt idx="11">
                  <c:v>31.204700000000003</c:v>
                </c:pt>
                <c:pt idx="12">
                  <c:v>31.2959</c:v>
                </c:pt>
                <c:pt idx="13">
                  <c:v>31.455499999999997</c:v>
                </c:pt>
                <c:pt idx="14">
                  <c:v>31.637599999999999</c:v>
                </c:pt>
                <c:pt idx="15">
                  <c:v>31.866399999999999</c:v>
                </c:pt>
                <c:pt idx="16">
                  <c:v>32.093800000000002</c:v>
                </c:pt>
                <c:pt idx="17">
                  <c:v>32.4771</c:v>
                </c:pt>
                <c:pt idx="18">
                  <c:v>32.992100000000001</c:v>
                </c:pt>
                <c:pt idx="19">
                  <c:v>33.589999999999996</c:v>
                </c:pt>
                <c:pt idx="20">
                  <c:v>34.161200000000001</c:v>
                </c:pt>
                <c:pt idx="21">
                  <c:v>34.633099999999999</c:v>
                </c:pt>
                <c:pt idx="22">
                  <c:v>35.090800000000002</c:v>
                </c:pt>
                <c:pt idx="23">
                  <c:v>35.543200000000006</c:v>
                </c:pt>
                <c:pt idx="24">
                  <c:v>36.004899999999999</c:v>
                </c:pt>
                <c:pt idx="25">
                  <c:v>36.4724</c:v>
                </c:pt>
                <c:pt idx="26">
                  <c:v>37.0443</c:v>
                </c:pt>
                <c:pt idx="27">
                  <c:v>37.684400000000004</c:v>
                </c:pt>
                <c:pt idx="28">
                  <c:v>38.254199999999997</c:v>
                </c:pt>
                <c:pt idx="29">
                  <c:v>38.853900000000003</c:v>
                </c:pt>
                <c:pt idx="30">
                  <c:v>39.317800000000005</c:v>
                </c:pt>
                <c:pt idx="31">
                  <c:v>39.7166</c:v>
                </c:pt>
                <c:pt idx="32">
                  <c:v>40.110700000000001</c:v>
                </c:pt>
                <c:pt idx="33">
                  <c:v>40.666000000000004</c:v>
                </c:pt>
                <c:pt idx="34">
                  <c:v>41.269500000000001</c:v>
                </c:pt>
                <c:pt idx="35">
                  <c:v>41.827300000000001</c:v>
                </c:pt>
                <c:pt idx="36">
                  <c:v>42.329599999999999</c:v>
                </c:pt>
                <c:pt idx="37">
                  <c:v>42.692799999999998</c:v>
                </c:pt>
                <c:pt idx="38">
                  <c:v>42.9313</c:v>
                </c:pt>
                <c:pt idx="39">
                  <c:v>43.046599999999998</c:v>
                </c:pt>
                <c:pt idx="40">
                  <c:v>43.062199999999997</c:v>
                </c:pt>
                <c:pt idx="41">
                  <c:v>43.069499999999998</c:v>
                </c:pt>
                <c:pt idx="42">
                  <c:v>43.119199999999999</c:v>
                </c:pt>
                <c:pt idx="43">
                  <c:v>43.131500000000003</c:v>
                </c:pt>
                <c:pt idx="44">
                  <c:v>43.139099999999999</c:v>
                </c:pt>
                <c:pt idx="45">
                  <c:v>43.039100000000005</c:v>
                </c:pt>
                <c:pt idx="46">
                  <c:v>42.791000000000004</c:v>
                </c:pt>
                <c:pt idx="47">
                  <c:v>42.518599999999999</c:v>
                </c:pt>
                <c:pt idx="48">
                  <c:v>42.278999999999996</c:v>
                </c:pt>
                <c:pt idx="49">
                  <c:v>42.110100000000003</c:v>
                </c:pt>
                <c:pt idx="50">
                  <c:v>41.913499999999999</c:v>
                </c:pt>
                <c:pt idx="51">
                  <c:v>41.9527</c:v>
                </c:pt>
                <c:pt idx="52">
                  <c:v>41.966999999999999</c:v>
                </c:pt>
                <c:pt idx="53">
                  <c:v>41.962200000000003</c:v>
                </c:pt>
                <c:pt idx="54">
                  <c:v>41.912500000000001</c:v>
                </c:pt>
                <c:pt idx="55">
                  <c:v>41.8431</c:v>
                </c:pt>
                <c:pt idx="56">
                  <c:v>41.797899999999998</c:v>
                </c:pt>
                <c:pt idx="57">
                  <c:v>41.747399999999999</c:v>
                </c:pt>
                <c:pt idx="58">
                  <c:v>41.608200000000004</c:v>
                </c:pt>
                <c:pt idx="59">
                  <c:v>41.446600000000004</c:v>
                </c:pt>
                <c:pt idx="60">
                  <c:v>41.3048</c:v>
                </c:pt>
                <c:pt idx="61">
                  <c:v>41.193999999999996</c:v>
                </c:pt>
                <c:pt idx="62">
                  <c:v>41.084099999999999</c:v>
                </c:pt>
                <c:pt idx="63">
                  <c:v>40.902799999999999</c:v>
                </c:pt>
                <c:pt idx="64">
                  <c:v>40.629100000000001</c:v>
                </c:pt>
                <c:pt idx="65">
                  <c:v>40.341700000000003</c:v>
                </c:pt>
                <c:pt idx="66">
                  <c:v>40.082799999999999</c:v>
                </c:pt>
                <c:pt idx="67">
                  <c:v>39.769300000000001</c:v>
                </c:pt>
                <c:pt idx="68">
                  <c:v>39.513100000000001</c:v>
                </c:pt>
                <c:pt idx="69">
                  <c:v>39.182099999999998</c:v>
                </c:pt>
                <c:pt idx="70">
                  <c:v>38.934100000000001</c:v>
                </c:pt>
                <c:pt idx="71">
                  <c:v>38.800200000000004</c:v>
                </c:pt>
                <c:pt idx="72">
                  <c:v>38.793799999999997</c:v>
                </c:pt>
                <c:pt idx="73">
                  <c:v>38.911799999999999</c:v>
                </c:pt>
                <c:pt idx="74">
                  <c:v>38.698300000000003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1.40873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2.7124448648648651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35.949289189189173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3.1983033783783785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38.108254054054051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3.1983033783783785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38.108254054054051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0.25970409011093992</c:v>
                </c:pt>
                <c:pt idx="1">
                  <c:v>0.28057365496269482</c:v>
                </c:pt>
                <c:pt idx="2">
                  <c:v>0.4597222549263652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0.40467799999999998</c:v>
                </c:pt>
                <c:pt idx="2">
                  <c:v>0.81208000000000002</c:v>
                </c:pt>
                <c:pt idx="3">
                  <c:v>1.2195199999999999</c:v>
                </c:pt>
                <c:pt idx="4">
                  <c:v>1.6228199999999999</c:v>
                </c:pt>
                <c:pt idx="5">
                  <c:v>2.0276200000000002</c:v>
                </c:pt>
                <c:pt idx="6">
                  <c:v>2.4356599999999999</c:v>
                </c:pt>
                <c:pt idx="7">
                  <c:v>2.8413200000000001</c:v>
                </c:pt>
                <c:pt idx="8">
                  <c:v>3.24674</c:v>
                </c:pt>
                <c:pt idx="9">
                  <c:v>3.6567099999999999</c:v>
                </c:pt>
                <c:pt idx="10">
                  <c:v>4.0611300000000004</c:v>
                </c:pt>
                <c:pt idx="11">
                  <c:v>4.4680799999999996</c:v>
                </c:pt>
                <c:pt idx="12">
                  <c:v>4.8728100000000003</c:v>
                </c:pt>
                <c:pt idx="13">
                  <c:v>5.2787499999999996</c:v>
                </c:pt>
                <c:pt idx="14">
                  <c:v>5.6848200000000002</c:v>
                </c:pt>
                <c:pt idx="15">
                  <c:v>6.0929599999999997</c:v>
                </c:pt>
                <c:pt idx="16">
                  <c:v>6.5017300000000002</c:v>
                </c:pt>
                <c:pt idx="17">
                  <c:v>6.9022399999999999</c:v>
                </c:pt>
                <c:pt idx="18">
                  <c:v>7.30844</c:v>
                </c:pt>
                <c:pt idx="19">
                  <c:v>7.7182500000000003</c:v>
                </c:pt>
                <c:pt idx="20">
                  <c:v>8.12012</c:v>
                </c:pt>
                <c:pt idx="21">
                  <c:v>8.5291599999999992</c:v>
                </c:pt>
                <c:pt idx="22">
                  <c:v>8.9363200000000003</c:v>
                </c:pt>
                <c:pt idx="23">
                  <c:v>9.3441100000000006</c:v>
                </c:pt>
                <c:pt idx="24">
                  <c:v>9.7478899999999999</c:v>
                </c:pt>
                <c:pt idx="25">
                  <c:v>10.1546</c:v>
                </c:pt>
                <c:pt idx="26">
                  <c:v>10.559699999999999</c:v>
                </c:pt>
                <c:pt idx="27">
                  <c:v>10.9686</c:v>
                </c:pt>
                <c:pt idx="28">
                  <c:v>11.372400000000001</c:v>
                </c:pt>
                <c:pt idx="29">
                  <c:v>11.78</c:v>
                </c:pt>
                <c:pt idx="30">
                  <c:v>12.184799999999999</c:v>
                </c:pt>
                <c:pt idx="31">
                  <c:v>12.5907</c:v>
                </c:pt>
                <c:pt idx="32">
                  <c:v>12.9969</c:v>
                </c:pt>
                <c:pt idx="33">
                  <c:v>13.405799999999999</c:v>
                </c:pt>
                <c:pt idx="34">
                  <c:v>13.8104</c:v>
                </c:pt>
                <c:pt idx="35">
                  <c:v>14.2171</c:v>
                </c:pt>
                <c:pt idx="36">
                  <c:v>14.622400000000001</c:v>
                </c:pt>
                <c:pt idx="37">
                  <c:v>15.028</c:v>
                </c:pt>
                <c:pt idx="38">
                  <c:v>15.437799999999999</c:v>
                </c:pt>
                <c:pt idx="39">
                  <c:v>15.842599999999999</c:v>
                </c:pt>
                <c:pt idx="40">
                  <c:v>16.2471</c:v>
                </c:pt>
                <c:pt idx="41">
                  <c:v>16.652999999999999</c:v>
                </c:pt>
                <c:pt idx="42">
                  <c:v>17.063400000000001</c:v>
                </c:pt>
                <c:pt idx="43">
                  <c:v>17.468399999999999</c:v>
                </c:pt>
                <c:pt idx="44">
                  <c:v>17.871700000000001</c:v>
                </c:pt>
                <c:pt idx="45">
                  <c:v>18.278099999999998</c:v>
                </c:pt>
                <c:pt idx="46">
                  <c:v>18.685600000000001</c:v>
                </c:pt>
                <c:pt idx="47">
                  <c:v>19.090900000000001</c:v>
                </c:pt>
                <c:pt idx="48">
                  <c:v>19.498100000000001</c:v>
                </c:pt>
                <c:pt idx="49">
                  <c:v>19.9053</c:v>
                </c:pt>
                <c:pt idx="50">
                  <c:v>20.312000000000001</c:v>
                </c:pt>
                <c:pt idx="51">
                  <c:v>20.715599999999998</c:v>
                </c:pt>
                <c:pt idx="52">
                  <c:v>21.122499999999999</c:v>
                </c:pt>
                <c:pt idx="53">
                  <c:v>21.529900000000001</c:v>
                </c:pt>
                <c:pt idx="54">
                  <c:v>21.933900000000001</c:v>
                </c:pt>
                <c:pt idx="55">
                  <c:v>22.341999999999999</c:v>
                </c:pt>
                <c:pt idx="56">
                  <c:v>22.7454</c:v>
                </c:pt>
                <c:pt idx="57">
                  <c:v>23.153400000000001</c:v>
                </c:pt>
                <c:pt idx="58">
                  <c:v>23.559799999999999</c:v>
                </c:pt>
                <c:pt idx="59">
                  <c:v>23.967600000000001</c:v>
                </c:pt>
                <c:pt idx="60">
                  <c:v>24.371400000000001</c:v>
                </c:pt>
                <c:pt idx="61">
                  <c:v>24.780200000000001</c:v>
                </c:pt>
                <c:pt idx="62">
                  <c:v>25.1877</c:v>
                </c:pt>
                <c:pt idx="63">
                  <c:v>25.590599999999998</c:v>
                </c:pt>
                <c:pt idx="64">
                  <c:v>25.996300000000002</c:v>
                </c:pt>
                <c:pt idx="65">
                  <c:v>26.403400000000001</c:v>
                </c:pt>
                <c:pt idx="66">
                  <c:v>26.8123</c:v>
                </c:pt>
                <c:pt idx="67">
                  <c:v>27.215900000000001</c:v>
                </c:pt>
                <c:pt idx="68">
                  <c:v>27.6251</c:v>
                </c:pt>
                <c:pt idx="69">
                  <c:v>28.0304</c:v>
                </c:pt>
                <c:pt idx="70">
                  <c:v>28.435500000000001</c:v>
                </c:pt>
                <c:pt idx="71">
                  <c:v>28.843599999999999</c:v>
                </c:pt>
                <c:pt idx="72">
                  <c:v>29.248100000000001</c:v>
                </c:pt>
                <c:pt idx="73">
                  <c:v>29.654499999999999</c:v>
                </c:pt>
                <c:pt idx="74">
                  <c:v>30.06</c:v>
                </c:pt>
                <c:pt idx="75">
                  <c:v>30.519200000000001</c:v>
                </c:pt>
                <c:pt idx="76">
                  <c:v>30.9252</c:v>
                </c:pt>
                <c:pt idx="77">
                  <c:v>31.3278</c:v>
                </c:pt>
                <c:pt idx="78">
                  <c:v>31.733000000000001</c:v>
                </c:pt>
                <c:pt idx="79">
                  <c:v>32.143000000000001</c:v>
                </c:pt>
                <c:pt idx="80">
                  <c:v>32.5473</c:v>
                </c:pt>
                <c:pt idx="81">
                  <c:v>32.952800000000003</c:v>
                </c:pt>
                <c:pt idx="82">
                  <c:v>33.357300000000002</c:v>
                </c:pt>
                <c:pt idx="83">
                  <c:v>33.763300000000001</c:v>
                </c:pt>
                <c:pt idx="84">
                  <c:v>34.171599999999998</c:v>
                </c:pt>
                <c:pt idx="85">
                  <c:v>34.581099999999999</c:v>
                </c:pt>
                <c:pt idx="86">
                  <c:v>34.983899999999998</c:v>
                </c:pt>
                <c:pt idx="87">
                  <c:v>35.39</c:v>
                </c:pt>
                <c:pt idx="88">
                  <c:v>35.794199999999996</c:v>
                </c:pt>
                <c:pt idx="89">
                  <c:v>36.200400000000002</c:v>
                </c:pt>
                <c:pt idx="90">
                  <c:v>36.607599999999998</c:v>
                </c:pt>
                <c:pt idx="91">
                  <c:v>37.0124</c:v>
                </c:pt>
                <c:pt idx="92">
                  <c:v>37.421700000000001</c:v>
                </c:pt>
                <c:pt idx="93">
                  <c:v>37.826700000000002</c:v>
                </c:pt>
                <c:pt idx="94">
                  <c:v>38.232500000000002</c:v>
                </c:pt>
                <c:pt idx="95">
                  <c:v>38.6389</c:v>
                </c:pt>
                <c:pt idx="96">
                  <c:v>39.046500000000002</c:v>
                </c:pt>
                <c:pt idx="97">
                  <c:v>39.4512</c:v>
                </c:pt>
                <c:pt idx="98">
                  <c:v>39.860999999999997</c:v>
                </c:pt>
                <c:pt idx="99">
                  <c:v>40.265099999999997</c:v>
                </c:pt>
                <c:pt idx="100">
                  <c:v>40.667900000000003</c:v>
                </c:pt>
                <c:pt idx="101">
                  <c:v>41.076700000000002</c:v>
                </c:pt>
                <c:pt idx="102">
                  <c:v>41.482300000000002</c:v>
                </c:pt>
                <c:pt idx="103">
                  <c:v>41.890900000000002</c:v>
                </c:pt>
                <c:pt idx="104">
                  <c:v>42.293999999999997</c:v>
                </c:pt>
                <c:pt idx="105">
                  <c:v>42.700299999999999</c:v>
                </c:pt>
                <c:pt idx="106">
                  <c:v>43.107599999999998</c:v>
                </c:pt>
                <c:pt idx="107">
                  <c:v>43.514299999999999</c:v>
                </c:pt>
                <c:pt idx="108">
                  <c:v>43.922199999999997</c:v>
                </c:pt>
                <c:pt idx="109">
                  <c:v>44.326900000000002</c:v>
                </c:pt>
                <c:pt idx="110">
                  <c:v>44.734200000000001</c:v>
                </c:pt>
                <c:pt idx="111">
                  <c:v>45.137</c:v>
                </c:pt>
                <c:pt idx="112">
                  <c:v>45.5473</c:v>
                </c:pt>
                <c:pt idx="113">
                  <c:v>45.9512</c:v>
                </c:pt>
                <c:pt idx="114">
                  <c:v>46.358400000000003</c:v>
                </c:pt>
                <c:pt idx="115">
                  <c:v>46.761600000000001</c:v>
                </c:pt>
                <c:pt idx="116">
                  <c:v>47.167099999999998</c:v>
                </c:pt>
                <c:pt idx="117">
                  <c:v>47.577199999999998</c:v>
                </c:pt>
                <c:pt idx="118">
                  <c:v>47.984299999999998</c:v>
                </c:pt>
                <c:pt idx="119">
                  <c:v>48.3874</c:v>
                </c:pt>
                <c:pt idx="120">
                  <c:v>48.794600000000003</c:v>
                </c:pt>
                <c:pt idx="121">
                  <c:v>49.198799999999999</c:v>
                </c:pt>
                <c:pt idx="122">
                  <c:v>49.607599999999998</c:v>
                </c:pt>
                <c:pt idx="123">
                  <c:v>50.013599999999997</c:v>
                </c:pt>
                <c:pt idx="124">
                  <c:v>50.4206</c:v>
                </c:pt>
                <c:pt idx="125">
                  <c:v>50.824300000000001</c:v>
                </c:pt>
                <c:pt idx="126">
                  <c:v>51.233600000000003</c:v>
                </c:pt>
                <c:pt idx="127">
                  <c:v>51.636499999999998</c:v>
                </c:pt>
                <c:pt idx="128">
                  <c:v>52.044699999999999</c:v>
                </c:pt>
                <c:pt idx="129">
                  <c:v>52.450200000000002</c:v>
                </c:pt>
                <c:pt idx="130">
                  <c:v>52.859900000000003</c:v>
                </c:pt>
                <c:pt idx="131">
                  <c:v>53.2669</c:v>
                </c:pt>
                <c:pt idx="132">
                  <c:v>53.6706</c:v>
                </c:pt>
                <c:pt idx="133">
                  <c:v>54.075899999999997</c:v>
                </c:pt>
                <c:pt idx="134">
                  <c:v>54.481699999999996</c:v>
                </c:pt>
                <c:pt idx="135">
                  <c:v>54.890300000000003</c:v>
                </c:pt>
                <c:pt idx="136">
                  <c:v>55.296999999999997</c:v>
                </c:pt>
                <c:pt idx="137">
                  <c:v>55.702100000000002</c:v>
                </c:pt>
                <c:pt idx="138">
                  <c:v>56.104999999999997</c:v>
                </c:pt>
                <c:pt idx="139">
                  <c:v>56.516199999999998</c:v>
                </c:pt>
                <c:pt idx="140">
                  <c:v>56.921399999999998</c:v>
                </c:pt>
                <c:pt idx="141">
                  <c:v>57.325899999999997</c:v>
                </c:pt>
                <c:pt idx="142">
                  <c:v>57.732799999999997</c:v>
                </c:pt>
                <c:pt idx="143">
                  <c:v>58.137799999999999</c:v>
                </c:pt>
                <c:pt idx="144">
                  <c:v>58.545200000000001</c:v>
                </c:pt>
                <c:pt idx="145">
                  <c:v>58.9542</c:v>
                </c:pt>
                <c:pt idx="146">
                  <c:v>59.356999999999999</c:v>
                </c:pt>
                <c:pt idx="147">
                  <c:v>59.7637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1.40873</c:v>
                </c:pt>
                <c:pt idx="1">
                  <c:v>1.45428</c:v>
                </c:pt>
                <c:pt idx="2">
                  <c:v>1.5002099999999998</c:v>
                </c:pt>
                <c:pt idx="3">
                  <c:v>1.5480700000000001</c:v>
                </c:pt>
                <c:pt idx="4">
                  <c:v>1.59551</c:v>
                </c:pt>
                <c:pt idx="5">
                  <c:v>1.64297</c:v>
                </c:pt>
                <c:pt idx="6">
                  <c:v>1.6940599999999999</c:v>
                </c:pt>
                <c:pt idx="7">
                  <c:v>1.7464599999999999</c:v>
                </c:pt>
                <c:pt idx="8">
                  <c:v>1.7990300000000001</c:v>
                </c:pt>
                <c:pt idx="9">
                  <c:v>1.85175</c:v>
                </c:pt>
                <c:pt idx="10">
                  <c:v>1.9061300000000001</c:v>
                </c:pt>
                <c:pt idx="11">
                  <c:v>1.9636300000000002</c:v>
                </c:pt>
                <c:pt idx="12">
                  <c:v>2.0217900000000002</c:v>
                </c:pt>
                <c:pt idx="13">
                  <c:v>2.0807700000000002</c:v>
                </c:pt>
                <c:pt idx="14">
                  <c:v>2.1424000000000003</c:v>
                </c:pt>
                <c:pt idx="15">
                  <c:v>2.2024400000000002</c:v>
                </c:pt>
                <c:pt idx="16">
                  <c:v>2.2578400000000003</c:v>
                </c:pt>
                <c:pt idx="17">
                  <c:v>2.3106900000000001</c:v>
                </c:pt>
                <c:pt idx="18">
                  <c:v>2.3667099999999999</c:v>
                </c:pt>
                <c:pt idx="19">
                  <c:v>2.4208099999999999</c:v>
                </c:pt>
                <c:pt idx="20">
                  <c:v>2.4718300000000002</c:v>
                </c:pt>
                <c:pt idx="21">
                  <c:v>2.5184800000000003</c:v>
                </c:pt>
                <c:pt idx="22">
                  <c:v>2.5607799999999998</c:v>
                </c:pt>
                <c:pt idx="23">
                  <c:v>2.59985</c:v>
                </c:pt>
                <c:pt idx="24">
                  <c:v>2.6359900000000005</c:v>
                </c:pt>
                <c:pt idx="25">
                  <c:v>2.67069</c:v>
                </c:pt>
                <c:pt idx="26">
                  <c:v>2.70336</c:v>
                </c:pt>
                <c:pt idx="27">
                  <c:v>2.7358500000000001</c:v>
                </c:pt>
                <c:pt idx="28">
                  <c:v>2.7688200000000003</c:v>
                </c:pt>
                <c:pt idx="29">
                  <c:v>2.7996300000000001</c:v>
                </c:pt>
                <c:pt idx="30">
                  <c:v>2.8294700000000002</c:v>
                </c:pt>
                <c:pt idx="31">
                  <c:v>2.8583999999999996</c:v>
                </c:pt>
                <c:pt idx="32">
                  <c:v>2.8834300000000002</c:v>
                </c:pt>
                <c:pt idx="33">
                  <c:v>2.9060200000000003</c:v>
                </c:pt>
                <c:pt idx="34">
                  <c:v>2.9276999999999997</c:v>
                </c:pt>
                <c:pt idx="35">
                  <c:v>2.9481899999999999</c:v>
                </c:pt>
                <c:pt idx="36">
                  <c:v>2.96543</c:v>
                </c:pt>
                <c:pt idx="37">
                  <c:v>2.9800900000000001</c:v>
                </c:pt>
                <c:pt idx="38">
                  <c:v>2.9927900000000003</c:v>
                </c:pt>
                <c:pt idx="39">
                  <c:v>3.00101</c:v>
                </c:pt>
                <c:pt idx="40">
                  <c:v>3.0036400000000003</c:v>
                </c:pt>
                <c:pt idx="41">
                  <c:v>3.0053900000000002</c:v>
                </c:pt>
                <c:pt idx="42">
                  <c:v>3.0108899999999998</c:v>
                </c:pt>
                <c:pt idx="43">
                  <c:v>3.0110900000000003</c:v>
                </c:pt>
                <c:pt idx="44">
                  <c:v>3.0099</c:v>
                </c:pt>
                <c:pt idx="45">
                  <c:v>3.00915</c:v>
                </c:pt>
                <c:pt idx="46">
                  <c:v>3.0123199999999999</c:v>
                </c:pt>
                <c:pt idx="47">
                  <c:v>3.0136400000000001</c:v>
                </c:pt>
                <c:pt idx="48">
                  <c:v>3.0182199999999999</c:v>
                </c:pt>
                <c:pt idx="49">
                  <c:v>3.0262499999999997</c:v>
                </c:pt>
                <c:pt idx="50">
                  <c:v>3.0330699999999999</c:v>
                </c:pt>
                <c:pt idx="51">
                  <c:v>3.04366</c:v>
                </c:pt>
                <c:pt idx="52">
                  <c:v>3.0556200000000002</c:v>
                </c:pt>
                <c:pt idx="53">
                  <c:v>3.0665399999999998</c:v>
                </c:pt>
                <c:pt idx="54">
                  <c:v>3.0732500000000003</c:v>
                </c:pt>
                <c:pt idx="55">
                  <c:v>3.0826700000000002</c:v>
                </c:pt>
                <c:pt idx="56">
                  <c:v>3.0904799999999999</c:v>
                </c:pt>
                <c:pt idx="57">
                  <c:v>3.1027900000000002</c:v>
                </c:pt>
                <c:pt idx="58">
                  <c:v>3.11564</c:v>
                </c:pt>
                <c:pt idx="59">
                  <c:v>3.1305800000000001</c:v>
                </c:pt>
                <c:pt idx="60">
                  <c:v>3.1492199999999997</c:v>
                </c:pt>
                <c:pt idx="61">
                  <c:v>3.1743900000000003</c:v>
                </c:pt>
                <c:pt idx="62">
                  <c:v>3.1939699999999998</c:v>
                </c:pt>
                <c:pt idx="63">
                  <c:v>3.2070400000000001</c:v>
                </c:pt>
                <c:pt idx="64">
                  <c:v>3.2291999999999996</c:v>
                </c:pt>
                <c:pt idx="65">
                  <c:v>3.2639499999999999</c:v>
                </c:pt>
                <c:pt idx="66">
                  <c:v>3.2944200000000001</c:v>
                </c:pt>
                <c:pt idx="67">
                  <c:v>3.3136900000000002</c:v>
                </c:pt>
                <c:pt idx="68">
                  <c:v>3.3469300000000004</c:v>
                </c:pt>
                <c:pt idx="69">
                  <c:v>3.3652199999999999</c:v>
                </c:pt>
                <c:pt idx="70">
                  <c:v>3.3816099999999998</c:v>
                </c:pt>
                <c:pt idx="71">
                  <c:v>3.39358</c:v>
                </c:pt>
                <c:pt idx="72">
                  <c:v>3.40672</c:v>
                </c:pt>
                <c:pt idx="73">
                  <c:v>3.4140999999999999</c:v>
                </c:pt>
                <c:pt idx="74">
                  <c:v>3.42347</c:v>
                </c:pt>
                <c:pt idx="75">
                  <c:v>3.4327700000000001</c:v>
                </c:pt>
                <c:pt idx="76">
                  <c:v>3.4387099999999999</c:v>
                </c:pt>
                <c:pt idx="77">
                  <c:v>3.4437000000000002</c:v>
                </c:pt>
                <c:pt idx="78">
                  <c:v>3.4418300000000004</c:v>
                </c:pt>
                <c:pt idx="79">
                  <c:v>3.4388899999999998</c:v>
                </c:pt>
                <c:pt idx="80">
                  <c:v>3.4348200000000002</c:v>
                </c:pt>
                <c:pt idx="81">
                  <c:v>3.43207</c:v>
                </c:pt>
                <c:pt idx="82">
                  <c:v>3.4291500000000004</c:v>
                </c:pt>
                <c:pt idx="83">
                  <c:v>3.4238800000000005</c:v>
                </c:pt>
                <c:pt idx="84">
                  <c:v>3.41256</c:v>
                </c:pt>
                <c:pt idx="85">
                  <c:v>3.3969800000000001</c:v>
                </c:pt>
                <c:pt idx="86">
                  <c:v>3.3800000000000003</c:v>
                </c:pt>
                <c:pt idx="87">
                  <c:v>3.35771</c:v>
                </c:pt>
                <c:pt idx="88">
                  <c:v>3.32897</c:v>
                </c:pt>
                <c:pt idx="89">
                  <c:v>3.3021799999999999</c:v>
                </c:pt>
                <c:pt idx="90">
                  <c:v>3.2722199999999999</c:v>
                </c:pt>
                <c:pt idx="91">
                  <c:v>3.2382499999999999</c:v>
                </c:pt>
                <c:pt idx="92">
                  <c:v>3.2020900000000001</c:v>
                </c:pt>
                <c:pt idx="93">
                  <c:v>3.1689699999999998</c:v>
                </c:pt>
                <c:pt idx="94">
                  <c:v>3.1391999999999998</c:v>
                </c:pt>
                <c:pt idx="95">
                  <c:v>3.10778</c:v>
                </c:pt>
                <c:pt idx="96">
                  <c:v>3.0784499999999997</c:v>
                </c:pt>
                <c:pt idx="97">
                  <c:v>3.0524899999999997</c:v>
                </c:pt>
                <c:pt idx="98">
                  <c:v>3.0290499999999998</c:v>
                </c:pt>
                <c:pt idx="99">
                  <c:v>3.00576</c:v>
                </c:pt>
                <c:pt idx="100">
                  <c:v>2.9796200000000002</c:v>
                </c:pt>
                <c:pt idx="101">
                  <c:v>2.9582100000000002</c:v>
                </c:pt>
                <c:pt idx="102">
                  <c:v>2.9392400000000003</c:v>
                </c:pt>
                <c:pt idx="103">
                  <c:v>2.9264700000000001</c:v>
                </c:pt>
                <c:pt idx="104">
                  <c:v>2.9180999999999999</c:v>
                </c:pt>
                <c:pt idx="105">
                  <c:v>2.91228</c:v>
                </c:pt>
                <c:pt idx="106">
                  <c:v>2.9058899999999999</c:v>
                </c:pt>
                <c:pt idx="107">
                  <c:v>2.89873</c:v>
                </c:pt>
                <c:pt idx="108">
                  <c:v>2.8909099999999999</c:v>
                </c:pt>
                <c:pt idx="109">
                  <c:v>2.8828399999999998</c:v>
                </c:pt>
                <c:pt idx="110">
                  <c:v>2.88009</c:v>
                </c:pt>
                <c:pt idx="111">
                  <c:v>2.8838200000000001</c:v>
                </c:pt>
                <c:pt idx="112">
                  <c:v>2.8965700000000001</c:v>
                </c:pt>
                <c:pt idx="113">
                  <c:v>2.9149000000000003</c:v>
                </c:pt>
                <c:pt idx="114">
                  <c:v>2.9321799999999998</c:v>
                </c:pt>
                <c:pt idx="115">
                  <c:v>2.9475899999999999</c:v>
                </c:pt>
                <c:pt idx="116">
                  <c:v>2.96434</c:v>
                </c:pt>
                <c:pt idx="117">
                  <c:v>2.98244</c:v>
                </c:pt>
                <c:pt idx="118">
                  <c:v>3.00298</c:v>
                </c:pt>
                <c:pt idx="119">
                  <c:v>3.0292300000000001</c:v>
                </c:pt>
                <c:pt idx="120">
                  <c:v>3.0595699999999999</c:v>
                </c:pt>
                <c:pt idx="121">
                  <c:v>3.0900400000000001</c:v>
                </c:pt>
                <c:pt idx="122">
                  <c:v>3.1185099999999997</c:v>
                </c:pt>
                <c:pt idx="123">
                  <c:v>3.14621</c:v>
                </c:pt>
                <c:pt idx="124">
                  <c:v>3.1571700000000003</c:v>
                </c:pt>
                <c:pt idx="125">
                  <c:v>3.1694299999999997</c:v>
                </c:pt>
                <c:pt idx="126">
                  <c:v>3.18126</c:v>
                </c:pt>
                <c:pt idx="127">
                  <c:v>3.1935799999999999</c:v>
                </c:pt>
                <c:pt idx="128">
                  <c:v>3.2060399999999998</c:v>
                </c:pt>
                <c:pt idx="129">
                  <c:v>3.2172200000000002</c:v>
                </c:pt>
                <c:pt idx="130">
                  <c:v>3.2293799999999999</c:v>
                </c:pt>
                <c:pt idx="131">
                  <c:v>3.2408799999999998</c:v>
                </c:pt>
                <c:pt idx="132">
                  <c:v>3.2547700000000002</c:v>
                </c:pt>
                <c:pt idx="133">
                  <c:v>3.2740799999999997</c:v>
                </c:pt>
                <c:pt idx="134">
                  <c:v>3.2984999999999998</c:v>
                </c:pt>
                <c:pt idx="135">
                  <c:v>3.3221699999999998</c:v>
                </c:pt>
                <c:pt idx="136">
                  <c:v>3.3411400000000002</c:v>
                </c:pt>
                <c:pt idx="137">
                  <c:v>3.3543600000000002</c:v>
                </c:pt>
                <c:pt idx="138">
                  <c:v>3.3664100000000001</c:v>
                </c:pt>
                <c:pt idx="139">
                  <c:v>3.3796300000000001</c:v>
                </c:pt>
                <c:pt idx="140">
                  <c:v>3.3975400000000002</c:v>
                </c:pt>
                <c:pt idx="141">
                  <c:v>3.4181499999999998</c:v>
                </c:pt>
                <c:pt idx="142">
                  <c:v>3.4423700000000004</c:v>
                </c:pt>
                <c:pt idx="143">
                  <c:v>3.4640700000000004</c:v>
                </c:pt>
                <c:pt idx="144">
                  <c:v>3.4710400000000003</c:v>
                </c:pt>
                <c:pt idx="145">
                  <c:v>3.4715699999999998</c:v>
                </c:pt>
                <c:pt idx="146">
                  <c:v>3.4711500000000002</c:v>
                </c:pt>
                <c:pt idx="147">
                  <c:v>3.4798299999999998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0.40467799999999998</c:v>
                </c:pt>
                <c:pt idx="2">
                  <c:v>0.81208000000000002</c:v>
                </c:pt>
                <c:pt idx="3">
                  <c:v>1.2195199999999999</c:v>
                </c:pt>
                <c:pt idx="4">
                  <c:v>1.6228199999999999</c:v>
                </c:pt>
                <c:pt idx="5">
                  <c:v>2.0276200000000002</c:v>
                </c:pt>
                <c:pt idx="6">
                  <c:v>2.4356599999999999</c:v>
                </c:pt>
                <c:pt idx="7">
                  <c:v>2.8413200000000001</c:v>
                </c:pt>
                <c:pt idx="8">
                  <c:v>3.24674</c:v>
                </c:pt>
                <c:pt idx="9">
                  <c:v>3.6567099999999999</c:v>
                </c:pt>
                <c:pt idx="10">
                  <c:v>4.0611300000000004</c:v>
                </c:pt>
                <c:pt idx="11">
                  <c:v>4.4680799999999996</c:v>
                </c:pt>
                <c:pt idx="12">
                  <c:v>4.8728100000000003</c:v>
                </c:pt>
                <c:pt idx="13">
                  <c:v>5.2787499999999996</c:v>
                </c:pt>
                <c:pt idx="14">
                  <c:v>5.6848200000000002</c:v>
                </c:pt>
                <c:pt idx="15">
                  <c:v>6.0929599999999997</c:v>
                </c:pt>
                <c:pt idx="16">
                  <c:v>6.5017300000000002</c:v>
                </c:pt>
                <c:pt idx="17">
                  <c:v>6.9022399999999999</c:v>
                </c:pt>
                <c:pt idx="18">
                  <c:v>7.30844</c:v>
                </c:pt>
                <c:pt idx="19">
                  <c:v>7.7182500000000003</c:v>
                </c:pt>
                <c:pt idx="20">
                  <c:v>8.12012</c:v>
                </c:pt>
                <c:pt idx="21">
                  <c:v>8.5291599999999992</c:v>
                </c:pt>
                <c:pt idx="22">
                  <c:v>8.9363200000000003</c:v>
                </c:pt>
                <c:pt idx="23">
                  <c:v>9.3441100000000006</c:v>
                </c:pt>
                <c:pt idx="24">
                  <c:v>9.7478899999999999</c:v>
                </c:pt>
                <c:pt idx="25">
                  <c:v>10.1546</c:v>
                </c:pt>
                <c:pt idx="26">
                  <c:v>10.559699999999999</c:v>
                </c:pt>
                <c:pt idx="27">
                  <c:v>10.9686</c:v>
                </c:pt>
                <c:pt idx="28">
                  <c:v>11.372400000000001</c:v>
                </c:pt>
                <c:pt idx="29">
                  <c:v>11.78</c:v>
                </c:pt>
                <c:pt idx="30">
                  <c:v>12.184799999999999</c:v>
                </c:pt>
                <c:pt idx="31">
                  <c:v>12.5907</c:v>
                </c:pt>
                <c:pt idx="32">
                  <c:v>12.9969</c:v>
                </c:pt>
                <c:pt idx="33">
                  <c:v>13.405799999999999</c:v>
                </c:pt>
                <c:pt idx="34">
                  <c:v>13.8104</c:v>
                </c:pt>
                <c:pt idx="35">
                  <c:v>14.2171</c:v>
                </c:pt>
                <c:pt idx="36">
                  <c:v>14.622400000000001</c:v>
                </c:pt>
                <c:pt idx="37">
                  <c:v>15.028</c:v>
                </c:pt>
                <c:pt idx="38">
                  <c:v>15.437799999999999</c:v>
                </c:pt>
                <c:pt idx="39">
                  <c:v>15.842599999999999</c:v>
                </c:pt>
                <c:pt idx="40">
                  <c:v>16.2471</c:v>
                </c:pt>
                <c:pt idx="41">
                  <c:v>16.652999999999999</c:v>
                </c:pt>
                <c:pt idx="42">
                  <c:v>17.063400000000001</c:v>
                </c:pt>
                <c:pt idx="43">
                  <c:v>17.468399999999999</c:v>
                </c:pt>
                <c:pt idx="44">
                  <c:v>17.871700000000001</c:v>
                </c:pt>
                <c:pt idx="45">
                  <c:v>18.278099999999998</c:v>
                </c:pt>
                <c:pt idx="46">
                  <c:v>18.685600000000001</c:v>
                </c:pt>
                <c:pt idx="47">
                  <c:v>19.090900000000001</c:v>
                </c:pt>
                <c:pt idx="48">
                  <c:v>19.498100000000001</c:v>
                </c:pt>
                <c:pt idx="49">
                  <c:v>19.9053</c:v>
                </c:pt>
                <c:pt idx="50">
                  <c:v>20.312000000000001</c:v>
                </c:pt>
                <c:pt idx="51">
                  <c:v>20.715599999999998</c:v>
                </c:pt>
                <c:pt idx="52">
                  <c:v>21.122499999999999</c:v>
                </c:pt>
                <c:pt idx="53">
                  <c:v>21.529900000000001</c:v>
                </c:pt>
                <c:pt idx="54">
                  <c:v>21.933900000000001</c:v>
                </c:pt>
                <c:pt idx="55">
                  <c:v>22.341999999999999</c:v>
                </c:pt>
                <c:pt idx="56">
                  <c:v>22.7454</c:v>
                </c:pt>
                <c:pt idx="57">
                  <c:v>23.153400000000001</c:v>
                </c:pt>
                <c:pt idx="58">
                  <c:v>23.559799999999999</c:v>
                </c:pt>
                <c:pt idx="59">
                  <c:v>23.967600000000001</c:v>
                </c:pt>
                <c:pt idx="60">
                  <c:v>24.371400000000001</c:v>
                </c:pt>
                <c:pt idx="61">
                  <c:v>24.780200000000001</c:v>
                </c:pt>
                <c:pt idx="62">
                  <c:v>25.1877</c:v>
                </c:pt>
                <c:pt idx="63">
                  <c:v>25.590599999999998</c:v>
                </c:pt>
                <c:pt idx="64">
                  <c:v>25.996300000000002</c:v>
                </c:pt>
                <c:pt idx="65">
                  <c:v>26.403400000000001</c:v>
                </c:pt>
                <c:pt idx="66">
                  <c:v>26.8123</c:v>
                </c:pt>
                <c:pt idx="67">
                  <c:v>27.215900000000001</c:v>
                </c:pt>
                <c:pt idx="68">
                  <c:v>27.6251</c:v>
                </c:pt>
                <c:pt idx="69">
                  <c:v>28.0304</c:v>
                </c:pt>
                <c:pt idx="70">
                  <c:v>28.435500000000001</c:v>
                </c:pt>
                <c:pt idx="71">
                  <c:v>28.843599999999999</c:v>
                </c:pt>
                <c:pt idx="72">
                  <c:v>29.248100000000001</c:v>
                </c:pt>
                <c:pt idx="73">
                  <c:v>29.654499999999999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1.40873</c:v>
                </c:pt>
                <c:pt idx="1">
                  <c:v>1.45428</c:v>
                </c:pt>
                <c:pt idx="2">
                  <c:v>1.5002099999999998</c:v>
                </c:pt>
                <c:pt idx="3">
                  <c:v>1.5480700000000001</c:v>
                </c:pt>
                <c:pt idx="4">
                  <c:v>1.59551</c:v>
                </c:pt>
                <c:pt idx="5">
                  <c:v>1.64297</c:v>
                </c:pt>
                <c:pt idx="6">
                  <c:v>1.6940599999999999</c:v>
                </c:pt>
                <c:pt idx="7">
                  <c:v>1.7464599999999999</c:v>
                </c:pt>
                <c:pt idx="8">
                  <c:v>1.7990300000000001</c:v>
                </c:pt>
                <c:pt idx="9">
                  <c:v>1.85175</c:v>
                </c:pt>
                <c:pt idx="10">
                  <c:v>1.9061300000000001</c:v>
                </c:pt>
                <c:pt idx="11">
                  <c:v>1.9636300000000002</c:v>
                </c:pt>
                <c:pt idx="12">
                  <c:v>2.0217900000000002</c:v>
                </c:pt>
                <c:pt idx="13">
                  <c:v>2.0807700000000002</c:v>
                </c:pt>
                <c:pt idx="14">
                  <c:v>2.1424000000000003</c:v>
                </c:pt>
                <c:pt idx="15">
                  <c:v>2.2024400000000002</c:v>
                </c:pt>
                <c:pt idx="16">
                  <c:v>2.2578400000000003</c:v>
                </c:pt>
                <c:pt idx="17">
                  <c:v>2.3106900000000001</c:v>
                </c:pt>
                <c:pt idx="18">
                  <c:v>2.3667099999999999</c:v>
                </c:pt>
                <c:pt idx="19">
                  <c:v>2.4208099999999999</c:v>
                </c:pt>
                <c:pt idx="20">
                  <c:v>2.4718300000000002</c:v>
                </c:pt>
                <c:pt idx="21">
                  <c:v>2.5184800000000003</c:v>
                </c:pt>
                <c:pt idx="22">
                  <c:v>2.5607799999999998</c:v>
                </c:pt>
                <c:pt idx="23">
                  <c:v>2.59985</c:v>
                </c:pt>
                <c:pt idx="24">
                  <c:v>2.6359900000000005</c:v>
                </c:pt>
                <c:pt idx="25">
                  <c:v>2.67069</c:v>
                </c:pt>
                <c:pt idx="26">
                  <c:v>2.70336</c:v>
                </c:pt>
                <c:pt idx="27">
                  <c:v>2.7358500000000001</c:v>
                </c:pt>
                <c:pt idx="28">
                  <c:v>2.7688200000000003</c:v>
                </c:pt>
                <c:pt idx="29">
                  <c:v>2.7996300000000001</c:v>
                </c:pt>
                <c:pt idx="30">
                  <c:v>2.8294700000000002</c:v>
                </c:pt>
                <c:pt idx="31">
                  <c:v>2.8583999999999996</c:v>
                </c:pt>
                <c:pt idx="32">
                  <c:v>2.8834300000000002</c:v>
                </c:pt>
                <c:pt idx="33">
                  <c:v>2.9060200000000003</c:v>
                </c:pt>
                <c:pt idx="34">
                  <c:v>2.9276999999999997</c:v>
                </c:pt>
                <c:pt idx="35">
                  <c:v>2.9481899999999999</c:v>
                </c:pt>
                <c:pt idx="36">
                  <c:v>2.96543</c:v>
                </c:pt>
                <c:pt idx="37">
                  <c:v>2.9800900000000001</c:v>
                </c:pt>
                <c:pt idx="38">
                  <c:v>2.9927900000000003</c:v>
                </c:pt>
                <c:pt idx="39">
                  <c:v>3.00101</c:v>
                </c:pt>
                <c:pt idx="40">
                  <c:v>3.0036400000000003</c:v>
                </c:pt>
                <c:pt idx="41">
                  <c:v>3.0053900000000002</c:v>
                </c:pt>
                <c:pt idx="42">
                  <c:v>3.0108899999999998</c:v>
                </c:pt>
                <c:pt idx="43">
                  <c:v>3.0110900000000003</c:v>
                </c:pt>
                <c:pt idx="44">
                  <c:v>3.0099</c:v>
                </c:pt>
                <c:pt idx="45">
                  <c:v>3.00915</c:v>
                </c:pt>
                <c:pt idx="46">
                  <c:v>3.0123199999999999</c:v>
                </c:pt>
                <c:pt idx="47">
                  <c:v>3.0136400000000001</c:v>
                </c:pt>
                <c:pt idx="48">
                  <c:v>3.0182199999999999</c:v>
                </c:pt>
                <c:pt idx="49">
                  <c:v>3.0262499999999997</c:v>
                </c:pt>
                <c:pt idx="50">
                  <c:v>3.0330699999999999</c:v>
                </c:pt>
                <c:pt idx="51">
                  <c:v>3.04366</c:v>
                </c:pt>
                <c:pt idx="52">
                  <c:v>3.0556200000000002</c:v>
                </c:pt>
                <c:pt idx="53">
                  <c:v>3.0665399999999998</c:v>
                </c:pt>
                <c:pt idx="54">
                  <c:v>3.0732500000000003</c:v>
                </c:pt>
                <c:pt idx="55">
                  <c:v>3.0826700000000002</c:v>
                </c:pt>
                <c:pt idx="56">
                  <c:v>3.0904799999999999</c:v>
                </c:pt>
                <c:pt idx="57">
                  <c:v>3.1027900000000002</c:v>
                </c:pt>
                <c:pt idx="58">
                  <c:v>3.11564</c:v>
                </c:pt>
                <c:pt idx="59">
                  <c:v>3.1305800000000001</c:v>
                </c:pt>
                <c:pt idx="60">
                  <c:v>3.1492199999999997</c:v>
                </c:pt>
                <c:pt idx="61">
                  <c:v>3.1743900000000003</c:v>
                </c:pt>
                <c:pt idx="62">
                  <c:v>3.1939699999999998</c:v>
                </c:pt>
                <c:pt idx="63">
                  <c:v>3.2070400000000001</c:v>
                </c:pt>
                <c:pt idx="64">
                  <c:v>3.2291999999999996</c:v>
                </c:pt>
                <c:pt idx="65">
                  <c:v>3.2639499999999999</c:v>
                </c:pt>
                <c:pt idx="66">
                  <c:v>3.2944200000000001</c:v>
                </c:pt>
                <c:pt idx="67">
                  <c:v>3.3136900000000002</c:v>
                </c:pt>
                <c:pt idx="68">
                  <c:v>3.3469300000000004</c:v>
                </c:pt>
                <c:pt idx="69">
                  <c:v>3.3652199999999999</c:v>
                </c:pt>
                <c:pt idx="70">
                  <c:v>3.3816099999999998</c:v>
                </c:pt>
                <c:pt idx="71">
                  <c:v>3.39358</c:v>
                </c:pt>
                <c:pt idx="72">
                  <c:v>3.40672</c:v>
                </c:pt>
                <c:pt idx="73">
                  <c:v>3.4140999999999999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29.654499999999999</c:v>
                </c:pt>
                <c:pt idx="1">
                  <c:v>30.06</c:v>
                </c:pt>
                <c:pt idx="2">
                  <c:v>30.519200000000001</c:v>
                </c:pt>
                <c:pt idx="3">
                  <c:v>30.9252</c:v>
                </c:pt>
                <c:pt idx="4">
                  <c:v>31.3278</c:v>
                </c:pt>
                <c:pt idx="5">
                  <c:v>31.733000000000001</c:v>
                </c:pt>
                <c:pt idx="6">
                  <c:v>32.143000000000001</c:v>
                </c:pt>
                <c:pt idx="7">
                  <c:v>32.5473</c:v>
                </c:pt>
                <c:pt idx="8">
                  <c:v>32.952800000000003</c:v>
                </c:pt>
                <c:pt idx="9">
                  <c:v>33.357300000000002</c:v>
                </c:pt>
                <c:pt idx="10">
                  <c:v>33.763300000000001</c:v>
                </c:pt>
                <c:pt idx="11">
                  <c:v>34.171599999999998</c:v>
                </c:pt>
                <c:pt idx="12">
                  <c:v>34.581099999999999</c:v>
                </c:pt>
                <c:pt idx="13">
                  <c:v>34.983899999999998</c:v>
                </c:pt>
                <c:pt idx="14">
                  <c:v>35.39</c:v>
                </c:pt>
                <c:pt idx="15">
                  <c:v>35.794199999999996</c:v>
                </c:pt>
                <c:pt idx="16">
                  <c:v>36.200400000000002</c:v>
                </c:pt>
                <c:pt idx="17">
                  <c:v>36.607599999999998</c:v>
                </c:pt>
                <c:pt idx="18">
                  <c:v>37.0124</c:v>
                </c:pt>
                <c:pt idx="19">
                  <c:v>37.421700000000001</c:v>
                </c:pt>
                <c:pt idx="20">
                  <c:v>37.826700000000002</c:v>
                </c:pt>
                <c:pt idx="21">
                  <c:v>38.232500000000002</c:v>
                </c:pt>
                <c:pt idx="22">
                  <c:v>38.6389</c:v>
                </c:pt>
                <c:pt idx="23">
                  <c:v>39.046500000000002</c:v>
                </c:pt>
                <c:pt idx="24">
                  <c:v>39.4512</c:v>
                </c:pt>
                <c:pt idx="25">
                  <c:v>39.860999999999997</c:v>
                </c:pt>
                <c:pt idx="26">
                  <c:v>40.265099999999997</c:v>
                </c:pt>
                <c:pt idx="27">
                  <c:v>40.667900000000003</c:v>
                </c:pt>
                <c:pt idx="28">
                  <c:v>41.076700000000002</c:v>
                </c:pt>
                <c:pt idx="29">
                  <c:v>41.482300000000002</c:v>
                </c:pt>
                <c:pt idx="30">
                  <c:v>41.890900000000002</c:v>
                </c:pt>
                <c:pt idx="31">
                  <c:v>42.293999999999997</c:v>
                </c:pt>
                <c:pt idx="32">
                  <c:v>42.700299999999999</c:v>
                </c:pt>
                <c:pt idx="33">
                  <c:v>43.107599999999998</c:v>
                </c:pt>
                <c:pt idx="34">
                  <c:v>43.514299999999999</c:v>
                </c:pt>
                <c:pt idx="35">
                  <c:v>43.922199999999997</c:v>
                </c:pt>
                <c:pt idx="36">
                  <c:v>44.326900000000002</c:v>
                </c:pt>
                <c:pt idx="37">
                  <c:v>44.734200000000001</c:v>
                </c:pt>
                <c:pt idx="38">
                  <c:v>45.137</c:v>
                </c:pt>
                <c:pt idx="39">
                  <c:v>45.5473</c:v>
                </c:pt>
                <c:pt idx="40">
                  <c:v>45.9512</c:v>
                </c:pt>
                <c:pt idx="41">
                  <c:v>46.358400000000003</c:v>
                </c:pt>
                <c:pt idx="42">
                  <c:v>46.761600000000001</c:v>
                </c:pt>
                <c:pt idx="43">
                  <c:v>47.167099999999998</c:v>
                </c:pt>
                <c:pt idx="44">
                  <c:v>47.577199999999998</c:v>
                </c:pt>
                <c:pt idx="45">
                  <c:v>47.984299999999998</c:v>
                </c:pt>
                <c:pt idx="46">
                  <c:v>48.3874</c:v>
                </c:pt>
                <c:pt idx="47">
                  <c:v>48.794600000000003</c:v>
                </c:pt>
                <c:pt idx="48">
                  <c:v>49.198799999999999</c:v>
                </c:pt>
                <c:pt idx="49">
                  <c:v>49.607599999999998</c:v>
                </c:pt>
                <c:pt idx="50">
                  <c:v>50.013599999999997</c:v>
                </c:pt>
                <c:pt idx="51">
                  <c:v>50.4206</c:v>
                </c:pt>
                <c:pt idx="52">
                  <c:v>50.824300000000001</c:v>
                </c:pt>
                <c:pt idx="53">
                  <c:v>51.233600000000003</c:v>
                </c:pt>
                <c:pt idx="54">
                  <c:v>51.636499999999998</c:v>
                </c:pt>
                <c:pt idx="55">
                  <c:v>52.044699999999999</c:v>
                </c:pt>
                <c:pt idx="56">
                  <c:v>52.450200000000002</c:v>
                </c:pt>
                <c:pt idx="57">
                  <c:v>52.859900000000003</c:v>
                </c:pt>
                <c:pt idx="58">
                  <c:v>53.2669</c:v>
                </c:pt>
                <c:pt idx="59">
                  <c:v>53.6706</c:v>
                </c:pt>
                <c:pt idx="60">
                  <c:v>54.075899999999997</c:v>
                </c:pt>
                <c:pt idx="61">
                  <c:v>54.481699999999996</c:v>
                </c:pt>
                <c:pt idx="62">
                  <c:v>54.890300000000003</c:v>
                </c:pt>
                <c:pt idx="63">
                  <c:v>55.296999999999997</c:v>
                </c:pt>
                <c:pt idx="64">
                  <c:v>55.702100000000002</c:v>
                </c:pt>
                <c:pt idx="65">
                  <c:v>56.104999999999997</c:v>
                </c:pt>
                <c:pt idx="66">
                  <c:v>56.516199999999998</c:v>
                </c:pt>
                <c:pt idx="67">
                  <c:v>56.921399999999998</c:v>
                </c:pt>
                <c:pt idx="68">
                  <c:v>57.325899999999997</c:v>
                </c:pt>
                <c:pt idx="69">
                  <c:v>57.732799999999997</c:v>
                </c:pt>
                <c:pt idx="70">
                  <c:v>58.137799999999999</c:v>
                </c:pt>
                <c:pt idx="71">
                  <c:v>58.545200000000001</c:v>
                </c:pt>
                <c:pt idx="72">
                  <c:v>58.9542</c:v>
                </c:pt>
                <c:pt idx="73">
                  <c:v>59.356999999999999</c:v>
                </c:pt>
                <c:pt idx="74">
                  <c:v>59.7637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3.4140999999999999</c:v>
                </c:pt>
                <c:pt idx="1">
                  <c:v>3.42347</c:v>
                </c:pt>
                <c:pt idx="2">
                  <c:v>3.4327700000000001</c:v>
                </c:pt>
                <c:pt idx="3">
                  <c:v>3.4387099999999999</c:v>
                </c:pt>
                <c:pt idx="4">
                  <c:v>3.4437000000000002</c:v>
                </c:pt>
                <c:pt idx="5">
                  <c:v>3.4418300000000004</c:v>
                </c:pt>
                <c:pt idx="6">
                  <c:v>3.4388899999999998</c:v>
                </c:pt>
                <c:pt idx="7">
                  <c:v>3.4348200000000002</c:v>
                </c:pt>
                <c:pt idx="8">
                  <c:v>3.43207</c:v>
                </c:pt>
                <c:pt idx="9">
                  <c:v>3.4291500000000004</c:v>
                </c:pt>
                <c:pt idx="10">
                  <c:v>3.4238800000000005</c:v>
                </c:pt>
                <c:pt idx="11">
                  <c:v>3.41256</c:v>
                </c:pt>
                <c:pt idx="12">
                  <c:v>3.3969800000000001</c:v>
                </c:pt>
                <c:pt idx="13">
                  <c:v>3.3800000000000003</c:v>
                </c:pt>
                <c:pt idx="14">
                  <c:v>3.35771</c:v>
                </c:pt>
                <c:pt idx="15">
                  <c:v>3.32897</c:v>
                </c:pt>
                <c:pt idx="16">
                  <c:v>3.3021799999999999</c:v>
                </c:pt>
                <c:pt idx="17">
                  <c:v>3.2722199999999999</c:v>
                </c:pt>
                <c:pt idx="18">
                  <c:v>3.2382499999999999</c:v>
                </c:pt>
                <c:pt idx="19">
                  <c:v>3.2020900000000001</c:v>
                </c:pt>
                <c:pt idx="20">
                  <c:v>3.1689699999999998</c:v>
                </c:pt>
                <c:pt idx="21">
                  <c:v>3.1391999999999998</c:v>
                </c:pt>
                <c:pt idx="22">
                  <c:v>3.10778</c:v>
                </c:pt>
                <c:pt idx="23">
                  <c:v>3.0784499999999997</c:v>
                </c:pt>
                <c:pt idx="24">
                  <c:v>3.0524899999999997</c:v>
                </c:pt>
                <c:pt idx="25">
                  <c:v>3.0290499999999998</c:v>
                </c:pt>
                <c:pt idx="26">
                  <c:v>3.00576</c:v>
                </c:pt>
                <c:pt idx="27">
                  <c:v>2.9796200000000002</c:v>
                </c:pt>
                <c:pt idx="28">
                  <c:v>2.9582100000000002</c:v>
                </c:pt>
                <c:pt idx="29">
                  <c:v>2.9392400000000003</c:v>
                </c:pt>
                <c:pt idx="30">
                  <c:v>2.9264700000000001</c:v>
                </c:pt>
                <c:pt idx="31">
                  <c:v>2.9180999999999999</c:v>
                </c:pt>
                <c:pt idx="32">
                  <c:v>2.91228</c:v>
                </c:pt>
                <c:pt idx="33">
                  <c:v>2.9058899999999999</c:v>
                </c:pt>
                <c:pt idx="34">
                  <c:v>2.89873</c:v>
                </c:pt>
                <c:pt idx="35">
                  <c:v>2.8909099999999999</c:v>
                </c:pt>
                <c:pt idx="36">
                  <c:v>2.8828399999999998</c:v>
                </c:pt>
                <c:pt idx="37">
                  <c:v>2.88009</c:v>
                </c:pt>
                <c:pt idx="38">
                  <c:v>2.8838200000000001</c:v>
                </c:pt>
                <c:pt idx="39">
                  <c:v>2.8965700000000001</c:v>
                </c:pt>
                <c:pt idx="40">
                  <c:v>2.9149000000000003</c:v>
                </c:pt>
                <c:pt idx="41">
                  <c:v>2.9321799999999998</c:v>
                </c:pt>
                <c:pt idx="42">
                  <c:v>2.9475899999999999</c:v>
                </c:pt>
                <c:pt idx="43">
                  <c:v>2.96434</c:v>
                </c:pt>
                <c:pt idx="44">
                  <c:v>2.98244</c:v>
                </c:pt>
                <c:pt idx="45">
                  <c:v>3.00298</c:v>
                </c:pt>
                <c:pt idx="46">
                  <c:v>3.0292300000000001</c:v>
                </c:pt>
                <c:pt idx="47">
                  <c:v>3.0595699999999999</c:v>
                </c:pt>
                <c:pt idx="48">
                  <c:v>3.0900400000000001</c:v>
                </c:pt>
                <c:pt idx="49">
                  <c:v>3.1185099999999997</c:v>
                </c:pt>
                <c:pt idx="50">
                  <c:v>3.14621</c:v>
                </c:pt>
                <c:pt idx="51">
                  <c:v>3.1571700000000003</c:v>
                </c:pt>
                <c:pt idx="52">
                  <c:v>3.1694299999999997</c:v>
                </c:pt>
                <c:pt idx="53">
                  <c:v>3.18126</c:v>
                </c:pt>
                <c:pt idx="54">
                  <c:v>3.1935799999999999</c:v>
                </c:pt>
                <c:pt idx="55">
                  <c:v>3.2060399999999998</c:v>
                </c:pt>
                <c:pt idx="56">
                  <c:v>3.2172200000000002</c:v>
                </c:pt>
                <c:pt idx="57">
                  <c:v>3.2293799999999999</c:v>
                </c:pt>
                <c:pt idx="58">
                  <c:v>3.2408799999999998</c:v>
                </c:pt>
                <c:pt idx="59">
                  <c:v>3.2547700000000002</c:v>
                </c:pt>
                <c:pt idx="60">
                  <c:v>3.2740799999999997</c:v>
                </c:pt>
                <c:pt idx="61">
                  <c:v>3.2984999999999998</c:v>
                </c:pt>
                <c:pt idx="62">
                  <c:v>3.3221699999999998</c:v>
                </c:pt>
                <c:pt idx="63">
                  <c:v>3.3411400000000002</c:v>
                </c:pt>
                <c:pt idx="64">
                  <c:v>3.3543600000000002</c:v>
                </c:pt>
                <c:pt idx="65">
                  <c:v>3.3664100000000001</c:v>
                </c:pt>
                <c:pt idx="66">
                  <c:v>3.3796300000000001</c:v>
                </c:pt>
                <c:pt idx="67">
                  <c:v>3.3975400000000002</c:v>
                </c:pt>
                <c:pt idx="68">
                  <c:v>3.4181499999999998</c:v>
                </c:pt>
                <c:pt idx="69">
                  <c:v>3.4423700000000004</c:v>
                </c:pt>
                <c:pt idx="70">
                  <c:v>3.4640700000000004</c:v>
                </c:pt>
                <c:pt idx="71">
                  <c:v>3.4710400000000003</c:v>
                </c:pt>
                <c:pt idx="72">
                  <c:v>3.4715699999999998</c:v>
                </c:pt>
                <c:pt idx="73">
                  <c:v>3.4711500000000002</c:v>
                </c:pt>
                <c:pt idx="74">
                  <c:v>3.4798299999999998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14.940925</c:v>
                </c:pt>
                <c:pt idx="1">
                  <c:v>44.822775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2.7124448648648651</c:v>
                </c:pt>
                <c:pt idx="1">
                  <c:v>3.1983033783783785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0.40467799999999998</c:v>
                </c:pt>
                <c:pt idx="2">
                  <c:v>0.81208000000000002</c:v>
                </c:pt>
                <c:pt idx="3">
                  <c:v>1.2195199999999999</c:v>
                </c:pt>
                <c:pt idx="4">
                  <c:v>1.6228199999999999</c:v>
                </c:pt>
                <c:pt idx="5">
                  <c:v>2.0276200000000002</c:v>
                </c:pt>
                <c:pt idx="6">
                  <c:v>2.4356599999999999</c:v>
                </c:pt>
                <c:pt idx="7">
                  <c:v>2.8413200000000001</c:v>
                </c:pt>
                <c:pt idx="8">
                  <c:v>3.24674</c:v>
                </c:pt>
                <c:pt idx="9">
                  <c:v>3.6567099999999999</c:v>
                </c:pt>
                <c:pt idx="10">
                  <c:v>4.0611300000000004</c:v>
                </c:pt>
                <c:pt idx="11">
                  <c:v>4.4680799999999996</c:v>
                </c:pt>
                <c:pt idx="12">
                  <c:v>4.8728100000000003</c:v>
                </c:pt>
                <c:pt idx="13">
                  <c:v>5.2787499999999996</c:v>
                </c:pt>
                <c:pt idx="14">
                  <c:v>5.6848200000000002</c:v>
                </c:pt>
                <c:pt idx="15">
                  <c:v>6.0929599999999997</c:v>
                </c:pt>
                <c:pt idx="16">
                  <c:v>6.5017300000000002</c:v>
                </c:pt>
                <c:pt idx="17">
                  <c:v>6.9022399999999999</c:v>
                </c:pt>
                <c:pt idx="18">
                  <c:v>7.30844</c:v>
                </c:pt>
                <c:pt idx="19">
                  <c:v>7.7182500000000003</c:v>
                </c:pt>
                <c:pt idx="20">
                  <c:v>8.12012</c:v>
                </c:pt>
                <c:pt idx="21">
                  <c:v>8.5291599999999992</c:v>
                </c:pt>
                <c:pt idx="22">
                  <c:v>8.9363200000000003</c:v>
                </c:pt>
                <c:pt idx="23">
                  <c:v>9.3441100000000006</c:v>
                </c:pt>
                <c:pt idx="24">
                  <c:v>9.7478899999999999</c:v>
                </c:pt>
                <c:pt idx="25">
                  <c:v>10.1546</c:v>
                </c:pt>
                <c:pt idx="26">
                  <c:v>10.559699999999999</c:v>
                </c:pt>
                <c:pt idx="27">
                  <c:v>10.9686</c:v>
                </c:pt>
                <c:pt idx="28">
                  <c:v>11.372400000000001</c:v>
                </c:pt>
                <c:pt idx="29">
                  <c:v>11.78</c:v>
                </c:pt>
                <c:pt idx="30">
                  <c:v>12.184799999999999</c:v>
                </c:pt>
                <c:pt idx="31">
                  <c:v>12.5907</c:v>
                </c:pt>
                <c:pt idx="32">
                  <c:v>12.9969</c:v>
                </c:pt>
                <c:pt idx="33">
                  <c:v>13.405799999999999</c:v>
                </c:pt>
                <c:pt idx="34">
                  <c:v>13.8104</c:v>
                </c:pt>
                <c:pt idx="35">
                  <c:v>14.2171</c:v>
                </c:pt>
                <c:pt idx="36">
                  <c:v>14.622400000000001</c:v>
                </c:pt>
                <c:pt idx="37">
                  <c:v>15.028</c:v>
                </c:pt>
                <c:pt idx="38">
                  <c:v>15.437799999999999</c:v>
                </c:pt>
                <c:pt idx="39">
                  <c:v>15.842599999999999</c:v>
                </c:pt>
                <c:pt idx="40">
                  <c:v>16.2471</c:v>
                </c:pt>
                <c:pt idx="41">
                  <c:v>16.652999999999999</c:v>
                </c:pt>
                <c:pt idx="42">
                  <c:v>17.063400000000001</c:v>
                </c:pt>
                <c:pt idx="43">
                  <c:v>17.468399999999999</c:v>
                </c:pt>
                <c:pt idx="44">
                  <c:v>17.871700000000001</c:v>
                </c:pt>
                <c:pt idx="45">
                  <c:v>18.278099999999998</c:v>
                </c:pt>
                <c:pt idx="46">
                  <c:v>18.685600000000001</c:v>
                </c:pt>
                <c:pt idx="47">
                  <c:v>19.090900000000001</c:v>
                </c:pt>
                <c:pt idx="48">
                  <c:v>19.498100000000001</c:v>
                </c:pt>
                <c:pt idx="49">
                  <c:v>19.9053</c:v>
                </c:pt>
                <c:pt idx="50">
                  <c:v>20.312000000000001</c:v>
                </c:pt>
                <c:pt idx="51">
                  <c:v>20.715599999999998</c:v>
                </c:pt>
                <c:pt idx="52">
                  <c:v>21.122499999999999</c:v>
                </c:pt>
                <c:pt idx="53">
                  <c:v>21.529900000000001</c:v>
                </c:pt>
                <c:pt idx="54">
                  <c:v>21.933900000000001</c:v>
                </c:pt>
                <c:pt idx="55">
                  <c:v>22.341999999999999</c:v>
                </c:pt>
                <c:pt idx="56">
                  <c:v>22.7454</c:v>
                </c:pt>
                <c:pt idx="57">
                  <c:v>23.153400000000001</c:v>
                </c:pt>
                <c:pt idx="58">
                  <c:v>23.559799999999999</c:v>
                </c:pt>
                <c:pt idx="59">
                  <c:v>23.967600000000001</c:v>
                </c:pt>
                <c:pt idx="60">
                  <c:v>24.371400000000001</c:v>
                </c:pt>
                <c:pt idx="61">
                  <c:v>24.780200000000001</c:v>
                </c:pt>
                <c:pt idx="62">
                  <c:v>25.1877</c:v>
                </c:pt>
                <c:pt idx="63">
                  <c:v>25.590599999999998</c:v>
                </c:pt>
                <c:pt idx="64">
                  <c:v>25.996300000000002</c:v>
                </c:pt>
                <c:pt idx="65">
                  <c:v>26.403400000000001</c:v>
                </c:pt>
                <c:pt idx="66">
                  <c:v>26.8123</c:v>
                </c:pt>
                <c:pt idx="67">
                  <c:v>27.215900000000001</c:v>
                </c:pt>
                <c:pt idx="68">
                  <c:v>27.6251</c:v>
                </c:pt>
                <c:pt idx="69">
                  <c:v>28.0304</c:v>
                </c:pt>
                <c:pt idx="70">
                  <c:v>28.435500000000001</c:v>
                </c:pt>
                <c:pt idx="71">
                  <c:v>28.843599999999999</c:v>
                </c:pt>
                <c:pt idx="72">
                  <c:v>29.248100000000001</c:v>
                </c:pt>
                <c:pt idx="73">
                  <c:v>29.654499999999999</c:v>
                </c:pt>
                <c:pt idx="74">
                  <c:v>30.06</c:v>
                </c:pt>
                <c:pt idx="75">
                  <c:v>30.519200000000001</c:v>
                </c:pt>
                <c:pt idx="76">
                  <c:v>30.9252</c:v>
                </c:pt>
                <c:pt idx="77">
                  <c:v>31.3278</c:v>
                </c:pt>
                <c:pt idx="78">
                  <c:v>31.733000000000001</c:v>
                </c:pt>
                <c:pt idx="79">
                  <c:v>32.143000000000001</c:v>
                </c:pt>
                <c:pt idx="80">
                  <c:v>32.5473</c:v>
                </c:pt>
                <c:pt idx="81">
                  <c:v>32.952800000000003</c:v>
                </c:pt>
                <c:pt idx="82">
                  <c:v>33.357300000000002</c:v>
                </c:pt>
                <c:pt idx="83">
                  <c:v>33.763300000000001</c:v>
                </c:pt>
                <c:pt idx="84">
                  <c:v>34.171599999999998</c:v>
                </c:pt>
                <c:pt idx="85">
                  <c:v>34.581099999999999</c:v>
                </c:pt>
                <c:pt idx="86">
                  <c:v>34.983899999999998</c:v>
                </c:pt>
                <c:pt idx="87">
                  <c:v>35.39</c:v>
                </c:pt>
                <c:pt idx="88">
                  <c:v>35.794199999999996</c:v>
                </c:pt>
                <c:pt idx="89">
                  <c:v>36.200400000000002</c:v>
                </c:pt>
                <c:pt idx="90">
                  <c:v>36.607599999999998</c:v>
                </c:pt>
                <c:pt idx="91">
                  <c:v>37.0124</c:v>
                </c:pt>
                <c:pt idx="92">
                  <c:v>37.421700000000001</c:v>
                </c:pt>
                <c:pt idx="93">
                  <c:v>37.826700000000002</c:v>
                </c:pt>
                <c:pt idx="94">
                  <c:v>38.232500000000002</c:v>
                </c:pt>
                <c:pt idx="95">
                  <c:v>38.6389</c:v>
                </c:pt>
                <c:pt idx="96">
                  <c:v>39.046500000000002</c:v>
                </c:pt>
                <c:pt idx="97">
                  <c:v>39.4512</c:v>
                </c:pt>
                <c:pt idx="98">
                  <c:v>39.860999999999997</c:v>
                </c:pt>
                <c:pt idx="99">
                  <c:v>40.265099999999997</c:v>
                </c:pt>
                <c:pt idx="100">
                  <c:v>40.667900000000003</c:v>
                </c:pt>
                <c:pt idx="101">
                  <c:v>41.076700000000002</c:v>
                </c:pt>
                <c:pt idx="102">
                  <c:v>41.482300000000002</c:v>
                </c:pt>
                <c:pt idx="103">
                  <c:v>41.890900000000002</c:v>
                </c:pt>
                <c:pt idx="104">
                  <c:v>42.293999999999997</c:v>
                </c:pt>
                <c:pt idx="105">
                  <c:v>42.700299999999999</c:v>
                </c:pt>
                <c:pt idx="106">
                  <c:v>43.107599999999998</c:v>
                </c:pt>
                <c:pt idx="107">
                  <c:v>43.514299999999999</c:v>
                </c:pt>
                <c:pt idx="108">
                  <c:v>43.922199999999997</c:v>
                </c:pt>
                <c:pt idx="109">
                  <c:v>44.326900000000002</c:v>
                </c:pt>
                <c:pt idx="110">
                  <c:v>44.734200000000001</c:v>
                </c:pt>
                <c:pt idx="111">
                  <c:v>45.137</c:v>
                </c:pt>
                <c:pt idx="112">
                  <c:v>45.5473</c:v>
                </c:pt>
                <c:pt idx="113">
                  <c:v>45.9512</c:v>
                </c:pt>
                <c:pt idx="114">
                  <c:v>46.358400000000003</c:v>
                </c:pt>
                <c:pt idx="115">
                  <c:v>46.761600000000001</c:v>
                </c:pt>
                <c:pt idx="116">
                  <c:v>47.167099999999998</c:v>
                </c:pt>
                <c:pt idx="117">
                  <c:v>47.577199999999998</c:v>
                </c:pt>
                <c:pt idx="118">
                  <c:v>47.984299999999998</c:v>
                </c:pt>
                <c:pt idx="119">
                  <c:v>48.3874</c:v>
                </c:pt>
                <c:pt idx="120">
                  <c:v>48.794600000000003</c:v>
                </c:pt>
                <c:pt idx="121">
                  <c:v>49.198799999999999</c:v>
                </c:pt>
                <c:pt idx="122">
                  <c:v>49.607599999999998</c:v>
                </c:pt>
                <c:pt idx="123">
                  <c:v>50.013599999999997</c:v>
                </c:pt>
                <c:pt idx="124">
                  <c:v>50.4206</c:v>
                </c:pt>
                <c:pt idx="125">
                  <c:v>50.824300000000001</c:v>
                </c:pt>
                <c:pt idx="126">
                  <c:v>51.233600000000003</c:v>
                </c:pt>
                <c:pt idx="127">
                  <c:v>51.636499999999998</c:v>
                </c:pt>
                <c:pt idx="128">
                  <c:v>52.044699999999999</c:v>
                </c:pt>
                <c:pt idx="129">
                  <c:v>52.450200000000002</c:v>
                </c:pt>
                <c:pt idx="130">
                  <c:v>52.859900000000003</c:v>
                </c:pt>
                <c:pt idx="131">
                  <c:v>53.2669</c:v>
                </c:pt>
                <c:pt idx="132">
                  <c:v>53.6706</c:v>
                </c:pt>
                <c:pt idx="133">
                  <c:v>54.075899999999997</c:v>
                </c:pt>
                <c:pt idx="134">
                  <c:v>54.481699999999996</c:v>
                </c:pt>
                <c:pt idx="135">
                  <c:v>54.890300000000003</c:v>
                </c:pt>
                <c:pt idx="136">
                  <c:v>55.296999999999997</c:v>
                </c:pt>
                <c:pt idx="137">
                  <c:v>55.702100000000002</c:v>
                </c:pt>
                <c:pt idx="138">
                  <c:v>56.104999999999997</c:v>
                </c:pt>
                <c:pt idx="139">
                  <c:v>56.516199999999998</c:v>
                </c:pt>
                <c:pt idx="140">
                  <c:v>56.921399999999998</c:v>
                </c:pt>
                <c:pt idx="141">
                  <c:v>57.325899999999997</c:v>
                </c:pt>
                <c:pt idx="142">
                  <c:v>57.732799999999997</c:v>
                </c:pt>
                <c:pt idx="143">
                  <c:v>58.137799999999999</c:v>
                </c:pt>
                <c:pt idx="144">
                  <c:v>58.545200000000001</c:v>
                </c:pt>
                <c:pt idx="145">
                  <c:v>58.9542</c:v>
                </c:pt>
                <c:pt idx="146">
                  <c:v>59.356999999999999</c:v>
                </c:pt>
                <c:pt idx="147">
                  <c:v>59.7637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59.154300000000006</c:v>
                </c:pt>
                <c:pt idx="1">
                  <c:v>58.235000000000007</c:v>
                </c:pt>
                <c:pt idx="2">
                  <c:v>57.332700000000003</c:v>
                </c:pt>
                <c:pt idx="3">
                  <c:v>56.3964</c:v>
                </c:pt>
                <c:pt idx="4">
                  <c:v>55.492699999999992</c:v>
                </c:pt>
                <c:pt idx="5">
                  <c:v>54.528500000000001</c:v>
                </c:pt>
                <c:pt idx="6">
                  <c:v>53.436099999999996</c:v>
                </c:pt>
                <c:pt idx="7">
                  <c:v>52.253899999999994</c:v>
                </c:pt>
                <c:pt idx="8">
                  <c:v>51.014099999999999</c:v>
                </c:pt>
                <c:pt idx="9">
                  <c:v>49.799399999999999</c:v>
                </c:pt>
                <c:pt idx="10">
                  <c:v>48.522500000000001</c:v>
                </c:pt>
                <c:pt idx="11">
                  <c:v>47.161799999999999</c:v>
                </c:pt>
                <c:pt idx="12">
                  <c:v>45.748699999999999</c:v>
                </c:pt>
                <c:pt idx="13">
                  <c:v>44.240600000000001</c:v>
                </c:pt>
                <c:pt idx="14">
                  <c:v>42.617199999999997</c:v>
                </c:pt>
                <c:pt idx="15">
                  <c:v>41.112500000000004</c:v>
                </c:pt>
                <c:pt idx="16">
                  <c:v>39.837299999999999</c:v>
                </c:pt>
                <c:pt idx="17">
                  <c:v>38.769599999999997</c:v>
                </c:pt>
                <c:pt idx="18">
                  <c:v>37.739200000000004</c:v>
                </c:pt>
                <c:pt idx="19">
                  <c:v>36.641800000000003</c:v>
                </c:pt>
                <c:pt idx="20">
                  <c:v>35.632100000000001</c:v>
                </c:pt>
                <c:pt idx="21">
                  <c:v>34.754600000000003</c:v>
                </c:pt>
                <c:pt idx="22">
                  <c:v>34.011200000000002</c:v>
                </c:pt>
                <c:pt idx="23">
                  <c:v>33.4163</c:v>
                </c:pt>
                <c:pt idx="24">
                  <c:v>32.972200000000001</c:v>
                </c:pt>
                <c:pt idx="25">
                  <c:v>32.6145</c:v>
                </c:pt>
                <c:pt idx="26">
                  <c:v>32.330300000000001</c:v>
                </c:pt>
                <c:pt idx="27">
                  <c:v>32.024500000000003</c:v>
                </c:pt>
                <c:pt idx="28">
                  <c:v>31.670100000000001</c:v>
                </c:pt>
                <c:pt idx="29">
                  <c:v>31.375299999999999</c:v>
                </c:pt>
                <c:pt idx="30">
                  <c:v>31.127100000000002</c:v>
                </c:pt>
                <c:pt idx="31">
                  <c:v>30.859199999999998</c:v>
                </c:pt>
                <c:pt idx="32">
                  <c:v>30.636000000000003</c:v>
                </c:pt>
                <c:pt idx="33">
                  <c:v>30.414600000000004</c:v>
                </c:pt>
                <c:pt idx="34">
                  <c:v>30.223699999999997</c:v>
                </c:pt>
                <c:pt idx="35">
                  <c:v>30.0639</c:v>
                </c:pt>
                <c:pt idx="36">
                  <c:v>29.895199999999999</c:v>
                </c:pt>
                <c:pt idx="37">
                  <c:v>29.8004</c:v>
                </c:pt>
                <c:pt idx="38">
                  <c:v>29.802899999999998</c:v>
                </c:pt>
                <c:pt idx="39">
                  <c:v>29.899799999999999</c:v>
                </c:pt>
                <c:pt idx="40">
                  <c:v>30.025000000000002</c:v>
                </c:pt>
                <c:pt idx="41">
                  <c:v>30.087199999999996</c:v>
                </c:pt>
                <c:pt idx="42">
                  <c:v>30.153200000000002</c:v>
                </c:pt>
                <c:pt idx="43">
                  <c:v>30.214099999999998</c:v>
                </c:pt>
                <c:pt idx="44">
                  <c:v>30.443300000000001</c:v>
                </c:pt>
                <c:pt idx="45">
                  <c:v>30.721500000000002</c:v>
                </c:pt>
                <c:pt idx="46">
                  <c:v>31.016899999999996</c:v>
                </c:pt>
                <c:pt idx="47">
                  <c:v>31.273499999999999</c:v>
                </c:pt>
                <c:pt idx="48">
                  <c:v>31.419799999999999</c:v>
                </c:pt>
                <c:pt idx="49">
                  <c:v>31.476700000000001</c:v>
                </c:pt>
                <c:pt idx="50">
                  <c:v>31.509399999999999</c:v>
                </c:pt>
                <c:pt idx="51">
                  <c:v>31.533000000000001</c:v>
                </c:pt>
                <c:pt idx="52">
                  <c:v>31.595600000000001</c:v>
                </c:pt>
                <c:pt idx="53">
                  <c:v>31.653100000000002</c:v>
                </c:pt>
                <c:pt idx="54">
                  <c:v>31.725100000000001</c:v>
                </c:pt>
                <c:pt idx="55">
                  <c:v>31.7743</c:v>
                </c:pt>
                <c:pt idx="56">
                  <c:v>31.819799999999997</c:v>
                </c:pt>
                <c:pt idx="57">
                  <c:v>31.797599999999999</c:v>
                </c:pt>
                <c:pt idx="58">
                  <c:v>31.837100000000003</c:v>
                </c:pt>
                <c:pt idx="59">
                  <c:v>31.841900000000003</c:v>
                </c:pt>
                <c:pt idx="60">
                  <c:v>31.797900000000002</c:v>
                </c:pt>
                <c:pt idx="61">
                  <c:v>31.694299999999998</c:v>
                </c:pt>
                <c:pt idx="62">
                  <c:v>31.613700000000001</c:v>
                </c:pt>
                <c:pt idx="63">
                  <c:v>31.563700000000001</c:v>
                </c:pt>
                <c:pt idx="64">
                  <c:v>31.3934</c:v>
                </c:pt>
                <c:pt idx="65">
                  <c:v>31.102600000000002</c:v>
                </c:pt>
                <c:pt idx="66">
                  <c:v>30.849799999999998</c:v>
                </c:pt>
                <c:pt idx="67">
                  <c:v>30.701800000000002</c:v>
                </c:pt>
                <c:pt idx="68">
                  <c:v>30.408200000000001</c:v>
                </c:pt>
                <c:pt idx="69">
                  <c:v>30.353999999999999</c:v>
                </c:pt>
                <c:pt idx="70">
                  <c:v>30.335600000000003</c:v>
                </c:pt>
                <c:pt idx="71">
                  <c:v>30.298399999999997</c:v>
                </c:pt>
                <c:pt idx="72">
                  <c:v>30.289700000000003</c:v>
                </c:pt>
                <c:pt idx="73">
                  <c:v>30.368000000000002</c:v>
                </c:pt>
                <c:pt idx="74">
                  <c:v>30.390899999999998</c:v>
                </c:pt>
                <c:pt idx="75">
                  <c:v>30.5334</c:v>
                </c:pt>
                <c:pt idx="76">
                  <c:v>30.6707</c:v>
                </c:pt>
                <c:pt idx="77">
                  <c:v>30.805700000000002</c:v>
                </c:pt>
                <c:pt idx="78">
                  <c:v>30.961499999999997</c:v>
                </c:pt>
                <c:pt idx="79">
                  <c:v>31.096699999999998</c:v>
                </c:pt>
                <c:pt idx="80">
                  <c:v>31.176900000000003</c:v>
                </c:pt>
                <c:pt idx="81">
                  <c:v>31.1983</c:v>
                </c:pt>
                <c:pt idx="82">
                  <c:v>31.186499999999999</c:v>
                </c:pt>
                <c:pt idx="83">
                  <c:v>31.174099999999999</c:v>
                </c:pt>
                <c:pt idx="84">
                  <c:v>31.204700000000003</c:v>
                </c:pt>
                <c:pt idx="85">
                  <c:v>31.2959</c:v>
                </c:pt>
                <c:pt idx="86">
                  <c:v>31.455499999999997</c:v>
                </c:pt>
                <c:pt idx="87">
                  <c:v>31.637599999999999</c:v>
                </c:pt>
                <c:pt idx="88">
                  <c:v>31.866399999999999</c:v>
                </c:pt>
                <c:pt idx="89">
                  <c:v>32.093800000000002</c:v>
                </c:pt>
                <c:pt idx="90">
                  <c:v>32.4771</c:v>
                </c:pt>
                <c:pt idx="91">
                  <c:v>32.992100000000001</c:v>
                </c:pt>
                <c:pt idx="92">
                  <c:v>33.589999999999996</c:v>
                </c:pt>
                <c:pt idx="93">
                  <c:v>34.161200000000001</c:v>
                </c:pt>
                <c:pt idx="94">
                  <c:v>34.633099999999999</c:v>
                </c:pt>
                <c:pt idx="95">
                  <c:v>35.090800000000002</c:v>
                </c:pt>
                <c:pt idx="96">
                  <c:v>35.543200000000006</c:v>
                </c:pt>
                <c:pt idx="97">
                  <c:v>36.004899999999999</c:v>
                </c:pt>
                <c:pt idx="98">
                  <c:v>36.4724</c:v>
                </c:pt>
                <c:pt idx="99">
                  <c:v>37.0443</c:v>
                </c:pt>
                <c:pt idx="100">
                  <c:v>37.684400000000004</c:v>
                </c:pt>
                <c:pt idx="101">
                  <c:v>38.254199999999997</c:v>
                </c:pt>
                <c:pt idx="102">
                  <c:v>38.853900000000003</c:v>
                </c:pt>
                <c:pt idx="103">
                  <c:v>39.317800000000005</c:v>
                </c:pt>
                <c:pt idx="104">
                  <c:v>39.7166</c:v>
                </c:pt>
                <c:pt idx="105">
                  <c:v>40.110700000000001</c:v>
                </c:pt>
                <c:pt idx="106">
                  <c:v>40.666000000000004</c:v>
                </c:pt>
                <c:pt idx="107">
                  <c:v>41.269500000000001</c:v>
                </c:pt>
                <c:pt idx="108">
                  <c:v>41.827300000000001</c:v>
                </c:pt>
                <c:pt idx="109">
                  <c:v>42.329599999999999</c:v>
                </c:pt>
                <c:pt idx="110">
                  <c:v>42.692799999999998</c:v>
                </c:pt>
                <c:pt idx="111">
                  <c:v>42.9313</c:v>
                </c:pt>
                <c:pt idx="112">
                  <c:v>43.046599999999998</c:v>
                </c:pt>
                <c:pt idx="113">
                  <c:v>43.062199999999997</c:v>
                </c:pt>
                <c:pt idx="114">
                  <c:v>43.069499999999998</c:v>
                </c:pt>
                <c:pt idx="115">
                  <c:v>43.119199999999999</c:v>
                </c:pt>
                <c:pt idx="116">
                  <c:v>43.131500000000003</c:v>
                </c:pt>
                <c:pt idx="117">
                  <c:v>43.139099999999999</c:v>
                </c:pt>
                <c:pt idx="118">
                  <c:v>43.039100000000005</c:v>
                </c:pt>
                <c:pt idx="119">
                  <c:v>42.791000000000004</c:v>
                </c:pt>
                <c:pt idx="120">
                  <c:v>42.518599999999999</c:v>
                </c:pt>
                <c:pt idx="121">
                  <c:v>42.278999999999996</c:v>
                </c:pt>
                <c:pt idx="122">
                  <c:v>42.110100000000003</c:v>
                </c:pt>
                <c:pt idx="123">
                  <c:v>41.913499999999999</c:v>
                </c:pt>
                <c:pt idx="124">
                  <c:v>41.9527</c:v>
                </c:pt>
                <c:pt idx="125">
                  <c:v>41.966999999999999</c:v>
                </c:pt>
                <c:pt idx="126">
                  <c:v>41.962200000000003</c:v>
                </c:pt>
                <c:pt idx="127">
                  <c:v>41.912500000000001</c:v>
                </c:pt>
                <c:pt idx="128">
                  <c:v>41.8431</c:v>
                </c:pt>
                <c:pt idx="129">
                  <c:v>41.797899999999998</c:v>
                </c:pt>
                <c:pt idx="130">
                  <c:v>41.747399999999999</c:v>
                </c:pt>
                <c:pt idx="131">
                  <c:v>41.608200000000004</c:v>
                </c:pt>
                <c:pt idx="132">
                  <c:v>41.446600000000004</c:v>
                </c:pt>
                <c:pt idx="133">
                  <c:v>41.3048</c:v>
                </c:pt>
                <c:pt idx="134">
                  <c:v>41.193999999999996</c:v>
                </c:pt>
                <c:pt idx="135">
                  <c:v>41.084099999999999</c:v>
                </c:pt>
                <c:pt idx="136">
                  <c:v>40.902799999999999</c:v>
                </c:pt>
                <c:pt idx="137">
                  <c:v>40.629100000000001</c:v>
                </c:pt>
                <c:pt idx="138">
                  <c:v>40.341700000000003</c:v>
                </c:pt>
                <c:pt idx="139">
                  <c:v>40.082799999999999</c:v>
                </c:pt>
                <c:pt idx="140">
                  <c:v>39.769300000000001</c:v>
                </c:pt>
                <c:pt idx="141">
                  <c:v>39.513100000000001</c:v>
                </c:pt>
                <c:pt idx="142">
                  <c:v>39.182099999999998</c:v>
                </c:pt>
                <c:pt idx="143">
                  <c:v>38.934100000000001</c:v>
                </c:pt>
                <c:pt idx="144">
                  <c:v>38.800200000000004</c:v>
                </c:pt>
                <c:pt idx="145">
                  <c:v>38.793799999999997</c:v>
                </c:pt>
                <c:pt idx="146">
                  <c:v>38.911799999999999</c:v>
                </c:pt>
                <c:pt idx="147">
                  <c:v>38.698300000000003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0.40467799999999998</c:v>
                </c:pt>
                <c:pt idx="2">
                  <c:v>0.81208000000000002</c:v>
                </c:pt>
                <c:pt idx="3">
                  <c:v>1.2195199999999999</c:v>
                </c:pt>
                <c:pt idx="4">
                  <c:v>1.6228199999999999</c:v>
                </c:pt>
                <c:pt idx="5">
                  <c:v>2.0276200000000002</c:v>
                </c:pt>
                <c:pt idx="6">
                  <c:v>2.4356599999999999</c:v>
                </c:pt>
                <c:pt idx="7">
                  <c:v>2.8413200000000001</c:v>
                </c:pt>
                <c:pt idx="8">
                  <c:v>3.24674</c:v>
                </c:pt>
                <c:pt idx="9">
                  <c:v>3.6567099999999999</c:v>
                </c:pt>
                <c:pt idx="10">
                  <c:v>4.0611300000000004</c:v>
                </c:pt>
                <c:pt idx="11">
                  <c:v>4.4680799999999996</c:v>
                </c:pt>
                <c:pt idx="12">
                  <c:v>4.8728100000000003</c:v>
                </c:pt>
                <c:pt idx="13">
                  <c:v>5.2787499999999996</c:v>
                </c:pt>
                <c:pt idx="14">
                  <c:v>5.6848200000000002</c:v>
                </c:pt>
                <c:pt idx="15">
                  <c:v>6.0929599999999997</c:v>
                </c:pt>
                <c:pt idx="16">
                  <c:v>6.5017300000000002</c:v>
                </c:pt>
                <c:pt idx="17">
                  <c:v>6.9022399999999999</c:v>
                </c:pt>
                <c:pt idx="18">
                  <c:v>7.30844</c:v>
                </c:pt>
                <c:pt idx="19">
                  <c:v>7.7182500000000003</c:v>
                </c:pt>
                <c:pt idx="20">
                  <c:v>8.12012</c:v>
                </c:pt>
                <c:pt idx="21">
                  <c:v>8.5291599999999992</c:v>
                </c:pt>
                <c:pt idx="22">
                  <c:v>8.9363200000000003</c:v>
                </c:pt>
                <c:pt idx="23">
                  <c:v>9.3441100000000006</c:v>
                </c:pt>
                <c:pt idx="24">
                  <c:v>9.7478899999999999</c:v>
                </c:pt>
                <c:pt idx="25">
                  <c:v>10.1546</c:v>
                </c:pt>
                <c:pt idx="26">
                  <c:v>10.559699999999999</c:v>
                </c:pt>
                <c:pt idx="27">
                  <c:v>10.9686</c:v>
                </c:pt>
                <c:pt idx="28">
                  <c:v>11.372400000000001</c:v>
                </c:pt>
                <c:pt idx="29">
                  <c:v>11.78</c:v>
                </c:pt>
                <c:pt idx="30">
                  <c:v>12.184799999999999</c:v>
                </c:pt>
                <c:pt idx="31">
                  <c:v>12.5907</c:v>
                </c:pt>
                <c:pt idx="32">
                  <c:v>12.9969</c:v>
                </c:pt>
                <c:pt idx="33">
                  <c:v>13.405799999999999</c:v>
                </c:pt>
                <c:pt idx="34">
                  <c:v>13.8104</c:v>
                </c:pt>
                <c:pt idx="35">
                  <c:v>14.2171</c:v>
                </c:pt>
                <c:pt idx="36">
                  <c:v>14.622400000000001</c:v>
                </c:pt>
                <c:pt idx="37">
                  <c:v>15.028</c:v>
                </c:pt>
                <c:pt idx="38">
                  <c:v>15.437799999999999</c:v>
                </c:pt>
                <c:pt idx="39">
                  <c:v>15.842599999999999</c:v>
                </c:pt>
                <c:pt idx="40">
                  <c:v>16.2471</c:v>
                </c:pt>
                <c:pt idx="41">
                  <c:v>16.652999999999999</c:v>
                </c:pt>
                <c:pt idx="42">
                  <c:v>17.063400000000001</c:v>
                </c:pt>
                <c:pt idx="43">
                  <c:v>17.468399999999999</c:v>
                </c:pt>
                <c:pt idx="44">
                  <c:v>17.871700000000001</c:v>
                </c:pt>
                <c:pt idx="45">
                  <c:v>18.278099999999998</c:v>
                </c:pt>
                <c:pt idx="46">
                  <c:v>18.685600000000001</c:v>
                </c:pt>
                <c:pt idx="47">
                  <c:v>19.090900000000001</c:v>
                </c:pt>
                <c:pt idx="48">
                  <c:v>19.498100000000001</c:v>
                </c:pt>
                <c:pt idx="49">
                  <c:v>19.9053</c:v>
                </c:pt>
                <c:pt idx="50">
                  <c:v>20.312000000000001</c:v>
                </c:pt>
                <c:pt idx="51">
                  <c:v>20.715599999999998</c:v>
                </c:pt>
                <c:pt idx="52">
                  <c:v>21.122499999999999</c:v>
                </c:pt>
                <c:pt idx="53">
                  <c:v>21.529900000000001</c:v>
                </c:pt>
                <c:pt idx="54">
                  <c:v>21.933900000000001</c:v>
                </c:pt>
                <c:pt idx="55">
                  <c:v>22.341999999999999</c:v>
                </c:pt>
                <c:pt idx="56">
                  <c:v>22.7454</c:v>
                </c:pt>
                <c:pt idx="57">
                  <c:v>23.153400000000001</c:v>
                </c:pt>
                <c:pt idx="58">
                  <c:v>23.559799999999999</c:v>
                </c:pt>
                <c:pt idx="59">
                  <c:v>23.967600000000001</c:v>
                </c:pt>
                <c:pt idx="60">
                  <c:v>24.371400000000001</c:v>
                </c:pt>
                <c:pt idx="61">
                  <c:v>24.780200000000001</c:v>
                </c:pt>
                <c:pt idx="62">
                  <c:v>25.1877</c:v>
                </c:pt>
                <c:pt idx="63">
                  <c:v>25.590599999999998</c:v>
                </c:pt>
                <c:pt idx="64">
                  <c:v>25.996300000000002</c:v>
                </c:pt>
                <c:pt idx="65">
                  <c:v>26.403400000000001</c:v>
                </c:pt>
                <c:pt idx="66">
                  <c:v>26.8123</c:v>
                </c:pt>
                <c:pt idx="67">
                  <c:v>27.215900000000001</c:v>
                </c:pt>
                <c:pt idx="68">
                  <c:v>27.6251</c:v>
                </c:pt>
                <c:pt idx="69">
                  <c:v>28.0304</c:v>
                </c:pt>
                <c:pt idx="70">
                  <c:v>28.435500000000001</c:v>
                </c:pt>
                <c:pt idx="71">
                  <c:v>28.843599999999999</c:v>
                </c:pt>
                <c:pt idx="72">
                  <c:v>29.248100000000001</c:v>
                </c:pt>
                <c:pt idx="73">
                  <c:v>29.654499999999999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59.154300000000006</c:v>
                </c:pt>
                <c:pt idx="1">
                  <c:v>58.235000000000007</c:v>
                </c:pt>
                <c:pt idx="2">
                  <c:v>57.332700000000003</c:v>
                </c:pt>
                <c:pt idx="3">
                  <c:v>56.3964</c:v>
                </c:pt>
                <c:pt idx="4">
                  <c:v>55.492699999999992</c:v>
                </c:pt>
                <c:pt idx="5">
                  <c:v>54.528500000000001</c:v>
                </c:pt>
                <c:pt idx="6">
                  <c:v>53.436099999999996</c:v>
                </c:pt>
                <c:pt idx="7">
                  <c:v>52.253899999999994</c:v>
                </c:pt>
                <c:pt idx="8">
                  <c:v>51.014099999999999</c:v>
                </c:pt>
                <c:pt idx="9">
                  <c:v>49.799399999999999</c:v>
                </c:pt>
                <c:pt idx="10">
                  <c:v>48.522500000000001</c:v>
                </c:pt>
                <c:pt idx="11">
                  <c:v>47.161799999999999</c:v>
                </c:pt>
                <c:pt idx="12">
                  <c:v>45.748699999999999</c:v>
                </c:pt>
                <c:pt idx="13">
                  <c:v>44.240600000000001</c:v>
                </c:pt>
                <c:pt idx="14">
                  <c:v>42.617199999999997</c:v>
                </c:pt>
                <c:pt idx="15">
                  <c:v>41.112500000000004</c:v>
                </c:pt>
                <c:pt idx="16">
                  <c:v>39.837299999999999</c:v>
                </c:pt>
                <c:pt idx="17">
                  <c:v>38.769599999999997</c:v>
                </c:pt>
                <c:pt idx="18">
                  <c:v>37.739200000000004</c:v>
                </c:pt>
                <c:pt idx="19">
                  <c:v>36.641800000000003</c:v>
                </c:pt>
                <c:pt idx="20">
                  <c:v>35.632100000000001</c:v>
                </c:pt>
                <c:pt idx="21">
                  <c:v>34.754600000000003</c:v>
                </c:pt>
                <c:pt idx="22">
                  <c:v>34.011200000000002</c:v>
                </c:pt>
                <c:pt idx="23">
                  <c:v>33.4163</c:v>
                </c:pt>
                <c:pt idx="24">
                  <c:v>32.972200000000001</c:v>
                </c:pt>
                <c:pt idx="25">
                  <c:v>32.6145</c:v>
                </c:pt>
                <c:pt idx="26">
                  <c:v>32.330300000000001</c:v>
                </c:pt>
                <c:pt idx="27">
                  <c:v>32.024500000000003</c:v>
                </c:pt>
                <c:pt idx="28">
                  <c:v>31.670100000000001</c:v>
                </c:pt>
                <c:pt idx="29">
                  <c:v>31.375299999999999</c:v>
                </c:pt>
                <c:pt idx="30">
                  <c:v>31.127100000000002</c:v>
                </c:pt>
                <c:pt idx="31">
                  <c:v>30.859199999999998</c:v>
                </c:pt>
                <c:pt idx="32">
                  <c:v>30.636000000000003</c:v>
                </c:pt>
                <c:pt idx="33">
                  <c:v>30.414600000000004</c:v>
                </c:pt>
                <c:pt idx="34">
                  <c:v>30.223699999999997</c:v>
                </c:pt>
                <c:pt idx="35">
                  <c:v>30.0639</c:v>
                </c:pt>
                <c:pt idx="36">
                  <c:v>29.895199999999999</c:v>
                </c:pt>
                <c:pt idx="37">
                  <c:v>29.8004</c:v>
                </c:pt>
                <c:pt idx="38">
                  <c:v>29.802899999999998</c:v>
                </c:pt>
                <c:pt idx="39">
                  <c:v>29.899799999999999</c:v>
                </c:pt>
                <c:pt idx="40">
                  <c:v>30.025000000000002</c:v>
                </c:pt>
                <c:pt idx="41">
                  <c:v>30.087199999999996</c:v>
                </c:pt>
                <c:pt idx="42">
                  <c:v>30.153200000000002</c:v>
                </c:pt>
                <c:pt idx="43">
                  <c:v>30.214099999999998</c:v>
                </c:pt>
                <c:pt idx="44">
                  <c:v>30.443300000000001</c:v>
                </c:pt>
                <c:pt idx="45">
                  <c:v>30.721500000000002</c:v>
                </c:pt>
                <c:pt idx="46">
                  <c:v>31.016899999999996</c:v>
                </c:pt>
                <c:pt idx="47">
                  <c:v>31.273499999999999</c:v>
                </c:pt>
                <c:pt idx="48">
                  <c:v>31.419799999999999</c:v>
                </c:pt>
                <c:pt idx="49">
                  <c:v>31.476700000000001</c:v>
                </c:pt>
                <c:pt idx="50">
                  <c:v>31.509399999999999</c:v>
                </c:pt>
                <c:pt idx="51">
                  <c:v>31.533000000000001</c:v>
                </c:pt>
                <c:pt idx="52">
                  <c:v>31.595600000000001</c:v>
                </c:pt>
                <c:pt idx="53">
                  <c:v>31.653100000000002</c:v>
                </c:pt>
                <c:pt idx="54">
                  <c:v>31.725100000000001</c:v>
                </c:pt>
                <c:pt idx="55">
                  <c:v>31.7743</c:v>
                </c:pt>
                <c:pt idx="56">
                  <c:v>31.819799999999997</c:v>
                </c:pt>
                <c:pt idx="57">
                  <c:v>31.797599999999999</c:v>
                </c:pt>
                <c:pt idx="58">
                  <c:v>31.837100000000003</c:v>
                </c:pt>
                <c:pt idx="59">
                  <c:v>31.841900000000003</c:v>
                </c:pt>
                <c:pt idx="60">
                  <c:v>31.797900000000002</c:v>
                </c:pt>
                <c:pt idx="61">
                  <c:v>31.694299999999998</c:v>
                </c:pt>
                <c:pt idx="62">
                  <c:v>31.613700000000001</c:v>
                </c:pt>
                <c:pt idx="63">
                  <c:v>31.563700000000001</c:v>
                </c:pt>
                <c:pt idx="64">
                  <c:v>31.3934</c:v>
                </c:pt>
                <c:pt idx="65">
                  <c:v>31.102600000000002</c:v>
                </c:pt>
                <c:pt idx="66">
                  <c:v>30.849799999999998</c:v>
                </c:pt>
                <c:pt idx="67">
                  <c:v>30.701800000000002</c:v>
                </c:pt>
                <c:pt idx="68">
                  <c:v>30.408200000000001</c:v>
                </c:pt>
                <c:pt idx="69">
                  <c:v>30.353999999999999</c:v>
                </c:pt>
                <c:pt idx="70">
                  <c:v>30.335600000000003</c:v>
                </c:pt>
                <c:pt idx="71">
                  <c:v>30.298399999999997</c:v>
                </c:pt>
                <c:pt idx="72">
                  <c:v>30.289700000000003</c:v>
                </c:pt>
                <c:pt idx="73">
                  <c:v>30.368000000000002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29.654499999999999</c:v>
                </c:pt>
                <c:pt idx="1">
                  <c:v>30.06</c:v>
                </c:pt>
                <c:pt idx="2">
                  <c:v>30.519200000000001</c:v>
                </c:pt>
                <c:pt idx="3">
                  <c:v>30.9252</c:v>
                </c:pt>
                <c:pt idx="4">
                  <c:v>31.3278</c:v>
                </c:pt>
                <c:pt idx="5">
                  <c:v>31.733000000000001</c:v>
                </c:pt>
                <c:pt idx="6">
                  <c:v>32.143000000000001</c:v>
                </c:pt>
                <c:pt idx="7">
                  <c:v>32.5473</c:v>
                </c:pt>
                <c:pt idx="8">
                  <c:v>32.952800000000003</c:v>
                </c:pt>
                <c:pt idx="9">
                  <c:v>33.357300000000002</c:v>
                </c:pt>
                <c:pt idx="10">
                  <c:v>33.763300000000001</c:v>
                </c:pt>
                <c:pt idx="11">
                  <c:v>34.171599999999998</c:v>
                </c:pt>
                <c:pt idx="12">
                  <c:v>34.581099999999999</c:v>
                </c:pt>
                <c:pt idx="13">
                  <c:v>34.983899999999998</c:v>
                </c:pt>
                <c:pt idx="14">
                  <c:v>35.39</c:v>
                </c:pt>
                <c:pt idx="15">
                  <c:v>35.794199999999996</c:v>
                </c:pt>
                <c:pt idx="16">
                  <c:v>36.200400000000002</c:v>
                </c:pt>
                <c:pt idx="17">
                  <c:v>36.607599999999998</c:v>
                </c:pt>
                <c:pt idx="18">
                  <c:v>37.0124</c:v>
                </c:pt>
                <c:pt idx="19">
                  <c:v>37.421700000000001</c:v>
                </c:pt>
                <c:pt idx="20">
                  <c:v>37.826700000000002</c:v>
                </c:pt>
                <c:pt idx="21">
                  <c:v>38.232500000000002</c:v>
                </c:pt>
                <c:pt idx="22">
                  <c:v>38.6389</c:v>
                </c:pt>
                <c:pt idx="23">
                  <c:v>39.046500000000002</c:v>
                </c:pt>
                <c:pt idx="24">
                  <c:v>39.4512</c:v>
                </c:pt>
                <c:pt idx="25">
                  <c:v>39.860999999999997</c:v>
                </c:pt>
                <c:pt idx="26">
                  <c:v>40.265099999999997</c:v>
                </c:pt>
                <c:pt idx="27">
                  <c:v>40.667900000000003</c:v>
                </c:pt>
                <c:pt idx="28">
                  <c:v>41.076700000000002</c:v>
                </c:pt>
                <c:pt idx="29">
                  <c:v>41.482300000000002</c:v>
                </c:pt>
                <c:pt idx="30">
                  <c:v>41.890900000000002</c:v>
                </c:pt>
                <c:pt idx="31">
                  <c:v>42.293999999999997</c:v>
                </c:pt>
                <c:pt idx="32">
                  <c:v>42.700299999999999</c:v>
                </c:pt>
                <c:pt idx="33">
                  <c:v>43.107599999999998</c:v>
                </c:pt>
                <c:pt idx="34">
                  <c:v>43.514299999999999</c:v>
                </c:pt>
                <c:pt idx="35">
                  <c:v>43.922199999999997</c:v>
                </c:pt>
                <c:pt idx="36">
                  <c:v>44.326900000000002</c:v>
                </c:pt>
                <c:pt idx="37">
                  <c:v>44.734200000000001</c:v>
                </c:pt>
                <c:pt idx="38">
                  <c:v>45.137</c:v>
                </c:pt>
                <c:pt idx="39">
                  <c:v>45.5473</c:v>
                </c:pt>
                <c:pt idx="40">
                  <c:v>45.9512</c:v>
                </c:pt>
                <c:pt idx="41">
                  <c:v>46.358400000000003</c:v>
                </c:pt>
                <c:pt idx="42">
                  <c:v>46.761600000000001</c:v>
                </c:pt>
                <c:pt idx="43">
                  <c:v>47.167099999999998</c:v>
                </c:pt>
                <c:pt idx="44">
                  <c:v>47.577199999999998</c:v>
                </c:pt>
                <c:pt idx="45">
                  <c:v>47.984299999999998</c:v>
                </c:pt>
                <c:pt idx="46">
                  <c:v>48.3874</c:v>
                </c:pt>
                <c:pt idx="47">
                  <c:v>48.794600000000003</c:v>
                </c:pt>
                <c:pt idx="48">
                  <c:v>49.198799999999999</c:v>
                </c:pt>
                <c:pt idx="49">
                  <c:v>49.607599999999998</c:v>
                </c:pt>
                <c:pt idx="50">
                  <c:v>50.013599999999997</c:v>
                </c:pt>
                <c:pt idx="51">
                  <c:v>50.4206</c:v>
                </c:pt>
                <c:pt idx="52">
                  <c:v>50.824300000000001</c:v>
                </c:pt>
                <c:pt idx="53">
                  <c:v>51.233600000000003</c:v>
                </c:pt>
                <c:pt idx="54">
                  <c:v>51.636499999999998</c:v>
                </c:pt>
                <c:pt idx="55">
                  <c:v>52.044699999999999</c:v>
                </c:pt>
                <c:pt idx="56">
                  <c:v>52.450200000000002</c:v>
                </c:pt>
                <c:pt idx="57">
                  <c:v>52.859900000000003</c:v>
                </c:pt>
                <c:pt idx="58">
                  <c:v>53.2669</c:v>
                </c:pt>
                <c:pt idx="59">
                  <c:v>53.6706</c:v>
                </c:pt>
                <c:pt idx="60">
                  <c:v>54.075899999999997</c:v>
                </c:pt>
                <c:pt idx="61">
                  <c:v>54.481699999999996</c:v>
                </c:pt>
                <c:pt idx="62">
                  <c:v>54.890300000000003</c:v>
                </c:pt>
                <c:pt idx="63">
                  <c:v>55.296999999999997</c:v>
                </c:pt>
                <c:pt idx="64">
                  <c:v>55.702100000000002</c:v>
                </c:pt>
                <c:pt idx="65">
                  <c:v>56.104999999999997</c:v>
                </c:pt>
                <c:pt idx="66">
                  <c:v>56.516199999999998</c:v>
                </c:pt>
                <c:pt idx="67">
                  <c:v>56.921399999999998</c:v>
                </c:pt>
                <c:pt idx="68">
                  <c:v>57.325899999999997</c:v>
                </c:pt>
                <c:pt idx="69">
                  <c:v>57.732799999999997</c:v>
                </c:pt>
                <c:pt idx="70">
                  <c:v>58.137799999999999</c:v>
                </c:pt>
                <c:pt idx="71">
                  <c:v>58.545200000000001</c:v>
                </c:pt>
                <c:pt idx="72">
                  <c:v>58.9542</c:v>
                </c:pt>
                <c:pt idx="73">
                  <c:v>59.356999999999999</c:v>
                </c:pt>
                <c:pt idx="74">
                  <c:v>59.7637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30.368000000000002</c:v>
                </c:pt>
                <c:pt idx="1">
                  <c:v>30.390899999999998</c:v>
                </c:pt>
                <c:pt idx="2">
                  <c:v>30.5334</c:v>
                </c:pt>
                <c:pt idx="3">
                  <c:v>30.6707</c:v>
                </c:pt>
                <c:pt idx="4">
                  <c:v>30.805700000000002</c:v>
                </c:pt>
                <c:pt idx="5">
                  <c:v>30.961499999999997</c:v>
                </c:pt>
                <c:pt idx="6">
                  <c:v>31.096699999999998</c:v>
                </c:pt>
                <c:pt idx="7">
                  <c:v>31.176900000000003</c:v>
                </c:pt>
                <c:pt idx="8">
                  <c:v>31.1983</c:v>
                </c:pt>
                <c:pt idx="9">
                  <c:v>31.186499999999999</c:v>
                </c:pt>
                <c:pt idx="10">
                  <c:v>31.174099999999999</c:v>
                </c:pt>
                <c:pt idx="11">
                  <c:v>31.204700000000003</c:v>
                </c:pt>
                <c:pt idx="12">
                  <c:v>31.2959</c:v>
                </c:pt>
                <c:pt idx="13">
                  <c:v>31.455499999999997</c:v>
                </c:pt>
                <c:pt idx="14">
                  <c:v>31.637599999999999</c:v>
                </c:pt>
                <c:pt idx="15">
                  <c:v>31.866399999999999</c:v>
                </c:pt>
                <c:pt idx="16">
                  <c:v>32.093800000000002</c:v>
                </c:pt>
                <c:pt idx="17">
                  <c:v>32.4771</c:v>
                </c:pt>
                <c:pt idx="18">
                  <c:v>32.992100000000001</c:v>
                </c:pt>
                <c:pt idx="19">
                  <c:v>33.589999999999996</c:v>
                </c:pt>
                <c:pt idx="20">
                  <c:v>34.161200000000001</c:v>
                </c:pt>
                <c:pt idx="21">
                  <c:v>34.633099999999999</c:v>
                </c:pt>
                <c:pt idx="22">
                  <c:v>35.090800000000002</c:v>
                </c:pt>
                <c:pt idx="23">
                  <c:v>35.543200000000006</c:v>
                </c:pt>
                <c:pt idx="24">
                  <c:v>36.004899999999999</c:v>
                </c:pt>
                <c:pt idx="25">
                  <c:v>36.4724</c:v>
                </c:pt>
                <c:pt idx="26">
                  <c:v>37.0443</c:v>
                </c:pt>
                <c:pt idx="27">
                  <c:v>37.684400000000004</c:v>
                </c:pt>
                <c:pt idx="28">
                  <c:v>38.254199999999997</c:v>
                </c:pt>
                <c:pt idx="29">
                  <c:v>38.853900000000003</c:v>
                </c:pt>
                <c:pt idx="30">
                  <c:v>39.317800000000005</c:v>
                </c:pt>
                <c:pt idx="31">
                  <c:v>39.7166</c:v>
                </c:pt>
                <c:pt idx="32">
                  <c:v>40.110700000000001</c:v>
                </c:pt>
                <c:pt idx="33">
                  <c:v>40.666000000000004</c:v>
                </c:pt>
                <c:pt idx="34">
                  <c:v>41.269500000000001</c:v>
                </c:pt>
                <c:pt idx="35">
                  <c:v>41.827300000000001</c:v>
                </c:pt>
                <c:pt idx="36">
                  <c:v>42.329599999999999</c:v>
                </c:pt>
                <c:pt idx="37">
                  <c:v>42.692799999999998</c:v>
                </c:pt>
                <c:pt idx="38">
                  <c:v>42.9313</c:v>
                </c:pt>
                <c:pt idx="39">
                  <c:v>43.046599999999998</c:v>
                </c:pt>
                <c:pt idx="40">
                  <c:v>43.062199999999997</c:v>
                </c:pt>
                <c:pt idx="41">
                  <c:v>43.069499999999998</c:v>
                </c:pt>
                <c:pt idx="42">
                  <c:v>43.119199999999999</c:v>
                </c:pt>
                <c:pt idx="43">
                  <c:v>43.131500000000003</c:v>
                </c:pt>
                <c:pt idx="44">
                  <c:v>43.139099999999999</c:v>
                </c:pt>
                <c:pt idx="45">
                  <c:v>43.039100000000005</c:v>
                </c:pt>
                <c:pt idx="46">
                  <c:v>42.791000000000004</c:v>
                </c:pt>
                <c:pt idx="47">
                  <c:v>42.518599999999999</c:v>
                </c:pt>
                <c:pt idx="48">
                  <c:v>42.278999999999996</c:v>
                </c:pt>
                <c:pt idx="49">
                  <c:v>42.110100000000003</c:v>
                </c:pt>
                <c:pt idx="50">
                  <c:v>41.913499999999999</c:v>
                </c:pt>
                <c:pt idx="51">
                  <c:v>41.9527</c:v>
                </c:pt>
                <c:pt idx="52">
                  <c:v>41.966999999999999</c:v>
                </c:pt>
                <c:pt idx="53">
                  <c:v>41.962200000000003</c:v>
                </c:pt>
                <c:pt idx="54">
                  <c:v>41.912500000000001</c:v>
                </c:pt>
                <c:pt idx="55">
                  <c:v>41.8431</c:v>
                </c:pt>
                <c:pt idx="56">
                  <c:v>41.797899999999998</c:v>
                </c:pt>
                <c:pt idx="57">
                  <c:v>41.747399999999999</c:v>
                </c:pt>
                <c:pt idx="58">
                  <c:v>41.608200000000004</c:v>
                </c:pt>
                <c:pt idx="59">
                  <c:v>41.446600000000004</c:v>
                </c:pt>
                <c:pt idx="60">
                  <c:v>41.3048</c:v>
                </c:pt>
                <c:pt idx="61">
                  <c:v>41.193999999999996</c:v>
                </c:pt>
                <c:pt idx="62">
                  <c:v>41.084099999999999</c:v>
                </c:pt>
                <c:pt idx="63">
                  <c:v>40.902799999999999</c:v>
                </c:pt>
                <c:pt idx="64">
                  <c:v>40.629100000000001</c:v>
                </c:pt>
                <c:pt idx="65">
                  <c:v>40.341700000000003</c:v>
                </c:pt>
                <c:pt idx="66">
                  <c:v>40.082799999999999</c:v>
                </c:pt>
                <c:pt idx="67">
                  <c:v>39.769300000000001</c:v>
                </c:pt>
                <c:pt idx="68">
                  <c:v>39.513100000000001</c:v>
                </c:pt>
                <c:pt idx="69">
                  <c:v>39.182099999999998</c:v>
                </c:pt>
                <c:pt idx="70">
                  <c:v>38.934100000000001</c:v>
                </c:pt>
                <c:pt idx="71">
                  <c:v>38.800200000000004</c:v>
                </c:pt>
                <c:pt idx="72">
                  <c:v>38.793799999999997</c:v>
                </c:pt>
                <c:pt idx="73">
                  <c:v>38.911799999999999</c:v>
                </c:pt>
                <c:pt idx="74">
                  <c:v>38.698300000000003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14.940925</c:v>
                </c:pt>
                <c:pt idx="1">
                  <c:v>44.822775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35.949289189189173</c:v>
                </c:pt>
                <c:pt idx="1">
                  <c:v>38.108254054054051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39.220100000000002</c:v>
                </c:pt>
                <c:pt idx="1">
                  <c:v>36.251600000000003</c:v>
                </c:pt>
                <c:pt idx="2">
                  <c:v>33.148899999999998</c:v>
                </c:pt>
                <c:pt idx="3">
                  <c:v>35.366399999999999</c:v>
                </c:pt>
                <c:pt idx="4">
                  <c:v>69.936000000000007</c:v>
                </c:pt>
                <c:pt idx="5">
                  <c:v>56.142699999999998</c:v>
                </c:pt>
                <c:pt idx="6">
                  <c:v>13.771100000000001</c:v>
                </c:pt>
                <c:pt idx="7">
                  <c:v>63.701999999999998</c:v>
                </c:pt>
                <c:pt idx="8">
                  <c:v>16.575500000000002</c:v>
                </c:pt>
                <c:pt idx="9">
                  <c:v>22.673400000000001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42.194099999999999</c:v>
                </c:pt>
                <c:pt idx="1">
                  <c:v>36.390099999999997</c:v>
                </c:pt>
                <c:pt idx="2">
                  <c:v>32.351599999999998</c:v>
                </c:pt>
                <c:pt idx="3">
                  <c:v>36.538800000000002</c:v>
                </c:pt>
                <c:pt idx="4">
                  <c:v>63.3919</c:v>
                </c:pt>
                <c:pt idx="5">
                  <c:v>61.999200000000002</c:v>
                </c:pt>
                <c:pt idx="6">
                  <c:v>19.081600000000002</c:v>
                </c:pt>
                <c:pt idx="7">
                  <c:v>61.468600000000002</c:v>
                </c:pt>
                <c:pt idx="8">
                  <c:v>16.173999999999999</c:v>
                </c:pt>
                <c:pt idx="9">
                  <c:v>26.050699999999999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0.4777800780496323</c:v>
                </c:pt>
                <c:pt idx="1">
                  <c:v>0.33796861584192528</c:v>
                </c:pt>
                <c:pt idx="2">
                  <c:v>0.18425130610844234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17855</c:v>
                </c:pt>
                <c:pt idx="7">
                  <c:v>0</c:v>
                </c:pt>
                <c:pt idx="8">
                  <c:v>19085</c:v>
                </c:pt>
                <c:pt idx="9">
                  <c:v>0</c:v>
                </c:pt>
                <c:pt idx="10">
                  <c:v>0</c:v>
                </c:pt>
                <c:pt idx="11">
                  <c:v>25139</c:v>
                </c:pt>
                <c:pt idx="12">
                  <c:v>0</c:v>
                </c:pt>
                <c:pt idx="13">
                  <c:v>32879</c:v>
                </c:pt>
                <c:pt idx="14">
                  <c:v>0</c:v>
                </c:pt>
                <c:pt idx="15">
                  <c:v>0</c:v>
                </c:pt>
                <c:pt idx="16">
                  <c:v>31659</c:v>
                </c:pt>
                <c:pt idx="17">
                  <c:v>0</c:v>
                </c:pt>
                <c:pt idx="18">
                  <c:v>0</c:v>
                </c:pt>
                <c:pt idx="19">
                  <c:v>31765</c:v>
                </c:pt>
                <c:pt idx="20">
                  <c:v>0</c:v>
                </c:pt>
                <c:pt idx="21">
                  <c:v>34054</c:v>
                </c:pt>
                <c:pt idx="22">
                  <c:v>0</c:v>
                </c:pt>
                <c:pt idx="23">
                  <c:v>0</c:v>
                </c:pt>
                <c:pt idx="24">
                  <c:v>33057</c:v>
                </c:pt>
                <c:pt idx="25">
                  <c:v>0</c:v>
                </c:pt>
                <c:pt idx="26">
                  <c:v>34193</c:v>
                </c:pt>
                <c:pt idx="27">
                  <c:v>0</c:v>
                </c:pt>
                <c:pt idx="28">
                  <c:v>0</c:v>
                </c:pt>
                <c:pt idx="29">
                  <c:v>34919</c:v>
                </c:pt>
                <c:pt idx="30">
                  <c:v>0</c:v>
                </c:pt>
                <c:pt idx="31">
                  <c:v>36917</c:v>
                </c:pt>
                <c:pt idx="32">
                  <c:v>0</c:v>
                </c:pt>
                <c:pt idx="33">
                  <c:v>0</c:v>
                </c:pt>
                <c:pt idx="34">
                  <c:v>38352</c:v>
                </c:pt>
                <c:pt idx="35">
                  <c:v>0</c:v>
                </c:pt>
                <c:pt idx="36">
                  <c:v>0</c:v>
                </c:pt>
                <c:pt idx="37">
                  <c:v>38338</c:v>
                </c:pt>
                <c:pt idx="38">
                  <c:v>0</c:v>
                </c:pt>
                <c:pt idx="39">
                  <c:v>41267</c:v>
                </c:pt>
                <c:pt idx="40">
                  <c:v>0</c:v>
                </c:pt>
                <c:pt idx="41">
                  <c:v>0</c:v>
                </c:pt>
                <c:pt idx="42">
                  <c:v>37760</c:v>
                </c:pt>
                <c:pt idx="43">
                  <c:v>0</c:v>
                </c:pt>
                <c:pt idx="44">
                  <c:v>37290</c:v>
                </c:pt>
                <c:pt idx="45">
                  <c:v>0</c:v>
                </c:pt>
                <c:pt idx="46">
                  <c:v>0</c:v>
                </c:pt>
                <c:pt idx="47">
                  <c:v>38180</c:v>
                </c:pt>
                <c:pt idx="48">
                  <c:v>0</c:v>
                </c:pt>
                <c:pt idx="49">
                  <c:v>40912</c:v>
                </c:pt>
                <c:pt idx="50">
                  <c:v>0</c:v>
                </c:pt>
                <c:pt idx="51">
                  <c:v>0</c:v>
                </c:pt>
                <c:pt idx="52">
                  <c:v>38179</c:v>
                </c:pt>
                <c:pt idx="53">
                  <c:v>0</c:v>
                </c:pt>
                <c:pt idx="54">
                  <c:v>0</c:v>
                </c:pt>
                <c:pt idx="55">
                  <c:v>40130</c:v>
                </c:pt>
                <c:pt idx="56">
                  <c:v>0</c:v>
                </c:pt>
                <c:pt idx="57">
                  <c:v>39920</c:v>
                </c:pt>
                <c:pt idx="58">
                  <c:v>0</c:v>
                </c:pt>
                <c:pt idx="59">
                  <c:v>0</c:v>
                </c:pt>
                <c:pt idx="60">
                  <c:v>38877</c:v>
                </c:pt>
                <c:pt idx="61">
                  <c:v>0</c:v>
                </c:pt>
                <c:pt idx="62">
                  <c:v>36372</c:v>
                </c:pt>
                <c:pt idx="63">
                  <c:v>0</c:v>
                </c:pt>
                <c:pt idx="64">
                  <c:v>0</c:v>
                </c:pt>
                <c:pt idx="65">
                  <c:v>42496</c:v>
                </c:pt>
                <c:pt idx="66">
                  <c:v>0</c:v>
                </c:pt>
                <c:pt idx="67">
                  <c:v>44298</c:v>
                </c:pt>
                <c:pt idx="68">
                  <c:v>0</c:v>
                </c:pt>
                <c:pt idx="69">
                  <c:v>0</c:v>
                </c:pt>
                <c:pt idx="70">
                  <c:v>46284</c:v>
                </c:pt>
                <c:pt idx="71">
                  <c:v>0</c:v>
                </c:pt>
                <c:pt idx="72">
                  <c:v>0</c:v>
                </c:pt>
                <c:pt idx="73">
                  <c:v>43514</c:v>
                </c:pt>
                <c:pt idx="74">
                  <c:v>0</c:v>
                </c:pt>
                <c:pt idx="75">
                  <c:v>39520</c:v>
                </c:pt>
                <c:pt idx="76">
                  <c:v>0</c:v>
                </c:pt>
                <c:pt idx="77">
                  <c:v>0</c:v>
                </c:pt>
                <c:pt idx="78">
                  <c:v>41549</c:v>
                </c:pt>
                <c:pt idx="79">
                  <c:v>0</c:v>
                </c:pt>
                <c:pt idx="80">
                  <c:v>39685</c:v>
                </c:pt>
                <c:pt idx="81">
                  <c:v>0</c:v>
                </c:pt>
                <c:pt idx="82">
                  <c:v>0</c:v>
                </c:pt>
                <c:pt idx="83">
                  <c:v>39829</c:v>
                </c:pt>
                <c:pt idx="84">
                  <c:v>0</c:v>
                </c:pt>
                <c:pt idx="85">
                  <c:v>0</c:v>
                </c:pt>
                <c:pt idx="86">
                  <c:v>34839</c:v>
                </c:pt>
                <c:pt idx="87">
                  <c:v>0</c:v>
                </c:pt>
                <c:pt idx="88">
                  <c:v>35129</c:v>
                </c:pt>
                <c:pt idx="89">
                  <c:v>0</c:v>
                </c:pt>
                <c:pt idx="90">
                  <c:v>0</c:v>
                </c:pt>
                <c:pt idx="91">
                  <c:v>34198</c:v>
                </c:pt>
                <c:pt idx="92">
                  <c:v>0</c:v>
                </c:pt>
                <c:pt idx="93">
                  <c:v>33969</c:v>
                </c:pt>
                <c:pt idx="94">
                  <c:v>0</c:v>
                </c:pt>
                <c:pt idx="95">
                  <c:v>0</c:v>
                </c:pt>
                <c:pt idx="96">
                  <c:v>31908</c:v>
                </c:pt>
                <c:pt idx="97">
                  <c:v>0</c:v>
                </c:pt>
                <c:pt idx="98">
                  <c:v>31307</c:v>
                </c:pt>
                <c:pt idx="99">
                  <c:v>0</c:v>
                </c:pt>
                <c:pt idx="100">
                  <c:v>0</c:v>
                </c:pt>
                <c:pt idx="101">
                  <c:v>27447</c:v>
                </c:pt>
                <c:pt idx="102">
                  <c:v>0</c:v>
                </c:pt>
                <c:pt idx="103">
                  <c:v>0</c:v>
                </c:pt>
                <c:pt idx="104">
                  <c:v>20563</c:v>
                </c:pt>
                <c:pt idx="105">
                  <c:v>0</c:v>
                </c:pt>
                <c:pt idx="106">
                  <c:v>17755</c:v>
                </c:pt>
                <c:pt idx="107">
                  <c:v>0</c:v>
                </c:pt>
                <c:pt idx="108">
                  <c:v>0</c:v>
                </c:pt>
                <c:pt idx="109">
                  <c:v>14962</c:v>
                </c:pt>
                <c:pt idx="110">
                  <c:v>0</c:v>
                </c:pt>
                <c:pt idx="111">
                  <c:v>14113</c:v>
                </c:pt>
                <c:pt idx="112">
                  <c:v>0</c:v>
                </c:pt>
                <c:pt idx="113">
                  <c:v>0</c:v>
                </c:pt>
                <c:pt idx="114">
                  <c:v>12599</c:v>
                </c:pt>
                <c:pt idx="115">
                  <c:v>0</c:v>
                </c:pt>
                <c:pt idx="116">
                  <c:v>11246</c:v>
                </c:pt>
                <c:pt idx="117">
                  <c:v>0</c:v>
                </c:pt>
                <c:pt idx="118">
                  <c:v>0</c:v>
                </c:pt>
                <c:pt idx="119">
                  <c:v>11517</c:v>
                </c:pt>
                <c:pt idx="120">
                  <c:v>0</c:v>
                </c:pt>
                <c:pt idx="121">
                  <c:v>0</c:v>
                </c:pt>
                <c:pt idx="122">
                  <c:v>8932</c:v>
                </c:pt>
                <c:pt idx="123">
                  <c:v>0</c:v>
                </c:pt>
                <c:pt idx="124">
                  <c:v>9152</c:v>
                </c:pt>
                <c:pt idx="125">
                  <c:v>0</c:v>
                </c:pt>
                <c:pt idx="126">
                  <c:v>0</c:v>
                </c:pt>
                <c:pt idx="127">
                  <c:v>10352</c:v>
                </c:pt>
                <c:pt idx="128">
                  <c:v>0</c:v>
                </c:pt>
                <c:pt idx="129">
                  <c:v>9391</c:v>
                </c:pt>
                <c:pt idx="130">
                  <c:v>0</c:v>
                </c:pt>
                <c:pt idx="131">
                  <c:v>0</c:v>
                </c:pt>
                <c:pt idx="132">
                  <c:v>8711</c:v>
                </c:pt>
                <c:pt idx="133">
                  <c:v>0</c:v>
                </c:pt>
                <c:pt idx="134">
                  <c:v>9237</c:v>
                </c:pt>
                <c:pt idx="135">
                  <c:v>0</c:v>
                </c:pt>
                <c:pt idx="136">
                  <c:v>0</c:v>
                </c:pt>
                <c:pt idx="137">
                  <c:v>7157</c:v>
                </c:pt>
                <c:pt idx="138">
                  <c:v>0</c:v>
                </c:pt>
                <c:pt idx="139">
                  <c:v>0</c:v>
                </c:pt>
                <c:pt idx="140">
                  <c:v>5736</c:v>
                </c:pt>
                <c:pt idx="141">
                  <c:v>0</c:v>
                </c:pt>
                <c:pt idx="142">
                  <c:v>5680</c:v>
                </c:pt>
                <c:pt idx="143">
                  <c:v>0</c:v>
                </c:pt>
                <c:pt idx="144">
                  <c:v>0</c:v>
                </c:pt>
                <c:pt idx="145">
                  <c:v>6387</c:v>
                </c:pt>
                <c:pt idx="146">
                  <c:v>0</c:v>
                </c:pt>
                <c:pt idx="147">
                  <c:v>4911</c:v>
                </c:pt>
                <c:pt idx="148">
                  <c:v>0</c:v>
                </c:pt>
                <c:pt idx="149">
                  <c:v>0</c:v>
                </c:pt>
                <c:pt idx="150">
                  <c:v>5879</c:v>
                </c:pt>
                <c:pt idx="151">
                  <c:v>0</c:v>
                </c:pt>
                <c:pt idx="152">
                  <c:v>6677</c:v>
                </c:pt>
                <c:pt idx="153">
                  <c:v>0</c:v>
                </c:pt>
                <c:pt idx="154">
                  <c:v>0</c:v>
                </c:pt>
                <c:pt idx="155">
                  <c:v>4973</c:v>
                </c:pt>
                <c:pt idx="156">
                  <c:v>0</c:v>
                </c:pt>
                <c:pt idx="157">
                  <c:v>0</c:v>
                </c:pt>
                <c:pt idx="158">
                  <c:v>4448</c:v>
                </c:pt>
                <c:pt idx="159">
                  <c:v>0</c:v>
                </c:pt>
                <c:pt idx="160">
                  <c:v>3388</c:v>
                </c:pt>
                <c:pt idx="161">
                  <c:v>0</c:v>
                </c:pt>
                <c:pt idx="162">
                  <c:v>0</c:v>
                </c:pt>
                <c:pt idx="163">
                  <c:v>2646</c:v>
                </c:pt>
                <c:pt idx="164">
                  <c:v>0</c:v>
                </c:pt>
                <c:pt idx="165">
                  <c:v>3138</c:v>
                </c:pt>
                <c:pt idx="166">
                  <c:v>0</c:v>
                </c:pt>
                <c:pt idx="167">
                  <c:v>0</c:v>
                </c:pt>
                <c:pt idx="168">
                  <c:v>2245</c:v>
                </c:pt>
                <c:pt idx="169">
                  <c:v>0</c:v>
                </c:pt>
                <c:pt idx="170">
                  <c:v>0</c:v>
                </c:pt>
                <c:pt idx="171">
                  <c:v>1762</c:v>
                </c:pt>
                <c:pt idx="172">
                  <c:v>0</c:v>
                </c:pt>
                <c:pt idx="173">
                  <c:v>1064</c:v>
                </c:pt>
                <c:pt idx="174">
                  <c:v>0</c:v>
                </c:pt>
                <c:pt idx="175">
                  <c:v>0</c:v>
                </c:pt>
                <c:pt idx="176">
                  <c:v>593</c:v>
                </c:pt>
                <c:pt idx="177">
                  <c:v>0</c:v>
                </c:pt>
                <c:pt idx="178">
                  <c:v>267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5104</c:v>
                </c:pt>
                <c:pt idx="7">
                  <c:v>0</c:v>
                </c:pt>
                <c:pt idx="8">
                  <c:v>6811</c:v>
                </c:pt>
                <c:pt idx="9">
                  <c:v>0</c:v>
                </c:pt>
                <c:pt idx="10">
                  <c:v>0</c:v>
                </c:pt>
                <c:pt idx="11">
                  <c:v>12458</c:v>
                </c:pt>
                <c:pt idx="12">
                  <c:v>0</c:v>
                </c:pt>
                <c:pt idx="13">
                  <c:v>15691</c:v>
                </c:pt>
                <c:pt idx="14">
                  <c:v>0</c:v>
                </c:pt>
                <c:pt idx="15">
                  <c:v>0</c:v>
                </c:pt>
                <c:pt idx="16">
                  <c:v>18090</c:v>
                </c:pt>
                <c:pt idx="17">
                  <c:v>0</c:v>
                </c:pt>
                <c:pt idx="18">
                  <c:v>0</c:v>
                </c:pt>
                <c:pt idx="19">
                  <c:v>22918</c:v>
                </c:pt>
                <c:pt idx="20">
                  <c:v>0</c:v>
                </c:pt>
                <c:pt idx="21">
                  <c:v>25788</c:v>
                </c:pt>
                <c:pt idx="22">
                  <c:v>0</c:v>
                </c:pt>
                <c:pt idx="23">
                  <c:v>0</c:v>
                </c:pt>
                <c:pt idx="24">
                  <c:v>28224</c:v>
                </c:pt>
                <c:pt idx="25">
                  <c:v>0</c:v>
                </c:pt>
                <c:pt idx="26">
                  <c:v>28663</c:v>
                </c:pt>
                <c:pt idx="27">
                  <c:v>0</c:v>
                </c:pt>
                <c:pt idx="28">
                  <c:v>0</c:v>
                </c:pt>
                <c:pt idx="29">
                  <c:v>29530</c:v>
                </c:pt>
                <c:pt idx="30">
                  <c:v>0</c:v>
                </c:pt>
                <c:pt idx="31">
                  <c:v>27392</c:v>
                </c:pt>
                <c:pt idx="32">
                  <c:v>0</c:v>
                </c:pt>
                <c:pt idx="33">
                  <c:v>0</c:v>
                </c:pt>
                <c:pt idx="34">
                  <c:v>28829</c:v>
                </c:pt>
                <c:pt idx="35">
                  <c:v>0</c:v>
                </c:pt>
                <c:pt idx="36">
                  <c:v>0</c:v>
                </c:pt>
                <c:pt idx="37">
                  <c:v>30359</c:v>
                </c:pt>
                <c:pt idx="38">
                  <c:v>0</c:v>
                </c:pt>
                <c:pt idx="39">
                  <c:v>33915</c:v>
                </c:pt>
                <c:pt idx="40">
                  <c:v>0</c:v>
                </c:pt>
                <c:pt idx="41">
                  <c:v>0</c:v>
                </c:pt>
                <c:pt idx="42">
                  <c:v>35689</c:v>
                </c:pt>
                <c:pt idx="43">
                  <c:v>0</c:v>
                </c:pt>
                <c:pt idx="44">
                  <c:v>37111</c:v>
                </c:pt>
                <c:pt idx="45">
                  <c:v>0</c:v>
                </c:pt>
                <c:pt idx="46">
                  <c:v>0</c:v>
                </c:pt>
                <c:pt idx="47">
                  <c:v>37907</c:v>
                </c:pt>
                <c:pt idx="48">
                  <c:v>0</c:v>
                </c:pt>
                <c:pt idx="49">
                  <c:v>39038</c:v>
                </c:pt>
                <c:pt idx="50">
                  <c:v>0</c:v>
                </c:pt>
                <c:pt idx="51">
                  <c:v>0</c:v>
                </c:pt>
                <c:pt idx="52">
                  <c:v>39519</c:v>
                </c:pt>
                <c:pt idx="53">
                  <c:v>0</c:v>
                </c:pt>
                <c:pt idx="54">
                  <c:v>0</c:v>
                </c:pt>
                <c:pt idx="55">
                  <c:v>42814</c:v>
                </c:pt>
                <c:pt idx="56">
                  <c:v>0</c:v>
                </c:pt>
                <c:pt idx="57">
                  <c:v>41102</c:v>
                </c:pt>
                <c:pt idx="58">
                  <c:v>0</c:v>
                </c:pt>
                <c:pt idx="59">
                  <c:v>0</c:v>
                </c:pt>
                <c:pt idx="60">
                  <c:v>42064</c:v>
                </c:pt>
                <c:pt idx="61">
                  <c:v>0</c:v>
                </c:pt>
                <c:pt idx="62">
                  <c:v>51418</c:v>
                </c:pt>
                <c:pt idx="63">
                  <c:v>0</c:v>
                </c:pt>
                <c:pt idx="64">
                  <c:v>0</c:v>
                </c:pt>
                <c:pt idx="65">
                  <c:v>52523</c:v>
                </c:pt>
                <c:pt idx="66">
                  <c:v>0</c:v>
                </c:pt>
                <c:pt idx="67">
                  <c:v>57210</c:v>
                </c:pt>
                <c:pt idx="68">
                  <c:v>0</c:v>
                </c:pt>
                <c:pt idx="69">
                  <c:v>0</c:v>
                </c:pt>
                <c:pt idx="70">
                  <c:v>56475</c:v>
                </c:pt>
                <c:pt idx="71">
                  <c:v>0</c:v>
                </c:pt>
                <c:pt idx="72">
                  <c:v>0</c:v>
                </c:pt>
                <c:pt idx="73">
                  <c:v>60057</c:v>
                </c:pt>
                <c:pt idx="74">
                  <c:v>0</c:v>
                </c:pt>
                <c:pt idx="75">
                  <c:v>67186</c:v>
                </c:pt>
                <c:pt idx="76">
                  <c:v>0</c:v>
                </c:pt>
                <c:pt idx="77">
                  <c:v>0</c:v>
                </c:pt>
                <c:pt idx="78">
                  <c:v>78580</c:v>
                </c:pt>
                <c:pt idx="79">
                  <c:v>0</c:v>
                </c:pt>
                <c:pt idx="80">
                  <c:v>84616</c:v>
                </c:pt>
                <c:pt idx="81">
                  <c:v>0</c:v>
                </c:pt>
                <c:pt idx="82">
                  <c:v>0</c:v>
                </c:pt>
                <c:pt idx="83">
                  <c:v>84880</c:v>
                </c:pt>
                <c:pt idx="84">
                  <c:v>0</c:v>
                </c:pt>
                <c:pt idx="85">
                  <c:v>0</c:v>
                </c:pt>
                <c:pt idx="86">
                  <c:v>83634</c:v>
                </c:pt>
                <c:pt idx="87">
                  <c:v>0</c:v>
                </c:pt>
                <c:pt idx="88">
                  <c:v>88790</c:v>
                </c:pt>
                <c:pt idx="89">
                  <c:v>0</c:v>
                </c:pt>
                <c:pt idx="90">
                  <c:v>0</c:v>
                </c:pt>
                <c:pt idx="91">
                  <c:v>86174</c:v>
                </c:pt>
                <c:pt idx="92">
                  <c:v>0</c:v>
                </c:pt>
                <c:pt idx="93">
                  <c:v>86525</c:v>
                </c:pt>
                <c:pt idx="94">
                  <c:v>0</c:v>
                </c:pt>
                <c:pt idx="95">
                  <c:v>0</c:v>
                </c:pt>
                <c:pt idx="96">
                  <c:v>87061</c:v>
                </c:pt>
                <c:pt idx="97">
                  <c:v>0</c:v>
                </c:pt>
                <c:pt idx="98">
                  <c:v>76988</c:v>
                </c:pt>
                <c:pt idx="99">
                  <c:v>0</c:v>
                </c:pt>
                <c:pt idx="100">
                  <c:v>0</c:v>
                </c:pt>
                <c:pt idx="101">
                  <c:v>70600</c:v>
                </c:pt>
                <c:pt idx="102">
                  <c:v>0</c:v>
                </c:pt>
                <c:pt idx="103">
                  <c:v>0</c:v>
                </c:pt>
                <c:pt idx="104">
                  <c:v>68985</c:v>
                </c:pt>
                <c:pt idx="105">
                  <c:v>0</c:v>
                </c:pt>
                <c:pt idx="106">
                  <c:v>60990</c:v>
                </c:pt>
                <c:pt idx="107">
                  <c:v>0</c:v>
                </c:pt>
                <c:pt idx="108">
                  <c:v>0</c:v>
                </c:pt>
                <c:pt idx="109">
                  <c:v>51937</c:v>
                </c:pt>
                <c:pt idx="110">
                  <c:v>0</c:v>
                </c:pt>
                <c:pt idx="111">
                  <c:v>50587</c:v>
                </c:pt>
                <c:pt idx="112">
                  <c:v>0</c:v>
                </c:pt>
                <c:pt idx="113">
                  <c:v>0</c:v>
                </c:pt>
                <c:pt idx="114">
                  <c:v>46011</c:v>
                </c:pt>
                <c:pt idx="115">
                  <c:v>0</c:v>
                </c:pt>
                <c:pt idx="116">
                  <c:v>37458</c:v>
                </c:pt>
                <c:pt idx="117">
                  <c:v>0</c:v>
                </c:pt>
                <c:pt idx="118">
                  <c:v>0</c:v>
                </c:pt>
                <c:pt idx="119">
                  <c:v>36819</c:v>
                </c:pt>
                <c:pt idx="120">
                  <c:v>0</c:v>
                </c:pt>
                <c:pt idx="121">
                  <c:v>0</c:v>
                </c:pt>
                <c:pt idx="122">
                  <c:v>30841</c:v>
                </c:pt>
                <c:pt idx="123">
                  <c:v>0</c:v>
                </c:pt>
                <c:pt idx="124">
                  <c:v>25754</c:v>
                </c:pt>
                <c:pt idx="125">
                  <c:v>0</c:v>
                </c:pt>
                <c:pt idx="126">
                  <c:v>0</c:v>
                </c:pt>
                <c:pt idx="127">
                  <c:v>22296</c:v>
                </c:pt>
                <c:pt idx="128">
                  <c:v>0</c:v>
                </c:pt>
                <c:pt idx="129">
                  <c:v>23218</c:v>
                </c:pt>
                <c:pt idx="130">
                  <c:v>0</c:v>
                </c:pt>
                <c:pt idx="131">
                  <c:v>0</c:v>
                </c:pt>
                <c:pt idx="132">
                  <c:v>20372</c:v>
                </c:pt>
                <c:pt idx="133">
                  <c:v>0</c:v>
                </c:pt>
                <c:pt idx="134">
                  <c:v>20725</c:v>
                </c:pt>
                <c:pt idx="135">
                  <c:v>0</c:v>
                </c:pt>
                <c:pt idx="136">
                  <c:v>0</c:v>
                </c:pt>
                <c:pt idx="137">
                  <c:v>19910</c:v>
                </c:pt>
                <c:pt idx="138">
                  <c:v>0</c:v>
                </c:pt>
                <c:pt idx="139">
                  <c:v>0</c:v>
                </c:pt>
                <c:pt idx="140">
                  <c:v>18184</c:v>
                </c:pt>
                <c:pt idx="141">
                  <c:v>0</c:v>
                </c:pt>
                <c:pt idx="142">
                  <c:v>17255</c:v>
                </c:pt>
                <c:pt idx="143">
                  <c:v>0</c:v>
                </c:pt>
                <c:pt idx="144">
                  <c:v>0</c:v>
                </c:pt>
                <c:pt idx="145">
                  <c:v>15370</c:v>
                </c:pt>
                <c:pt idx="146">
                  <c:v>0</c:v>
                </c:pt>
                <c:pt idx="147">
                  <c:v>15694</c:v>
                </c:pt>
                <c:pt idx="148">
                  <c:v>0</c:v>
                </c:pt>
                <c:pt idx="149">
                  <c:v>0</c:v>
                </c:pt>
                <c:pt idx="150">
                  <c:v>12786</c:v>
                </c:pt>
                <c:pt idx="151">
                  <c:v>0</c:v>
                </c:pt>
                <c:pt idx="152">
                  <c:v>9807</c:v>
                </c:pt>
                <c:pt idx="153">
                  <c:v>0</c:v>
                </c:pt>
                <c:pt idx="154">
                  <c:v>0</c:v>
                </c:pt>
                <c:pt idx="155">
                  <c:v>4609</c:v>
                </c:pt>
                <c:pt idx="156">
                  <c:v>0</c:v>
                </c:pt>
                <c:pt idx="157">
                  <c:v>0</c:v>
                </c:pt>
                <c:pt idx="158">
                  <c:v>4155</c:v>
                </c:pt>
                <c:pt idx="159">
                  <c:v>0</c:v>
                </c:pt>
                <c:pt idx="160">
                  <c:v>4179</c:v>
                </c:pt>
                <c:pt idx="161">
                  <c:v>0</c:v>
                </c:pt>
                <c:pt idx="162">
                  <c:v>0</c:v>
                </c:pt>
                <c:pt idx="163">
                  <c:v>3639</c:v>
                </c:pt>
                <c:pt idx="164">
                  <c:v>0</c:v>
                </c:pt>
                <c:pt idx="165">
                  <c:v>1992</c:v>
                </c:pt>
                <c:pt idx="166">
                  <c:v>0</c:v>
                </c:pt>
                <c:pt idx="167">
                  <c:v>0</c:v>
                </c:pt>
                <c:pt idx="168">
                  <c:v>1692</c:v>
                </c:pt>
                <c:pt idx="169">
                  <c:v>0</c:v>
                </c:pt>
                <c:pt idx="170">
                  <c:v>0</c:v>
                </c:pt>
                <c:pt idx="171">
                  <c:v>382</c:v>
                </c:pt>
                <c:pt idx="172">
                  <c:v>0</c:v>
                </c:pt>
                <c:pt idx="173">
                  <c:v>626</c:v>
                </c:pt>
                <c:pt idx="174">
                  <c:v>0</c:v>
                </c:pt>
                <c:pt idx="175">
                  <c:v>0</c:v>
                </c:pt>
                <c:pt idx="176">
                  <c:v>292</c:v>
                </c:pt>
                <c:pt idx="177">
                  <c:v>0</c:v>
                </c:pt>
                <c:pt idx="178">
                  <c:v>180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0.24247454961485126</c:v>
                </c:pt>
                <c:pt idx="1">
                  <c:v>0.31277926972870562</c:v>
                </c:pt>
                <c:pt idx="2">
                  <c:v>0.44474618065644311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0.47033025910023013</c:v>
                </c:pt>
                <c:pt idx="1">
                  <c:v>0.33680357863479932</c:v>
                </c:pt>
                <c:pt idx="2">
                  <c:v>0.1928661622649705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7.0490950000000003</c:v>
                </c:pt>
                <c:pt idx="1">
                  <c:v>7.4668574999999997</c:v>
                </c:pt>
                <c:pt idx="2">
                  <c:v>21.559899999999999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0.40467799999999998</c:v>
                </c:pt>
                <c:pt idx="2">
                  <c:v>0.81208000000000002</c:v>
                </c:pt>
                <c:pt idx="3">
                  <c:v>1.2195199999999999</c:v>
                </c:pt>
                <c:pt idx="4">
                  <c:v>1.6228199999999999</c:v>
                </c:pt>
                <c:pt idx="5">
                  <c:v>2.0276200000000002</c:v>
                </c:pt>
                <c:pt idx="6">
                  <c:v>2.4356599999999999</c:v>
                </c:pt>
                <c:pt idx="7">
                  <c:v>2.8413200000000001</c:v>
                </c:pt>
                <c:pt idx="8">
                  <c:v>3.24674</c:v>
                </c:pt>
                <c:pt idx="9">
                  <c:v>3.6567099999999999</c:v>
                </c:pt>
                <c:pt idx="10">
                  <c:v>4.0611300000000004</c:v>
                </c:pt>
                <c:pt idx="11">
                  <c:v>4.4680799999999996</c:v>
                </c:pt>
                <c:pt idx="12">
                  <c:v>4.8728100000000003</c:v>
                </c:pt>
                <c:pt idx="13">
                  <c:v>5.2787499999999996</c:v>
                </c:pt>
                <c:pt idx="14">
                  <c:v>5.6848200000000002</c:v>
                </c:pt>
                <c:pt idx="15">
                  <c:v>6.0929599999999997</c:v>
                </c:pt>
                <c:pt idx="16">
                  <c:v>6.5017300000000002</c:v>
                </c:pt>
                <c:pt idx="17">
                  <c:v>6.9022399999999999</c:v>
                </c:pt>
                <c:pt idx="18">
                  <c:v>7.30844</c:v>
                </c:pt>
                <c:pt idx="19">
                  <c:v>7.7182500000000003</c:v>
                </c:pt>
                <c:pt idx="20">
                  <c:v>8.12012</c:v>
                </c:pt>
                <c:pt idx="21">
                  <c:v>8.5291599999999992</c:v>
                </c:pt>
                <c:pt idx="22">
                  <c:v>8.9363200000000003</c:v>
                </c:pt>
                <c:pt idx="23">
                  <c:v>9.3441100000000006</c:v>
                </c:pt>
                <c:pt idx="24">
                  <c:v>9.7478899999999999</c:v>
                </c:pt>
                <c:pt idx="25">
                  <c:v>10.1546</c:v>
                </c:pt>
                <c:pt idx="26">
                  <c:v>10.559699999999999</c:v>
                </c:pt>
                <c:pt idx="27">
                  <c:v>10.9686</c:v>
                </c:pt>
                <c:pt idx="28">
                  <c:v>11.372400000000001</c:v>
                </c:pt>
                <c:pt idx="29">
                  <c:v>11.78</c:v>
                </c:pt>
                <c:pt idx="30">
                  <c:v>12.184799999999999</c:v>
                </c:pt>
                <c:pt idx="31">
                  <c:v>12.5907</c:v>
                </c:pt>
                <c:pt idx="32">
                  <c:v>12.9969</c:v>
                </c:pt>
                <c:pt idx="33">
                  <c:v>13.405799999999999</c:v>
                </c:pt>
                <c:pt idx="34">
                  <c:v>13.8104</c:v>
                </c:pt>
                <c:pt idx="35">
                  <c:v>14.2171</c:v>
                </c:pt>
                <c:pt idx="36">
                  <c:v>14.622400000000001</c:v>
                </c:pt>
                <c:pt idx="37">
                  <c:v>15.028</c:v>
                </c:pt>
                <c:pt idx="38">
                  <c:v>15.437799999999999</c:v>
                </c:pt>
                <c:pt idx="39">
                  <c:v>15.842599999999999</c:v>
                </c:pt>
                <c:pt idx="40">
                  <c:v>16.2471</c:v>
                </c:pt>
                <c:pt idx="41">
                  <c:v>16.652999999999999</c:v>
                </c:pt>
                <c:pt idx="42">
                  <c:v>17.063400000000001</c:v>
                </c:pt>
                <c:pt idx="43">
                  <c:v>17.468399999999999</c:v>
                </c:pt>
                <c:pt idx="44">
                  <c:v>17.871700000000001</c:v>
                </c:pt>
                <c:pt idx="45">
                  <c:v>18.278099999999998</c:v>
                </c:pt>
                <c:pt idx="46">
                  <c:v>18.685600000000001</c:v>
                </c:pt>
                <c:pt idx="47">
                  <c:v>19.090900000000001</c:v>
                </c:pt>
                <c:pt idx="48">
                  <c:v>19.498100000000001</c:v>
                </c:pt>
                <c:pt idx="49">
                  <c:v>19.9053</c:v>
                </c:pt>
                <c:pt idx="50">
                  <c:v>20.312000000000001</c:v>
                </c:pt>
                <c:pt idx="51">
                  <c:v>20.715599999999998</c:v>
                </c:pt>
                <c:pt idx="52">
                  <c:v>21.122499999999999</c:v>
                </c:pt>
                <c:pt idx="53">
                  <c:v>21.529900000000001</c:v>
                </c:pt>
                <c:pt idx="54">
                  <c:v>21.933900000000001</c:v>
                </c:pt>
                <c:pt idx="55">
                  <c:v>22.341999999999999</c:v>
                </c:pt>
                <c:pt idx="56">
                  <c:v>22.7454</c:v>
                </c:pt>
                <c:pt idx="57">
                  <c:v>23.153400000000001</c:v>
                </c:pt>
                <c:pt idx="58">
                  <c:v>23.559799999999999</c:v>
                </c:pt>
                <c:pt idx="59">
                  <c:v>23.967600000000001</c:v>
                </c:pt>
                <c:pt idx="60">
                  <c:v>24.371400000000001</c:v>
                </c:pt>
                <c:pt idx="61">
                  <c:v>24.780200000000001</c:v>
                </c:pt>
                <c:pt idx="62">
                  <c:v>25.1877</c:v>
                </c:pt>
                <c:pt idx="63">
                  <c:v>25.590599999999998</c:v>
                </c:pt>
                <c:pt idx="64">
                  <c:v>25.996300000000002</c:v>
                </c:pt>
                <c:pt idx="65">
                  <c:v>26.403400000000001</c:v>
                </c:pt>
                <c:pt idx="66">
                  <c:v>26.8123</c:v>
                </c:pt>
                <c:pt idx="67">
                  <c:v>27.215900000000001</c:v>
                </c:pt>
                <c:pt idx="68">
                  <c:v>27.6251</c:v>
                </c:pt>
                <c:pt idx="69">
                  <c:v>28.0304</c:v>
                </c:pt>
                <c:pt idx="70">
                  <c:v>28.435500000000001</c:v>
                </c:pt>
                <c:pt idx="71">
                  <c:v>28.843599999999999</c:v>
                </c:pt>
                <c:pt idx="72">
                  <c:v>29.248100000000001</c:v>
                </c:pt>
                <c:pt idx="73">
                  <c:v>29.654499999999999</c:v>
                </c:pt>
                <c:pt idx="74">
                  <c:v>30.06</c:v>
                </c:pt>
                <c:pt idx="75">
                  <c:v>30.519200000000001</c:v>
                </c:pt>
                <c:pt idx="76">
                  <c:v>30.9252</c:v>
                </c:pt>
                <c:pt idx="77">
                  <c:v>31.3278</c:v>
                </c:pt>
                <c:pt idx="78">
                  <c:v>31.733000000000001</c:v>
                </c:pt>
                <c:pt idx="79">
                  <c:v>32.143000000000001</c:v>
                </c:pt>
                <c:pt idx="80">
                  <c:v>32.5473</c:v>
                </c:pt>
                <c:pt idx="81">
                  <c:v>32.952800000000003</c:v>
                </c:pt>
                <c:pt idx="82">
                  <c:v>33.357300000000002</c:v>
                </c:pt>
                <c:pt idx="83">
                  <c:v>33.763300000000001</c:v>
                </c:pt>
                <c:pt idx="84">
                  <c:v>34.171599999999998</c:v>
                </c:pt>
                <c:pt idx="85">
                  <c:v>34.581099999999999</c:v>
                </c:pt>
                <c:pt idx="86">
                  <c:v>34.983899999999998</c:v>
                </c:pt>
                <c:pt idx="87">
                  <c:v>35.39</c:v>
                </c:pt>
                <c:pt idx="88">
                  <c:v>35.794199999999996</c:v>
                </c:pt>
                <c:pt idx="89">
                  <c:v>36.200400000000002</c:v>
                </c:pt>
                <c:pt idx="90">
                  <c:v>36.607599999999998</c:v>
                </c:pt>
                <c:pt idx="91">
                  <c:v>37.0124</c:v>
                </c:pt>
                <c:pt idx="92">
                  <c:v>37.421700000000001</c:v>
                </c:pt>
                <c:pt idx="93">
                  <c:v>37.826700000000002</c:v>
                </c:pt>
                <c:pt idx="94">
                  <c:v>38.232500000000002</c:v>
                </c:pt>
                <c:pt idx="95">
                  <c:v>38.6389</c:v>
                </c:pt>
                <c:pt idx="96">
                  <c:v>39.046500000000002</c:v>
                </c:pt>
                <c:pt idx="97">
                  <c:v>39.4512</c:v>
                </c:pt>
                <c:pt idx="98">
                  <c:v>39.860999999999997</c:v>
                </c:pt>
                <c:pt idx="99">
                  <c:v>40.265099999999997</c:v>
                </c:pt>
                <c:pt idx="100">
                  <c:v>40.667900000000003</c:v>
                </c:pt>
                <c:pt idx="101">
                  <c:v>41.076700000000002</c:v>
                </c:pt>
                <c:pt idx="102">
                  <c:v>41.482300000000002</c:v>
                </c:pt>
                <c:pt idx="103">
                  <c:v>41.890900000000002</c:v>
                </c:pt>
                <c:pt idx="104">
                  <c:v>42.293999999999997</c:v>
                </c:pt>
                <c:pt idx="105">
                  <c:v>42.700299999999999</c:v>
                </c:pt>
                <c:pt idx="106">
                  <c:v>43.107599999999998</c:v>
                </c:pt>
                <c:pt idx="107">
                  <c:v>43.514299999999999</c:v>
                </c:pt>
                <c:pt idx="108">
                  <c:v>43.922199999999997</c:v>
                </c:pt>
                <c:pt idx="109">
                  <c:v>44.326900000000002</c:v>
                </c:pt>
                <c:pt idx="110">
                  <c:v>44.734200000000001</c:v>
                </c:pt>
                <c:pt idx="111">
                  <c:v>45.137</c:v>
                </c:pt>
                <c:pt idx="112">
                  <c:v>45.5473</c:v>
                </c:pt>
                <c:pt idx="113">
                  <c:v>45.9512</c:v>
                </c:pt>
                <c:pt idx="114">
                  <c:v>46.358400000000003</c:v>
                </c:pt>
                <c:pt idx="115">
                  <c:v>46.761600000000001</c:v>
                </c:pt>
                <c:pt idx="116">
                  <c:v>47.167099999999998</c:v>
                </c:pt>
                <c:pt idx="117">
                  <c:v>47.577199999999998</c:v>
                </c:pt>
                <c:pt idx="118">
                  <c:v>47.984299999999998</c:v>
                </c:pt>
                <c:pt idx="119">
                  <c:v>48.3874</c:v>
                </c:pt>
                <c:pt idx="120">
                  <c:v>48.794600000000003</c:v>
                </c:pt>
                <c:pt idx="121">
                  <c:v>49.198799999999999</c:v>
                </c:pt>
                <c:pt idx="122">
                  <c:v>49.607599999999998</c:v>
                </c:pt>
                <c:pt idx="123">
                  <c:v>50.013599999999997</c:v>
                </c:pt>
                <c:pt idx="124">
                  <c:v>50.4206</c:v>
                </c:pt>
                <c:pt idx="125">
                  <c:v>50.824300000000001</c:v>
                </c:pt>
                <c:pt idx="126">
                  <c:v>51.233600000000003</c:v>
                </c:pt>
                <c:pt idx="127">
                  <c:v>51.636499999999998</c:v>
                </c:pt>
                <c:pt idx="128">
                  <c:v>52.044699999999999</c:v>
                </c:pt>
                <c:pt idx="129">
                  <c:v>52.450200000000002</c:v>
                </c:pt>
                <c:pt idx="130">
                  <c:v>52.859900000000003</c:v>
                </c:pt>
                <c:pt idx="131">
                  <c:v>53.2669</c:v>
                </c:pt>
                <c:pt idx="132">
                  <c:v>53.6706</c:v>
                </c:pt>
                <c:pt idx="133">
                  <c:v>54.075899999999997</c:v>
                </c:pt>
                <c:pt idx="134">
                  <c:v>54.481699999999996</c:v>
                </c:pt>
                <c:pt idx="135">
                  <c:v>54.890300000000003</c:v>
                </c:pt>
                <c:pt idx="136">
                  <c:v>55.296999999999997</c:v>
                </c:pt>
                <c:pt idx="137">
                  <c:v>55.702100000000002</c:v>
                </c:pt>
                <c:pt idx="138">
                  <c:v>56.104999999999997</c:v>
                </c:pt>
                <c:pt idx="139">
                  <c:v>56.516199999999998</c:v>
                </c:pt>
                <c:pt idx="140">
                  <c:v>56.921399999999998</c:v>
                </c:pt>
                <c:pt idx="141">
                  <c:v>57.325899999999997</c:v>
                </c:pt>
                <c:pt idx="142">
                  <c:v>57.732799999999997</c:v>
                </c:pt>
                <c:pt idx="143">
                  <c:v>58.137799999999999</c:v>
                </c:pt>
                <c:pt idx="144">
                  <c:v>58.545200000000001</c:v>
                </c:pt>
                <c:pt idx="145">
                  <c:v>58.9542</c:v>
                </c:pt>
                <c:pt idx="146">
                  <c:v>59.356999999999999</c:v>
                </c:pt>
                <c:pt idx="147">
                  <c:v>59.7637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1.40873</c:v>
                </c:pt>
                <c:pt idx="1">
                  <c:v>1.45428</c:v>
                </c:pt>
                <c:pt idx="2">
                  <c:v>1.5002099999999998</c:v>
                </c:pt>
                <c:pt idx="3">
                  <c:v>1.5480700000000001</c:v>
                </c:pt>
                <c:pt idx="4">
                  <c:v>1.59551</c:v>
                </c:pt>
                <c:pt idx="5">
                  <c:v>1.64297</c:v>
                </c:pt>
                <c:pt idx="6">
                  <c:v>1.6940599999999999</c:v>
                </c:pt>
                <c:pt idx="7">
                  <c:v>1.7464599999999999</c:v>
                </c:pt>
                <c:pt idx="8">
                  <c:v>1.7990300000000001</c:v>
                </c:pt>
                <c:pt idx="9">
                  <c:v>1.85175</c:v>
                </c:pt>
                <c:pt idx="10">
                  <c:v>1.9061300000000001</c:v>
                </c:pt>
                <c:pt idx="11">
                  <c:v>1.9636300000000002</c:v>
                </c:pt>
                <c:pt idx="12">
                  <c:v>2.0217900000000002</c:v>
                </c:pt>
                <c:pt idx="13">
                  <c:v>2.0807700000000002</c:v>
                </c:pt>
                <c:pt idx="14">
                  <c:v>2.1424000000000003</c:v>
                </c:pt>
                <c:pt idx="15">
                  <c:v>2.2024400000000002</c:v>
                </c:pt>
                <c:pt idx="16">
                  <c:v>2.2578400000000003</c:v>
                </c:pt>
                <c:pt idx="17">
                  <c:v>2.3106900000000001</c:v>
                </c:pt>
                <c:pt idx="18">
                  <c:v>2.3667099999999999</c:v>
                </c:pt>
                <c:pt idx="19">
                  <c:v>2.4208099999999999</c:v>
                </c:pt>
                <c:pt idx="20">
                  <c:v>2.4718300000000002</c:v>
                </c:pt>
                <c:pt idx="21">
                  <c:v>2.5184800000000003</c:v>
                </c:pt>
                <c:pt idx="22">
                  <c:v>2.5607799999999998</c:v>
                </c:pt>
                <c:pt idx="23">
                  <c:v>2.59985</c:v>
                </c:pt>
                <c:pt idx="24">
                  <c:v>2.6359900000000005</c:v>
                </c:pt>
                <c:pt idx="25">
                  <c:v>2.67069</c:v>
                </c:pt>
                <c:pt idx="26">
                  <c:v>2.70336</c:v>
                </c:pt>
                <c:pt idx="27">
                  <c:v>2.7358500000000001</c:v>
                </c:pt>
                <c:pt idx="28">
                  <c:v>2.7688200000000003</c:v>
                </c:pt>
                <c:pt idx="29">
                  <c:v>2.7996300000000001</c:v>
                </c:pt>
                <c:pt idx="30">
                  <c:v>2.8294700000000002</c:v>
                </c:pt>
                <c:pt idx="31">
                  <c:v>2.8583999999999996</c:v>
                </c:pt>
                <c:pt idx="32">
                  <c:v>2.8834300000000002</c:v>
                </c:pt>
                <c:pt idx="33">
                  <c:v>2.9060200000000003</c:v>
                </c:pt>
                <c:pt idx="34">
                  <c:v>2.9276999999999997</c:v>
                </c:pt>
                <c:pt idx="35">
                  <c:v>2.9481899999999999</c:v>
                </c:pt>
                <c:pt idx="36">
                  <c:v>2.96543</c:v>
                </c:pt>
                <c:pt idx="37">
                  <c:v>2.9800900000000001</c:v>
                </c:pt>
                <c:pt idx="38">
                  <c:v>2.9927900000000003</c:v>
                </c:pt>
                <c:pt idx="39">
                  <c:v>3.00101</c:v>
                </c:pt>
                <c:pt idx="40">
                  <c:v>3.0036400000000003</c:v>
                </c:pt>
                <c:pt idx="41">
                  <c:v>3.0053900000000002</c:v>
                </c:pt>
                <c:pt idx="42">
                  <c:v>3.0108899999999998</c:v>
                </c:pt>
                <c:pt idx="43">
                  <c:v>3.0110900000000003</c:v>
                </c:pt>
                <c:pt idx="44">
                  <c:v>3.0099</c:v>
                </c:pt>
                <c:pt idx="45">
                  <c:v>3.00915</c:v>
                </c:pt>
                <c:pt idx="46">
                  <c:v>3.0123199999999999</c:v>
                </c:pt>
                <c:pt idx="47">
                  <c:v>3.0136400000000001</c:v>
                </c:pt>
                <c:pt idx="48">
                  <c:v>3.0182199999999999</c:v>
                </c:pt>
                <c:pt idx="49">
                  <c:v>3.0262499999999997</c:v>
                </c:pt>
                <c:pt idx="50">
                  <c:v>3.0330699999999999</c:v>
                </c:pt>
                <c:pt idx="51">
                  <c:v>3.04366</c:v>
                </c:pt>
                <c:pt idx="52">
                  <c:v>3.0556200000000002</c:v>
                </c:pt>
                <c:pt idx="53">
                  <c:v>3.0665399999999998</c:v>
                </c:pt>
                <c:pt idx="54">
                  <c:v>3.0732500000000003</c:v>
                </c:pt>
                <c:pt idx="55">
                  <c:v>3.0826700000000002</c:v>
                </c:pt>
                <c:pt idx="56">
                  <c:v>3.0904799999999999</c:v>
                </c:pt>
                <c:pt idx="57">
                  <c:v>3.1027900000000002</c:v>
                </c:pt>
                <c:pt idx="58">
                  <c:v>3.11564</c:v>
                </c:pt>
                <c:pt idx="59">
                  <c:v>3.1305800000000001</c:v>
                </c:pt>
                <c:pt idx="60">
                  <c:v>3.1492199999999997</c:v>
                </c:pt>
                <c:pt idx="61">
                  <c:v>3.1743900000000003</c:v>
                </c:pt>
                <c:pt idx="62">
                  <c:v>3.1939699999999998</c:v>
                </c:pt>
                <c:pt idx="63">
                  <c:v>3.2070400000000001</c:v>
                </c:pt>
                <c:pt idx="64">
                  <c:v>3.2291999999999996</c:v>
                </c:pt>
                <c:pt idx="65">
                  <c:v>3.2639499999999999</c:v>
                </c:pt>
                <c:pt idx="66">
                  <c:v>3.2944200000000001</c:v>
                </c:pt>
                <c:pt idx="67">
                  <c:v>3.3136900000000002</c:v>
                </c:pt>
                <c:pt idx="68">
                  <c:v>3.3469300000000004</c:v>
                </c:pt>
                <c:pt idx="69">
                  <c:v>3.3652199999999999</c:v>
                </c:pt>
                <c:pt idx="70">
                  <c:v>3.3816099999999998</c:v>
                </c:pt>
                <c:pt idx="71">
                  <c:v>3.39358</c:v>
                </c:pt>
                <c:pt idx="72">
                  <c:v>3.40672</c:v>
                </c:pt>
                <c:pt idx="73">
                  <c:v>3.4140999999999999</c:v>
                </c:pt>
                <c:pt idx="74">
                  <c:v>3.42347</c:v>
                </c:pt>
                <c:pt idx="75">
                  <c:v>3.4327700000000001</c:v>
                </c:pt>
                <c:pt idx="76">
                  <c:v>3.4387099999999999</c:v>
                </c:pt>
                <c:pt idx="77">
                  <c:v>3.4437000000000002</c:v>
                </c:pt>
                <c:pt idx="78">
                  <c:v>3.4418300000000004</c:v>
                </c:pt>
                <c:pt idx="79">
                  <c:v>3.4388899999999998</c:v>
                </c:pt>
                <c:pt idx="80">
                  <c:v>3.4348200000000002</c:v>
                </c:pt>
                <c:pt idx="81">
                  <c:v>3.43207</c:v>
                </c:pt>
                <c:pt idx="82">
                  <c:v>3.4291500000000004</c:v>
                </c:pt>
                <c:pt idx="83">
                  <c:v>3.4238800000000005</c:v>
                </c:pt>
                <c:pt idx="84">
                  <c:v>3.41256</c:v>
                </c:pt>
                <c:pt idx="85">
                  <c:v>3.3969800000000001</c:v>
                </c:pt>
                <c:pt idx="86">
                  <c:v>3.3800000000000003</c:v>
                </c:pt>
                <c:pt idx="87">
                  <c:v>3.35771</c:v>
                </c:pt>
                <c:pt idx="88">
                  <c:v>3.32897</c:v>
                </c:pt>
                <c:pt idx="89">
                  <c:v>3.3021799999999999</c:v>
                </c:pt>
                <c:pt idx="90">
                  <c:v>3.2722199999999999</c:v>
                </c:pt>
                <c:pt idx="91">
                  <c:v>3.2382499999999999</c:v>
                </c:pt>
                <c:pt idx="92">
                  <c:v>3.2020900000000001</c:v>
                </c:pt>
                <c:pt idx="93">
                  <c:v>3.1689699999999998</c:v>
                </c:pt>
                <c:pt idx="94">
                  <c:v>3.1391999999999998</c:v>
                </c:pt>
                <c:pt idx="95">
                  <c:v>3.10778</c:v>
                </c:pt>
                <c:pt idx="96">
                  <c:v>3.0784499999999997</c:v>
                </c:pt>
                <c:pt idx="97">
                  <c:v>3.0524899999999997</c:v>
                </c:pt>
                <c:pt idx="98">
                  <c:v>3.0290499999999998</c:v>
                </c:pt>
                <c:pt idx="99">
                  <c:v>3.00576</c:v>
                </c:pt>
                <c:pt idx="100">
                  <c:v>2.9796200000000002</c:v>
                </c:pt>
                <c:pt idx="101">
                  <c:v>2.9582100000000002</c:v>
                </c:pt>
                <c:pt idx="102">
                  <c:v>2.9392400000000003</c:v>
                </c:pt>
                <c:pt idx="103">
                  <c:v>2.9264700000000001</c:v>
                </c:pt>
                <c:pt idx="104">
                  <c:v>2.9180999999999999</c:v>
                </c:pt>
                <c:pt idx="105">
                  <c:v>2.91228</c:v>
                </c:pt>
                <c:pt idx="106">
                  <c:v>2.9058899999999999</c:v>
                </c:pt>
                <c:pt idx="107">
                  <c:v>2.89873</c:v>
                </c:pt>
                <c:pt idx="108">
                  <c:v>2.8909099999999999</c:v>
                </c:pt>
                <c:pt idx="109">
                  <c:v>2.8828399999999998</c:v>
                </c:pt>
                <c:pt idx="110">
                  <c:v>2.88009</c:v>
                </c:pt>
                <c:pt idx="111">
                  <c:v>2.8838200000000001</c:v>
                </c:pt>
                <c:pt idx="112">
                  <c:v>2.8965700000000001</c:v>
                </c:pt>
                <c:pt idx="113">
                  <c:v>2.9149000000000003</c:v>
                </c:pt>
                <c:pt idx="114">
                  <c:v>2.9321799999999998</c:v>
                </c:pt>
                <c:pt idx="115">
                  <c:v>2.9475899999999999</c:v>
                </c:pt>
                <c:pt idx="116">
                  <c:v>2.96434</c:v>
                </c:pt>
                <c:pt idx="117">
                  <c:v>2.98244</c:v>
                </c:pt>
                <c:pt idx="118">
                  <c:v>3.00298</c:v>
                </c:pt>
                <c:pt idx="119">
                  <c:v>3.0292300000000001</c:v>
                </c:pt>
                <c:pt idx="120">
                  <c:v>3.0595699999999999</c:v>
                </c:pt>
                <c:pt idx="121">
                  <c:v>3.0900400000000001</c:v>
                </c:pt>
                <c:pt idx="122">
                  <c:v>3.1185099999999997</c:v>
                </c:pt>
                <c:pt idx="123">
                  <c:v>3.14621</c:v>
                </c:pt>
                <c:pt idx="124">
                  <c:v>3.1571700000000003</c:v>
                </c:pt>
                <c:pt idx="125">
                  <c:v>3.1694299999999997</c:v>
                </c:pt>
                <c:pt idx="126">
                  <c:v>3.18126</c:v>
                </c:pt>
                <c:pt idx="127">
                  <c:v>3.1935799999999999</c:v>
                </c:pt>
                <c:pt idx="128">
                  <c:v>3.2060399999999998</c:v>
                </c:pt>
                <c:pt idx="129">
                  <c:v>3.2172200000000002</c:v>
                </c:pt>
                <c:pt idx="130">
                  <c:v>3.2293799999999999</c:v>
                </c:pt>
                <c:pt idx="131">
                  <c:v>3.2408799999999998</c:v>
                </c:pt>
                <c:pt idx="132">
                  <c:v>3.2547700000000002</c:v>
                </c:pt>
                <c:pt idx="133">
                  <c:v>3.2740799999999997</c:v>
                </c:pt>
                <c:pt idx="134">
                  <c:v>3.2984999999999998</c:v>
                </c:pt>
                <c:pt idx="135">
                  <c:v>3.3221699999999998</c:v>
                </c:pt>
                <c:pt idx="136">
                  <c:v>3.3411400000000002</c:v>
                </c:pt>
                <c:pt idx="137">
                  <c:v>3.3543600000000002</c:v>
                </c:pt>
                <c:pt idx="138">
                  <c:v>3.3664100000000001</c:v>
                </c:pt>
                <c:pt idx="139">
                  <c:v>3.3796300000000001</c:v>
                </c:pt>
                <c:pt idx="140">
                  <c:v>3.3975400000000002</c:v>
                </c:pt>
                <c:pt idx="141">
                  <c:v>3.4181499999999998</c:v>
                </c:pt>
                <c:pt idx="142">
                  <c:v>3.4423700000000004</c:v>
                </c:pt>
                <c:pt idx="143">
                  <c:v>3.4640700000000004</c:v>
                </c:pt>
                <c:pt idx="144">
                  <c:v>3.4710400000000003</c:v>
                </c:pt>
                <c:pt idx="145">
                  <c:v>3.4715699999999998</c:v>
                </c:pt>
                <c:pt idx="146">
                  <c:v>3.4711500000000002</c:v>
                </c:pt>
                <c:pt idx="147">
                  <c:v>3.4798299999999998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0.40467799999999998</c:v>
                </c:pt>
                <c:pt idx="2">
                  <c:v>0.81208000000000002</c:v>
                </c:pt>
                <c:pt idx="3">
                  <c:v>1.2195199999999999</c:v>
                </c:pt>
                <c:pt idx="4">
                  <c:v>1.6228199999999999</c:v>
                </c:pt>
                <c:pt idx="5">
                  <c:v>2.0276200000000002</c:v>
                </c:pt>
                <c:pt idx="6">
                  <c:v>2.4356599999999999</c:v>
                </c:pt>
                <c:pt idx="7">
                  <c:v>2.8413200000000001</c:v>
                </c:pt>
                <c:pt idx="8">
                  <c:v>3.24674</c:v>
                </c:pt>
                <c:pt idx="9">
                  <c:v>3.6567099999999999</c:v>
                </c:pt>
                <c:pt idx="10">
                  <c:v>4.0611300000000004</c:v>
                </c:pt>
                <c:pt idx="11">
                  <c:v>4.4680799999999996</c:v>
                </c:pt>
                <c:pt idx="12">
                  <c:v>4.8728100000000003</c:v>
                </c:pt>
                <c:pt idx="13">
                  <c:v>5.2787499999999996</c:v>
                </c:pt>
                <c:pt idx="14">
                  <c:v>5.6848200000000002</c:v>
                </c:pt>
                <c:pt idx="15">
                  <c:v>6.0929599999999997</c:v>
                </c:pt>
                <c:pt idx="16">
                  <c:v>6.5017300000000002</c:v>
                </c:pt>
                <c:pt idx="17">
                  <c:v>6.9022399999999999</c:v>
                </c:pt>
                <c:pt idx="18">
                  <c:v>7.30844</c:v>
                </c:pt>
                <c:pt idx="19">
                  <c:v>7.7182500000000003</c:v>
                </c:pt>
                <c:pt idx="20">
                  <c:v>8.12012</c:v>
                </c:pt>
                <c:pt idx="21">
                  <c:v>8.5291599999999992</c:v>
                </c:pt>
                <c:pt idx="22">
                  <c:v>8.9363200000000003</c:v>
                </c:pt>
                <c:pt idx="23">
                  <c:v>9.3441100000000006</c:v>
                </c:pt>
                <c:pt idx="24">
                  <c:v>9.7478899999999999</c:v>
                </c:pt>
                <c:pt idx="25">
                  <c:v>10.1546</c:v>
                </c:pt>
                <c:pt idx="26">
                  <c:v>10.559699999999999</c:v>
                </c:pt>
                <c:pt idx="27">
                  <c:v>10.9686</c:v>
                </c:pt>
                <c:pt idx="28">
                  <c:v>11.372400000000001</c:v>
                </c:pt>
                <c:pt idx="29">
                  <c:v>11.78</c:v>
                </c:pt>
                <c:pt idx="30">
                  <c:v>12.184799999999999</c:v>
                </c:pt>
                <c:pt idx="31">
                  <c:v>12.5907</c:v>
                </c:pt>
                <c:pt idx="32">
                  <c:v>12.9969</c:v>
                </c:pt>
                <c:pt idx="33">
                  <c:v>13.405799999999999</c:v>
                </c:pt>
                <c:pt idx="34">
                  <c:v>13.8104</c:v>
                </c:pt>
                <c:pt idx="35">
                  <c:v>14.2171</c:v>
                </c:pt>
                <c:pt idx="36">
                  <c:v>14.622400000000001</c:v>
                </c:pt>
                <c:pt idx="37">
                  <c:v>15.028</c:v>
                </c:pt>
                <c:pt idx="38">
                  <c:v>15.437799999999999</c:v>
                </c:pt>
                <c:pt idx="39">
                  <c:v>15.842599999999999</c:v>
                </c:pt>
                <c:pt idx="40">
                  <c:v>16.2471</c:v>
                </c:pt>
                <c:pt idx="41">
                  <c:v>16.652999999999999</c:v>
                </c:pt>
                <c:pt idx="42">
                  <c:v>17.063400000000001</c:v>
                </c:pt>
                <c:pt idx="43">
                  <c:v>17.468399999999999</c:v>
                </c:pt>
                <c:pt idx="44">
                  <c:v>17.871700000000001</c:v>
                </c:pt>
                <c:pt idx="45">
                  <c:v>18.278099999999998</c:v>
                </c:pt>
                <c:pt idx="46">
                  <c:v>18.685600000000001</c:v>
                </c:pt>
                <c:pt idx="47">
                  <c:v>19.090900000000001</c:v>
                </c:pt>
                <c:pt idx="48">
                  <c:v>19.498100000000001</c:v>
                </c:pt>
                <c:pt idx="49">
                  <c:v>19.9053</c:v>
                </c:pt>
                <c:pt idx="50">
                  <c:v>20.312000000000001</c:v>
                </c:pt>
                <c:pt idx="51">
                  <c:v>20.715599999999998</c:v>
                </c:pt>
                <c:pt idx="52">
                  <c:v>21.122499999999999</c:v>
                </c:pt>
                <c:pt idx="53">
                  <c:v>21.529900000000001</c:v>
                </c:pt>
                <c:pt idx="54">
                  <c:v>21.933900000000001</c:v>
                </c:pt>
                <c:pt idx="55">
                  <c:v>22.341999999999999</c:v>
                </c:pt>
                <c:pt idx="56">
                  <c:v>22.7454</c:v>
                </c:pt>
                <c:pt idx="57">
                  <c:v>23.153400000000001</c:v>
                </c:pt>
                <c:pt idx="58">
                  <c:v>23.559799999999999</c:v>
                </c:pt>
                <c:pt idx="59">
                  <c:v>23.967600000000001</c:v>
                </c:pt>
                <c:pt idx="60">
                  <c:v>24.371400000000001</c:v>
                </c:pt>
                <c:pt idx="61">
                  <c:v>24.780200000000001</c:v>
                </c:pt>
                <c:pt idx="62">
                  <c:v>25.1877</c:v>
                </c:pt>
                <c:pt idx="63">
                  <c:v>25.590599999999998</c:v>
                </c:pt>
                <c:pt idx="64">
                  <c:v>25.996300000000002</c:v>
                </c:pt>
                <c:pt idx="65">
                  <c:v>26.403400000000001</c:v>
                </c:pt>
                <c:pt idx="66">
                  <c:v>26.8123</c:v>
                </c:pt>
                <c:pt idx="67">
                  <c:v>27.215900000000001</c:v>
                </c:pt>
                <c:pt idx="68">
                  <c:v>27.6251</c:v>
                </c:pt>
                <c:pt idx="69">
                  <c:v>28.0304</c:v>
                </c:pt>
                <c:pt idx="70">
                  <c:v>28.435500000000001</c:v>
                </c:pt>
                <c:pt idx="71">
                  <c:v>28.843599999999999</c:v>
                </c:pt>
                <c:pt idx="72">
                  <c:v>29.248100000000001</c:v>
                </c:pt>
                <c:pt idx="73">
                  <c:v>29.654499999999999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1.40873</c:v>
                </c:pt>
                <c:pt idx="1">
                  <c:v>1.45428</c:v>
                </c:pt>
                <c:pt idx="2">
                  <c:v>1.5002099999999998</c:v>
                </c:pt>
                <c:pt idx="3">
                  <c:v>1.5480700000000001</c:v>
                </c:pt>
                <c:pt idx="4">
                  <c:v>1.59551</c:v>
                </c:pt>
                <c:pt idx="5">
                  <c:v>1.64297</c:v>
                </c:pt>
                <c:pt idx="6">
                  <c:v>1.6940599999999999</c:v>
                </c:pt>
                <c:pt idx="7">
                  <c:v>1.7464599999999999</c:v>
                </c:pt>
                <c:pt idx="8">
                  <c:v>1.7990300000000001</c:v>
                </c:pt>
                <c:pt idx="9">
                  <c:v>1.85175</c:v>
                </c:pt>
                <c:pt idx="10">
                  <c:v>1.9061300000000001</c:v>
                </c:pt>
                <c:pt idx="11">
                  <c:v>1.9636300000000002</c:v>
                </c:pt>
                <c:pt idx="12">
                  <c:v>2.0217900000000002</c:v>
                </c:pt>
                <c:pt idx="13">
                  <c:v>2.0807700000000002</c:v>
                </c:pt>
                <c:pt idx="14">
                  <c:v>2.1424000000000003</c:v>
                </c:pt>
                <c:pt idx="15">
                  <c:v>2.2024400000000002</c:v>
                </c:pt>
                <c:pt idx="16">
                  <c:v>2.2578400000000003</c:v>
                </c:pt>
                <c:pt idx="17">
                  <c:v>2.3106900000000001</c:v>
                </c:pt>
                <c:pt idx="18">
                  <c:v>2.3667099999999999</c:v>
                </c:pt>
                <c:pt idx="19">
                  <c:v>2.4208099999999999</c:v>
                </c:pt>
                <c:pt idx="20">
                  <c:v>2.4718300000000002</c:v>
                </c:pt>
                <c:pt idx="21">
                  <c:v>2.5184800000000003</c:v>
                </c:pt>
                <c:pt idx="22">
                  <c:v>2.5607799999999998</c:v>
                </c:pt>
                <c:pt idx="23">
                  <c:v>2.59985</c:v>
                </c:pt>
                <c:pt idx="24">
                  <c:v>2.6359900000000005</c:v>
                </c:pt>
                <c:pt idx="25">
                  <c:v>2.67069</c:v>
                </c:pt>
                <c:pt idx="26">
                  <c:v>2.70336</c:v>
                </c:pt>
                <c:pt idx="27">
                  <c:v>2.7358500000000001</c:v>
                </c:pt>
                <c:pt idx="28">
                  <c:v>2.7688200000000003</c:v>
                </c:pt>
                <c:pt idx="29">
                  <c:v>2.7996300000000001</c:v>
                </c:pt>
                <c:pt idx="30">
                  <c:v>2.8294700000000002</c:v>
                </c:pt>
                <c:pt idx="31">
                  <c:v>2.8583999999999996</c:v>
                </c:pt>
                <c:pt idx="32">
                  <c:v>2.8834300000000002</c:v>
                </c:pt>
                <c:pt idx="33">
                  <c:v>2.9060200000000003</c:v>
                </c:pt>
                <c:pt idx="34">
                  <c:v>2.9276999999999997</c:v>
                </c:pt>
                <c:pt idx="35">
                  <c:v>2.9481899999999999</c:v>
                </c:pt>
                <c:pt idx="36">
                  <c:v>2.96543</c:v>
                </c:pt>
                <c:pt idx="37">
                  <c:v>2.9800900000000001</c:v>
                </c:pt>
                <c:pt idx="38">
                  <c:v>2.9927900000000003</c:v>
                </c:pt>
                <c:pt idx="39">
                  <c:v>3.00101</c:v>
                </c:pt>
                <c:pt idx="40">
                  <c:v>3.0036400000000003</c:v>
                </c:pt>
                <c:pt idx="41">
                  <c:v>3.0053900000000002</c:v>
                </c:pt>
                <c:pt idx="42">
                  <c:v>3.0108899999999998</c:v>
                </c:pt>
                <c:pt idx="43">
                  <c:v>3.0110900000000003</c:v>
                </c:pt>
                <c:pt idx="44">
                  <c:v>3.0099</c:v>
                </c:pt>
                <c:pt idx="45">
                  <c:v>3.00915</c:v>
                </c:pt>
                <c:pt idx="46">
                  <c:v>3.0123199999999999</c:v>
                </c:pt>
                <c:pt idx="47">
                  <c:v>3.0136400000000001</c:v>
                </c:pt>
                <c:pt idx="48">
                  <c:v>3.0182199999999999</c:v>
                </c:pt>
                <c:pt idx="49">
                  <c:v>3.0262499999999997</c:v>
                </c:pt>
                <c:pt idx="50">
                  <c:v>3.0330699999999999</c:v>
                </c:pt>
                <c:pt idx="51">
                  <c:v>3.04366</c:v>
                </c:pt>
                <c:pt idx="52">
                  <c:v>3.0556200000000002</c:v>
                </c:pt>
                <c:pt idx="53">
                  <c:v>3.0665399999999998</c:v>
                </c:pt>
                <c:pt idx="54">
                  <c:v>3.0732500000000003</c:v>
                </c:pt>
                <c:pt idx="55">
                  <c:v>3.0826700000000002</c:v>
                </c:pt>
                <c:pt idx="56">
                  <c:v>3.0904799999999999</c:v>
                </c:pt>
                <c:pt idx="57">
                  <c:v>3.1027900000000002</c:v>
                </c:pt>
                <c:pt idx="58">
                  <c:v>3.11564</c:v>
                </c:pt>
                <c:pt idx="59">
                  <c:v>3.1305800000000001</c:v>
                </c:pt>
                <c:pt idx="60">
                  <c:v>3.1492199999999997</c:v>
                </c:pt>
                <c:pt idx="61">
                  <c:v>3.1743900000000003</c:v>
                </c:pt>
                <c:pt idx="62">
                  <c:v>3.1939699999999998</c:v>
                </c:pt>
                <c:pt idx="63">
                  <c:v>3.2070400000000001</c:v>
                </c:pt>
                <c:pt idx="64">
                  <c:v>3.2291999999999996</c:v>
                </c:pt>
                <c:pt idx="65">
                  <c:v>3.2639499999999999</c:v>
                </c:pt>
                <c:pt idx="66">
                  <c:v>3.2944200000000001</c:v>
                </c:pt>
                <c:pt idx="67">
                  <c:v>3.3136900000000002</c:v>
                </c:pt>
                <c:pt idx="68">
                  <c:v>3.3469300000000004</c:v>
                </c:pt>
                <c:pt idx="69">
                  <c:v>3.3652199999999999</c:v>
                </c:pt>
                <c:pt idx="70">
                  <c:v>3.3816099999999998</c:v>
                </c:pt>
                <c:pt idx="71">
                  <c:v>3.39358</c:v>
                </c:pt>
                <c:pt idx="72">
                  <c:v>3.40672</c:v>
                </c:pt>
                <c:pt idx="73">
                  <c:v>3.4140999999999999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29.654499999999999</c:v>
                </c:pt>
                <c:pt idx="1">
                  <c:v>30.06</c:v>
                </c:pt>
                <c:pt idx="2">
                  <c:v>30.519200000000001</c:v>
                </c:pt>
                <c:pt idx="3">
                  <c:v>30.9252</c:v>
                </c:pt>
                <c:pt idx="4">
                  <c:v>31.3278</c:v>
                </c:pt>
                <c:pt idx="5">
                  <c:v>31.733000000000001</c:v>
                </c:pt>
                <c:pt idx="6">
                  <c:v>32.143000000000001</c:v>
                </c:pt>
                <c:pt idx="7">
                  <c:v>32.5473</c:v>
                </c:pt>
                <c:pt idx="8">
                  <c:v>32.952800000000003</c:v>
                </c:pt>
                <c:pt idx="9">
                  <c:v>33.357300000000002</c:v>
                </c:pt>
                <c:pt idx="10">
                  <c:v>33.763300000000001</c:v>
                </c:pt>
                <c:pt idx="11">
                  <c:v>34.171599999999998</c:v>
                </c:pt>
                <c:pt idx="12">
                  <c:v>34.581099999999999</c:v>
                </c:pt>
                <c:pt idx="13">
                  <c:v>34.983899999999998</c:v>
                </c:pt>
                <c:pt idx="14">
                  <c:v>35.39</c:v>
                </c:pt>
                <c:pt idx="15">
                  <c:v>35.794199999999996</c:v>
                </c:pt>
                <c:pt idx="16">
                  <c:v>36.200400000000002</c:v>
                </c:pt>
                <c:pt idx="17">
                  <c:v>36.607599999999998</c:v>
                </c:pt>
                <c:pt idx="18">
                  <c:v>37.0124</c:v>
                </c:pt>
                <c:pt idx="19">
                  <c:v>37.421700000000001</c:v>
                </c:pt>
                <c:pt idx="20">
                  <c:v>37.826700000000002</c:v>
                </c:pt>
                <c:pt idx="21">
                  <c:v>38.232500000000002</c:v>
                </c:pt>
                <c:pt idx="22">
                  <c:v>38.6389</c:v>
                </c:pt>
                <c:pt idx="23">
                  <c:v>39.046500000000002</c:v>
                </c:pt>
                <c:pt idx="24">
                  <c:v>39.4512</c:v>
                </c:pt>
                <c:pt idx="25">
                  <c:v>39.860999999999997</c:v>
                </c:pt>
                <c:pt idx="26">
                  <c:v>40.265099999999997</c:v>
                </c:pt>
                <c:pt idx="27">
                  <c:v>40.667900000000003</c:v>
                </c:pt>
                <c:pt idx="28">
                  <c:v>41.076700000000002</c:v>
                </c:pt>
                <c:pt idx="29">
                  <c:v>41.482300000000002</c:v>
                </c:pt>
                <c:pt idx="30">
                  <c:v>41.890900000000002</c:v>
                </c:pt>
                <c:pt idx="31">
                  <c:v>42.293999999999997</c:v>
                </c:pt>
                <c:pt idx="32">
                  <c:v>42.700299999999999</c:v>
                </c:pt>
                <c:pt idx="33">
                  <c:v>43.107599999999998</c:v>
                </c:pt>
                <c:pt idx="34">
                  <c:v>43.514299999999999</c:v>
                </c:pt>
                <c:pt idx="35">
                  <c:v>43.922199999999997</c:v>
                </c:pt>
                <c:pt idx="36">
                  <c:v>44.326900000000002</c:v>
                </c:pt>
                <c:pt idx="37">
                  <c:v>44.734200000000001</c:v>
                </c:pt>
                <c:pt idx="38">
                  <c:v>45.137</c:v>
                </c:pt>
                <c:pt idx="39">
                  <c:v>45.5473</c:v>
                </c:pt>
                <c:pt idx="40">
                  <c:v>45.9512</c:v>
                </c:pt>
                <c:pt idx="41">
                  <c:v>46.358400000000003</c:v>
                </c:pt>
                <c:pt idx="42">
                  <c:v>46.761600000000001</c:v>
                </c:pt>
                <c:pt idx="43">
                  <c:v>47.167099999999998</c:v>
                </c:pt>
                <c:pt idx="44">
                  <c:v>47.577199999999998</c:v>
                </c:pt>
                <c:pt idx="45">
                  <c:v>47.984299999999998</c:v>
                </c:pt>
                <c:pt idx="46">
                  <c:v>48.3874</c:v>
                </c:pt>
                <c:pt idx="47">
                  <c:v>48.794600000000003</c:v>
                </c:pt>
                <c:pt idx="48">
                  <c:v>49.198799999999999</c:v>
                </c:pt>
                <c:pt idx="49">
                  <c:v>49.607599999999998</c:v>
                </c:pt>
                <c:pt idx="50">
                  <c:v>50.013599999999997</c:v>
                </c:pt>
                <c:pt idx="51">
                  <c:v>50.4206</c:v>
                </c:pt>
                <c:pt idx="52">
                  <c:v>50.824300000000001</c:v>
                </c:pt>
                <c:pt idx="53">
                  <c:v>51.233600000000003</c:v>
                </c:pt>
                <c:pt idx="54">
                  <c:v>51.636499999999998</c:v>
                </c:pt>
                <c:pt idx="55">
                  <c:v>52.044699999999999</c:v>
                </c:pt>
                <c:pt idx="56">
                  <c:v>52.450200000000002</c:v>
                </c:pt>
                <c:pt idx="57">
                  <c:v>52.859900000000003</c:v>
                </c:pt>
                <c:pt idx="58">
                  <c:v>53.2669</c:v>
                </c:pt>
                <c:pt idx="59">
                  <c:v>53.6706</c:v>
                </c:pt>
                <c:pt idx="60">
                  <c:v>54.075899999999997</c:v>
                </c:pt>
                <c:pt idx="61">
                  <c:v>54.481699999999996</c:v>
                </c:pt>
                <c:pt idx="62">
                  <c:v>54.890300000000003</c:v>
                </c:pt>
                <c:pt idx="63">
                  <c:v>55.296999999999997</c:v>
                </c:pt>
                <c:pt idx="64">
                  <c:v>55.702100000000002</c:v>
                </c:pt>
                <c:pt idx="65">
                  <c:v>56.104999999999997</c:v>
                </c:pt>
                <c:pt idx="66">
                  <c:v>56.516199999999998</c:v>
                </c:pt>
                <c:pt idx="67">
                  <c:v>56.921399999999998</c:v>
                </c:pt>
                <c:pt idx="68">
                  <c:v>57.325899999999997</c:v>
                </c:pt>
                <c:pt idx="69">
                  <c:v>57.732799999999997</c:v>
                </c:pt>
                <c:pt idx="70">
                  <c:v>58.137799999999999</c:v>
                </c:pt>
                <c:pt idx="71">
                  <c:v>58.545200000000001</c:v>
                </c:pt>
                <c:pt idx="72">
                  <c:v>58.9542</c:v>
                </c:pt>
                <c:pt idx="73">
                  <c:v>59.356999999999999</c:v>
                </c:pt>
                <c:pt idx="74">
                  <c:v>59.7637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3.4140999999999999</c:v>
                </c:pt>
                <c:pt idx="1">
                  <c:v>3.42347</c:v>
                </c:pt>
                <c:pt idx="2">
                  <c:v>3.4327700000000001</c:v>
                </c:pt>
                <c:pt idx="3">
                  <c:v>3.4387099999999999</c:v>
                </c:pt>
                <c:pt idx="4">
                  <c:v>3.4437000000000002</c:v>
                </c:pt>
                <c:pt idx="5">
                  <c:v>3.4418300000000004</c:v>
                </c:pt>
                <c:pt idx="6">
                  <c:v>3.4388899999999998</c:v>
                </c:pt>
                <c:pt idx="7">
                  <c:v>3.4348200000000002</c:v>
                </c:pt>
                <c:pt idx="8">
                  <c:v>3.43207</c:v>
                </c:pt>
                <c:pt idx="9">
                  <c:v>3.4291500000000004</c:v>
                </c:pt>
                <c:pt idx="10">
                  <c:v>3.4238800000000005</c:v>
                </c:pt>
                <c:pt idx="11">
                  <c:v>3.41256</c:v>
                </c:pt>
                <c:pt idx="12">
                  <c:v>3.3969800000000001</c:v>
                </c:pt>
                <c:pt idx="13">
                  <c:v>3.3800000000000003</c:v>
                </c:pt>
                <c:pt idx="14">
                  <c:v>3.35771</c:v>
                </c:pt>
                <c:pt idx="15">
                  <c:v>3.32897</c:v>
                </c:pt>
                <c:pt idx="16">
                  <c:v>3.3021799999999999</c:v>
                </c:pt>
                <c:pt idx="17">
                  <c:v>3.2722199999999999</c:v>
                </c:pt>
                <c:pt idx="18">
                  <c:v>3.2382499999999999</c:v>
                </c:pt>
                <c:pt idx="19">
                  <c:v>3.2020900000000001</c:v>
                </c:pt>
                <c:pt idx="20">
                  <c:v>3.1689699999999998</c:v>
                </c:pt>
                <c:pt idx="21">
                  <c:v>3.1391999999999998</c:v>
                </c:pt>
                <c:pt idx="22">
                  <c:v>3.10778</c:v>
                </c:pt>
                <c:pt idx="23">
                  <c:v>3.0784499999999997</c:v>
                </c:pt>
                <c:pt idx="24">
                  <c:v>3.0524899999999997</c:v>
                </c:pt>
                <c:pt idx="25">
                  <c:v>3.0290499999999998</c:v>
                </c:pt>
                <c:pt idx="26">
                  <c:v>3.00576</c:v>
                </c:pt>
                <c:pt idx="27">
                  <c:v>2.9796200000000002</c:v>
                </c:pt>
                <c:pt idx="28">
                  <c:v>2.9582100000000002</c:v>
                </c:pt>
                <c:pt idx="29">
                  <c:v>2.9392400000000003</c:v>
                </c:pt>
                <c:pt idx="30">
                  <c:v>2.9264700000000001</c:v>
                </c:pt>
                <c:pt idx="31">
                  <c:v>2.9180999999999999</c:v>
                </c:pt>
                <c:pt idx="32">
                  <c:v>2.91228</c:v>
                </c:pt>
                <c:pt idx="33">
                  <c:v>2.9058899999999999</c:v>
                </c:pt>
                <c:pt idx="34">
                  <c:v>2.89873</c:v>
                </c:pt>
                <c:pt idx="35">
                  <c:v>2.8909099999999999</c:v>
                </c:pt>
                <c:pt idx="36">
                  <c:v>2.8828399999999998</c:v>
                </c:pt>
                <c:pt idx="37">
                  <c:v>2.88009</c:v>
                </c:pt>
                <c:pt idx="38">
                  <c:v>2.8838200000000001</c:v>
                </c:pt>
                <c:pt idx="39">
                  <c:v>2.8965700000000001</c:v>
                </c:pt>
                <c:pt idx="40">
                  <c:v>2.9149000000000003</c:v>
                </c:pt>
                <c:pt idx="41">
                  <c:v>2.9321799999999998</c:v>
                </c:pt>
                <c:pt idx="42">
                  <c:v>2.9475899999999999</c:v>
                </c:pt>
                <c:pt idx="43">
                  <c:v>2.96434</c:v>
                </c:pt>
                <c:pt idx="44">
                  <c:v>2.98244</c:v>
                </c:pt>
                <c:pt idx="45">
                  <c:v>3.00298</c:v>
                </c:pt>
                <c:pt idx="46">
                  <c:v>3.0292300000000001</c:v>
                </c:pt>
                <c:pt idx="47">
                  <c:v>3.0595699999999999</c:v>
                </c:pt>
                <c:pt idx="48">
                  <c:v>3.0900400000000001</c:v>
                </c:pt>
                <c:pt idx="49">
                  <c:v>3.1185099999999997</c:v>
                </c:pt>
                <c:pt idx="50">
                  <c:v>3.14621</c:v>
                </c:pt>
                <c:pt idx="51">
                  <c:v>3.1571700000000003</c:v>
                </c:pt>
                <c:pt idx="52">
                  <c:v>3.1694299999999997</c:v>
                </c:pt>
                <c:pt idx="53">
                  <c:v>3.18126</c:v>
                </c:pt>
                <c:pt idx="54">
                  <c:v>3.1935799999999999</c:v>
                </c:pt>
                <c:pt idx="55">
                  <c:v>3.2060399999999998</c:v>
                </c:pt>
                <c:pt idx="56">
                  <c:v>3.2172200000000002</c:v>
                </c:pt>
                <c:pt idx="57">
                  <c:v>3.2293799999999999</c:v>
                </c:pt>
                <c:pt idx="58">
                  <c:v>3.2408799999999998</c:v>
                </c:pt>
                <c:pt idx="59">
                  <c:v>3.2547700000000002</c:v>
                </c:pt>
                <c:pt idx="60">
                  <c:v>3.2740799999999997</c:v>
                </c:pt>
                <c:pt idx="61">
                  <c:v>3.2984999999999998</c:v>
                </c:pt>
                <c:pt idx="62">
                  <c:v>3.3221699999999998</c:v>
                </c:pt>
                <c:pt idx="63">
                  <c:v>3.3411400000000002</c:v>
                </c:pt>
                <c:pt idx="64">
                  <c:v>3.3543600000000002</c:v>
                </c:pt>
                <c:pt idx="65">
                  <c:v>3.3664100000000001</c:v>
                </c:pt>
                <c:pt idx="66">
                  <c:v>3.3796300000000001</c:v>
                </c:pt>
                <c:pt idx="67">
                  <c:v>3.3975400000000002</c:v>
                </c:pt>
                <c:pt idx="68">
                  <c:v>3.4181499999999998</c:v>
                </c:pt>
                <c:pt idx="69">
                  <c:v>3.4423700000000004</c:v>
                </c:pt>
                <c:pt idx="70">
                  <c:v>3.4640700000000004</c:v>
                </c:pt>
                <c:pt idx="71">
                  <c:v>3.4710400000000003</c:v>
                </c:pt>
                <c:pt idx="72">
                  <c:v>3.4715699999999998</c:v>
                </c:pt>
                <c:pt idx="73">
                  <c:v>3.4711500000000002</c:v>
                </c:pt>
                <c:pt idx="74">
                  <c:v>3.4798299999999998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1.40873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14.940925</c:v>
                </c:pt>
                <c:pt idx="1">
                  <c:v>44.822775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2.7124448648648651</c:v>
                </c:pt>
                <c:pt idx="1">
                  <c:v>3.1983033783783785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0.40467799999999998</c:v>
                </c:pt>
                <c:pt idx="2">
                  <c:v>0.81208000000000002</c:v>
                </c:pt>
                <c:pt idx="3">
                  <c:v>1.2195199999999999</c:v>
                </c:pt>
                <c:pt idx="4">
                  <c:v>1.6228199999999999</c:v>
                </c:pt>
                <c:pt idx="5">
                  <c:v>2.0276200000000002</c:v>
                </c:pt>
                <c:pt idx="6">
                  <c:v>2.4356599999999999</c:v>
                </c:pt>
                <c:pt idx="7">
                  <c:v>2.8413200000000001</c:v>
                </c:pt>
                <c:pt idx="8">
                  <c:v>3.24674</c:v>
                </c:pt>
                <c:pt idx="9">
                  <c:v>3.6567099999999999</c:v>
                </c:pt>
                <c:pt idx="10">
                  <c:v>4.0611300000000004</c:v>
                </c:pt>
                <c:pt idx="11">
                  <c:v>4.4680799999999996</c:v>
                </c:pt>
                <c:pt idx="12">
                  <c:v>4.8728100000000003</c:v>
                </c:pt>
                <c:pt idx="13">
                  <c:v>5.2787499999999996</c:v>
                </c:pt>
                <c:pt idx="14">
                  <c:v>5.6848200000000002</c:v>
                </c:pt>
                <c:pt idx="15">
                  <c:v>6.0929599999999997</c:v>
                </c:pt>
                <c:pt idx="16">
                  <c:v>6.5017300000000002</c:v>
                </c:pt>
                <c:pt idx="17">
                  <c:v>6.9022399999999999</c:v>
                </c:pt>
                <c:pt idx="18">
                  <c:v>7.30844</c:v>
                </c:pt>
                <c:pt idx="19">
                  <c:v>7.7182500000000003</c:v>
                </c:pt>
                <c:pt idx="20">
                  <c:v>8.12012</c:v>
                </c:pt>
                <c:pt idx="21">
                  <c:v>8.5291599999999992</c:v>
                </c:pt>
                <c:pt idx="22">
                  <c:v>8.9363200000000003</c:v>
                </c:pt>
                <c:pt idx="23">
                  <c:v>9.3441100000000006</c:v>
                </c:pt>
                <c:pt idx="24">
                  <c:v>9.7478899999999999</c:v>
                </c:pt>
                <c:pt idx="25">
                  <c:v>10.1546</c:v>
                </c:pt>
                <c:pt idx="26">
                  <c:v>10.559699999999999</c:v>
                </c:pt>
                <c:pt idx="27">
                  <c:v>10.9686</c:v>
                </c:pt>
                <c:pt idx="28">
                  <c:v>11.372400000000001</c:v>
                </c:pt>
                <c:pt idx="29">
                  <c:v>11.78</c:v>
                </c:pt>
                <c:pt idx="30">
                  <c:v>12.184799999999999</c:v>
                </c:pt>
                <c:pt idx="31">
                  <c:v>12.5907</c:v>
                </c:pt>
                <c:pt idx="32">
                  <c:v>12.9969</c:v>
                </c:pt>
                <c:pt idx="33">
                  <c:v>13.405799999999999</c:v>
                </c:pt>
                <c:pt idx="34">
                  <c:v>13.8104</c:v>
                </c:pt>
                <c:pt idx="35">
                  <c:v>14.2171</c:v>
                </c:pt>
                <c:pt idx="36">
                  <c:v>14.622400000000001</c:v>
                </c:pt>
                <c:pt idx="37">
                  <c:v>15.028</c:v>
                </c:pt>
                <c:pt idx="38">
                  <c:v>15.437799999999999</c:v>
                </c:pt>
                <c:pt idx="39">
                  <c:v>15.842599999999999</c:v>
                </c:pt>
                <c:pt idx="40">
                  <c:v>16.2471</c:v>
                </c:pt>
                <c:pt idx="41">
                  <c:v>16.652999999999999</c:v>
                </c:pt>
                <c:pt idx="42">
                  <c:v>17.063400000000001</c:v>
                </c:pt>
                <c:pt idx="43">
                  <c:v>17.468399999999999</c:v>
                </c:pt>
                <c:pt idx="44">
                  <c:v>17.871700000000001</c:v>
                </c:pt>
                <c:pt idx="45">
                  <c:v>18.278099999999998</c:v>
                </c:pt>
                <c:pt idx="46">
                  <c:v>18.685600000000001</c:v>
                </c:pt>
                <c:pt idx="47">
                  <c:v>19.090900000000001</c:v>
                </c:pt>
                <c:pt idx="48">
                  <c:v>19.498100000000001</c:v>
                </c:pt>
                <c:pt idx="49">
                  <c:v>19.9053</c:v>
                </c:pt>
                <c:pt idx="50">
                  <c:v>20.312000000000001</c:v>
                </c:pt>
                <c:pt idx="51">
                  <c:v>20.715599999999998</c:v>
                </c:pt>
                <c:pt idx="52">
                  <c:v>21.122499999999999</c:v>
                </c:pt>
                <c:pt idx="53">
                  <c:v>21.529900000000001</c:v>
                </c:pt>
                <c:pt idx="54">
                  <c:v>21.933900000000001</c:v>
                </c:pt>
                <c:pt idx="55">
                  <c:v>22.341999999999999</c:v>
                </c:pt>
                <c:pt idx="56">
                  <c:v>22.7454</c:v>
                </c:pt>
                <c:pt idx="57">
                  <c:v>23.153400000000001</c:v>
                </c:pt>
                <c:pt idx="58">
                  <c:v>23.559799999999999</c:v>
                </c:pt>
                <c:pt idx="59">
                  <c:v>23.967600000000001</c:v>
                </c:pt>
                <c:pt idx="60">
                  <c:v>24.371400000000001</c:v>
                </c:pt>
                <c:pt idx="61">
                  <c:v>24.780200000000001</c:v>
                </c:pt>
                <c:pt idx="62">
                  <c:v>25.1877</c:v>
                </c:pt>
                <c:pt idx="63">
                  <c:v>25.590599999999998</c:v>
                </c:pt>
                <c:pt idx="64">
                  <c:v>25.996300000000002</c:v>
                </c:pt>
                <c:pt idx="65">
                  <c:v>26.403400000000001</c:v>
                </c:pt>
                <c:pt idx="66">
                  <c:v>26.8123</c:v>
                </c:pt>
                <c:pt idx="67">
                  <c:v>27.215900000000001</c:v>
                </c:pt>
                <c:pt idx="68">
                  <c:v>27.6251</c:v>
                </c:pt>
                <c:pt idx="69">
                  <c:v>28.0304</c:v>
                </c:pt>
                <c:pt idx="70">
                  <c:v>28.435500000000001</c:v>
                </c:pt>
                <c:pt idx="71">
                  <c:v>28.843599999999999</c:v>
                </c:pt>
                <c:pt idx="72">
                  <c:v>29.248100000000001</c:v>
                </c:pt>
                <c:pt idx="73">
                  <c:v>29.654499999999999</c:v>
                </c:pt>
                <c:pt idx="74">
                  <c:v>30.06</c:v>
                </c:pt>
                <c:pt idx="75">
                  <c:v>30.519200000000001</c:v>
                </c:pt>
                <c:pt idx="76">
                  <c:v>30.9252</c:v>
                </c:pt>
                <c:pt idx="77">
                  <c:v>31.3278</c:v>
                </c:pt>
                <c:pt idx="78">
                  <c:v>31.733000000000001</c:v>
                </c:pt>
                <c:pt idx="79">
                  <c:v>32.143000000000001</c:v>
                </c:pt>
                <c:pt idx="80">
                  <c:v>32.5473</c:v>
                </c:pt>
                <c:pt idx="81">
                  <c:v>32.952800000000003</c:v>
                </c:pt>
                <c:pt idx="82">
                  <c:v>33.357300000000002</c:v>
                </c:pt>
                <c:pt idx="83">
                  <c:v>33.763300000000001</c:v>
                </c:pt>
                <c:pt idx="84">
                  <c:v>34.171599999999998</c:v>
                </c:pt>
                <c:pt idx="85">
                  <c:v>34.581099999999999</c:v>
                </c:pt>
                <c:pt idx="86">
                  <c:v>34.983899999999998</c:v>
                </c:pt>
                <c:pt idx="87">
                  <c:v>35.39</c:v>
                </c:pt>
                <c:pt idx="88">
                  <c:v>35.794199999999996</c:v>
                </c:pt>
                <c:pt idx="89">
                  <c:v>36.200400000000002</c:v>
                </c:pt>
                <c:pt idx="90">
                  <c:v>36.607599999999998</c:v>
                </c:pt>
                <c:pt idx="91">
                  <c:v>37.0124</c:v>
                </c:pt>
                <c:pt idx="92">
                  <c:v>37.421700000000001</c:v>
                </c:pt>
                <c:pt idx="93">
                  <c:v>37.826700000000002</c:v>
                </c:pt>
                <c:pt idx="94">
                  <c:v>38.232500000000002</c:v>
                </c:pt>
                <c:pt idx="95">
                  <c:v>38.6389</c:v>
                </c:pt>
                <c:pt idx="96">
                  <c:v>39.046500000000002</c:v>
                </c:pt>
                <c:pt idx="97">
                  <c:v>39.4512</c:v>
                </c:pt>
                <c:pt idx="98">
                  <c:v>39.860999999999997</c:v>
                </c:pt>
                <c:pt idx="99">
                  <c:v>40.265099999999997</c:v>
                </c:pt>
                <c:pt idx="100">
                  <c:v>40.667900000000003</c:v>
                </c:pt>
                <c:pt idx="101">
                  <c:v>41.076700000000002</c:v>
                </c:pt>
                <c:pt idx="102">
                  <c:v>41.482300000000002</c:v>
                </c:pt>
                <c:pt idx="103">
                  <c:v>41.890900000000002</c:v>
                </c:pt>
                <c:pt idx="104">
                  <c:v>42.293999999999997</c:v>
                </c:pt>
                <c:pt idx="105">
                  <c:v>42.700299999999999</c:v>
                </c:pt>
                <c:pt idx="106">
                  <c:v>43.107599999999998</c:v>
                </c:pt>
                <c:pt idx="107">
                  <c:v>43.514299999999999</c:v>
                </c:pt>
                <c:pt idx="108">
                  <c:v>43.922199999999997</c:v>
                </c:pt>
                <c:pt idx="109">
                  <c:v>44.326900000000002</c:v>
                </c:pt>
                <c:pt idx="110">
                  <c:v>44.734200000000001</c:v>
                </c:pt>
                <c:pt idx="111">
                  <c:v>45.137</c:v>
                </c:pt>
                <c:pt idx="112">
                  <c:v>45.5473</c:v>
                </c:pt>
                <c:pt idx="113">
                  <c:v>45.9512</c:v>
                </c:pt>
                <c:pt idx="114">
                  <c:v>46.358400000000003</c:v>
                </c:pt>
                <c:pt idx="115">
                  <c:v>46.761600000000001</c:v>
                </c:pt>
                <c:pt idx="116">
                  <c:v>47.167099999999998</c:v>
                </c:pt>
                <c:pt idx="117">
                  <c:v>47.577199999999998</c:v>
                </c:pt>
                <c:pt idx="118">
                  <c:v>47.984299999999998</c:v>
                </c:pt>
                <c:pt idx="119">
                  <c:v>48.3874</c:v>
                </c:pt>
                <c:pt idx="120">
                  <c:v>48.794600000000003</c:v>
                </c:pt>
                <c:pt idx="121">
                  <c:v>49.198799999999999</c:v>
                </c:pt>
                <c:pt idx="122">
                  <c:v>49.607599999999998</c:v>
                </c:pt>
                <c:pt idx="123">
                  <c:v>50.013599999999997</c:v>
                </c:pt>
                <c:pt idx="124">
                  <c:v>50.4206</c:v>
                </c:pt>
                <c:pt idx="125">
                  <c:v>50.824300000000001</c:v>
                </c:pt>
                <c:pt idx="126">
                  <c:v>51.233600000000003</c:v>
                </c:pt>
                <c:pt idx="127">
                  <c:v>51.636499999999998</c:v>
                </c:pt>
                <c:pt idx="128">
                  <c:v>52.044699999999999</c:v>
                </c:pt>
                <c:pt idx="129">
                  <c:v>52.450200000000002</c:v>
                </c:pt>
                <c:pt idx="130">
                  <c:v>52.859900000000003</c:v>
                </c:pt>
                <c:pt idx="131">
                  <c:v>53.2669</c:v>
                </c:pt>
                <c:pt idx="132">
                  <c:v>53.6706</c:v>
                </c:pt>
                <c:pt idx="133">
                  <c:v>54.075899999999997</c:v>
                </c:pt>
                <c:pt idx="134">
                  <c:v>54.481699999999996</c:v>
                </c:pt>
                <c:pt idx="135">
                  <c:v>54.890300000000003</c:v>
                </c:pt>
                <c:pt idx="136">
                  <c:v>55.296999999999997</c:v>
                </c:pt>
                <c:pt idx="137">
                  <c:v>55.702100000000002</c:v>
                </c:pt>
                <c:pt idx="138">
                  <c:v>56.104999999999997</c:v>
                </c:pt>
                <c:pt idx="139">
                  <c:v>56.516199999999998</c:v>
                </c:pt>
                <c:pt idx="140">
                  <c:v>56.921399999999998</c:v>
                </c:pt>
                <c:pt idx="141">
                  <c:v>57.325899999999997</c:v>
                </c:pt>
                <c:pt idx="142">
                  <c:v>57.732799999999997</c:v>
                </c:pt>
                <c:pt idx="143">
                  <c:v>58.137799999999999</c:v>
                </c:pt>
                <c:pt idx="144">
                  <c:v>58.545200000000001</c:v>
                </c:pt>
                <c:pt idx="145">
                  <c:v>58.9542</c:v>
                </c:pt>
                <c:pt idx="146">
                  <c:v>59.356999999999999</c:v>
                </c:pt>
                <c:pt idx="147">
                  <c:v>59.7637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59.154300000000006</c:v>
                </c:pt>
                <c:pt idx="1">
                  <c:v>58.235000000000007</c:v>
                </c:pt>
                <c:pt idx="2">
                  <c:v>57.332700000000003</c:v>
                </c:pt>
                <c:pt idx="3">
                  <c:v>56.3964</c:v>
                </c:pt>
                <c:pt idx="4">
                  <c:v>55.492699999999992</c:v>
                </c:pt>
                <c:pt idx="5">
                  <c:v>54.528500000000001</c:v>
                </c:pt>
                <c:pt idx="6">
                  <c:v>53.436099999999996</c:v>
                </c:pt>
                <c:pt idx="7">
                  <c:v>52.253899999999994</c:v>
                </c:pt>
                <c:pt idx="8">
                  <c:v>51.014099999999999</c:v>
                </c:pt>
                <c:pt idx="9">
                  <c:v>49.799399999999999</c:v>
                </c:pt>
                <c:pt idx="10">
                  <c:v>48.522500000000001</c:v>
                </c:pt>
                <c:pt idx="11">
                  <c:v>47.161799999999999</c:v>
                </c:pt>
                <c:pt idx="12">
                  <c:v>45.748699999999999</c:v>
                </c:pt>
                <c:pt idx="13">
                  <c:v>44.240600000000001</c:v>
                </c:pt>
                <c:pt idx="14">
                  <c:v>42.617199999999997</c:v>
                </c:pt>
                <c:pt idx="15">
                  <c:v>41.112500000000004</c:v>
                </c:pt>
                <c:pt idx="16">
                  <c:v>39.837299999999999</c:v>
                </c:pt>
                <c:pt idx="17">
                  <c:v>38.769599999999997</c:v>
                </c:pt>
                <c:pt idx="18">
                  <c:v>37.739200000000004</c:v>
                </c:pt>
                <c:pt idx="19">
                  <c:v>36.641800000000003</c:v>
                </c:pt>
                <c:pt idx="20">
                  <c:v>35.632100000000001</c:v>
                </c:pt>
                <c:pt idx="21">
                  <c:v>34.754600000000003</c:v>
                </c:pt>
                <c:pt idx="22">
                  <c:v>34.011200000000002</c:v>
                </c:pt>
                <c:pt idx="23">
                  <c:v>33.4163</c:v>
                </c:pt>
                <c:pt idx="24">
                  <c:v>32.972200000000001</c:v>
                </c:pt>
                <c:pt idx="25">
                  <c:v>32.6145</c:v>
                </c:pt>
                <c:pt idx="26">
                  <c:v>32.330300000000001</c:v>
                </c:pt>
                <c:pt idx="27">
                  <c:v>32.024500000000003</c:v>
                </c:pt>
                <c:pt idx="28">
                  <c:v>31.670100000000001</c:v>
                </c:pt>
                <c:pt idx="29">
                  <c:v>31.375299999999999</c:v>
                </c:pt>
                <c:pt idx="30">
                  <c:v>31.127100000000002</c:v>
                </c:pt>
                <c:pt idx="31">
                  <c:v>30.859199999999998</c:v>
                </c:pt>
                <c:pt idx="32">
                  <c:v>30.636000000000003</c:v>
                </c:pt>
                <c:pt idx="33">
                  <c:v>30.414600000000004</c:v>
                </c:pt>
                <c:pt idx="34">
                  <c:v>30.223699999999997</c:v>
                </c:pt>
                <c:pt idx="35">
                  <c:v>30.0639</c:v>
                </c:pt>
                <c:pt idx="36">
                  <c:v>29.895199999999999</c:v>
                </c:pt>
                <c:pt idx="37">
                  <c:v>29.8004</c:v>
                </c:pt>
                <c:pt idx="38">
                  <c:v>29.802899999999998</c:v>
                </c:pt>
                <c:pt idx="39">
                  <c:v>29.899799999999999</c:v>
                </c:pt>
                <c:pt idx="40">
                  <c:v>30.025000000000002</c:v>
                </c:pt>
                <c:pt idx="41">
                  <c:v>30.087199999999996</c:v>
                </c:pt>
                <c:pt idx="42">
                  <c:v>30.153200000000002</c:v>
                </c:pt>
                <c:pt idx="43">
                  <c:v>30.214099999999998</c:v>
                </c:pt>
                <c:pt idx="44">
                  <c:v>30.443300000000001</c:v>
                </c:pt>
                <c:pt idx="45">
                  <c:v>30.721500000000002</c:v>
                </c:pt>
                <c:pt idx="46">
                  <c:v>31.016899999999996</c:v>
                </c:pt>
                <c:pt idx="47">
                  <c:v>31.273499999999999</c:v>
                </c:pt>
                <c:pt idx="48">
                  <c:v>31.419799999999999</c:v>
                </c:pt>
                <c:pt idx="49">
                  <c:v>31.476700000000001</c:v>
                </c:pt>
                <c:pt idx="50">
                  <c:v>31.509399999999999</c:v>
                </c:pt>
                <c:pt idx="51">
                  <c:v>31.533000000000001</c:v>
                </c:pt>
                <c:pt idx="52">
                  <c:v>31.595600000000001</c:v>
                </c:pt>
                <c:pt idx="53">
                  <c:v>31.653100000000002</c:v>
                </c:pt>
                <c:pt idx="54">
                  <c:v>31.725100000000001</c:v>
                </c:pt>
                <c:pt idx="55">
                  <c:v>31.7743</c:v>
                </c:pt>
                <c:pt idx="56">
                  <c:v>31.819799999999997</c:v>
                </c:pt>
                <c:pt idx="57">
                  <c:v>31.797599999999999</c:v>
                </c:pt>
                <c:pt idx="58">
                  <c:v>31.837100000000003</c:v>
                </c:pt>
                <c:pt idx="59">
                  <c:v>31.841900000000003</c:v>
                </c:pt>
                <c:pt idx="60">
                  <c:v>31.797900000000002</c:v>
                </c:pt>
                <c:pt idx="61">
                  <c:v>31.694299999999998</c:v>
                </c:pt>
                <c:pt idx="62">
                  <c:v>31.613700000000001</c:v>
                </c:pt>
                <c:pt idx="63">
                  <c:v>31.563700000000001</c:v>
                </c:pt>
                <c:pt idx="64">
                  <c:v>31.3934</c:v>
                </c:pt>
                <c:pt idx="65">
                  <c:v>31.102600000000002</c:v>
                </c:pt>
                <c:pt idx="66">
                  <c:v>30.849799999999998</c:v>
                </c:pt>
                <c:pt idx="67">
                  <c:v>30.701800000000002</c:v>
                </c:pt>
                <c:pt idx="68">
                  <c:v>30.408200000000001</c:v>
                </c:pt>
                <c:pt idx="69">
                  <c:v>30.353999999999999</c:v>
                </c:pt>
                <c:pt idx="70">
                  <c:v>30.335600000000003</c:v>
                </c:pt>
                <c:pt idx="71">
                  <c:v>30.298399999999997</c:v>
                </c:pt>
                <c:pt idx="72">
                  <c:v>30.289700000000003</c:v>
                </c:pt>
                <c:pt idx="73">
                  <c:v>30.368000000000002</c:v>
                </c:pt>
                <c:pt idx="74">
                  <c:v>30.390899999999998</c:v>
                </c:pt>
                <c:pt idx="75">
                  <c:v>30.5334</c:v>
                </c:pt>
                <c:pt idx="76">
                  <c:v>30.6707</c:v>
                </c:pt>
                <c:pt idx="77">
                  <c:v>30.805700000000002</c:v>
                </c:pt>
                <c:pt idx="78">
                  <c:v>30.961499999999997</c:v>
                </c:pt>
                <c:pt idx="79">
                  <c:v>31.096699999999998</c:v>
                </c:pt>
                <c:pt idx="80">
                  <c:v>31.176900000000003</c:v>
                </c:pt>
                <c:pt idx="81">
                  <c:v>31.1983</c:v>
                </c:pt>
                <c:pt idx="82">
                  <c:v>31.186499999999999</c:v>
                </c:pt>
                <c:pt idx="83">
                  <c:v>31.174099999999999</c:v>
                </c:pt>
                <c:pt idx="84">
                  <c:v>31.204700000000003</c:v>
                </c:pt>
                <c:pt idx="85">
                  <c:v>31.2959</c:v>
                </c:pt>
                <c:pt idx="86">
                  <c:v>31.455499999999997</c:v>
                </c:pt>
                <c:pt idx="87">
                  <c:v>31.637599999999999</c:v>
                </c:pt>
                <c:pt idx="88">
                  <c:v>31.866399999999999</c:v>
                </c:pt>
                <c:pt idx="89">
                  <c:v>32.093800000000002</c:v>
                </c:pt>
                <c:pt idx="90">
                  <c:v>32.4771</c:v>
                </c:pt>
                <c:pt idx="91">
                  <c:v>32.992100000000001</c:v>
                </c:pt>
                <c:pt idx="92">
                  <c:v>33.589999999999996</c:v>
                </c:pt>
                <c:pt idx="93">
                  <c:v>34.161200000000001</c:v>
                </c:pt>
                <c:pt idx="94">
                  <c:v>34.633099999999999</c:v>
                </c:pt>
                <c:pt idx="95">
                  <c:v>35.090800000000002</c:v>
                </c:pt>
                <c:pt idx="96">
                  <c:v>35.543200000000006</c:v>
                </c:pt>
                <c:pt idx="97">
                  <c:v>36.004899999999999</c:v>
                </c:pt>
                <c:pt idx="98">
                  <c:v>36.4724</c:v>
                </c:pt>
                <c:pt idx="99">
                  <c:v>37.0443</c:v>
                </c:pt>
                <c:pt idx="100">
                  <c:v>37.684400000000004</c:v>
                </c:pt>
                <c:pt idx="101">
                  <c:v>38.254199999999997</c:v>
                </c:pt>
                <c:pt idx="102">
                  <c:v>38.853900000000003</c:v>
                </c:pt>
                <c:pt idx="103">
                  <c:v>39.317800000000005</c:v>
                </c:pt>
                <c:pt idx="104">
                  <c:v>39.7166</c:v>
                </c:pt>
                <c:pt idx="105">
                  <c:v>40.110700000000001</c:v>
                </c:pt>
                <c:pt idx="106">
                  <c:v>40.666000000000004</c:v>
                </c:pt>
                <c:pt idx="107">
                  <c:v>41.269500000000001</c:v>
                </c:pt>
                <c:pt idx="108">
                  <c:v>41.827300000000001</c:v>
                </c:pt>
                <c:pt idx="109">
                  <c:v>42.329599999999999</c:v>
                </c:pt>
                <c:pt idx="110">
                  <c:v>42.692799999999998</c:v>
                </c:pt>
                <c:pt idx="111">
                  <c:v>42.9313</c:v>
                </c:pt>
                <c:pt idx="112">
                  <c:v>43.046599999999998</c:v>
                </c:pt>
                <c:pt idx="113">
                  <c:v>43.062199999999997</c:v>
                </c:pt>
                <c:pt idx="114">
                  <c:v>43.069499999999998</c:v>
                </c:pt>
                <c:pt idx="115">
                  <c:v>43.119199999999999</c:v>
                </c:pt>
                <c:pt idx="116">
                  <c:v>43.131500000000003</c:v>
                </c:pt>
                <c:pt idx="117">
                  <c:v>43.139099999999999</c:v>
                </c:pt>
                <c:pt idx="118">
                  <c:v>43.039100000000005</c:v>
                </c:pt>
                <c:pt idx="119">
                  <c:v>42.791000000000004</c:v>
                </c:pt>
                <c:pt idx="120">
                  <c:v>42.518599999999999</c:v>
                </c:pt>
                <c:pt idx="121">
                  <c:v>42.278999999999996</c:v>
                </c:pt>
                <c:pt idx="122">
                  <c:v>42.110100000000003</c:v>
                </c:pt>
                <c:pt idx="123">
                  <c:v>41.913499999999999</c:v>
                </c:pt>
                <c:pt idx="124">
                  <c:v>41.9527</c:v>
                </c:pt>
                <c:pt idx="125">
                  <c:v>41.966999999999999</c:v>
                </c:pt>
                <c:pt idx="126">
                  <c:v>41.962200000000003</c:v>
                </c:pt>
                <c:pt idx="127">
                  <c:v>41.912500000000001</c:v>
                </c:pt>
                <c:pt idx="128">
                  <c:v>41.8431</c:v>
                </c:pt>
                <c:pt idx="129">
                  <c:v>41.797899999999998</c:v>
                </c:pt>
                <c:pt idx="130">
                  <c:v>41.747399999999999</c:v>
                </c:pt>
                <c:pt idx="131">
                  <c:v>41.608200000000004</c:v>
                </c:pt>
                <c:pt idx="132">
                  <c:v>41.446600000000004</c:v>
                </c:pt>
                <c:pt idx="133">
                  <c:v>41.3048</c:v>
                </c:pt>
                <c:pt idx="134">
                  <c:v>41.193999999999996</c:v>
                </c:pt>
                <c:pt idx="135">
                  <c:v>41.084099999999999</c:v>
                </c:pt>
                <c:pt idx="136">
                  <c:v>40.902799999999999</c:v>
                </c:pt>
                <c:pt idx="137">
                  <c:v>40.629100000000001</c:v>
                </c:pt>
                <c:pt idx="138">
                  <c:v>40.341700000000003</c:v>
                </c:pt>
                <c:pt idx="139">
                  <c:v>40.082799999999999</c:v>
                </c:pt>
                <c:pt idx="140">
                  <c:v>39.769300000000001</c:v>
                </c:pt>
                <c:pt idx="141">
                  <c:v>39.513100000000001</c:v>
                </c:pt>
                <c:pt idx="142">
                  <c:v>39.182099999999998</c:v>
                </c:pt>
                <c:pt idx="143">
                  <c:v>38.934100000000001</c:v>
                </c:pt>
                <c:pt idx="144">
                  <c:v>38.800200000000004</c:v>
                </c:pt>
                <c:pt idx="145">
                  <c:v>38.793799999999997</c:v>
                </c:pt>
                <c:pt idx="146">
                  <c:v>38.911799999999999</c:v>
                </c:pt>
                <c:pt idx="147">
                  <c:v>38.698300000000003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0.40467799999999998</c:v>
                </c:pt>
                <c:pt idx="2">
                  <c:v>0.81208000000000002</c:v>
                </c:pt>
                <c:pt idx="3">
                  <c:v>1.2195199999999999</c:v>
                </c:pt>
                <c:pt idx="4">
                  <c:v>1.6228199999999999</c:v>
                </c:pt>
                <c:pt idx="5">
                  <c:v>2.0276200000000002</c:v>
                </c:pt>
                <c:pt idx="6">
                  <c:v>2.4356599999999999</c:v>
                </c:pt>
                <c:pt idx="7">
                  <c:v>2.8413200000000001</c:v>
                </c:pt>
                <c:pt idx="8">
                  <c:v>3.24674</c:v>
                </c:pt>
                <c:pt idx="9">
                  <c:v>3.6567099999999999</c:v>
                </c:pt>
                <c:pt idx="10">
                  <c:v>4.0611300000000004</c:v>
                </c:pt>
                <c:pt idx="11">
                  <c:v>4.4680799999999996</c:v>
                </c:pt>
                <c:pt idx="12">
                  <c:v>4.8728100000000003</c:v>
                </c:pt>
                <c:pt idx="13">
                  <c:v>5.2787499999999996</c:v>
                </c:pt>
                <c:pt idx="14">
                  <c:v>5.6848200000000002</c:v>
                </c:pt>
                <c:pt idx="15">
                  <c:v>6.0929599999999997</c:v>
                </c:pt>
                <c:pt idx="16">
                  <c:v>6.5017300000000002</c:v>
                </c:pt>
                <c:pt idx="17">
                  <c:v>6.9022399999999999</c:v>
                </c:pt>
                <c:pt idx="18">
                  <c:v>7.30844</c:v>
                </c:pt>
                <c:pt idx="19">
                  <c:v>7.7182500000000003</c:v>
                </c:pt>
                <c:pt idx="20">
                  <c:v>8.12012</c:v>
                </c:pt>
                <c:pt idx="21">
                  <c:v>8.5291599999999992</c:v>
                </c:pt>
                <c:pt idx="22">
                  <c:v>8.9363200000000003</c:v>
                </c:pt>
                <c:pt idx="23">
                  <c:v>9.3441100000000006</c:v>
                </c:pt>
                <c:pt idx="24">
                  <c:v>9.7478899999999999</c:v>
                </c:pt>
                <c:pt idx="25">
                  <c:v>10.1546</c:v>
                </c:pt>
                <c:pt idx="26">
                  <c:v>10.559699999999999</c:v>
                </c:pt>
                <c:pt idx="27">
                  <c:v>10.9686</c:v>
                </c:pt>
                <c:pt idx="28">
                  <c:v>11.372400000000001</c:v>
                </c:pt>
                <c:pt idx="29">
                  <c:v>11.78</c:v>
                </c:pt>
                <c:pt idx="30">
                  <c:v>12.184799999999999</c:v>
                </c:pt>
                <c:pt idx="31">
                  <c:v>12.5907</c:v>
                </c:pt>
                <c:pt idx="32">
                  <c:v>12.9969</c:v>
                </c:pt>
                <c:pt idx="33">
                  <c:v>13.405799999999999</c:v>
                </c:pt>
                <c:pt idx="34">
                  <c:v>13.8104</c:v>
                </c:pt>
                <c:pt idx="35">
                  <c:v>14.2171</c:v>
                </c:pt>
                <c:pt idx="36">
                  <c:v>14.622400000000001</c:v>
                </c:pt>
                <c:pt idx="37">
                  <c:v>15.028</c:v>
                </c:pt>
                <c:pt idx="38">
                  <c:v>15.437799999999999</c:v>
                </c:pt>
                <c:pt idx="39">
                  <c:v>15.842599999999999</c:v>
                </c:pt>
                <c:pt idx="40">
                  <c:v>16.2471</c:v>
                </c:pt>
                <c:pt idx="41">
                  <c:v>16.652999999999999</c:v>
                </c:pt>
                <c:pt idx="42">
                  <c:v>17.063400000000001</c:v>
                </c:pt>
                <c:pt idx="43">
                  <c:v>17.468399999999999</c:v>
                </c:pt>
                <c:pt idx="44">
                  <c:v>17.871700000000001</c:v>
                </c:pt>
                <c:pt idx="45">
                  <c:v>18.278099999999998</c:v>
                </c:pt>
                <c:pt idx="46">
                  <c:v>18.685600000000001</c:v>
                </c:pt>
                <c:pt idx="47">
                  <c:v>19.090900000000001</c:v>
                </c:pt>
                <c:pt idx="48">
                  <c:v>19.498100000000001</c:v>
                </c:pt>
                <c:pt idx="49">
                  <c:v>19.9053</c:v>
                </c:pt>
                <c:pt idx="50">
                  <c:v>20.312000000000001</c:v>
                </c:pt>
                <c:pt idx="51">
                  <c:v>20.715599999999998</c:v>
                </c:pt>
                <c:pt idx="52">
                  <c:v>21.122499999999999</c:v>
                </c:pt>
                <c:pt idx="53">
                  <c:v>21.529900000000001</c:v>
                </c:pt>
                <c:pt idx="54">
                  <c:v>21.933900000000001</c:v>
                </c:pt>
                <c:pt idx="55">
                  <c:v>22.341999999999999</c:v>
                </c:pt>
                <c:pt idx="56">
                  <c:v>22.7454</c:v>
                </c:pt>
                <c:pt idx="57">
                  <c:v>23.153400000000001</c:v>
                </c:pt>
                <c:pt idx="58">
                  <c:v>23.559799999999999</c:v>
                </c:pt>
                <c:pt idx="59">
                  <c:v>23.967600000000001</c:v>
                </c:pt>
                <c:pt idx="60">
                  <c:v>24.371400000000001</c:v>
                </c:pt>
                <c:pt idx="61">
                  <c:v>24.780200000000001</c:v>
                </c:pt>
                <c:pt idx="62">
                  <c:v>25.1877</c:v>
                </c:pt>
                <c:pt idx="63">
                  <c:v>25.590599999999998</c:v>
                </c:pt>
                <c:pt idx="64">
                  <c:v>25.996300000000002</c:v>
                </c:pt>
                <c:pt idx="65">
                  <c:v>26.403400000000001</c:v>
                </c:pt>
                <c:pt idx="66">
                  <c:v>26.8123</c:v>
                </c:pt>
                <c:pt idx="67">
                  <c:v>27.215900000000001</c:v>
                </c:pt>
                <c:pt idx="68">
                  <c:v>27.6251</c:v>
                </c:pt>
                <c:pt idx="69">
                  <c:v>28.0304</c:v>
                </c:pt>
                <c:pt idx="70">
                  <c:v>28.435500000000001</c:v>
                </c:pt>
                <c:pt idx="71">
                  <c:v>28.843599999999999</c:v>
                </c:pt>
                <c:pt idx="72">
                  <c:v>29.248100000000001</c:v>
                </c:pt>
                <c:pt idx="73">
                  <c:v>29.654499999999999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59.154300000000006</c:v>
                </c:pt>
                <c:pt idx="1">
                  <c:v>58.235000000000007</c:v>
                </c:pt>
                <c:pt idx="2">
                  <c:v>57.332700000000003</c:v>
                </c:pt>
                <c:pt idx="3">
                  <c:v>56.3964</c:v>
                </c:pt>
                <c:pt idx="4">
                  <c:v>55.492699999999992</c:v>
                </c:pt>
                <c:pt idx="5">
                  <c:v>54.528500000000001</c:v>
                </c:pt>
                <c:pt idx="6">
                  <c:v>53.436099999999996</c:v>
                </c:pt>
                <c:pt idx="7">
                  <c:v>52.253899999999994</c:v>
                </c:pt>
                <c:pt idx="8">
                  <c:v>51.014099999999999</c:v>
                </c:pt>
                <c:pt idx="9">
                  <c:v>49.799399999999999</c:v>
                </c:pt>
                <c:pt idx="10">
                  <c:v>48.522500000000001</c:v>
                </c:pt>
                <c:pt idx="11">
                  <c:v>47.161799999999999</c:v>
                </c:pt>
                <c:pt idx="12">
                  <c:v>45.748699999999999</c:v>
                </c:pt>
                <c:pt idx="13">
                  <c:v>44.240600000000001</c:v>
                </c:pt>
                <c:pt idx="14">
                  <c:v>42.617199999999997</c:v>
                </c:pt>
                <c:pt idx="15">
                  <c:v>41.112500000000004</c:v>
                </c:pt>
                <c:pt idx="16">
                  <c:v>39.837299999999999</c:v>
                </c:pt>
                <c:pt idx="17">
                  <c:v>38.769599999999997</c:v>
                </c:pt>
                <c:pt idx="18">
                  <c:v>37.739200000000004</c:v>
                </c:pt>
                <c:pt idx="19">
                  <c:v>36.641800000000003</c:v>
                </c:pt>
                <c:pt idx="20">
                  <c:v>35.632100000000001</c:v>
                </c:pt>
                <c:pt idx="21">
                  <c:v>34.754600000000003</c:v>
                </c:pt>
                <c:pt idx="22">
                  <c:v>34.011200000000002</c:v>
                </c:pt>
                <c:pt idx="23">
                  <c:v>33.4163</c:v>
                </c:pt>
                <c:pt idx="24">
                  <c:v>32.972200000000001</c:v>
                </c:pt>
                <c:pt idx="25">
                  <c:v>32.6145</c:v>
                </c:pt>
                <c:pt idx="26">
                  <c:v>32.330300000000001</c:v>
                </c:pt>
                <c:pt idx="27">
                  <c:v>32.024500000000003</c:v>
                </c:pt>
                <c:pt idx="28">
                  <c:v>31.670100000000001</c:v>
                </c:pt>
                <c:pt idx="29">
                  <c:v>31.375299999999999</c:v>
                </c:pt>
                <c:pt idx="30">
                  <c:v>31.127100000000002</c:v>
                </c:pt>
                <c:pt idx="31">
                  <c:v>30.859199999999998</c:v>
                </c:pt>
                <c:pt idx="32">
                  <c:v>30.636000000000003</c:v>
                </c:pt>
                <c:pt idx="33">
                  <c:v>30.414600000000004</c:v>
                </c:pt>
                <c:pt idx="34">
                  <c:v>30.223699999999997</c:v>
                </c:pt>
                <c:pt idx="35">
                  <c:v>30.0639</c:v>
                </c:pt>
                <c:pt idx="36">
                  <c:v>29.895199999999999</c:v>
                </c:pt>
                <c:pt idx="37">
                  <c:v>29.8004</c:v>
                </c:pt>
                <c:pt idx="38">
                  <c:v>29.802899999999998</c:v>
                </c:pt>
                <c:pt idx="39">
                  <c:v>29.899799999999999</c:v>
                </c:pt>
                <c:pt idx="40">
                  <c:v>30.025000000000002</c:v>
                </c:pt>
                <c:pt idx="41">
                  <c:v>30.087199999999996</c:v>
                </c:pt>
                <c:pt idx="42">
                  <c:v>30.153200000000002</c:v>
                </c:pt>
                <c:pt idx="43">
                  <c:v>30.214099999999998</c:v>
                </c:pt>
                <c:pt idx="44">
                  <c:v>30.443300000000001</c:v>
                </c:pt>
                <c:pt idx="45">
                  <c:v>30.721500000000002</c:v>
                </c:pt>
                <c:pt idx="46">
                  <c:v>31.016899999999996</c:v>
                </c:pt>
                <c:pt idx="47">
                  <c:v>31.273499999999999</c:v>
                </c:pt>
                <c:pt idx="48">
                  <c:v>31.419799999999999</c:v>
                </c:pt>
                <c:pt idx="49">
                  <c:v>31.476700000000001</c:v>
                </c:pt>
                <c:pt idx="50">
                  <c:v>31.509399999999999</c:v>
                </c:pt>
                <c:pt idx="51">
                  <c:v>31.533000000000001</c:v>
                </c:pt>
                <c:pt idx="52">
                  <c:v>31.595600000000001</c:v>
                </c:pt>
                <c:pt idx="53">
                  <c:v>31.653100000000002</c:v>
                </c:pt>
                <c:pt idx="54">
                  <c:v>31.725100000000001</c:v>
                </c:pt>
                <c:pt idx="55">
                  <c:v>31.7743</c:v>
                </c:pt>
                <c:pt idx="56">
                  <c:v>31.819799999999997</c:v>
                </c:pt>
                <c:pt idx="57">
                  <c:v>31.797599999999999</c:v>
                </c:pt>
                <c:pt idx="58">
                  <c:v>31.837100000000003</c:v>
                </c:pt>
                <c:pt idx="59">
                  <c:v>31.841900000000003</c:v>
                </c:pt>
                <c:pt idx="60">
                  <c:v>31.797900000000002</c:v>
                </c:pt>
                <c:pt idx="61">
                  <c:v>31.694299999999998</c:v>
                </c:pt>
                <c:pt idx="62">
                  <c:v>31.613700000000001</c:v>
                </c:pt>
                <c:pt idx="63">
                  <c:v>31.563700000000001</c:v>
                </c:pt>
                <c:pt idx="64">
                  <c:v>31.3934</c:v>
                </c:pt>
                <c:pt idx="65">
                  <c:v>31.102600000000002</c:v>
                </c:pt>
                <c:pt idx="66">
                  <c:v>30.849799999999998</c:v>
                </c:pt>
                <c:pt idx="67">
                  <c:v>30.701800000000002</c:v>
                </c:pt>
                <c:pt idx="68">
                  <c:v>30.408200000000001</c:v>
                </c:pt>
                <c:pt idx="69">
                  <c:v>30.353999999999999</c:v>
                </c:pt>
                <c:pt idx="70">
                  <c:v>30.335600000000003</c:v>
                </c:pt>
                <c:pt idx="71">
                  <c:v>30.298399999999997</c:v>
                </c:pt>
                <c:pt idx="72">
                  <c:v>30.289700000000003</c:v>
                </c:pt>
                <c:pt idx="73">
                  <c:v>30.368000000000002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29.654499999999999</c:v>
                </c:pt>
                <c:pt idx="1">
                  <c:v>30.06</c:v>
                </c:pt>
                <c:pt idx="2">
                  <c:v>30.519200000000001</c:v>
                </c:pt>
                <c:pt idx="3">
                  <c:v>30.9252</c:v>
                </c:pt>
                <c:pt idx="4">
                  <c:v>31.3278</c:v>
                </c:pt>
                <c:pt idx="5">
                  <c:v>31.733000000000001</c:v>
                </c:pt>
                <c:pt idx="6">
                  <c:v>32.143000000000001</c:v>
                </c:pt>
                <c:pt idx="7">
                  <c:v>32.5473</c:v>
                </c:pt>
                <c:pt idx="8">
                  <c:v>32.952800000000003</c:v>
                </c:pt>
                <c:pt idx="9">
                  <c:v>33.357300000000002</c:v>
                </c:pt>
                <c:pt idx="10">
                  <c:v>33.763300000000001</c:v>
                </c:pt>
                <c:pt idx="11">
                  <c:v>34.171599999999998</c:v>
                </c:pt>
                <c:pt idx="12">
                  <c:v>34.581099999999999</c:v>
                </c:pt>
                <c:pt idx="13">
                  <c:v>34.983899999999998</c:v>
                </c:pt>
                <c:pt idx="14">
                  <c:v>35.39</c:v>
                </c:pt>
                <c:pt idx="15">
                  <c:v>35.794199999999996</c:v>
                </c:pt>
                <c:pt idx="16">
                  <c:v>36.200400000000002</c:v>
                </c:pt>
                <c:pt idx="17">
                  <c:v>36.607599999999998</c:v>
                </c:pt>
                <c:pt idx="18">
                  <c:v>37.0124</c:v>
                </c:pt>
                <c:pt idx="19">
                  <c:v>37.421700000000001</c:v>
                </c:pt>
                <c:pt idx="20">
                  <c:v>37.826700000000002</c:v>
                </c:pt>
                <c:pt idx="21">
                  <c:v>38.232500000000002</c:v>
                </c:pt>
                <c:pt idx="22">
                  <c:v>38.6389</c:v>
                </c:pt>
                <c:pt idx="23">
                  <c:v>39.046500000000002</c:v>
                </c:pt>
                <c:pt idx="24">
                  <c:v>39.4512</c:v>
                </c:pt>
                <c:pt idx="25">
                  <c:v>39.860999999999997</c:v>
                </c:pt>
                <c:pt idx="26">
                  <c:v>40.265099999999997</c:v>
                </c:pt>
                <c:pt idx="27">
                  <c:v>40.667900000000003</c:v>
                </c:pt>
                <c:pt idx="28">
                  <c:v>41.076700000000002</c:v>
                </c:pt>
                <c:pt idx="29">
                  <c:v>41.482300000000002</c:v>
                </c:pt>
                <c:pt idx="30">
                  <c:v>41.890900000000002</c:v>
                </c:pt>
                <c:pt idx="31">
                  <c:v>42.293999999999997</c:v>
                </c:pt>
                <c:pt idx="32">
                  <c:v>42.700299999999999</c:v>
                </c:pt>
                <c:pt idx="33">
                  <c:v>43.107599999999998</c:v>
                </c:pt>
                <c:pt idx="34">
                  <c:v>43.514299999999999</c:v>
                </c:pt>
                <c:pt idx="35">
                  <c:v>43.922199999999997</c:v>
                </c:pt>
                <c:pt idx="36">
                  <c:v>44.326900000000002</c:v>
                </c:pt>
                <c:pt idx="37">
                  <c:v>44.734200000000001</c:v>
                </c:pt>
                <c:pt idx="38">
                  <c:v>45.137</c:v>
                </c:pt>
                <c:pt idx="39">
                  <c:v>45.5473</c:v>
                </c:pt>
                <c:pt idx="40">
                  <c:v>45.9512</c:v>
                </c:pt>
                <c:pt idx="41">
                  <c:v>46.358400000000003</c:v>
                </c:pt>
                <c:pt idx="42">
                  <c:v>46.761600000000001</c:v>
                </c:pt>
                <c:pt idx="43">
                  <c:v>47.167099999999998</c:v>
                </c:pt>
                <c:pt idx="44">
                  <c:v>47.577199999999998</c:v>
                </c:pt>
                <c:pt idx="45">
                  <c:v>47.984299999999998</c:v>
                </c:pt>
                <c:pt idx="46">
                  <c:v>48.3874</c:v>
                </c:pt>
                <c:pt idx="47">
                  <c:v>48.794600000000003</c:v>
                </c:pt>
                <c:pt idx="48">
                  <c:v>49.198799999999999</c:v>
                </c:pt>
                <c:pt idx="49">
                  <c:v>49.607599999999998</c:v>
                </c:pt>
                <c:pt idx="50">
                  <c:v>50.013599999999997</c:v>
                </c:pt>
                <c:pt idx="51">
                  <c:v>50.4206</c:v>
                </c:pt>
                <c:pt idx="52">
                  <c:v>50.824300000000001</c:v>
                </c:pt>
                <c:pt idx="53">
                  <c:v>51.233600000000003</c:v>
                </c:pt>
                <c:pt idx="54">
                  <c:v>51.636499999999998</c:v>
                </c:pt>
                <c:pt idx="55">
                  <c:v>52.044699999999999</c:v>
                </c:pt>
                <c:pt idx="56">
                  <c:v>52.450200000000002</c:v>
                </c:pt>
                <c:pt idx="57">
                  <c:v>52.859900000000003</c:v>
                </c:pt>
                <c:pt idx="58">
                  <c:v>53.2669</c:v>
                </c:pt>
                <c:pt idx="59">
                  <c:v>53.6706</c:v>
                </c:pt>
                <c:pt idx="60">
                  <c:v>54.075899999999997</c:v>
                </c:pt>
                <c:pt idx="61">
                  <c:v>54.481699999999996</c:v>
                </c:pt>
                <c:pt idx="62">
                  <c:v>54.890300000000003</c:v>
                </c:pt>
                <c:pt idx="63">
                  <c:v>55.296999999999997</c:v>
                </c:pt>
                <c:pt idx="64">
                  <c:v>55.702100000000002</c:v>
                </c:pt>
                <c:pt idx="65">
                  <c:v>56.104999999999997</c:v>
                </c:pt>
                <c:pt idx="66">
                  <c:v>56.516199999999998</c:v>
                </c:pt>
                <c:pt idx="67">
                  <c:v>56.921399999999998</c:v>
                </c:pt>
                <c:pt idx="68">
                  <c:v>57.325899999999997</c:v>
                </c:pt>
                <c:pt idx="69">
                  <c:v>57.732799999999997</c:v>
                </c:pt>
                <c:pt idx="70">
                  <c:v>58.137799999999999</c:v>
                </c:pt>
                <c:pt idx="71">
                  <c:v>58.545200000000001</c:v>
                </c:pt>
                <c:pt idx="72">
                  <c:v>58.9542</c:v>
                </c:pt>
                <c:pt idx="73">
                  <c:v>59.356999999999999</c:v>
                </c:pt>
                <c:pt idx="74">
                  <c:v>59.7637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30.368000000000002</c:v>
                </c:pt>
                <c:pt idx="1">
                  <c:v>30.390899999999998</c:v>
                </c:pt>
                <c:pt idx="2">
                  <c:v>30.5334</c:v>
                </c:pt>
                <c:pt idx="3">
                  <c:v>30.6707</c:v>
                </c:pt>
                <c:pt idx="4">
                  <c:v>30.805700000000002</c:v>
                </c:pt>
                <c:pt idx="5">
                  <c:v>30.961499999999997</c:v>
                </c:pt>
                <c:pt idx="6">
                  <c:v>31.096699999999998</c:v>
                </c:pt>
                <c:pt idx="7">
                  <c:v>31.176900000000003</c:v>
                </c:pt>
                <c:pt idx="8">
                  <c:v>31.1983</c:v>
                </c:pt>
                <c:pt idx="9">
                  <c:v>31.186499999999999</c:v>
                </c:pt>
                <c:pt idx="10">
                  <c:v>31.174099999999999</c:v>
                </c:pt>
                <c:pt idx="11">
                  <c:v>31.204700000000003</c:v>
                </c:pt>
                <c:pt idx="12">
                  <c:v>31.2959</c:v>
                </c:pt>
                <c:pt idx="13">
                  <c:v>31.455499999999997</c:v>
                </c:pt>
                <c:pt idx="14">
                  <c:v>31.637599999999999</c:v>
                </c:pt>
                <c:pt idx="15">
                  <c:v>31.866399999999999</c:v>
                </c:pt>
                <c:pt idx="16">
                  <c:v>32.093800000000002</c:v>
                </c:pt>
                <c:pt idx="17">
                  <c:v>32.4771</c:v>
                </c:pt>
                <c:pt idx="18">
                  <c:v>32.992100000000001</c:v>
                </c:pt>
                <c:pt idx="19">
                  <c:v>33.589999999999996</c:v>
                </c:pt>
                <c:pt idx="20">
                  <c:v>34.161200000000001</c:v>
                </c:pt>
                <c:pt idx="21">
                  <c:v>34.633099999999999</c:v>
                </c:pt>
                <c:pt idx="22">
                  <c:v>35.090800000000002</c:v>
                </c:pt>
                <c:pt idx="23">
                  <c:v>35.543200000000006</c:v>
                </c:pt>
                <c:pt idx="24">
                  <c:v>36.004899999999999</c:v>
                </c:pt>
                <c:pt idx="25">
                  <c:v>36.4724</c:v>
                </c:pt>
                <c:pt idx="26">
                  <c:v>37.0443</c:v>
                </c:pt>
                <c:pt idx="27">
                  <c:v>37.684400000000004</c:v>
                </c:pt>
                <c:pt idx="28">
                  <c:v>38.254199999999997</c:v>
                </c:pt>
                <c:pt idx="29">
                  <c:v>38.853900000000003</c:v>
                </c:pt>
                <c:pt idx="30">
                  <c:v>39.317800000000005</c:v>
                </c:pt>
                <c:pt idx="31">
                  <c:v>39.7166</c:v>
                </c:pt>
                <c:pt idx="32">
                  <c:v>40.110700000000001</c:v>
                </c:pt>
                <c:pt idx="33">
                  <c:v>40.666000000000004</c:v>
                </c:pt>
                <c:pt idx="34">
                  <c:v>41.269500000000001</c:v>
                </c:pt>
                <c:pt idx="35">
                  <c:v>41.827300000000001</c:v>
                </c:pt>
                <c:pt idx="36">
                  <c:v>42.329599999999999</c:v>
                </c:pt>
                <c:pt idx="37">
                  <c:v>42.692799999999998</c:v>
                </c:pt>
                <c:pt idx="38">
                  <c:v>42.9313</c:v>
                </c:pt>
                <c:pt idx="39">
                  <c:v>43.046599999999998</c:v>
                </c:pt>
                <c:pt idx="40">
                  <c:v>43.062199999999997</c:v>
                </c:pt>
                <c:pt idx="41">
                  <c:v>43.069499999999998</c:v>
                </c:pt>
                <c:pt idx="42">
                  <c:v>43.119199999999999</c:v>
                </c:pt>
                <c:pt idx="43">
                  <c:v>43.131500000000003</c:v>
                </c:pt>
                <c:pt idx="44">
                  <c:v>43.139099999999999</c:v>
                </c:pt>
                <c:pt idx="45">
                  <c:v>43.039100000000005</c:v>
                </c:pt>
                <c:pt idx="46">
                  <c:v>42.791000000000004</c:v>
                </c:pt>
                <c:pt idx="47">
                  <c:v>42.518599999999999</c:v>
                </c:pt>
                <c:pt idx="48">
                  <c:v>42.278999999999996</c:v>
                </c:pt>
                <c:pt idx="49">
                  <c:v>42.110100000000003</c:v>
                </c:pt>
                <c:pt idx="50">
                  <c:v>41.913499999999999</c:v>
                </c:pt>
                <c:pt idx="51">
                  <c:v>41.9527</c:v>
                </c:pt>
                <c:pt idx="52">
                  <c:v>41.966999999999999</c:v>
                </c:pt>
                <c:pt idx="53">
                  <c:v>41.962200000000003</c:v>
                </c:pt>
                <c:pt idx="54">
                  <c:v>41.912500000000001</c:v>
                </c:pt>
                <c:pt idx="55">
                  <c:v>41.8431</c:v>
                </c:pt>
                <c:pt idx="56">
                  <c:v>41.797899999999998</c:v>
                </c:pt>
                <c:pt idx="57">
                  <c:v>41.747399999999999</c:v>
                </c:pt>
                <c:pt idx="58">
                  <c:v>41.608200000000004</c:v>
                </c:pt>
                <c:pt idx="59">
                  <c:v>41.446600000000004</c:v>
                </c:pt>
                <c:pt idx="60">
                  <c:v>41.3048</c:v>
                </c:pt>
                <c:pt idx="61">
                  <c:v>41.193999999999996</c:v>
                </c:pt>
                <c:pt idx="62">
                  <c:v>41.084099999999999</c:v>
                </c:pt>
                <c:pt idx="63">
                  <c:v>40.902799999999999</c:v>
                </c:pt>
                <c:pt idx="64">
                  <c:v>40.629100000000001</c:v>
                </c:pt>
                <c:pt idx="65">
                  <c:v>40.341700000000003</c:v>
                </c:pt>
                <c:pt idx="66">
                  <c:v>40.082799999999999</c:v>
                </c:pt>
                <c:pt idx="67">
                  <c:v>39.769300000000001</c:v>
                </c:pt>
                <c:pt idx="68">
                  <c:v>39.513100000000001</c:v>
                </c:pt>
                <c:pt idx="69">
                  <c:v>39.182099999999998</c:v>
                </c:pt>
                <c:pt idx="70">
                  <c:v>38.934100000000001</c:v>
                </c:pt>
                <c:pt idx="71">
                  <c:v>38.800200000000004</c:v>
                </c:pt>
                <c:pt idx="72">
                  <c:v>38.793799999999997</c:v>
                </c:pt>
                <c:pt idx="73">
                  <c:v>38.911799999999999</c:v>
                </c:pt>
                <c:pt idx="74">
                  <c:v>38.698300000000003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14.940925</c:v>
                </c:pt>
                <c:pt idx="1">
                  <c:v>44.822775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35.949289189189173</c:v>
                </c:pt>
                <c:pt idx="1">
                  <c:v>38.108254054054051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1.40873</c:v>
                </c:pt>
                <c:pt idx="1">
                  <c:v>1.45428</c:v>
                </c:pt>
                <c:pt idx="2">
                  <c:v>1.5002099999999998</c:v>
                </c:pt>
                <c:pt idx="3">
                  <c:v>1.5480700000000001</c:v>
                </c:pt>
                <c:pt idx="4">
                  <c:v>1.59551</c:v>
                </c:pt>
                <c:pt idx="5">
                  <c:v>1.64297</c:v>
                </c:pt>
                <c:pt idx="6">
                  <c:v>1.6940599999999999</c:v>
                </c:pt>
                <c:pt idx="7">
                  <c:v>1.7464599999999999</c:v>
                </c:pt>
                <c:pt idx="8">
                  <c:v>1.7990300000000001</c:v>
                </c:pt>
                <c:pt idx="9">
                  <c:v>1.85175</c:v>
                </c:pt>
                <c:pt idx="10">
                  <c:v>1.9061300000000001</c:v>
                </c:pt>
                <c:pt idx="11">
                  <c:v>1.9636300000000002</c:v>
                </c:pt>
                <c:pt idx="12">
                  <c:v>2.0217900000000002</c:v>
                </c:pt>
                <c:pt idx="13">
                  <c:v>2.0807700000000002</c:v>
                </c:pt>
                <c:pt idx="14">
                  <c:v>2.1424000000000003</c:v>
                </c:pt>
                <c:pt idx="15">
                  <c:v>2.2024400000000002</c:v>
                </c:pt>
                <c:pt idx="16">
                  <c:v>2.2578400000000003</c:v>
                </c:pt>
                <c:pt idx="17">
                  <c:v>2.3106900000000001</c:v>
                </c:pt>
                <c:pt idx="18">
                  <c:v>2.3667099999999999</c:v>
                </c:pt>
                <c:pt idx="19">
                  <c:v>2.4208099999999999</c:v>
                </c:pt>
                <c:pt idx="20">
                  <c:v>2.4718300000000002</c:v>
                </c:pt>
                <c:pt idx="21">
                  <c:v>2.5184800000000003</c:v>
                </c:pt>
                <c:pt idx="22">
                  <c:v>2.5607799999999998</c:v>
                </c:pt>
                <c:pt idx="23">
                  <c:v>2.59985</c:v>
                </c:pt>
                <c:pt idx="24">
                  <c:v>2.6359900000000005</c:v>
                </c:pt>
                <c:pt idx="25">
                  <c:v>2.67069</c:v>
                </c:pt>
                <c:pt idx="26">
                  <c:v>2.70336</c:v>
                </c:pt>
                <c:pt idx="27">
                  <c:v>2.7358500000000001</c:v>
                </c:pt>
                <c:pt idx="28">
                  <c:v>2.7688200000000003</c:v>
                </c:pt>
                <c:pt idx="29">
                  <c:v>2.7996300000000001</c:v>
                </c:pt>
                <c:pt idx="30">
                  <c:v>2.8294700000000002</c:v>
                </c:pt>
                <c:pt idx="31">
                  <c:v>2.8583999999999996</c:v>
                </c:pt>
                <c:pt idx="32">
                  <c:v>2.8834300000000002</c:v>
                </c:pt>
                <c:pt idx="33">
                  <c:v>2.9060200000000003</c:v>
                </c:pt>
                <c:pt idx="34">
                  <c:v>2.9276999999999997</c:v>
                </c:pt>
                <c:pt idx="35">
                  <c:v>2.9481899999999999</c:v>
                </c:pt>
                <c:pt idx="36">
                  <c:v>2.96543</c:v>
                </c:pt>
                <c:pt idx="37">
                  <c:v>2.9800900000000001</c:v>
                </c:pt>
                <c:pt idx="38">
                  <c:v>2.9927900000000003</c:v>
                </c:pt>
                <c:pt idx="39">
                  <c:v>3.00101</c:v>
                </c:pt>
                <c:pt idx="40">
                  <c:v>3.0036400000000003</c:v>
                </c:pt>
                <c:pt idx="41">
                  <c:v>3.0053900000000002</c:v>
                </c:pt>
                <c:pt idx="42">
                  <c:v>3.0108899999999998</c:v>
                </c:pt>
                <c:pt idx="43">
                  <c:v>3.0110900000000003</c:v>
                </c:pt>
                <c:pt idx="44">
                  <c:v>3.0099</c:v>
                </c:pt>
                <c:pt idx="45">
                  <c:v>3.00915</c:v>
                </c:pt>
                <c:pt idx="46">
                  <c:v>3.0123199999999999</c:v>
                </c:pt>
                <c:pt idx="47">
                  <c:v>3.0136400000000001</c:v>
                </c:pt>
                <c:pt idx="48">
                  <c:v>3.0182199999999999</c:v>
                </c:pt>
                <c:pt idx="49">
                  <c:v>3.0262499999999997</c:v>
                </c:pt>
                <c:pt idx="50">
                  <c:v>3.0330699999999999</c:v>
                </c:pt>
                <c:pt idx="51">
                  <c:v>3.04366</c:v>
                </c:pt>
                <c:pt idx="52">
                  <c:v>3.0556200000000002</c:v>
                </c:pt>
                <c:pt idx="53">
                  <c:v>3.0665399999999998</c:v>
                </c:pt>
                <c:pt idx="54">
                  <c:v>3.0732500000000003</c:v>
                </c:pt>
                <c:pt idx="55">
                  <c:v>3.0826700000000002</c:v>
                </c:pt>
                <c:pt idx="56">
                  <c:v>3.0904799999999999</c:v>
                </c:pt>
                <c:pt idx="57">
                  <c:v>3.1027900000000002</c:v>
                </c:pt>
                <c:pt idx="58">
                  <c:v>3.11564</c:v>
                </c:pt>
                <c:pt idx="59">
                  <c:v>3.1305800000000001</c:v>
                </c:pt>
                <c:pt idx="60">
                  <c:v>3.1492199999999997</c:v>
                </c:pt>
                <c:pt idx="61">
                  <c:v>3.1743900000000003</c:v>
                </c:pt>
                <c:pt idx="62">
                  <c:v>3.1939699999999998</c:v>
                </c:pt>
                <c:pt idx="63">
                  <c:v>3.2070400000000001</c:v>
                </c:pt>
                <c:pt idx="64">
                  <c:v>3.2291999999999996</c:v>
                </c:pt>
                <c:pt idx="65">
                  <c:v>3.2639499999999999</c:v>
                </c:pt>
                <c:pt idx="66">
                  <c:v>3.2944200000000001</c:v>
                </c:pt>
                <c:pt idx="67">
                  <c:v>3.3136900000000002</c:v>
                </c:pt>
                <c:pt idx="68">
                  <c:v>3.3469300000000004</c:v>
                </c:pt>
                <c:pt idx="69">
                  <c:v>3.3652199999999999</c:v>
                </c:pt>
                <c:pt idx="70">
                  <c:v>3.3816099999999998</c:v>
                </c:pt>
                <c:pt idx="71">
                  <c:v>3.39358</c:v>
                </c:pt>
                <c:pt idx="72">
                  <c:v>3.40672</c:v>
                </c:pt>
                <c:pt idx="73">
                  <c:v>3.4140999999999999</c:v>
                </c:pt>
                <c:pt idx="74">
                  <c:v>3.42347</c:v>
                </c:pt>
                <c:pt idx="75">
                  <c:v>3.4327700000000001</c:v>
                </c:pt>
                <c:pt idx="76">
                  <c:v>3.4387099999999999</c:v>
                </c:pt>
                <c:pt idx="77">
                  <c:v>3.4437000000000002</c:v>
                </c:pt>
                <c:pt idx="78">
                  <c:v>3.4418300000000004</c:v>
                </c:pt>
                <c:pt idx="79">
                  <c:v>3.4388899999999998</c:v>
                </c:pt>
                <c:pt idx="80">
                  <c:v>3.4348200000000002</c:v>
                </c:pt>
                <c:pt idx="81">
                  <c:v>3.43207</c:v>
                </c:pt>
                <c:pt idx="82">
                  <c:v>3.4291500000000004</c:v>
                </c:pt>
                <c:pt idx="83">
                  <c:v>3.4238800000000005</c:v>
                </c:pt>
                <c:pt idx="84">
                  <c:v>3.41256</c:v>
                </c:pt>
                <c:pt idx="85">
                  <c:v>3.3969800000000001</c:v>
                </c:pt>
                <c:pt idx="86">
                  <c:v>3.3800000000000003</c:v>
                </c:pt>
                <c:pt idx="87">
                  <c:v>3.35771</c:v>
                </c:pt>
                <c:pt idx="88">
                  <c:v>3.32897</c:v>
                </c:pt>
                <c:pt idx="89">
                  <c:v>3.3021799999999999</c:v>
                </c:pt>
                <c:pt idx="90">
                  <c:v>3.2722199999999999</c:v>
                </c:pt>
                <c:pt idx="91">
                  <c:v>3.2382499999999999</c:v>
                </c:pt>
                <c:pt idx="92">
                  <c:v>3.2020900000000001</c:v>
                </c:pt>
                <c:pt idx="93">
                  <c:v>3.1689699999999998</c:v>
                </c:pt>
                <c:pt idx="94">
                  <c:v>3.1391999999999998</c:v>
                </c:pt>
                <c:pt idx="95">
                  <c:v>3.10778</c:v>
                </c:pt>
                <c:pt idx="96">
                  <c:v>3.0784499999999997</c:v>
                </c:pt>
                <c:pt idx="97">
                  <c:v>3.0524899999999997</c:v>
                </c:pt>
                <c:pt idx="98">
                  <c:v>3.0290499999999998</c:v>
                </c:pt>
                <c:pt idx="99">
                  <c:v>3.00576</c:v>
                </c:pt>
                <c:pt idx="100">
                  <c:v>2.9796200000000002</c:v>
                </c:pt>
                <c:pt idx="101">
                  <c:v>2.9582100000000002</c:v>
                </c:pt>
                <c:pt idx="102">
                  <c:v>2.9392400000000003</c:v>
                </c:pt>
                <c:pt idx="103">
                  <c:v>2.9264700000000001</c:v>
                </c:pt>
                <c:pt idx="104">
                  <c:v>2.9180999999999999</c:v>
                </c:pt>
                <c:pt idx="105">
                  <c:v>2.91228</c:v>
                </c:pt>
                <c:pt idx="106">
                  <c:v>2.9058899999999999</c:v>
                </c:pt>
                <c:pt idx="107">
                  <c:v>2.89873</c:v>
                </c:pt>
                <c:pt idx="108">
                  <c:v>2.8909099999999999</c:v>
                </c:pt>
                <c:pt idx="109">
                  <c:v>2.8828399999999998</c:v>
                </c:pt>
                <c:pt idx="110">
                  <c:v>2.88009</c:v>
                </c:pt>
                <c:pt idx="111">
                  <c:v>2.8838200000000001</c:v>
                </c:pt>
                <c:pt idx="112">
                  <c:v>2.8965700000000001</c:v>
                </c:pt>
                <c:pt idx="113">
                  <c:v>2.9149000000000003</c:v>
                </c:pt>
                <c:pt idx="114">
                  <c:v>2.9321799999999998</c:v>
                </c:pt>
                <c:pt idx="115">
                  <c:v>2.9475899999999999</c:v>
                </c:pt>
                <c:pt idx="116">
                  <c:v>2.96434</c:v>
                </c:pt>
                <c:pt idx="117">
                  <c:v>2.98244</c:v>
                </c:pt>
                <c:pt idx="118">
                  <c:v>3.00298</c:v>
                </c:pt>
                <c:pt idx="119">
                  <c:v>3.0292300000000001</c:v>
                </c:pt>
                <c:pt idx="120">
                  <c:v>3.0595699999999999</c:v>
                </c:pt>
                <c:pt idx="121">
                  <c:v>3.0900400000000001</c:v>
                </c:pt>
                <c:pt idx="122">
                  <c:v>3.1185099999999997</c:v>
                </c:pt>
                <c:pt idx="123">
                  <c:v>3.14621</c:v>
                </c:pt>
                <c:pt idx="124">
                  <c:v>3.1571700000000003</c:v>
                </c:pt>
                <c:pt idx="125">
                  <c:v>3.1694299999999997</c:v>
                </c:pt>
                <c:pt idx="126">
                  <c:v>3.18126</c:v>
                </c:pt>
                <c:pt idx="127">
                  <c:v>3.1935799999999999</c:v>
                </c:pt>
                <c:pt idx="128">
                  <c:v>3.2060399999999998</c:v>
                </c:pt>
                <c:pt idx="129">
                  <c:v>3.2172200000000002</c:v>
                </c:pt>
                <c:pt idx="130">
                  <c:v>3.2293799999999999</c:v>
                </c:pt>
                <c:pt idx="131">
                  <c:v>3.2408799999999998</c:v>
                </c:pt>
                <c:pt idx="132">
                  <c:v>3.2547700000000002</c:v>
                </c:pt>
                <c:pt idx="133">
                  <c:v>3.2740799999999997</c:v>
                </c:pt>
                <c:pt idx="134">
                  <c:v>3.2984999999999998</c:v>
                </c:pt>
                <c:pt idx="135">
                  <c:v>3.3221699999999998</c:v>
                </c:pt>
                <c:pt idx="136">
                  <c:v>3.3411400000000002</c:v>
                </c:pt>
                <c:pt idx="137">
                  <c:v>3.3543600000000002</c:v>
                </c:pt>
                <c:pt idx="138">
                  <c:v>3.3664100000000001</c:v>
                </c:pt>
                <c:pt idx="139">
                  <c:v>3.3796300000000001</c:v>
                </c:pt>
                <c:pt idx="140">
                  <c:v>3.3975400000000002</c:v>
                </c:pt>
                <c:pt idx="141">
                  <c:v>3.4181499999999998</c:v>
                </c:pt>
                <c:pt idx="142">
                  <c:v>3.4423700000000004</c:v>
                </c:pt>
                <c:pt idx="143">
                  <c:v>3.4640700000000004</c:v>
                </c:pt>
                <c:pt idx="144">
                  <c:v>3.4710400000000003</c:v>
                </c:pt>
                <c:pt idx="145">
                  <c:v>3.4715699999999998</c:v>
                </c:pt>
                <c:pt idx="146">
                  <c:v>3.4711500000000002</c:v>
                </c:pt>
                <c:pt idx="147">
                  <c:v>3.4798299999999998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59.154300000000006</c:v>
                </c:pt>
                <c:pt idx="1">
                  <c:v>58.235000000000007</c:v>
                </c:pt>
                <c:pt idx="2">
                  <c:v>57.332700000000003</c:v>
                </c:pt>
                <c:pt idx="3">
                  <c:v>56.3964</c:v>
                </c:pt>
                <c:pt idx="4">
                  <c:v>55.492699999999992</c:v>
                </c:pt>
                <c:pt idx="5">
                  <c:v>54.528500000000001</c:v>
                </c:pt>
                <c:pt idx="6">
                  <c:v>53.436099999999996</c:v>
                </c:pt>
                <c:pt idx="7">
                  <c:v>52.253899999999994</c:v>
                </c:pt>
                <c:pt idx="8">
                  <c:v>51.014099999999999</c:v>
                </c:pt>
                <c:pt idx="9">
                  <c:v>49.799399999999999</c:v>
                </c:pt>
                <c:pt idx="10">
                  <c:v>48.522500000000001</c:v>
                </c:pt>
                <c:pt idx="11">
                  <c:v>47.161799999999999</c:v>
                </c:pt>
                <c:pt idx="12">
                  <c:v>45.748699999999999</c:v>
                </c:pt>
                <c:pt idx="13">
                  <c:v>44.240600000000001</c:v>
                </c:pt>
                <c:pt idx="14">
                  <c:v>42.617199999999997</c:v>
                </c:pt>
                <c:pt idx="15">
                  <c:v>41.112500000000004</c:v>
                </c:pt>
                <c:pt idx="16">
                  <c:v>39.837299999999999</c:v>
                </c:pt>
                <c:pt idx="17">
                  <c:v>38.769599999999997</c:v>
                </c:pt>
                <c:pt idx="18">
                  <c:v>37.739200000000004</c:v>
                </c:pt>
                <c:pt idx="19">
                  <c:v>36.641800000000003</c:v>
                </c:pt>
                <c:pt idx="20">
                  <c:v>35.632100000000001</c:v>
                </c:pt>
                <c:pt idx="21">
                  <c:v>34.754600000000003</c:v>
                </c:pt>
                <c:pt idx="22">
                  <c:v>34.011200000000002</c:v>
                </c:pt>
                <c:pt idx="23">
                  <c:v>33.4163</c:v>
                </c:pt>
                <c:pt idx="24">
                  <c:v>32.972200000000001</c:v>
                </c:pt>
                <c:pt idx="25">
                  <c:v>32.6145</c:v>
                </c:pt>
                <c:pt idx="26">
                  <c:v>32.330300000000001</c:v>
                </c:pt>
                <c:pt idx="27">
                  <c:v>32.024500000000003</c:v>
                </c:pt>
                <c:pt idx="28">
                  <c:v>31.670100000000001</c:v>
                </c:pt>
                <c:pt idx="29">
                  <c:v>31.375299999999999</c:v>
                </c:pt>
                <c:pt idx="30">
                  <c:v>31.127100000000002</c:v>
                </c:pt>
                <c:pt idx="31">
                  <c:v>30.859199999999998</c:v>
                </c:pt>
                <c:pt idx="32">
                  <c:v>30.636000000000003</c:v>
                </c:pt>
                <c:pt idx="33">
                  <c:v>30.414600000000004</c:v>
                </c:pt>
                <c:pt idx="34">
                  <c:v>30.223699999999997</c:v>
                </c:pt>
                <c:pt idx="35">
                  <c:v>30.0639</c:v>
                </c:pt>
                <c:pt idx="36">
                  <c:v>29.895199999999999</c:v>
                </c:pt>
                <c:pt idx="37">
                  <c:v>29.8004</c:v>
                </c:pt>
                <c:pt idx="38">
                  <c:v>29.802899999999998</c:v>
                </c:pt>
                <c:pt idx="39">
                  <c:v>29.899799999999999</c:v>
                </c:pt>
                <c:pt idx="40">
                  <c:v>30.025000000000002</c:v>
                </c:pt>
                <c:pt idx="41">
                  <c:v>30.087199999999996</c:v>
                </c:pt>
                <c:pt idx="42">
                  <c:v>30.153200000000002</c:v>
                </c:pt>
                <c:pt idx="43">
                  <c:v>30.214099999999998</c:v>
                </c:pt>
                <c:pt idx="44">
                  <c:v>30.443300000000001</c:v>
                </c:pt>
                <c:pt idx="45">
                  <c:v>30.721500000000002</c:v>
                </c:pt>
                <c:pt idx="46">
                  <c:v>31.016899999999996</c:v>
                </c:pt>
                <c:pt idx="47">
                  <c:v>31.273499999999999</c:v>
                </c:pt>
                <c:pt idx="48">
                  <c:v>31.419799999999999</c:v>
                </c:pt>
                <c:pt idx="49">
                  <c:v>31.476700000000001</c:v>
                </c:pt>
                <c:pt idx="50">
                  <c:v>31.509399999999999</c:v>
                </c:pt>
                <c:pt idx="51">
                  <c:v>31.533000000000001</c:v>
                </c:pt>
                <c:pt idx="52">
                  <c:v>31.595600000000001</c:v>
                </c:pt>
                <c:pt idx="53">
                  <c:v>31.653100000000002</c:v>
                </c:pt>
                <c:pt idx="54">
                  <c:v>31.725100000000001</c:v>
                </c:pt>
                <c:pt idx="55">
                  <c:v>31.7743</c:v>
                </c:pt>
                <c:pt idx="56">
                  <c:v>31.819799999999997</c:v>
                </c:pt>
                <c:pt idx="57">
                  <c:v>31.797599999999999</c:v>
                </c:pt>
                <c:pt idx="58">
                  <c:v>31.837100000000003</c:v>
                </c:pt>
                <c:pt idx="59">
                  <c:v>31.841900000000003</c:v>
                </c:pt>
                <c:pt idx="60">
                  <c:v>31.797900000000002</c:v>
                </c:pt>
                <c:pt idx="61">
                  <c:v>31.694299999999998</c:v>
                </c:pt>
                <c:pt idx="62">
                  <c:v>31.613700000000001</c:v>
                </c:pt>
                <c:pt idx="63">
                  <c:v>31.563700000000001</c:v>
                </c:pt>
                <c:pt idx="64">
                  <c:v>31.3934</c:v>
                </c:pt>
                <c:pt idx="65">
                  <c:v>31.102600000000002</c:v>
                </c:pt>
                <c:pt idx="66">
                  <c:v>30.849799999999998</c:v>
                </c:pt>
                <c:pt idx="67">
                  <c:v>30.701800000000002</c:v>
                </c:pt>
                <c:pt idx="68">
                  <c:v>30.408200000000001</c:v>
                </c:pt>
                <c:pt idx="69">
                  <c:v>30.353999999999999</c:v>
                </c:pt>
                <c:pt idx="70">
                  <c:v>30.335600000000003</c:v>
                </c:pt>
                <c:pt idx="71">
                  <c:v>30.298399999999997</c:v>
                </c:pt>
                <c:pt idx="72">
                  <c:v>30.289700000000003</c:v>
                </c:pt>
                <c:pt idx="73">
                  <c:v>30.368000000000002</c:v>
                </c:pt>
                <c:pt idx="74">
                  <c:v>30.390899999999998</c:v>
                </c:pt>
                <c:pt idx="75">
                  <c:v>30.5334</c:v>
                </c:pt>
                <c:pt idx="76">
                  <c:v>30.6707</c:v>
                </c:pt>
                <c:pt idx="77">
                  <c:v>30.805700000000002</c:v>
                </c:pt>
                <c:pt idx="78">
                  <c:v>30.961499999999997</c:v>
                </c:pt>
                <c:pt idx="79">
                  <c:v>31.096699999999998</c:v>
                </c:pt>
                <c:pt idx="80">
                  <c:v>31.176900000000003</c:v>
                </c:pt>
                <c:pt idx="81">
                  <c:v>31.1983</c:v>
                </c:pt>
                <c:pt idx="82">
                  <c:v>31.186499999999999</c:v>
                </c:pt>
                <c:pt idx="83">
                  <c:v>31.174099999999999</c:v>
                </c:pt>
                <c:pt idx="84">
                  <c:v>31.204700000000003</c:v>
                </c:pt>
                <c:pt idx="85">
                  <c:v>31.2959</c:v>
                </c:pt>
                <c:pt idx="86">
                  <c:v>31.455499999999997</c:v>
                </c:pt>
                <c:pt idx="87">
                  <c:v>31.637599999999999</c:v>
                </c:pt>
                <c:pt idx="88">
                  <c:v>31.866399999999999</c:v>
                </c:pt>
                <c:pt idx="89">
                  <c:v>32.093800000000002</c:v>
                </c:pt>
                <c:pt idx="90">
                  <c:v>32.4771</c:v>
                </c:pt>
                <c:pt idx="91">
                  <c:v>32.992100000000001</c:v>
                </c:pt>
                <c:pt idx="92">
                  <c:v>33.589999999999996</c:v>
                </c:pt>
                <c:pt idx="93">
                  <c:v>34.161200000000001</c:v>
                </c:pt>
                <c:pt idx="94">
                  <c:v>34.633099999999999</c:v>
                </c:pt>
                <c:pt idx="95">
                  <c:v>35.090800000000002</c:v>
                </c:pt>
                <c:pt idx="96">
                  <c:v>35.543200000000006</c:v>
                </c:pt>
                <c:pt idx="97">
                  <c:v>36.004899999999999</c:v>
                </c:pt>
                <c:pt idx="98">
                  <c:v>36.4724</c:v>
                </c:pt>
                <c:pt idx="99">
                  <c:v>37.0443</c:v>
                </c:pt>
                <c:pt idx="100">
                  <c:v>37.684400000000004</c:v>
                </c:pt>
                <c:pt idx="101">
                  <c:v>38.254199999999997</c:v>
                </c:pt>
                <c:pt idx="102">
                  <c:v>38.853900000000003</c:v>
                </c:pt>
                <c:pt idx="103">
                  <c:v>39.317800000000005</c:v>
                </c:pt>
                <c:pt idx="104">
                  <c:v>39.7166</c:v>
                </c:pt>
                <c:pt idx="105">
                  <c:v>40.110700000000001</c:v>
                </c:pt>
                <c:pt idx="106">
                  <c:v>40.666000000000004</c:v>
                </c:pt>
                <c:pt idx="107">
                  <c:v>41.269500000000001</c:v>
                </c:pt>
                <c:pt idx="108">
                  <c:v>41.827300000000001</c:v>
                </c:pt>
                <c:pt idx="109">
                  <c:v>42.329599999999999</c:v>
                </c:pt>
                <c:pt idx="110">
                  <c:v>42.692799999999998</c:v>
                </c:pt>
                <c:pt idx="111">
                  <c:v>42.9313</c:v>
                </c:pt>
                <c:pt idx="112">
                  <c:v>43.046599999999998</c:v>
                </c:pt>
                <c:pt idx="113">
                  <c:v>43.062199999999997</c:v>
                </c:pt>
                <c:pt idx="114">
                  <c:v>43.069499999999998</c:v>
                </c:pt>
                <c:pt idx="115">
                  <c:v>43.119199999999999</c:v>
                </c:pt>
                <c:pt idx="116">
                  <c:v>43.131500000000003</c:v>
                </c:pt>
                <c:pt idx="117">
                  <c:v>43.139099999999999</c:v>
                </c:pt>
                <c:pt idx="118">
                  <c:v>43.039100000000005</c:v>
                </c:pt>
                <c:pt idx="119">
                  <c:v>42.791000000000004</c:v>
                </c:pt>
                <c:pt idx="120">
                  <c:v>42.518599999999999</c:v>
                </c:pt>
                <c:pt idx="121">
                  <c:v>42.278999999999996</c:v>
                </c:pt>
                <c:pt idx="122">
                  <c:v>42.110100000000003</c:v>
                </c:pt>
                <c:pt idx="123">
                  <c:v>41.913499999999999</c:v>
                </c:pt>
                <c:pt idx="124">
                  <c:v>41.9527</c:v>
                </c:pt>
                <c:pt idx="125">
                  <c:v>41.966999999999999</c:v>
                </c:pt>
                <c:pt idx="126">
                  <c:v>41.962200000000003</c:v>
                </c:pt>
                <c:pt idx="127">
                  <c:v>41.912500000000001</c:v>
                </c:pt>
                <c:pt idx="128">
                  <c:v>41.8431</c:v>
                </c:pt>
                <c:pt idx="129">
                  <c:v>41.797899999999998</c:v>
                </c:pt>
                <c:pt idx="130">
                  <c:v>41.747399999999999</c:v>
                </c:pt>
                <c:pt idx="131">
                  <c:v>41.608200000000004</c:v>
                </c:pt>
                <c:pt idx="132">
                  <c:v>41.446600000000004</c:v>
                </c:pt>
                <c:pt idx="133">
                  <c:v>41.3048</c:v>
                </c:pt>
                <c:pt idx="134">
                  <c:v>41.193999999999996</c:v>
                </c:pt>
                <c:pt idx="135">
                  <c:v>41.084099999999999</c:v>
                </c:pt>
                <c:pt idx="136">
                  <c:v>40.902799999999999</c:v>
                </c:pt>
                <c:pt idx="137">
                  <c:v>40.629100000000001</c:v>
                </c:pt>
                <c:pt idx="138">
                  <c:v>40.341700000000003</c:v>
                </c:pt>
                <c:pt idx="139">
                  <c:v>40.082799999999999</c:v>
                </c:pt>
                <c:pt idx="140">
                  <c:v>39.769300000000001</c:v>
                </c:pt>
                <c:pt idx="141">
                  <c:v>39.513100000000001</c:v>
                </c:pt>
                <c:pt idx="142">
                  <c:v>39.182099999999998</c:v>
                </c:pt>
                <c:pt idx="143">
                  <c:v>38.934100000000001</c:v>
                </c:pt>
                <c:pt idx="144">
                  <c:v>38.800200000000004</c:v>
                </c:pt>
                <c:pt idx="145">
                  <c:v>38.793799999999997</c:v>
                </c:pt>
                <c:pt idx="146">
                  <c:v>38.911799999999999</c:v>
                </c:pt>
                <c:pt idx="147">
                  <c:v>38.698300000000003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1.40873</c:v>
                </c:pt>
                <c:pt idx="1">
                  <c:v>1.45428</c:v>
                </c:pt>
                <c:pt idx="2">
                  <c:v>1.5002099999999998</c:v>
                </c:pt>
                <c:pt idx="3">
                  <c:v>1.5480700000000001</c:v>
                </c:pt>
                <c:pt idx="4">
                  <c:v>1.59551</c:v>
                </c:pt>
                <c:pt idx="5">
                  <c:v>1.64297</c:v>
                </c:pt>
                <c:pt idx="6">
                  <c:v>1.6940599999999999</c:v>
                </c:pt>
                <c:pt idx="7">
                  <c:v>1.7464599999999999</c:v>
                </c:pt>
                <c:pt idx="8">
                  <c:v>1.7990300000000001</c:v>
                </c:pt>
                <c:pt idx="9">
                  <c:v>1.85175</c:v>
                </c:pt>
                <c:pt idx="10">
                  <c:v>1.9061300000000001</c:v>
                </c:pt>
                <c:pt idx="11">
                  <c:v>1.9636300000000002</c:v>
                </c:pt>
                <c:pt idx="12">
                  <c:v>2.0217900000000002</c:v>
                </c:pt>
                <c:pt idx="13">
                  <c:v>2.0807700000000002</c:v>
                </c:pt>
                <c:pt idx="14">
                  <c:v>2.1424000000000003</c:v>
                </c:pt>
                <c:pt idx="15">
                  <c:v>2.2024400000000002</c:v>
                </c:pt>
                <c:pt idx="16">
                  <c:v>2.2578400000000003</c:v>
                </c:pt>
                <c:pt idx="17">
                  <c:v>2.3106900000000001</c:v>
                </c:pt>
                <c:pt idx="18">
                  <c:v>2.3667099999999999</c:v>
                </c:pt>
                <c:pt idx="19">
                  <c:v>2.4208099999999999</c:v>
                </c:pt>
                <c:pt idx="20">
                  <c:v>2.4718300000000002</c:v>
                </c:pt>
                <c:pt idx="21">
                  <c:v>2.5184800000000003</c:v>
                </c:pt>
                <c:pt idx="22">
                  <c:v>2.5607799999999998</c:v>
                </c:pt>
                <c:pt idx="23">
                  <c:v>2.59985</c:v>
                </c:pt>
                <c:pt idx="24">
                  <c:v>2.6359900000000005</c:v>
                </c:pt>
                <c:pt idx="25">
                  <c:v>2.67069</c:v>
                </c:pt>
                <c:pt idx="26">
                  <c:v>2.70336</c:v>
                </c:pt>
                <c:pt idx="27">
                  <c:v>2.7358500000000001</c:v>
                </c:pt>
                <c:pt idx="28">
                  <c:v>2.7688200000000003</c:v>
                </c:pt>
                <c:pt idx="29">
                  <c:v>2.7996300000000001</c:v>
                </c:pt>
                <c:pt idx="30">
                  <c:v>2.8294700000000002</c:v>
                </c:pt>
                <c:pt idx="31">
                  <c:v>2.8583999999999996</c:v>
                </c:pt>
                <c:pt idx="32">
                  <c:v>2.8834300000000002</c:v>
                </c:pt>
                <c:pt idx="33">
                  <c:v>2.9060200000000003</c:v>
                </c:pt>
                <c:pt idx="34">
                  <c:v>2.9276999999999997</c:v>
                </c:pt>
                <c:pt idx="35">
                  <c:v>2.9481899999999999</c:v>
                </c:pt>
                <c:pt idx="36">
                  <c:v>2.96543</c:v>
                </c:pt>
                <c:pt idx="37">
                  <c:v>2.9800900000000001</c:v>
                </c:pt>
                <c:pt idx="38">
                  <c:v>2.9927900000000003</c:v>
                </c:pt>
                <c:pt idx="39">
                  <c:v>3.00101</c:v>
                </c:pt>
                <c:pt idx="40">
                  <c:v>3.0036400000000003</c:v>
                </c:pt>
                <c:pt idx="41">
                  <c:v>3.0053900000000002</c:v>
                </c:pt>
                <c:pt idx="42">
                  <c:v>3.0108899999999998</c:v>
                </c:pt>
                <c:pt idx="43">
                  <c:v>3.0110900000000003</c:v>
                </c:pt>
                <c:pt idx="44">
                  <c:v>3.0099</c:v>
                </c:pt>
                <c:pt idx="45">
                  <c:v>3.00915</c:v>
                </c:pt>
                <c:pt idx="46">
                  <c:v>3.0123199999999999</c:v>
                </c:pt>
                <c:pt idx="47">
                  <c:v>3.0136400000000001</c:v>
                </c:pt>
                <c:pt idx="48">
                  <c:v>3.0182199999999999</c:v>
                </c:pt>
                <c:pt idx="49">
                  <c:v>3.0262499999999997</c:v>
                </c:pt>
                <c:pt idx="50">
                  <c:v>3.0330699999999999</c:v>
                </c:pt>
                <c:pt idx="51">
                  <c:v>3.04366</c:v>
                </c:pt>
                <c:pt idx="52">
                  <c:v>3.0556200000000002</c:v>
                </c:pt>
                <c:pt idx="53">
                  <c:v>3.0665399999999998</c:v>
                </c:pt>
                <c:pt idx="54">
                  <c:v>3.0732500000000003</c:v>
                </c:pt>
                <c:pt idx="55">
                  <c:v>3.0826700000000002</c:v>
                </c:pt>
                <c:pt idx="56">
                  <c:v>3.0904799999999999</c:v>
                </c:pt>
                <c:pt idx="57">
                  <c:v>3.1027900000000002</c:v>
                </c:pt>
                <c:pt idx="58">
                  <c:v>3.11564</c:v>
                </c:pt>
                <c:pt idx="59">
                  <c:v>3.1305800000000001</c:v>
                </c:pt>
                <c:pt idx="60">
                  <c:v>3.1492199999999997</c:v>
                </c:pt>
                <c:pt idx="61">
                  <c:v>3.1743900000000003</c:v>
                </c:pt>
                <c:pt idx="62">
                  <c:v>3.1939699999999998</c:v>
                </c:pt>
                <c:pt idx="63">
                  <c:v>3.2070400000000001</c:v>
                </c:pt>
                <c:pt idx="64">
                  <c:v>3.2291999999999996</c:v>
                </c:pt>
                <c:pt idx="65">
                  <c:v>3.2639499999999999</c:v>
                </c:pt>
                <c:pt idx="66">
                  <c:v>3.2944200000000001</c:v>
                </c:pt>
                <c:pt idx="67">
                  <c:v>3.3136900000000002</c:v>
                </c:pt>
                <c:pt idx="68">
                  <c:v>3.3469300000000004</c:v>
                </c:pt>
                <c:pt idx="69">
                  <c:v>3.3652199999999999</c:v>
                </c:pt>
                <c:pt idx="70">
                  <c:v>3.3816099999999998</c:v>
                </c:pt>
                <c:pt idx="71">
                  <c:v>3.39358</c:v>
                </c:pt>
                <c:pt idx="72">
                  <c:v>3.40672</c:v>
                </c:pt>
                <c:pt idx="73">
                  <c:v>3.4140999999999999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59.154300000000006</c:v>
                </c:pt>
                <c:pt idx="1">
                  <c:v>58.235000000000007</c:v>
                </c:pt>
                <c:pt idx="2">
                  <c:v>57.332700000000003</c:v>
                </c:pt>
                <c:pt idx="3">
                  <c:v>56.3964</c:v>
                </c:pt>
                <c:pt idx="4">
                  <c:v>55.492699999999992</c:v>
                </c:pt>
                <c:pt idx="5">
                  <c:v>54.528500000000001</c:v>
                </c:pt>
                <c:pt idx="6">
                  <c:v>53.436099999999996</c:v>
                </c:pt>
                <c:pt idx="7">
                  <c:v>52.253899999999994</c:v>
                </c:pt>
                <c:pt idx="8">
                  <c:v>51.014099999999999</c:v>
                </c:pt>
                <c:pt idx="9">
                  <c:v>49.799399999999999</c:v>
                </c:pt>
                <c:pt idx="10">
                  <c:v>48.522500000000001</c:v>
                </c:pt>
                <c:pt idx="11">
                  <c:v>47.161799999999999</c:v>
                </c:pt>
                <c:pt idx="12">
                  <c:v>45.748699999999999</c:v>
                </c:pt>
                <c:pt idx="13">
                  <c:v>44.240600000000001</c:v>
                </c:pt>
                <c:pt idx="14">
                  <c:v>42.617199999999997</c:v>
                </c:pt>
                <c:pt idx="15">
                  <c:v>41.112500000000004</c:v>
                </c:pt>
                <c:pt idx="16">
                  <c:v>39.837299999999999</c:v>
                </c:pt>
                <c:pt idx="17">
                  <c:v>38.769599999999997</c:v>
                </c:pt>
                <c:pt idx="18">
                  <c:v>37.739200000000004</c:v>
                </c:pt>
                <c:pt idx="19">
                  <c:v>36.641800000000003</c:v>
                </c:pt>
                <c:pt idx="20">
                  <c:v>35.632100000000001</c:v>
                </c:pt>
                <c:pt idx="21">
                  <c:v>34.754600000000003</c:v>
                </c:pt>
                <c:pt idx="22">
                  <c:v>34.011200000000002</c:v>
                </c:pt>
                <c:pt idx="23">
                  <c:v>33.4163</c:v>
                </c:pt>
                <c:pt idx="24">
                  <c:v>32.972200000000001</c:v>
                </c:pt>
                <c:pt idx="25">
                  <c:v>32.6145</c:v>
                </c:pt>
                <c:pt idx="26">
                  <c:v>32.330300000000001</c:v>
                </c:pt>
                <c:pt idx="27">
                  <c:v>32.024500000000003</c:v>
                </c:pt>
                <c:pt idx="28">
                  <c:v>31.670100000000001</c:v>
                </c:pt>
                <c:pt idx="29">
                  <c:v>31.375299999999999</c:v>
                </c:pt>
                <c:pt idx="30">
                  <c:v>31.127100000000002</c:v>
                </c:pt>
                <c:pt idx="31">
                  <c:v>30.859199999999998</c:v>
                </c:pt>
                <c:pt idx="32">
                  <c:v>30.636000000000003</c:v>
                </c:pt>
                <c:pt idx="33">
                  <c:v>30.414600000000004</c:v>
                </c:pt>
                <c:pt idx="34">
                  <c:v>30.223699999999997</c:v>
                </c:pt>
                <c:pt idx="35">
                  <c:v>30.0639</c:v>
                </c:pt>
                <c:pt idx="36">
                  <c:v>29.895199999999999</c:v>
                </c:pt>
                <c:pt idx="37">
                  <c:v>29.8004</c:v>
                </c:pt>
                <c:pt idx="38">
                  <c:v>29.802899999999998</c:v>
                </c:pt>
                <c:pt idx="39">
                  <c:v>29.899799999999999</c:v>
                </c:pt>
                <c:pt idx="40">
                  <c:v>30.025000000000002</c:v>
                </c:pt>
                <c:pt idx="41">
                  <c:v>30.087199999999996</c:v>
                </c:pt>
                <c:pt idx="42">
                  <c:v>30.153200000000002</c:v>
                </c:pt>
                <c:pt idx="43">
                  <c:v>30.214099999999998</c:v>
                </c:pt>
                <c:pt idx="44">
                  <c:v>30.443300000000001</c:v>
                </c:pt>
                <c:pt idx="45">
                  <c:v>30.721500000000002</c:v>
                </c:pt>
                <c:pt idx="46">
                  <c:v>31.016899999999996</c:v>
                </c:pt>
                <c:pt idx="47">
                  <c:v>31.273499999999999</c:v>
                </c:pt>
                <c:pt idx="48">
                  <c:v>31.419799999999999</c:v>
                </c:pt>
                <c:pt idx="49">
                  <c:v>31.476700000000001</c:v>
                </c:pt>
                <c:pt idx="50">
                  <c:v>31.509399999999999</c:v>
                </c:pt>
                <c:pt idx="51">
                  <c:v>31.533000000000001</c:v>
                </c:pt>
                <c:pt idx="52">
                  <c:v>31.595600000000001</c:v>
                </c:pt>
                <c:pt idx="53">
                  <c:v>31.653100000000002</c:v>
                </c:pt>
                <c:pt idx="54">
                  <c:v>31.725100000000001</c:v>
                </c:pt>
                <c:pt idx="55">
                  <c:v>31.7743</c:v>
                </c:pt>
                <c:pt idx="56">
                  <c:v>31.819799999999997</c:v>
                </c:pt>
                <c:pt idx="57">
                  <c:v>31.797599999999999</c:v>
                </c:pt>
                <c:pt idx="58">
                  <c:v>31.837100000000003</c:v>
                </c:pt>
                <c:pt idx="59">
                  <c:v>31.841900000000003</c:v>
                </c:pt>
                <c:pt idx="60">
                  <c:v>31.797900000000002</c:v>
                </c:pt>
                <c:pt idx="61">
                  <c:v>31.694299999999998</c:v>
                </c:pt>
                <c:pt idx="62">
                  <c:v>31.613700000000001</c:v>
                </c:pt>
                <c:pt idx="63">
                  <c:v>31.563700000000001</c:v>
                </c:pt>
                <c:pt idx="64">
                  <c:v>31.3934</c:v>
                </c:pt>
                <c:pt idx="65">
                  <c:v>31.102600000000002</c:v>
                </c:pt>
                <c:pt idx="66">
                  <c:v>30.849799999999998</c:v>
                </c:pt>
                <c:pt idx="67">
                  <c:v>30.701800000000002</c:v>
                </c:pt>
                <c:pt idx="68">
                  <c:v>30.408200000000001</c:v>
                </c:pt>
                <c:pt idx="69">
                  <c:v>30.353999999999999</c:v>
                </c:pt>
                <c:pt idx="70">
                  <c:v>30.335600000000003</c:v>
                </c:pt>
                <c:pt idx="71">
                  <c:v>30.298399999999997</c:v>
                </c:pt>
                <c:pt idx="72">
                  <c:v>30.289700000000003</c:v>
                </c:pt>
                <c:pt idx="73">
                  <c:v>30.368000000000002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3.4140999999999999</c:v>
                </c:pt>
                <c:pt idx="1">
                  <c:v>3.42347</c:v>
                </c:pt>
                <c:pt idx="2">
                  <c:v>3.4327700000000001</c:v>
                </c:pt>
                <c:pt idx="3">
                  <c:v>3.4387099999999999</c:v>
                </c:pt>
                <c:pt idx="4">
                  <c:v>3.4437000000000002</c:v>
                </c:pt>
                <c:pt idx="5">
                  <c:v>3.4418300000000004</c:v>
                </c:pt>
                <c:pt idx="6">
                  <c:v>3.4388899999999998</c:v>
                </c:pt>
                <c:pt idx="7">
                  <c:v>3.4348200000000002</c:v>
                </c:pt>
                <c:pt idx="8">
                  <c:v>3.43207</c:v>
                </c:pt>
                <c:pt idx="9">
                  <c:v>3.4291500000000004</c:v>
                </c:pt>
                <c:pt idx="10">
                  <c:v>3.4238800000000005</c:v>
                </c:pt>
                <c:pt idx="11">
                  <c:v>3.41256</c:v>
                </c:pt>
                <c:pt idx="12">
                  <c:v>3.3969800000000001</c:v>
                </c:pt>
                <c:pt idx="13">
                  <c:v>3.3800000000000003</c:v>
                </c:pt>
                <c:pt idx="14">
                  <c:v>3.35771</c:v>
                </c:pt>
                <c:pt idx="15">
                  <c:v>3.32897</c:v>
                </c:pt>
                <c:pt idx="16">
                  <c:v>3.3021799999999999</c:v>
                </c:pt>
                <c:pt idx="17">
                  <c:v>3.2722199999999999</c:v>
                </c:pt>
                <c:pt idx="18">
                  <c:v>3.2382499999999999</c:v>
                </c:pt>
                <c:pt idx="19">
                  <c:v>3.2020900000000001</c:v>
                </c:pt>
                <c:pt idx="20">
                  <c:v>3.1689699999999998</c:v>
                </c:pt>
                <c:pt idx="21">
                  <c:v>3.1391999999999998</c:v>
                </c:pt>
                <c:pt idx="22">
                  <c:v>3.10778</c:v>
                </c:pt>
                <c:pt idx="23">
                  <c:v>3.0784499999999997</c:v>
                </c:pt>
                <c:pt idx="24">
                  <c:v>3.0524899999999997</c:v>
                </c:pt>
                <c:pt idx="25">
                  <c:v>3.0290499999999998</c:v>
                </c:pt>
                <c:pt idx="26">
                  <c:v>3.00576</c:v>
                </c:pt>
                <c:pt idx="27">
                  <c:v>2.9796200000000002</c:v>
                </c:pt>
                <c:pt idx="28">
                  <c:v>2.9582100000000002</c:v>
                </c:pt>
                <c:pt idx="29">
                  <c:v>2.9392400000000003</c:v>
                </c:pt>
                <c:pt idx="30">
                  <c:v>2.9264700000000001</c:v>
                </c:pt>
                <c:pt idx="31">
                  <c:v>2.9180999999999999</c:v>
                </c:pt>
                <c:pt idx="32">
                  <c:v>2.91228</c:v>
                </c:pt>
                <c:pt idx="33">
                  <c:v>2.9058899999999999</c:v>
                </c:pt>
                <c:pt idx="34">
                  <c:v>2.89873</c:v>
                </c:pt>
                <c:pt idx="35">
                  <c:v>2.8909099999999999</c:v>
                </c:pt>
                <c:pt idx="36">
                  <c:v>2.8828399999999998</c:v>
                </c:pt>
                <c:pt idx="37">
                  <c:v>2.88009</c:v>
                </c:pt>
                <c:pt idx="38">
                  <c:v>2.8838200000000001</c:v>
                </c:pt>
                <c:pt idx="39">
                  <c:v>2.8965700000000001</c:v>
                </c:pt>
                <c:pt idx="40">
                  <c:v>2.9149000000000003</c:v>
                </c:pt>
                <c:pt idx="41">
                  <c:v>2.9321799999999998</c:v>
                </c:pt>
                <c:pt idx="42">
                  <c:v>2.9475899999999999</c:v>
                </c:pt>
                <c:pt idx="43">
                  <c:v>2.96434</c:v>
                </c:pt>
                <c:pt idx="44">
                  <c:v>2.98244</c:v>
                </c:pt>
                <c:pt idx="45">
                  <c:v>3.00298</c:v>
                </c:pt>
                <c:pt idx="46">
                  <c:v>3.0292300000000001</c:v>
                </c:pt>
                <c:pt idx="47">
                  <c:v>3.0595699999999999</c:v>
                </c:pt>
                <c:pt idx="48">
                  <c:v>3.0900400000000001</c:v>
                </c:pt>
                <c:pt idx="49">
                  <c:v>3.1185099999999997</c:v>
                </c:pt>
                <c:pt idx="50">
                  <c:v>3.14621</c:v>
                </c:pt>
                <c:pt idx="51">
                  <c:v>3.1571700000000003</c:v>
                </c:pt>
                <c:pt idx="52">
                  <c:v>3.1694299999999997</c:v>
                </c:pt>
                <c:pt idx="53">
                  <c:v>3.18126</c:v>
                </c:pt>
                <c:pt idx="54">
                  <c:v>3.1935799999999999</c:v>
                </c:pt>
                <c:pt idx="55">
                  <c:v>3.2060399999999998</c:v>
                </c:pt>
                <c:pt idx="56">
                  <c:v>3.2172200000000002</c:v>
                </c:pt>
                <c:pt idx="57">
                  <c:v>3.2293799999999999</c:v>
                </c:pt>
                <c:pt idx="58">
                  <c:v>3.2408799999999998</c:v>
                </c:pt>
                <c:pt idx="59">
                  <c:v>3.2547700000000002</c:v>
                </c:pt>
                <c:pt idx="60">
                  <c:v>3.2740799999999997</c:v>
                </c:pt>
                <c:pt idx="61">
                  <c:v>3.2984999999999998</c:v>
                </c:pt>
                <c:pt idx="62">
                  <c:v>3.3221699999999998</c:v>
                </c:pt>
                <c:pt idx="63">
                  <c:v>3.3411400000000002</c:v>
                </c:pt>
                <c:pt idx="64">
                  <c:v>3.3543600000000002</c:v>
                </c:pt>
                <c:pt idx="65">
                  <c:v>3.3664100000000001</c:v>
                </c:pt>
                <c:pt idx="66">
                  <c:v>3.3796300000000001</c:v>
                </c:pt>
                <c:pt idx="67">
                  <c:v>3.3975400000000002</c:v>
                </c:pt>
                <c:pt idx="68">
                  <c:v>3.4181499999999998</c:v>
                </c:pt>
                <c:pt idx="69">
                  <c:v>3.4423700000000004</c:v>
                </c:pt>
                <c:pt idx="70">
                  <c:v>3.4640700000000004</c:v>
                </c:pt>
                <c:pt idx="71">
                  <c:v>3.4710400000000003</c:v>
                </c:pt>
                <c:pt idx="72">
                  <c:v>3.4715699999999998</c:v>
                </c:pt>
                <c:pt idx="73">
                  <c:v>3.4711500000000002</c:v>
                </c:pt>
                <c:pt idx="74">
                  <c:v>3.4798299999999998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30.368000000000002</c:v>
                </c:pt>
                <c:pt idx="1">
                  <c:v>30.390899999999998</c:v>
                </c:pt>
                <c:pt idx="2">
                  <c:v>30.5334</c:v>
                </c:pt>
                <c:pt idx="3">
                  <c:v>30.6707</c:v>
                </c:pt>
                <c:pt idx="4">
                  <c:v>30.805700000000002</c:v>
                </c:pt>
                <c:pt idx="5">
                  <c:v>30.961499999999997</c:v>
                </c:pt>
                <c:pt idx="6">
                  <c:v>31.096699999999998</c:v>
                </c:pt>
                <c:pt idx="7">
                  <c:v>31.176900000000003</c:v>
                </c:pt>
                <c:pt idx="8">
                  <c:v>31.1983</c:v>
                </c:pt>
                <c:pt idx="9">
                  <c:v>31.186499999999999</c:v>
                </c:pt>
                <c:pt idx="10">
                  <c:v>31.174099999999999</c:v>
                </c:pt>
                <c:pt idx="11">
                  <c:v>31.204700000000003</c:v>
                </c:pt>
                <c:pt idx="12">
                  <c:v>31.2959</c:v>
                </c:pt>
                <c:pt idx="13">
                  <c:v>31.455499999999997</c:v>
                </c:pt>
                <c:pt idx="14">
                  <c:v>31.637599999999999</c:v>
                </c:pt>
                <c:pt idx="15">
                  <c:v>31.866399999999999</c:v>
                </c:pt>
                <c:pt idx="16">
                  <c:v>32.093800000000002</c:v>
                </c:pt>
                <c:pt idx="17">
                  <c:v>32.4771</c:v>
                </c:pt>
                <c:pt idx="18">
                  <c:v>32.992100000000001</c:v>
                </c:pt>
                <c:pt idx="19">
                  <c:v>33.589999999999996</c:v>
                </c:pt>
                <c:pt idx="20">
                  <c:v>34.161200000000001</c:v>
                </c:pt>
                <c:pt idx="21">
                  <c:v>34.633099999999999</c:v>
                </c:pt>
                <c:pt idx="22">
                  <c:v>35.090800000000002</c:v>
                </c:pt>
                <c:pt idx="23">
                  <c:v>35.543200000000006</c:v>
                </c:pt>
                <c:pt idx="24">
                  <c:v>36.004899999999999</c:v>
                </c:pt>
                <c:pt idx="25">
                  <c:v>36.4724</c:v>
                </c:pt>
                <c:pt idx="26">
                  <c:v>37.0443</c:v>
                </c:pt>
                <c:pt idx="27">
                  <c:v>37.684400000000004</c:v>
                </c:pt>
                <c:pt idx="28">
                  <c:v>38.254199999999997</c:v>
                </c:pt>
                <c:pt idx="29">
                  <c:v>38.853900000000003</c:v>
                </c:pt>
                <c:pt idx="30">
                  <c:v>39.317800000000005</c:v>
                </c:pt>
                <c:pt idx="31">
                  <c:v>39.7166</c:v>
                </c:pt>
                <c:pt idx="32">
                  <c:v>40.110700000000001</c:v>
                </c:pt>
                <c:pt idx="33">
                  <c:v>40.666000000000004</c:v>
                </c:pt>
                <c:pt idx="34">
                  <c:v>41.269500000000001</c:v>
                </c:pt>
                <c:pt idx="35">
                  <c:v>41.827300000000001</c:v>
                </c:pt>
                <c:pt idx="36">
                  <c:v>42.329599999999999</c:v>
                </c:pt>
                <c:pt idx="37">
                  <c:v>42.692799999999998</c:v>
                </c:pt>
                <c:pt idx="38">
                  <c:v>42.9313</c:v>
                </c:pt>
                <c:pt idx="39">
                  <c:v>43.046599999999998</c:v>
                </c:pt>
                <c:pt idx="40">
                  <c:v>43.062199999999997</c:v>
                </c:pt>
                <c:pt idx="41">
                  <c:v>43.069499999999998</c:v>
                </c:pt>
                <c:pt idx="42">
                  <c:v>43.119199999999999</c:v>
                </c:pt>
                <c:pt idx="43">
                  <c:v>43.131500000000003</c:v>
                </c:pt>
                <c:pt idx="44">
                  <c:v>43.139099999999999</c:v>
                </c:pt>
                <c:pt idx="45">
                  <c:v>43.039100000000005</c:v>
                </c:pt>
                <c:pt idx="46">
                  <c:v>42.791000000000004</c:v>
                </c:pt>
                <c:pt idx="47">
                  <c:v>42.518599999999999</c:v>
                </c:pt>
                <c:pt idx="48">
                  <c:v>42.278999999999996</c:v>
                </c:pt>
                <c:pt idx="49">
                  <c:v>42.110100000000003</c:v>
                </c:pt>
                <c:pt idx="50">
                  <c:v>41.913499999999999</c:v>
                </c:pt>
                <c:pt idx="51">
                  <c:v>41.9527</c:v>
                </c:pt>
                <c:pt idx="52">
                  <c:v>41.966999999999999</c:v>
                </c:pt>
                <c:pt idx="53">
                  <c:v>41.962200000000003</c:v>
                </c:pt>
                <c:pt idx="54">
                  <c:v>41.912500000000001</c:v>
                </c:pt>
                <c:pt idx="55">
                  <c:v>41.8431</c:v>
                </c:pt>
                <c:pt idx="56">
                  <c:v>41.797899999999998</c:v>
                </c:pt>
                <c:pt idx="57">
                  <c:v>41.747399999999999</c:v>
                </c:pt>
                <c:pt idx="58">
                  <c:v>41.608200000000004</c:v>
                </c:pt>
                <c:pt idx="59">
                  <c:v>41.446600000000004</c:v>
                </c:pt>
                <c:pt idx="60">
                  <c:v>41.3048</c:v>
                </c:pt>
                <c:pt idx="61">
                  <c:v>41.193999999999996</c:v>
                </c:pt>
                <c:pt idx="62">
                  <c:v>41.084099999999999</c:v>
                </c:pt>
                <c:pt idx="63">
                  <c:v>40.902799999999999</c:v>
                </c:pt>
                <c:pt idx="64">
                  <c:v>40.629100000000001</c:v>
                </c:pt>
                <c:pt idx="65">
                  <c:v>40.341700000000003</c:v>
                </c:pt>
                <c:pt idx="66">
                  <c:v>40.082799999999999</c:v>
                </c:pt>
                <c:pt idx="67">
                  <c:v>39.769300000000001</c:v>
                </c:pt>
                <c:pt idx="68">
                  <c:v>39.513100000000001</c:v>
                </c:pt>
                <c:pt idx="69">
                  <c:v>39.182099999999998</c:v>
                </c:pt>
                <c:pt idx="70">
                  <c:v>38.934100000000001</c:v>
                </c:pt>
                <c:pt idx="71">
                  <c:v>38.800200000000004</c:v>
                </c:pt>
                <c:pt idx="72">
                  <c:v>38.793799999999997</c:v>
                </c:pt>
                <c:pt idx="73">
                  <c:v>38.911799999999999</c:v>
                </c:pt>
                <c:pt idx="74">
                  <c:v>38.698300000000003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1.40873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59.154300000000006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2.7124448648648651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35.949289189189173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3.1983033783783785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38.108254054054051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3.1983033783783785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38.108254054054051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516</v>
      </c>
      <c r="D5" s="151"/>
      <c r="E5" s="151"/>
      <c r="F5" s="152"/>
      <c r="G5" s="48" t="str">
        <f>lang!B27</f>
        <v>编号</v>
      </c>
      <c r="H5" s="150">
        <v>1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515</v>
      </c>
      <c r="D6" s="188"/>
      <c r="E6" s="188"/>
      <c r="F6" s="189"/>
      <c r="G6" s="49" t="str">
        <f>lang!B28</f>
        <v xml:space="preserve"> 日期</v>
      </c>
      <c r="H6" s="172">
        <f>FH_info!A2</f>
        <v>43628.637499999997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46</v>
      </c>
      <c r="D7" s="191"/>
      <c r="E7" s="191"/>
      <c r="F7" s="192"/>
      <c r="G7" s="50" t="str">
        <f>lang!B29</f>
        <v>误差率（%）</v>
      </c>
      <c r="H7" s="175">
        <f>M!B17*1</f>
        <v>14.6525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40.699100000000001</v>
      </c>
      <c r="O8" s="59">
        <f>M!C5*1</f>
        <v>9.89161</v>
      </c>
      <c r="P8" s="59">
        <f>M!D5*1</f>
        <v>24.304200000000002</v>
      </c>
      <c r="Q8" s="59">
        <f>M!E5*1</f>
        <v>20</v>
      </c>
      <c r="R8" s="59">
        <f>M!F5*1</f>
        <v>8.7653400000000001</v>
      </c>
      <c r="S8" s="59">
        <f>M!G5*1</f>
        <v>50</v>
      </c>
      <c r="T8" s="59">
        <f>M!H5*1</f>
        <v>51.218600000000002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36.3752</v>
      </c>
      <c r="O9" s="59">
        <f>M!C6*1</f>
        <v>1.9650099999999999</v>
      </c>
      <c r="P9" s="59">
        <f>M!D6*1</f>
        <v>5.4020599999999996</v>
      </c>
      <c r="Q9" s="59">
        <f>M!E6*1</f>
        <v>20</v>
      </c>
      <c r="R9" s="59">
        <f>M!F6*1</f>
        <v>26.918399999999998</v>
      </c>
      <c r="S9" s="59">
        <f>M!G6*1</f>
        <v>40</v>
      </c>
      <c r="T9" s="59">
        <f>M!H6*1</f>
        <v>38.323399999999999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8.7653400000000001</v>
      </c>
      <c r="D10" s="99">
        <f>N8</f>
        <v>40.699100000000001</v>
      </c>
      <c r="E10" s="100">
        <f>T8</f>
        <v>51.218600000000002</v>
      </c>
      <c r="F10" s="91">
        <f>P8</f>
        <v>24.304200000000002</v>
      </c>
      <c r="G10" s="81" t="str">
        <f>CONCATENATE(M9,"
(20 ~ 40)")</f>
        <v>压力
(20 ~ 40)</v>
      </c>
      <c r="H10" s="98">
        <f>R9</f>
        <v>26.918399999999998</v>
      </c>
      <c r="I10" s="108">
        <f>N9</f>
        <v>36.3752</v>
      </c>
      <c r="J10" s="98">
        <f>T9</f>
        <v>38.323399999999999</v>
      </c>
      <c r="K10" s="92">
        <f>P9</f>
        <v>5.4020599999999996</v>
      </c>
      <c r="L10" s="6"/>
      <c r="M10" s="27" t="str">
        <f>lang!B16</f>
        <v>焦虑</v>
      </c>
      <c r="N10" s="59">
        <f>M!B7*1</f>
        <v>33.033999999999999</v>
      </c>
      <c r="O10" s="59">
        <f>M!C7*1</f>
        <v>4.05708</v>
      </c>
      <c r="P10" s="59">
        <f>M!D7*1</f>
        <v>12.281499999999999</v>
      </c>
      <c r="Q10" s="59">
        <f>M!E7*1</f>
        <v>15</v>
      </c>
      <c r="R10" s="59">
        <f>M!F7*1</f>
        <v>17.7483</v>
      </c>
      <c r="S10" s="59">
        <f>M!G7*1</f>
        <v>40</v>
      </c>
      <c r="T10" s="59">
        <f>M!H7*1</f>
        <v>49.602200000000003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17.7483</v>
      </c>
      <c r="D11" s="102">
        <f>N10</f>
        <v>33.033999999999999</v>
      </c>
      <c r="E11" s="103">
        <f>T10</f>
        <v>49.602200000000003</v>
      </c>
      <c r="F11" s="94">
        <f>P10</f>
        <v>12.281499999999999</v>
      </c>
      <c r="G11" s="52" t="str">
        <f>CONCATENATE(M11,"
(20 ~ 50)")</f>
        <v>可疑
(20 ~ 50)</v>
      </c>
      <c r="H11" s="101">
        <f>R11</f>
        <v>20.515999999999998</v>
      </c>
      <c r="I11" s="104">
        <f>N11</f>
        <v>35.923699999999997</v>
      </c>
      <c r="J11" s="101">
        <f>T11</f>
        <v>41.040500000000002</v>
      </c>
      <c r="K11" s="95">
        <f>P11</f>
        <v>11.393599999999999</v>
      </c>
      <c r="L11" s="4"/>
      <c r="M11" s="27" t="str">
        <f>lang!B17</f>
        <v>可疑</v>
      </c>
      <c r="N11" s="59">
        <f>M!B8*1</f>
        <v>35.923699999999997</v>
      </c>
      <c r="O11" s="59">
        <f>M!C8*1</f>
        <v>4.0930099999999996</v>
      </c>
      <c r="P11" s="59">
        <f>M!D8*1</f>
        <v>11.393599999999999</v>
      </c>
      <c r="Q11" s="59">
        <f>M!E8*1</f>
        <v>20</v>
      </c>
      <c r="R11" s="59">
        <f>M!F8*1</f>
        <v>20.515999999999998</v>
      </c>
      <c r="S11" s="59">
        <f>M!G8*1</f>
        <v>50</v>
      </c>
      <c r="T11" s="59">
        <f>M!H8*1</f>
        <v>41.040500000000002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50.1128</v>
      </c>
      <c r="D12" s="104">
        <f>N12</f>
        <v>66.413399999999996</v>
      </c>
      <c r="E12" s="101">
        <f>T12</f>
        <v>82.628100000000003</v>
      </c>
      <c r="F12" s="93">
        <f>P12</f>
        <v>9.21692</v>
      </c>
      <c r="G12" s="52" t="str">
        <f>CONCATENATE(M13,"
(40 ~ 100)")</f>
        <v>自信
(40 ~ 100)</v>
      </c>
      <c r="H12" s="101">
        <f>R13</f>
        <v>53.4587</v>
      </c>
      <c r="I12" s="104">
        <f>N13</f>
        <v>59.000700000000002</v>
      </c>
      <c r="J12" s="101">
        <f>T13</f>
        <v>64.728800000000007</v>
      </c>
      <c r="K12" s="95">
        <f>P13</f>
        <v>5.5529799999999998</v>
      </c>
      <c r="L12" s="4"/>
      <c r="M12" s="27" t="str">
        <f>lang!B18</f>
        <v>平衡</v>
      </c>
      <c r="N12" s="59">
        <f>M!B9*1</f>
        <v>66.413399999999996</v>
      </c>
      <c r="O12" s="59">
        <f>M!C9*1</f>
        <v>6.12127</v>
      </c>
      <c r="P12" s="59">
        <f>M!D9*1</f>
        <v>9.21692</v>
      </c>
      <c r="Q12" s="59">
        <f>M!E9*1</f>
        <v>50</v>
      </c>
      <c r="R12" s="59">
        <f>M!F9*1</f>
        <v>50.1128</v>
      </c>
      <c r="S12" s="59">
        <f>M!G9*1</f>
        <v>100</v>
      </c>
      <c r="T12" s="59">
        <f>M!H9*1</f>
        <v>82.628100000000003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3.2400099999999998</v>
      </c>
      <c r="D13" s="102">
        <f>N14</f>
        <v>16.6602</v>
      </c>
      <c r="E13" s="103">
        <f>T14</f>
        <v>22.615200000000002</v>
      </c>
      <c r="F13" s="94">
        <f>P14</f>
        <v>29.777200000000001</v>
      </c>
      <c r="G13" s="52" t="str">
        <f>CONCATENATE(M15,"
(50 ~ 100)")</f>
        <v>自我调节
(50 ~ 100)</v>
      </c>
      <c r="H13" s="101">
        <f>R15</f>
        <v>56.1922</v>
      </c>
      <c r="I13" s="104">
        <f>N15</f>
        <v>62.566699999999997</v>
      </c>
      <c r="J13" s="101">
        <f>T15</f>
        <v>71.304500000000004</v>
      </c>
      <c r="K13" s="95">
        <f>P15</f>
        <v>4.8636600000000003</v>
      </c>
      <c r="L13" s="4"/>
      <c r="M13" s="27" t="str">
        <f>lang!B19</f>
        <v>自信</v>
      </c>
      <c r="N13" s="59">
        <f>M!B10*1</f>
        <v>59.000700000000002</v>
      </c>
      <c r="O13" s="59">
        <f>M!C10*1</f>
        <v>3.2763</v>
      </c>
      <c r="P13" s="59">
        <f>M!D10*1</f>
        <v>5.5529799999999998</v>
      </c>
      <c r="Q13" s="59">
        <f>M!E10*1</f>
        <v>40</v>
      </c>
      <c r="R13" s="59">
        <f>M!F10*1</f>
        <v>53.4587</v>
      </c>
      <c r="S13" s="59">
        <f>M!G10*1</f>
        <v>100</v>
      </c>
      <c r="T13" s="59">
        <f>M!H10*1</f>
        <v>64.728800000000007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11.293100000000001</v>
      </c>
      <c r="D14" s="106">
        <f>N16</f>
        <v>16.465299999999999</v>
      </c>
      <c r="E14" s="107">
        <f>T16</f>
        <v>23.700299999999999</v>
      </c>
      <c r="F14" s="96">
        <f>P16</f>
        <v>14.93</v>
      </c>
      <c r="G14" s="112" t="str">
        <f>CONCATENATE(M17,"
(10 ~ 50)")</f>
        <v>神经质
(10 ~ 50)</v>
      </c>
      <c r="H14" s="105">
        <f>R17</f>
        <v>2.5460500000000001</v>
      </c>
      <c r="I14" s="106">
        <f>N17</f>
        <v>24.582699999999999</v>
      </c>
      <c r="J14" s="107">
        <f>T17</f>
        <v>37.494799999999998</v>
      </c>
      <c r="K14" s="97">
        <f>P17</f>
        <v>28.802900000000001</v>
      </c>
      <c r="M14" s="27" t="str">
        <f>lang!B20</f>
        <v>活力</v>
      </c>
      <c r="N14" s="59">
        <f>M!B11*1</f>
        <v>16.6602</v>
      </c>
      <c r="O14" s="59">
        <f>M!C11*1</f>
        <v>4.9609300000000003</v>
      </c>
      <c r="P14" s="59">
        <f>M!D11*1</f>
        <v>29.777200000000001</v>
      </c>
      <c r="Q14" s="59">
        <f>M!E11*1</f>
        <v>10</v>
      </c>
      <c r="R14" s="59">
        <f>M!F11*1</f>
        <v>3.2400099999999998</v>
      </c>
      <c r="S14" s="59">
        <f>M!G11*1</f>
        <v>50</v>
      </c>
      <c r="T14" s="59">
        <f>M!H11*1</f>
        <v>22.615200000000002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62.566699999999997</v>
      </c>
      <c r="O15" s="59">
        <f>M!C12*1</f>
        <v>3.0430299999999999</v>
      </c>
      <c r="P15" s="59">
        <f>M!D12*1</f>
        <v>4.8636600000000003</v>
      </c>
      <c r="Q15" s="59">
        <f>M!E12*1</f>
        <v>50</v>
      </c>
      <c r="R15" s="59">
        <f>M!F12*1</f>
        <v>56.1922</v>
      </c>
      <c r="S15" s="59">
        <f>M!G12*1</f>
        <v>100</v>
      </c>
      <c r="T15" s="59">
        <f>M!H12*1</f>
        <v>71.304500000000004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16.465299999999999</v>
      </c>
      <c r="O16" s="59">
        <f>M!C13*1</f>
        <v>2.4582700000000002</v>
      </c>
      <c r="P16" s="59">
        <f>M!D13*1</f>
        <v>14.93</v>
      </c>
      <c r="Q16" s="59">
        <f>M!E13*1</f>
        <v>10</v>
      </c>
      <c r="R16" s="59">
        <f>M!F13*1</f>
        <v>11.293100000000001</v>
      </c>
      <c r="S16" s="59">
        <f>M!G13*1</f>
        <v>25</v>
      </c>
      <c r="T16" s="59">
        <f>M!H13*1</f>
        <v>23.700299999999999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24.582699999999999</v>
      </c>
      <c r="O17" s="59">
        <f>M!C14*1</f>
        <v>7.0805199999999999</v>
      </c>
      <c r="P17" s="59">
        <f>M!D14*1</f>
        <v>28.802900000000001</v>
      </c>
      <c r="Q17" s="59">
        <f>M!E14*1</f>
        <v>10</v>
      </c>
      <c r="R17" s="59">
        <f>M!F14*1</f>
        <v>2.5460500000000001</v>
      </c>
      <c r="S17" s="59">
        <f>M!G14*1</f>
        <v>50</v>
      </c>
      <c r="T17" s="59">
        <f>M!H14*1</f>
        <v>37.494799999999998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51.160249999999998</v>
      </c>
      <c r="O18" s="22">
        <f>N18/(N18+N19+N20)</f>
        <v>0.47286427632293437</v>
      </c>
      <c r="P18" s="65">
        <f>SUM(P12:P15)/4</f>
        <v>12.352690000000001</v>
      </c>
      <c r="Q18" s="22">
        <f>P18/(P18+P19+P20)</f>
        <v>0.25970409011093992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36.507999999999996</v>
      </c>
      <c r="O19" s="22">
        <f>N19/(N18+N19+N20)</f>
        <v>0.33743636905600904</v>
      </c>
      <c r="P19" s="18">
        <f>SUM(P8:P11)/4</f>
        <v>13.34534</v>
      </c>
      <c r="Q19" s="22">
        <f>P19/(P18+P19+P20)</f>
        <v>0.28057365496269482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20.524000000000001</v>
      </c>
      <c r="O20" s="22">
        <f>N20/(N18+N19+N20)</f>
        <v>0.1896993546210565</v>
      </c>
      <c r="P20" s="18">
        <f>(P16+P17)/2</f>
        <v>21.86645</v>
      </c>
      <c r="Q20" s="22">
        <f>P20/(P18+P19+P20)</f>
        <v>0.4597222549263652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-2.6996202702702532E-2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1.449452204686861</v>
      </c>
      <c r="D25" s="44" t="str">
        <f>lang!B11</f>
        <v>频率方差</v>
      </c>
      <c r="E25" s="142">
        <f ca="1">FH!L3</f>
        <v>0.67268049387646289</v>
      </c>
      <c r="F25" s="143"/>
      <c r="G25" s="134" t="str">
        <f>lang!B12</f>
        <v>生理变化率</v>
      </c>
      <c r="H25" s="135"/>
      <c r="I25" s="62" t="str">
        <f ca="1">CONCATENATE(info!M7,"-",info!M8)</f>
        <v>29.8-59.2</v>
      </c>
      <c r="J25" s="42" t="str">
        <f>lang!B13</f>
        <v>千卡l/分钟</v>
      </c>
      <c r="K25" s="41" t="str">
        <f ca="1">CONCATENATE(info!M5,"-",info!M6)</f>
        <v>1.4-3.5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41.202199999999998</v>
      </c>
      <c r="F28" s="164"/>
      <c r="G28" s="178" t="str">
        <f>lang!B33</f>
        <v>稳定性</v>
      </c>
      <c r="H28" s="179"/>
      <c r="I28" s="180"/>
      <c r="J28" s="181">
        <f>M!B19*100</f>
        <v>66.142399999999995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43628.637499999997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2.9739999999999966</v>
      </c>
      <c r="O7" s="59">
        <f t="shared" ref="O7:T7" si="2">AG7-X7</f>
        <v>-7.7694700000000001</v>
      </c>
      <c r="P7" s="59">
        <f t="shared" si="2"/>
        <v>-20.506540000000001</v>
      </c>
      <c r="Q7" s="59">
        <f t="shared" si="2"/>
        <v>0</v>
      </c>
      <c r="R7" s="59">
        <f t="shared" si="2"/>
        <v>26.686959999999999</v>
      </c>
      <c r="S7" s="59">
        <f t="shared" si="2"/>
        <v>0</v>
      </c>
      <c r="T7" s="59">
        <f t="shared" si="2"/>
        <v>3.2739000000000047</v>
      </c>
      <c r="U7" s="14"/>
      <c r="V7" s="27" t="str">
        <f>M7</f>
        <v>攻击性</v>
      </c>
      <c r="W7" s="59">
        <f>'M1'!B5*1</f>
        <v>39.220100000000002</v>
      </c>
      <c r="X7" s="59">
        <f>'M1'!C5*1</f>
        <v>11.6457</v>
      </c>
      <c r="Y7" s="59">
        <f>'M1'!D5*1</f>
        <v>29.693200000000001</v>
      </c>
      <c r="Z7" s="59">
        <f>'M1'!E5*1</f>
        <v>20</v>
      </c>
      <c r="AA7" s="59">
        <f>'M1'!F5*1</f>
        <v>8.7653400000000001</v>
      </c>
      <c r="AB7" s="59">
        <f>'M1'!G5*1</f>
        <v>50</v>
      </c>
      <c r="AC7" s="59">
        <f>'M1'!H5*1</f>
        <v>47.944699999999997</v>
      </c>
      <c r="AE7" s="27" t="str">
        <f>V7</f>
        <v>攻击性</v>
      </c>
      <c r="AF7" s="59">
        <f>'M2'!B5*1</f>
        <v>42.194099999999999</v>
      </c>
      <c r="AG7" s="59">
        <f>'M2'!C5*1</f>
        <v>3.8762300000000001</v>
      </c>
      <c r="AH7" s="59">
        <f>'M2'!D5*1</f>
        <v>9.1866599999999998</v>
      </c>
      <c r="AI7" s="59">
        <f>'M2'!E5*1</f>
        <v>20</v>
      </c>
      <c r="AJ7" s="59">
        <f>'M2'!F5*1</f>
        <v>35.452300000000001</v>
      </c>
      <c r="AK7" s="59">
        <f>'M2'!G5*1</f>
        <v>50</v>
      </c>
      <c r="AL7" s="59">
        <f>'M2'!H5*1</f>
        <v>51.218600000000002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0.13849999999999341</v>
      </c>
      <c r="O8" s="59">
        <f t="shared" ref="O8:O16" si="5">AG8-X8</f>
        <v>-1.7531830000000002</v>
      </c>
      <c r="P8" s="59">
        <f t="shared" ref="P8:P16" si="6">AH8-Y8</f>
        <v>-4.8445900000000002</v>
      </c>
      <c r="Q8" s="59">
        <f t="shared" ref="Q8:Q16" si="7">AI8-Z8</f>
        <v>0</v>
      </c>
      <c r="R8" s="59">
        <f t="shared" ref="R8:R16" si="8">AJ8-AA8</f>
        <v>7.7649000000000044</v>
      </c>
      <c r="S8" s="59">
        <f t="shared" ref="S8:S16" si="9">AK8-AB8</f>
        <v>0</v>
      </c>
      <c r="T8" s="59">
        <f t="shared" ref="T8:T16" si="10">AL8-AC8</f>
        <v>-0.19720000000000226</v>
      </c>
      <c r="U8" s="15"/>
      <c r="V8" s="27" t="str">
        <f t="shared" ref="V8:V16" si="11">M8</f>
        <v>压力</v>
      </c>
      <c r="W8" s="59">
        <f>'M1'!B6*1</f>
        <v>36.251600000000003</v>
      </c>
      <c r="X8" s="59">
        <f>'M1'!C6*1</f>
        <v>2.5557500000000002</v>
      </c>
      <c r="Y8" s="59">
        <f>'M1'!D6*1</f>
        <v>7.0500499999999997</v>
      </c>
      <c r="Z8" s="59">
        <f>'M1'!E6*1</f>
        <v>20</v>
      </c>
      <c r="AA8" s="59">
        <f>'M1'!F6*1</f>
        <v>26.918399999999998</v>
      </c>
      <c r="AB8" s="59">
        <f>'M1'!G6*1</f>
        <v>40</v>
      </c>
      <c r="AC8" s="59">
        <f>'M1'!H6*1</f>
        <v>38.323399999999999</v>
      </c>
      <c r="AE8" s="27" t="str">
        <f t="shared" ref="AE8:AE16" si="12">V8</f>
        <v>压力</v>
      </c>
      <c r="AF8" s="59">
        <f>'M2'!B6*1</f>
        <v>36.390099999999997</v>
      </c>
      <c r="AG8" s="59">
        <f>'M2'!C6*1</f>
        <v>0.80256700000000003</v>
      </c>
      <c r="AH8" s="59">
        <f>'M2'!D6*1</f>
        <v>2.20546</v>
      </c>
      <c r="AI8" s="59">
        <f>'M2'!E6*1</f>
        <v>20</v>
      </c>
      <c r="AJ8" s="59">
        <f>'M2'!F6*1</f>
        <v>34.683300000000003</v>
      </c>
      <c r="AK8" s="59">
        <f>'M2'!G6*1</f>
        <v>40</v>
      </c>
      <c r="AL8" s="59">
        <f>'M2'!H6*1</f>
        <v>38.126199999999997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26.686959999999999</v>
      </c>
      <c r="D9" s="78">
        <f>N7</f>
        <v>2.9739999999999966</v>
      </c>
      <c r="E9" s="79">
        <f>T7</f>
        <v>3.2739000000000047</v>
      </c>
      <c r="F9" s="79">
        <f>P7</f>
        <v>-20.506540000000001</v>
      </c>
      <c r="G9" s="80" t="str">
        <f>CONCATENATE(M8,"
(20 ~ 40)")</f>
        <v>压力
(20 ~ 40)</v>
      </c>
      <c r="H9" s="77">
        <f>R8</f>
        <v>7.7649000000000044</v>
      </c>
      <c r="I9" s="81">
        <f>N8</f>
        <v>0.13849999999999341</v>
      </c>
      <c r="J9" s="77">
        <f>T8</f>
        <v>-0.19720000000000226</v>
      </c>
      <c r="K9" s="82">
        <f>P8</f>
        <v>-4.8445900000000002</v>
      </c>
      <c r="L9" s="6"/>
      <c r="M9" s="27" t="str">
        <f>lang!B16</f>
        <v>焦虑</v>
      </c>
      <c r="N9" s="59">
        <f t="shared" si="4"/>
        <v>-0.7972999999999999</v>
      </c>
      <c r="O9" s="59">
        <f t="shared" si="5"/>
        <v>1.14154</v>
      </c>
      <c r="P9" s="59">
        <f t="shared" si="6"/>
        <v>3.7836999999999996</v>
      </c>
      <c r="Q9" s="59">
        <f t="shared" si="7"/>
        <v>0</v>
      </c>
      <c r="R9" s="59">
        <f t="shared" si="8"/>
        <v>-6.9741999999999997</v>
      </c>
      <c r="S9" s="59">
        <f t="shared" si="9"/>
        <v>0</v>
      </c>
      <c r="T9" s="59">
        <f t="shared" si="10"/>
        <v>6.4259000000000057</v>
      </c>
      <c r="U9" s="14"/>
      <c r="V9" s="27" t="str">
        <f t="shared" si="11"/>
        <v>焦虑</v>
      </c>
      <c r="W9" s="59">
        <f>'M1'!B7*1</f>
        <v>33.148899999999998</v>
      </c>
      <c r="X9" s="59">
        <f>'M1'!C7*1</f>
        <v>3.4315199999999999</v>
      </c>
      <c r="Y9" s="59">
        <f>'M1'!D7*1</f>
        <v>10.351800000000001</v>
      </c>
      <c r="Z9" s="59">
        <f>'M1'!E7*1</f>
        <v>15</v>
      </c>
      <c r="AA9" s="59">
        <f>'M1'!F7*1</f>
        <v>24.7225</v>
      </c>
      <c r="AB9" s="59">
        <f>'M1'!G7*1</f>
        <v>40</v>
      </c>
      <c r="AC9" s="59">
        <f>'M1'!H7*1</f>
        <v>43.176299999999998</v>
      </c>
      <c r="AE9" s="27" t="str">
        <f t="shared" si="12"/>
        <v>焦虑</v>
      </c>
      <c r="AF9" s="59">
        <f>'M2'!B7*1</f>
        <v>32.351599999999998</v>
      </c>
      <c r="AG9" s="59">
        <f>'M2'!C7*1</f>
        <v>4.5730599999999999</v>
      </c>
      <c r="AH9" s="59">
        <f>'M2'!D7*1</f>
        <v>14.1355</v>
      </c>
      <c r="AI9" s="59">
        <f>'M2'!E7*1</f>
        <v>15</v>
      </c>
      <c r="AJ9" s="59">
        <f>'M2'!F7*1</f>
        <v>17.7483</v>
      </c>
      <c r="AK9" s="59">
        <f>'M2'!G7*1</f>
        <v>40</v>
      </c>
      <c r="AL9" s="59">
        <f>'M2'!H7*1</f>
        <v>49.602200000000003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-6.9741999999999997</v>
      </c>
      <c r="D10" s="51">
        <f>N9</f>
        <v>-0.7972999999999999</v>
      </c>
      <c r="E10" s="53">
        <f>T9</f>
        <v>6.4259000000000057</v>
      </c>
      <c r="F10" s="53">
        <f>P9</f>
        <v>3.7836999999999996</v>
      </c>
      <c r="G10" s="73" t="str">
        <f>CONCATENATE(M10,"
(20 ~ 50)")</f>
        <v>可疑
(20 ~ 50)</v>
      </c>
      <c r="H10" s="24">
        <f>R10</f>
        <v>13.550699999999999</v>
      </c>
      <c r="I10" s="52">
        <f>N10</f>
        <v>1.1724000000000032</v>
      </c>
      <c r="J10" s="24">
        <f>T10</f>
        <v>2.6794000000000011</v>
      </c>
      <c r="K10" s="25">
        <f>P10</f>
        <v>-9.4295899999999993</v>
      </c>
      <c r="L10" s="4"/>
      <c r="M10" s="27" t="str">
        <f>lang!B17</f>
        <v>可疑</v>
      </c>
      <c r="N10" s="59">
        <f t="shared" si="4"/>
        <v>1.1724000000000032</v>
      </c>
      <c r="O10" s="59">
        <f t="shared" si="5"/>
        <v>-3.2840199999999999</v>
      </c>
      <c r="P10" s="59">
        <f t="shared" si="6"/>
        <v>-9.4295899999999993</v>
      </c>
      <c r="Q10" s="59">
        <f t="shared" si="7"/>
        <v>0</v>
      </c>
      <c r="R10" s="59">
        <f t="shared" si="8"/>
        <v>13.550699999999999</v>
      </c>
      <c r="S10" s="59">
        <f t="shared" si="9"/>
        <v>0</v>
      </c>
      <c r="T10" s="59">
        <f t="shared" si="10"/>
        <v>2.6794000000000011</v>
      </c>
      <c r="U10" s="14"/>
      <c r="V10" s="27" t="str">
        <f t="shared" si="11"/>
        <v>可疑</v>
      </c>
      <c r="W10" s="59">
        <f>'M1'!B8*1</f>
        <v>35.366399999999999</v>
      </c>
      <c r="X10" s="59">
        <f>'M1'!C8*1</f>
        <v>4.8697299999999997</v>
      </c>
      <c r="Y10" s="59">
        <f>'M1'!D8*1</f>
        <v>13.769399999999999</v>
      </c>
      <c r="Z10" s="59">
        <f>'M1'!E8*1</f>
        <v>20</v>
      </c>
      <c r="AA10" s="59">
        <f>'M1'!F8*1</f>
        <v>20.515999999999998</v>
      </c>
      <c r="AB10" s="59">
        <f>'M1'!G8*1</f>
        <v>50</v>
      </c>
      <c r="AC10" s="59">
        <f>'M1'!H8*1</f>
        <v>38.3611</v>
      </c>
      <c r="AE10" s="27" t="str">
        <f t="shared" si="12"/>
        <v>可疑</v>
      </c>
      <c r="AF10" s="59">
        <f>'M2'!B8*1</f>
        <v>36.538800000000002</v>
      </c>
      <c r="AG10" s="59">
        <f>'M2'!C8*1</f>
        <v>1.58571</v>
      </c>
      <c r="AH10" s="59">
        <f>'M2'!D8*1</f>
        <v>4.3398099999999999</v>
      </c>
      <c r="AI10" s="59">
        <f>'M2'!E8*1</f>
        <v>20</v>
      </c>
      <c r="AJ10" s="59">
        <f>'M2'!F8*1</f>
        <v>34.066699999999997</v>
      </c>
      <c r="AK10" s="59">
        <f>'M2'!G8*1</f>
        <v>50</v>
      </c>
      <c r="AL10" s="59">
        <f>'M2'!H8*1</f>
        <v>41.040500000000002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-8.4391999999999996</v>
      </c>
      <c r="D11" s="52">
        <f>N11</f>
        <v>-6.5441000000000074</v>
      </c>
      <c r="E11" s="24">
        <f>T11</f>
        <v>-10.988200000000006</v>
      </c>
      <c r="F11" s="24">
        <f>P11</f>
        <v>1.4291</v>
      </c>
      <c r="G11" s="73" t="str">
        <f>CONCATENATE(M12,"
(40 ~ 100)")</f>
        <v>自信
(40 ~ 100)</v>
      </c>
      <c r="H11" s="24">
        <f>R12</f>
        <v>0.60430000000000206</v>
      </c>
      <c r="I11" s="52">
        <f>N12</f>
        <v>5.856500000000004</v>
      </c>
      <c r="J11" s="24">
        <f>T12</f>
        <v>3.4653000000000063</v>
      </c>
      <c r="K11" s="25">
        <f>P12</f>
        <v>1.7379500000000005</v>
      </c>
      <c r="L11" s="4"/>
      <c r="M11" s="27" t="str">
        <f>lang!B18</f>
        <v>平衡</v>
      </c>
      <c r="N11" s="59">
        <f t="shared" si="4"/>
        <v>-6.5441000000000074</v>
      </c>
      <c r="O11" s="59">
        <f t="shared" si="5"/>
        <v>0.48001999999999967</v>
      </c>
      <c r="P11" s="59">
        <f t="shared" si="6"/>
        <v>1.4291</v>
      </c>
      <c r="Q11" s="59">
        <f t="shared" si="7"/>
        <v>0</v>
      </c>
      <c r="R11" s="59">
        <f t="shared" si="8"/>
        <v>-8.4391999999999996</v>
      </c>
      <c r="S11" s="59">
        <f t="shared" si="9"/>
        <v>0</v>
      </c>
      <c r="T11" s="59">
        <f t="shared" si="10"/>
        <v>-10.988200000000006</v>
      </c>
      <c r="U11" s="14"/>
      <c r="V11" s="27" t="str">
        <f t="shared" si="11"/>
        <v>平衡</v>
      </c>
      <c r="W11" s="59">
        <f>'M1'!B9*1</f>
        <v>69.936000000000007</v>
      </c>
      <c r="X11" s="59">
        <f>'M1'!C9*1</f>
        <v>4.5516100000000002</v>
      </c>
      <c r="Y11" s="59">
        <f>'M1'!D9*1</f>
        <v>6.5082500000000003</v>
      </c>
      <c r="Z11" s="59">
        <f>'M1'!E9*1</f>
        <v>50</v>
      </c>
      <c r="AA11" s="59">
        <f>'M1'!F9*1</f>
        <v>58.552</v>
      </c>
      <c r="AB11" s="59">
        <f>'M1'!G9*1</f>
        <v>100</v>
      </c>
      <c r="AC11" s="59">
        <f>'M1'!H9*1</f>
        <v>82.628100000000003</v>
      </c>
      <c r="AE11" s="27" t="str">
        <f t="shared" si="12"/>
        <v>平衡</v>
      </c>
      <c r="AF11" s="59">
        <f>'M2'!B9*1</f>
        <v>63.3919</v>
      </c>
      <c r="AG11" s="59">
        <f>'M2'!C9*1</f>
        <v>5.0316299999999998</v>
      </c>
      <c r="AH11" s="59">
        <f>'M2'!D9*1</f>
        <v>7.9373500000000003</v>
      </c>
      <c r="AI11" s="59">
        <f>'M2'!E9*1</f>
        <v>50</v>
      </c>
      <c r="AJ11" s="59">
        <f>'M2'!F9*1</f>
        <v>50.1128</v>
      </c>
      <c r="AK11" s="59">
        <f>'M2'!G9*1</f>
        <v>100</v>
      </c>
      <c r="AL11" s="59">
        <f>'M2'!H9*1</f>
        <v>71.639899999999997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12.24309</v>
      </c>
      <c r="D12" s="51">
        <f>N13</f>
        <v>5.3105000000000011</v>
      </c>
      <c r="E12" s="53">
        <f>T13</f>
        <v>4.8555000000000028</v>
      </c>
      <c r="F12" s="53">
        <f>P13</f>
        <v>-22.363500000000002</v>
      </c>
      <c r="G12" s="73" t="str">
        <f>CONCATENATE(M14,"
(50 ~ 100)")</f>
        <v>自我调节
(50 ~ 100)</v>
      </c>
      <c r="H12" s="24">
        <f>R14</f>
        <v>-0.81620000000000203</v>
      </c>
      <c r="I12" s="52">
        <f>N14</f>
        <v>-2.2333999999999961</v>
      </c>
      <c r="J12" s="24">
        <f>T14</f>
        <v>-3.7218000000000018</v>
      </c>
      <c r="K12" s="25">
        <f>P14</f>
        <v>0.20914000000000055</v>
      </c>
      <c r="L12" s="4"/>
      <c r="M12" s="27" t="str">
        <f>lang!B19</f>
        <v>自信</v>
      </c>
      <c r="N12" s="59">
        <f t="shared" si="4"/>
        <v>5.856500000000004</v>
      </c>
      <c r="O12" s="59">
        <f t="shared" si="5"/>
        <v>1.2833100000000002</v>
      </c>
      <c r="P12" s="59">
        <f t="shared" si="6"/>
        <v>1.7379500000000005</v>
      </c>
      <c r="Q12" s="59">
        <f t="shared" si="7"/>
        <v>0</v>
      </c>
      <c r="R12" s="59">
        <f t="shared" si="8"/>
        <v>0.60430000000000206</v>
      </c>
      <c r="S12" s="59">
        <f t="shared" si="9"/>
        <v>0</v>
      </c>
      <c r="T12" s="59">
        <f t="shared" si="10"/>
        <v>3.4653000000000063</v>
      </c>
      <c r="U12" s="15"/>
      <c r="V12" s="27" t="str">
        <f t="shared" si="11"/>
        <v>自信</v>
      </c>
      <c r="W12" s="59">
        <f>'M1'!B10*1</f>
        <v>56.142699999999998</v>
      </c>
      <c r="X12" s="59">
        <f>'M1'!C10*1</f>
        <v>1.97282</v>
      </c>
      <c r="Y12" s="59">
        <f>'M1'!D10*1</f>
        <v>3.5139399999999998</v>
      </c>
      <c r="Z12" s="59">
        <f>'M1'!E10*1</f>
        <v>40</v>
      </c>
      <c r="AA12" s="59">
        <f>'M1'!F10*1</f>
        <v>53.4587</v>
      </c>
      <c r="AB12" s="59">
        <f>'M1'!G10*1</f>
        <v>100</v>
      </c>
      <c r="AC12" s="59">
        <f>'M1'!H10*1</f>
        <v>61.263500000000001</v>
      </c>
      <c r="AE12" s="27" t="str">
        <f t="shared" si="12"/>
        <v>自信</v>
      </c>
      <c r="AF12" s="59">
        <f>'M2'!B10*1</f>
        <v>61.999200000000002</v>
      </c>
      <c r="AG12" s="59">
        <f>'M2'!C10*1</f>
        <v>3.2561300000000002</v>
      </c>
      <c r="AH12" s="59">
        <f>'M2'!D10*1</f>
        <v>5.2518900000000004</v>
      </c>
      <c r="AI12" s="59">
        <f>'M2'!E10*1</f>
        <v>40</v>
      </c>
      <c r="AJ12" s="59">
        <f>'M2'!F10*1</f>
        <v>54.063000000000002</v>
      </c>
      <c r="AK12" s="59">
        <f>'M2'!G10*1</f>
        <v>100</v>
      </c>
      <c r="AL12" s="59">
        <f>'M2'!H10*1</f>
        <v>64.728800000000007</v>
      </c>
    </row>
    <row r="13" spans="2:38" ht="25.5" customHeight="1" thickBot="1">
      <c r="B13" s="72" t="str">
        <f>CONCATENATE(M15,"
(10 ~ 25)")</f>
        <v>抑郁
(10 ~ 25)</v>
      </c>
      <c r="C13" s="54">
        <f>R15</f>
        <v>-1.1625999999999994</v>
      </c>
      <c r="D13" s="55">
        <f>N15</f>
        <v>-0.40150000000000219</v>
      </c>
      <c r="E13" s="56">
        <f>T15</f>
        <v>1.5787999999999975</v>
      </c>
      <c r="F13" s="56">
        <f>P15</f>
        <v>2.4276999999999997</v>
      </c>
      <c r="G13" s="74" t="str">
        <f>CONCATENATE(M16,"
(10 ~ 50)")</f>
        <v>神经质
(10 ~ 50)</v>
      </c>
      <c r="H13" s="54">
        <f>R16</f>
        <v>-6.01799999999999E-2</v>
      </c>
      <c r="I13" s="55">
        <f>N16</f>
        <v>3.3772999999999982</v>
      </c>
      <c r="J13" s="56">
        <f>T16</f>
        <v>-10.071399999999997</v>
      </c>
      <c r="K13" s="57">
        <f>P16</f>
        <v>-2.5799999999999983</v>
      </c>
      <c r="M13" s="27" t="str">
        <f>lang!B20</f>
        <v>活力</v>
      </c>
      <c r="N13" s="59">
        <f t="shared" si="4"/>
        <v>5.3105000000000011</v>
      </c>
      <c r="O13" s="59">
        <f t="shared" si="5"/>
        <v>-2.5336100000000004</v>
      </c>
      <c r="P13" s="59">
        <f t="shared" si="6"/>
        <v>-22.363500000000002</v>
      </c>
      <c r="Q13" s="59">
        <f t="shared" si="7"/>
        <v>0</v>
      </c>
      <c r="R13" s="59">
        <f t="shared" si="8"/>
        <v>12.24309</v>
      </c>
      <c r="S13" s="59">
        <f t="shared" si="9"/>
        <v>0</v>
      </c>
      <c r="T13" s="59">
        <f t="shared" si="10"/>
        <v>4.8555000000000028</v>
      </c>
      <c r="U13" s="14"/>
      <c r="V13" s="27" t="str">
        <f t="shared" si="11"/>
        <v>活力</v>
      </c>
      <c r="W13" s="59">
        <f>'M1'!B11*1</f>
        <v>13.771100000000001</v>
      </c>
      <c r="X13" s="59">
        <f>'M1'!C11*1</f>
        <v>4.4958400000000003</v>
      </c>
      <c r="Y13" s="59">
        <f>'M1'!D11*1</f>
        <v>32.646900000000002</v>
      </c>
      <c r="Z13" s="59">
        <f>'M1'!E11*1</f>
        <v>10</v>
      </c>
      <c r="AA13" s="59">
        <f>'M1'!F11*1</f>
        <v>3.2400099999999998</v>
      </c>
      <c r="AB13" s="59">
        <f>'M1'!G11*1</f>
        <v>50</v>
      </c>
      <c r="AC13" s="59">
        <f>'M1'!H11*1</f>
        <v>17.759699999999999</v>
      </c>
      <c r="AE13" s="27" t="str">
        <f t="shared" si="12"/>
        <v>活力</v>
      </c>
      <c r="AF13" s="59">
        <f>'M2'!B11*1</f>
        <v>19.081600000000002</v>
      </c>
      <c r="AG13" s="59">
        <f>'M2'!C11*1</f>
        <v>1.9622299999999999</v>
      </c>
      <c r="AH13" s="59">
        <f>'M2'!D11*1</f>
        <v>10.2834</v>
      </c>
      <c r="AI13" s="59">
        <f>'M2'!E11*1</f>
        <v>10</v>
      </c>
      <c r="AJ13" s="59">
        <f>'M2'!F11*1</f>
        <v>15.4831</v>
      </c>
      <c r="AK13" s="59">
        <f>'M2'!G11*1</f>
        <v>50</v>
      </c>
      <c r="AL13" s="59">
        <f>'M2'!H11*1</f>
        <v>22.615200000000002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-2.2333999999999961</v>
      </c>
      <c r="O14" s="59">
        <f t="shared" si="5"/>
        <v>2.7730000000000032E-2</v>
      </c>
      <c r="P14" s="59">
        <f t="shared" si="6"/>
        <v>0.20914000000000055</v>
      </c>
      <c r="Q14" s="59">
        <f t="shared" si="7"/>
        <v>0</v>
      </c>
      <c r="R14" s="59">
        <f t="shared" si="8"/>
        <v>-0.81620000000000203</v>
      </c>
      <c r="S14" s="59">
        <f t="shared" si="9"/>
        <v>0</v>
      </c>
      <c r="T14" s="59">
        <f t="shared" si="10"/>
        <v>-3.7218000000000018</v>
      </c>
      <c r="U14" s="14"/>
      <c r="V14" s="27" t="str">
        <f t="shared" si="11"/>
        <v>自我调节</v>
      </c>
      <c r="W14" s="59">
        <f>'M1'!B12*1</f>
        <v>63.701999999999998</v>
      </c>
      <c r="X14" s="59">
        <f>'M1'!C12*1</f>
        <v>2.8758900000000001</v>
      </c>
      <c r="Y14" s="59">
        <f>'M1'!D12*1</f>
        <v>4.5145999999999997</v>
      </c>
      <c r="Z14" s="59">
        <f>'M1'!E12*1</f>
        <v>50</v>
      </c>
      <c r="AA14" s="59">
        <f>'M1'!F12*1</f>
        <v>57.008400000000002</v>
      </c>
      <c r="AB14" s="59">
        <f>'M1'!G12*1</f>
        <v>100</v>
      </c>
      <c r="AC14" s="59">
        <f>'M1'!H12*1</f>
        <v>71.304500000000004</v>
      </c>
      <c r="AE14" s="27" t="str">
        <f t="shared" si="12"/>
        <v>自我调节</v>
      </c>
      <c r="AF14" s="59">
        <f>'M2'!B12*1</f>
        <v>61.468600000000002</v>
      </c>
      <c r="AG14" s="59">
        <f>'M2'!C12*1</f>
        <v>2.9036200000000001</v>
      </c>
      <c r="AH14" s="59">
        <f>'M2'!D12*1</f>
        <v>4.7237400000000003</v>
      </c>
      <c r="AI14" s="59">
        <f>'M2'!E12*1</f>
        <v>50</v>
      </c>
      <c r="AJ14" s="59">
        <f>'M2'!F12*1</f>
        <v>56.1922</v>
      </c>
      <c r="AK14" s="59">
        <f>'M2'!G12*1</f>
        <v>100</v>
      </c>
      <c r="AL14" s="59">
        <f>'M2'!H12*1</f>
        <v>67.582700000000003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-0.40150000000000219</v>
      </c>
      <c r="O15" s="59">
        <f t="shared" si="5"/>
        <v>0.33773000000000009</v>
      </c>
      <c r="P15" s="59">
        <f t="shared" si="6"/>
        <v>2.4276999999999997</v>
      </c>
      <c r="Q15" s="59">
        <f t="shared" si="7"/>
        <v>0</v>
      </c>
      <c r="R15" s="59">
        <f t="shared" si="8"/>
        <v>-1.1625999999999994</v>
      </c>
      <c r="S15" s="59">
        <f t="shared" si="9"/>
        <v>0</v>
      </c>
      <c r="T15" s="59">
        <f t="shared" si="10"/>
        <v>1.5787999999999975</v>
      </c>
      <c r="U15" s="14"/>
      <c r="V15" s="27" t="str">
        <f t="shared" si="11"/>
        <v>抑郁</v>
      </c>
      <c r="W15" s="59">
        <f>'M1'!B13*1</f>
        <v>16.575500000000002</v>
      </c>
      <c r="X15" s="59">
        <f>'M1'!C13*1</f>
        <v>2.2673399999999999</v>
      </c>
      <c r="Y15" s="59">
        <f>'M1'!D13*1</f>
        <v>13.678800000000001</v>
      </c>
      <c r="Z15" s="59">
        <f>'M1'!E13*1</f>
        <v>10</v>
      </c>
      <c r="AA15" s="59">
        <f>'M1'!F13*1</f>
        <v>12.4557</v>
      </c>
      <c r="AB15" s="59">
        <f>'M1'!G13*1</f>
        <v>25</v>
      </c>
      <c r="AC15" s="59">
        <f>'M1'!H13*1</f>
        <v>22.121500000000001</v>
      </c>
      <c r="AE15" s="27" t="str">
        <f t="shared" si="12"/>
        <v>抑郁</v>
      </c>
      <c r="AF15" s="59">
        <f>'M2'!B13*1</f>
        <v>16.173999999999999</v>
      </c>
      <c r="AG15" s="59">
        <f>'M2'!C13*1</f>
        <v>2.60507</v>
      </c>
      <c r="AH15" s="59">
        <f>'M2'!D13*1</f>
        <v>16.1065</v>
      </c>
      <c r="AI15" s="59">
        <f>'M2'!E13*1</f>
        <v>10</v>
      </c>
      <c r="AJ15" s="59">
        <f>'M2'!F13*1</f>
        <v>11.293100000000001</v>
      </c>
      <c r="AK15" s="59">
        <f>'M2'!G13*1</f>
        <v>25</v>
      </c>
      <c r="AL15" s="59">
        <f>'M2'!H13*1</f>
        <v>23.700299999999999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3.3772999999999982</v>
      </c>
      <c r="O16" s="59">
        <f t="shared" si="5"/>
        <v>0.32733999999999952</v>
      </c>
      <c r="P16" s="59">
        <f t="shared" si="6"/>
        <v>-2.5799999999999983</v>
      </c>
      <c r="Q16" s="59">
        <f t="shared" si="7"/>
        <v>0</v>
      </c>
      <c r="R16" s="59">
        <f t="shared" si="8"/>
        <v>-6.01799999999999E-2</v>
      </c>
      <c r="S16" s="59">
        <f t="shared" si="9"/>
        <v>0</v>
      </c>
      <c r="T16" s="59">
        <f t="shared" si="10"/>
        <v>-10.071399999999997</v>
      </c>
      <c r="U16" s="15"/>
      <c r="V16" s="27" t="str">
        <f t="shared" si="11"/>
        <v>神经质</v>
      </c>
      <c r="W16" s="59">
        <f>'M1'!B14*1</f>
        <v>22.673400000000001</v>
      </c>
      <c r="X16" s="59">
        <f>'M1'!C14*1</f>
        <v>6.7098100000000001</v>
      </c>
      <c r="Y16" s="59">
        <f>'M1'!D14*1</f>
        <v>29.593299999999999</v>
      </c>
      <c r="Z16" s="59">
        <f>'M1'!E14*1</f>
        <v>10</v>
      </c>
      <c r="AA16" s="59">
        <f>'M1'!F14*1</f>
        <v>2.60623</v>
      </c>
      <c r="AB16" s="59">
        <f>'M1'!G14*1</f>
        <v>50</v>
      </c>
      <c r="AC16" s="59">
        <f>'M1'!H14*1</f>
        <v>37.494799999999998</v>
      </c>
      <c r="AE16" s="27" t="str">
        <f t="shared" si="12"/>
        <v>神经质</v>
      </c>
      <c r="AF16" s="59">
        <f>'M2'!B14*1</f>
        <v>26.050699999999999</v>
      </c>
      <c r="AG16" s="59">
        <f>'M2'!C14*1</f>
        <v>7.0371499999999996</v>
      </c>
      <c r="AH16" s="59">
        <f>'M2'!D14*1</f>
        <v>27.013300000000001</v>
      </c>
      <c r="AI16" s="59">
        <f>'M2'!E14*1</f>
        <v>10</v>
      </c>
      <c r="AJ16" s="59">
        <f>'M2'!F14*1</f>
        <v>2.5460500000000001</v>
      </c>
      <c r="AK16" s="59">
        <f>'M2'!G14*1</f>
        <v>50</v>
      </c>
      <c r="AL16" s="59">
        <f>'M2'!H14*1</f>
        <v>27.423400000000001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0.59737500000000043</v>
      </c>
      <c r="O17" s="22">
        <f>N17/(N17+N18+N19)</f>
        <v>0.2020086738187632</v>
      </c>
      <c r="P17" s="65">
        <f>SUM(P11:P14)/4</f>
        <v>-4.7468275000000002</v>
      </c>
      <c r="Q17" s="22">
        <f>P17/(P17+P18+P19)</f>
        <v>0.37756440632162991</v>
      </c>
      <c r="R17" s="14"/>
      <c r="S17" s="14"/>
      <c r="T17" s="14"/>
      <c r="U17" s="14"/>
      <c r="V17" s="21" t="str">
        <f>M17</f>
        <v>Positive</v>
      </c>
      <c r="W17" s="65">
        <f>SUM(W11:W14)/4</f>
        <v>50.887949999999996</v>
      </c>
      <c r="X17" s="22">
        <f>W17/(W17+W18+W19)</f>
        <v>0.4777800780496323</v>
      </c>
      <c r="Y17" s="65">
        <f>SUM(Y11:Y14)/4</f>
        <v>11.795922500000001</v>
      </c>
      <c r="Z17" s="22">
        <f>Y17/(Y17+Y18+Y19)</f>
        <v>0.24247454961485126</v>
      </c>
      <c r="AA17" s="14"/>
      <c r="AB17" s="14"/>
      <c r="AC17" s="14"/>
      <c r="AE17" s="21" t="str">
        <f>V17</f>
        <v>Positive</v>
      </c>
      <c r="AF17" s="65">
        <f>SUM(AF11:AF14)/4</f>
        <v>51.485325000000003</v>
      </c>
      <c r="AG17" s="22">
        <f>AF17/(AF17+AF18+AF19)</f>
        <v>0.47033025910023013</v>
      </c>
      <c r="AH17" s="65">
        <f>SUM(AH11:AH14)/4</f>
        <v>7.0490950000000003</v>
      </c>
      <c r="AI17" s="22">
        <f>AH17/(AH17+AH18+AH19)</f>
        <v>0.19539649132338593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0.87189999999999834</v>
      </c>
      <c r="O18" s="22">
        <f>N18/(N17+N18+N19)</f>
        <v>0.29484220582143406</v>
      </c>
      <c r="P18" s="18">
        <f>SUM(P7:P10)/4</f>
        <v>-7.7492549999999998</v>
      </c>
      <c r="Q18" s="22">
        <f>P18/(P17+P18+P19)</f>
        <v>0.61637859465293854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35.996749999999999</v>
      </c>
      <c r="X18" s="22">
        <f>W18/(W17+W18+W19)</f>
        <v>0.33796861584192528</v>
      </c>
      <c r="Y18" s="18">
        <f>SUM(Y7:Y10)/4</f>
        <v>15.216112499999999</v>
      </c>
      <c r="Z18" s="22">
        <f>Y18/(Y17+Y18+Y19)</f>
        <v>0.31277926972870562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36.868650000000002</v>
      </c>
      <c r="AG18" s="22">
        <f>AF18/(AF17+AF18+AF19)</f>
        <v>0.33680357863479932</v>
      </c>
      <c r="AH18" s="18">
        <f>SUM(AH7:AH10)/4</f>
        <v>7.4668574999999997</v>
      </c>
      <c r="AI18" s="22">
        <f>AH18/(AH17+AH18+AH19)</f>
        <v>0.2069766057503423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1.487899999999998</v>
      </c>
      <c r="O19" s="22">
        <f>N19/(N17+N18+N19)</f>
        <v>0.50314912035980275</v>
      </c>
      <c r="P19" s="18">
        <f>(P15+P16)/2</f>
        <v>-7.6149999999999274E-2</v>
      </c>
      <c r="Q19" s="22">
        <f>P19/(P17+P18+P19)</f>
        <v>6.0569990254315835E-3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19.624450000000003</v>
      </c>
      <c r="X19" s="22">
        <f>W19/(W17+W18+W19)</f>
        <v>0.18425130610844234</v>
      </c>
      <c r="Y19" s="18">
        <f>(Y15+Y16)/2</f>
        <v>21.636050000000001</v>
      </c>
      <c r="Z19" s="22">
        <f>Y19/(Y17+Y18+Y19)</f>
        <v>0.44474618065644311</v>
      </c>
      <c r="AA19" s="14"/>
      <c r="AB19" s="14"/>
      <c r="AC19" s="14"/>
      <c r="AE19" s="21" t="str">
        <f t="shared" si="14"/>
        <v>Physiological</v>
      </c>
      <c r="AF19" s="18">
        <f>(AF15+AF16)/2</f>
        <v>21.112349999999999</v>
      </c>
      <c r="AG19" s="22">
        <f>AF19/(AF17+AF18+AF19)</f>
        <v>0.1928661622649705</v>
      </c>
      <c r="AH19" s="18">
        <f>(AH15+AH16)/2</f>
        <v>21.559899999999999</v>
      </c>
      <c r="AI19" s="22">
        <f>AH19/(AH17+AH18+AH19)</f>
        <v>0.59762690292627185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1.26/1.58</v>
      </c>
      <c r="D24" s="44" t="str">
        <f>lang!B11</f>
        <v>频率方差</v>
      </c>
      <c r="E24" s="142" t="str">
        <f ca="1">CONCATENATE(ROUND('FH1'!L3,2),"/",ROUND('FH2'!L3,2))</f>
        <v>0.69/0.63</v>
      </c>
      <c r="F24" s="143"/>
      <c r="G24" s="134" t="str">
        <f>lang!B12</f>
        <v>生理变化率</v>
      </c>
      <c r="H24" s="135"/>
      <c r="I24" s="62" t="str">
        <f ca="1">CONCATENATE(info!M7,"-",info!M8)</f>
        <v>29.8-59.2</v>
      </c>
      <c r="J24" s="42" t="str">
        <f>lang!B13</f>
        <v>千卡l/分钟</v>
      </c>
      <c r="K24" s="41" t="str">
        <f ca="1">CONCATENATE(info!M5,"-",info!M6)</f>
        <v>1.4-3.5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-6.1771999999999991</v>
      </c>
      <c r="F27" s="164"/>
      <c r="G27" s="178" t="str">
        <f>lang!B33</f>
        <v>稳定性</v>
      </c>
      <c r="H27" s="179"/>
      <c r="I27" s="180"/>
      <c r="J27" s="181">
        <f>dM!B19*100</f>
        <v>6.1910000000000025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-0.94696991474596226</v>
      </c>
      <c r="C2">
        <f t="array" aca="1" ref="C2" ca="1">CORREL(FT_E02,FT_PH02)</f>
        <v>-0.57800921394695359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1.40873</v>
      </c>
      <c r="G2" s="61">
        <f>IF(FT!B2&lt;&gt;"",FT!B2*100,"")</f>
        <v>59.154300000000006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1.45428</v>
      </c>
      <c r="G3" s="61">
        <f>IF(FT!B3&lt;&gt;"",FT!B3*100,"")</f>
        <v>58.235000000000007</v>
      </c>
      <c r="H3" s="61">
        <f t="shared" ref="H3:H66" si="1">(IF(F3&lt;&gt;"",1,""))</f>
        <v>1</v>
      </c>
      <c r="I3" t="str">
        <f>IF(FT!B3&lt;&gt;"",FT!E3,"")</f>
        <v>1 [0.404678]</v>
      </c>
      <c r="J3">
        <f>IF(FT!B3&lt;&gt;"",FT!C3,"")</f>
        <v>0.40467799999999998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0.35949289189189171</v>
      </c>
      <c r="V3">
        <f ca="1">AVERAGE(OFFSET(FT!B2,info!$L$3/2,0,info!$L$3/2,1))</f>
        <v>0.38108254054054053</v>
      </c>
      <c r="W3">
        <f ca="1">AVERAGE(OFFSET(FT!A2,0,0,info!$L$3/2,1))</f>
        <v>0.27124448648648652</v>
      </c>
      <c r="X3">
        <f ca="1">AVERAGE(OFFSET(FT!A2,info!$L$3/2,0,info!$L$3/2,1))</f>
        <v>0.31983033783783787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1.5002099999999998</v>
      </c>
      <c r="G4" s="61">
        <f>IF(FT!B4&lt;&gt;"",FT!B4*100,"")</f>
        <v>57.332700000000003</v>
      </c>
      <c r="H4" s="61">
        <f t="shared" si="1"/>
        <v>1</v>
      </c>
      <c r="I4" t="str">
        <f>IF(FT!B4&lt;&gt;"",FT!E4,"")</f>
        <v>1 [0.812080]</v>
      </c>
      <c r="J4">
        <f>IF(FT!B4&lt;&gt;"",FT!C4,"")</f>
        <v>0.81208000000000002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14.940925</v>
      </c>
      <c r="V4">
        <f>U4*3</f>
        <v>44.822775</v>
      </c>
      <c r="W4">
        <f>U4</f>
        <v>14.940925</v>
      </c>
      <c r="X4">
        <f>V4</f>
        <v>44.822775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1.5480700000000001</v>
      </c>
      <c r="G5" s="61">
        <f>IF(FT!B5&lt;&gt;"",FT!B5*100,"")</f>
        <v>56.3964</v>
      </c>
      <c r="H5" s="61">
        <f t="shared" si="1"/>
        <v>1</v>
      </c>
      <c r="I5" t="str">
        <f>IF(FT!B5&lt;&gt;"",FT!E5,"")</f>
        <v>1 [1.219516]</v>
      </c>
      <c r="J5">
        <f>IF(FT!B5&lt;&gt;"",FT!C5,"")</f>
        <v>1.2195199999999999</v>
      </c>
      <c r="K5" t="s">
        <v>53</v>
      </c>
      <c r="L5" s="63">
        <f ca="1">MIN(FT_E)</f>
        <v>1.40873</v>
      </c>
      <c r="M5" s="63">
        <f ca="1">ROUND(L5,1)</f>
        <v>1.4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35.949289189189173</v>
      </c>
      <c r="V5">
        <f ca="1">V3*100</f>
        <v>38.108254054054051</v>
      </c>
      <c r="W5">
        <f ca="1">W3*10</f>
        <v>2.7124448648648651</v>
      </c>
      <c r="X5">
        <f ca="1">X3*10</f>
        <v>3.1983033783783785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1.59551</v>
      </c>
      <c r="G6" s="61">
        <f>IF(FT!B6&lt;&gt;"",FT!B6*100,"")</f>
        <v>55.492699999999992</v>
      </c>
      <c r="H6" s="61">
        <f t="shared" si="1"/>
        <v>1</v>
      </c>
      <c r="I6" t="str">
        <f>IF(FT!B6&lt;&gt;"",FT!E6,"")</f>
        <v>1 [1.622817]</v>
      </c>
      <c r="J6">
        <f>IF(FT!B6&lt;&gt;"",FT!C6,"")</f>
        <v>1.6228199999999999</v>
      </c>
      <c r="K6" t="s">
        <v>54</v>
      </c>
      <c r="L6" s="63">
        <f ca="1">MAX(FT_E)</f>
        <v>3.4798299999999998</v>
      </c>
      <c r="M6" s="63">
        <f ca="1">ROUND(L6,1)</f>
        <v>3.5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1.64297</v>
      </c>
      <c r="G7" s="61">
        <f>IF(FT!B7&lt;&gt;"",FT!B7*100,"")</f>
        <v>54.528500000000001</v>
      </c>
      <c r="H7" s="61">
        <f t="shared" si="1"/>
        <v>1</v>
      </c>
      <c r="I7" t="str">
        <f>IF(FT!B7&lt;&gt;"",FT!E7,"")</f>
        <v>1 [2.027622]</v>
      </c>
      <c r="J7">
        <f>IF(FT!B7&lt;&gt;"",FT!C7,"")</f>
        <v>2.0276200000000002</v>
      </c>
      <c r="K7" t="s">
        <v>55</v>
      </c>
      <c r="L7" s="63">
        <f ca="1">MIN(FT_PH)</f>
        <v>29.8004</v>
      </c>
      <c r="M7" s="63">
        <f ca="1">ROUND(L7,1)</f>
        <v>29.8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22704</v>
      </c>
      <c r="D8" s="61">
        <f>FH!B8*1</f>
        <v>22704</v>
      </c>
      <c r="E8">
        <f t="shared" si="3"/>
        <v>6</v>
      </c>
      <c r="F8" s="61">
        <f>IF(FT!A8&lt;&gt;"",FT!A8*10,"")</f>
        <v>1.6940599999999999</v>
      </c>
      <c r="G8" s="61">
        <f>IF(FT!B8&lt;&gt;"",FT!B8*100,"")</f>
        <v>53.436099999999996</v>
      </c>
      <c r="H8" s="61">
        <f t="shared" si="1"/>
        <v>1</v>
      </c>
      <c r="I8" t="str">
        <f>IF(FT!B8&lt;&gt;"",FT!E8,"")</f>
        <v>1 [2.435661]</v>
      </c>
      <c r="J8">
        <f>IF(FT!B8&lt;&gt;"",FT!C8,"")</f>
        <v>2.4356599999999999</v>
      </c>
      <c r="K8" t="s">
        <v>56</v>
      </c>
      <c r="L8" s="63">
        <f ca="1">MAX(FT_PH)</f>
        <v>59.154300000000006</v>
      </c>
      <c r="M8" s="63">
        <f ca="1">ROUND(L8,1)</f>
        <v>59.2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1.7464599999999999</v>
      </c>
      <c r="G9" s="61">
        <f>IF(FT!B9&lt;&gt;"",FT!B9*100,"")</f>
        <v>52.253899999999994</v>
      </c>
      <c r="H9" s="61">
        <f t="shared" si="1"/>
        <v>1</v>
      </c>
      <c r="I9" t="str">
        <f>IF(FT!B9&lt;&gt;"",FT!E9,"")</f>
        <v>1 [2.841320]</v>
      </c>
      <c r="J9">
        <f>IF(FT!B9&lt;&gt;"",FT!C9,"")</f>
        <v>2.8413200000000001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25596</v>
      </c>
      <c r="D10" s="61">
        <f>FH!B10*1</f>
        <v>25596</v>
      </c>
      <c r="E10">
        <f t="shared" si="3"/>
        <v>8</v>
      </c>
      <c r="F10" s="61">
        <f>IF(FT!A10&lt;&gt;"",FT!A10*10,"")</f>
        <v>1.7990300000000001</v>
      </c>
      <c r="G10" s="61">
        <f>IF(FT!B10&lt;&gt;"",FT!B10*100,"")</f>
        <v>51.014099999999999</v>
      </c>
      <c r="H10" s="61">
        <f t="shared" si="1"/>
        <v>1</v>
      </c>
      <c r="I10" t="str">
        <f>IF(FT!B10&lt;&gt;"",FT!E10,"")</f>
        <v>1 [3.246742]</v>
      </c>
      <c r="J10">
        <f>IF(FT!B10&lt;&gt;"",FT!C10,"")</f>
        <v>3.24674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1.85175</v>
      </c>
      <c r="G11" s="61">
        <f>IF(FT!B11&lt;&gt;"",FT!B11*100,"")</f>
        <v>49.799399999999999</v>
      </c>
      <c r="H11" s="61">
        <f t="shared" si="1"/>
        <v>1</v>
      </c>
      <c r="I11" t="str">
        <f>IF(FT!B11&lt;&gt;"",FT!E11,"")</f>
        <v>1 [3.656711]</v>
      </c>
      <c r="J11">
        <f>IF(FT!B11&lt;&gt;"",FT!C11,"")</f>
        <v>3.6567099999999999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1.9061300000000001</v>
      </c>
      <c r="G12" s="61">
        <f>IF(FT!B12&lt;&gt;"",FT!B12*100,"")</f>
        <v>48.522500000000001</v>
      </c>
      <c r="H12" s="61">
        <f t="shared" si="1"/>
        <v>1</v>
      </c>
      <c r="I12" t="str">
        <f>IF(FT!B12&lt;&gt;"",FT!E12,"")</f>
        <v>1 [4.061126]</v>
      </c>
      <c r="J12">
        <f>IF(FT!B12&lt;&gt;"",FT!C12,"")</f>
        <v>4.0611300000000004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37160</v>
      </c>
      <c r="D13" s="61">
        <f>FH!B13*1</f>
        <v>37160</v>
      </c>
      <c r="E13">
        <f t="shared" si="3"/>
        <v>11</v>
      </c>
      <c r="F13" s="61">
        <f>IF(FT!A13&lt;&gt;"",FT!A13*10,"")</f>
        <v>1.9636300000000002</v>
      </c>
      <c r="G13" s="61">
        <f>IF(FT!B13&lt;&gt;"",FT!B13*100,"")</f>
        <v>47.161799999999999</v>
      </c>
      <c r="H13" s="61">
        <f t="shared" si="1"/>
        <v>1</v>
      </c>
      <c r="I13" t="str">
        <f>IF(FT!B13&lt;&gt;"",FT!E13,"")</f>
        <v>1 [4.468082]</v>
      </c>
      <c r="J13">
        <f>IF(FT!B13&lt;&gt;"",FT!C13,"")</f>
        <v>4.4680799999999996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2.0217900000000002</v>
      </c>
      <c r="G14" s="61">
        <f>IF(FT!B14&lt;&gt;"",FT!B14*100,"")</f>
        <v>45.748699999999999</v>
      </c>
      <c r="H14" s="61">
        <f t="shared" si="1"/>
        <v>1</v>
      </c>
      <c r="I14" t="str">
        <f>IF(FT!B14&lt;&gt;"",FT!E14,"")</f>
        <v>1 [4.872808]</v>
      </c>
      <c r="J14">
        <f>IF(FT!B14&lt;&gt;"",FT!C14,"")</f>
        <v>4.8728100000000003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47783</v>
      </c>
      <c r="D15" s="61">
        <f>FH!B15*1</f>
        <v>47783</v>
      </c>
      <c r="E15">
        <f t="shared" si="3"/>
        <v>13</v>
      </c>
      <c r="F15" s="61">
        <f>IF(FT!A15&lt;&gt;"",FT!A15*10,"")</f>
        <v>2.0807700000000002</v>
      </c>
      <c r="G15" s="61">
        <f>IF(FT!B15&lt;&gt;"",FT!B15*100,"")</f>
        <v>44.240600000000001</v>
      </c>
      <c r="H15" s="61">
        <f t="shared" si="1"/>
        <v>1</v>
      </c>
      <c r="I15" t="str">
        <f>IF(FT!B15&lt;&gt;"",FT!E15,"")</f>
        <v>1 [5.278746]</v>
      </c>
      <c r="J15">
        <f>IF(FT!B15&lt;&gt;"",FT!C15,"")</f>
        <v>5.2787499999999996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2.1424000000000003</v>
      </c>
      <c r="G16" s="61">
        <f>IF(FT!B16&lt;&gt;"",FT!B16*100,"")</f>
        <v>42.617199999999997</v>
      </c>
      <c r="H16" s="61">
        <f t="shared" si="1"/>
        <v>1</v>
      </c>
      <c r="I16" t="str">
        <f>IF(FT!B16&lt;&gt;"",FT!E16,"")</f>
        <v>1 [5.684825]</v>
      </c>
      <c r="J16">
        <f>IF(FT!B16&lt;&gt;"",FT!C16,"")</f>
        <v>5.6848200000000002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2.2024400000000002</v>
      </c>
      <c r="G17" s="61">
        <f>IF(FT!B17&lt;&gt;"",FT!B17*100,"")</f>
        <v>41.112500000000004</v>
      </c>
      <c r="H17" s="61">
        <f t="shared" si="1"/>
        <v>1</v>
      </c>
      <c r="I17" t="str">
        <f>IF(FT!B17&lt;&gt;"",FT!E17,"")</f>
        <v>1 [6.092962]</v>
      </c>
      <c r="J17">
        <f>IF(FT!B17&lt;&gt;"",FT!C17,"")</f>
        <v>6.0929599999999997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48914</v>
      </c>
      <c r="D18" s="61">
        <f>FH!B18*1</f>
        <v>48914</v>
      </c>
      <c r="E18">
        <f t="shared" si="3"/>
        <v>16</v>
      </c>
      <c r="F18" s="61">
        <f>IF(FT!A18&lt;&gt;"",FT!A18*10,"")</f>
        <v>2.2578400000000003</v>
      </c>
      <c r="G18" s="61">
        <f>IF(FT!B18&lt;&gt;"",FT!B18*100,"")</f>
        <v>39.837299999999999</v>
      </c>
      <c r="H18" s="61">
        <f t="shared" si="1"/>
        <v>1</v>
      </c>
      <c r="I18" t="str">
        <f>IF(FT!B18&lt;&gt;"",FT!E18,"")</f>
        <v>1 [6.501731]</v>
      </c>
      <c r="J18">
        <f>IF(FT!B18&lt;&gt;"",FT!C18,"")</f>
        <v>6.5017300000000002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2.3106900000000001</v>
      </c>
      <c r="G19" s="61">
        <f>IF(FT!B19&lt;&gt;"",FT!B19*100,"")</f>
        <v>38.769599999999997</v>
      </c>
      <c r="H19" s="61">
        <f t="shared" si="1"/>
        <v>1</v>
      </c>
      <c r="I19" t="str">
        <f>IF(FT!B19&lt;&gt;"",FT!E19,"")</f>
        <v>1 [6.902242]</v>
      </c>
      <c r="J19">
        <f>IF(FT!B19&lt;&gt;"",FT!C19,"")</f>
        <v>6.9022399999999999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2.3667099999999999</v>
      </c>
      <c r="G20" s="61">
        <f>IF(FT!B20&lt;&gt;"",FT!B20*100,"")</f>
        <v>37.739200000000004</v>
      </c>
      <c r="H20" s="61">
        <f t="shared" si="1"/>
        <v>1</v>
      </c>
      <c r="I20" t="str">
        <f>IF(FT!B20&lt;&gt;"",FT!E20,"")</f>
        <v>1 [7.308439]</v>
      </c>
      <c r="J20">
        <f>IF(FT!B20&lt;&gt;"",FT!C20,"")</f>
        <v>7.30844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53688</v>
      </c>
      <c r="D21" s="61">
        <f>FH!B21*1</f>
        <v>53688</v>
      </c>
      <c r="E21">
        <f t="shared" si="3"/>
        <v>19</v>
      </c>
      <c r="F21" s="61">
        <f>IF(FT!A21&lt;&gt;"",FT!A21*10,"")</f>
        <v>2.4208099999999999</v>
      </c>
      <c r="G21" s="61">
        <f>IF(FT!B21&lt;&gt;"",FT!B21*100,"")</f>
        <v>36.641800000000003</v>
      </c>
      <c r="H21" s="61">
        <f t="shared" si="1"/>
        <v>1</v>
      </c>
      <c r="I21" t="str">
        <f>IF(FT!B21&lt;&gt;"",FT!E21,"")</f>
        <v>1 [7.718246]</v>
      </c>
      <c r="J21">
        <f>IF(FT!B21&lt;&gt;"",FT!C21,"")</f>
        <v>7.7182500000000003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2.4718300000000002</v>
      </c>
      <c r="G22" s="61">
        <f>IF(FT!B22&lt;&gt;"",FT!B22*100,"")</f>
        <v>35.632100000000001</v>
      </c>
      <c r="H22" s="61">
        <f t="shared" si="1"/>
        <v>1</v>
      </c>
      <c r="I22" t="str">
        <f>IF(FT!B22&lt;&gt;"",FT!E22,"")</f>
        <v>1 [8.120117]</v>
      </c>
      <c r="J22">
        <f>IF(FT!B22&lt;&gt;"",FT!C22,"")</f>
        <v>8.12012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59129</v>
      </c>
      <c r="D23" s="61">
        <f>FH!B23*1</f>
        <v>59129</v>
      </c>
      <c r="E23">
        <f t="shared" si="3"/>
        <v>21</v>
      </c>
      <c r="F23" s="61">
        <f>IF(FT!A23&lt;&gt;"",FT!A23*10,"")</f>
        <v>2.5184800000000003</v>
      </c>
      <c r="G23" s="61">
        <f>IF(FT!B23&lt;&gt;"",FT!B23*100,"")</f>
        <v>34.754600000000003</v>
      </c>
      <c r="H23" s="61">
        <f t="shared" si="1"/>
        <v>1</v>
      </c>
      <c r="I23" t="str">
        <f>IF(FT!B23&lt;&gt;"",FT!E23,"")</f>
        <v>1 [8.529163]</v>
      </c>
      <c r="J23">
        <f>IF(FT!B23&lt;&gt;"",FT!C23,"")</f>
        <v>8.5291599999999992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2.5607799999999998</v>
      </c>
      <c r="G24" s="61">
        <f>IF(FT!B24&lt;&gt;"",FT!B24*100,"")</f>
        <v>34.011200000000002</v>
      </c>
      <c r="H24" s="61">
        <f t="shared" si="1"/>
        <v>1</v>
      </c>
      <c r="I24" t="str">
        <f>IF(FT!B24&lt;&gt;"",FT!E24,"")</f>
        <v>1 [8.936318]</v>
      </c>
      <c r="J24">
        <f>IF(FT!B24&lt;&gt;"",FT!C24,"")</f>
        <v>8.9363200000000003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2.59985</v>
      </c>
      <c r="G25" s="61">
        <f>IF(FT!B25&lt;&gt;"",FT!B25*100,"")</f>
        <v>33.4163</v>
      </c>
      <c r="H25" s="61">
        <f t="shared" si="1"/>
        <v>1</v>
      </c>
      <c r="I25" t="str">
        <f>IF(FT!B25&lt;&gt;"",FT!E25,"")</f>
        <v>1 [9.344107]</v>
      </c>
      <c r="J25">
        <f>IF(FT!B25&lt;&gt;"",FT!C25,"")</f>
        <v>9.3441100000000006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60233</v>
      </c>
      <c r="D26" s="61">
        <f>FH!B26*1</f>
        <v>60233</v>
      </c>
      <c r="E26">
        <f t="shared" si="3"/>
        <v>24</v>
      </c>
      <c r="F26" s="61">
        <f>IF(FT!A26&lt;&gt;"",FT!A26*10,"")</f>
        <v>2.6359900000000005</v>
      </c>
      <c r="G26" s="61">
        <f>IF(FT!B26&lt;&gt;"",FT!B26*100,"")</f>
        <v>32.972200000000001</v>
      </c>
      <c r="H26" s="61">
        <f t="shared" si="1"/>
        <v>1</v>
      </c>
      <c r="I26" t="str">
        <f>IF(FT!B26&lt;&gt;"",FT!E26,"")</f>
        <v>1 [9.747894]</v>
      </c>
      <c r="J26">
        <f>IF(FT!B26&lt;&gt;"",FT!C26,"")</f>
        <v>9.7478899999999999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2.67069</v>
      </c>
      <c r="G27" s="61">
        <f>IF(FT!B27&lt;&gt;"",FT!B27*100,"")</f>
        <v>32.6145</v>
      </c>
      <c r="H27" s="61">
        <f t="shared" si="1"/>
        <v>1</v>
      </c>
      <c r="I27" t="str">
        <f>IF(FT!B27&lt;&gt;"",FT!E27,"")</f>
        <v>1 [10.154567]</v>
      </c>
      <c r="J27">
        <f>IF(FT!B27&lt;&gt;"",FT!C27,"")</f>
        <v>10.1546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62026</v>
      </c>
      <c r="D28" s="61">
        <f>FH!B28*1</f>
        <v>62026</v>
      </c>
      <c r="E28">
        <f t="shared" si="3"/>
        <v>26</v>
      </c>
      <c r="F28" s="61">
        <f>IF(FT!A28&lt;&gt;"",FT!A28*10,"")</f>
        <v>2.70336</v>
      </c>
      <c r="G28" s="61">
        <f>IF(FT!B28&lt;&gt;"",FT!B28*100,"")</f>
        <v>32.330300000000001</v>
      </c>
      <c r="H28" s="61">
        <f t="shared" si="1"/>
        <v>1</v>
      </c>
      <c r="I28" t="str">
        <f>IF(FT!B28&lt;&gt;"",FT!E28,"")</f>
        <v>1 [10.559694]</v>
      </c>
      <c r="J28">
        <f>IF(FT!B28&lt;&gt;"",FT!C28,"")</f>
        <v>10.559699999999999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2.7358500000000001</v>
      </c>
      <c r="G29" s="61">
        <f>IF(FT!B29&lt;&gt;"",FT!B29*100,"")</f>
        <v>32.024500000000003</v>
      </c>
      <c r="H29" s="61">
        <f t="shared" si="1"/>
        <v>1</v>
      </c>
      <c r="I29" t="str">
        <f>IF(FT!B29&lt;&gt;"",FT!E29,"")</f>
        <v>1 [10.968579]</v>
      </c>
      <c r="J29">
        <f>IF(FT!B29&lt;&gt;"",FT!C29,"")</f>
        <v>10.9686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2.7688200000000003</v>
      </c>
      <c r="G30" s="61">
        <f>IF(FT!B30&lt;&gt;"",FT!B30*100,"")</f>
        <v>31.670100000000001</v>
      </c>
      <c r="H30" s="61">
        <f t="shared" si="1"/>
        <v>1</v>
      </c>
      <c r="I30" t="str">
        <f>IF(FT!B30&lt;&gt;"",FT!E30,"")</f>
        <v>1 [11.372432]</v>
      </c>
      <c r="J30">
        <f>IF(FT!B30&lt;&gt;"",FT!C30,"")</f>
        <v>11.372400000000001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63295</v>
      </c>
      <c r="D31" s="61">
        <f>FH!B31*1</f>
        <v>63295</v>
      </c>
      <c r="E31">
        <f t="shared" si="3"/>
        <v>29</v>
      </c>
      <c r="F31" s="61">
        <f>IF(FT!A31&lt;&gt;"",FT!A31*10,"")</f>
        <v>2.7996300000000001</v>
      </c>
      <c r="G31" s="61">
        <f>IF(FT!B31&lt;&gt;"",FT!B31*100,"")</f>
        <v>31.375299999999999</v>
      </c>
      <c r="H31" s="61">
        <f t="shared" si="1"/>
        <v>1</v>
      </c>
      <c r="I31" t="str">
        <f>IF(FT!B31&lt;&gt;"",FT!E31,"")</f>
        <v>1 [11.780021]</v>
      </c>
      <c r="J31">
        <f>IF(FT!B31&lt;&gt;"",FT!C31,"")</f>
        <v>11.78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2.8294700000000002</v>
      </c>
      <c r="G32" s="61">
        <f>IF(FT!B32&lt;&gt;"",FT!B32*100,"")</f>
        <v>31.127100000000002</v>
      </c>
      <c r="H32" s="61">
        <f t="shared" si="1"/>
        <v>1</v>
      </c>
      <c r="I32" t="str">
        <f>IF(FT!B32&lt;&gt;"",FT!E32,"")</f>
        <v>1 [12.184760]</v>
      </c>
      <c r="J32">
        <f>IF(FT!B32&lt;&gt;"",FT!C32,"")</f>
        <v>12.184799999999999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63731</v>
      </c>
      <c r="D33" s="61">
        <f>FH!B33*1</f>
        <v>63731</v>
      </c>
      <c r="E33">
        <f t="shared" si="3"/>
        <v>31</v>
      </c>
      <c r="F33" s="61">
        <f>IF(FT!A33&lt;&gt;"",FT!A33*10,"")</f>
        <v>2.8583999999999996</v>
      </c>
      <c r="G33" s="61">
        <f>IF(FT!B33&lt;&gt;"",FT!B33*100,"")</f>
        <v>30.859199999999998</v>
      </c>
      <c r="H33" s="61">
        <f t="shared" si="1"/>
        <v>1</v>
      </c>
      <c r="I33" t="str">
        <f>IF(FT!B33&lt;&gt;"",FT!E33,"")</f>
        <v>1 [12.590696]</v>
      </c>
      <c r="J33">
        <f>IF(FT!B33&lt;&gt;"",FT!C33,"")</f>
        <v>12.5907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2.8834300000000002</v>
      </c>
      <c r="G34" s="61">
        <f>IF(FT!B34&lt;&gt;"",FT!B34*100,"")</f>
        <v>30.636000000000003</v>
      </c>
      <c r="H34" s="61">
        <f t="shared" si="1"/>
        <v>1</v>
      </c>
      <c r="I34" t="str">
        <f>IF(FT!B34&lt;&gt;"",FT!E34,"")</f>
        <v>1 [12.996880]</v>
      </c>
      <c r="J34">
        <f>IF(FT!B34&lt;&gt;"",FT!C34,"")</f>
        <v>12.9969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2.9060200000000003</v>
      </c>
      <c r="G35" s="61">
        <f>IF(FT!B35&lt;&gt;"",FT!B35*100,"")</f>
        <v>30.414600000000004</v>
      </c>
      <c r="H35" s="61">
        <f t="shared" si="1"/>
        <v>1</v>
      </c>
      <c r="I35" t="str">
        <f>IF(FT!B35&lt;&gt;"",FT!E35,"")</f>
        <v>1 [13.405778]</v>
      </c>
      <c r="J35">
        <f>IF(FT!B35&lt;&gt;"",FT!C35,"")</f>
        <v>13.405799999999999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66073</v>
      </c>
      <c r="D36" s="61">
        <f>FH!B36*1</f>
        <v>66073</v>
      </c>
      <c r="E36">
        <f t="shared" si="3"/>
        <v>34</v>
      </c>
      <c r="F36" s="61">
        <f>IF(FT!A36&lt;&gt;"",FT!A36*10,"")</f>
        <v>2.9276999999999997</v>
      </c>
      <c r="G36" s="61">
        <f>IF(FT!B36&lt;&gt;"",FT!B36*100,"")</f>
        <v>30.223699999999997</v>
      </c>
      <c r="H36" s="61">
        <f t="shared" si="1"/>
        <v>1</v>
      </c>
      <c r="I36" t="str">
        <f>IF(FT!B36&lt;&gt;"",FT!E36,"")</f>
        <v>1 [13.810364]</v>
      </c>
      <c r="J36">
        <f>IF(FT!B36&lt;&gt;"",FT!C36,"")</f>
        <v>13.8104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2.9481899999999999</v>
      </c>
      <c r="G37" s="61">
        <f>IF(FT!B37&lt;&gt;"",FT!B37*100,"")</f>
        <v>30.0639</v>
      </c>
      <c r="H37" s="61">
        <f t="shared" si="1"/>
        <v>1</v>
      </c>
      <c r="I37" t="str">
        <f>IF(FT!B37&lt;&gt;"",FT!E37,"")</f>
        <v>1 [14.217054]</v>
      </c>
      <c r="J37">
        <f>IF(FT!B37&lt;&gt;"",FT!C37,"")</f>
        <v>14.2171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2.96543</v>
      </c>
      <c r="G38" s="61">
        <f>IF(FT!B38&lt;&gt;"",FT!B38*100,"")</f>
        <v>29.895199999999999</v>
      </c>
      <c r="H38" s="61">
        <f t="shared" si="1"/>
        <v>1</v>
      </c>
      <c r="I38" t="str">
        <f>IF(FT!B38&lt;&gt;"",FT!E38,"")</f>
        <v>1 [14.622432]</v>
      </c>
      <c r="J38">
        <f>IF(FT!B38&lt;&gt;"",FT!C38,"")</f>
        <v>14.622400000000001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67730</v>
      </c>
      <c r="D39" s="61">
        <f>FH!B39*1</f>
        <v>67730</v>
      </c>
      <c r="E39">
        <f t="shared" si="3"/>
        <v>37</v>
      </c>
      <c r="F39" s="61">
        <f>IF(FT!A39&lt;&gt;"",FT!A39*10,"")</f>
        <v>2.9800900000000001</v>
      </c>
      <c r="G39" s="61">
        <f>IF(FT!B39&lt;&gt;"",FT!B39*100,"")</f>
        <v>29.8004</v>
      </c>
      <c r="H39" s="61">
        <f t="shared" si="1"/>
        <v>1</v>
      </c>
      <c r="I39" t="str">
        <f>IF(FT!B39&lt;&gt;"",FT!E39,"")</f>
        <v>1 [15.028047]</v>
      </c>
      <c r="J39">
        <f>IF(FT!B39&lt;&gt;"",FT!C39,"")</f>
        <v>15.028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2.9927900000000003</v>
      </c>
      <c r="G40" s="61">
        <f>IF(FT!B40&lt;&gt;"",FT!B40*100,"")</f>
        <v>29.802899999999998</v>
      </c>
      <c r="H40" s="61">
        <f t="shared" si="1"/>
        <v>1</v>
      </c>
      <c r="I40" t="str">
        <f>IF(FT!B40&lt;&gt;"",FT!E40,"")</f>
        <v>1 [15.437838]</v>
      </c>
      <c r="J40">
        <f>IF(FT!B40&lt;&gt;"",FT!C40,"")</f>
        <v>15.437799999999999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74030</v>
      </c>
      <c r="D41" s="61">
        <f>FH!B41*1</f>
        <v>74030</v>
      </c>
      <c r="E41">
        <f t="shared" si="3"/>
        <v>39</v>
      </c>
      <c r="F41" s="61">
        <f>IF(FT!A41&lt;&gt;"",FT!A41*10,"")</f>
        <v>3.00101</v>
      </c>
      <c r="G41" s="61">
        <f>IF(FT!B41&lt;&gt;"",FT!B41*100,"")</f>
        <v>29.899799999999999</v>
      </c>
      <c r="H41" s="61">
        <f t="shared" si="1"/>
        <v>1</v>
      </c>
      <c r="I41" t="str">
        <f>IF(FT!B41&lt;&gt;"",FT!E41,"")</f>
        <v>1 [15.842613]</v>
      </c>
      <c r="J41">
        <f>IF(FT!B41&lt;&gt;"",FT!C41,"")</f>
        <v>15.842599999999999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3.0036400000000003</v>
      </c>
      <c r="G42" s="61">
        <f>IF(FT!B42&lt;&gt;"",FT!B42*100,"")</f>
        <v>30.025000000000002</v>
      </c>
      <c r="H42" s="61">
        <f t="shared" si="1"/>
        <v>1</v>
      </c>
      <c r="I42" t="str">
        <f>IF(FT!B42&lt;&gt;"",FT!E42,"")</f>
        <v>1 [16.247143]</v>
      </c>
      <c r="J42">
        <f>IF(FT!B42&lt;&gt;"",FT!C42,"")</f>
        <v>16.2471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3.0053900000000002</v>
      </c>
      <c r="G43" s="61">
        <f>IF(FT!B43&lt;&gt;"",FT!B43*100,"")</f>
        <v>30.087199999999996</v>
      </c>
      <c r="H43" s="61">
        <f t="shared" si="1"/>
        <v>1</v>
      </c>
      <c r="I43" t="str">
        <f>IF(FT!B43&lt;&gt;"",FT!E43,"")</f>
        <v>1 [16.653015]</v>
      </c>
      <c r="J43">
        <f>IF(FT!B43&lt;&gt;"",FT!C43,"")</f>
        <v>16.652999999999999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72229</v>
      </c>
      <c r="D44" s="61">
        <f>FH!B44*1</f>
        <v>72229</v>
      </c>
      <c r="E44">
        <f t="shared" si="3"/>
        <v>42</v>
      </c>
      <c r="F44" s="61">
        <f>IF(FT!A44&lt;&gt;"",FT!A44*10,"")</f>
        <v>3.0108899999999998</v>
      </c>
      <c r="G44" s="61">
        <f>IF(FT!B44&lt;&gt;"",FT!B44*100,"")</f>
        <v>30.153200000000002</v>
      </c>
      <c r="H44" s="61">
        <f t="shared" si="1"/>
        <v>1</v>
      </c>
      <c r="I44" t="str">
        <f>IF(FT!B44&lt;&gt;"",FT!E44,"")</f>
        <v>1 [17.063426]</v>
      </c>
      <c r="J44">
        <f>IF(FT!B44&lt;&gt;"",FT!C44,"")</f>
        <v>17.063400000000001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3.0110900000000003</v>
      </c>
      <c r="G45" s="61">
        <f>IF(FT!B45&lt;&gt;"",FT!B45*100,"")</f>
        <v>30.214099999999998</v>
      </c>
      <c r="H45" s="61">
        <f t="shared" si="1"/>
        <v>1</v>
      </c>
      <c r="I45" t="str">
        <f>IF(FT!B45&lt;&gt;"",FT!E45,"")</f>
        <v>1 [17.468421]</v>
      </c>
      <c r="J45">
        <f>IF(FT!B45&lt;&gt;"",FT!C45,"")</f>
        <v>17.468399999999999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73226</v>
      </c>
      <c r="D46" s="61">
        <f>FH!B46*1</f>
        <v>73226</v>
      </c>
      <c r="E46">
        <f t="shared" si="3"/>
        <v>44</v>
      </c>
      <c r="F46" s="61">
        <f>IF(FT!A46&lt;&gt;"",FT!A46*10,"")</f>
        <v>3.0099</v>
      </c>
      <c r="G46" s="61">
        <f>IF(FT!B46&lt;&gt;"",FT!B46*100,"")</f>
        <v>30.443300000000001</v>
      </c>
      <c r="H46" s="61">
        <f t="shared" si="1"/>
        <v>1</v>
      </c>
      <c r="I46" t="str">
        <f>IF(FT!B46&lt;&gt;"",FT!E46,"")</f>
        <v>1 [17.871722]</v>
      </c>
      <c r="J46">
        <f>IF(FT!B46&lt;&gt;"",FT!C46,"")</f>
        <v>17.871700000000001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3.00915</v>
      </c>
      <c r="G47" s="61">
        <f>IF(FT!B47&lt;&gt;"",FT!B47*100,"")</f>
        <v>30.721500000000002</v>
      </c>
      <c r="H47" s="61">
        <f t="shared" si="1"/>
        <v>1</v>
      </c>
      <c r="I47" t="str">
        <f>IF(FT!B47&lt;&gt;"",FT!E47,"")</f>
        <v>1 [18.278092]</v>
      </c>
      <c r="J47">
        <f>IF(FT!B47&lt;&gt;"",FT!C47,"")</f>
        <v>18.278099999999998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3.0123199999999999</v>
      </c>
      <c r="G48" s="61">
        <f>IF(FT!B48&lt;&gt;"",FT!B48*100,"")</f>
        <v>31.016899999999996</v>
      </c>
      <c r="H48" s="61">
        <f t="shared" si="1"/>
        <v>1</v>
      </c>
      <c r="I48" t="str">
        <f>IF(FT!B48&lt;&gt;"",FT!E48,"")</f>
        <v>1 [18.685592]</v>
      </c>
      <c r="J48">
        <f>IF(FT!B48&lt;&gt;"",FT!C48,"")</f>
        <v>18.685600000000001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74718</v>
      </c>
      <c r="D49" s="61">
        <f>FH!B49*1</f>
        <v>74718</v>
      </c>
      <c r="E49">
        <f t="shared" si="3"/>
        <v>47</v>
      </c>
      <c r="F49" s="61">
        <f>IF(FT!A49&lt;&gt;"",FT!A49*10,"")</f>
        <v>3.0136400000000001</v>
      </c>
      <c r="G49" s="61">
        <f>IF(FT!B49&lt;&gt;"",FT!B49*100,"")</f>
        <v>31.273499999999999</v>
      </c>
      <c r="H49" s="61">
        <f t="shared" si="1"/>
        <v>1</v>
      </c>
      <c r="I49" t="str">
        <f>IF(FT!B49&lt;&gt;"",FT!E49,"")</f>
        <v>1 [19.090940]</v>
      </c>
      <c r="J49">
        <f>IF(FT!B49&lt;&gt;"",FT!C49,"")</f>
        <v>19.090900000000001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3.0182199999999999</v>
      </c>
      <c r="G50" s="61">
        <f>IF(FT!B50&lt;&gt;"",FT!B50*100,"")</f>
        <v>31.419799999999999</v>
      </c>
      <c r="H50" s="61">
        <f t="shared" si="1"/>
        <v>1</v>
      </c>
      <c r="I50" t="str">
        <f>IF(FT!B50&lt;&gt;"",FT!E50,"")</f>
        <v>1 [19.498131]</v>
      </c>
      <c r="J50">
        <f>IF(FT!B50&lt;&gt;"",FT!C50,"")</f>
        <v>19.498100000000001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78314</v>
      </c>
      <c r="D51" s="61">
        <f>FH!B51*1</f>
        <v>78314</v>
      </c>
      <c r="E51">
        <f t="shared" si="3"/>
        <v>49</v>
      </c>
      <c r="F51" s="61">
        <f>IF(FT!A51&lt;&gt;"",FT!A51*10,"")</f>
        <v>3.0262499999999997</v>
      </c>
      <c r="G51" s="61">
        <f>IF(FT!B51&lt;&gt;"",FT!B51*100,"")</f>
        <v>31.476700000000001</v>
      </c>
      <c r="H51" s="61">
        <f t="shared" si="1"/>
        <v>1</v>
      </c>
      <c r="I51" t="str">
        <f>IF(FT!B51&lt;&gt;"",FT!E51,"")</f>
        <v>1 [19.905341]</v>
      </c>
      <c r="J51">
        <f>IF(FT!B51&lt;&gt;"",FT!C51,"")</f>
        <v>19.9053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3.0330699999999999</v>
      </c>
      <c r="G52" s="61">
        <f>IF(FT!B52&lt;&gt;"",FT!B52*100,"")</f>
        <v>31.509399999999999</v>
      </c>
      <c r="H52" s="61">
        <f t="shared" si="1"/>
        <v>1</v>
      </c>
      <c r="I52" t="str">
        <f>IF(FT!B52&lt;&gt;"",FT!E52,"")</f>
        <v>1 [20.311988]</v>
      </c>
      <c r="J52">
        <f>IF(FT!B52&lt;&gt;"",FT!C52,"")</f>
        <v>20.312000000000001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3.04366</v>
      </c>
      <c r="G53" s="61">
        <f>IF(FT!B53&lt;&gt;"",FT!B53*100,"")</f>
        <v>31.533000000000001</v>
      </c>
      <c r="H53" s="61">
        <f t="shared" si="1"/>
        <v>1</v>
      </c>
      <c r="I53" t="str">
        <f>IF(FT!B53&lt;&gt;"",FT!E53,"")</f>
        <v>1 [20.715650]</v>
      </c>
      <c r="J53">
        <f>IF(FT!B53&lt;&gt;"",FT!C53,"")</f>
        <v>20.715599999999998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77006</v>
      </c>
      <c r="D54" s="61">
        <f>FH!B54*1</f>
        <v>77006</v>
      </c>
      <c r="E54">
        <f t="shared" si="3"/>
        <v>52</v>
      </c>
      <c r="F54" s="61">
        <f>IF(FT!A54&lt;&gt;"",FT!A54*10,"")</f>
        <v>3.0556200000000002</v>
      </c>
      <c r="G54" s="61">
        <f>IF(FT!B54&lt;&gt;"",FT!B54*100,"")</f>
        <v>31.595600000000001</v>
      </c>
      <c r="H54" s="61">
        <f t="shared" si="1"/>
        <v>1</v>
      </c>
      <c r="I54" t="str">
        <f>IF(FT!B54&lt;&gt;"",FT!E54,"")</f>
        <v>1 [21.122516]</v>
      </c>
      <c r="J54">
        <f>IF(FT!B54&lt;&gt;"",FT!C54,"")</f>
        <v>21.122499999999999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3.0665399999999998</v>
      </c>
      <c r="G55" s="61">
        <f>IF(FT!B55&lt;&gt;"",FT!B55*100,"")</f>
        <v>31.653100000000002</v>
      </c>
      <c r="H55" s="61">
        <f t="shared" si="1"/>
        <v>1</v>
      </c>
      <c r="I55" t="str">
        <f>IF(FT!B55&lt;&gt;"",FT!E55,"")</f>
        <v>1 [21.529885]</v>
      </c>
      <c r="J55">
        <f>IF(FT!B55&lt;&gt;"",FT!C55,"")</f>
        <v>21.529900000000001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3.0732500000000003</v>
      </c>
      <c r="G56" s="61">
        <f>IF(FT!B56&lt;&gt;"",FT!B56*100,"")</f>
        <v>31.725100000000001</v>
      </c>
      <c r="H56" s="61">
        <f t="shared" si="1"/>
        <v>1</v>
      </c>
      <c r="I56" t="str">
        <f>IF(FT!B56&lt;&gt;"",FT!E56,"")</f>
        <v>1 [21.933873]</v>
      </c>
      <c r="J56">
        <f>IF(FT!B56&lt;&gt;"",FT!C56,"")</f>
        <v>21.933900000000001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81535</v>
      </c>
      <c r="D57" s="61">
        <f>FH!B57*1</f>
        <v>81535</v>
      </c>
      <c r="E57">
        <f t="shared" si="3"/>
        <v>55</v>
      </c>
      <c r="F57" s="61">
        <f>IF(FT!A57&lt;&gt;"",FT!A57*10,"")</f>
        <v>3.0826700000000002</v>
      </c>
      <c r="G57" s="61">
        <f>IF(FT!B57&lt;&gt;"",FT!B57*100,"")</f>
        <v>31.7743</v>
      </c>
      <c r="H57" s="61">
        <f t="shared" si="1"/>
        <v>1</v>
      </c>
      <c r="I57" t="str">
        <f>IF(FT!B57&lt;&gt;"",FT!E57,"")</f>
        <v>1 [22.341988]</v>
      </c>
      <c r="J57">
        <f>IF(FT!B57&lt;&gt;"",FT!C57,"")</f>
        <v>22.341999999999999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3.0904799999999999</v>
      </c>
      <c r="G58" s="61">
        <f>IF(FT!B58&lt;&gt;"",FT!B58*100,"")</f>
        <v>31.819799999999997</v>
      </c>
      <c r="H58" s="61">
        <f t="shared" si="1"/>
        <v>1</v>
      </c>
      <c r="I58" t="str">
        <f>IF(FT!B58&lt;&gt;"",FT!E58,"")</f>
        <v>1 [22.745442]</v>
      </c>
      <c r="J58">
        <f>IF(FT!B58&lt;&gt;"",FT!C58,"")</f>
        <v>22.7454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80038</v>
      </c>
      <c r="D59" s="61">
        <f>FH!B59*1</f>
        <v>80038</v>
      </c>
      <c r="E59">
        <f t="shared" si="3"/>
        <v>57</v>
      </c>
      <c r="F59" s="61">
        <f>IF(FT!A59&lt;&gt;"",FT!A59*10,"")</f>
        <v>3.1027900000000002</v>
      </c>
      <c r="G59" s="61">
        <f>IF(FT!B59&lt;&gt;"",FT!B59*100,"")</f>
        <v>31.797599999999999</v>
      </c>
      <c r="H59" s="61">
        <f t="shared" si="1"/>
        <v>1</v>
      </c>
      <c r="I59" t="str">
        <f>IF(FT!B59&lt;&gt;"",FT!E59,"")</f>
        <v>1 [23.153429]</v>
      </c>
      <c r="J59">
        <f>IF(FT!B59&lt;&gt;"",FT!C59,"")</f>
        <v>23.153400000000001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3.11564</v>
      </c>
      <c r="G60" s="61">
        <f>IF(FT!B60&lt;&gt;"",FT!B60*100,"")</f>
        <v>31.837100000000003</v>
      </c>
      <c r="H60" s="61">
        <f t="shared" si="1"/>
        <v>1</v>
      </c>
      <c r="I60" t="str">
        <f>IF(FT!B60&lt;&gt;"",FT!E60,"")</f>
        <v>1 [23.559799]</v>
      </c>
      <c r="J60">
        <f>IF(FT!B60&lt;&gt;"",FT!C60,"")</f>
        <v>23.559799999999999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3.1305800000000001</v>
      </c>
      <c r="G61" s="61">
        <f>IF(FT!B61&lt;&gt;"",FT!B61*100,"")</f>
        <v>31.841900000000003</v>
      </c>
      <c r="H61" s="61">
        <f t="shared" si="1"/>
        <v>1</v>
      </c>
      <c r="I61" t="str">
        <f>IF(FT!B61&lt;&gt;"",FT!E61,"")</f>
        <v>1 [23.967619]</v>
      </c>
      <c r="J61">
        <f>IF(FT!B61&lt;&gt;"",FT!C61,"")</f>
        <v>23.967600000000001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79920</v>
      </c>
      <c r="D62" s="61">
        <f>FH!B62*1</f>
        <v>79920</v>
      </c>
      <c r="E62">
        <f t="shared" si="3"/>
        <v>60</v>
      </c>
      <c r="F62" s="61">
        <f>IF(FT!A62&lt;&gt;"",FT!A62*10,"")</f>
        <v>3.1492199999999997</v>
      </c>
      <c r="G62" s="61">
        <f>IF(FT!B62&lt;&gt;"",FT!B62*100,"")</f>
        <v>31.797900000000002</v>
      </c>
      <c r="H62" s="61">
        <f t="shared" si="1"/>
        <v>1</v>
      </c>
      <c r="I62" t="str">
        <f>IF(FT!B62&lt;&gt;"",FT!E62,"")</f>
        <v>1 [24.371396]</v>
      </c>
      <c r="J62">
        <f>IF(FT!B62&lt;&gt;"",FT!C62,"")</f>
        <v>24.371400000000001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3.1743900000000003</v>
      </c>
      <c r="G63" s="61">
        <f>IF(FT!B63&lt;&gt;"",FT!B63*100,"")</f>
        <v>31.694299999999998</v>
      </c>
      <c r="H63" s="61">
        <f t="shared" si="1"/>
        <v>1</v>
      </c>
      <c r="I63" t="str">
        <f>IF(FT!B63&lt;&gt;"",FT!E63,"")</f>
        <v>1 [24.780201]</v>
      </c>
      <c r="J63">
        <f>IF(FT!B63&lt;&gt;"",FT!C63,"")</f>
        <v>24.780200000000001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86589</v>
      </c>
      <c r="D64" s="61">
        <f>FH!B64*1</f>
        <v>86589</v>
      </c>
      <c r="E64">
        <f t="shared" si="3"/>
        <v>62</v>
      </c>
      <c r="F64" s="61">
        <f>IF(FT!A64&lt;&gt;"",FT!A64*10,"")</f>
        <v>3.1939699999999998</v>
      </c>
      <c r="G64" s="61">
        <f>IF(FT!B64&lt;&gt;"",FT!B64*100,"")</f>
        <v>31.613700000000001</v>
      </c>
      <c r="H64" s="61">
        <f t="shared" si="1"/>
        <v>1</v>
      </c>
      <c r="I64" t="str">
        <f>IF(FT!B64&lt;&gt;"",FT!E64,"")</f>
        <v>1 [25.187666]</v>
      </c>
      <c r="J64">
        <f>IF(FT!B64&lt;&gt;"",FT!C64,"")</f>
        <v>25.1877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3.2070400000000001</v>
      </c>
      <c r="G65" s="61">
        <f>IF(FT!B65&lt;&gt;"",FT!B65*100,"")</f>
        <v>31.563700000000001</v>
      </c>
      <c r="H65" s="61">
        <f t="shared" si="1"/>
        <v>1</v>
      </c>
      <c r="I65" t="str">
        <f>IF(FT!B65&lt;&gt;"",FT!E65,"")</f>
        <v>1 [25.590587]</v>
      </c>
      <c r="J65">
        <f>IF(FT!B65&lt;&gt;"",FT!C65,"")</f>
        <v>25.590599999999998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3.2291999999999996</v>
      </c>
      <c r="G66" s="61">
        <f>IF(FT!B66&lt;&gt;"",FT!B66*100,"")</f>
        <v>31.3934</v>
      </c>
      <c r="H66" s="61">
        <f t="shared" si="1"/>
        <v>1</v>
      </c>
      <c r="I66" t="str">
        <f>IF(FT!B66&lt;&gt;"",FT!E66,"")</f>
        <v>1 [25.996304]</v>
      </c>
      <c r="J66">
        <f>IF(FT!B66&lt;&gt;"",FT!C66,"")</f>
        <v>25.996300000000002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93919</v>
      </c>
      <c r="D67" s="61">
        <f>FH!B67*1</f>
        <v>93919</v>
      </c>
      <c r="E67">
        <f t="shared" si="3"/>
        <v>65</v>
      </c>
      <c r="F67" s="61">
        <f>IF(FT!A67&lt;&gt;"",FT!A67*10,"")</f>
        <v>3.2639499999999999</v>
      </c>
      <c r="G67" s="61">
        <f>IF(FT!B67&lt;&gt;"",FT!B67*100,"")</f>
        <v>31.102600000000002</v>
      </c>
      <c r="H67" s="61">
        <f t="shared" ref="H67:H130" si="9">(IF(F67&lt;&gt;"",1,""))</f>
        <v>1</v>
      </c>
      <c r="I67" t="str">
        <f>IF(FT!B67&lt;&gt;"",FT!E67,"")</f>
        <v>1 [26.403423]</v>
      </c>
      <c r="J67">
        <f>IF(FT!B67&lt;&gt;"",FT!C67,"")</f>
        <v>26.403400000000001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3.2944200000000001</v>
      </c>
      <c r="G68" s="61">
        <f>IF(FT!B68&lt;&gt;"",FT!B68*100,"")</f>
        <v>30.849799999999998</v>
      </c>
      <c r="H68" s="61">
        <f t="shared" si="9"/>
        <v>1</v>
      </c>
      <c r="I68" t="str">
        <f>IF(FT!B68&lt;&gt;"",FT!E68,"")</f>
        <v>1 [26.812292]</v>
      </c>
      <c r="J68">
        <f>IF(FT!B68&lt;&gt;"",FT!C68,"")</f>
        <v>26.8123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99820</v>
      </c>
      <c r="D69" s="61">
        <f>FH!B69*1</f>
        <v>99820</v>
      </c>
      <c r="E69">
        <f t="shared" si="11"/>
        <v>67</v>
      </c>
      <c r="F69" s="61">
        <f>IF(FT!A69&lt;&gt;"",FT!A69*10,"")</f>
        <v>3.3136900000000002</v>
      </c>
      <c r="G69" s="61">
        <f>IF(FT!B69&lt;&gt;"",FT!B69*100,"")</f>
        <v>30.701800000000002</v>
      </c>
      <c r="H69" s="61">
        <f t="shared" si="9"/>
        <v>1</v>
      </c>
      <c r="I69" t="str">
        <f>IF(FT!B69&lt;&gt;"",FT!E69,"")</f>
        <v>1 [27.215859]</v>
      </c>
      <c r="J69">
        <f>IF(FT!B69&lt;&gt;"",FT!C69,"")</f>
        <v>27.215900000000001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3.3469300000000004</v>
      </c>
      <c r="G70" s="61">
        <f>IF(FT!B70&lt;&gt;"",FT!B70*100,"")</f>
        <v>30.408200000000001</v>
      </c>
      <c r="H70" s="61">
        <f t="shared" si="9"/>
        <v>1</v>
      </c>
      <c r="I70" t="str">
        <f>IF(FT!B70&lt;&gt;"",FT!E70,"")</f>
        <v>1 [27.625066]</v>
      </c>
      <c r="J70">
        <f>IF(FT!B70&lt;&gt;"",FT!C70,"")</f>
        <v>27.6251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3.3652199999999999</v>
      </c>
      <c r="G71" s="61">
        <f>IF(FT!B71&lt;&gt;"",FT!B71*100,"")</f>
        <v>30.353999999999999</v>
      </c>
      <c r="H71" s="61">
        <f t="shared" si="9"/>
        <v>1</v>
      </c>
      <c r="I71" t="str">
        <f>IF(FT!B71&lt;&gt;"",FT!E71,"")</f>
        <v>1 [28.030370]</v>
      </c>
      <c r="J71">
        <f>IF(FT!B71&lt;&gt;"",FT!C71,"")</f>
        <v>28.0304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100647</v>
      </c>
      <c r="D72" s="61">
        <f>FH!B72*1</f>
        <v>100647</v>
      </c>
      <c r="E72">
        <f t="shared" si="11"/>
        <v>70</v>
      </c>
      <c r="F72" s="61">
        <f>IF(FT!A72&lt;&gt;"",FT!A72*10,"")</f>
        <v>3.3816099999999998</v>
      </c>
      <c r="G72" s="61">
        <f>IF(FT!B72&lt;&gt;"",FT!B72*100,"")</f>
        <v>30.335600000000003</v>
      </c>
      <c r="H72" s="61">
        <f t="shared" si="9"/>
        <v>1</v>
      </c>
      <c r="I72" t="str">
        <f>IF(FT!B72&lt;&gt;"",FT!E72,"")</f>
        <v>1 [28.435462]</v>
      </c>
      <c r="J72">
        <f>IF(FT!B72&lt;&gt;"",FT!C72,"")</f>
        <v>28.435500000000001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3.39358</v>
      </c>
      <c r="G73" s="61">
        <f>IF(FT!B73&lt;&gt;"",FT!B73*100,"")</f>
        <v>30.298399999999997</v>
      </c>
      <c r="H73" s="61">
        <f t="shared" si="9"/>
        <v>1</v>
      </c>
      <c r="I73" t="str">
        <f>IF(FT!B73&lt;&gt;"",FT!E73,"")</f>
        <v>1 [28.843600]</v>
      </c>
      <c r="J73">
        <f>IF(FT!B73&lt;&gt;"",FT!C73,"")</f>
        <v>28.843599999999999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3.40672</v>
      </c>
      <c r="G74" s="61">
        <f>IF(FT!B74&lt;&gt;"",FT!B74*100,"")</f>
        <v>30.289700000000003</v>
      </c>
      <c r="H74" s="61">
        <f t="shared" si="9"/>
        <v>1</v>
      </c>
      <c r="I74" t="str">
        <f>IF(FT!B74&lt;&gt;"",FT!E74,"")</f>
        <v>1 [29.248088]</v>
      </c>
      <c r="J74">
        <f>IF(FT!B74&lt;&gt;"",FT!C74,"")</f>
        <v>29.248100000000001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101143</v>
      </c>
      <c r="D75" s="61">
        <f>FH!B75*1</f>
        <v>101143</v>
      </c>
      <c r="E75">
        <f t="shared" si="11"/>
        <v>73</v>
      </c>
      <c r="F75" s="61">
        <f>IF(FT!A75&lt;&gt;"",FT!A75*10,"")</f>
        <v>3.4140999999999999</v>
      </c>
      <c r="G75" s="61">
        <f>IF(FT!B75&lt;&gt;"",FT!B75*100,"")</f>
        <v>30.368000000000002</v>
      </c>
      <c r="H75" s="61">
        <f t="shared" si="9"/>
        <v>1</v>
      </c>
      <c r="I75" t="str">
        <f>IF(FT!B75&lt;&gt;"",FT!E75,"")</f>
        <v>1 [29.654493]</v>
      </c>
      <c r="J75">
        <f>IF(FT!B75&lt;&gt;"",FT!C75,"")</f>
        <v>29.654499999999999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3.42347</v>
      </c>
      <c r="G76" s="61">
        <f>IF(FT!B76&lt;&gt;"",FT!B76*100,"")</f>
        <v>30.390899999999998</v>
      </c>
      <c r="H76" s="61">
        <f t="shared" si="9"/>
        <v>1</v>
      </c>
      <c r="I76" t="str">
        <f>IF(FT!B76&lt;&gt;"",FT!E76,"")</f>
        <v>2 [30.059997]</v>
      </c>
      <c r="J76">
        <f>IF(FT!B76&lt;&gt;"",FT!C76,"")</f>
        <v>30.06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104066</v>
      </c>
      <c r="D77" s="61">
        <f>FH!B77*1</f>
        <v>104066</v>
      </c>
      <c r="E77">
        <f t="shared" si="11"/>
        <v>75</v>
      </c>
      <c r="F77" s="61">
        <f>IF(FT!A77&lt;&gt;"",FT!A77*10,"")</f>
        <v>3.4327700000000001</v>
      </c>
      <c r="G77" s="61">
        <f>IF(FT!B77&lt;&gt;"",FT!B77*100,"")</f>
        <v>30.5334</v>
      </c>
      <c r="H77" s="61">
        <f t="shared" si="9"/>
        <v>1</v>
      </c>
      <c r="I77" t="str">
        <f>IF(FT!B77&lt;&gt;"",FT!E77,"")</f>
        <v>2 [30.519178]</v>
      </c>
      <c r="J77">
        <f>IF(FT!B77&lt;&gt;"",FT!C77,"")</f>
        <v>30.519200000000001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3.4387099999999999</v>
      </c>
      <c r="G78" s="61">
        <f>IF(FT!B78&lt;&gt;"",FT!B78*100,"")</f>
        <v>30.6707</v>
      </c>
      <c r="H78" s="61">
        <f t="shared" si="9"/>
        <v>1</v>
      </c>
      <c r="I78" t="str">
        <f>IF(FT!B78&lt;&gt;"",FT!E78,"")</f>
        <v>2 [30.925210]</v>
      </c>
      <c r="J78">
        <f>IF(FT!B78&lt;&gt;"",FT!C78,"")</f>
        <v>30.9252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3.4437000000000002</v>
      </c>
      <c r="G79" s="61">
        <f>IF(FT!B79&lt;&gt;"",FT!B79*100,"")</f>
        <v>30.805700000000002</v>
      </c>
      <c r="H79" s="61">
        <f t="shared" si="9"/>
        <v>1</v>
      </c>
      <c r="I79" t="str">
        <f>IF(FT!B79&lt;&gt;"",FT!E79,"")</f>
        <v>2 [31.327776]</v>
      </c>
      <c r="J79">
        <f>IF(FT!B79&lt;&gt;"",FT!C79,"")</f>
        <v>31.3278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117516</v>
      </c>
      <c r="D80" s="61">
        <f>FH!B80*1</f>
        <v>117516</v>
      </c>
      <c r="E80">
        <f t="shared" si="11"/>
        <v>78</v>
      </c>
      <c r="F80" s="61">
        <f>IF(FT!A80&lt;&gt;"",FT!A80*10,"")</f>
        <v>3.4418300000000004</v>
      </c>
      <c r="G80" s="61">
        <f>IF(FT!B80&lt;&gt;"",FT!B80*100,"")</f>
        <v>30.961499999999997</v>
      </c>
      <c r="H80" s="61">
        <f t="shared" si="9"/>
        <v>1</v>
      </c>
      <c r="I80" t="str">
        <f>IF(FT!B80&lt;&gt;"",FT!E80,"")</f>
        <v>2 [31.732956]</v>
      </c>
      <c r="J80">
        <f>IF(FT!B80&lt;&gt;"",FT!C80,"")</f>
        <v>31.733000000000001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3.4388899999999998</v>
      </c>
      <c r="G81" s="61">
        <f>IF(FT!B81&lt;&gt;"",FT!B81*100,"")</f>
        <v>31.096699999999998</v>
      </c>
      <c r="H81" s="61">
        <f t="shared" si="9"/>
        <v>1</v>
      </c>
      <c r="I81" t="str">
        <f>IF(FT!B81&lt;&gt;"",FT!E81,"")</f>
        <v>2 [32.142998]</v>
      </c>
      <c r="J81">
        <f>IF(FT!B81&lt;&gt;"",FT!C81,"")</f>
        <v>32.143000000000001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121499</v>
      </c>
      <c r="D82" s="61">
        <f>FH!B82*1</f>
        <v>121499</v>
      </c>
      <c r="E82">
        <f t="shared" si="11"/>
        <v>80</v>
      </c>
      <c r="F82" s="61">
        <f>IF(FT!A82&lt;&gt;"",FT!A82*10,"")</f>
        <v>3.4348200000000002</v>
      </c>
      <c r="G82" s="61">
        <f>IF(FT!B82&lt;&gt;"",FT!B82*100,"")</f>
        <v>31.176900000000003</v>
      </c>
      <c r="H82" s="61">
        <f t="shared" si="9"/>
        <v>1</v>
      </c>
      <c r="I82" t="str">
        <f>IF(FT!B82&lt;&gt;"",FT!E82,"")</f>
        <v>2 [32.547268]</v>
      </c>
      <c r="J82">
        <f>IF(FT!B82&lt;&gt;"",FT!C82,"")</f>
        <v>32.5473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3.43207</v>
      </c>
      <c r="G83" s="61">
        <f>IF(FT!B83&lt;&gt;"",FT!B83*100,"")</f>
        <v>31.1983</v>
      </c>
      <c r="H83" s="61">
        <f t="shared" si="9"/>
        <v>1</v>
      </c>
      <c r="I83" t="str">
        <f>IF(FT!B83&lt;&gt;"",FT!E83,"")</f>
        <v>2 [32.952845]</v>
      </c>
      <c r="J83">
        <f>IF(FT!B83&lt;&gt;"",FT!C83,"")</f>
        <v>32.952800000000003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3.4291500000000004</v>
      </c>
      <c r="G84" s="61">
        <f>IF(FT!B84&lt;&gt;"",FT!B84*100,"")</f>
        <v>31.186499999999999</v>
      </c>
      <c r="H84" s="61">
        <f t="shared" si="9"/>
        <v>1</v>
      </c>
      <c r="I84" t="str">
        <f>IF(FT!B84&lt;&gt;"",FT!E84,"")</f>
        <v>2 [33.357289]</v>
      </c>
      <c r="J84">
        <f>IF(FT!B84&lt;&gt;"",FT!C84,"")</f>
        <v>33.357300000000002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122133</v>
      </c>
      <c r="D85" s="61">
        <f>FH!B85*1</f>
        <v>122133</v>
      </c>
      <c r="E85">
        <f t="shared" si="11"/>
        <v>83</v>
      </c>
      <c r="F85" s="61">
        <f>IF(FT!A85&lt;&gt;"",FT!A85*10,"")</f>
        <v>3.4238800000000005</v>
      </c>
      <c r="G85" s="61">
        <f>IF(FT!B85&lt;&gt;"",FT!B85*100,"")</f>
        <v>31.174099999999999</v>
      </c>
      <c r="H85" s="61">
        <f t="shared" si="9"/>
        <v>1</v>
      </c>
      <c r="I85" t="str">
        <f>IF(FT!B85&lt;&gt;"",FT!E85,"")</f>
        <v>2 [33.763321]</v>
      </c>
      <c r="J85">
        <f>IF(FT!B85&lt;&gt;"",FT!C85,"")</f>
        <v>33.763300000000001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3.41256</v>
      </c>
      <c r="G86" s="61">
        <f>IF(FT!B86&lt;&gt;"",FT!B86*100,"")</f>
        <v>31.204700000000003</v>
      </c>
      <c r="H86" s="61">
        <f t="shared" si="9"/>
        <v>1</v>
      </c>
      <c r="I86" t="str">
        <f>IF(FT!B86&lt;&gt;"",FT!E86,"")</f>
        <v>2 [34.171581]</v>
      </c>
      <c r="J86">
        <f>IF(FT!B86&lt;&gt;"",FT!C86,"")</f>
        <v>34.171599999999998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3.3969800000000001</v>
      </c>
      <c r="G87" s="61">
        <f>IF(FT!B87&lt;&gt;"",FT!B87*100,"")</f>
        <v>31.2959</v>
      </c>
      <c r="H87" s="61">
        <f t="shared" si="9"/>
        <v>1</v>
      </c>
      <c r="I87" t="str">
        <f>IF(FT!B87&lt;&gt;"",FT!E87,"")</f>
        <v>2 [34.581110]</v>
      </c>
      <c r="J87">
        <f>IF(FT!B87&lt;&gt;"",FT!C87,"")</f>
        <v>34.581099999999999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116045</v>
      </c>
      <c r="D88" s="61">
        <f>FH!B88*1</f>
        <v>116045</v>
      </c>
      <c r="E88">
        <f t="shared" si="11"/>
        <v>86</v>
      </c>
      <c r="F88" s="61">
        <f>IF(FT!A88&lt;&gt;"",FT!A88*10,"")</f>
        <v>3.3800000000000003</v>
      </c>
      <c r="G88" s="61">
        <f>IF(FT!B88&lt;&gt;"",FT!B88*100,"")</f>
        <v>31.455499999999997</v>
      </c>
      <c r="H88" s="61">
        <f t="shared" si="9"/>
        <v>1</v>
      </c>
      <c r="I88" t="str">
        <f>IF(FT!B88&lt;&gt;"",FT!E88,"")</f>
        <v>2 [34.983861]</v>
      </c>
      <c r="J88">
        <f>IF(FT!B88&lt;&gt;"",FT!C88,"")</f>
        <v>34.983899999999998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3.35771</v>
      </c>
      <c r="G89" s="61">
        <f>IF(FT!B89&lt;&gt;"",FT!B89*100,"")</f>
        <v>31.637599999999999</v>
      </c>
      <c r="H89" s="61">
        <f t="shared" si="9"/>
        <v>1</v>
      </c>
      <c r="I89" t="str">
        <f>IF(FT!B89&lt;&gt;"",FT!E89,"")</f>
        <v>2 [35.390004]</v>
      </c>
      <c r="J89">
        <f>IF(FT!B89&lt;&gt;"",FT!C89,"")</f>
        <v>35.39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121503</v>
      </c>
      <c r="D90" s="61">
        <f>FH!B90*1</f>
        <v>121503</v>
      </c>
      <c r="E90">
        <f t="shared" si="11"/>
        <v>88</v>
      </c>
      <c r="F90" s="61">
        <f>IF(FT!A90&lt;&gt;"",FT!A90*10,"")</f>
        <v>3.32897</v>
      </c>
      <c r="G90" s="61">
        <f>IF(FT!B90&lt;&gt;"",FT!B90*100,"")</f>
        <v>31.866399999999999</v>
      </c>
      <c r="H90" s="61">
        <f t="shared" si="9"/>
        <v>1</v>
      </c>
      <c r="I90" t="str">
        <f>IF(FT!B90&lt;&gt;"",FT!E90,"")</f>
        <v>2 [35.794214]</v>
      </c>
      <c r="J90">
        <f>IF(FT!B90&lt;&gt;"",FT!C90,"")</f>
        <v>35.794199999999996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3.3021799999999999</v>
      </c>
      <c r="G91" s="61">
        <f>IF(FT!B91&lt;&gt;"",FT!B91*100,"")</f>
        <v>32.093800000000002</v>
      </c>
      <c r="H91" s="61">
        <f t="shared" si="9"/>
        <v>1</v>
      </c>
      <c r="I91" t="str">
        <f>IF(FT!B91&lt;&gt;"",FT!E91,"")</f>
        <v>2 [36.200447]</v>
      </c>
      <c r="J91">
        <f>IF(FT!B91&lt;&gt;"",FT!C91,"")</f>
        <v>36.200400000000002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3.2722199999999999</v>
      </c>
      <c r="G92" s="61">
        <f>IF(FT!B92&lt;&gt;"",FT!B92*100,"")</f>
        <v>32.4771</v>
      </c>
      <c r="H92" s="61">
        <f t="shared" si="9"/>
        <v>1</v>
      </c>
      <c r="I92" t="str">
        <f>IF(FT!B92&lt;&gt;"",FT!E92,"")</f>
        <v>2 [36.607572]</v>
      </c>
      <c r="J92">
        <f>IF(FT!B92&lt;&gt;"",FT!C92,"")</f>
        <v>36.607599999999998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118187</v>
      </c>
      <c r="D93" s="61">
        <f>FH!B93*1</f>
        <v>118187</v>
      </c>
      <c r="E93">
        <f t="shared" si="11"/>
        <v>91</v>
      </c>
      <c r="F93" s="61">
        <f>IF(FT!A93&lt;&gt;"",FT!A93*10,"")</f>
        <v>3.2382499999999999</v>
      </c>
      <c r="G93" s="61">
        <f>IF(FT!B93&lt;&gt;"",FT!B93*100,"")</f>
        <v>32.992100000000001</v>
      </c>
      <c r="H93" s="61">
        <f t="shared" si="9"/>
        <v>1</v>
      </c>
      <c r="I93" t="str">
        <f>IF(FT!B93&lt;&gt;"",FT!E93,"")</f>
        <v>2 [37.012382]</v>
      </c>
      <c r="J93">
        <f>IF(FT!B93&lt;&gt;"",FT!C93,"")</f>
        <v>37.0124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3.2020900000000001</v>
      </c>
      <c r="G94" s="61">
        <f>IF(FT!B94&lt;&gt;"",FT!B94*100,"")</f>
        <v>33.589999999999996</v>
      </c>
      <c r="H94" s="61">
        <f t="shared" si="9"/>
        <v>1</v>
      </c>
      <c r="I94" t="str">
        <f>IF(FT!B94&lt;&gt;"",FT!E94,"")</f>
        <v>2 [37.421712]</v>
      </c>
      <c r="J94">
        <f>IF(FT!B94&lt;&gt;"",FT!C94,"")</f>
        <v>37.421700000000001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118347</v>
      </c>
      <c r="D95" s="61">
        <f>FH!B95*1</f>
        <v>118347</v>
      </c>
      <c r="E95">
        <f t="shared" si="11"/>
        <v>93</v>
      </c>
      <c r="F95" s="61">
        <f>IF(FT!A95&lt;&gt;"",FT!A95*10,"")</f>
        <v>3.1689699999999998</v>
      </c>
      <c r="G95" s="61">
        <f>IF(FT!B95&lt;&gt;"",FT!B95*100,"")</f>
        <v>34.161200000000001</v>
      </c>
      <c r="H95" s="61">
        <f t="shared" si="9"/>
        <v>1</v>
      </c>
      <c r="I95" t="str">
        <f>IF(FT!B95&lt;&gt;"",FT!E95,"")</f>
        <v>2 [37.826690]</v>
      </c>
      <c r="J95">
        <f>IF(FT!B95&lt;&gt;"",FT!C95,"")</f>
        <v>37.826700000000002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3.1391999999999998</v>
      </c>
      <c r="G96" s="61">
        <f>IF(FT!B96&lt;&gt;"",FT!B96*100,"")</f>
        <v>34.633099999999999</v>
      </c>
      <c r="H96" s="61">
        <f t="shared" si="9"/>
        <v>1</v>
      </c>
      <c r="I96" t="str">
        <f>IF(FT!B96&lt;&gt;"",FT!E96,"")</f>
        <v>2 [38.232462]</v>
      </c>
      <c r="J96">
        <f>IF(FT!B96&lt;&gt;"",FT!C96,"")</f>
        <v>38.232500000000002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3.10778</v>
      </c>
      <c r="G97" s="61">
        <f>IF(FT!B97&lt;&gt;"",FT!B97*100,"")</f>
        <v>35.090800000000002</v>
      </c>
      <c r="H97" s="61">
        <f t="shared" si="9"/>
        <v>1</v>
      </c>
      <c r="I97" t="str">
        <f>IF(FT!B97&lt;&gt;"",FT!E97,"")</f>
        <v>2 [38.638935]</v>
      </c>
      <c r="J97">
        <f>IF(FT!B97&lt;&gt;"",FT!C97,"")</f>
        <v>38.6389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116166</v>
      </c>
      <c r="D98" s="61">
        <f>FH!B98*1</f>
        <v>116166</v>
      </c>
      <c r="E98">
        <f t="shared" si="11"/>
        <v>96</v>
      </c>
      <c r="F98" s="61">
        <f>IF(FT!A98&lt;&gt;"",FT!A98*10,"")</f>
        <v>3.0784499999999997</v>
      </c>
      <c r="G98" s="61">
        <f>IF(FT!B98&lt;&gt;"",FT!B98*100,"")</f>
        <v>35.543200000000006</v>
      </c>
      <c r="H98" s="61">
        <f t="shared" si="9"/>
        <v>1</v>
      </c>
      <c r="I98" t="str">
        <f>IF(FT!B98&lt;&gt;"",FT!E98,"")</f>
        <v>2 [39.046464]</v>
      </c>
      <c r="J98">
        <f>IF(FT!B98&lt;&gt;"",FT!C98,"")</f>
        <v>39.046500000000002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3.0524899999999997</v>
      </c>
      <c r="G99" s="61">
        <f>IF(FT!B99&lt;&gt;"",FT!B99*100,"")</f>
        <v>36.004899999999999</v>
      </c>
      <c r="H99" s="61">
        <f t="shared" si="9"/>
        <v>1</v>
      </c>
      <c r="I99" t="str">
        <f>IF(FT!B99&lt;&gt;"",FT!E99,"")</f>
        <v>2 [39.451177]</v>
      </c>
      <c r="J99">
        <f>IF(FT!B99&lt;&gt;"",FT!C99,"")</f>
        <v>39.4512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106105</v>
      </c>
      <c r="D100" s="61">
        <f>FH!B100*1</f>
        <v>106105</v>
      </c>
      <c r="E100">
        <f t="shared" si="11"/>
        <v>98</v>
      </c>
      <c r="F100" s="61">
        <f>IF(FT!A100&lt;&gt;"",FT!A100*10,"")</f>
        <v>3.0290499999999998</v>
      </c>
      <c r="G100" s="61">
        <f>IF(FT!B100&lt;&gt;"",FT!B100*100,"")</f>
        <v>36.4724</v>
      </c>
      <c r="H100" s="61">
        <f t="shared" si="9"/>
        <v>1</v>
      </c>
      <c r="I100" t="str">
        <f>IF(FT!B100&lt;&gt;"",FT!E100,"")</f>
        <v>2 [39.860991]</v>
      </c>
      <c r="J100">
        <f>IF(FT!B100&lt;&gt;"",FT!C100,"")</f>
        <v>39.860999999999997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3.00576</v>
      </c>
      <c r="G101" s="61">
        <f>IF(FT!B101&lt;&gt;"",FT!B101*100,"")</f>
        <v>37.0443</v>
      </c>
      <c r="H101" s="61">
        <f t="shared" si="9"/>
        <v>1</v>
      </c>
      <c r="I101" t="str">
        <f>IF(FT!B101&lt;&gt;"",FT!E101,"")</f>
        <v>2 [40.265103]</v>
      </c>
      <c r="J101">
        <f>IF(FT!B101&lt;&gt;"",FT!C101,"")</f>
        <v>40.265099999999997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2.9796200000000002</v>
      </c>
      <c r="G102" s="61">
        <f>IF(FT!B102&lt;&gt;"",FT!B102*100,"")</f>
        <v>37.684400000000004</v>
      </c>
      <c r="H102" s="61">
        <f t="shared" si="9"/>
        <v>1</v>
      </c>
      <c r="I102" t="str">
        <f>IF(FT!B102&lt;&gt;"",FT!E102,"")</f>
        <v>2 [40.667903]</v>
      </c>
      <c r="J102">
        <f>IF(FT!B102&lt;&gt;"",FT!C102,"")</f>
        <v>40.667900000000003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96379</v>
      </c>
      <c r="D103" s="61">
        <f>FH!B103*1</f>
        <v>96379</v>
      </c>
      <c r="E103">
        <f t="shared" si="11"/>
        <v>101</v>
      </c>
      <c r="F103" s="61">
        <f>IF(FT!A103&lt;&gt;"",FT!A103*10,"")</f>
        <v>2.9582100000000002</v>
      </c>
      <c r="G103" s="61">
        <f>IF(FT!B103&lt;&gt;"",FT!B103*100,"")</f>
        <v>38.254199999999997</v>
      </c>
      <c r="H103" s="61">
        <f t="shared" si="9"/>
        <v>1</v>
      </c>
      <c r="I103" t="str">
        <f>IF(FT!B103&lt;&gt;"",FT!E103,"")</f>
        <v>2 [41.076738]</v>
      </c>
      <c r="J103">
        <f>IF(FT!B103&lt;&gt;"",FT!C103,"")</f>
        <v>41.076700000000002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2.9392400000000003</v>
      </c>
      <c r="G104" s="61">
        <f>IF(FT!B104&lt;&gt;"",FT!B104*100,"")</f>
        <v>38.853900000000003</v>
      </c>
      <c r="H104" s="61">
        <f t="shared" si="9"/>
        <v>1</v>
      </c>
      <c r="I104" t="str">
        <f>IF(FT!B104&lt;&gt;"",FT!E104,"")</f>
        <v>2 [41.482318]</v>
      </c>
      <c r="J104">
        <f>IF(FT!B104&lt;&gt;"",FT!C104,"")</f>
        <v>41.482300000000002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2.9264700000000001</v>
      </c>
      <c r="G105" s="61">
        <f>IF(FT!B105&lt;&gt;"",FT!B105*100,"")</f>
        <v>39.317800000000005</v>
      </c>
      <c r="H105" s="61">
        <f t="shared" si="9"/>
        <v>1</v>
      </c>
      <c r="I105" t="str">
        <f>IF(FT!B105&lt;&gt;"",FT!E105,"")</f>
        <v>2 [41.890871]</v>
      </c>
      <c r="J105">
        <f>IF(FT!B105&lt;&gt;"",FT!C105,"")</f>
        <v>41.890900000000002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87777</v>
      </c>
      <c r="D106" s="61">
        <f>FH!B106*1</f>
        <v>87777</v>
      </c>
      <c r="E106">
        <f t="shared" si="11"/>
        <v>104</v>
      </c>
      <c r="F106" s="61">
        <f>IF(FT!A106&lt;&gt;"",FT!A106*10,"")</f>
        <v>2.9180999999999999</v>
      </c>
      <c r="G106" s="61">
        <f>IF(FT!B106&lt;&gt;"",FT!B106*100,"")</f>
        <v>39.7166</v>
      </c>
      <c r="H106" s="61">
        <f t="shared" si="9"/>
        <v>1</v>
      </c>
      <c r="I106" t="str">
        <f>IF(FT!B106&lt;&gt;"",FT!E106,"")</f>
        <v>2 [42.294029]</v>
      </c>
      <c r="J106">
        <f>IF(FT!B106&lt;&gt;"",FT!C106,"")</f>
        <v>42.293999999999997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2.91228</v>
      </c>
      <c r="G107" s="61">
        <f>IF(FT!B107&lt;&gt;"",FT!B107*100,"")</f>
        <v>40.110700000000001</v>
      </c>
      <c r="H107" s="61">
        <f t="shared" si="9"/>
        <v>1</v>
      </c>
      <c r="I107" t="str">
        <f>IF(FT!B107&lt;&gt;"",FT!E107,"")</f>
        <v>2 [42.700332]</v>
      </c>
      <c r="J107">
        <f>IF(FT!B107&lt;&gt;"",FT!C107,"")</f>
        <v>42.700299999999999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77332</v>
      </c>
      <c r="D108" s="61">
        <f>FH!B108*1</f>
        <v>77332</v>
      </c>
      <c r="E108">
        <f t="shared" si="11"/>
        <v>106</v>
      </c>
      <c r="F108" s="61">
        <f>IF(FT!A108&lt;&gt;"",FT!A108*10,"")</f>
        <v>2.9058899999999999</v>
      </c>
      <c r="G108" s="61">
        <f>IF(FT!B108&lt;&gt;"",FT!B108*100,"")</f>
        <v>40.666000000000004</v>
      </c>
      <c r="H108" s="61">
        <f t="shared" si="9"/>
        <v>1</v>
      </c>
      <c r="I108" t="str">
        <f>IF(FT!B108&lt;&gt;"",FT!E108,"")</f>
        <v>2 [43.107564]</v>
      </c>
      <c r="J108">
        <f>IF(FT!B108&lt;&gt;"",FT!C108,"")</f>
        <v>43.107599999999998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2.89873</v>
      </c>
      <c r="G109" s="61">
        <f>IF(FT!B109&lt;&gt;"",FT!B109*100,"")</f>
        <v>41.269500000000001</v>
      </c>
      <c r="H109" s="61">
        <f t="shared" si="9"/>
        <v>1</v>
      </c>
      <c r="I109" t="str">
        <f>IF(FT!B109&lt;&gt;"",FT!E109,"")</f>
        <v>2 [43.514296]</v>
      </c>
      <c r="J109">
        <f>IF(FT!B109&lt;&gt;"",FT!C109,"")</f>
        <v>43.514299999999999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2.8909099999999999</v>
      </c>
      <c r="G110" s="61">
        <f>IF(FT!B110&lt;&gt;"",FT!B110*100,"")</f>
        <v>41.827300000000001</v>
      </c>
      <c r="H110" s="61">
        <f t="shared" si="9"/>
        <v>1</v>
      </c>
      <c r="I110" t="str">
        <f>IF(FT!B110&lt;&gt;"",FT!E110,"")</f>
        <v>2 [43.922158]</v>
      </c>
      <c r="J110">
        <f>IF(FT!B110&lt;&gt;"",FT!C110,"")</f>
        <v>43.922199999999997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65680</v>
      </c>
      <c r="D111" s="61">
        <f>FH!B111*1</f>
        <v>65680</v>
      </c>
      <c r="E111">
        <f t="shared" si="11"/>
        <v>109</v>
      </c>
      <c r="F111" s="61">
        <f>IF(FT!A111&lt;&gt;"",FT!A111*10,"")</f>
        <v>2.8828399999999998</v>
      </c>
      <c r="G111" s="61">
        <f>IF(FT!B111&lt;&gt;"",FT!B111*100,"")</f>
        <v>42.329599999999999</v>
      </c>
      <c r="H111" s="61">
        <f t="shared" si="9"/>
        <v>1</v>
      </c>
      <c r="I111" t="str">
        <f>IF(FT!B111&lt;&gt;"",FT!E111,"")</f>
        <v>2 [44.326863]</v>
      </c>
      <c r="J111">
        <f>IF(FT!B111&lt;&gt;"",FT!C111,"")</f>
        <v>44.326900000000002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2.88009</v>
      </c>
      <c r="G112" s="61">
        <f>IF(FT!B112&lt;&gt;"",FT!B112*100,"")</f>
        <v>42.692799999999998</v>
      </c>
      <c r="H112" s="61">
        <f t="shared" si="9"/>
        <v>1</v>
      </c>
      <c r="I112" t="str">
        <f>IF(FT!B112&lt;&gt;"",FT!E112,"")</f>
        <v>2 [44.734208]</v>
      </c>
      <c r="J112">
        <f>IF(FT!B112&lt;&gt;"",FT!C112,"")</f>
        <v>44.734200000000001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63000</v>
      </c>
      <c r="D113" s="61">
        <f>FH!B113*1</f>
        <v>63000</v>
      </c>
      <c r="E113">
        <f t="shared" si="11"/>
        <v>111</v>
      </c>
      <c r="F113" s="61">
        <f>IF(FT!A113&lt;&gt;"",FT!A113*10,"")</f>
        <v>2.8838200000000001</v>
      </c>
      <c r="G113" s="61">
        <f>IF(FT!B113&lt;&gt;"",FT!B113*100,"")</f>
        <v>42.9313</v>
      </c>
      <c r="H113" s="61">
        <f t="shared" si="9"/>
        <v>1</v>
      </c>
      <c r="I113" t="str">
        <f>IF(FT!B113&lt;&gt;"",FT!E113,"")</f>
        <v>2 [45.137021]</v>
      </c>
      <c r="J113">
        <f>IF(FT!B113&lt;&gt;"",FT!C113,"")</f>
        <v>45.137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2.8965700000000001</v>
      </c>
      <c r="G114" s="61">
        <f>IF(FT!B114&lt;&gt;"",FT!B114*100,"")</f>
        <v>43.046599999999998</v>
      </c>
      <c r="H114" s="61">
        <f t="shared" si="9"/>
        <v>1</v>
      </c>
      <c r="I114" t="str">
        <f>IF(FT!B114&lt;&gt;"",FT!E114,"")</f>
        <v>2 [45.547295]</v>
      </c>
      <c r="J114">
        <f>IF(FT!B114&lt;&gt;"",FT!C114,"")</f>
        <v>45.5473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2.9149000000000003</v>
      </c>
      <c r="G115" s="61">
        <f>IF(FT!B115&lt;&gt;"",FT!B115*100,"")</f>
        <v>43.062199999999997</v>
      </c>
      <c r="H115" s="61">
        <f t="shared" si="9"/>
        <v>1</v>
      </c>
      <c r="I115" t="str">
        <f>IF(FT!B115&lt;&gt;"",FT!E115,"")</f>
        <v>2 [45.951205]</v>
      </c>
      <c r="J115">
        <f>IF(FT!B115&lt;&gt;"",FT!C115,"")</f>
        <v>45.9512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57198</v>
      </c>
      <c r="D116" s="61">
        <f>FH!B116*1</f>
        <v>57198</v>
      </c>
      <c r="E116">
        <f t="shared" si="11"/>
        <v>114</v>
      </c>
      <c r="F116" s="61">
        <f>IF(FT!A116&lt;&gt;"",FT!A116*10,"")</f>
        <v>2.9321799999999998</v>
      </c>
      <c r="G116" s="61">
        <f>IF(FT!B116&lt;&gt;"",FT!B116*100,"")</f>
        <v>43.069499999999998</v>
      </c>
      <c r="H116" s="61">
        <f t="shared" si="9"/>
        <v>1</v>
      </c>
      <c r="I116" t="str">
        <f>IF(FT!B116&lt;&gt;"",FT!E116,"")</f>
        <v>2 [46.358427]</v>
      </c>
      <c r="J116">
        <f>IF(FT!B116&lt;&gt;"",FT!C116,"")</f>
        <v>46.358400000000003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2.9475899999999999</v>
      </c>
      <c r="G117" s="61">
        <f>IF(FT!B117&lt;&gt;"",FT!B117*100,"")</f>
        <v>43.119199999999999</v>
      </c>
      <c r="H117" s="61">
        <f t="shared" si="9"/>
        <v>1</v>
      </c>
      <c r="I117" t="str">
        <f>IF(FT!B117&lt;&gt;"",FT!E117,"")</f>
        <v>2 [46.761616]</v>
      </c>
      <c r="J117">
        <f>IF(FT!B117&lt;&gt;"",FT!C117,"")</f>
        <v>46.761600000000001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47371</v>
      </c>
      <c r="D118" s="61">
        <f>FH!B118*1</f>
        <v>47371</v>
      </c>
      <c r="E118">
        <f t="shared" si="11"/>
        <v>116</v>
      </c>
      <c r="F118" s="61">
        <f>IF(FT!A118&lt;&gt;"",FT!A118*10,"")</f>
        <v>2.96434</v>
      </c>
      <c r="G118" s="61">
        <f>IF(FT!B118&lt;&gt;"",FT!B118*100,"")</f>
        <v>43.131500000000003</v>
      </c>
      <c r="H118" s="61">
        <f t="shared" si="9"/>
        <v>1</v>
      </c>
      <c r="I118" t="str">
        <f>IF(FT!B118&lt;&gt;"",FT!E118,"")</f>
        <v>2 [47.167119]</v>
      </c>
      <c r="J118">
        <f>IF(FT!B118&lt;&gt;"",FT!C118,"")</f>
        <v>47.167099999999998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2.98244</v>
      </c>
      <c r="G119" s="61">
        <f>IF(FT!B119&lt;&gt;"",FT!B119*100,"")</f>
        <v>43.139099999999999</v>
      </c>
      <c r="H119" s="61">
        <f t="shared" si="9"/>
        <v>1</v>
      </c>
      <c r="I119" t="str">
        <f>IF(FT!B119&lt;&gt;"",FT!E119,"")</f>
        <v>2 [47.577203]</v>
      </c>
      <c r="J119">
        <f>IF(FT!B119&lt;&gt;"",FT!C119,"")</f>
        <v>47.577199999999998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3.00298</v>
      </c>
      <c r="G120" s="61">
        <f>IF(FT!B120&lt;&gt;"",FT!B120*100,"")</f>
        <v>43.039100000000005</v>
      </c>
      <c r="H120" s="61">
        <f t="shared" si="9"/>
        <v>1</v>
      </c>
      <c r="I120" t="str">
        <f>IF(FT!B120&lt;&gt;"",FT!E120,"")</f>
        <v>2 [47.984293]</v>
      </c>
      <c r="J120">
        <f>IF(FT!B120&lt;&gt;"",FT!C120,"")</f>
        <v>47.984299999999998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47810</v>
      </c>
      <c r="D121" s="61">
        <f>FH!B121*1</f>
        <v>47810</v>
      </c>
      <c r="E121">
        <f t="shared" si="11"/>
        <v>119</v>
      </c>
      <c r="F121" s="61">
        <f>IF(FT!A121&lt;&gt;"",FT!A121*10,"")</f>
        <v>3.0292300000000001</v>
      </c>
      <c r="G121" s="61">
        <f>IF(FT!B121&lt;&gt;"",FT!B121*100,"")</f>
        <v>42.791000000000004</v>
      </c>
      <c r="H121" s="61">
        <f t="shared" si="9"/>
        <v>1</v>
      </c>
      <c r="I121" t="str">
        <f>IF(FT!B121&lt;&gt;"",FT!E121,"")</f>
        <v>2 [48.387351]</v>
      </c>
      <c r="J121">
        <f>IF(FT!B121&lt;&gt;"",FT!C121,"")</f>
        <v>48.3874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3.0595699999999999</v>
      </c>
      <c r="G122" s="61">
        <f>IF(FT!B122&lt;&gt;"",FT!B122*100,"")</f>
        <v>42.518599999999999</v>
      </c>
      <c r="H122" s="61">
        <f t="shared" si="9"/>
        <v>1</v>
      </c>
      <c r="I122" t="str">
        <f>IF(FT!B122&lt;&gt;"",FT!E122,"")</f>
        <v>2 [48.794644]</v>
      </c>
      <c r="J122">
        <f>IF(FT!B122&lt;&gt;"",FT!C122,"")</f>
        <v>48.794600000000003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3.0900400000000001</v>
      </c>
      <c r="G123" s="61">
        <f>IF(FT!B123&lt;&gt;"",FT!B123*100,"")</f>
        <v>42.278999999999996</v>
      </c>
      <c r="H123" s="61">
        <f t="shared" si="9"/>
        <v>1</v>
      </c>
      <c r="I123" t="str">
        <f>IF(FT!B123&lt;&gt;"",FT!E123,"")</f>
        <v>2 [49.198813]</v>
      </c>
      <c r="J123">
        <f>IF(FT!B123&lt;&gt;"",FT!C123,"")</f>
        <v>49.198799999999999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39473</v>
      </c>
      <c r="D124" s="61">
        <f>FH!B124*1</f>
        <v>39473</v>
      </c>
      <c r="E124">
        <f t="shared" si="11"/>
        <v>122</v>
      </c>
      <c r="F124" s="61">
        <f>IF(FT!A124&lt;&gt;"",FT!A124*10,"")</f>
        <v>3.1185099999999997</v>
      </c>
      <c r="G124" s="61">
        <f>IF(FT!B124&lt;&gt;"",FT!B124*100,"")</f>
        <v>42.110100000000003</v>
      </c>
      <c r="H124" s="61">
        <f t="shared" si="9"/>
        <v>1</v>
      </c>
      <c r="I124" t="str">
        <f>IF(FT!B124&lt;&gt;"",FT!E124,"")</f>
        <v>2 [49.607636]</v>
      </c>
      <c r="J124">
        <f>IF(FT!B124&lt;&gt;"",FT!C124,"")</f>
        <v>49.607599999999998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3.14621</v>
      </c>
      <c r="G125" s="61">
        <f>IF(FT!B125&lt;&gt;"",FT!B125*100,"")</f>
        <v>41.913499999999999</v>
      </c>
      <c r="H125" s="61">
        <f t="shared" si="9"/>
        <v>1</v>
      </c>
      <c r="I125" t="str">
        <f>IF(FT!B125&lt;&gt;"",FT!E125,"")</f>
        <v>2 [50.013583]</v>
      </c>
      <c r="J125">
        <f>IF(FT!B125&lt;&gt;"",FT!C125,"")</f>
        <v>50.013599999999997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34323</v>
      </c>
      <c r="D126" s="61">
        <f>FH!B126*1</f>
        <v>34323</v>
      </c>
      <c r="E126">
        <f t="shared" si="11"/>
        <v>124</v>
      </c>
      <c r="F126" s="61">
        <f>IF(FT!A126&lt;&gt;"",FT!A126*10,"")</f>
        <v>3.1571700000000003</v>
      </c>
      <c r="G126" s="61">
        <f>IF(FT!B126&lt;&gt;"",FT!B126*100,"")</f>
        <v>41.9527</v>
      </c>
      <c r="H126" s="61">
        <f t="shared" si="9"/>
        <v>1</v>
      </c>
      <c r="I126" t="str">
        <f>IF(FT!B126&lt;&gt;"",FT!E126,"")</f>
        <v>2 [50.420599]</v>
      </c>
      <c r="J126">
        <f>IF(FT!B126&lt;&gt;"",FT!C126,"")</f>
        <v>50.4206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3.1694299999999997</v>
      </c>
      <c r="G127" s="61">
        <f>IF(FT!B127&lt;&gt;"",FT!B127*100,"")</f>
        <v>41.966999999999999</v>
      </c>
      <c r="H127" s="61">
        <f t="shared" si="9"/>
        <v>1</v>
      </c>
      <c r="I127" t="str">
        <f>IF(FT!B127&lt;&gt;"",FT!E127,"")</f>
        <v>2 [50.824349]</v>
      </c>
      <c r="J127">
        <f>IF(FT!B127&lt;&gt;"",FT!C127,"")</f>
        <v>50.824300000000001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3.18126</v>
      </c>
      <c r="G128" s="61">
        <f>IF(FT!B128&lt;&gt;"",FT!B128*100,"")</f>
        <v>41.962200000000003</v>
      </c>
      <c r="H128" s="61">
        <f t="shared" si="9"/>
        <v>1</v>
      </c>
      <c r="I128" t="str">
        <f>IF(FT!B128&lt;&gt;"",FT!E128,"")</f>
        <v>2 [51.233643]</v>
      </c>
      <c r="J128">
        <f>IF(FT!B128&lt;&gt;"",FT!C128,"")</f>
        <v>51.233600000000003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32038</v>
      </c>
      <c r="D129" s="61">
        <f>FH!B129*1</f>
        <v>32038</v>
      </c>
      <c r="E129">
        <f t="shared" si="11"/>
        <v>127</v>
      </c>
      <c r="F129" s="61">
        <f>IF(FT!A129&lt;&gt;"",FT!A129*10,"")</f>
        <v>3.1935799999999999</v>
      </c>
      <c r="G129" s="61">
        <f>IF(FT!B129&lt;&gt;"",FT!B129*100,"")</f>
        <v>41.912500000000001</v>
      </c>
      <c r="H129" s="61">
        <f t="shared" si="9"/>
        <v>1</v>
      </c>
      <c r="I129" t="str">
        <f>IF(FT!B129&lt;&gt;"",FT!E129,"")</f>
        <v>2 [51.636474]</v>
      </c>
      <c r="J129">
        <f>IF(FT!B129&lt;&gt;"",FT!C129,"")</f>
        <v>51.636499999999998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3.2060399999999998</v>
      </c>
      <c r="G130" s="61">
        <f>IF(FT!B130&lt;&gt;"",FT!B130*100,"")</f>
        <v>41.8431</v>
      </c>
      <c r="H130" s="61">
        <f t="shared" si="9"/>
        <v>1</v>
      </c>
      <c r="I130" t="str">
        <f>IF(FT!B130&lt;&gt;"",FT!E130,"")</f>
        <v>2 [52.044704]</v>
      </c>
      <c r="J130">
        <f>IF(FT!B130&lt;&gt;"",FT!C130,"")</f>
        <v>52.044699999999999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32244</v>
      </c>
      <c r="D131" s="61">
        <f>FH!B131*1</f>
        <v>32244</v>
      </c>
      <c r="E131">
        <f t="shared" si="11"/>
        <v>129</v>
      </c>
      <c r="F131" s="61">
        <f>IF(FT!A131&lt;&gt;"",FT!A131*10,"")</f>
        <v>3.2172200000000002</v>
      </c>
      <c r="G131" s="61">
        <f>IF(FT!B131&lt;&gt;"",FT!B131*100,"")</f>
        <v>41.797899999999998</v>
      </c>
      <c r="H131" s="61">
        <f t="shared" ref="H131:H194" si="13">(IF(F131&lt;&gt;"",1,""))</f>
        <v>1</v>
      </c>
      <c r="I131" t="str">
        <f>IF(FT!B131&lt;&gt;"",FT!E131,"")</f>
        <v>2 [52.450247]</v>
      </c>
      <c r="J131">
        <f>IF(FT!B131&lt;&gt;"",FT!C131,"")</f>
        <v>52.450200000000002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3.2293799999999999</v>
      </c>
      <c r="G132" s="61">
        <f>IF(FT!B132&lt;&gt;"",FT!B132*100,"")</f>
        <v>41.747399999999999</v>
      </c>
      <c r="H132" s="61">
        <f t="shared" si="13"/>
        <v>1</v>
      </c>
      <c r="I132" t="str">
        <f>IF(FT!B132&lt;&gt;"",FT!E132,"")</f>
        <v>2 [52.859875]</v>
      </c>
      <c r="J132">
        <f>IF(FT!B132&lt;&gt;"",FT!C132,"")</f>
        <v>52.859900000000003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3.2408799999999998</v>
      </c>
      <c r="G133" s="61">
        <f>IF(FT!B133&lt;&gt;"",FT!B133*100,"")</f>
        <v>41.608200000000004</v>
      </c>
      <c r="H133" s="61">
        <f t="shared" si="13"/>
        <v>1</v>
      </c>
      <c r="I133" t="str">
        <f>IF(FT!B133&lt;&gt;"",FT!E133,"")</f>
        <v>2 [53.266911]</v>
      </c>
      <c r="J133">
        <f>IF(FT!B133&lt;&gt;"",FT!C133,"")</f>
        <v>53.2669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28633</v>
      </c>
      <c r="D134" s="61">
        <f>FH!B134*1</f>
        <v>28633</v>
      </c>
      <c r="E134">
        <f t="shared" si="15"/>
        <v>132</v>
      </c>
      <c r="F134" s="61">
        <f>IF(FT!A134&lt;&gt;"",FT!A134*10,"")</f>
        <v>3.2547700000000002</v>
      </c>
      <c r="G134" s="61">
        <f>IF(FT!B134&lt;&gt;"",FT!B134*100,"")</f>
        <v>41.446600000000004</v>
      </c>
      <c r="H134" s="61">
        <f t="shared" si="13"/>
        <v>1</v>
      </c>
      <c r="I134" t="str">
        <f>IF(FT!B134&lt;&gt;"",FT!E134,"")</f>
        <v>2 [53.670639]</v>
      </c>
      <c r="J134">
        <f>IF(FT!B134&lt;&gt;"",FT!C134,"")</f>
        <v>53.6706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3.2740799999999997</v>
      </c>
      <c r="G135" s="61">
        <f>IF(FT!B135&lt;&gt;"",FT!B135*100,"")</f>
        <v>41.3048</v>
      </c>
      <c r="H135" s="61">
        <f t="shared" si="13"/>
        <v>1</v>
      </c>
      <c r="I135" t="str">
        <f>IF(FT!B135&lt;&gt;"",FT!E135,"")</f>
        <v>2 [54.075942]</v>
      </c>
      <c r="J135">
        <f>IF(FT!B135&lt;&gt;"",FT!C135,"")</f>
        <v>54.075899999999997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28904</v>
      </c>
      <c r="D136" s="61">
        <f>FH!B136*1</f>
        <v>28904</v>
      </c>
      <c r="E136">
        <f t="shared" si="15"/>
        <v>134</v>
      </c>
      <c r="F136" s="61">
        <f>IF(FT!A136&lt;&gt;"",FT!A136*10,"")</f>
        <v>3.2984999999999998</v>
      </c>
      <c r="G136" s="61">
        <f>IF(FT!B136&lt;&gt;"",FT!B136*100,"")</f>
        <v>41.193999999999996</v>
      </c>
      <c r="H136" s="61">
        <f t="shared" si="13"/>
        <v>1</v>
      </c>
      <c r="I136" t="str">
        <f>IF(FT!B136&lt;&gt;"",FT!E136,"")</f>
        <v>2 [54.481651]</v>
      </c>
      <c r="J136">
        <f>IF(FT!B136&lt;&gt;"",FT!C136,"")</f>
        <v>54.481699999999996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3.3221699999999998</v>
      </c>
      <c r="G137" s="61">
        <f>IF(FT!B137&lt;&gt;"",FT!B137*100,"")</f>
        <v>41.084099999999999</v>
      </c>
      <c r="H137" s="61">
        <f t="shared" si="13"/>
        <v>1</v>
      </c>
      <c r="I137" t="str">
        <f>IF(FT!B137&lt;&gt;"",FT!E137,"")</f>
        <v>2 [54.890256]</v>
      </c>
      <c r="J137">
        <f>IF(FT!B137&lt;&gt;"",FT!C137,"")</f>
        <v>54.890300000000003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3.3411400000000002</v>
      </c>
      <c r="G138" s="61">
        <f>IF(FT!B138&lt;&gt;"",FT!B138*100,"")</f>
        <v>40.902799999999999</v>
      </c>
      <c r="H138" s="61">
        <f t="shared" si="13"/>
        <v>1</v>
      </c>
      <c r="I138" t="str">
        <f>IF(FT!B138&lt;&gt;"",FT!E138,"")</f>
        <v>2 [55.297032]</v>
      </c>
      <c r="J138">
        <f>IF(FT!B138&lt;&gt;"",FT!C138,"")</f>
        <v>55.296999999999997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26572</v>
      </c>
      <c r="D139" s="61">
        <f>FH!B139*1</f>
        <v>26572</v>
      </c>
      <c r="E139">
        <f t="shared" si="15"/>
        <v>137</v>
      </c>
      <c r="F139" s="61">
        <f>IF(FT!A139&lt;&gt;"",FT!A139*10,"")</f>
        <v>3.3543600000000002</v>
      </c>
      <c r="G139" s="61">
        <f>IF(FT!B139&lt;&gt;"",FT!B139*100,"")</f>
        <v>40.629100000000001</v>
      </c>
      <c r="H139" s="61">
        <f t="shared" si="13"/>
        <v>1</v>
      </c>
      <c r="I139" t="str">
        <f>IF(FT!B139&lt;&gt;"",FT!E139,"")</f>
        <v>2 [55.702119]</v>
      </c>
      <c r="J139">
        <f>IF(FT!B139&lt;&gt;"",FT!C139,"")</f>
        <v>55.702100000000002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3.3664100000000001</v>
      </c>
      <c r="G140" s="61">
        <f>IF(FT!B140&lt;&gt;"",FT!B140*100,"")</f>
        <v>40.341700000000003</v>
      </c>
      <c r="H140" s="61">
        <f t="shared" si="13"/>
        <v>1</v>
      </c>
      <c r="I140" t="str">
        <f>IF(FT!B140&lt;&gt;"",FT!E140,"")</f>
        <v>2 [56.105017]</v>
      </c>
      <c r="J140">
        <f>IF(FT!B140&lt;&gt;"",FT!C140,"")</f>
        <v>56.104999999999997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3.3796300000000001</v>
      </c>
      <c r="G141" s="61">
        <f>IF(FT!B141&lt;&gt;"",FT!B141*100,"")</f>
        <v>40.082799999999999</v>
      </c>
      <c r="H141" s="61">
        <f t="shared" si="13"/>
        <v>1</v>
      </c>
      <c r="I141" t="str">
        <f>IF(FT!B141&lt;&gt;"",FT!E141,"")</f>
        <v>2 [56.516214]</v>
      </c>
      <c r="J141">
        <f>IF(FT!B141&lt;&gt;"",FT!C141,"")</f>
        <v>56.516199999999998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23501</v>
      </c>
      <c r="D142" s="61">
        <f>FH!B142*1</f>
        <v>23501</v>
      </c>
      <c r="E142">
        <f t="shared" si="15"/>
        <v>140</v>
      </c>
      <c r="F142" s="61">
        <f>IF(FT!A142&lt;&gt;"",FT!A142*10,"")</f>
        <v>3.3975400000000002</v>
      </c>
      <c r="G142" s="61">
        <f>IF(FT!B142&lt;&gt;"",FT!B142*100,"")</f>
        <v>39.769300000000001</v>
      </c>
      <c r="H142" s="61">
        <f t="shared" si="13"/>
        <v>1</v>
      </c>
      <c r="I142" t="str">
        <f>IF(FT!B142&lt;&gt;"",FT!E142,"")</f>
        <v>2 [56.921437]</v>
      </c>
      <c r="J142">
        <f>IF(FT!B142&lt;&gt;"",FT!C142,"")</f>
        <v>56.921399999999998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3.4181499999999998</v>
      </c>
      <c r="G143" s="61">
        <f>IF(FT!B143&lt;&gt;"",FT!B143*100,"")</f>
        <v>39.513100000000001</v>
      </c>
      <c r="H143" s="61">
        <f t="shared" si="13"/>
        <v>1</v>
      </c>
      <c r="I143" t="str">
        <f>IF(FT!B143&lt;&gt;"",FT!E143,"")</f>
        <v>2 [57.325875]</v>
      </c>
      <c r="J143">
        <f>IF(FT!B143&lt;&gt;"",FT!C143,"")</f>
        <v>57.325899999999997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22826</v>
      </c>
      <c r="D144" s="61">
        <f>FH!B144*1</f>
        <v>22826</v>
      </c>
      <c r="E144">
        <f t="shared" si="15"/>
        <v>142</v>
      </c>
      <c r="F144" s="61">
        <f>IF(FT!A144&lt;&gt;"",FT!A144*10,"")</f>
        <v>3.4423700000000004</v>
      </c>
      <c r="G144" s="61">
        <f>IF(FT!B144&lt;&gt;"",FT!B144*100,"")</f>
        <v>39.182099999999998</v>
      </c>
      <c r="H144" s="61">
        <f t="shared" si="13"/>
        <v>1</v>
      </c>
      <c r="I144" t="str">
        <f>IF(FT!B144&lt;&gt;"",FT!E144,"")</f>
        <v>2 [57.732788]</v>
      </c>
      <c r="J144">
        <f>IF(FT!B144&lt;&gt;"",FT!C144,"")</f>
        <v>57.732799999999997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3.4640700000000004</v>
      </c>
      <c r="G145" s="61">
        <f>IF(FT!B145&lt;&gt;"",FT!B145*100,"")</f>
        <v>38.934100000000001</v>
      </c>
      <c r="H145" s="61">
        <f t="shared" si="13"/>
        <v>1</v>
      </c>
      <c r="I145" t="str">
        <f>IF(FT!B145&lt;&gt;"",FT!E145,"")</f>
        <v>2 [58.137798]</v>
      </c>
      <c r="J145">
        <f>IF(FT!B145&lt;&gt;"",FT!C145,"")</f>
        <v>58.137799999999999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3.4710400000000003</v>
      </c>
      <c r="G146" s="61">
        <f>IF(FT!B146&lt;&gt;"",FT!B146*100,"")</f>
        <v>38.800200000000004</v>
      </c>
      <c r="H146" s="61">
        <f t="shared" si="13"/>
        <v>1</v>
      </c>
      <c r="I146" t="str">
        <f>IF(FT!B146&lt;&gt;"",FT!E146,"")</f>
        <v>2 [58.545224]</v>
      </c>
      <c r="J146">
        <f>IF(FT!B146&lt;&gt;"",FT!C146,"")</f>
        <v>58.545200000000001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21422</v>
      </c>
      <c r="D147" s="61">
        <f>FH!B147*1</f>
        <v>21422</v>
      </c>
      <c r="E147">
        <f t="shared" si="15"/>
        <v>145</v>
      </c>
      <c r="F147" s="61">
        <f>IF(FT!A147&lt;&gt;"",FT!A147*10,"")</f>
        <v>3.4715699999999998</v>
      </c>
      <c r="G147" s="61">
        <f>IF(FT!B147&lt;&gt;"",FT!B147*100,"")</f>
        <v>38.793799999999997</v>
      </c>
      <c r="H147" s="61">
        <f t="shared" si="13"/>
        <v>1</v>
      </c>
      <c r="I147" t="str">
        <f>IF(FT!B147&lt;&gt;"",FT!E147,"")</f>
        <v>2 [58.954225]</v>
      </c>
      <c r="J147">
        <f>IF(FT!B147&lt;&gt;"",FT!C147,"")</f>
        <v>58.9542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3.4711500000000002</v>
      </c>
      <c r="G148" s="61">
        <f>IF(FT!B148&lt;&gt;"",FT!B148*100,"")</f>
        <v>38.911799999999999</v>
      </c>
      <c r="H148" s="61">
        <f t="shared" si="13"/>
        <v>1</v>
      </c>
      <c r="I148" t="str">
        <f>IF(FT!B148&lt;&gt;"",FT!E148,"")</f>
        <v>2 [59.356998]</v>
      </c>
      <c r="J148">
        <f>IF(FT!B148&lt;&gt;"",FT!C148,"")</f>
        <v>59.356999999999999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20187</v>
      </c>
      <c r="D149" s="61">
        <f>FH!B149*1</f>
        <v>20187</v>
      </c>
      <c r="E149">
        <f t="shared" si="15"/>
        <v>147</v>
      </c>
      <c r="F149" s="61">
        <f>IF(FT!A149&lt;&gt;"",FT!A149*10,"")</f>
        <v>3.4798299999999998</v>
      </c>
      <c r="G149" s="61">
        <f>IF(FT!B149&lt;&gt;"",FT!B149*100,"")</f>
        <v>38.698300000000003</v>
      </c>
      <c r="H149" s="61">
        <f t="shared" si="13"/>
        <v>1</v>
      </c>
      <c r="I149" t="str">
        <f>IF(FT!B149&lt;&gt;"",FT!E149,"")</f>
        <v>2 [59.763749]</v>
      </c>
      <c r="J149">
        <f>IF(FT!B149&lt;&gt;"",FT!C149,"")</f>
        <v>59.7637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18152</v>
      </c>
      <c r="D152" s="61">
        <f>FH!B152*1</f>
        <v>18152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15821</v>
      </c>
      <c r="D154" s="61">
        <f>FH!B154*1</f>
        <v>15821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9133</v>
      </c>
      <c r="D157" s="61">
        <f>FH!B157*1</f>
        <v>9133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8389</v>
      </c>
      <c r="D160" s="61">
        <f>FH!B160*1</f>
        <v>8389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7244</v>
      </c>
      <c r="D162" s="61">
        <f>FH!B162*1</f>
        <v>7244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5838</v>
      </c>
      <c r="D165" s="61">
        <f>FH!B165*1</f>
        <v>5838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5019</v>
      </c>
      <c r="D167" s="61">
        <f>FH!B167*1</f>
        <v>5019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3937</v>
      </c>
      <c r="D170" s="61">
        <f>FH!B170*1</f>
        <v>3937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2144</v>
      </c>
      <c r="D173" s="61">
        <f>FH!B173*1</f>
        <v>2144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1690</v>
      </c>
      <c r="D175" s="61">
        <f>FH!B175*1</f>
        <v>1690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885</v>
      </c>
      <c r="D178" s="61">
        <f>FH!B178*1</f>
        <v>885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447</v>
      </c>
      <c r="D180" s="61">
        <f>FH!B180*1</f>
        <v>447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40.699100000000001</v>
      </c>
      <c r="C5" s="66">
        <v>9.89161</v>
      </c>
      <c r="D5" s="66">
        <v>24.304200000000002</v>
      </c>
      <c r="E5" s="66">
        <v>20</v>
      </c>
      <c r="F5" s="66">
        <v>8.7653400000000001</v>
      </c>
      <c r="G5" s="66">
        <v>50</v>
      </c>
      <c r="H5" s="66">
        <v>51.218600000000002</v>
      </c>
    </row>
    <row r="6" spans="1:8">
      <c r="A6" s="58" t="s">
        <v>303</v>
      </c>
      <c r="B6" s="66">
        <v>36.3752</v>
      </c>
      <c r="C6" s="66">
        <v>1.9650099999999999</v>
      </c>
      <c r="D6" s="66">
        <v>5.4020599999999996</v>
      </c>
      <c r="E6" s="66">
        <v>20</v>
      </c>
      <c r="F6" s="66">
        <v>26.918399999999998</v>
      </c>
      <c r="G6" s="66">
        <v>40</v>
      </c>
      <c r="H6" s="66">
        <v>38.323399999999999</v>
      </c>
    </row>
    <row r="7" spans="1:8">
      <c r="A7" s="58" t="s">
        <v>304</v>
      </c>
      <c r="B7" s="66">
        <v>33.033999999999999</v>
      </c>
      <c r="C7" s="66">
        <v>4.05708</v>
      </c>
      <c r="D7" s="66">
        <v>12.281499999999999</v>
      </c>
      <c r="E7" s="66">
        <v>15</v>
      </c>
      <c r="F7" s="66">
        <v>17.7483</v>
      </c>
      <c r="G7" s="66">
        <v>40</v>
      </c>
      <c r="H7" s="66">
        <v>49.602200000000003</v>
      </c>
    </row>
    <row r="8" spans="1:8">
      <c r="A8" s="58" t="s">
        <v>305</v>
      </c>
      <c r="B8" s="66">
        <v>35.923699999999997</v>
      </c>
      <c r="C8" s="66">
        <v>4.0930099999999996</v>
      </c>
      <c r="D8" s="66">
        <v>11.393599999999999</v>
      </c>
      <c r="E8" s="66">
        <v>20</v>
      </c>
      <c r="F8" s="66">
        <v>20.515999999999998</v>
      </c>
      <c r="G8" s="66">
        <v>50</v>
      </c>
      <c r="H8" s="66">
        <v>41.040500000000002</v>
      </c>
    </row>
    <row r="9" spans="1:8">
      <c r="A9" s="58" t="s">
        <v>306</v>
      </c>
      <c r="B9" s="66">
        <v>66.413399999999996</v>
      </c>
      <c r="C9" s="66">
        <v>6.12127</v>
      </c>
      <c r="D9" s="66">
        <v>9.21692</v>
      </c>
      <c r="E9" s="66">
        <v>50</v>
      </c>
      <c r="F9" s="66">
        <v>50.1128</v>
      </c>
      <c r="G9" s="66">
        <v>100</v>
      </c>
      <c r="H9" s="66">
        <v>82.628100000000003</v>
      </c>
    </row>
    <row r="10" spans="1:8">
      <c r="A10" s="58" t="s">
        <v>307</v>
      </c>
      <c r="B10" s="66">
        <v>59.000700000000002</v>
      </c>
      <c r="C10" s="66">
        <v>3.2763</v>
      </c>
      <c r="D10" s="66">
        <v>5.5529799999999998</v>
      </c>
      <c r="E10" s="66">
        <v>40</v>
      </c>
      <c r="F10" s="66">
        <v>53.4587</v>
      </c>
      <c r="G10" s="66">
        <v>100</v>
      </c>
      <c r="H10" s="66">
        <v>64.728800000000007</v>
      </c>
    </row>
    <row r="11" spans="1:8">
      <c r="A11" s="58" t="s">
        <v>308</v>
      </c>
      <c r="B11" s="66">
        <v>16.6602</v>
      </c>
      <c r="C11" s="66">
        <v>4.9609300000000003</v>
      </c>
      <c r="D11" s="66">
        <v>29.777200000000001</v>
      </c>
      <c r="E11" s="66">
        <v>10</v>
      </c>
      <c r="F11" s="66">
        <v>3.2400099999999998</v>
      </c>
      <c r="G11" s="66">
        <v>50</v>
      </c>
      <c r="H11" s="66">
        <v>22.615200000000002</v>
      </c>
    </row>
    <row r="12" spans="1:8">
      <c r="A12" s="58" t="s">
        <v>309</v>
      </c>
      <c r="B12" s="66">
        <v>62.566699999999997</v>
      </c>
      <c r="C12" s="66">
        <v>3.0430299999999999</v>
      </c>
      <c r="D12" s="66">
        <v>4.8636600000000003</v>
      </c>
      <c r="E12" s="66">
        <v>50</v>
      </c>
      <c r="F12" s="66">
        <v>56.1922</v>
      </c>
      <c r="G12" s="66">
        <v>100</v>
      </c>
      <c r="H12" s="66">
        <v>71.304500000000004</v>
      </c>
    </row>
    <row r="13" spans="1:8">
      <c r="A13" s="58" t="s">
        <v>310</v>
      </c>
      <c r="B13" s="66">
        <v>16.465299999999999</v>
      </c>
      <c r="C13" s="66">
        <v>2.4582700000000002</v>
      </c>
      <c r="D13" s="66">
        <v>14.93</v>
      </c>
      <c r="E13" s="66">
        <v>10</v>
      </c>
      <c r="F13" s="66">
        <v>11.293100000000001</v>
      </c>
      <c r="G13" s="66">
        <v>25</v>
      </c>
      <c r="H13" s="66">
        <v>23.700299999999999</v>
      </c>
    </row>
    <row r="14" spans="1:8">
      <c r="A14" s="58" t="s">
        <v>311</v>
      </c>
      <c r="B14" s="66">
        <v>24.582699999999999</v>
      </c>
      <c r="C14" s="66">
        <v>7.0805199999999999</v>
      </c>
      <c r="D14" s="66">
        <v>28.802900000000001</v>
      </c>
      <c r="E14" s="66">
        <v>10</v>
      </c>
      <c r="F14" s="66">
        <v>2.5460500000000001</v>
      </c>
      <c r="G14" s="66">
        <v>50</v>
      </c>
      <c r="H14" s="66">
        <v>37.494799999999998</v>
      </c>
    </row>
    <row r="15" spans="1:8">
      <c r="A15" s="58" t="s">
        <v>312</v>
      </c>
      <c r="B15" s="66">
        <v>6.9496100000000005E-2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7.0122199999999996E-2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14.6525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0.412022</v>
      </c>
      <c r="C18" s="66">
        <v>4.0582100000000003E-2</v>
      </c>
      <c r="D18" s="66">
        <v>9.8494999999999999E-2</v>
      </c>
      <c r="E18" s="66">
        <v>0</v>
      </c>
      <c r="F18" s="66">
        <v>0.37143999999999999</v>
      </c>
      <c r="G18" s="66">
        <v>0</v>
      </c>
      <c r="H18" s="66">
        <v>0.45260400000000001</v>
      </c>
    </row>
    <row r="19" spans="1:8">
      <c r="A19" s="58" t="s">
        <v>316</v>
      </c>
      <c r="B19" s="66">
        <v>0.66142400000000001</v>
      </c>
      <c r="C19" s="66">
        <v>4.5610700000000004E-3</v>
      </c>
      <c r="D19" s="66">
        <v>6.8958300000000004E-3</v>
      </c>
      <c r="E19" s="66">
        <v>0</v>
      </c>
      <c r="F19" s="66">
        <v>0.65686299999999997</v>
      </c>
      <c r="G19" s="66">
        <v>0</v>
      </c>
      <c r="H19" s="66">
        <v>0.66598500000000005</v>
      </c>
    </row>
    <row r="20" spans="1:8">
      <c r="A20" s="58" t="s">
        <v>317</v>
      </c>
      <c r="B20" s="66">
        <v>2.2288000000000001E-4</v>
      </c>
      <c r="C20" s="66">
        <v>1.7106900000000001E-2</v>
      </c>
      <c r="D20" s="66">
        <v>76.754099999999994</v>
      </c>
      <c r="E20" s="66">
        <v>0</v>
      </c>
      <c r="F20" s="66">
        <v>0</v>
      </c>
      <c r="G20" s="66">
        <v>0</v>
      </c>
      <c r="H20" s="66">
        <v>0.153667</v>
      </c>
    </row>
    <row r="21" spans="1:8">
      <c r="A21" s="58" t="s">
        <v>318</v>
      </c>
      <c r="B21" s="66">
        <v>2.9642000000000002E-2</v>
      </c>
      <c r="C21" s="66">
        <v>8.7632299999999996E-2</v>
      </c>
      <c r="D21" s="66">
        <v>2.9563600000000001</v>
      </c>
      <c r="E21" s="66">
        <v>0</v>
      </c>
      <c r="F21" s="196">
        <v>9.8702999999999993E-5</v>
      </c>
      <c r="G21" s="66">
        <v>0</v>
      </c>
      <c r="H21" s="66">
        <v>0.63104000000000005</v>
      </c>
    </row>
    <row r="22" spans="1:8">
      <c r="A22" s="58" t="s">
        <v>319</v>
      </c>
      <c r="B22" s="66">
        <v>38.991500000000002</v>
      </c>
      <c r="C22" s="66">
        <v>14.123900000000001</v>
      </c>
      <c r="D22" s="66">
        <v>0.362232</v>
      </c>
      <c r="E22" s="66">
        <v>0</v>
      </c>
      <c r="F22" s="66">
        <v>14.5389</v>
      </c>
      <c r="G22" s="66">
        <v>0</v>
      </c>
      <c r="H22" s="66">
        <v>102.408</v>
      </c>
    </row>
    <row r="23" spans="1:8">
      <c r="A23" s="58" t="s">
        <v>320</v>
      </c>
      <c r="B23" s="66">
        <v>18.829699999999999</v>
      </c>
      <c r="C23" s="66">
        <v>3.5138199999999999</v>
      </c>
      <c r="D23" s="66">
        <v>0.18661</v>
      </c>
      <c r="E23" s="66">
        <v>0</v>
      </c>
      <c r="F23" s="66">
        <v>9.6671200000000006</v>
      </c>
      <c r="G23" s="66">
        <v>0</v>
      </c>
      <c r="H23" s="66">
        <v>22.4785</v>
      </c>
    </row>
    <row r="24" spans="1:8">
      <c r="A24" s="58" t="s">
        <v>321</v>
      </c>
      <c r="B24" s="66">
        <v>2.5864300000000002E-4</v>
      </c>
      <c r="C24" s="66">
        <v>9.2894399999999995E-3</v>
      </c>
      <c r="D24" s="66">
        <v>35.915999999999997</v>
      </c>
      <c r="E24" s="66">
        <v>0</v>
      </c>
      <c r="F24" s="196">
        <v>6.5133299999999995E-5</v>
      </c>
      <c r="G24" s="66">
        <v>0</v>
      </c>
      <c r="H24" s="66">
        <v>3.4983800000000002E-2</v>
      </c>
    </row>
    <row r="25" spans="1:8">
      <c r="A25" s="58" t="s">
        <v>322</v>
      </c>
      <c r="B25" s="66">
        <v>5.7949199999999999E-2</v>
      </c>
      <c r="C25" s="66">
        <v>4.2865E-2</v>
      </c>
      <c r="D25" s="66">
        <v>0.73969799999999997</v>
      </c>
      <c r="E25" s="66">
        <v>0</v>
      </c>
      <c r="F25" s="66">
        <v>2.96612E-3</v>
      </c>
      <c r="G25" s="66">
        <v>0</v>
      </c>
      <c r="H25" s="66">
        <v>0.22728000000000001</v>
      </c>
    </row>
    <row r="26" spans="1:8">
      <c r="A26" s="58" t="s">
        <v>323</v>
      </c>
      <c r="B26" s="196">
        <v>5.2521000000000001E-5</v>
      </c>
      <c r="C26" s="66">
        <v>1.03418E-3</v>
      </c>
      <c r="D26" s="66">
        <v>19.690899999999999</v>
      </c>
      <c r="E26" s="66">
        <v>0</v>
      </c>
      <c r="F26" s="66">
        <v>0</v>
      </c>
      <c r="G26" s="66">
        <v>0</v>
      </c>
      <c r="H26" s="66">
        <v>7.6779200000000004E-3</v>
      </c>
    </row>
    <row r="27" spans="1:8">
      <c r="A27" s="58" t="s">
        <v>324</v>
      </c>
      <c r="B27" s="196">
        <v>-3.2825599999999999E-6</v>
      </c>
      <c r="C27" s="66">
        <v>8.9325500000000003E-4</v>
      </c>
      <c r="D27" s="66">
        <v>-272.12099999999998</v>
      </c>
      <c r="E27" s="66">
        <v>0</v>
      </c>
      <c r="F27" s="66">
        <v>-6.5093199999999999E-3</v>
      </c>
      <c r="G27" s="66">
        <v>0</v>
      </c>
      <c r="H27" s="66">
        <v>5.7838799999999999E-3</v>
      </c>
    </row>
    <row r="28" spans="1:8">
      <c r="A28" s="58" t="s">
        <v>325</v>
      </c>
      <c r="B28" s="66">
        <v>4.6321599999999997E-3</v>
      </c>
      <c r="C28" s="66">
        <v>8.6532499999999995E-3</v>
      </c>
      <c r="D28" s="66">
        <v>1.86808</v>
      </c>
      <c r="E28" s="66">
        <v>0</v>
      </c>
      <c r="F28" s="196">
        <v>2.6041699999999998E-5</v>
      </c>
      <c r="G28" s="66">
        <v>0</v>
      </c>
      <c r="H28" s="66">
        <v>5.2851599999999999E-2</v>
      </c>
    </row>
    <row r="29" spans="1:8">
      <c r="A29" s="58" t="s">
        <v>326</v>
      </c>
      <c r="B29" s="66">
        <v>63.669899999999998</v>
      </c>
      <c r="C29" s="66">
        <v>10.2563</v>
      </c>
      <c r="D29" s="66">
        <v>0.16108600000000001</v>
      </c>
      <c r="E29" s="66">
        <v>0</v>
      </c>
      <c r="F29" s="66">
        <v>36.861400000000003</v>
      </c>
      <c r="G29" s="66">
        <v>0</v>
      </c>
      <c r="H29" s="66">
        <v>91.488699999999994</v>
      </c>
    </row>
    <row r="30" spans="1:8">
      <c r="A30" s="58" t="s">
        <v>327</v>
      </c>
      <c r="B30" s="66">
        <v>24.6602</v>
      </c>
      <c r="C30" s="66">
        <v>5.3369200000000001</v>
      </c>
      <c r="D30" s="66">
        <v>0.216418</v>
      </c>
      <c r="E30" s="66">
        <v>0</v>
      </c>
      <c r="F30" s="66">
        <v>8.9528599999999994</v>
      </c>
      <c r="G30" s="66">
        <v>0</v>
      </c>
      <c r="H30" s="66">
        <v>30.7271</v>
      </c>
    </row>
    <row r="31" spans="1:8">
      <c r="A31" s="58" t="s">
        <v>328</v>
      </c>
      <c r="B31" s="66">
        <v>215.26499999999999</v>
      </c>
      <c r="C31" s="66">
        <v>63.7376</v>
      </c>
      <c r="D31" s="66">
        <v>0.29608899999999999</v>
      </c>
      <c r="E31" s="66">
        <v>0</v>
      </c>
      <c r="F31" s="66">
        <v>66.501499999999993</v>
      </c>
      <c r="G31" s="66">
        <v>0</v>
      </c>
      <c r="H31" s="66">
        <v>287.46300000000002</v>
      </c>
    </row>
    <row r="32" spans="1:8">
      <c r="A32" s="58" t="s">
        <v>329</v>
      </c>
      <c r="B32" s="66">
        <v>0.33034000000000002</v>
      </c>
      <c r="C32" s="66">
        <v>4.0570799999999997E-2</v>
      </c>
      <c r="D32" s="66">
        <v>0.12281499999999999</v>
      </c>
      <c r="E32" s="66">
        <v>0.15</v>
      </c>
      <c r="F32" s="66">
        <v>0.177483</v>
      </c>
      <c r="G32" s="66">
        <v>0.4</v>
      </c>
      <c r="H32" s="66">
        <v>0.49602200000000002</v>
      </c>
    </row>
    <row r="33" spans="1:8">
      <c r="A33" s="58" t="s">
        <v>330</v>
      </c>
      <c r="B33" s="66">
        <v>0.32535999999999998</v>
      </c>
      <c r="C33" s="66">
        <v>3.6947399999999998E-2</v>
      </c>
      <c r="D33" s="66">
        <v>0.11355899999999999</v>
      </c>
      <c r="E33" s="66">
        <v>0</v>
      </c>
      <c r="F33" s="66">
        <v>0.26620300000000002</v>
      </c>
      <c r="G33" s="66">
        <v>0</v>
      </c>
      <c r="H33" s="66">
        <v>0.42024400000000001</v>
      </c>
    </row>
    <row r="34" spans="1:8">
      <c r="A34" s="58" t="s">
        <v>331</v>
      </c>
      <c r="B34" s="66">
        <v>0.16465299999999999</v>
      </c>
      <c r="C34" s="66">
        <v>2.4582699999999999E-2</v>
      </c>
      <c r="D34" s="66">
        <v>0.14929999999999999</v>
      </c>
      <c r="E34" s="66">
        <v>0.1</v>
      </c>
      <c r="F34" s="66">
        <v>0.112931</v>
      </c>
      <c r="G34" s="66">
        <v>0.25</v>
      </c>
      <c r="H34" s="66">
        <v>0.23700299999999999</v>
      </c>
    </row>
    <row r="35" spans="1:8">
      <c r="A35" s="58" t="s">
        <v>332</v>
      </c>
      <c r="B35" s="66">
        <v>8.0169299999999999E-2</v>
      </c>
      <c r="C35" s="66">
        <v>2.2967899999999999E-2</v>
      </c>
      <c r="D35" s="66">
        <v>0.28649200000000002</v>
      </c>
      <c r="E35" s="66">
        <v>0</v>
      </c>
      <c r="F35" s="66">
        <v>3.7141899999999999E-2</v>
      </c>
      <c r="G35" s="66">
        <v>0</v>
      </c>
      <c r="H35" s="66">
        <v>0.13836999999999999</v>
      </c>
    </row>
    <row r="36" spans="1:8">
      <c r="A36" s="58" t="s">
        <v>333</v>
      </c>
      <c r="B36" s="66">
        <v>0.13204399999999999</v>
      </c>
      <c r="C36" s="66">
        <v>8.7765200000000002E-2</v>
      </c>
      <c r="D36" s="66">
        <v>0.66466800000000004</v>
      </c>
      <c r="E36" s="66">
        <v>0</v>
      </c>
      <c r="F36" s="66">
        <v>3.4801100000000001E-2</v>
      </c>
      <c r="G36" s="66">
        <v>0</v>
      </c>
      <c r="H36" s="66">
        <v>0.479495</v>
      </c>
    </row>
    <row r="37" spans="1:8">
      <c r="A37" s="58" t="s">
        <v>334</v>
      </c>
      <c r="B37" s="66">
        <v>0.24582699999999999</v>
      </c>
      <c r="C37" s="66">
        <v>7.0805199999999999E-2</v>
      </c>
      <c r="D37" s="66">
        <v>0.28802899999999998</v>
      </c>
      <c r="E37" s="66">
        <v>0.1</v>
      </c>
      <c r="F37" s="66">
        <v>2.54605E-2</v>
      </c>
      <c r="G37" s="66">
        <v>0.5</v>
      </c>
      <c r="H37" s="66">
        <v>0.374948</v>
      </c>
    </row>
    <row r="38" spans="1:8">
      <c r="A38" s="58" t="s">
        <v>335</v>
      </c>
      <c r="B38" s="66">
        <v>-27.9909</v>
      </c>
      <c r="C38" s="66">
        <v>47.739800000000002</v>
      </c>
      <c r="D38" s="66">
        <v>-1.7055499999999999</v>
      </c>
      <c r="E38" s="66">
        <v>0</v>
      </c>
      <c r="F38" s="66">
        <v>-115.07899999999999</v>
      </c>
      <c r="G38" s="66">
        <v>0</v>
      </c>
      <c r="H38" s="66">
        <v>204.01900000000001</v>
      </c>
    </row>
    <row r="39" spans="1:8">
      <c r="A39" s="58" t="s">
        <v>336</v>
      </c>
      <c r="B39" s="66">
        <v>-9.4819099999999992</v>
      </c>
      <c r="C39" s="66">
        <v>6.5082500000000003</v>
      </c>
      <c r="D39" s="66">
        <v>-0.68638600000000005</v>
      </c>
      <c r="E39" s="66">
        <v>0</v>
      </c>
      <c r="F39" s="66">
        <v>-18.823699999999999</v>
      </c>
      <c r="G39" s="66">
        <v>0</v>
      </c>
      <c r="H39" s="66">
        <v>34.697400000000002</v>
      </c>
    </row>
    <row r="40" spans="1:8">
      <c r="A40" s="58" t="s">
        <v>337</v>
      </c>
      <c r="B40" s="66">
        <v>-5.0524800000000001</v>
      </c>
      <c r="C40" s="66">
        <v>0.97142200000000001</v>
      </c>
      <c r="D40" s="66">
        <v>-0.19226599999999999</v>
      </c>
      <c r="E40" s="66">
        <v>0</v>
      </c>
      <c r="F40" s="66">
        <v>-6.1476199999999999</v>
      </c>
      <c r="G40" s="66">
        <v>0</v>
      </c>
      <c r="H40" s="66">
        <v>-1.6954499999999999</v>
      </c>
    </row>
    <row r="41" spans="1:8">
      <c r="A41" s="58" t="s">
        <v>338</v>
      </c>
      <c r="B41" s="66">
        <v>-0.22261600000000001</v>
      </c>
      <c r="C41" s="66">
        <v>0.424701</v>
      </c>
      <c r="D41" s="66">
        <v>-1.90778</v>
      </c>
      <c r="E41" s="66">
        <v>0</v>
      </c>
      <c r="F41" s="66">
        <v>-0.93333299999999997</v>
      </c>
      <c r="G41" s="66">
        <v>0</v>
      </c>
      <c r="H41" s="66">
        <v>1</v>
      </c>
    </row>
    <row r="42" spans="1:8">
      <c r="A42" s="58" t="s">
        <v>339</v>
      </c>
      <c r="B42" s="66">
        <v>-0.233018</v>
      </c>
      <c r="C42" s="66">
        <v>0.13092200000000001</v>
      </c>
      <c r="D42" s="66">
        <v>-0.56185600000000002</v>
      </c>
      <c r="E42" s="66">
        <v>0</v>
      </c>
      <c r="F42" s="66">
        <v>-0.45483499999999999</v>
      </c>
      <c r="G42" s="66">
        <v>0</v>
      </c>
      <c r="H42" s="66">
        <v>0.69197900000000001</v>
      </c>
    </row>
    <row r="43" spans="1:8">
      <c r="A43" s="58" t="s">
        <v>340</v>
      </c>
      <c r="B43" s="66">
        <v>-0.16134499999999999</v>
      </c>
      <c r="C43" s="66">
        <v>3.4857600000000002E-2</v>
      </c>
      <c r="D43" s="66">
        <v>-0.21604400000000001</v>
      </c>
      <c r="E43" s="66">
        <v>0</v>
      </c>
      <c r="F43" s="66">
        <v>-0.25663900000000001</v>
      </c>
      <c r="G43" s="66">
        <v>0</v>
      </c>
      <c r="H43" s="66">
        <v>-0.11619699999999999</v>
      </c>
    </row>
    <row r="44" spans="1:8">
      <c r="A44" s="58" t="s">
        <v>341</v>
      </c>
      <c r="B44" s="66">
        <v>-30.5337</v>
      </c>
      <c r="C44" s="66">
        <v>9.51783</v>
      </c>
      <c r="D44" s="66">
        <v>-0.31171500000000002</v>
      </c>
      <c r="E44" s="66">
        <v>0</v>
      </c>
      <c r="F44" s="66">
        <v>-50.753799999999998</v>
      </c>
      <c r="G44" s="66">
        <v>0</v>
      </c>
      <c r="H44" s="66">
        <v>-10.3675</v>
      </c>
    </row>
    <row r="45" spans="1:8">
      <c r="A45" s="58" t="s">
        <v>342</v>
      </c>
      <c r="B45" s="66">
        <v>54.705800000000004</v>
      </c>
      <c r="C45" s="66">
        <v>7.3269200000000003</v>
      </c>
      <c r="D45" s="66">
        <v>0.133933</v>
      </c>
      <c r="E45" s="66">
        <v>0</v>
      </c>
      <c r="F45" s="66">
        <v>35.457799999999999</v>
      </c>
      <c r="G45" s="66">
        <v>0</v>
      </c>
      <c r="H45" s="66">
        <v>70.728499999999997</v>
      </c>
    </row>
    <row r="46" spans="1:8">
      <c r="A46" s="58" t="s">
        <v>343</v>
      </c>
      <c r="B46" s="66">
        <v>36.218200000000003</v>
      </c>
      <c r="C46" s="66">
        <v>8.1042799999999993</v>
      </c>
      <c r="D46" s="66">
        <v>0.22376199999999999</v>
      </c>
      <c r="E46" s="66">
        <v>0</v>
      </c>
      <c r="F46" s="66">
        <v>8.9843600000000006</v>
      </c>
      <c r="G46" s="66">
        <v>0</v>
      </c>
      <c r="H46" s="66">
        <v>43.667400000000001</v>
      </c>
    </row>
    <row r="47" spans="1:8">
      <c r="A47" s="58" t="s">
        <v>344</v>
      </c>
      <c r="B47" s="66">
        <v>0.577658</v>
      </c>
      <c r="C47" s="66">
        <v>0.26154899999999998</v>
      </c>
      <c r="D47" s="66">
        <v>0.45277400000000001</v>
      </c>
      <c r="E47" s="66">
        <v>0</v>
      </c>
      <c r="F47" s="66">
        <v>0.13982700000000001</v>
      </c>
      <c r="G47" s="66">
        <v>0</v>
      </c>
      <c r="H47" s="66">
        <v>1.9122399999999999</v>
      </c>
    </row>
    <row r="48" spans="1:8">
      <c r="A48" s="58" t="s">
        <v>345</v>
      </c>
      <c r="B48" s="66">
        <v>0.57192200000000004</v>
      </c>
      <c r="C48" s="66">
        <v>0.120239</v>
      </c>
      <c r="D48" s="66">
        <v>0.21023700000000001</v>
      </c>
      <c r="E48" s="66">
        <v>0</v>
      </c>
      <c r="F48" s="66">
        <v>0.360178</v>
      </c>
      <c r="G48" s="66">
        <v>0</v>
      </c>
      <c r="H48" s="66">
        <v>0.80260600000000004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2.9739999999999966</v>
      </c>
      <c r="C5" s="66">
        <f>'M2'!C5-'M1'!C5</f>
        <v>-7.7694700000000001</v>
      </c>
      <c r="D5" s="66">
        <f>'M2'!D5-'M1'!D5</f>
        <v>-20.506540000000001</v>
      </c>
      <c r="E5" s="66">
        <f>'M2'!E5-'M1'!E5</f>
        <v>0</v>
      </c>
      <c r="F5" s="66">
        <f>'M2'!F5-'M1'!F5</f>
        <v>26.686959999999999</v>
      </c>
      <c r="G5" s="66">
        <f>'M2'!G5-'M1'!G5</f>
        <v>0</v>
      </c>
      <c r="H5" s="66">
        <f>'M2'!H5-'M1'!H5</f>
        <v>3.2739000000000047</v>
      </c>
    </row>
    <row r="6" spans="1:8">
      <c r="A6" s="66" t="s">
        <v>244</v>
      </c>
      <c r="B6" s="66">
        <f>'M2'!B6-'M1'!B6</f>
        <v>0.13849999999999341</v>
      </c>
      <c r="C6" s="66">
        <f>'M2'!C6-'M1'!C6</f>
        <v>-1.7531830000000002</v>
      </c>
      <c r="D6" s="66">
        <f>'M2'!D6-'M1'!D6</f>
        <v>-4.8445900000000002</v>
      </c>
      <c r="E6" s="66">
        <f>'M2'!E6-'M1'!E6</f>
        <v>0</v>
      </c>
      <c r="F6" s="66">
        <f>'M2'!F6-'M1'!F6</f>
        <v>7.7649000000000044</v>
      </c>
      <c r="G6" s="66">
        <f>'M2'!G6-'M1'!G6</f>
        <v>0</v>
      </c>
      <c r="H6" s="66">
        <f>'M2'!H6-'M1'!H6</f>
        <v>-0.19720000000000226</v>
      </c>
    </row>
    <row r="7" spans="1:8">
      <c r="A7" s="66" t="s">
        <v>245</v>
      </c>
      <c r="B7" s="66">
        <f>'M2'!B7-'M1'!B7</f>
        <v>-0.7972999999999999</v>
      </c>
      <c r="C7" s="66">
        <f>'M2'!C7-'M1'!C7</f>
        <v>1.14154</v>
      </c>
      <c r="D7" s="66">
        <f>'M2'!D7-'M1'!D7</f>
        <v>3.7836999999999996</v>
      </c>
      <c r="E7" s="66">
        <f>'M2'!E7-'M1'!E7</f>
        <v>0</v>
      </c>
      <c r="F7" s="66">
        <f>'M2'!F7-'M1'!F7</f>
        <v>-6.9741999999999997</v>
      </c>
      <c r="G7" s="66">
        <f>'M2'!G7-'M1'!G7</f>
        <v>0</v>
      </c>
      <c r="H7" s="66">
        <f>'M2'!H7-'M1'!H7</f>
        <v>6.4259000000000057</v>
      </c>
    </row>
    <row r="8" spans="1:8">
      <c r="A8" s="66" t="s">
        <v>246</v>
      </c>
      <c r="B8" s="66">
        <f>'M2'!B8-'M1'!B8</f>
        <v>1.1724000000000032</v>
      </c>
      <c r="C8" s="66">
        <f>'M2'!C8-'M1'!C8</f>
        <v>-3.2840199999999999</v>
      </c>
      <c r="D8" s="66">
        <f>'M2'!D8-'M1'!D8</f>
        <v>-9.4295899999999993</v>
      </c>
      <c r="E8" s="66">
        <f>'M2'!E8-'M1'!E8</f>
        <v>0</v>
      </c>
      <c r="F8" s="66">
        <f>'M2'!F8-'M1'!F8</f>
        <v>13.550699999999999</v>
      </c>
      <c r="G8" s="66">
        <f>'M2'!G8-'M1'!G8</f>
        <v>0</v>
      </c>
      <c r="H8" s="66">
        <f>'M2'!H8-'M1'!H8</f>
        <v>2.6794000000000011</v>
      </c>
    </row>
    <row r="9" spans="1:8">
      <c r="A9" s="66" t="s">
        <v>247</v>
      </c>
      <c r="B9" s="66">
        <f>'M2'!B9-'M1'!B9</f>
        <v>-6.5441000000000074</v>
      </c>
      <c r="C9" s="66">
        <f>'M2'!C9-'M1'!C9</f>
        <v>0.48001999999999967</v>
      </c>
      <c r="D9" s="66">
        <f>'M2'!D9-'M1'!D9</f>
        <v>1.4291</v>
      </c>
      <c r="E9" s="66">
        <f>'M2'!E9-'M1'!E9</f>
        <v>0</v>
      </c>
      <c r="F9" s="66">
        <f>'M2'!F9-'M1'!F9</f>
        <v>-8.4391999999999996</v>
      </c>
      <c r="G9" s="66">
        <f>'M2'!G9-'M1'!G9</f>
        <v>0</v>
      </c>
      <c r="H9" s="66">
        <f>'M2'!H9-'M1'!H9</f>
        <v>-10.988200000000006</v>
      </c>
    </row>
    <row r="10" spans="1:8">
      <c r="A10" s="66" t="s">
        <v>248</v>
      </c>
      <c r="B10" s="66">
        <f>'M2'!B10-'M1'!B10</f>
        <v>5.856500000000004</v>
      </c>
      <c r="C10" s="66">
        <f>'M2'!C10-'M1'!C10</f>
        <v>1.2833100000000002</v>
      </c>
      <c r="D10" s="66">
        <f>'M2'!D10-'M1'!D10</f>
        <v>1.7379500000000005</v>
      </c>
      <c r="E10" s="66">
        <f>'M2'!E10-'M1'!E10</f>
        <v>0</v>
      </c>
      <c r="F10" s="66">
        <f>'M2'!F10-'M1'!F10</f>
        <v>0.60430000000000206</v>
      </c>
      <c r="G10" s="66">
        <f>'M2'!G10-'M1'!G10</f>
        <v>0</v>
      </c>
      <c r="H10" s="66">
        <f>'M2'!H10-'M1'!H10</f>
        <v>3.4653000000000063</v>
      </c>
    </row>
    <row r="11" spans="1:8">
      <c r="A11" s="66" t="s">
        <v>249</v>
      </c>
      <c r="B11" s="66">
        <f>'M2'!B11-'M1'!B11</f>
        <v>5.3105000000000011</v>
      </c>
      <c r="C11" s="66">
        <f>'M2'!C11-'M1'!C11</f>
        <v>-2.5336100000000004</v>
      </c>
      <c r="D11" s="66">
        <f>'M2'!D11-'M1'!D11</f>
        <v>-22.363500000000002</v>
      </c>
      <c r="E11" s="66">
        <f>'M2'!E11-'M1'!E11</f>
        <v>0</v>
      </c>
      <c r="F11" s="66">
        <f>'M2'!F11-'M1'!F11</f>
        <v>12.24309</v>
      </c>
      <c r="G11" s="66">
        <f>'M2'!G11-'M1'!G11</f>
        <v>0</v>
      </c>
      <c r="H11" s="66">
        <f>'M2'!H11-'M1'!H11</f>
        <v>4.8555000000000028</v>
      </c>
    </row>
    <row r="12" spans="1:8">
      <c r="A12" s="66" t="s">
        <v>250</v>
      </c>
      <c r="B12" s="66">
        <f>'M2'!B12-'M1'!B12</f>
        <v>-2.2333999999999961</v>
      </c>
      <c r="C12" s="66">
        <f>'M2'!C12-'M1'!C12</f>
        <v>2.7730000000000032E-2</v>
      </c>
      <c r="D12" s="66">
        <f>'M2'!D12-'M1'!D12</f>
        <v>0.20914000000000055</v>
      </c>
      <c r="E12" s="66">
        <f>'M2'!E12-'M1'!E12</f>
        <v>0</v>
      </c>
      <c r="F12" s="66">
        <f>'M2'!F12-'M1'!F12</f>
        <v>-0.81620000000000203</v>
      </c>
      <c r="G12" s="66">
        <f>'M2'!G12-'M1'!G12</f>
        <v>0</v>
      </c>
      <c r="H12" s="66">
        <f>'M2'!H12-'M1'!H12</f>
        <v>-3.7218000000000018</v>
      </c>
    </row>
    <row r="13" spans="1:8">
      <c r="A13" s="66" t="s">
        <v>251</v>
      </c>
      <c r="B13" s="66">
        <f>'M2'!B13-'M1'!B13</f>
        <v>-0.40150000000000219</v>
      </c>
      <c r="C13" s="66">
        <f>'M2'!C13-'M1'!C13</f>
        <v>0.33773000000000009</v>
      </c>
      <c r="D13" s="66">
        <f>'M2'!D13-'M1'!D13</f>
        <v>2.4276999999999997</v>
      </c>
      <c r="E13" s="66">
        <f>'M2'!E13-'M1'!E13</f>
        <v>0</v>
      </c>
      <c r="F13" s="66">
        <f>'M2'!F13-'M1'!F13</f>
        <v>-1.1625999999999994</v>
      </c>
      <c r="G13" s="66">
        <f>'M2'!G13-'M1'!G13</f>
        <v>0</v>
      </c>
      <c r="H13" s="66">
        <f>'M2'!H13-'M1'!H13</f>
        <v>1.5787999999999975</v>
      </c>
    </row>
    <row r="14" spans="1:8">
      <c r="A14" s="66" t="s">
        <v>252</v>
      </c>
      <c r="B14" s="66">
        <f>'M2'!B14-'M1'!B14</f>
        <v>3.3772999999999982</v>
      </c>
      <c r="C14" s="66">
        <f>'M2'!C14-'M1'!C14</f>
        <v>0.32733999999999952</v>
      </c>
      <c r="D14" s="66">
        <f>'M2'!D14-'M1'!D14</f>
        <v>-2.5799999999999983</v>
      </c>
      <c r="E14" s="66">
        <f>'M2'!E14-'M1'!E14</f>
        <v>0</v>
      </c>
      <c r="F14" s="66">
        <f>'M2'!F14-'M1'!F14</f>
        <v>-6.01799999999999E-2</v>
      </c>
      <c r="G14" s="66">
        <f>'M2'!G14-'M1'!G14</f>
        <v>0</v>
      </c>
      <c r="H14" s="66">
        <f>'M2'!H14-'M1'!H14</f>
        <v>-10.071399999999997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-6.1771999999999994E-2</v>
      </c>
      <c r="C18" s="66">
        <f>'M2'!C18-'M1'!C18</f>
        <v>4.0582100000000003E-2</v>
      </c>
      <c r="D18" s="66">
        <f>'M2'!D18-'M1'!D18</f>
        <v>9.8494999999999999E-2</v>
      </c>
      <c r="E18" s="66">
        <f>'M2'!E18-'M1'!E18</f>
        <v>0</v>
      </c>
      <c r="F18" s="66">
        <f>'M2'!F18-'M1'!F18</f>
        <v>0.37143999999999999</v>
      </c>
      <c r="G18" s="66">
        <f>'M2'!G18-'M1'!G18</f>
        <v>0</v>
      </c>
      <c r="H18" s="66">
        <f>'M2'!H18-'M1'!H18</f>
        <v>0.45260400000000001</v>
      </c>
    </row>
    <row r="19" spans="1:8">
      <c r="A19" s="66" t="s">
        <v>256</v>
      </c>
      <c r="B19" s="66">
        <f>'M2'!B19-'M1'!B19</f>
        <v>6.1910000000000021E-2</v>
      </c>
      <c r="C19" s="66">
        <f>'M2'!C19-'M1'!C19</f>
        <v>4.5610700000000004E-3</v>
      </c>
      <c r="D19" s="66">
        <f>'M2'!D19-'M1'!D19</f>
        <v>6.8958300000000004E-3</v>
      </c>
      <c r="E19" s="66">
        <f>'M2'!E19-'M1'!E19</f>
        <v>0</v>
      </c>
      <c r="F19" s="66">
        <f>'M2'!F19-'M1'!F19</f>
        <v>0.65686299999999997</v>
      </c>
      <c r="G19" s="66">
        <f>'M2'!G19-'M1'!G19</f>
        <v>0</v>
      </c>
      <c r="H19" s="66">
        <f>'M2'!H19-'M1'!H19</f>
        <v>0.66598500000000005</v>
      </c>
    </row>
    <row r="20" spans="1:8">
      <c r="A20" s="66" t="s">
        <v>63</v>
      </c>
      <c r="B20" s="66">
        <f>'M2'!B20-'M1'!B20</f>
        <v>1.1321999999999998E-5</v>
      </c>
      <c r="C20" s="66">
        <f>'M2'!C20-'M1'!C20</f>
        <v>-1.9376999999999971E-3</v>
      </c>
      <c r="D20" s="66">
        <f>'M2'!D20-'M1'!D20</f>
        <v>-12.629100000000008</v>
      </c>
      <c r="E20" s="66">
        <f>'M2'!E20-'M1'!E20</f>
        <v>0</v>
      </c>
      <c r="F20" s="66">
        <f>'M2'!F20-'M1'!F20</f>
        <v>-1.40185E-5</v>
      </c>
      <c r="G20" s="66">
        <f>'M2'!G20-'M1'!G20</f>
        <v>0</v>
      </c>
      <c r="H20" s="66">
        <f>'M2'!H20-'M1'!H20</f>
        <v>9.6849999999999992E-3</v>
      </c>
    </row>
    <row r="21" spans="1:8">
      <c r="A21" s="66" t="s">
        <v>64</v>
      </c>
      <c r="B21" s="66">
        <f>'M2'!B21-'M1'!B21</f>
        <v>4.6701999999999994E-3</v>
      </c>
      <c r="C21" s="66">
        <f>'M2'!C21-'M1'!C21</f>
        <v>3.8229999999999931E-3</v>
      </c>
      <c r="D21" s="66">
        <f>'M2'!D21-'M1'!D21</f>
        <v>-0.28377000000000008</v>
      </c>
      <c r="E21" s="66">
        <f>'M2'!E21-'M1'!E21</f>
        <v>0</v>
      </c>
      <c r="F21" s="66">
        <f>'M2'!F21-'M1'!F21</f>
        <v>4.427100000000001E-5</v>
      </c>
      <c r="G21" s="66">
        <f>'M2'!G21-'M1'!G21</f>
        <v>0</v>
      </c>
      <c r="H21" s="66">
        <f>'M2'!H21-'M1'!H21</f>
        <v>-0.25521100000000002</v>
      </c>
    </row>
    <row r="22" spans="1:8">
      <c r="A22" s="66" t="s">
        <v>65</v>
      </c>
      <c r="B22" s="66">
        <f>'M2'!B22-'M1'!B22</f>
        <v>-1.4562000000000026</v>
      </c>
      <c r="C22" s="66">
        <f>'M2'!C22-'M1'!C22</f>
        <v>-1.5035000000000007</v>
      </c>
      <c r="D22" s="66">
        <f>'M2'!D22-'M1'!D22</f>
        <v>-2.526299999999998E-2</v>
      </c>
      <c r="E22" s="66">
        <f>'M2'!E22-'M1'!E22</f>
        <v>0</v>
      </c>
      <c r="F22" s="66">
        <f>'M2'!F22-'M1'!F22</f>
        <v>-4.9641999999999999</v>
      </c>
      <c r="G22" s="66">
        <f>'M2'!G22-'M1'!G22</f>
        <v>0</v>
      </c>
      <c r="H22" s="66">
        <f>'M2'!H22-'M1'!H22</f>
        <v>-15.278599999999997</v>
      </c>
    </row>
    <row r="23" spans="1:8">
      <c r="A23" s="66" t="s">
        <v>66</v>
      </c>
      <c r="B23" s="66">
        <f>'M2'!B23-'M1'!B23</f>
        <v>2.1721000000000004</v>
      </c>
      <c r="C23" s="66">
        <f>'M2'!C23-'M1'!C23</f>
        <v>-1.4215300000000002</v>
      </c>
      <c r="D23" s="66">
        <f>'M2'!D23-'M1'!D23</f>
        <v>-9.5733999999999986E-2</v>
      </c>
      <c r="E23" s="66">
        <f>'M2'!E23-'M1'!E23</f>
        <v>0</v>
      </c>
      <c r="F23" s="66">
        <f>'M2'!F23-'M1'!F23</f>
        <v>4.112779999999999</v>
      </c>
      <c r="G23" s="66">
        <f>'M2'!G23-'M1'!G23</f>
        <v>0</v>
      </c>
      <c r="H23" s="66">
        <f>'M2'!H23-'M1'!H23</f>
        <v>1.0456000000000003</v>
      </c>
    </row>
    <row r="24" spans="1:8">
      <c r="A24" s="66" t="s">
        <v>67</v>
      </c>
      <c r="B24" s="66">
        <f>'M2'!B24-'M1'!B24</f>
        <v>-1.9506999999999988E-5</v>
      </c>
      <c r="C24" s="66">
        <f>'M2'!C24-'M1'!C24</f>
        <v>-6.2643000000000074E-4</v>
      </c>
      <c r="D24" s="66">
        <f>'M2'!D24-'M1'!D24</f>
        <v>0.30639999999999645</v>
      </c>
      <c r="E24" s="66">
        <f>'M2'!E24-'M1'!E24</f>
        <v>0</v>
      </c>
      <c r="F24" s="66">
        <f>'M2'!F24-'M1'!F24</f>
        <v>-1.5485200000000005E-5</v>
      </c>
      <c r="G24" s="66">
        <f>'M2'!G24-'M1'!G24</f>
        <v>0</v>
      </c>
      <c r="H24" s="66">
        <f>'M2'!H24-'M1'!H24</f>
        <v>2.3680000000000229E-4</v>
      </c>
    </row>
    <row r="25" spans="1:8">
      <c r="A25" s="66" t="s">
        <v>68</v>
      </c>
      <c r="B25" s="66">
        <f>'M2'!B25-'M1'!B25</f>
        <v>1.4822500000000002E-2</v>
      </c>
      <c r="C25" s="66">
        <f>'M2'!C25-'M1'!C25</f>
        <v>3.2258000000000009E-3</v>
      </c>
      <c r="D25" s="66">
        <f>'M2'!D25-'M1'!D25</f>
        <v>-0.11808999999999992</v>
      </c>
      <c r="E25" s="66">
        <f>'M2'!E25-'M1'!E25</f>
        <v>0</v>
      </c>
      <c r="F25" s="66">
        <f>'M2'!F25-'M1'!F25</f>
        <v>-1.3855180000000002E-2</v>
      </c>
      <c r="G25" s="66">
        <f>'M2'!G25-'M1'!G25</f>
        <v>0</v>
      </c>
      <c r="H25" s="66">
        <f>'M2'!H25-'M1'!H25</f>
        <v>-3.6278000000000005E-2</v>
      </c>
    </row>
    <row r="26" spans="1:8">
      <c r="A26" s="66" t="s">
        <v>69</v>
      </c>
      <c r="B26" s="66">
        <f>'M2'!B26-'M1'!B26</f>
        <v>3.2826000000000014E-6</v>
      </c>
      <c r="C26" s="66">
        <f>'M2'!C26-'M1'!C26</f>
        <v>-1.0955199999999996E-4</v>
      </c>
      <c r="D26" s="66">
        <f>'M2'!D26-'M1'!D26</f>
        <v>-3.1816999999999993</v>
      </c>
      <c r="E26" s="66">
        <f>'M2'!E26-'M1'!E26</f>
        <v>0</v>
      </c>
      <c r="F26" s="66">
        <f>'M2'!F26-'M1'!F26</f>
        <v>-3.2825599999999999E-6</v>
      </c>
      <c r="G26" s="66">
        <f>'M2'!G26-'M1'!G26</f>
        <v>0</v>
      </c>
      <c r="H26" s="66">
        <f>'M2'!H26-'M1'!H26</f>
        <v>-4.1689000000000049E-4</v>
      </c>
    </row>
    <row r="27" spans="1:8">
      <c r="A27" s="66" t="s">
        <v>70</v>
      </c>
      <c r="B27" s="66">
        <f>'M2'!B27-'M1'!B27</f>
        <v>0</v>
      </c>
      <c r="C27" s="66">
        <f>'M2'!C27-'M1'!C27</f>
        <v>-1.3694499999999997E-4</v>
      </c>
      <c r="D27" s="66">
        <f>'M2'!D27-'M1'!D27</f>
        <v>41.718999999999994</v>
      </c>
      <c r="E27" s="66">
        <f>'M2'!E27-'M1'!E27</f>
        <v>0</v>
      </c>
      <c r="F27" s="66">
        <f>'M2'!F27-'M1'!F27</f>
        <v>9.4538000000000001E-4</v>
      </c>
      <c r="G27" s="66">
        <f>'M2'!G27-'M1'!G27</f>
        <v>0</v>
      </c>
      <c r="H27" s="66">
        <f>'M2'!H27-'M1'!H27</f>
        <v>-1.9366999999999995E-4</v>
      </c>
    </row>
    <row r="28" spans="1:8">
      <c r="A28" s="66" t="s">
        <v>71</v>
      </c>
      <c r="B28" s="66">
        <f>'M2'!B28-'M1'!B28</f>
        <v>6.0709000000000023E-4</v>
      </c>
      <c r="C28" s="66">
        <f>'M2'!C28-'M1'!C28</f>
        <v>1.6346599999999996E-3</v>
      </c>
      <c r="D28" s="66">
        <f>'M2'!D28-'M1'!D28</f>
        <v>0.11114000000000002</v>
      </c>
      <c r="E28" s="66">
        <f>'M2'!E28-'M1'!E28</f>
        <v>0</v>
      </c>
      <c r="F28" s="66">
        <f>'M2'!F28-'M1'!F28</f>
        <v>2.92968E-5</v>
      </c>
      <c r="G28" s="66">
        <f>'M2'!G28-'M1'!G28</f>
        <v>0</v>
      </c>
      <c r="H28" s="66">
        <f>'M2'!H28-'M1'!H28</f>
        <v>-1.2920000000000001E-2</v>
      </c>
    </row>
    <row r="29" spans="1:8">
      <c r="A29" s="66" t="s">
        <v>72</v>
      </c>
      <c r="B29" s="66">
        <f>'M2'!B29-'M1'!B29</f>
        <v>1.7499999999998295E-2</v>
      </c>
      <c r="C29" s="66">
        <f>'M2'!C29-'M1'!C29</f>
        <v>1.7080500000000001</v>
      </c>
      <c r="D29" s="66">
        <f>'M2'!D29-'M1'!D29</f>
        <v>2.6778999999999997E-2</v>
      </c>
      <c r="E29" s="66">
        <f>'M2'!E29-'M1'!E29</f>
        <v>0</v>
      </c>
      <c r="F29" s="66">
        <f>'M2'!F29-'M1'!F29</f>
        <v>-6.1626999999999938</v>
      </c>
      <c r="G29" s="66">
        <f>'M2'!G29-'M1'!G29</f>
        <v>0</v>
      </c>
      <c r="H29" s="66">
        <f>'M2'!H29-'M1'!H29</f>
        <v>-3.2844999999999942</v>
      </c>
    </row>
    <row r="30" spans="1:8">
      <c r="A30" s="66" t="s">
        <v>73</v>
      </c>
      <c r="B30" s="66">
        <f>'M2'!B30-'M1'!B30</f>
        <v>4.9570000000000007</v>
      </c>
      <c r="C30" s="66">
        <f>'M2'!C30-'M1'!C30</f>
        <v>-2.8640400000000001</v>
      </c>
      <c r="D30" s="66">
        <f>'M2'!D30-'M1'!D30</f>
        <v>-0.14758309999999999</v>
      </c>
      <c r="E30" s="66">
        <f>'M2'!E30-'M1'!E30</f>
        <v>0</v>
      </c>
      <c r="F30" s="66">
        <f>'M2'!F30-'M1'!F30</f>
        <v>12.78674</v>
      </c>
      <c r="G30" s="66">
        <f>'M2'!G30-'M1'!G30</f>
        <v>0</v>
      </c>
      <c r="H30" s="66">
        <f>'M2'!H30-'M1'!H30</f>
        <v>3.2348999999999997</v>
      </c>
    </row>
    <row r="31" spans="1:8">
      <c r="A31" s="66" t="s">
        <v>74</v>
      </c>
      <c r="B31" s="66">
        <f>'M2'!B31-'M1'!B31</f>
        <v>2.4909999999999854</v>
      </c>
      <c r="C31" s="66">
        <f>'M2'!C31-'M1'!C31</f>
        <v>-23.4206</v>
      </c>
      <c r="D31" s="66">
        <f>'M2'!D31-'M1'!D31</f>
        <v>-0.11188699999999999</v>
      </c>
      <c r="E31" s="66">
        <f>'M2'!E31-'M1'!E31</f>
        <v>0</v>
      </c>
      <c r="F31" s="66">
        <f>'M2'!F31-'M1'!F31</f>
        <v>50.760500000000008</v>
      </c>
      <c r="G31" s="66">
        <f>'M2'!G31-'M1'!G31</f>
        <v>0</v>
      </c>
      <c r="H31" s="66">
        <f>'M2'!H31-'M1'!H31</f>
        <v>1.3690000000000282</v>
      </c>
    </row>
    <row r="32" spans="1:8">
      <c r="A32" s="66" t="s">
        <v>75</v>
      </c>
      <c r="B32" s="66">
        <f>'M2'!B32-'M1'!B32</f>
        <v>-7.9729999999999523E-3</v>
      </c>
      <c r="C32" s="66">
        <f>'M2'!C32-'M1'!C32</f>
        <v>1.1415400000000006E-2</v>
      </c>
      <c r="D32" s="66">
        <f>'M2'!D32-'M1'!D32</f>
        <v>3.783700000000001E-2</v>
      </c>
      <c r="E32" s="66">
        <f>'M2'!E32-'M1'!E32</f>
        <v>0</v>
      </c>
      <c r="F32" s="66">
        <f>'M2'!F32-'M1'!F32</f>
        <v>-6.9741999999999998E-2</v>
      </c>
      <c r="G32" s="66">
        <f>'M2'!G32-'M1'!G32</f>
        <v>0</v>
      </c>
      <c r="H32" s="66">
        <f>'M2'!H32-'M1'!H32</f>
        <v>6.4259000000000011E-2</v>
      </c>
    </row>
    <row r="33" spans="1:8">
      <c r="A33" s="66" t="s">
        <v>76</v>
      </c>
      <c r="B33" s="66">
        <f>'M2'!B33-'M1'!B33</f>
        <v>-3.7687999999999999E-2</v>
      </c>
      <c r="C33" s="66">
        <f>'M2'!C33-'M1'!C33</f>
        <v>-1.2205200000000003E-2</v>
      </c>
      <c r="D33" s="66">
        <f>'M2'!D33-'M1'!D33</f>
        <v>-2.5344000000000005E-2</v>
      </c>
      <c r="E33" s="66">
        <f>'M2'!E33-'M1'!E33</f>
        <v>0</v>
      </c>
      <c r="F33" s="66">
        <f>'M2'!F33-'M1'!F33</f>
        <v>2.3909999999999765E-3</v>
      </c>
      <c r="G33" s="66">
        <f>'M2'!G33-'M1'!G33</f>
        <v>0</v>
      </c>
      <c r="H33" s="66">
        <f>'M2'!H33-'M1'!H33</f>
        <v>-6.0493000000000019E-2</v>
      </c>
    </row>
    <row r="34" spans="1:8">
      <c r="A34" s="66" t="s">
        <v>77</v>
      </c>
      <c r="B34" s="66">
        <f>'M2'!B34-'M1'!B34</f>
        <v>-4.0150000000000186E-3</v>
      </c>
      <c r="C34" s="66">
        <f>'M2'!C34-'M1'!C34</f>
        <v>3.3772999999999997E-3</v>
      </c>
      <c r="D34" s="66">
        <f>'M2'!D34-'M1'!D34</f>
        <v>2.4277000000000021E-2</v>
      </c>
      <c r="E34" s="66">
        <f>'M2'!E34-'M1'!E34</f>
        <v>0</v>
      </c>
      <c r="F34" s="66">
        <f>'M2'!F34-'M1'!F34</f>
        <v>-1.1625999999999997E-2</v>
      </c>
      <c r="G34" s="66">
        <f>'M2'!G34-'M1'!G34</f>
        <v>0</v>
      </c>
      <c r="H34" s="66">
        <f>'M2'!H34-'M1'!H34</f>
        <v>1.5787999999999996E-2</v>
      </c>
    </row>
    <row r="35" spans="1:8">
      <c r="A35" s="66" t="s">
        <v>78</v>
      </c>
      <c r="B35" s="66">
        <f>'M2'!B35-'M1'!B35</f>
        <v>5.5889000000000078E-3</v>
      </c>
      <c r="C35" s="66">
        <f>'M2'!C35-'M1'!C35</f>
        <v>1.8970999999999988E-3</v>
      </c>
      <c r="D35" s="66">
        <f>'M2'!D35-'M1'!D35</f>
        <v>3.9160000000000306E-3</v>
      </c>
      <c r="E35" s="66">
        <f>'M2'!E35-'M1'!E35</f>
        <v>0</v>
      </c>
      <c r="F35" s="66">
        <f>'M2'!F35-'M1'!F35</f>
        <v>2.1996000000000029E-3</v>
      </c>
      <c r="G35" s="66">
        <f>'M2'!G35-'M1'!G35</f>
        <v>0</v>
      </c>
      <c r="H35" s="66">
        <f>'M2'!H35-'M1'!H35</f>
        <v>-7.3099999999999832E-3</v>
      </c>
    </row>
    <row r="36" spans="1:8">
      <c r="A36" s="66" t="s">
        <v>79</v>
      </c>
      <c r="B36" s="66">
        <f>'M2'!B36-'M1'!B36</f>
        <v>-1.1323E-2</v>
      </c>
      <c r="C36" s="66">
        <f>'M2'!C36-'M1'!C36</f>
        <v>-3.8980000000000958E-4</v>
      </c>
      <c r="D36" s="66">
        <f>'M2'!D36-'M1'!D36</f>
        <v>5.3811999999999971E-2</v>
      </c>
      <c r="E36" s="66">
        <f>'M2'!E36-'M1'!E36</f>
        <v>0</v>
      </c>
      <c r="F36" s="66">
        <f>'M2'!F36-'M1'!F36</f>
        <v>-1.3508199999999998E-2</v>
      </c>
      <c r="G36" s="66">
        <f>'M2'!G36-'M1'!G36</f>
        <v>0</v>
      </c>
      <c r="H36" s="66">
        <f>'M2'!H36-'M1'!H36</f>
        <v>-4.2352000000000001E-2</v>
      </c>
    </row>
    <row r="37" spans="1:8">
      <c r="A37" s="66" t="s">
        <v>80</v>
      </c>
      <c r="B37" s="66">
        <f>'M2'!B37-'M1'!B37</f>
        <v>3.3772999999999997E-2</v>
      </c>
      <c r="C37" s="66">
        <f>'M2'!C37-'M1'!C37</f>
        <v>3.2734000000000096E-3</v>
      </c>
      <c r="D37" s="66">
        <f>'M2'!D37-'M1'!D37</f>
        <v>-2.579999999999999E-2</v>
      </c>
      <c r="E37" s="66">
        <f>'M2'!E37-'M1'!E37</f>
        <v>0</v>
      </c>
      <c r="F37" s="66">
        <f>'M2'!F37-'M1'!F37</f>
        <v>-6.0179999999999956E-4</v>
      </c>
      <c r="G37" s="66">
        <f>'M2'!G37-'M1'!G37</f>
        <v>0</v>
      </c>
      <c r="H37" s="66">
        <f>'M2'!H37-'M1'!H37</f>
        <v>-0.10071400000000003</v>
      </c>
    </row>
    <row r="38" spans="1:8">
      <c r="A38" s="66" t="s">
        <v>81</v>
      </c>
      <c r="B38" s="66">
        <f>'M2'!B38-'M1'!B38</f>
        <v>2.1312999999999995</v>
      </c>
      <c r="C38" s="66">
        <f>'M2'!C38-'M1'!C38</f>
        <v>-7.4774000000000029</v>
      </c>
      <c r="D38" s="66">
        <f>'M2'!D38-'M1'!D38</f>
        <v>0.13795000000000002</v>
      </c>
      <c r="E38" s="66">
        <f>'M2'!E38-'M1'!E38</f>
        <v>0</v>
      </c>
      <c r="F38" s="66">
        <f>'M2'!F38-'M1'!F38</f>
        <v>-6.0899999999999892</v>
      </c>
      <c r="G38" s="66">
        <f>'M2'!G38-'M1'!G38</f>
        <v>0</v>
      </c>
      <c r="H38" s="66">
        <f>'M2'!H38-'M1'!H38</f>
        <v>17.961000000000013</v>
      </c>
    </row>
    <row r="39" spans="1:8">
      <c r="A39" s="66" t="s">
        <v>82</v>
      </c>
      <c r="B39" s="66">
        <f>'M2'!B39-'M1'!B39</f>
        <v>-4.500000000007276E-4</v>
      </c>
      <c r="C39" s="66">
        <f>'M2'!C39-'M1'!C39</f>
        <v>1.6492800000000001</v>
      </c>
      <c r="D39" s="66">
        <f>'M2'!D39-'M1'!D39</f>
        <v>-0.17387600000000003</v>
      </c>
      <c r="E39" s="66">
        <f>'M2'!E39-'M1'!E39</f>
        <v>0</v>
      </c>
      <c r="F39" s="66">
        <f>'M2'!F39-'M1'!F39</f>
        <v>-1.0519999999999996</v>
      </c>
      <c r="G39" s="66">
        <f>'M2'!G39-'M1'!G39</f>
        <v>0</v>
      </c>
      <c r="H39" s="66">
        <f>'M2'!H39-'M1'!H39</f>
        <v>16.600300000000001</v>
      </c>
    </row>
    <row r="40" spans="1:8">
      <c r="A40" s="66" t="s">
        <v>83</v>
      </c>
      <c r="B40" s="66">
        <f>'M2'!B40-'M1'!B40</f>
        <v>-0.59423999999999921</v>
      </c>
      <c r="C40" s="66">
        <f>'M2'!C40-'M1'!C40</f>
        <v>-0.48485599999999995</v>
      </c>
      <c r="D40" s="66">
        <f>'M2'!D40-'M1'!D40</f>
        <v>0.115094</v>
      </c>
      <c r="E40" s="66">
        <f>'M2'!E40-'M1'!E40</f>
        <v>0</v>
      </c>
      <c r="F40" s="66">
        <f>'M2'!F40-'M1'!F40</f>
        <v>-0.30537999999999954</v>
      </c>
      <c r="G40" s="66">
        <f>'M2'!G40-'M1'!G40</f>
        <v>0</v>
      </c>
      <c r="H40" s="66">
        <f>'M2'!H40-'M1'!H40</f>
        <v>-2.1578999999999997</v>
      </c>
    </row>
    <row r="41" spans="1:8">
      <c r="A41" s="66" t="s">
        <v>84</v>
      </c>
      <c r="B41" s="66">
        <f>'M2'!B41-'M1'!B41</f>
        <v>-6.2230000000000063E-3</v>
      </c>
      <c r="C41" s="66">
        <f>'M2'!C41-'M1'!C41</f>
        <v>3.939699999999996E-2</v>
      </c>
      <c r="D41" s="66">
        <f>'M2'!D41-'M1'!D41</f>
        <v>-0.12427999999999995</v>
      </c>
      <c r="E41" s="66">
        <f>'M2'!E41-'M1'!E41</f>
        <v>0</v>
      </c>
      <c r="F41" s="66">
        <f>'M2'!F41-'M1'!F41</f>
        <v>-8.7179000000000006E-2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-9.3070000000000097E-3</v>
      </c>
      <c r="C42" s="66">
        <f>'M2'!C42-'M1'!C42</f>
        <v>3.5173999999999983E-2</v>
      </c>
      <c r="D42" s="66">
        <f>'M2'!D42-'M1'!D42</f>
        <v>-0.12923300000000004</v>
      </c>
      <c r="E42" s="66">
        <f>'M2'!E42-'M1'!E42</f>
        <v>0</v>
      </c>
      <c r="F42" s="66">
        <f>'M2'!F42-'M1'!F42</f>
        <v>4.3755999999999962E-2</v>
      </c>
      <c r="G42" s="66">
        <f>'M2'!G42-'M1'!G42</f>
        <v>0</v>
      </c>
      <c r="H42" s="66">
        <f>'M2'!H42-'M1'!H42</f>
        <v>0.49857600000000002</v>
      </c>
    </row>
    <row r="43" spans="1:8">
      <c r="A43" s="66" t="s">
        <v>86</v>
      </c>
      <c r="B43" s="66">
        <f>'M2'!B43-'M1'!B43</f>
        <v>4.2352000000000001E-2</v>
      </c>
      <c r="C43" s="66">
        <f>'M2'!C43-'M1'!C43</f>
        <v>-2.3472199999999999E-2</v>
      </c>
      <c r="D43" s="66">
        <f>'M2'!D43-'M1'!D43</f>
        <v>9.6749999999999989E-2</v>
      </c>
      <c r="E43" s="66">
        <f>'M2'!E43-'M1'!E43</f>
        <v>0</v>
      </c>
      <c r="F43" s="66">
        <f>'M2'!F43-'M1'!F43</f>
        <v>5.2908000000000011E-2</v>
      </c>
      <c r="G43" s="66">
        <f>'M2'!G43-'M1'!G43</f>
        <v>0</v>
      </c>
      <c r="H43" s="66">
        <f>'M2'!H43-'M1'!H43</f>
        <v>1.3368000000000019E-2</v>
      </c>
    </row>
    <row r="44" spans="1:8">
      <c r="A44" s="66" t="s">
        <v>87</v>
      </c>
      <c r="B44" s="66">
        <f>'M2'!B44-'M1'!B44</f>
        <v>1.1727999999999987</v>
      </c>
      <c r="C44" s="66">
        <f>'M2'!C44-'M1'!C44</f>
        <v>-2.1733599999999988</v>
      </c>
      <c r="D44" s="66">
        <f>'M2'!D44-'M1'!D44</f>
        <v>5.8531E-2</v>
      </c>
      <c r="E44" s="66">
        <f>'M2'!E44-'M1'!E44</f>
        <v>0</v>
      </c>
      <c r="F44" s="66">
        <f>'M2'!F44-'M1'!F44</f>
        <v>-2.7766999999999982</v>
      </c>
      <c r="G44" s="66">
        <f>'M2'!G44-'M1'!G44</f>
        <v>0</v>
      </c>
      <c r="H44" s="66">
        <f>'M2'!H44-'M1'!H44</f>
        <v>-4.8948</v>
      </c>
    </row>
    <row r="45" spans="1:8">
      <c r="A45" s="66" t="s">
        <v>88</v>
      </c>
      <c r="B45" s="66">
        <f>'M2'!B45-'M1'!B45</f>
        <v>-1.607200000000006</v>
      </c>
      <c r="C45" s="66">
        <f>'M2'!C45-'M1'!C45</f>
        <v>-0.32479000000000013</v>
      </c>
      <c r="D45" s="66">
        <f>'M2'!D45-'M1'!D45</f>
        <v>-2.0000000000000018E-3</v>
      </c>
      <c r="E45" s="66">
        <f>'M2'!E45-'M1'!E45</f>
        <v>0</v>
      </c>
      <c r="F45" s="66">
        <f>'M2'!F45-'M1'!F45</f>
        <v>2.9660000000000011</v>
      </c>
      <c r="G45" s="66">
        <f>'M2'!G45-'M1'!G45</f>
        <v>0</v>
      </c>
      <c r="H45" s="66">
        <f>'M2'!H45-'M1'!H45</f>
        <v>0.640199999999993</v>
      </c>
    </row>
    <row r="46" spans="1:8">
      <c r="A46" s="66" t="s">
        <v>89</v>
      </c>
      <c r="B46" s="66">
        <f>'M2'!B46-'M1'!B46</f>
        <v>1.7304999999999993</v>
      </c>
      <c r="C46" s="66">
        <f>'M2'!C46-'M1'!C46</f>
        <v>-5.8762100000000004</v>
      </c>
      <c r="D46" s="66">
        <f>'M2'!D46-'M1'!D46</f>
        <v>-0.1700101</v>
      </c>
      <c r="E46" s="66">
        <f>'M2'!E46-'M1'!E46</f>
        <v>0</v>
      </c>
      <c r="F46" s="66">
        <f>'M2'!F46-'M1'!F46</f>
        <v>22.311439999999997</v>
      </c>
      <c r="G46" s="66">
        <f>'M2'!G46-'M1'!G46</f>
        <v>0</v>
      </c>
      <c r="H46" s="66">
        <f>'M2'!H46-'M1'!H46</f>
        <v>4.8911999999999978</v>
      </c>
    </row>
    <row r="47" spans="1:8">
      <c r="A47" s="66" t="s">
        <v>90</v>
      </c>
      <c r="B47" s="66">
        <f>'M2'!B47-'M1'!B47</f>
        <v>0.16172400000000009</v>
      </c>
      <c r="C47" s="66">
        <f>'M2'!C47-'M1'!C47</f>
        <v>0.13803599999999999</v>
      </c>
      <c r="D47" s="66">
        <f>'M2'!D47-'M1'!D47</f>
        <v>0.12319099999999999</v>
      </c>
      <c r="E47" s="66">
        <f>'M2'!E47-'M1'!E47</f>
        <v>0</v>
      </c>
      <c r="F47" s="66">
        <f>'M2'!F47-'M1'!F47</f>
        <v>-0.17311999999999997</v>
      </c>
      <c r="G47" s="66">
        <f>'M2'!G47-'M1'!G47</f>
        <v>0</v>
      </c>
      <c r="H47" s="66">
        <f>'M2'!H47-'M1'!H47</f>
        <v>0.65288999999999997</v>
      </c>
    </row>
    <row r="48" spans="1:8">
      <c r="A48" s="66" t="s">
        <v>91</v>
      </c>
      <c r="B48" s="66">
        <f>'M2'!B48-'M1'!B48</f>
        <v>0.23448600000000003</v>
      </c>
      <c r="C48" s="66">
        <f>'M2'!C48-'M1'!C48</f>
        <v>1.3719999999999705E-4</v>
      </c>
      <c r="D48" s="66">
        <f>'M2'!D48-'M1'!D48</f>
        <v>-4.0590699999999993E-2</v>
      </c>
      <c r="E48" s="66">
        <f>'M2'!E48-'M1'!E48</f>
        <v>0</v>
      </c>
      <c r="F48" s="66">
        <f>'M2'!F48-'M1'!F48</f>
        <v>0.19679999999999997</v>
      </c>
      <c r="G48" s="66">
        <f>'M2'!G48-'M1'!G48</f>
        <v>0</v>
      </c>
      <c r="H48" s="66">
        <f>'M2'!H48-'M1'!H48</f>
        <v>0.220198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39.220100000000002</v>
      </c>
      <c r="C5" s="66">
        <v>11.6457</v>
      </c>
      <c r="D5" s="66">
        <v>29.693200000000001</v>
      </c>
      <c r="E5" s="66">
        <v>20</v>
      </c>
      <c r="F5" s="66">
        <v>8.7653400000000001</v>
      </c>
      <c r="G5" s="66">
        <v>50</v>
      </c>
      <c r="H5" s="66">
        <v>47.944699999999997</v>
      </c>
    </row>
    <row r="6" spans="1:8">
      <c r="A6" s="66" t="s">
        <v>303</v>
      </c>
      <c r="B6" s="66">
        <v>36.251600000000003</v>
      </c>
      <c r="C6" s="66">
        <v>2.5557500000000002</v>
      </c>
      <c r="D6" s="66">
        <v>7.0500499999999997</v>
      </c>
      <c r="E6" s="66">
        <v>20</v>
      </c>
      <c r="F6" s="66">
        <v>26.918399999999998</v>
      </c>
      <c r="G6" s="66">
        <v>40</v>
      </c>
      <c r="H6" s="66">
        <v>38.323399999999999</v>
      </c>
    </row>
    <row r="7" spans="1:8">
      <c r="A7" s="66" t="s">
        <v>304</v>
      </c>
      <c r="B7" s="66">
        <v>33.148899999999998</v>
      </c>
      <c r="C7" s="66">
        <v>3.4315199999999999</v>
      </c>
      <c r="D7" s="66">
        <v>10.351800000000001</v>
      </c>
      <c r="E7" s="66">
        <v>15</v>
      </c>
      <c r="F7" s="66">
        <v>24.7225</v>
      </c>
      <c r="G7" s="66">
        <v>40</v>
      </c>
      <c r="H7" s="66">
        <v>43.176299999999998</v>
      </c>
    </row>
    <row r="8" spans="1:8">
      <c r="A8" s="66" t="s">
        <v>305</v>
      </c>
      <c r="B8" s="66">
        <v>35.366399999999999</v>
      </c>
      <c r="C8" s="66">
        <v>4.8697299999999997</v>
      </c>
      <c r="D8" s="66">
        <v>13.769399999999999</v>
      </c>
      <c r="E8" s="66">
        <v>20</v>
      </c>
      <c r="F8" s="66">
        <v>20.515999999999998</v>
      </c>
      <c r="G8" s="66">
        <v>50</v>
      </c>
      <c r="H8" s="66">
        <v>38.3611</v>
      </c>
    </row>
    <row r="9" spans="1:8">
      <c r="A9" s="66" t="s">
        <v>306</v>
      </c>
      <c r="B9" s="66">
        <v>69.936000000000007</v>
      </c>
      <c r="C9" s="66">
        <v>4.5516100000000002</v>
      </c>
      <c r="D9" s="66">
        <v>6.5082500000000003</v>
      </c>
      <c r="E9" s="66">
        <v>50</v>
      </c>
      <c r="F9" s="66">
        <v>58.552</v>
      </c>
      <c r="G9" s="66">
        <v>100</v>
      </c>
      <c r="H9" s="66">
        <v>82.628100000000003</v>
      </c>
    </row>
    <row r="10" spans="1:8">
      <c r="A10" s="66" t="s">
        <v>307</v>
      </c>
      <c r="B10" s="66">
        <v>56.142699999999998</v>
      </c>
      <c r="C10" s="66">
        <v>1.97282</v>
      </c>
      <c r="D10" s="66">
        <v>3.5139399999999998</v>
      </c>
      <c r="E10" s="66">
        <v>40</v>
      </c>
      <c r="F10" s="66">
        <v>53.4587</v>
      </c>
      <c r="G10" s="66">
        <v>100</v>
      </c>
      <c r="H10" s="66">
        <v>61.263500000000001</v>
      </c>
    </row>
    <row r="11" spans="1:8">
      <c r="A11" s="66" t="s">
        <v>308</v>
      </c>
      <c r="B11" s="66">
        <v>13.771100000000001</v>
      </c>
      <c r="C11" s="66">
        <v>4.4958400000000003</v>
      </c>
      <c r="D11" s="66">
        <v>32.646900000000002</v>
      </c>
      <c r="E11" s="66">
        <v>10</v>
      </c>
      <c r="F11" s="66">
        <v>3.2400099999999998</v>
      </c>
      <c r="G11" s="66">
        <v>50</v>
      </c>
      <c r="H11" s="66">
        <v>17.759699999999999</v>
      </c>
    </row>
    <row r="12" spans="1:8">
      <c r="A12" s="66" t="s">
        <v>309</v>
      </c>
      <c r="B12" s="66">
        <v>63.701999999999998</v>
      </c>
      <c r="C12" s="66">
        <v>2.8758900000000001</v>
      </c>
      <c r="D12" s="66">
        <v>4.5145999999999997</v>
      </c>
      <c r="E12" s="66">
        <v>50</v>
      </c>
      <c r="F12" s="66">
        <v>57.008400000000002</v>
      </c>
      <c r="G12" s="66">
        <v>100</v>
      </c>
      <c r="H12" s="66">
        <v>71.304500000000004</v>
      </c>
    </row>
    <row r="13" spans="1:8">
      <c r="A13" s="66" t="s">
        <v>310</v>
      </c>
      <c r="B13" s="66">
        <v>16.575500000000002</v>
      </c>
      <c r="C13" s="66">
        <v>2.2673399999999999</v>
      </c>
      <c r="D13" s="66">
        <v>13.678800000000001</v>
      </c>
      <c r="E13" s="66">
        <v>10</v>
      </c>
      <c r="F13" s="66">
        <v>12.4557</v>
      </c>
      <c r="G13" s="66">
        <v>25</v>
      </c>
      <c r="H13" s="66">
        <v>22.121500000000001</v>
      </c>
    </row>
    <row r="14" spans="1:8">
      <c r="A14" s="66" t="s">
        <v>311</v>
      </c>
      <c r="B14" s="66">
        <v>22.673400000000001</v>
      </c>
      <c r="C14" s="66">
        <v>6.7098100000000001</v>
      </c>
      <c r="D14" s="66">
        <v>29.593299999999999</v>
      </c>
      <c r="E14" s="66">
        <v>10</v>
      </c>
      <c r="F14" s="66">
        <v>2.60623</v>
      </c>
      <c r="G14" s="66">
        <v>50</v>
      </c>
      <c r="H14" s="66">
        <v>37.494799999999998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0.47379399999999999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0.59951399999999999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2.1677799999999999E-4</v>
      </c>
      <c r="C20" s="66">
        <v>1.8055499999999999E-2</v>
      </c>
      <c r="D20" s="66">
        <v>83.290300000000002</v>
      </c>
      <c r="E20" s="66">
        <v>0</v>
      </c>
      <c r="F20" s="196">
        <v>1.40185E-5</v>
      </c>
      <c r="G20" s="66">
        <v>0</v>
      </c>
      <c r="H20" s="66">
        <v>0.143982</v>
      </c>
    </row>
    <row r="21" spans="1:8">
      <c r="A21" s="66" t="s">
        <v>318</v>
      </c>
      <c r="B21" s="66">
        <v>2.9540299999999999E-2</v>
      </c>
      <c r="C21" s="66">
        <v>8.5585900000000006E-2</v>
      </c>
      <c r="D21" s="66">
        <v>2.8972600000000002</v>
      </c>
      <c r="E21" s="66">
        <v>0</v>
      </c>
      <c r="F21" s="196">
        <v>9.8702999999999993E-5</v>
      </c>
      <c r="G21" s="66">
        <v>0</v>
      </c>
      <c r="H21" s="66">
        <v>0.63104000000000005</v>
      </c>
    </row>
    <row r="22" spans="1:8">
      <c r="A22" s="66" t="s">
        <v>319</v>
      </c>
      <c r="B22" s="66">
        <v>39.431100000000001</v>
      </c>
      <c r="C22" s="66">
        <v>14.7324</v>
      </c>
      <c r="D22" s="66">
        <v>0.37362299999999998</v>
      </c>
      <c r="E22" s="66">
        <v>0</v>
      </c>
      <c r="F22" s="66">
        <v>19.5031</v>
      </c>
      <c r="G22" s="66">
        <v>0</v>
      </c>
      <c r="H22" s="66">
        <v>102.408</v>
      </c>
    </row>
    <row r="23" spans="1:8">
      <c r="A23" s="66" t="s">
        <v>320</v>
      </c>
      <c r="B23" s="66">
        <v>17.685700000000001</v>
      </c>
      <c r="C23" s="66">
        <v>3.90456</v>
      </c>
      <c r="D23" s="66">
        <v>0.220774</v>
      </c>
      <c r="E23" s="66">
        <v>0</v>
      </c>
      <c r="F23" s="66">
        <v>9.6671200000000006</v>
      </c>
      <c r="G23" s="66">
        <v>0</v>
      </c>
      <c r="H23" s="66">
        <v>21.4329</v>
      </c>
    </row>
    <row r="24" spans="1:8">
      <c r="A24" s="66" t="s">
        <v>321</v>
      </c>
      <c r="B24" s="66">
        <v>2.6652499999999999E-4</v>
      </c>
      <c r="C24" s="66">
        <v>9.5928699999999999E-3</v>
      </c>
      <c r="D24" s="66">
        <v>35.992400000000004</v>
      </c>
      <c r="E24" s="66">
        <v>0</v>
      </c>
      <c r="F24" s="196">
        <v>8.0618500000000001E-5</v>
      </c>
      <c r="G24" s="66">
        <v>0</v>
      </c>
      <c r="H24" s="66">
        <v>3.4747E-2</v>
      </c>
    </row>
    <row r="25" spans="1:8">
      <c r="A25" s="66" t="s">
        <v>322</v>
      </c>
      <c r="B25" s="66">
        <v>5.3659100000000001E-2</v>
      </c>
      <c r="C25" s="66">
        <v>4.09536E-2</v>
      </c>
      <c r="D25" s="66">
        <v>0.76321799999999995</v>
      </c>
      <c r="E25" s="66">
        <v>0</v>
      </c>
      <c r="F25" s="66">
        <v>1.6821300000000001E-2</v>
      </c>
      <c r="G25" s="66">
        <v>0</v>
      </c>
      <c r="H25" s="66">
        <v>0.22728000000000001</v>
      </c>
    </row>
    <row r="26" spans="1:8">
      <c r="A26" s="66" t="s">
        <v>323</v>
      </c>
      <c r="B26" s="196">
        <v>5.2521000000000001E-5</v>
      </c>
      <c r="C26" s="66">
        <v>1.08792E-3</v>
      </c>
      <c r="D26" s="66">
        <v>20.714099999999998</v>
      </c>
      <c r="E26" s="66">
        <v>0</v>
      </c>
      <c r="F26" s="196">
        <v>3.2825599999999999E-6</v>
      </c>
      <c r="G26" s="66">
        <v>0</v>
      </c>
      <c r="H26" s="66">
        <v>7.6779200000000004E-3</v>
      </c>
    </row>
    <row r="27" spans="1:8">
      <c r="A27" s="66" t="s">
        <v>324</v>
      </c>
      <c r="B27" s="196">
        <v>-3.2825599999999999E-6</v>
      </c>
      <c r="C27" s="66">
        <v>9.5980499999999999E-4</v>
      </c>
      <c r="D27" s="66">
        <v>-292.39499999999998</v>
      </c>
      <c r="E27" s="66">
        <v>0</v>
      </c>
      <c r="F27" s="66">
        <v>-6.5093199999999999E-3</v>
      </c>
      <c r="G27" s="66">
        <v>0</v>
      </c>
      <c r="H27" s="66">
        <v>5.7838799999999999E-3</v>
      </c>
    </row>
    <row r="28" spans="1:8">
      <c r="A28" s="66" t="s">
        <v>325</v>
      </c>
      <c r="B28" s="66">
        <v>4.3571E-3</v>
      </c>
      <c r="C28" s="66">
        <v>7.7721300000000004E-3</v>
      </c>
      <c r="D28" s="66">
        <v>1.78379</v>
      </c>
      <c r="E28" s="66">
        <v>0</v>
      </c>
      <c r="F28" s="196">
        <v>2.6041699999999998E-5</v>
      </c>
      <c r="G28" s="66">
        <v>0</v>
      </c>
      <c r="H28" s="66">
        <v>5.2851599999999999E-2</v>
      </c>
    </row>
    <row r="29" spans="1:8">
      <c r="A29" s="66" t="s">
        <v>326</v>
      </c>
      <c r="B29" s="66">
        <v>63.669899999999998</v>
      </c>
      <c r="C29" s="66">
        <v>9.3467500000000001</v>
      </c>
      <c r="D29" s="66">
        <v>0.14680000000000001</v>
      </c>
      <c r="E29" s="66">
        <v>0</v>
      </c>
      <c r="F29" s="66">
        <v>43.024099999999997</v>
      </c>
      <c r="G29" s="66">
        <v>0</v>
      </c>
      <c r="H29" s="66">
        <v>91.488699999999994</v>
      </c>
    </row>
    <row r="30" spans="1:8">
      <c r="A30" s="66" t="s">
        <v>327</v>
      </c>
      <c r="B30" s="66">
        <v>22.3948</v>
      </c>
      <c r="C30" s="66">
        <v>5.2976900000000002</v>
      </c>
      <c r="D30" s="66">
        <v>0.23655899999999999</v>
      </c>
      <c r="E30" s="66">
        <v>0</v>
      </c>
      <c r="F30" s="66">
        <v>8.9528599999999994</v>
      </c>
      <c r="G30" s="66">
        <v>0</v>
      </c>
      <c r="H30" s="66">
        <v>27.4922</v>
      </c>
    </row>
    <row r="31" spans="1:8">
      <c r="A31" s="66" t="s">
        <v>328</v>
      </c>
      <c r="B31" s="66">
        <v>214.459</v>
      </c>
      <c r="C31" s="66">
        <v>73.4619</v>
      </c>
      <c r="D31" s="66">
        <v>0.34254499999999999</v>
      </c>
      <c r="E31" s="66">
        <v>0</v>
      </c>
      <c r="F31" s="66">
        <v>66.501499999999993</v>
      </c>
      <c r="G31" s="66">
        <v>0</v>
      </c>
      <c r="H31" s="66">
        <v>286.09399999999999</v>
      </c>
    </row>
    <row r="32" spans="1:8">
      <c r="A32" s="66" t="s">
        <v>329</v>
      </c>
      <c r="B32" s="66">
        <v>0.33148899999999998</v>
      </c>
      <c r="C32" s="66">
        <v>3.4315199999999997E-2</v>
      </c>
      <c r="D32" s="66">
        <v>0.103518</v>
      </c>
      <c r="E32" s="66">
        <v>0.15</v>
      </c>
      <c r="F32" s="66">
        <v>0.247225</v>
      </c>
      <c r="G32" s="66">
        <v>0.4</v>
      </c>
      <c r="H32" s="66">
        <v>0.43176300000000001</v>
      </c>
    </row>
    <row r="33" spans="1:8">
      <c r="A33" s="66" t="s">
        <v>330</v>
      </c>
      <c r="B33" s="66">
        <v>0.33122299999999999</v>
      </c>
      <c r="C33" s="66">
        <v>4.1882000000000003E-2</v>
      </c>
      <c r="D33" s="66">
        <v>0.126446</v>
      </c>
      <c r="E33" s="66">
        <v>0</v>
      </c>
      <c r="F33" s="66">
        <v>0.26620300000000002</v>
      </c>
      <c r="G33" s="66">
        <v>0</v>
      </c>
      <c r="H33" s="66">
        <v>0.42024400000000001</v>
      </c>
    </row>
    <row r="34" spans="1:8">
      <c r="A34" s="66" t="s">
        <v>331</v>
      </c>
      <c r="B34" s="66">
        <v>0.16575500000000001</v>
      </c>
      <c r="C34" s="66">
        <v>2.26734E-2</v>
      </c>
      <c r="D34" s="66">
        <v>0.13678799999999999</v>
      </c>
      <c r="E34" s="66">
        <v>0.1</v>
      </c>
      <c r="F34" s="66">
        <v>0.124557</v>
      </c>
      <c r="G34" s="66">
        <v>0.25</v>
      </c>
      <c r="H34" s="66">
        <v>0.22121499999999999</v>
      </c>
    </row>
    <row r="35" spans="1:8">
      <c r="A35" s="66" t="s">
        <v>332</v>
      </c>
      <c r="B35" s="66">
        <v>7.8165299999999993E-2</v>
      </c>
      <c r="C35" s="66">
        <v>2.19461E-2</v>
      </c>
      <c r="D35" s="66">
        <v>0.28076499999999999</v>
      </c>
      <c r="E35" s="66">
        <v>0</v>
      </c>
      <c r="F35" s="66">
        <v>3.7141899999999999E-2</v>
      </c>
      <c r="G35" s="66">
        <v>0</v>
      </c>
      <c r="H35" s="66">
        <v>0.13836999999999999</v>
      </c>
    </row>
    <row r="36" spans="1:8">
      <c r="A36" s="66" t="s">
        <v>333</v>
      </c>
      <c r="B36" s="66">
        <v>0.13813900000000001</v>
      </c>
      <c r="C36" s="66">
        <v>8.8005200000000006E-2</v>
      </c>
      <c r="D36" s="66">
        <v>0.63707599999999998</v>
      </c>
      <c r="E36" s="66">
        <v>0</v>
      </c>
      <c r="F36" s="66">
        <v>4.8309299999999999E-2</v>
      </c>
      <c r="G36" s="66">
        <v>0</v>
      </c>
      <c r="H36" s="66">
        <v>0.479495</v>
      </c>
    </row>
    <row r="37" spans="1:8">
      <c r="A37" s="66" t="s">
        <v>334</v>
      </c>
      <c r="B37" s="66">
        <v>0.22673399999999999</v>
      </c>
      <c r="C37" s="66">
        <v>6.7098099999999994E-2</v>
      </c>
      <c r="D37" s="66">
        <v>0.295933</v>
      </c>
      <c r="E37" s="66">
        <v>0.1</v>
      </c>
      <c r="F37" s="66">
        <v>2.60623E-2</v>
      </c>
      <c r="G37" s="66">
        <v>0.5</v>
      </c>
      <c r="H37" s="66">
        <v>0.374948</v>
      </c>
    </row>
    <row r="38" spans="1:8">
      <c r="A38" s="66" t="s">
        <v>335</v>
      </c>
      <c r="B38" s="66">
        <v>-29.0794</v>
      </c>
      <c r="C38" s="66">
        <v>51.301900000000003</v>
      </c>
      <c r="D38" s="66">
        <v>-1.7642</v>
      </c>
      <c r="E38" s="66">
        <v>0</v>
      </c>
      <c r="F38" s="66">
        <v>-108.989</v>
      </c>
      <c r="G38" s="66">
        <v>0</v>
      </c>
      <c r="H38" s="66">
        <v>186.05799999999999</v>
      </c>
    </row>
    <row r="39" spans="1:8">
      <c r="A39" s="66" t="s">
        <v>336</v>
      </c>
      <c r="B39" s="66">
        <v>-9.4833999999999996</v>
      </c>
      <c r="C39" s="66">
        <v>5.6167400000000001</v>
      </c>
      <c r="D39" s="66">
        <v>-0.59226999999999996</v>
      </c>
      <c r="E39" s="66">
        <v>0</v>
      </c>
      <c r="F39" s="66">
        <v>-17.771699999999999</v>
      </c>
      <c r="G39" s="66">
        <v>0</v>
      </c>
      <c r="H39" s="66">
        <v>18.097100000000001</v>
      </c>
    </row>
    <row r="40" spans="1:8">
      <c r="A40" s="66" t="s">
        <v>337</v>
      </c>
      <c r="B40" s="66">
        <v>-4.7756800000000004</v>
      </c>
      <c r="C40" s="66">
        <v>1.07043</v>
      </c>
      <c r="D40" s="66">
        <v>-0.22414100000000001</v>
      </c>
      <c r="E40" s="66">
        <v>0</v>
      </c>
      <c r="F40" s="66">
        <v>-5.8422400000000003</v>
      </c>
      <c r="G40" s="66">
        <v>0</v>
      </c>
      <c r="H40" s="66">
        <v>-1.6954499999999999</v>
      </c>
    </row>
    <row r="41" spans="1:8">
      <c r="A41" s="66" t="s">
        <v>338</v>
      </c>
      <c r="B41" s="66">
        <v>-0.21823999999999999</v>
      </c>
      <c r="C41" s="66">
        <v>0.40340900000000002</v>
      </c>
      <c r="D41" s="66">
        <v>-1.84846</v>
      </c>
      <c r="E41" s="66">
        <v>0</v>
      </c>
      <c r="F41" s="66">
        <v>-0.84615399999999996</v>
      </c>
      <c r="G41" s="66">
        <v>0</v>
      </c>
      <c r="H41" s="66">
        <v>1</v>
      </c>
    </row>
    <row r="42" spans="1:8">
      <c r="A42" s="66" t="s">
        <v>339</v>
      </c>
      <c r="B42" s="66">
        <v>-0.227329</v>
      </c>
      <c r="C42" s="66">
        <v>0.112183</v>
      </c>
      <c r="D42" s="66">
        <v>-0.493483</v>
      </c>
      <c r="E42" s="66">
        <v>0</v>
      </c>
      <c r="F42" s="66">
        <v>-0.45483499999999999</v>
      </c>
      <c r="G42" s="66">
        <v>0</v>
      </c>
      <c r="H42" s="66">
        <v>0.19340299999999999</v>
      </c>
    </row>
    <row r="43" spans="1:8">
      <c r="A43" s="66" t="s">
        <v>340</v>
      </c>
      <c r="B43" s="66">
        <v>-0.19853399999999999</v>
      </c>
      <c r="C43" s="66">
        <v>3.9196599999999998E-2</v>
      </c>
      <c r="D43" s="66">
        <v>-0.19742999999999999</v>
      </c>
      <c r="E43" s="66">
        <v>0</v>
      </c>
      <c r="F43" s="66">
        <v>-0.25663900000000001</v>
      </c>
      <c r="G43" s="66">
        <v>0</v>
      </c>
      <c r="H43" s="66">
        <v>-0.12956500000000001</v>
      </c>
    </row>
    <row r="44" spans="1:8">
      <c r="A44" s="66" t="s">
        <v>341</v>
      </c>
      <c r="B44" s="66">
        <v>-31.686599999999999</v>
      </c>
      <c r="C44" s="66">
        <v>10.4659</v>
      </c>
      <c r="D44" s="66">
        <v>-0.33029500000000001</v>
      </c>
      <c r="E44" s="66">
        <v>0</v>
      </c>
      <c r="F44" s="66">
        <v>-47.9771</v>
      </c>
      <c r="G44" s="66">
        <v>0</v>
      </c>
      <c r="H44" s="66">
        <v>-10.3675</v>
      </c>
    </row>
    <row r="45" spans="1:8">
      <c r="A45" s="66" t="s">
        <v>342</v>
      </c>
      <c r="B45" s="66">
        <v>55.396700000000003</v>
      </c>
      <c r="C45" s="66">
        <v>7.4864699999999997</v>
      </c>
      <c r="D45" s="66">
        <v>0.13514300000000001</v>
      </c>
      <c r="E45" s="66">
        <v>0</v>
      </c>
      <c r="F45" s="66">
        <v>35.457799999999999</v>
      </c>
      <c r="G45" s="66">
        <v>0</v>
      </c>
      <c r="H45" s="66">
        <v>70.088300000000004</v>
      </c>
    </row>
    <row r="46" spans="1:8">
      <c r="A46" s="66" t="s">
        <v>343</v>
      </c>
      <c r="B46" s="66">
        <v>35.546599999999998</v>
      </c>
      <c r="C46" s="66">
        <v>9.4749700000000008</v>
      </c>
      <c r="D46" s="66">
        <v>0.26655099999999998</v>
      </c>
      <c r="E46" s="66">
        <v>0</v>
      </c>
      <c r="F46" s="66">
        <v>8.9843600000000006</v>
      </c>
      <c r="G46" s="66">
        <v>0</v>
      </c>
      <c r="H46" s="66">
        <v>38.776200000000003</v>
      </c>
    </row>
    <row r="47" spans="1:8">
      <c r="A47" s="66" t="s">
        <v>344</v>
      </c>
      <c r="B47" s="66">
        <v>0.54078499999999996</v>
      </c>
      <c r="C47" s="66">
        <v>0.17218800000000001</v>
      </c>
      <c r="D47" s="66">
        <v>0.31840400000000002</v>
      </c>
      <c r="E47" s="66">
        <v>0</v>
      </c>
      <c r="F47" s="66">
        <v>0.31294699999999998</v>
      </c>
      <c r="G47" s="66">
        <v>0</v>
      </c>
      <c r="H47" s="66">
        <v>1.25935</v>
      </c>
    </row>
    <row r="48" spans="1:8">
      <c r="A48" s="66" t="s">
        <v>345</v>
      </c>
      <c r="B48" s="66">
        <v>0.44075599999999998</v>
      </c>
      <c r="C48" s="66">
        <v>5.17776E-2</v>
      </c>
      <c r="D48" s="66">
        <v>0.117474</v>
      </c>
      <c r="E48" s="66">
        <v>0</v>
      </c>
      <c r="F48" s="66">
        <v>0.360178</v>
      </c>
      <c r="G48" s="66">
        <v>0</v>
      </c>
      <c r="H48" s="66">
        <v>0.58240800000000004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42.194099999999999</v>
      </c>
      <c r="C5" s="66">
        <v>3.8762300000000001</v>
      </c>
      <c r="D5" s="66">
        <v>9.1866599999999998</v>
      </c>
      <c r="E5" s="66">
        <v>20</v>
      </c>
      <c r="F5" s="66">
        <v>35.452300000000001</v>
      </c>
      <c r="G5" s="66">
        <v>50</v>
      </c>
      <c r="H5" s="66">
        <v>51.218600000000002</v>
      </c>
    </row>
    <row r="6" spans="1:8">
      <c r="A6" s="66" t="s">
        <v>303</v>
      </c>
      <c r="B6" s="66">
        <v>36.390099999999997</v>
      </c>
      <c r="C6" s="66">
        <v>0.80256700000000003</v>
      </c>
      <c r="D6" s="66">
        <v>2.20546</v>
      </c>
      <c r="E6" s="66">
        <v>20</v>
      </c>
      <c r="F6" s="66">
        <v>34.683300000000003</v>
      </c>
      <c r="G6" s="66">
        <v>40</v>
      </c>
      <c r="H6" s="66">
        <v>38.126199999999997</v>
      </c>
    </row>
    <row r="7" spans="1:8">
      <c r="A7" s="66" t="s">
        <v>304</v>
      </c>
      <c r="B7" s="66">
        <v>32.351599999999998</v>
      </c>
      <c r="C7" s="66">
        <v>4.5730599999999999</v>
      </c>
      <c r="D7" s="66">
        <v>14.1355</v>
      </c>
      <c r="E7" s="66">
        <v>15</v>
      </c>
      <c r="F7" s="66">
        <v>17.7483</v>
      </c>
      <c r="G7" s="66">
        <v>40</v>
      </c>
      <c r="H7" s="66">
        <v>49.602200000000003</v>
      </c>
    </row>
    <row r="8" spans="1:8">
      <c r="A8" s="66" t="s">
        <v>305</v>
      </c>
      <c r="B8" s="66">
        <v>36.538800000000002</v>
      </c>
      <c r="C8" s="66">
        <v>1.58571</v>
      </c>
      <c r="D8" s="66">
        <v>4.3398099999999999</v>
      </c>
      <c r="E8" s="66">
        <v>20</v>
      </c>
      <c r="F8" s="66">
        <v>34.066699999999997</v>
      </c>
      <c r="G8" s="66">
        <v>50</v>
      </c>
      <c r="H8" s="66">
        <v>41.040500000000002</v>
      </c>
    </row>
    <row r="9" spans="1:8">
      <c r="A9" s="66" t="s">
        <v>306</v>
      </c>
      <c r="B9" s="66">
        <v>63.3919</v>
      </c>
      <c r="C9" s="66">
        <v>5.0316299999999998</v>
      </c>
      <c r="D9" s="66">
        <v>7.9373500000000003</v>
      </c>
      <c r="E9" s="66">
        <v>50</v>
      </c>
      <c r="F9" s="66">
        <v>50.1128</v>
      </c>
      <c r="G9" s="66">
        <v>100</v>
      </c>
      <c r="H9" s="66">
        <v>71.639899999999997</v>
      </c>
    </row>
    <row r="10" spans="1:8">
      <c r="A10" s="66" t="s">
        <v>307</v>
      </c>
      <c r="B10" s="66">
        <v>61.999200000000002</v>
      </c>
      <c r="C10" s="66">
        <v>3.2561300000000002</v>
      </c>
      <c r="D10" s="66">
        <v>5.2518900000000004</v>
      </c>
      <c r="E10" s="66">
        <v>40</v>
      </c>
      <c r="F10" s="66">
        <v>54.063000000000002</v>
      </c>
      <c r="G10" s="66">
        <v>100</v>
      </c>
      <c r="H10" s="66">
        <v>64.728800000000007</v>
      </c>
    </row>
    <row r="11" spans="1:8">
      <c r="A11" s="66" t="s">
        <v>308</v>
      </c>
      <c r="B11" s="66">
        <v>19.081600000000002</v>
      </c>
      <c r="C11" s="66">
        <v>1.9622299999999999</v>
      </c>
      <c r="D11" s="66">
        <v>10.2834</v>
      </c>
      <c r="E11" s="66">
        <v>10</v>
      </c>
      <c r="F11" s="66">
        <v>15.4831</v>
      </c>
      <c r="G11" s="66">
        <v>50</v>
      </c>
      <c r="H11" s="66">
        <v>22.615200000000002</v>
      </c>
    </row>
    <row r="12" spans="1:8">
      <c r="A12" s="66" t="s">
        <v>309</v>
      </c>
      <c r="B12" s="66">
        <v>61.468600000000002</v>
      </c>
      <c r="C12" s="66">
        <v>2.9036200000000001</v>
      </c>
      <c r="D12" s="66">
        <v>4.7237400000000003</v>
      </c>
      <c r="E12" s="66">
        <v>50</v>
      </c>
      <c r="F12" s="66">
        <v>56.1922</v>
      </c>
      <c r="G12" s="66">
        <v>100</v>
      </c>
      <c r="H12" s="66">
        <v>67.582700000000003</v>
      </c>
    </row>
    <row r="13" spans="1:8">
      <c r="A13" s="66" t="s">
        <v>310</v>
      </c>
      <c r="B13" s="66">
        <v>16.173999999999999</v>
      </c>
      <c r="C13" s="66">
        <v>2.60507</v>
      </c>
      <c r="D13" s="66">
        <v>16.1065</v>
      </c>
      <c r="E13" s="66">
        <v>10</v>
      </c>
      <c r="F13" s="66">
        <v>11.293100000000001</v>
      </c>
      <c r="G13" s="66">
        <v>25</v>
      </c>
      <c r="H13" s="66">
        <v>23.700299999999999</v>
      </c>
    </row>
    <row r="14" spans="1:8">
      <c r="A14" s="66" t="s">
        <v>311</v>
      </c>
      <c r="B14" s="66">
        <v>26.050699999999999</v>
      </c>
      <c r="C14" s="66">
        <v>7.0371499999999996</v>
      </c>
      <c r="D14" s="66">
        <v>27.013300000000001</v>
      </c>
      <c r="E14" s="66">
        <v>10</v>
      </c>
      <c r="F14" s="66">
        <v>2.5460500000000001</v>
      </c>
      <c r="G14" s="66">
        <v>50</v>
      </c>
      <c r="H14" s="66">
        <v>27.423400000000001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0.412022</v>
      </c>
      <c r="C18" s="66">
        <v>4.0582100000000003E-2</v>
      </c>
      <c r="D18" s="66">
        <v>9.8494999999999999E-2</v>
      </c>
      <c r="E18" s="66">
        <v>0</v>
      </c>
      <c r="F18" s="66">
        <v>0.37143999999999999</v>
      </c>
      <c r="G18" s="66">
        <v>0</v>
      </c>
      <c r="H18" s="66">
        <v>0.45260400000000001</v>
      </c>
    </row>
    <row r="19" spans="1:8">
      <c r="A19" s="66" t="s">
        <v>316</v>
      </c>
      <c r="B19" s="66">
        <v>0.66142400000000001</v>
      </c>
      <c r="C19" s="66">
        <v>4.5610700000000004E-3</v>
      </c>
      <c r="D19" s="66">
        <v>6.8958300000000004E-3</v>
      </c>
      <c r="E19" s="66">
        <v>0</v>
      </c>
      <c r="F19" s="66">
        <v>0.65686299999999997</v>
      </c>
      <c r="G19" s="66">
        <v>0</v>
      </c>
      <c r="H19" s="66">
        <v>0.66598500000000005</v>
      </c>
    </row>
    <row r="20" spans="1:8">
      <c r="A20" s="66" t="s">
        <v>346</v>
      </c>
      <c r="B20" s="66">
        <v>2.2809999999999999E-4</v>
      </c>
      <c r="C20" s="66">
        <v>1.6117800000000002E-2</v>
      </c>
      <c r="D20" s="66">
        <v>70.661199999999994</v>
      </c>
      <c r="E20" s="66">
        <v>0</v>
      </c>
      <c r="F20" s="66">
        <v>0</v>
      </c>
      <c r="G20" s="66">
        <v>0</v>
      </c>
      <c r="H20" s="66">
        <v>0.153667</v>
      </c>
    </row>
    <row r="21" spans="1:8">
      <c r="A21" s="66" t="s">
        <v>318</v>
      </c>
      <c r="B21" s="66">
        <v>3.4210499999999998E-2</v>
      </c>
      <c r="C21" s="66">
        <v>8.9408899999999999E-2</v>
      </c>
      <c r="D21" s="66">
        <v>2.6134900000000001</v>
      </c>
      <c r="E21" s="66">
        <v>0</v>
      </c>
      <c r="F21" s="66">
        <v>1.42974E-4</v>
      </c>
      <c r="G21" s="66">
        <v>0</v>
      </c>
      <c r="H21" s="66">
        <v>0.37582900000000002</v>
      </c>
    </row>
    <row r="22" spans="1:8">
      <c r="A22" s="66" t="s">
        <v>319</v>
      </c>
      <c r="B22" s="66">
        <v>37.974899999999998</v>
      </c>
      <c r="C22" s="66">
        <v>13.228899999999999</v>
      </c>
      <c r="D22" s="66">
        <v>0.34836</v>
      </c>
      <c r="E22" s="66">
        <v>0</v>
      </c>
      <c r="F22" s="66">
        <v>14.5389</v>
      </c>
      <c r="G22" s="66">
        <v>0</v>
      </c>
      <c r="H22" s="66">
        <v>87.129400000000004</v>
      </c>
    </row>
    <row r="23" spans="1:8">
      <c r="A23" s="66" t="s">
        <v>320</v>
      </c>
      <c r="B23" s="66">
        <v>19.857800000000001</v>
      </c>
      <c r="C23" s="66">
        <v>2.4830299999999998</v>
      </c>
      <c r="D23" s="66">
        <v>0.12504000000000001</v>
      </c>
      <c r="E23" s="66">
        <v>0</v>
      </c>
      <c r="F23" s="66">
        <v>13.7799</v>
      </c>
      <c r="G23" s="66">
        <v>0</v>
      </c>
      <c r="H23" s="66">
        <v>22.4785</v>
      </c>
    </row>
    <row r="24" spans="1:8">
      <c r="A24" s="66" t="s">
        <v>347</v>
      </c>
      <c r="B24" s="66">
        <v>2.47018E-4</v>
      </c>
      <c r="C24" s="66">
        <v>8.9664399999999991E-3</v>
      </c>
      <c r="D24" s="66">
        <v>36.2988</v>
      </c>
      <c r="E24" s="66">
        <v>0</v>
      </c>
      <c r="F24" s="196">
        <v>6.5133299999999995E-5</v>
      </c>
      <c r="G24" s="66">
        <v>0</v>
      </c>
      <c r="H24" s="66">
        <v>3.4983800000000002E-2</v>
      </c>
    </row>
    <row r="25" spans="1:8">
      <c r="A25" s="66" t="s">
        <v>322</v>
      </c>
      <c r="B25" s="66">
        <v>6.8481600000000004E-2</v>
      </c>
      <c r="C25" s="66">
        <v>4.4179400000000001E-2</v>
      </c>
      <c r="D25" s="66">
        <v>0.64512800000000003</v>
      </c>
      <c r="E25" s="66">
        <v>0</v>
      </c>
      <c r="F25" s="66">
        <v>2.96612E-3</v>
      </c>
      <c r="G25" s="66">
        <v>0</v>
      </c>
      <c r="H25" s="66">
        <v>0.19100200000000001</v>
      </c>
    </row>
    <row r="26" spans="1:8">
      <c r="A26" s="66" t="s">
        <v>323</v>
      </c>
      <c r="B26" s="196">
        <v>5.5803600000000002E-5</v>
      </c>
      <c r="C26" s="66">
        <v>9.7836800000000008E-4</v>
      </c>
      <c r="D26" s="66">
        <v>17.532399999999999</v>
      </c>
      <c r="E26" s="66">
        <v>0</v>
      </c>
      <c r="F26" s="66">
        <v>0</v>
      </c>
      <c r="G26" s="66">
        <v>0</v>
      </c>
      <c r="H26" s="66">
        <v>7.2610299999999999E-3</v>
      </c>
    </row>
    <row r="27" spans="1:8">
      <c r="A27" s="66" t="s">
        <v>324</v>
      </c>
      <c r="B27" s="196">
        <v>-3.2825599999999999E-6</v>
      </c>
      <c r="C27" s="66">
        <v>8.2286000000000002E-4</v>
      </c>
      <c r="D27" s="66">
        <v>-250.67599999999999</v>
      </c>
      <c r="E27" s="66">
        <v>0</v>
      </c>
      <c r="F27" s="66">
        <v>-5.5639399999999999E-3</v>
      </c>
      <c r="G27" s="66">
        <v>0</v>
      </c>
      <c r="H27" s="66">
        <v>5.59021E-3</v>
      </c>
    </row>
    <row r="28" spans="1:8">
      <c r="A28" s="66" t="s">
        <v>325</v>
      </c>
      <c r="B28" s="66">
        <v>4.9641900000000003E-3</v>
      </c>
      <c r="C28" s="66">
        <v>9.4067899999999999E-3</v>
      </c>
      <c r="D28" s="66">
        <v>1.89493</v>
      </c>
      <c r="E28" s="66">
        <v>0</v>
      </c>
      <c r="F28" s="196">
        <v>5.5338499999999999E-5</v>
      </c>
      <c r="G28" s="66">
        <v>0</v>
      </c>
      <c r="H28" s="66">
        <v>3.9931599999999998E-2</v>
      </c>
    </row>
    <row r="29" spans="1:8">
      <c r="A29" s="66" t="s">
        <v>326</v>
      </c>
      <c r="B29" s="66">
        <v>63.687399999999997</v>
      </c>
      <c r="C29" s="66">
        <v>11.0548</v>
      </c>
      <c r="D29" s="66">
        <v>0.17357900000000001</v>
      </c>
      <c r="E29" s="66">
        <v>0</v>
      </c>
      <c r="F29" s="66">
        <v>36.861400000000003</v>
      </c>
      <c r="G29" s="66">
        <v>0</v>
      </c>
      <c r="H29" s="66">
        <v>88.2042</v>
      </c>
    </row>
    <row r="30" spans="1:8">
      <c r="A30" s="66" t="s">
        <v>327</v>
      </c>
      <c r="B30" s="66">
        <v>27.351800000000001</v>
      </c>
      <c r="C30" s="66">
        <v>2.4336500000000001</v>
      </c>
      <c r="D30" s="66">
        <v>8.8975899999999997E-2</v>
      </c>
      <c r="E30" s="66">
        <v>0</v>
      </c>
      <c r="F30" s="66">
        <v>21.739599999999999</v>
      </c>
      <c r="G30" s="66">
        <v>0</v>
      </c>
      <c r="H30" s="66">
        <v>30.7271</v>
      </c>
    </row>
    <row r="31" spans="1:8">
      <c r="A31" s="66" t="s">
        <v>328</v>
      </c>
      <c r="B31" s="66">
        <v>216.95</v>
      </c>
      <c r="C31" s="66">
        <v>50.0413</v>
      </c>
      <c r="D31" s="66">
        <v>0.230658</v>
      </c>
      <c r="E31" s="66">
        <v>0</v>
      </c>
      <c r="F31" s="66">
        <v>117.262</v>
      </c>
      <c r="G31" s="66">
        <v>0</v>
      </c>
      <c r="H31" s="66">
        <v>287.46300000000002</v>
      </c>
    </row>
    <row r="32" spans="1:8">
      <c r="A32" s="66" t="s">
        <v>329</v>
      </c>
      <c r="B32" s="66">
        <v>0.32351600000000003</v>
      </c>
      <c r="C32" s="66">
        <v>4.5730600000000003E-2</v>
      </c>
      <c r="D32" s="66">
        <v>0.14135500000000001</v>
      </c>
      <c r="E32" s="66">
        <v>0.15</v>
      </c>
      <c r="F32" s="66">
        <v>0.177483</v>
      </c>
      <c r="G32" s="66">
        <v>0.4</v>
      </c>
      <c r="H32" s="66">
        <v>0.49602200000000002</v>
      </c>
    </row>
    <row r="33" spans="1:8">
      <c r="A33" s="66" t="s">
        <v>330</v>
      </c>
      <c r="B33" s="66">
        <v>0.29353499999999999</v>
      </c>
      <c r="C33" s="66">
        <v>2.96768E-2</v>
      </c>
      <c r="D33" s="66">
        <v>0.101102</v>
      </c>
      <c r="E33" s="66">
        <v>0</v>
      </c>
      <c r="F33" s="66">
        <v>0.268594</v>
      </c>
      <c r="G33" s="66">
        <v>0</v>
      </c>
      <c r="H33" s="66">
        <v>0.35975099999999999</v>
      </c>
    </row>
    <row r="34" spans="1:8">
      <c r="A34" s="66" t="s">
        <v>331</v>
      </c>
      <c r="B34" s="66">
        <v>0.16173999999999999</v>
      </c>
      <c r="C34" s="66">
        <v>2.60507E-2</v>
      </c>
      <c r="D34" s="66">
        <v>0.16106500000000001</v>
      </c>
      <c r="E34" s="66">
        <v>0.1</v>
      </c>
      <c r="F34" s="66">
        <v>0.112931</v>
      </c>
      <c r="G34" s="66">
        <v>0.25</v>
      </c>
      <c r="H34" s="66">
        <v>0.23700299999999999</v>
      </c>
    </row>
    <row r="35" spans="1:8">
      <c r="A35" s="66" t="s">
        <v>332</v>
      </c>
      <c r="B35" s="66">
        <v>8.3754200000000001E-2</v>
      </c>
      <c r="C35" s="66">
        <v>2.3843199999999998E-2</v>
      </c>
      <c r="D35" s="66">
        <v>0.28468100000000002</v>
      </c>
      <c r="E35" s="66">
        <v>0</v>
      </c>
      <c r="F35" s="66">
        <v>3.9341500000000001E-2</v>
      </c>
      <c r="G35" s="66">
        <v>0</v>
      </c>
      <c r="H35" s="66">
        <v>0.13106000000000001</v>
      </c>
    </row>
    <row r="36" spans="1:8">
      <c r="A36" s="66" t="s">
        <v>333</v>
      </c>
      <c r="B36" s="66">
        <v>0.12681600000000001</v>
      </c>
      <c r="C36" s="66">
        <v>8.7615399999999996E-2</v>
      </c>
      <c r="D36" s="66">
        <v>0.69088799999999995</v>
      </c>
      <c r="E36" s="66">
        <v>0</v>
      </c>
      <c r="F36" s="66">
        <v>3.4801100000000001E-2</v>
      </c>
      <c r="G36" s="66">
        <v>0</v>
      </c>
      <c r="H36" s="66">
        <v>0.437143</v>
      </c>
    </row>
    <row r="37" spans="1:8">
      <c r="A37" s="66" t="s">
        <v>334</v>
      </c>
      <c r="B37" s="66">
        <v>0.26050699999999999</v>
      </c>
      <c r="C37" s="66">
        <v>7.0371500000000003E-2</v>
      </c>
      <c r="D37" s="66">
        <v>0.27013300000000001</v>
      </c>
      <c r="E37" s="66">
        <v>0.1</v>
      </c>
      <c r="F37" s="66">
        <v>2.54605E-2</v>
      </c>
      <c r="G37" s="66">
        <v>0.5</v>
      </c>
      <c r="H37" s="66">
        <v>0.27423399999999998</v>
      </c>
    </row>
    <row r="38" spans="1:8">
      <c r="A38" s="66" t="s">
        <v>335</v>
      </c>
      <c r="B38" s="66">
        <v>-26.9481</v>
      </c>
      <c r="C38" s="66">
        <v>43.8245</v>
      </c>
      <c r="D38" s="66">
        <v>-1.62625</v>
      </c>
      <c r="E38" s="66">
        <v>0</v>
      </c>
      <c r="F38" s="66">
        <v>-115.07899999999999</v>
      </c>
      <c r="G38" s="66">
        <v>0</v>
      </c>
      <c r="H38" s="66">
        <v>204.01900000000001</v>
      </c>
    </row>
    <row r="39" spans="1:8">
      <c r="A39" s="66" t="s">
        <v>336</v>
      </c>
      <c r="B39" s="66">
        <v>-9.4838500000000003</v>
      </c>
      <c r="C39" s="66">
        <v>7.2660200000000001</v>
      </c>
      <c r="D39" s="66">
        <v>-0.76614599999999999</v>
      </c>
      <c r="E39" s="66">
        <v>0</v>
      </c>
      <c r="F39" s="66">
        <v>-18.823699999999999</v>
      </c>
      <c r="G39" s="66">
        <v>0</v>
      </c>
      <c r="H39" s="66">
        <v>34.697400000000002</v>
      </c>
    </row>
    <row r="40" spans="1:8">
      <c r="A40" s="66" t="s">
        <v>337</v>
      </c>
      <c r="B40" s="66">
        <v>-5.3699199999999996</v>
      </c>
      <c r="C40" s="66">
        <v>0.58557400000000004</v>
      </c>
      <c r="D40" s="66">
        <v>-0.10904700000000001</v>
      </c>
      <c r="E40" s="66">
        <v>0</v>
      </c>
      <c r="F40" s="66">
        <v>-6.1476199999999999</v>
      </c>
      <c r="G40" s="66">
        <v>0</v>
      </c>
      <c r="H40" s="66">
        <v>-3.8533499999999998</v>
      </c>
    </row>
    <row r="41" spans="1:8">
      <c r="A41" s="66" t="s">
        <v>338</v>
      </c>
      <c r="B41" s="66">
        <v>-0.224463</v>
      </c>
      <c r="C41" s="66">
        <v>0.44280599999999998</v>
      </c>
      <c r="D41" s="66">
        <v>-1.9727399999999999</v>
      </c>
      <c r="E41" s="66">
        <v>0</v>
      </c>
      <c r="F41" s="66">
        <v>-0.93333299999999997</v>
      </c>
      <c r="G41" s="66">
        <v>0</v>
      </c>
      <c r="H41" s="66">
        <v>1</v>
      </c>
    </row>
    <row r="42" spans="1:8">
      <c r="A42" s="66" t="s">
        <v>339</v>
      </c>
      <c r="B42" s="66">
        <v>-0.23663600000000001</v>
      </c>
      <c r="C42" s="66">
        <v>0.14735699999999999</v>
      </c>
      <c r="D42" s="66">
        <v>-0.62271600000000005</v>
      </c>
      <c r="E42" s="66">
        <v>0</v>
      </c>
      <c r="F42" s="66">
        <v>-0.41107900000000003</v>
      </c>
      <c r="G42" s="66">
        <v>0</v>
      </c>
      <c r="H42" s="66">
        <v>0.69197900000000001</v>
      </c>
    </row>
    <row r="43" spans="1:8">
      <c r="A43" s="66" t="s">
        <v>340</v>
      </c>
      <c r="B43" s="66">
        <v>-0.15618199999999999</v>
      </c>
      <c r="C43" s="66">
        <v>1.5724399999999999E-2</v>
      </c>
      <c r="D43" s="66">
        <v>-0.10068000000000001</v>
      </c>
      <c r="E43" s="66">
        <v>0</v>
      </c>
      <c r="F43" s="66">
        <v>-0.203731</v>
      </c>
      <c r="G43" s="66">
        <v>0</v>
      </c>
      <c r="H43" s="66">
        <v>-0.11619699999999999</v>
      </c>
    </row>
    <row r="44" spans="1:8">
      <c r="A44" s="66" t="s">
        <v>341</v>
      </c>
      <c r="B44" s="66">
        <v>-30.5138</v>
      </c>
      <c r="C44" s="66">
        <v>8.2925400000000007</v>
      </c>
      <c r="D44" s="66">
        <v>-0.27176400000000001</v>
      </c>
      <c r="E44" s="66">
        <v>0</v>
      </c>
      <c r="F44" s="66">
        <v>-50.753799999999998</v>
      </c>
      <c r="G44" s="66">
        <v>0</v>
      </c>
      <c r="H44" s="66">
        <v>-15.2623</v>
      </c>
    </row>
    <row r="45" spans="1:8">
      <c r="A45" s="66" t="s">
        <v>342</v>
      </c>
      <c r="B45" s="66">
        <v>53.789499999999997</v>
      </c>
      <c r="C45" s="66">
        <v>7.1616799999999996</v>
      </c>
      <c r="D45" s="66">
        <v>0.13314300000000001</v>
      </c>
      <c r="E45" s="66">
        <v>0</v>
      </c>
      <c r="F45" s="66">
        <v>38.4238</v>
      </c>
      <c r="G45" s="66">
        <v>0</v>
      </c>
      <c r="H45" s="66">
        <v>70.728499999999997</v>
      </c>
    </row>
    <row r="46" spans="1:8">
      <c r="A46" s="66" t="s">
        <v>343</v>
      </c>
      <c r="B46" s="66">
        <v>37.277099999999997</v>
      </c>
      <c r="C46" s="66">
        <v>3.59876</v>
      </c>
      <c r="D46" s="66">
        <v>9.6540899999999999E-2</v>
      </c>
      <c r="E46" s="66">
        <v>0</v>
      </c>
      <c r="F46" s="66">
        <v>31.2958</v>
      </c>
      <c r="G46" s="66">
        <v>0</v>
      </c>
      <c r="H46" s="66">
        <v>43.667400000000001</v>
      </c>
    </row>
    <row r="47" spans="1:8">
      <c r="A47" s="66" t="s">
        <v>344</v>
      </c>
      <c r="B47" s="66">
        <v>0.70250900000000005</v>
      </c>
      <c r="C47" s="66">
        <v>0.310224</v>
      </c>
      <c r="D47" s="66">
        <v>0.44159500000000002</v>
      </c>
      <c r="E47" s="66">
        <v>0</v>
      </c>
      <c r="F47" s="66">
        <v>0.13982700000000001</v>
      </c>
      <c r="G47" s="66">
        <v>0</v>
      </c>
      <c r="H47" s="66">
        <v>1.9122399999999999</v>
      </c>
    </row>
    <row r="48" spans="1:8">
      <c r="A48" s="66" t="s">
        <v>345</v>
      </c>
      <c r="B48" s="66">
        <v>0.67524200000000001</v>
      </c>
      <c r="C48" s="66">
        <v>5.1914799999999997E-2</v>
      </c>
      <c r="D48" s="66">
        <v>7.6883300000000002E-2</v>
      </c>
      <c r="E48" s="66">
        <v>0</v>
      </c>
      <c r="F48" s="66">
        <v>0.55697799999999997</v>
      </c>
      <c r="G48" s="66">
        <v>0</v>
      </c>
      <c r="H48" s="66">
        <v>0.80260600000000004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75.113055039740033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1.449452204686861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0.67268049387646289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22704</v>
      </c>
      <c r="B8" s="66">
        <v>22704</v>
      </c>
      <c r="D8">
        <f t="shared" si="0"/>
        <v>0.18589570386382059</v>
      </c>
      <c r="E8">
        <f t="shared" si="0"/>
        <v>0.18589570386382059</v>
      </c>
      <c r="G8">
        <f t="shared" ca="1" si="1"/>
        <v>6</v>
      </c>
      <c r="H8">
        <f t="shared" ca="1" si="2"/>
        <v>1.1153742231829236</v>
      </c>
      <c r="I8">
        <f t="shared" ca="1" si="3"/>
        <v>887.95209168472877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25596</v>
      </c>
      <c r="B10" s="66">
        <v>25596</v>
      </c>
      <c r="D10">
        <f t="shared" si="0"/>
        <v>0.20957480779150597</v>
      </c>
      <c r="E10">
        <f t="shared" si="0"/>
        <v>0.20957480779150597</v>
      </c>
      <c r="G10">
        <f t="shared" ca="1" si="1"/>
        <v>8</v>
      </c>
      <c r="H10">
        <f t="shared" ca="1" si="2"/>
        <v>1.6765984623320478</v>
      </c>
      <c r="I10">
        <f t="shared" ca="1" si="3"/>
        <v>943.95891826625564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37160</v>
      </c>
      <c r="B13" s="66">
        <v>37160</v>
      </c>
      <c r="D13">
        <f t="shared" si="0"/>
        <v>0.3042584723211581</v>
      </c>
      <c r="E13">
        <f t="shared" si="0"/>
        <v>0.3042584723211581</v>
      </c>
      <c r="G13">
        <f t="shared" ca="1" si="1"/>
        <v>11</v>
      </c>
      <c r="H13">
        <f t="shared" ca="1" si="2"/>
        <v>3.3468431955327391</v>
      </c>
      <c r="I13">
        <f t="shared" ca="1" si="3"/>
        <v>1250.6495295604609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47783</v>
      </c>
      <c r="B15" s="66">
        <v>47783</v>
      </c>
      <c r="D15">
        <f t="shared" si="0"/>
        <v>0.39123742149951285</v>
      </c>
      <c r="E15">
        <f t="shared" si="0"/>
        <v>0.39123742149951285</v>
      </c>
      <c r="G15">
        <f t="shared" ca="1" si="1"/>
        <v>13</v>
      </c>
      <c r="H15">
        <f t="shared" ca="1" si="2"/>
        <v>5.0860864794936669</v>
      </c>
      <c r="I15">
        <f t="shared" ca="1" si="3"/>
        <v>1509.4063377397342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48914</v>
      </c>
      <c r="B18" s="66">
        <v>48914</v>
      </c>
      <c r="D18">
        <f t="shared" si="0"/>
        <v>0.4004978179525599</v>
      </c>
      <c r="E18">
        <f t="shared" si="0"/>
        <v>0.4004978179525599</v>
      </c>
      <c r="G18">
        <f t="shared" ca="1" si="1"/>
        <v>16</v>
      </c>
      <c r="H18">
        <f t="shared" ca="1" si="2"/>
        <v>6.4079650872409584</v>
      </c>
      <c r="I18">
        <f t="shared" ca="1" si="3"/>
        <v>1399.4808622459784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53688</v>
      </c>
      <c r="B21" s="66">
        <v>53688</v>
      </c>
      <c r="D21">
        <f t="shared" si="0"/>
        <v>0.43958635258284001</v>
      </c>
      <c r="E21">
        <f t="shared" si="0"/>
        <v>0.43958635258284001</v>
      </c>
      <c r="G21">
        <f t="shared" ca="1" si="1"/>
        <v>19</v>
      </c>
      <c r="H21">
        <f t="shared" ca="1" si="2"/>
        <v>8.35214069907396</v>
      </c>
      <c r="I21">
        <f t="shared" ca="1" si="3"/>
        <v>1384.1145349340286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59129</v>
      </c>
      <c r="B23" s="66">
        <v>59129</v>
      </c>
      <c r="D23">
        <f t="shared" si="0"/>
        <v>0.48413614665978894</v>
      </c>
      <c r="E23">
        <f t="shared" si="0"/>
        <v>0.48413614665978894</v>
      </c>
      <c r="G23">
        <f t="shared" ca="1" si="1"/>
        <v>21</v>
      </c>
      <c r="H23">
        <f t="shared" ca="1" si="2"/>
        <v>10.166859079855568</v>
      </c>
      <c r="I23">
        <f t="shared" ca="1" si="3"/>
        <v>1417.6584669984509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60233</v>
      </c>
      <c r="B26" s="66">
        <v>60233</v>
      </c>
      <c r="D26">
        <f t="shared" si="0"/>
        <v>0.49317547264048212</v>
      </c>
      <c r="E26">
        <f t="shared" si="0"/>
        <v>0.49317547264048212</v>
      </c>
      <c r="G26">
        <f t="shared" ca="1" si="1"/>
        <v>24</v>
      </c>
      <c r="H26">
        <f t="shared" ca="1" si="2"/>
        <v>11.83621134337157</v>
      </c>
      <c r="I26">
        <f t="shared" ca="1" si="3"/>
        <v>1288.4428170427329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62026</v>
      </c>
      <c r="B28" s="66">
        <v>62026</v>
      </c>
      <c r="D28">
        <f t="shared" si="0"/>
        <v>0.50785618956383616</v>
      </c>
      <c r="E28">
        <f t="shared" si="0"/>
        <v>0.50785618956383616</v>
      </c>
      <c r="G28">
        <f t="shared" ca="1" si="1"/>
        <v>26</v>
      </c>
      <c r="H28">
        <f t="shared" ca="1" si="2"/>
        <v>13.204260928659741</v>
      </c>
      <c r="I28">
        <f t="shared" ca="1" si="3"/>
        <v>1224.9959410431566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63295</v>
      </c>
      <c r="B31" s="66">
        <v>63295</v>
      </c>
      <c r="D31">
        <f t="shared" si="0"/>
        <v>0.51824650176446985</v>
      </c>
      <c r="E31">
        <f t="shared" si="0"/>
        <v>0.51824650176446985</v>
      </c>
      <c r="G31">
        <f t="shared" ca="1" si="1"/>
        <v>29</v>
      </c>
      <c r="H31">
        <f t="shared" ca="1" si="2"/>
        <v>15.029148551169625</v>
      </c>
      <c r="I31">
        <f t="shared" ca="1" si="3"/>
        <v>1102.0065365256223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63731</v>
      </c>
      <c r="B33" s="66">
        <v>63731</v>
      </c>
      <c r="D33">
        <f t="shared" si="0"/>
        <v>0.52181638050322188</v>
      </c>
      <c r="E33">
        <f t="shared" si="0"/>
        <v>0.52181638050322188</v>
      </c>
      <c r="G33">
        <f t="shared" ca="1" si="1"/>
        <v>31</v>
      </c>
      <c r="H33">
        <f t="shared" ca="1" si="2"/>
        <v>16.176307795599879</v>
      </c>
      <c r="I33">
        <f t="shared" ca="1" si="3"/>
        <v>1015.4346517239069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66073</v>
      </c>
      <c r="B36" s="66">
        <v>66073</v>
      </c>
      <c r="D36">
        <f t="shared" si="0"/>
        <v>0.54099219703110546</v>
      </c>
      <c r="E36">
        <f t="shared" si="0"/>
        <v>0.54099219703110546</v>
      </c>
      <c r="G36">
        <f t="shared" ca="1" si="1"/>
        <v>34</v>
      </c>
      <c r="H36">
        <f t="shared" ca="1" si="2"/>
        <v>18.393734699057585</v>
      </c>
      <c r="I36">
        <f t="shared" ca="1" si="3"/>
        <v>914.43007320510355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67730</v>
      </c>
      <c r="B39" s="66">
        <v>67730</v>
      </c>
      <c r="D39">
        <f t="shared" si="0"/>
        <v>0.5545593737974176</v>
      </c>
      <c r="E39">
        <f t="shared" si="0"/>
        <v>0.5545593737974176</v>
      </c>
      <c r="G39">
        <f t="shared" ca="1" si="1"/>
        <v>37</v>
      </c>
      <c r="H39">
        <f t="shared" ca="1" si="2"/>
        <v>20.518696830504449</v>
      </c>
      <c r="I39">
        <f t="shared" ca="1" si="3"/>
        <v>805.55569946720709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74030</v>
      </c>
      <c r="B41" s="66">
        <v>74030</v>
      </c>
      <c r="D41">
        <f t="shared" si="0"/>
        <v>0.60614248401332971</v>
      </c>
      <c r="E41">
        <f t="shared" si="0"/>
        <v>0.60614248401332971</v>
      </c>
      <c r="G41">
        <f t="shared" ca="1" si="1"/>
        <v>39</v>
      </c>
      <c r="H41">
        <f t="shared" ca="1" si="2"/>
        <v>23.639556876519858</v>
      </c>
      <c r="I41">
        <f t="shared" ca="1" si="3"/>
        <v>790.50238396479892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72229</v>
      </c>
      <c r="B44" s="66">
        <v>72229</v>
      </c>
      <c r="D44">
        <f t="shared" si="0"/>
        <v>0.59139626472779672</v>
      </c>
      <c r="E44">
        <f t="shared" si="0"/>
        <v>0.59139626472779672</v>
      </c>
      <c r="G44">
        <f t="shared" ca="1" si="1"/>
        <v>42</v>
      </c>
      <c r="H44">
        <f t="shared" ca="1" si="2"/>
        <v>24.838643118567461</v>
      </c>
      <c r="I44">
        <f t="shared" ca="1" si="3"/>
        <v>648.45087284755346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73226</v>
      </c>
      <c r="B46" s="66">
        <v>73226</v>
      </c>
      <c r="D46">
        <f t="shared" si="0"/>
        <v>0.59955949661434671</v>
      </c>
      <c r="E46">
        <f t="shared" si="0"/>
        <v>0.59955949661434671</v>
      </c>
      <c r="G46">
        <f t="shared" ca="1" si="1"/>
        <v>44</v>
      </c>
      <c r="H46">
        <f t="shared" ca="1" si="2"/>
        <v>26.380617851031253</v>
      </c>
      <c r="I46">
        <f t="shared" ca="1" si="3"/>
        <v>580.38689928973258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74718</v>
      </c>
      <c r="B49" s="66">
        <v>74718</v>
      </c>
      <c r="D49">
        <f t="shared" si="0"/>
        <v>0.61177568716071828</v>
      </c>
      <c r="E49">
        <f t="shared" si="0"/>
        <v>0.61177568716071828</v>
      </c>
      <c r="G49">
        <f t="shared" ca="1" si="1"/>
        <v>47</v>
      </c>
      <c r="H49">
        <f t="shared" ca="1" si="2"/>
        <v>28.753457296553758</v>
      </c>
      <c r="I49">
        <f t="shared" ca="1" si="3"/>
        <v>483.51316028841273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78314</v>
      </c>
      <c r="B51" s="66">
        <v>78314</v>
      </c>
      <c r="D51">
        <f t="shared" si="0"/>
        <v>0.64121899896015</v>
      </c>
      <c r="E51">
        <f t="shared" si="0"/>
        <v>0.64121899896015</v>
      </c>
      <c r="G51">
        <f t="shared" ca="1" si="1"/>
        <v>49</v>
      </c>
      <c r="H51">
        <f t="shared" ca="1" si="2"/>
        <v>31.419730949047349</v>
      </c>
      <c r="I51">
        <f t="shared" ca="1" si="3"/>
        <v>437.24187704980687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77006</v>
      </c>
      <c r="B54" s="66">
        <v>77006</v>
      </c>
      <c r="D54">
        <f t="shared" si="0"/>
        <v>0.63050936274389391</v>
      </c>
      <c r="E54">
        <f t="shared" si="0"/>
        <v>0.63050936274389391</v>
      </c>
      <c r="G54">
        <f t="shared" ca="1" si="1"/>
        <v>52</v>
      </c>
      <c r="H54">
        <f t="shared" ca="1" si="2"/>
        <v>32.78648686268248</v>
      </c>
      <c r="I54">
        <f t="shared" ca="1" si="3"/>
        <v>336.82649571920473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81535</v>
      </c>
      <c r="B57" s="66">
        <v>81535</v>
      </c>
      <c r="D57">
        <f t="shared" si="0"/>
        <v>0.66759188753244414</v>
      </c>
      <c r="E57">
        <f t="shared" si="0"/>
        <v>0.66759188753244414</v>
      </c>
      <c r="G57">
        <f t="shared" ca="1" si="1"/>
        <v>55</v>
      </c>
      <c r="H57">
        <f t="shared" ca="1" si="2"/>
        <v>36.717553814284429</v>
      </c>
      <c r="I57">
        <f t="shared" ca="1" si="3"/>
        <v>270.06427289497907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80038</v>
      </c>
      <c r="B59" s="66">
        <v>80038</v>
      </c>
      <c r="D59">
        <f t="shared" si="0"/>
        <v>0.65533475800971075</v>
      </c>
      <c r="E59">
        <f t="shared" si="0"/>
        <v>0.65533475800971075</v>
      </c>
      <c r="G59">
        <f t="shared" ca="1" si="1"/>
        <v>57</v>
      </c>
      <c r="H59">
        <f t="shared" ca="1" si="2"/>
        <v>37.354081206553509</v>
      </c>
      <c r="I59">
        <f t="shared" ca="1" si="3"/>
        <v>215.00403801430659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79920</v>
      </c>
      <c r="B62" s="66">
        <v>79920</v>
      </c>
      <c r="D62">
        <f t="shared" si="0"/>
        <v>0.65436859816757142</v>
      </c>
      <c r="E62">
        <f t="shared" si="0"/>
        <v>0.65436859816757142</v>
      </c>
      <c r="G62">
        <f t="shared" ca="1" si="1"/>
        <v>60</v>
      </c>
      <c r="H62">
        <f t="shared" ca="1" si="2"/>
        <v>39.262115890054282</v>
      </c>
      <c r="I62">
        <f t="shared" ca="1" si="3"/>
        <v>149.46068839810854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86589</v>
      </c>
      <c r="B64" s="66">
        <v>86589</v>
      </c>
      <c r="D64">
        <f t="shared" si="0"/>
        <v>0.70897300483898695</v>
      </c>
      <c r="E64">
        <f t="shared" si="0"/>
        <v>0.70897300483898695</v>
      </c>
      <c r="G64">
        <f t="shared" ca="1" si="1"/>
        <v>62</v>
      </c>
      <c r="H64">
        <f t="shared" ca="1" si="2"/>
        <v>43.956326300017189</v>
      </c>
      <c r="I64">
        <f t="shared" ca="1" si="3"/>
        <v>121.90947676729097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93919</v>
      </c>
      <c r="B67" s="66">
        <v>93919</v>
      </c>
      <c r="D67">
        <f t="shared" ref="D67:E130" si="4">IFERROR( A67/MAX(A$2:A$257), 0 )</f>
        <v>0.76898954418543719</v>
      </c>
      <c r="E67">
        <f t="shared" si="4"/>
        <v>0.76898954418543719</v>
      </c>
      <c r="G67">
        <f t="shared" ref="G67:G130" ca="1" si="5">CELL("row",D67)-2</f>
        <v>65</v>
      </c>
      <c r="H67">
        <f t="shared" ref="H67:H130" ca="1" si="6">D67*G67</f>
        <v>49.984320372053418</v>
      </c>
      <c r="I67">
        <f t="shared" ref="I67:I130" ca="1" si="7">D67*((G67-$L$1)^2)</f>
        <v>78.647546083360581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99820</v>
      </c>
      <c r="B69" s="66">
        <v>99820</v>
      </c>
      <c r="D69">
        <f t="shared" si="4"/>
        <v>0.81730572408767488</v>
      </c>
      <c r="E69">
        <f t="shared" si="4"/>
        <v>0.81730572408767488</v>
      </c>
      <c r="G69">
        <f t="shared" ca="1" si="5"/>
        <v>67</v>
      </c>
      <c r="H69">
        <f t="shared" ca="1" si="6"/>
        <v>54.759483513874216</v>
      </c>
      <c r="I69">
        <f t="shared" ca="1" si="7"/>
        <v>53.796421185192379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100647</v>
      </c>
      <c r="B72" s="66">
        <v>100647</v>
      </c>
      <c r="D72">
        <f t="shared" si="4"/>
        <v>0.82407703077792238</v>
      </c>
      <c r="E72">
        <f t="shared" si="4"/>
        <v>0.82407703077792238</v>
      </c>
      <c r="G72">
        <f t="shared" ca="1" si="5"/>
        <v>70</v>
      </c>
      <c r="H72">
        <f t="shared" ca="1" si="6"/>
        <v>57.685392154454568</v>
      </c>
      <c r="I72">
        <f t="shared" ca="1" si="7"/>
        <v>21.544119276863693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101143</v>
      </c>
      <c r="B75" s="66">
        <v>101143</v>
      </c>
      <c r="D75">
        <f t="shared" si="4"/>
        <v>0.82813817723301641</v>
      </c>
      <c r="E75">
        <f t="shared" si="4"/>
        <v>0.82813817723301641</v>
      </c>
      <c r="G75">
        <f t="shared" ca="1" si="5"/>
        <v>73</v>
      </c>
      <c r="H75">
        <f t="shared" ca="1" si="6"/>
        <v>60.4540869380102</v>
      </c>
      <c r="I75">
        <f t="shared" ca="1" si="7"/>
        <v>3.6976382871704181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104066</v>
      </c>
      <c r="B77" s="66">
        <v>104066</v>
      </c>
      <c r="D77">
        <f t="shared" si="4"/>
        <v>0.85207110281414522</v>
      </c>
      <c r="E77">
        <f t="shared" si="4"/>
        <v>0.85207110281414522</v>
      </c>
      <c r="G77">
        <f t="shared" ca="1" si="5"/>
        <v>75</v>
      </c>
      <c r="H77">
        <f t="shared" ca="1" si="6"/>
        <v>63.905332711060893</v>
      </c>
      <c r="I77">
        <f t="shared" ca="1" si="7"/>
        <v>1.0890697389544351E-2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117516</v>
      </c>
      <c r="B80" s="66">
        <v>117516</v>
      </c>
      <c r="D80">
        <f t="shared" si="4"/>
        <v>0.96219694922748156</v>
      </c>
      <c r="E80">
        <f t="shared" si="4"/>
        <v>0.96219694922748156</v>
      </c>
      <c r="G80">
        <f t="shared" ca="1" si="5"/>
        <v>78</v>
      </c>
      <c r="H80">
        <f t="shared" ca="1" si="6"/>
        <v>75.051362039743566</v>
      </c>
      <c r="I80">
        <f t="shared" ca="1" si="7"/>
        <v>8.0193835215607745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121499</v>
      </c>
      <c r="B82" s="66">
        <v>121499</v>
      </c>
      <c r="D82">
        <f t="shared" si="4"/>
        <v>0.99480893779731927</v>
      </c>
      <c r="E82">
        <f t="shared" si="4"/>
        <v>0.99480893779731927</v>
      </c>
      <c r="G82">
        <f t="shared" ca="1" si="5"/>
        <v>80</v>
      </c>
      <c r="H82">
        <f t="shared" ca="1" si="6"/>
        <v>79.584715023785549</v>
      </c>
      <c r="I82">
        <f t="shared" ca="1" si="7"/>
        <v>23.75825689771893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122133</v>
      </c>
      <c r="B85" s="66">
        <v>122133</v>
      </c>
      <c r="D85">
        <f t="shared" si="4"/>
        <v>1</v>
      </c>
      <c r="E85">
        <f t="shared" si="4"/>
        <v>1</v>
      </c>
      <c r="G85">
        <f t="shared" ca="1" si="5"/>
        <v>83</v>
      </c>
      <c r="H85">
        <f t="shared" ca="1" si="6"/>
        <v>83</v>
      </c>
      <c r="I85">
        <f t="shared" ca="1" si="7"/>
        <v>62.203900806170097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116045</v>
      </c>
      <c r="B88" s="66">
        <v>116045</v>
      </c>
      <c r="D88">
        <f t="shared" si="4"/>
        <v>0.95015270238182969</v>
      </c>
      <c r="E88">
        <f t="shared" si="4"/>
        <v>0.95015270238182969</v>
      </c>
      <c r="G88">
        <f t="shared" ca="1" si="5"/>
        <v>86</v>
      </c>
      <c r="H88">
        <f t="shared" ca="1" si="6"/>
        <v>81.713132404837353</v>
      </c>
      <c r="I88">
        <f t="shared" ca="1" si="7"/>
        <v>112.61739117627683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121503</v>
      </c>
      <c r="B90" s="66">
        <v>121503</v>
      </c>
      <c r="D90">
        <f t="shared" si="4"/>
        <v>0.99484168897840874</v>
      </c>
      <c r="E90">
        <f t="shared" si="4"/>
        <v>0.99484168897840874</v>
      </c>
      <c r="G90">
        <f t="shared" ca="1" si="5"/>
        <v>88</v>
      </c>
      <c r="H90">
        <f t="shared" ca="1" si="6"/>
        <v>87.546068630099967</v>
      </c>
      <c r="I90">
        <f t="shared" ca="1" si="7"/>
        <v>165.2166924149636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118187</v>
      </c>
      <c r="B93" s="66">
        <v>118187</v>
      </c>
      <c r="D93">
        <f t="shared" si="4"/>
        <v>0.96769095985523979</v>
      </c>
      <c r="E93">
        <f t="shared" si="4"/>
        <v>0.96769095985523979</v>
      </c>
      <c r="G93">
        <f t="shared" ca="1" si="5"/>
        <v>91</v>
      </c>
      <c r="H93">
        <f t="shared" ca="1" si="6"/>
        <v>88.059877346826823</v>
      </c>
      <c r="I93">
        <f t="shared" ca="1" si="7"/>
        <v>244.24037933130882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118347</v>
      </c>
      <c r="B95" s="66">
        <v>118347</v>
      </c>
      <c r="D95">
        <f t="shared" si="4"/>
        <v>0.96900100709881853</v>
      </c>
      <c r="E95">
        <f t="shared" si="4"/>
        <v>0.96900100709881853</v>
      </c>
      <c r="G95">
        <f t="shared" ca="1" si="5"/>
        <v>93</v>
      </c>
      <c r="H95">
        <f t="shared" ca="1" si="6"/>
        <v>90.117093660190122</v>
      </c>
      <c r="I95">
        <f t="shared" ca="1" si="7"/>
        <v>310.02489542503287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116166</v>
      </c>
      <c r="B98" s="66">
        <v>116166</v>
      </c>
      <c r="D98">
        <f t="shared" si="4"/>
        <v>0.95114342560978604</v>
      </c>
      <c r="E98">
        <f t="shared" si="4"/>
        <v>0.95114342560978604</v>
      </c>
      <c r="G98">
        <f t="shared" ca="1" si="5"/>
        <v>96</v>
      </c>
      <c r="H98">
        <f t="shared" ca="1" si="6"/>
        <v>91.309768858539456</v>
      </c>
      <c r="I98">
        <f t="shared" ca="1" si="7"/>
        <v>414.95008225166089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106105</v>
      </c>
      <c r="B100" s="66">
        <v>106105</v>
      </c>
      <c r="D100">
        <f t="shared" si="4"/>
        <v>0.86876601737450154</v>
      </c>
      <c r="E100">
        <f t="shared" si="4"/>
        <v>0.86876601737450154</v>
      </c>
      <c r="G100">
        <f t="shared" ca="1" si="5"/>
        <v>98</v>
      </c>
      <c r="H100">
        <f t="shared" ca="1" si="6"/>
        <v>85.13906970270115</v>
      </c>
      <c r="I100">
        <f t="shared" ca="1" si="7"/>
        <v>455.07028194910623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96379</v>
      </c>
      <c r="B103" s="66">
        <v>96379</v>
      </c>
      <c r="D103">
        <f t="shared" si="4"/>
        <v>0.78913152055545999</v>
      </c>
      <c r="E103">
        <f t="shared" si="4"/>
        <v>0.78913152055545999</v>
      </c>
      <c r="G103">
        <f t="shared" ca="1" si="5"/>
        <v>101</v>
      </c>
      <c r="H103">
        <f t="shared" ca="1" si="6"/>
        <v>79.702283576101465</v>
      </c>
      <c r="I103">
        <f t="shared" ca="1" si="7"/>
        <v>528.82379877260109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87777</v>
      </c>
      <c r="B106" s="66">
        <v>87777</v>
      </c>
      <c r="D106">
        <f t="shared" si="4"/>
        <v>0.71870010562255904</v>
      </c>
      <c r="E106">
        <f t="shared" si="4"/>
        <v>0.71870010562255904</v>
      </c>
      <c r="G106">
        <f t="shared" ca="1" si="5"/>
        <v>104</v>
      </c>
      <c r="H106">
        <f t="shared" ca="1" si="6"/>
        <v>74.744810984746138</v>
      </c>
      <c r="I106">
        <f t="shared" ca="1" si="7"/>
        <v>599.7233200501604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77332</v>
      </c>
      <c r="B108" s="66">
        <v>77332</v>
      </c>
      <c r="D108">
        <f t="shared" si="4"/>
        <v>0.63317858400268556</v>
      </c>
      <c r="E108">
        <f t="shared" si="4"/>
        <v>0.63317858400268556</v>
      </c>
      <c r="G108">
        <f t="shared" ca="1" si="5"/>
        <v>106</v>
      </c>
      <c r="H108">
        <f t="shared" ca="1" si="6"/>
        <v>67.116929904284675</v>
      </c>
      <c r="I108">
        <f t="shared" ca="1" si="7"/>
        <v>604.05450230336305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65680</v>
      </c>
      <c r="B111" s="66">
        <v>65680</v>
      </c>
      <c r="D111">
        <f t="shared" si="4"/>
        <v>0.53777439348906519</v>
      </c>
      <c r="E111">
        <f t="shared" si="4"/>
        <v>0.53777439348906519</v>
      </c>
      <c r="G111">
        <f t="shared" ca="1" si="5"/>
        <v>109</v>
      </c>
      <c r="H111">
        <f t="shared" ca="1" si="6"/>
        <v>58.617408890308106</v>
      </c>
      <c r="I111">
        <f t="shared" ca="1" si="7"/>
        <v>617.53980123654321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63000</v>
      </c>
      <c r="B113" s="66">
        <v>63000</v>
      </c>
      <c r="D113">
        <f t="shared" si="4"/>
        <v>0.51583110215912165</v>
      </c>
      <c r="E113">
        <f t="shared" si="4"/>
        <v>0.51583110215912165</v>
      </c>
      <c r="G113">
        <f t="shared" ca="1" si="5"/>
        <v>111</v>
      </c>
      <c r="H113">
        <f t="shared" ca="1" si="6"/>
        <v>57.2572523396625</v>
      </c>
      <c r="I113">
        <f t="shared" ca="1" si="7"/>
        <v>664.32485544927158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57198</v>
      </c>
      <c r="B116" s="66">
        <v>57198</v>
      </c>
      <c r="D116">
        <f t="shared" si="4"/>
        <v>0.4683255139888482</v>
      </c>
      <c r="E116">
        <f t="shared" si="4"/>
        <v>0.4683255139888482</v>
      </c>
      <c r="G116">
        <f t="shared" ca="1" si="5"/>
        <v>114</v>
      </c>
      <c r="H116">
        <f t="shared" ca="1" si="6"/>
        <v>53.389108594728697</v>
      </c>
      <c r="I116">
        <f t="shared" ca="1" si="7"/>
        <v>708.19926100400528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47371</v>
      </c>
      <c r="B118" s="66">
        <v>47371</v>
      </c>
      <c r="D118">
        <f t="shared" si="4"/>
        <v>0.38786404984729761</v>
      </c>
      <c r="E118">
        <f t="shared" si="4"/>
        <v>0.38786404984729761</v>
      </c>
      <c r="G118">
        <f t="shared" ca="1" si="5"/>
        <v>116</v>
      </c>
      <c r="H118">
        <f t="shared" ca="1" si="6"/>
        <v>44.992229782286522</v>
      </c>
      <c r="I118">
        <f t="shared" ca="1" si="7"/>
        <v>648.40872643849264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47810</v>
      </c>
      <c r="B121" s="66">
        <v>47810</v>
      </c>
      <c r="D121">
        <f t="shared" si="4"/>
        <v>0.39145849197186672</v>
      </c>
      <c r="E121">
        <f t="shared" si="4"/>
        <v>0.39145849197186672</v>
      </c>
      <c r="G121">
        <f t="shared" ca="1" si="5"/>
        <v>119</v>
      </c>
      <c r="H121">
        <f t="shared" ca="1" si="6"/>
        <v>46.583560544652137</v>
      </c>
      <c r="I121">
        <f t="shared" ca="1" si="7"/>
        <v>753.9740845893009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39473</v>
      </c>
      <c r="B124" s="66">
        <v>39473</v>
      </c>
      <c r="D124">
        <f t="shared" si="4"/>
        <v>0.32319684278614297</v>
      </c>
      <c r="E124">
        <f t="shared" si="4"/>
        <v>0.32319684278614297</v>
      </c>
      <c r="G124">
        <f t="shared" ca="1" si="5"/>
        <v>122</v>
      </c>
      <c r="H124">
        <f t="shared" ca="1" si="6"/>
        <v>39.430014819909445</v>
      </c>
      <c r="I124">
        <f t="shared" ca="1" si="7"/>
        <v>710.51128763722011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34323</v>
      </c>
      <c r="B126" s="66">
        <v>34323</v>
      </c>
      <c r="D126">
        <f t="shared" si="4"/>
        <v>0.28102969713345288</v>
      </c>
      <c r="E126">
        <f t="shared" si="4"/>
        <v>0.28102969713345288</v>
      </c>
      <c r="G126">
        <f t="shared" ca="1" si="5"/>
        <v>124</v>
      </c>
      <c r="H126">
        <f t="shared" ca="1" si="6"/>
        <v>34.847682444548155</v>
      </c>
      <c r="I126">
        <f t="shared" ca="1" si="7"/>
        <v>671.64225607159744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32038</v>
      </c>
      <c r="B129" s="66">
        <v>32038</v>
      </c>
      <c r="D129">
        <f t="shared" si="4"/>
        <v>0.26232058493609428</v>
      </c>
      <c r="E129">
        <f t="shared" si="4"/>
        <v>0.26232058493609428</v>
      </c>
      <c r="G129">
        <f t="shared" ca="1" si="5"/>
        <v>127</v>
      </c>
      <c r="H129">
        <f t="shared" ca="1" si="6"/>
        <v>33.314714286883977</v>
      </c>
      <c r="I129">
        <f t="shared" ca="1" si="7"/>
        <v>706.23392143046726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32244</v>
      </c>
      <c r="B131" s="66">
        <v>32244</v>
      </c>
      <c r="D131">
        <f t="shared" ref="D131:E194" si="8">IFERROR( A131/MAX(A$2:A$257), 0 )</f>
        <v>0.26400727076220187</v>
      </c>
      <c r="E131">
        <f t="shared" si="8"/>
        <v>0.26400727076220187</v>
      </c>
      <c r="G131">
        <f t="shared" ref="G131:G194" ca="1" si="9">CELL("row",D131)-2</f>
        <v>129</v>
      </c>
      <c r="H131">
        <f t="shared" ref="H131:H194" ca="1" si="10">D131*G131</f>
        <v>34.056937928324039</v>
      </c>
      <c r="I131">
        <f t="shared" ref="I131:I194" ca="1" si="11">D131*((G131-$L$1)^2)</f>
        <v>766.62506186753308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28633</v>
      </c>
      <c r="B134" s="66">
        <v>28633</v>
      </c>
      <c r="D134">
        <f t="shared" si="8"/>
        <v>0.2344411420336846</v>
      </c>
      <c r="E134">
        <f t="shared" si="8"/>
        <v>0.2344411420336846</v>
      </c>
      <c r="G134">
        <f t="shared" ca="1" si="9"/>
        <v>132</v>
      </c>
      <c r="H134">
        <f t="shared" ca="1" si="10"/>
        <v>30.946230748446368</v>
      </c>
      <c r="I134">
        <f t="shared" ca="1" si="11"/>
        <v>758.68072516356085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28904</v>
      </c>
      <c r="B136" s="66">
        <v>28904</v>
      </c>
      <c r="D136">
        <f t="shared" si="8"/>
        <v>0.23666003455249604</v>
      </c>
      <c r="E136">
        <f t="shared" si="8"/>
        <v>0.23666003455249604</v>
      </c>
      <c r="G136">
        <f t="shared" ca="1" si="9"/>
        <v>134</v>
      </c>
      <c r="H136">
        <f t="shared" ca="1" si="10"/>
        <v>31.712444630034469</v>
      </c>
      <c r="I136">
        <f t="shared" ca="1" si="11"/>
        <v>820.65944319962387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26572</v>
      </c>
      <c r="B139" s="66">
        <v>26572</v>
      </c>
      <c r="D139">
        <f t="shared" si="8"/>
        <v>0.21756609597733617</v>
      </c>
      <c r="E139">
        <f t="shared" si="8"/>
        <v>0.21756609597733617</v>
      </c>
      <c r="G139">
        <f t="shared" ca="1" si="9"/>
        <v>137</v>
      </c>
      <c r="H139">
        <f t="shared" ca="1" si="10"/>
        <v>29.806555148895054</v>
      </c>
      <c r="I139">
        <f t="shared" ca="1" si="11"/>
        <v>833.27683273559614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23501</v>
      </c>
      <c r="B142" s="66">
        <v>23501</v>
      </c>
      <c r="D142">
        <f t="shared" si="8"/>
        <v>0.1924213766958971</v>
      </c>
      <c r="E142">
        <f t="shared" si="8"/>
        <v>0.1924213766958971</v>
      </c>
      <c r="G142">
        <f t="shared" ca="1" si="9"/>
        <v>140</v>
      </c>
      <c r="H142">
        <f t="shared" ca="1" si="10"/>
        <v>26.938992737425593</v>
      </c>
      <c r="I142">
        <f t="shared" ca="1" si="11"/>
        <v>810.15472913223891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22826</v>
      </c>
      <c r="B144" s="66">
        <v>22826</v>
      </c>
      <c r="D144">
        <f t="shared" si="8"/>
        <v>0.18689461488704937</v>
      </c>
      <c r="E144">
        <f t="shared" si="8"/>
        <v>0.18689461488704937</v>
      </c>
      <c r="G144">
        <f t="shared" ca="1" si="9"/>
        <v>142</v>
      </c>
      <c r="H144">
        <f t="shared" ca="1" si="10"/>
        <v>26.539035313961008</v>
      </c>
      <c r="I144">
        <f t="shared" ca="1" si="11"/>
        <v>836.14097834347081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21422</v>
      </c>
      <c r="B147" s="66">
        <v>21422</v>
      </c>
      <c r="D147">
        <f t="shared" si="8"/>
        <v>0.17539895032464609</v>
      </c>
      <c r="E147">
        <f t="shared" si="8"/>
        <v>0.17539895032464609</v>
      </c>
      <c r="G147">
        <f t="shared" ca="1" si="9"/>
        <v>145</v>
      </c>
      <c r="H147">
        <f t="shared" ca="1" si="10"/>
        <v>25.432847797073684</v>
      </c>
      <c r="I147">
        <f t="shared" ca="1" si="11"/>
        <v>856.68093550037429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20187</v>
      </c>
      <c r="B149" s="66">
        <v>20187</v>
      </c>
      <c r="D149">
        <f t="shared" si="8"/>
        <v>0.16528702316327282</v>
      </c>
      <c r="E149">
        <f t="shared" si="8"/>
        <v>0.16528702316327282</v>
      </c>
      <c r="G149">
        <f t="shared" ca="1" si="9"/>
        <v>147</v>
      </c>
      <c r="H149">
        <f t="shared" ca="1" si="10"/>
        <v>24.297192405001105</v>
      </c>
      <c r="I149">
        <f t="shared" ca="1" si="11"/>
        <v>854.15918022490609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18152</v>
      </c>
      <c r="B152" s="66">
        <v>18152</v>
      </c>
      <c r="D152">
        <f t="shared" si="8"/>
        <v>0.14862485978400597</v>
      </c>
      <c r="E152">
        <f t="shared" si="8"/>
        <v>0.14862485978400597</v>
      </c>
      <c r="G152">
        <f t="shared" ca="1" si="9"/>
        <v>150</v>
      </c>
      <c r="H152">
        <f t="shared" ca="1" si="10"/>
        <v>22.293728967600895</v>
      </c>
      <c r="I152">
        <f t="shared" ca="1" si="11"/>
        <v>833.49631751067466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15821</v>
      </c>
      <c r="B154" s="66">
        <v>15821</v>
      </c>
      <c r="D154">
        <f t="shared" si="8"/>
        <v>0.12953910900411847</v>
      </c>
      <c r="E154">
        <f t="shared" si="8"/>
        <v>0.12953910900411847</v>
      </c>
      <c r="G154">
        <f t="shared" ca="1" si="9"/>
        <v>152</v>
      </c>
      <c r="H154">
        <f t="shared" ca="1" si="10"/>
        <v>19.689944568626007</v>
      </c>
      <c r="I154">
        <f t="shared" ca="1" si="11"/>
        <v>765.78369541811048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9133</v>
      </c>
      <c r="B157" s="66">
        <v>9133</v>
      </c>
      <c r="D157">
        <f t="shared" si="8"/>
        <v>7.4779134222527896E-2</v>
      </c>
      <c r="E157">
        <f t="shared" si="8"/>
        <v>7.4779134222527896E-2</v>
      </c>
      <c r="G157">
        <f t="shared" ca="1" si="9"/>
        <v>155</v>
      </c>
      <c r="H157">
        <f t="shared" ca="1" si="10"/>
        <v>11.590765804491824</v>
      </c>
      <c r="I157">
        <f t="shared" ca="1" si="11"/>
        <v>477.23474953074566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8389</v>
      </c>
      <c r="B160" s="66">
        <v>8389</v>
      </c>
      <c r="D160">
        <f t="shared" si="8"/>
        <v>6.8687414539886846E-2</v>
      </c>
      <c r="E160">
        <f t="shared" si="8"/>
        <v>6.8687414539886846E-2</v>
      </c>
      <c r="G160">
        <f t="shared" ca="1" si="9"/>
        <v>158</v>
      </c>
      <c r="H160">
        <f t="shared" ca="1" si="10"/>
        <v>10.852611497302121</v>
      </c>
      <c r="I160">
        <f t="shared" ca="1" si="11"/>
        <v>471.89941059833205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7244</v>
      </c>
      <c r="B162" s="66">
        <v>7244</v>
      </c>
      <c r="D162">
        <f t="shared" si="8"/>
        <v>5.9312388953026617E-2</v>
      </c>
      <c r="E162">
        <f t="shared" si="8"/>
        <v>5.9312388953026617E-2</v>
      </c>
      <c r="G162">
        <f t="shared" ca="1" si="9"/>
        <v>160</v>
      </c>
      <c r="H162">
        <f t="shared" ca="1" si="10"/>
        <v>9.4899822324842589</v>
      </c>
      <c r="I162">
        <f t="shared" ca="1" si="11"/>
        <v>427.39282232014989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5838</v>
      </c>
      <c r="B165" s="66">
        <v>5838</v>
      </c>
      <c r="D165">
        <f t="shared" si="8"/>
        <v>4.78003488000786E-2</v>
      </c>
      <c r="E165">
        <f t="shared" si="8"/>
        <v>4.78003488000786E-2</v>
      </c>
      <c r="G165">
        <f t="shared" ca="1" si="9"/>
        <v>163</v>
      </c>
      <c r="H165">
        <f t="shared" ca="1" si="10"/>
        <v>7.7914568544128118</v>
      </c>
      <c r="I165">
        <f t="shared" ca="1" si="11"/>
        <v>369.21539568655521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5019</v>
      </c>
      <c r="B167" s="66">
        <v>5019</v>
      </c>
      <c r="D167">
        <f t="shared" si="8"/>
        <v>4.1094544472010025E-2</v>
      </c>
      <c r="E167">
        <f t="shared" si="8"/>
        <v>4.1094544472010025E-2</v>
      </c>
      <c r="G167">
        <f t="shared" ca="1" si="9"/>
        <v>165</v>
      </c>
      <c r="H167">
        <f t="shared" ca="1" si="10"/>
        <v>6.7805998378816543</v>
      </c>
      <c r="I167">
        <f t="shared" ca="1" si="11"/>
        <v>332.03006530630967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3937</v>
      </c>
      <c r="B170" s="66">
        <v>3937</v>
      </c>
      <c r="D170">
        <f t="shared" si="8"/>
        <v>3.2235349987308919E-2</v>
      </c>
      <c r="E170">
        <f t="shared" si="8"/>
        <v>3.2235349987308919E-2</v>
      </c>
      <c r="G170">
        <f t="shared" ca="1" si="9"/>
        <v>168</v>
      </c>
      <c r="H170">
        <f t="shared" ca="1" si="10"/>
        <v>5.4155387978678986</v>
      </c>
      <c r="I170">
        <f t="shared" ca="1" si="11"/>
        <v>278.12610146255548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2144</v>
      </c>
      <c r="B173" s="66">
        <v>2144</v>
      </c>
      <c r="D173">
        <f t="shared" si="8"/>
        <v>1.7554633063954869E-2</v>
      </c>
      <c r="E173">
        <f t="shared" si="8"/>
        <v>1.7554633063954869E-2</v>
      </c>
      <c r="G173">
        <f t="shared" ca="1" si="9"/>
        <v>171</v>
      </c>
      <c r="H173">
        <f t="shared" ca="1" si="10"/>
        <v>3.0018422539362826</v>
      </c>
      <c r="I173">
        <f t="shared" ca="1" si="11"/>
        <v>161.4026718611085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1690</v>
      </c>
      <c r="B175" s="66">
        <v>1690</v>
      </c>
      <c r="D175">
        <f t="shared" si="8"/>
        <v>1.3837374010300246E-2</v>
      </c>
      <c r="E175">
        <f t="shared" si="8"/>
        <v>1.3837374010300246E-2</v>
      </c>
      <c r="G175">
        <f t="shared" ca="1" si="9"/>
        <v>173</v>
      </c>
      <c r="H175">
        <f t="shared" ca="1" si="10"/>
        <v>2.3938657037819424</v>
      </c>
      <c r="I175">
        <f t="shared" ca="1" si="11"/>
        <v>132.58769742226517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885</v>
      </c>
      <c r="B178" s="66">
        <v>885</v>
      </c>
      <c r="D178">
        <f t="shared" si="8"/>
        <v>7.2461988160448035E-3</v>
      </c>
      <c r="E178">
        <f t="shared" si="8"/>
        <v>7.2461988160448035E-3</v>
      </c>
      <c r="G178">
        <f t="shared" ca="1" si="9"/>
        <v>176</v>
      </c>
      <c r="H178">
        <f t="shared" ca="1" si="10"/>
        <v>1.2753309916238855</v>
      </c>
      <c r="I178">
        <f t="shared" ca="1" si="11"/>
        <v>73.753084441730351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447</v>
      </c>
      <c r="B180" s="66">
        <v>447</v>
      </c>
      <c r="D180">
        <f t="shared" si="8"/>
        <v>3.6599444867480534E-3</v>
      </c>
      <c r="E180">
        <f t="shared" si="8"/>
        <v>3.6599444867480534E-3</v>
      </c>
      <c r="G180">
        <f t="shared" ca="1" si="9"/>
        <v>178</v>
      </c>
      <c r="H180">
        <f t="shared" ca="1" si="10"/>
        <v>0.65147011864115345</v>
      </c>
      <c r="I180">
        <f t="shared" ca="1" si="11"/>
        <v>38.743160154382821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65.290605532585602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1.2599089743384495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0.68783220118757038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17855</v>
      </c>
      <c r="B8" s="66">
        <v>17855</v>
      </c>
      <c r="D8">
        <f t="shared" si="0"/>
        <v>38.577046063434452</v>
      </c>
      <c r="E8">
        <f t="shared" si="1"/>
        <v>38.577046063434452</v>
      </c>
      <c r="G8">
        <f t="shared" ca="1" si="2"/>
        <v>6</v>
      </c>
      <c r="H8">
        <f t="shared" ca="1" si="3"/>
        <v>231.46227638060671</v>
      </c>
      <c r="I8">
        <f t="shared" ca="1" si="4"/>
        <v>135612.81819512375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19085</v>
      </c>
      <c r="B10" s="66">
        <v>19085</v>
      </c>
      <c r="D10">
        <f t="shared" si="0"/>
        <v>41.234551896983838</v>
      </c>
      <c r="E10">
        <f t="shared" si="1"/>
        <v>41.234551896983838</v>
      </c>
      <c r="G10">
        <f t="shared" ca="1" si="2"/>
        <v>8</v>
      </c>
      <c r="H10">
        <f t="shared" ca="1" si="3"/>
        <v>329.8764151758707</v>
      </c>
      <c r="I10">
        <f t="shared" ca="1" si="4"/>
        <v>135340.60217248058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25139</v>
      </c>
      <c r="B13" s="66">
        <v>25139</v>
      </c>
      <c r="D13">
        <f t="shared" si="0"/>
        <v>54.314665975283035</v>
      </c>
      <c r="E13">
        <f t="shared" si="1"/>
        <v>54.314665975283035</v>
      </c>
      <c r="G13">
        <f t="shared" ca="1" si="2"/>
        <v>11</v>
      </c>
      <c r="H13">
        <f t="shared" ca="1" si="3"/>
        <v>597.46132572811337</v>
      </c>
      <c r="I13">
        <f t="shared" ca="1" si="4"/>
        <v>160090.84032580274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32879</v>
      </c>
      <c r="B15" s="66">
        <v>32879</v>
      </c>
      <c r="D15">
        <f t="shared" si="0"/>
        <v>71.037507562008471</v>
      </c>
      <c r="E15">
        <f t="shared" si="1"/>
        <v>71.037507562008471</v>
      </c>
      <c r="G15">
        <f t="shared" ca="1" si="2"/>
        <v>13</v>
      </c>
      <c r="H15">
        <f t="shared" ca="1" si="3"/>
        <v>923.48759830611016</v>
      </c>
      <c r="I15">
        <f t="shared" ca="1" si="4"/>
        <v>194238.38451984461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31659</v>
      </c>
      <c r="B18" s="66">
        <v>31659</v>
      </c>
      <c r="D18">
        <f t="shared" si="0"/>
        <v>68.401607466943219</v>
      </c>
      <c r="E18">
        <f t="shared" si="1"/>
        <v>68.401607466943219</v>
      </c>
      <c r="G18">
        <f t="shared" ca="1" si="2"/>
        <v>16</v>
      </c>
      <c r="H18">
        <f t="shared" ca="1" si="3"/>
        <v>1094.4257194710915</v>
      </c>
      <c r="I18">
        <f t="shared" ca="1" si="4"/>
        <v>166186.06893728167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31765</v>
      </c>
      <c r="B21" s="66">
        <v>31765</v>
      </c>
      <c r="D21">
        <f t="shared" si="0"/>
        <v>68.630628294875123</v>
      </c>
      <c r="E21">
        <f t="shared" si="1"/>
        <v>68.630628294875123</v>
      </c>
      <c r="G21">
        <f t="shared" ca="1" si="2"/>
        <v>19</v>
      </c>
      <c r="H21">
        <f t="shared" ca="1" si="3"/>
        <v>1303.9819376026273</v>
      </c>
      <c r="I21">
        <f t="shared" ca="1" si="4"/>
        <v>147063.09394308072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34054</v>
      </c>
      <c r="B23" s="66">
        <v>34054</v>
      </c>
      <c r="D23">
        <f t="shared" si="0"/>
        <v>73.576181833895077</v>
      </c>
      <c r="E23">
        <f t="shared" si="1"/>
        <v>73.576181833895077</v>
      </c>
      <c r="G23">
        <f t="shared" ca="1" si="2"/>
        <v>21</v>
      </c>
      <c r="H23">
        <f t="shared" ca="1" si="3"/>
        <v>1545.0998185117967</v>
      </c>
      <c r="I23">
        <f t="shared" ca="1" si="4"/>
        <v>144331.28645955707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33057</v>
      </c>
      <c r="B26" s="66">
        <v>33057</v>
      </c>
      <c r="D26">
        <f t="shared" si="0"/>
        <v>71.422089707026188</v>
      </c>
      <c r="E26">
        <f t="shared" si="1"/>
        <v>71.422089707026188</v>
      </c>
      <c r="G26">
        <f t="shared" ca="1" si="2"/>
        <v>24</v>
      </c>
      <c r="H26">
        <f t="shared" ca="1" si="3"/>
        <v>1714.1301529686284</v>
      </c>
      <c r="I26">
        <f t="shared" ca="1" si="4"/>
        <v>121768.52816776757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34193</v>
      </c>
      <c r="B28" s="66">
        <v>34193</v>
      </c>
      <c r="D28">
        <f t="shared" si="0"/>
        <v>73.876501598824646</v>
      </c>
      <c r="E28">
        <f t="shared" si="1"/>
        <v>73.876501598824646</v>
      </c>
      <c r="G28">
        <f t="shared" ca="1" si="2"/>
        <v>26</v>
      </c>
      <c r="H28">
        <f t="shared" ca="1" si="3"/>
        <v>1920.7890415694408</v>
      </c>
      <c r="I28">
        <f t="shared" ca="1" si="4"/>
        <v>114046.97368599949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34919</v>
      </c>
      <c r="B31" s="66">
        <v>34919</v>
      </c>
      <c r="D31">
        <f t="shared" si="0"/>
        <v>75.445078212773311</v>
      </c>
      <c r="E31">
        <f t="shared" si="1"/>
        <v>75.445078212773311</v>
      </c>
      <c r="G31">
        <f t="shared" ca="1" si="2"/>
        <v>29</v>
      </c>
      <c r="H31">
        <f t="shared" ca="1" si="3"/>
        <v>2187.9072681704261</v>
      </c>
      <c r="I31">
        <f t="shared" ca="1" si="4"/>
        <v>99361.775333197176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36917</v>
      </c>
      <c r="B33" s="66">
        <v>36917</v>
      </c>
      <c r="D33">
        <f t="shared" si="0"/>
        <v>79.761904761904759</v>
      </c>
      <c r="E33">
        <f t="shared" si="1"/>
        <v>79.761904761904759</v>
      </c>
      <c r="G33">
        <f t="shared" ca="1" si="2"/>
        <v>31</v>
      </c>
      <c r="H33">
        <f t="shared" ca="1" si="3"/>
        <v>2472.6190476190477</v>
      </c>
      <c r="I33">
        <f t="shared" ca="1" si="4"/>
        <v>93787.686978598984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38352</v>
      </c>
      <c r="B36" s="66">
        <v>38352</v>
      </c>
      <c r="D36">
        <f t="shared" si="0"/>
        <v>82.862328234379049</v>
      </c>
      <c r="E36">
        <f t="shared" si="1"/>
        <v>82.862328234379049</v>
      </c>
      <c r="G36">
        <f t="shared" ca="1" si="2"/>
        <v>34</v>
      </c>
      <c r="H36">
        <f t="shared" ca="1" si="3"/>
        <v>2817.3191599688876</v>
      </c>
      <c r="I36">
        <f t="shared" ca="1" si="4"/>
        <v>81130.670851138755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38338</v>
      </c>
      <c r="B39" s="66">
        <v>38338</v>
      </c>
      <c r="D39">
        <f t="shared" si="0"/>
        <v>82.832080200501252</v>
      </c>
      <c r="E39">
        <f t="shared" si="1"/>
        <v>82.832080200501252</v>
      </c>
      <c r="G39">
        <f t="shared" ca="1" si="2"/>
        <v>37</v>
      </c>
      <c r="H39">
        <f t="shared" ca="1" si="3"/>
        <v>3064.7869674185463</v>
      </c>
      <c r="I39">
        <f t="shared" ca="1" si="4"/>
        <v>66295.347980656632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41267</v>
      </c>
      <c r="B41" s="66">
        <v>41267</v>
      </c>
      <c r="D41">
        <f t="shared" si="0"/>
        <v>89.160401002506262</v>
      </c>
      <c r="E41">
        <f t="shared" si="1"/>
        <v>89.160401002506262</v>
      </c>
      <c r="G41">
        <f t="shared" ca="1" si="2"/>
        <v>39</v>
      </c>
      <c r="H41">
        <f t="shared" ca="1" si="3"/>
        <v>3477.2556390977443</v>
      </c>
      <c r="I41">
        <f t="shared" ca="1" si="4"/>
        <v>61627.307116619006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37760</v>
      </c>
      <c r="B44" s="66">
        <v>37760</v>
      </c>
      <c r="D44">
        <f t="shared" si="0"/>
        <v>81.583268516117883</v>
      </c>
      <c r="E44">
        <f t="shared" si="1"/>
        <v>81.583268516117883</v>
      </c>
      <c r="G44">
        <f t="shared" ca="1" si="2"/>
        <v>42</v>
      </c>
      <c r="H44">
        <f t="shared" ca="1" si="3"/>
        <v>3426.4972776769509</v>
      </c>
      <c r="I44">
        <f t="shared" ca="1" si="4"/>
        <v>44255.032143663877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37290</v>
      </c>
      <c r="B46" s="66">
        <v>37290</v>
      </c>
      <c r="D46">
        <f t="shared" si="0"/>
        <v>80.567798807363232</v>
      </c>
      <c r="E46">
        <f t="shared" si="1"/>
        <v>80.567798807363232</v>
      </c>
      <c r="G46">
        <f t="shared" ca="1" si="2"/>
        <v>44</v>
      </c>
      <c r="H46">
        <f t="shared" ca="1" si="3"/>
        <v>3544.9831475239821</v>
      </c>
      <c r="I46">
        <f t="shared" ca="1" si="4"/>
        <v>36520.568171026483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38180</v>
      </c>
      <c r="B49" s="66">
        <v>38180</v>
      </c>
      <c r="D49">
        <f t="shared" si="0"/>
        <v>82.490709532451817</v>
      </c>
      <c r="E49">
        <f t="shared" si="1"/>
        <v>82.490709532451817</v>
      </c>
      <c r="G49">
        <f t="shared" ca="1" si="2"/>
        <v>47</v>
      </c>
      <c r="H49">
        <f t="shared" ca="1" si="3"/>
        <v>3877.0633480252354</v>
      </c>
      <c r="I49">
        <f t="shared" ca="1" si="4"/>
        <v>27596.957595677763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40912</v>
      </c>
      <c r="B51" s="66">
        <v>40912</v>
      </c>
      <c r="D51">
        <f t="shared" si="0"/>
        <v>88.393397286319242</v>
      </c>
      <c r="E51">
        <f t="shared" si="1"/>
        <v>88.393397286319242</v>
      </c>
      <c r="G51">
        <f t="shared" ca="1" si="2"/>
        <v>49</v>
      </c>
      <c r="H51">
        <f t="shared" ca="1" si="3"/>
        <v>4331.2764670296428</v>
      </c>
      <c r="I51">
        <f t="shared" ca="1" si="4"/>
        <v>23458.17819642261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38179</v>
      </c>
      <c r="B54" s="66">
        <v>38179</v>
      </c>
      <c r="D54">
        <f t="shared" si="0"/>
        <v>82.488548958603403</v>
      </c>
      <c r="E54">
        <f t="shared" si="1"/>
        <v>82.488548958603403</v>
      </c>
      <c r="G54">
        <f t="shared" ca="1" si="2"/>
        <v>52</v>
      </c>
      <c r="H54">
        <f t="shared" ca="1" si="3"/>
        <v>4289.4045458473765</v>
      </c>
      <c r="I54">
        <f t="shared" ca="1" si="4"/>
        <v>14570.793408190499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40130</v>
      </c>
      <c r="B57" s="66">
        <v>40130</v>
      </c>
      <c r="D57">
        <f t="shared" si="0"/>
        <v>86.70382853685939</v>
      </c>
      <c r="E57">
        <f t="shared" si="1"/>
        <v>86.70382853685939</v>
      </c>
      <c r="G57">
        <f t="shared" ca="1" si="2"/>
        <v>55</v>
      </c>
      <c r="H57">
        <f t="shared" ca="1" si="3"/>
        <v>4768.7105695272667</v>
      </c>
      <c r="I57">
        <f t="shared" ca="1" si="4"/>
        <v>9181.6373739970659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39920</v>
      </c>
      <c r="B59" s="66">
        <v>39920</v>
      </c>
      <c r="D59">
        <f t="shared" si="0"/>
        <v>86.250108028692424</v>
      </c>
      <c r="E59">
        <f t="shared" si="1"/>
        <v>86.250108028692424</v>
      </c>
      <c r="G59">
        <f t="shared" ca="1" si="2"/>
        <v>57</v>
      </c>
      <c r="H59">
        <f t="shared" ca="1" si="3"/>
        <v>4916.2561576354683</v>
      </c>
      <c r="I59">
        <f t="shared" ca="1" si="4"/>
        <v>5928.3270086202674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38877</v>
      </c>
      <c r="B62" s="66">
        <v>38877</v>
      </c>
      <c r="D62">
        <f t="shared" si="0"/>
        <v>83.996629504796473</v>
      </c>
      <c r="E62">
        <f t="shared" si="1"/>
        <v>83.996629504796473</v>
      </c>
      <c r="G62">
        <f t="shared" ca="1" si="2"/>
        <v>60</v>
      </c>
      <c r="H62">
        <f t="shared" ca="1" si="3"/>
        <v>5039.7977702877888</v>
      </c>
      <c r="I62">
        <f t="shared" ca="1" si="4"/>
        <v>2351.1082378504761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36372</v>
      </c>
      <c r="B64" s="66">
        <v>36372</v>
      </c>
      <c r="D64">
        <f t="shared" si="0"/>
        <v>78.584392014519054</v>
      </c>
      <c r="E64">
        <f t="shared" si="1"/>
        <v>78.584392014519054</v>
      </c>
      <c r="G64">
        <f t="shared" ca="1" si="2"/>
        <v>62</v>
      </c>
      <c r="H64">
        <f t="shared" ca="1" si="3"/>
        <v>4872.2323049001816</v>
      </c>
      <c r="I64">
        <f t="shared" ca="1" si="4"/>
        <v>850.91845841722795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42496</v>
      </c>
      <c r="B67" s="66">
        <v>42496</v>
      </c>
      <c r="D67">
        <f t="shared" ref="D67:D130" si="5">IFERROR( 100*A67/MAX(A$2:A$257), 0 )</f>
        <v>91.815746262207242</v>
      </c>
      <c r="E67">
        <f t="shared" ref="E67:E130" si="6">IFERROR( 100*B67/MAX(B$2:B$257), 0 )</f>
        <v>91.815746262207242</v>
      </c>
      <c r="G67">
        <f t="shared" ref="G67:G130" ca="1" si="7">CELL("row",D67)-2</f>
        <v>65</v>
      </c>
      <c r="H67">
        <f t="shared" ref="H67:H130" ca="1" si="8">D67*G67</f>
        <v>5968.023507043471</v>
      </c>
      <c r="I67">
        <f t="shared" ref="I67:I130" ca="1" si="9">D67*((G67-$L$1)^2)</f>
        <v>7.7539844339200856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44298</v>
      </c>
      <c r="B69" s="66">
        <v>44298</v>
      </c>
      <c r="D69">
        <f t="shared" si="5"/>
        <v>95.70910033704952</v>
      </c>
      <c r="E69">
        <f t="shared" si="6"/>
        <v>95.70910033704952</v>
      </c>
      <c r="G69">
        <f t="shared" ca="1" si="7"/>
        <v>67</v>
      </c>
      <c r="H69">
        <f t="shared" ca="1" si="8"/>
        <v>6412.5097225823174</v>
      </c>
      <c r="I69">
        <f t="shared" ca="1" si="9"/>
        <v>279.66480936103977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46284</v>
      </c>
      <c r="B72" s="66">
        <v>46284</v>
      </c>
      <c r="D72">
        <f t="shared" si="5"/>
        <v>100</v>
      </c>
      <c r="E72">
        <f t="shared" si="6"/>
        <v>100</v>
      </c>
      <c r="G72">
        <f t="shared" ca="1" si="7"/>
        <v>70</v>
      </c>
      <c r="H72">
        <f t="shared" ca="1" si="8"/>
        <v>7000</v>
      </c>
      <c r="I72">
        <f t="shared" ca="1" si="9"/>
        <v>2217.8396249713346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43514</v>
      </c>
      <c r="B75" s="66">
        <v>43514</v>
      </c>
      <c r="D75">
        <f t="shared" si="5"/>
        <v>94.01521043989284</v>
      </c>
      <c r="E75">
        <f t="shared" si="6"/>
        <v>94.01521043989284</v>
      </c>
      <c r="G75">
        <f t="shared" ca="1" si="7"/>
        <v>73</v>
      </c>
      <c r="H75">
        <f t="shared" ca="1" si="8"/>
        <v>6863.1103621121774</v>
      </c>
      <c r="I75">
        <f t="shared" ca="1" si="9"/>
        <v>5587.7717559857565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39520</v>
      </c>
      <c r="B77" s="66">
        <v>39520</v>
      </c>
      <c r="D77">
        <f t="shared" si="5"/>
        <v>85.385878489326771</v>
      </c>
      <c r="E77">
        <f t="shared" si="6"/>
        <v>85.385878489326771</v>
      </c>
      <c r="G77">
        <f t="shared" ca="1" si="7"/>
        <v>75</v>
      </c>
      <c r="H77">
        <f t="shared" ca="1" si="8"/>
        <v>6403.9408866995082</v>
      </c>
      <c r="I77">
        <f t="shared" ca="1" si="9"/>
        <v>8049.5266470288689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41549</v>
      </c>
      <c r="B80" s="66">
        <v>41549</v>
      </c>
      <c r="D80">
        <f t="shared" si="5"/>
        <v>89.769682827759055</v>
      </c>
      <c r="E80">
        <f t="shared" si="6"/>
        <v>89.769682827759055</v>
      </c>
      <c r="G80">
        <f t="shared" ca="1" si="7"/>
        <v>78</v>
      </c>
      <c r="H80">
        <f t="shared" ca="1" si="8"/>
        <v>7002.035260565206</v>
      </c>
      <c r="I80">
        <f t="shared" ca="1" si="9"/>
        <v>14500.38086035121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39685</v>
      </c>
      <c r="B82" s="66">
        <v>39685</v>
      </c>
      <c r="D82">
        <f t="shared" si="5"/>
        <v>85.742373174315105</v>
      </c>
      <c r="E82">
        <f t="shared" si="6"/>
        <v>85.742373174315105</v>
      </c>
      <c r="G82">
        <f t="shared" ca="1" si="7"/>
        <v>80</v>
      </c>
      <c r="H82">
        <f t="shared" ca="1" si="8"/>
        <v>6859.3898539452084</v>
      </c>
      <c r="I82">
        <f t="shared" ca="1" si="9"/>
        <v>18551.75880208427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39829</v>
      </c>
      <c r="B85" s="66">
        <v>39829</v>
      </c>
      <c r="D85">
        <f t="shared" si="5"/>
        <v>86.05349580848673</v>
      </c>
      <c r="E85">
        <f t="shared" si="6"/>
        <v>86.05349580848673</v>
      </c>
      <c r="G85">
        <f t="shared" ca="1" si="7"/>
        <v>83</v>
      </c>
      <c r="H85">
        <f t="shared" ca="1" si="8"/>
        <v>7142.4401521043983</v>
      </c>
      <c r="I85">
        <f t="shared" ca="1" si="9"/>
        <v>26988.325603963964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34839</v>
      </c>
      <c r="B88" s="66">
        <v>34839</v>
      </c>
      <c r="D88">
        <f t="shared" si="5"/>
        <v>75.272232304900186</v>
      </c>
      <c r="E88">
        <f t="shared" si="6"/>
        <v>75.272232304900186</v>
      </c>
      <c r="G88">
        <f t="shared" ca="1" si="7"/>
        <v>86</v>
      </c>
      <c r="H88">
        <f t="shared" ca="1" si="8"/>
        <v>6473.4119782214157</v>
      </c>
      <c r="I88">
        <f t="shared" ca="1" si="9"/>
        <v>32282.681164445101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35129</v>
      </c>
      <c r="B90" s="66">
        <v>35129</v>
      </c>
      <c r="D90">
        <f t="shared" si="5"/>
        <v>75.898798720940277</v>
      </c>
      <c r="E90">
        <f t="shared" si="6"/>
        <v>75.898798720940277</v>
      </c>
      <c r="G90">
        <f t="shared" ca="1" si="7"/>
        <v>88</v>
      </c>
      <c r="H90">
        <f t="shared" ca="1" si="8"/>
        <v>6679.0942874427446</v>
      </c>
      <c r="I90">
        <f t="shared" ca="1" si="9"/>
        <v>39142.27019856753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34198</v>
      </c>
      <c r="B93" s="66">
        <v>34198</v>
      </c>
      <c r="D93">
        <f t="shared" si="5"/>
        <v>73.887304468066716</v>
      </c>
      <c r="E93">
        <f t="shared" si="6"/>
        <v>73.887304468066716</v>
      </c>
      <c r="G93">
        <f t="shared" ca="1" si="7"/>
        <v>91</v>
      </c>
      <c r="H93">
        <f t="shared" ca="1" si="8"/>
        <v>6723.7447065940714</v>
      </c>
      <c r="I93">
        <f t="shared" ca="1" si="9"/>
        <v>48837.510627444637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33969</v>
      </c>
      <c r="B95" s="66">
        <v>33969</v>
      </c>
      <c r="D95">
        <f t="shared" si="5"/>
        <v>73.392533056779882</v>
      </c>
      <c r="E95">
        <f t="shared" si="6"/>
        <v>73.392533056779882</v>
      </c>
      <c r="G95">
        <f t="shared" ca="1" si="7"/>
        <v>93</v>
      </c>
      <c r="H95">
        <f t="shared" ca="1" si="8"/>
        <v>6825.5055742805289</v>
      </c>
      <c r="I95">
        <f t="shared" ca="1" si="9"/>
        <v>56351.56056678787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31908</v>
      </c>
      <c r="B98" s="66">
        <v>31908</v>
      </c>
      <c r="D98">
        <f t="shared" si="5"/>
        <v>68.939590355198334</v>
      </c>
      <c r="E98">
        <f t="shared" si="6"/>
        <v>68.939590355198334</v>
      </c>
      <c r="G98">
        <f t="shared" ca="1" si="7"/>
        <v>96</v>
      </c>
      <c r="H98">
        <f t="shared" ca="1" si="8"/>
        <v>6618.20067409904</v>
      </c>
      <c r="I98">
        <f t="shared" ca="1" si="9"/>
        <v>65014.646353343058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31307</v>
      </c>
      <c r="B100" s="66">
        <v>31307</v>
      </c>
      <c r="D100">
        <f t="shared" si="5"/>
        <v>67.641085472301441</v>
      </c>
      <c r="E100">
        <f t="shared" si="6"/>
        <v>67.641085472301441</v>
      </c>
      <c r="G100">
        <f t="shared" ca="1" si="7"/>
        <v>98</v>
      </c>
      <c r="H100">
        <f t="shared" ca="1" si="8"/>
        <v>6628.8263762855413</v>
      </c>
      <c r="I100">
        <f t="shared" ca="1" si="9"/>
        <v>72369.500813466773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27447</v>
      </c>
      <c r="B103" s="66">
        <v>27447</v>
      </c>
      <c r="D103">
        <f t="shared" si="5"/>
        <v>59.30127041742287</v>
      </c>
      <c r="E103">
        <f t="shared" si="6"/>
        <v>59.30127041742287</v>
      </c>
      <c r="G103">
        <f t="shared" ca="1" si="7"/>
        <v>101</v>
      </c>
      <c r="H103">
        <f t="shared" ca="1" si="8"/>
        <v>5989.42831215971</v>
      </c>
      <c r="I103">
        <f t="shared" ca="1" si="9"/>
        <v>75618.658583068682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20563</v>
      </c>
      <c r="B106" s="66">
        <v>20563</v>
      </c>
      <c r="D106">
        <f t="shared" si="5"/>
        <v>44.427880044939933</v>
      </c>
      <c r="E106">
        <f t="shared" si="6"/>
        <v>44.427880044939933</v>
      </c>
      <c r="G106">
        <f t="shared" ca="1" si="7"/>
        <v>104</v>
      </c>
      <c r="H106">
        <f t="shared" ca="1" si="8"/>
        <v>4620.4995246737526</v>
      </c>
      <c r="I106">
        <f t="shared" ca="1" si="9"/>
        <v>66571.50050893813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17755</v>
      </c>
      <c r="B108" s="66">
        <v>17755</v>
      </c>
      <c r="D108">
        <f t="shared" si="5"/>
        <v>38.360988678593031</v>
      </c>
      <c r="E108">
        <f t="shared" si="6"/>
        <v>38.360988678593031</v>
      </c>
      <c r="G108">
        <f t="shared" ca="1" si="7"/>
        <v>106</v>
      </c>
      <c r="H108">
        <f t="shared" ca="1" si="8"/>
        <v>4066.2647999308615</v>
      </c>
      <c r="I108">
        <f t="shared" ca="1" si="9"/>
        <v>63573.932539922069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14962</v>
      </c>
      <c r="B111" s="66">
        <v>14962</v>
      </c>
      <c r="D111">
        <f t="shared" si="5"/>
        <v>32.326505919972348</v>
      </c>
      <c r="E111">
        <f t="shared" si="6"/>
        <v>32.326505919972348</v>
      </c>
      <c r="G111">
        <f t="shared" ca="1" si="7"/>
        <v>109</v>
      </c>
      <c r="H111">
        <f t="shared" ca="1" si="8"/>
        <v>3523.5891452769861</v>
      </c>
      <c r="I111">
        <f t="shared" ca="1" si="9"/>
        <v>61760.150476107607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14113</v>
      </c>
      <c r="B113" s="66">
        <v>14113</v>
      </c>
      <c r="D113">
        <f t="shared" si="5"/>
        <v>30.49217872266874</v>
      </c>
      <c r="E113">
        <f t="shared" si="6"/>
        <v>30.49217872266874</v>
      </c>
      <c r="G113">
        <f t="shared" ca="1" si="7"/>
        <v>111</v>
      </c>
      <c r="H113">
        <f t="shared" ca="1" si="8"/>
        <v>3384.6318382162303</v>
      </c>
      <c r="I113">
        <f t="shared" ca="1" si="9"/>
        <v>63708.795272662246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12599</v>
      </c>
      <c r="B116" s="66">
        <v>12599</v>
      </c>
      <c r="D116">
        <f t="shared" si="5"/>
        <v>27.221069916169736</v>
      </c>
      <c r="E116">
        <f t="shared" si="6"/>
        <v>27.221069916169736</v>
      </c>
      <c r="G116">
        <f t="shared" ca="1" si="7"/>
        <v>114</v>
      </c>
      <c r="H116">
        <f t="shared" ca="1" si="8"/>
        <v>3103.2019704433496</v>
      </c>
      <c r="I116">
        <f t="shared" ca="1" si="9"/>
        <v>64584.849565953868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11246</v>
      </c>
      <c r="B118" s="66">
        <v>11246</v>
      </c>
      <c r="D118">
        <f t="shared" si="5"/>
        <v>24.297813499265406</v>
      </c>
      <c r="E118">
        <f t="shared" si="6"/>
        <v>24.297813499265406</v>
      </c>
      <c r="G118">
        <f t="shared" ca="1" si="7"/>
        <v>116</v>
      </c>
      <c r="H118">
        <f t="shared" ca="1" si="8"/>
        <v>2818.5463659147872</v>
      </c>
      <c r="I118">
        <f t="shared" ca="1" si="9"/>
        <v>62480.434838895017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11517</v>
      </c>
      <c r="B121" s="66">
        <v>11517</v>
      </c>
      <c r="D121">
        <f t="shared" si="5"/>
        <v>24.883329012185637</v>
      </c>
      <c r="E121">
        <f t="shared" si="6"/>
        <v>24.883329012185637</v>
      </c>
      <c r="G121">
        <f t="shared" ca="1" si="7"/>
        <v>119</v>
      </c>
      <c r="H121">
        <f t="shared" ca="1" si="8"/>
        <v>2961.1161524500908</v>
      </c>
      <c r="I121">
        <f t="shared" ca="1" si="9"/>
        <v>71780.915663224194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8932</v>
      </c>
      <c r="B124" s="66">
        <v>8932</v>
      </c>
      <c r="D124">
        <f t="shared" si="5"/>
        <v>19.298245614035089</v>
      </c>
      <c r="E124">
        <f t="shared" si="6"/>
        <v>19.298245614035089</v>
      </c>
      <c r="G124">
        <f t="shared" ca="1" si="7"/>
        <v>122</v>
      </c>
      <c r="H124">
        <f t="shared" ca="1" si="8"/>
        <v>2354.385964912281</v>
      </c>
      <c r="I124">
        <f t="shared" ca="1" si="9"/>
        <v>62062.29759555951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9152</v>
      </c>
      <c r="B126" s="66">
        <v>9152</v>
      </c>
      <c r="D126">
        <f t="shared" si="5"/>
        <v>19.773571860686197</v>
      </c>
      <c r="E126">
        <f t="shared" si="6"/>
        <v>19.773571860686197</v>
      </c>
      <c r="G126">
        <f t="shared" ca="1" si="7"/>
        <v>124</v>
      </c>
      <c r="H126">
        <f t="shared" ca="1" si="8"/>
        <v>2451.9229107250885</v>
      </c>
      <c r="I126">
        <f t="shared" ca="1" si="9"/>
        <v>68155.409049306982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10352</v>
      </c>
      <c r="B129" s="66">
        <v>10352</v>
      </c>
      <c r="D129">
        <f t="shared" si="5"/>
        <v>22.366260478783165</v>
      </c>
      <c r="E129">
        <f t="shared" si="6"/>
        <v>22.366260478783165</v>
      </c>
      <c r="G129">
        <f t="shared" ca="1" si="7"/>
        <v>127</v>
      </c>
      <c r="H129">
        <f t="shared" ca="1" si="8"/>
        <v>2840.5150808054618</v>
      </c>
      <c r="I129">
        <f t="shared" ca="1" si="9"/>
        <v>85171.824025619761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9391</v>
      </c>
      <c r="B131" s="66">
        <v>9391</v>
      </c>
      <c r="D131">
        <f t="shared" ref="D131:D194" si="10">IFERROR( 100*A131/MAX(A$2:A$257), 0 )</f>
        <v>20.289949010457178</v>
      </c>
      <c r="E131">
        <f t="shared" ref="E131:E194" si="11">IFERROR( 100*B131/MAX(B$2:B$257), 0 )</f>
        <v>20.289949010457178</v>
      </c>
      <c r="G131">
        <f t="shared" ref="G131:G194" ca="1" si="12">CELL("row",D131)-2</f>
        <v>129</v>
      </c>
      <c r="H131">
        <f t="shared" ref="H131:H194" ca="1" si="13">D131*G131</f>
        <v>2617.4034223489762</v>
      </c>
      <c r="I131">
        <f t="shared" ref="I131:I194" ca="1" si="14">D131*((G131-$L$1)^2)</f>
        <v>82354.609120889974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8711</v>
      </c>
      <c r="B134" s="66">
        <v>8711</v>
      </c>
      <c r="D134">
        <f t="shared" si="10"/>
        <v>18.820758793535564</v>
      </c>
      <c r="E134">
        <f t="shared" si="11"/>
        <v>18.820758793535564</v>
      </c>
      <c r="G134">
        <f t="shared" ca="1" si="12"/>
        <v>132</v>
      </c>
      <c r="H134">
        <f t="shared" ca="1" si="13"/>
        <v>2484.3401607466944</v>
      </c>
      <c r="I134">
        <f t="shared" ca="1" si="14"/>
        <v>83755.073838111362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9237</v>
      </c>
      <c r="B136" s="66">
        <v>9237</v>
      </c>
      <c r="D136">
        <f t="shared" si="10"/>
        <v>19.957220637801399</v>
      </c>
      <c r="E136">
        <f t="shared" si="11"/>
        <v>19.957220637801399</v>
      </c>
      <c r="G136">
        <f t="shared" ca="1" si="12"/>
        <v>134</v>
      </c>
      <c r="H136">
        <f t="shared" ca="1" si="13"/>
        <v>2674.2675654653876</v>
      </c>
      <c r="I136">
        <f t="shared" ca="1" si="14"/>
        <v>94217.657210231322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7157</v>
      </c>
      <c r="B139" s="66">
        <v>7157</v>
      </c>
      <c r="D139">
        <f t="shared" si="10"/>
        <v>15.463227033099992</v>
      </c>
      <c r="E139">
        <f t="shared" si="11"/>
        <v>15.463227033099992</v>
      </c>
      <c r="G139">
        <f t="shared" ca="1" si="12"/>
        <v>137</v>
      </c>
      <c r="H139">
        <f t="shared" ca="1" si="13"/>
        <v>2118.4621035346991</v>
      </c>
      <c r="I139">
        <f t="shared" ca="1" si="14"/>
        <v>79515.582130324459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5736</v>
      </c>
      <c r="B142" s="66">
        <v>5736</v>
      </c>
      <c r="D142">
        <f t="shared" si="10"/>
        <v>12.3930515945035</v>
      </c>
      <c r="E142">
        <f t="shared" si="11"/>
        <v>12.3930515945035</v>
      </c>
      <c r="G142">
        <f t="shared" ca="1" si="12"/>
        <v>140</v>
      </c>
      <c r="H142">
        <f t="shared" ca="1" si="13"/>
        <v>1735.0272232304901</v>
      </c>
      <c r="I142">
        <f t="shared" ca="1" si="14"/>
        <v>69171.73842796823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5680</v>
      </c>
      <c r="B144" s="66">
        <v>5680</v>
      </c>
      <c r="D144">
        <f t="shared" si="10"/>
        <v>12.272059458992308</v>
      </c>
      <c r="E144">
        <f t="shared" si="11"/>
        <v>12.272059458992308</v>
      </c>
      <c r="G144">
        <f t="shared" ca="1" si="12"/>
        <v>142</v>
      </c>
      <c r="H144">
        <f t="shared" ca="1" si="13"/>
        <v>1742.6324431769076</v>
      </c>
      <c r="I144">
        <f t="shared" ca="1" si="14"/>
        <v>72212.862357371778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6387</v>
      </c>
      <c r="B147" s="66">
        <v>6387</v>
      </c>
      <c r="D147">
        <f t="shared" si="10"/>
        <v>13.799585169821105</v>
      </c>
      <c r="E147">
        <f t="shared" si="11"/>
        <v>13.799585169821105</v>
      </c>
      <c r="G147">
        <f t="shared" ca="1" si="12"/>
        <v>145</v>
      </c>
      <c r="H147">
        <f t="shared" ca="1" si="13"/>
        <v>2000.9398496240603</v>
      </c>
      <c r="I147">
        <f t="shared" ca="1" si="14"/>
        <v>87676.872755927077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4911</v>
      </c>
      <c r="B149" s="66">
        <v>4911</v>
      </c>
      <c r="D149">
        <f t="shared" si="10"/>
        <v>10.610578169561835</v>
      </c>
      <c r="E149">
        <f t="shared" si="11"/>
        <v>10.610578169561835</v>
      </c>
      <c r="G149">
        <f t="shared" ca="1" si="12"/>
        <v>147</v>
      </c>
      <c r="H149">
        <f t="shared" ca="1" si="13"/>
        <v>1559.7549909255897</v>
      </c>
      <c r="I149">
        <f t="shared" ca="1" si="14"/>
        <v>70840.730886096804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5879</v>
      </c>
      <c r="B152" s="66">
        <v>5879</v>
      </c>
      <c r="D152">
        <f t="shared" si="10"/>
        <v>12.702013654826722</v>
      </c>
      <c r="E152">
        <f t="shared" si="11"/>
        <v>12.702013654826722</v>
      </c>
      <c r="G152">
        <f t="shared" ca="1" si="12"/>
        <v>150</v>
      </c>
      <c r="H152">
        <f t="shared" ca="1" si="13"/>
        <v>1905.3020482240083</v>
      </c>
      <c r="I152">
        <f t="shared" ca="1" si="14"/>
        <v>91145.604535867125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6677</v>
      </c>
      <c r="B154" s="66">
        <v>6677</v>
      </c>
      <c r="D154">
        <f t="shared" si="10"/>
        <v>14.426151585861204</v>
      </c>
      <c r="E154">
        <f t="shared" si="11"/>
        <v>14.426151585861204</v>
      </c>
      <c r="G154">
        <f t="shared" ca="1" si="12"/>
        <v>152</v>
      </c>
      <c r="H154">
        <f t="shared" ca="1" si="13"/>
        <v>2192.7750410509029</v>
      </c>
      <c r="I154">
        <f t="shared" ca="1" si="14"/>
        <v>108463.29607774434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4973</v>
      </c>
      <c r="B157" s="66">
        <v>4973</v>
      </c>
      <c r="D157">
        <f t="shared" si="10"/>
        <v>10.744533748163512</v>
      </c>
      <c r="E157">
        <f t="shared" si="11"/>
        <v>10.744533748163512</v>
      </c>
      <c r="G157">
        <f t="shared" ca="1" si="12"/>
        <v>155</v>
      </c>
      <c r="H157">
        <f t="shared" ca="1" si="13"/>
        <v>1665.4027309653443</v>
      </c>
      <c r="I157">
        <f t="shared" ca="1" si="14"/>
        <v>86469.594981519811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4448</v>
      </c>
      <c r="B160" s="66">
        <v>4448</v>
      </c>
      <c r="D160">
        <f t="shared" si="10"/>
        <v>9.6102324777460897</v>
      </c>
      <c r="E160">
        <f t="shared" si="11"/>
        <v>9.6102324777460897</v>
      </c>
      <c r="G160">
        <f t="shared" ca="1" si="12"/>
        <v>158</v>
      </c>
      <c r="H160">
        <f t="shared" ca="1" si="13"/>
        <v>1518.4167314838821</v>
      </c>
      <c r="I160">
        <f t="shared" ca="1" si="14"/>
        <v>82600.253967991433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3388</v>
      </c>
      <c r="B162" s="66">
        <v>3388</v>
      </c>
      <c r="D162">
        <f t="shared" si="10"/>
        <v>7.3200241984271024</v>
      </c>
      <c r="E162">
        <f t="shared" si="11"/>
        <v>7.3200241984271024</v>
      </c>
      <c r="G162">
        <f t="shared" ca="1" si="12"/>
        <v>160</v>
      </c>
      <c r="H162">
        <f t="shared" ca="1" si="13"/>
        <v>1171.2038717483365</v>
      </c>
      <c r="I162">
        <f t="shared" ca="1" si="14"/>
        <v>65659.661067543915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2646</v>
      </c>
      <c r="B165" s="66">
        <v>2646</v>
      </c>
      <c r="D165">
        <f t="shared" si="10"/>
        <v>5.7168784029038111</v>
      </c>
      <c r="E165">
        <f t="shared" si="11"/>
        <v>5.7168784029038111</v>
      </c>
      <c r="G165">
        <f t="shared" ca="1" si="12"/>
        <v>163</v>
      </c>
      <c r="H165">
        <f t="shared" ca="1" si="13"/>
        <v>931.85117967332121</v>
      </c>
      <c r="I165">
        <f t="shared" ca="1" si="14"/>
        <v>54579.757108248079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3138</v>
      </c>
      <c r="B167" s="66">
        <v>3138</v>
      </c>
      <c r="D167">
        <f t="shared" si="10"/>
        <v>6.7798807363235678</v>
      </c>
      <c r="E167">
        <f t="shared" si="11"/>
        <v>6.7798807363235678</v>
      </c>
      <c r="G167">
        <f t="shared" ca="1" si="12"/>
        <v>165</v>
      </c>
      <c r="H167">
        <f t="shared" ca="1" si="13"/>
        <v>1118.6803214933886</v>
      </c>
      <c r="I167">
        <f t="shared" ca="1" si="14"/>
        <v>67405.32576439681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2245</v>
      </c>
      <c r="B170" s="66">
        <v>2245</v>
      </c>
      <c r="D170">
        <f t="shared" si="10"/>
        <v>4.8504882896897419</v>
      </c>
      <c r="E170">
        <f t="shared" si="11"/>
        <v>4.8504882896897419</v>
      </c>
      <c r="G170">
        <f t="shared" ca="1" si="12"/>
        <v>168</v>
      </c>
      <c r="H170">
        <f t="shared" ca="1" si="13"/>
        <v>814.88203266787662</v>
      </c>
      <c r="I170">
        <f t="shared" ca="1" si="14"/>
        <v>51168.866677755359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1762</v>
      </c>
      <c r="B173" s="66">
        <v>1762</v>
      </c>
      <c r="D173">
        <f t="shared" si="10"/>
        <v>3.8069311209057126</v>
      </c>
      <c r="E173">
        <f t="shared" si="11"/>
        <v>3.8069311209057126</v>
      </c>
      <c r="G173">
        <f t="shared" ca="1" si="12"/>
        <v>171</v>
      </c>
      <c r="H173">
        <f t="shared" ca="1" si="13"/>
        <v>650.98522167487681</v>
      </c>
      <c r="I173">
        <f t="shared" ca="1" si="14"/>
        <v>42540.460743695439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1064</v>
      </c>
      <c r="B175" s="66">
        <v>1064</v>
      </c>
      <c r="D175">
        <f t="shared" si="10"/>
        <v>2.2988505747126435</v>
      </c>
      <c r="E175">
        <f t="shared" si="11"/>
        <v>2.2988505747126435</v>
      </c>
      <c r="G175">
        <f t="shared" ca="1" si="12"/>
        <v>173</v>
      </c>
      <c r="H175">
        <f t="shared" ca="1" si="13"/>
        <v>397.70114942528733</v>
      </c>
      <c r="I175">
        <f t="shared" ca="1" si="14"/>
        <v>26669.686566751905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593</v>
      </c>
      <c r="B178" s="66">
        <v>593</v>
      </c>
      <c r="D178">
        <f t="shared" si="10"/>
        <v>1.2812202921095843</v>
      </c>
      <c r="E178">
        <f t="shared" si="11"/>
        <v>1.2812202921095843</v>
      </c>
      <c r="G178">
        <f t="shared" ca="1" si="12"/>
        <v>176</v>
      </c>
      <c r="H178">
        <f t="shared" ca="1" si="13"/>
        <v>225.49477141128685</v>
      </c>
      <c r="I178">
        <f t="shared" ca="1" si="14"/>
        <v>15703.366225567257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267</v>
      </c>
      <c r="B180" s="66">
        <v>267</v>
      </c>
      <c r="D180">
        <f t="shared" si="10"/>
        <v>0.57687321752657506</v>
      </c>
      <c r="E180">
        <f t="shared" si="11"/>
        <v>0.57687321752657506</v>
      </c>
      <c r="G180">
        <f t="shared" ca="1" si="12"/>
        <v>178</v>
      </c>
      <c r="H180">
        <f t="shared" ca="1" si="13"/>
        <v>102.68343271973036</v>
      </c>
      <c r="I180">
        <f t="shared" ca="1" si="14"/>
        <v>7328.2556164622692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81.67238245518385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1.5760271599798914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0.63203098224519727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5104</v>
      </c>
      <c r="B8" s="66">
        <v>5104</v>
      </c>
      <c r="D8">
        <f t="shared" si="0"/>
        <v>5.7483950895371096</v>
      </c>
      <c r="E8">
        <f t="shared" si="1"/>
        <v>5.7483950895371096</v>
      </c>
      <c r="G8">
        <f t="shared" ca="1" si="2"/>
        <v>6</v>
      </c>
      <c r="H8">
        <f t="shared" ca="1" si="3"/>
        <v>34.49037053722266</v>
      </c>
      <c r="I8">
        <f t="shared" ca="1" si="4"/>
        <v>32917.089218074354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6811</v>
      </c>
      <c r="B10" s="66">
        <v>6811</v>
      </c>
      <c r="D10">
        <f t="shared" si="0"/>
        <v>7.6709088861358259</v>
      </c>
      <c r="E10">
        <f t="shared" si="1"/>
        <v>7.6709088861358259</v>
      </c>
      <c r="G10">
        <f t="shared" ca="1" si="2"/>
        <v>8</v>
      </c>
      <c r="H10">
        <f t="shared" ca="1" si="3"/>
        <v>61.367271089086607</v>
      </c>
      <c r="I10">
        <f t="shared" ca="1" si="4"/>
        <v>41634.778002408428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12458</v>
      </c>
      <c r="B13" s="66">
        <v>12458</v>
      </c>
      <c r="D13">
        <f t="shared" si="0"/>
        <v>14.030859331005743</v>
      </c>
      <c r="E13">
        <f t="shared" si="1"/>
        <v>14.030859331005743</v>
      </c>
      <c r="G13">
        <f t="shared" ca="1" si="2"/>
        <v>11</v>
      </c>
      <c r="H13">
        <f t="shared" ca="1" si="3"/>
        <v>154.33945264106319</v>
      </c>
      <c r="I13">
        <f t="shared" ca="1" si="4"/>
        <v>70078.328558044566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15691</v>
      </c>
      <c r="B15" s="66">
        <v>15691</v>
      </c>
      <c r="D15">
        <f t="shared" si="0"/>
        <v>17.672035139092241</v>
      </c>
      <c r="E15">
        <f t="shared" si="1"/>
        <v>17.672035139092241</v>
      </c>
      <c r="G15">
        <f t="shared" ca="1" si="2"/>
        <v>13</v>
      </c>
      <c r="H15">
        <f t="shared" ca="1" si="3"/>
        <v>229.73645680819914</v>
      </c>
      <c r="I15">
        <f t="shared" ca="1" si="4"/>
        <v>83339.481804827956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18090</v>
      </c>
      <c r="B18" s="66">
        <v>18090</v>
      </c>
      <c r="D18">
        <f t="shared" si="0"/>
        <v>20.37391598152945</v>
      </c>
      <c r="E18">
        <f t="shared" si="1"/>
        <v>20.37391598152945</v>
      </c>
      <c r="G18">
        <f t="shared" ca="1" si="2"/>
        <v>16</v>
      </c>
      <c r="H18">
        <f t="shared" ca="1" si="3"/>
        <v>325.9826557044712</v>
      </c>
      <c r="I18">
        <f t="shared" ca="1" si="4"/>
        <v>87869.884306430351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22918</v>
      </c>
      <c r="B21" s="66">
        <v>22918</v>
      </c>
      <c r="D21">
        <f t="shared" si="0"/>
        <v>25.811465255096294</v>
      </c>
      <c r="E21">
        <f t="shared" si="1"/>
        <v>25.811465255096294</v>
      </c>
      <c r="G21">
        <f t="shared" ca="1" si="2"/>
        <v>19</v>
      </c>
      <c r="H21">
        <f t="shared" ca="1" si="3"/>
        <v>490.41783984682957</v>
      </c>
      <c r="I21">
        <f t="shared" ca="1" si="4"/>
        <v>101382.98362782894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25788</v>
      </c>
      <c r="B23" s="66">
        <v>25788</v>
      </c>
      <c r="D23">
        <f t="shared" si="0"/>
        <v>29.043811240004505</v>
      </c>
      <c r="E23">
        <f t="shared" si="1"/>
        <v>29.043811240004505</v>
      </c>
      <c r="G23">
        <f t="shared" ca="1" si="2"/>
        <v>21</v>
      </c>
      <c r="H23">
        <f t="shared" ca="1" si="3"/>
        <v>609.9200360400946</v>
      </c>
      <c r="I23">
        <f t="shared" ca="1" si="4"/>
        <v>106914.27701094668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28224</v>
      </c>
      <c r="B26" s="66">
        <v>28224</v>
      </c>
      <c r="D26">
        <f t="shared" si="0"/>
        <v>31.787363441829037</v>
      </c>
      <c r="E26">
        <f t="shared" si="1"/>
        <v>31.787363441829037</v>
      </c>
      <c r="G26">
        <f t="shared" ca="1" si="2"/>
        <v>24</v>
      </c>
      <c r="H26">
        <f t="shared" ca="1" si="3"/>
        <v>762.89672260389693</v>
      </c>
      <c r="I26">
        <f t="shared" ca="1" si="4"/>
        <v>105728.06709534938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28663</v>
      </c>
      <c r="B28" s="66">
        <v>28663</v>
      </c>
      <c r="D28">
        <f t="shared" si="0"/>
        <v>32.281788489694783</v>
      </c>
      <c r="E28">
        <f t="shared" si="1"/>
        <v>32.281788489694783</v>
      </c>
      <c r="G28">
        <f t="shared" ca="1" si="2"/>
        <v>26</v>
      </c>
      <c r="H28">
        <f t="shared" ca="1" si="3"/>
        <v>839.32650073206435</v>
      </c>
      <c r="I28">
        <f t="shared" ca="1" si="4"/>
        <v>100054.63262096631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29530</v>
      </c>
      <c r="B31" s="66">
        <v>29530</v>
      </c>
      <c r="D31">
        <f t="shared" si="0"/>
        <v>33.258249802905731</v>
      </c>
      <c r="E31">
        <f t="shared" si="1"/>
        <v>33.258249802905731</v>
      </c>
      <c r="G31">
        <f t="shared" ca="1" si="2"/>
        <v>29</v>
      </c>
      <c r="H31">
        <f t="shared" ca="1" si="3"/>
        <v>964.48924428426619</v>
      </c>
      <c r="I31">
        <f t="shared" ca="1" si="4"/>
        <v>92271.018881188604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27392</v>
      </c>
      <c r="B33" s="66">
        <v>27392</v>
      </c>
      <c r="D33">
        <f t="shared" si="0"/>
        <v>30.85032098209258</v>
      </c>
      <c r="E33">
        <f t="shared" si="1"/>
        <v>30.85032098209258</v>
      </c>
      <c r="G33">
        <f t="shared" ca="1" si="2"/>
        <v>31</v>
      </c>
      <c r="H33">
        <f t="shared" ca="1" si="3"/>
        <v>956.35995044486992</v>
      </c>
      <c r="I33">
        <f t="shared" ca="1" si="4"/>
        <v>79214.071285284095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28829</v>
      </c>
      <c r="B36" s="66">
        <v>28829</v>
      </c>
      <c r="D36">
        <f t="shared" si="0"/>
        <v>32.468746480459508</v>
      </c>
      <c r="E36">
        <f t="shared" si="1"/>
        <v>32.468746480459508</v>
      </c>
      <c r="G36">
        <f t="shared" ca="1" si="2"/>
        <v>34</v>
      </c>
      <c r="H36">
        <f t="shared" ca="1" si="3"/>
        <v>1103.9373803356232</v>
      </c>
      <c r="I36">
        <f t="shared" ca="1" si="4"/>
        <v>73790.29309074815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30359</v>
      </c>
      <c r="B39" s="66">
        <v>30359</v>
      </c>
      <c r="D39">
        <f t="shared" si="0"/>
        <v>34.191913503772945</v>
      </c>
      <c r="E39">
        <f t="shared" si="1"/>
        <v>34.191913503772945</v>
      </c>
      <c r="G39">
        <f t="shared" ca="1" si="2"/>
        <v>37</v>
      </c>
      <c r="H39">
        <f t="shared" ca="1" si="3"/>
        <v>1265.100799639599</v>
      </c>
      <c r="I39">
        <f t="shared" ca="1" si="4"/>
        <v>68234.126406613708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33915</v>
      </c>
      <c r="B41" s="66">
        <v>33915</v>
      </c>
      <c r="D41">
        <f t="shared" si="0"/>
        <v>38.196869016781172</v>
      </c>
      <c r="E41">
        <f t="shared" si="1"/>
        <v>38.196869016781172</v>
      </c>
      <c r="G41">
        <f t="shared" ca="1" si="2"/>
        <v>39</v>
      </c>
      <c r="H41">
        <f t="shared" ca="1" si="3"/>
        <v>1489.6778916544656</v>
      </c>
      <c r="I41">
        <f t="shared" ca="1" si="4"/>
        <v>69553.909663899409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35689</v>
      </c>
      <c r="B44" s="66">
        <v>35689</v>
      </c>
      <c r="D44">
        <f t="shared" si="0"/>
        <v>40.194841761459621</v>
      </c>
      <c r="E44">
        <f t="shared" si="1"/>
        <v>40.194841761459621</v>
      </c>
      <c r="G44">
        <f t="shared" ca="1" si="2"/>
        <v>42</v>
      </c>
      <c r="H44">
        <f t="shared" ca="1" si="3"/>
        <v>1688.183353981304</v>
      </c>
      <c r="I44">
        <f t="shared" ca="1" si="4"/>
        <v>63262.578231789805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37111</v>
      </c>
      <c r="B46" s="66">
        <v>37111</v>
      </c>
      <c r="D46">
        <f t="shared" si="0"/>
        <v>41.79637346548035</v>
      </c>
      <c r="E46">
        <f t="shared" si="1"/>
        <v>41.79637346548035</v>
      </c>
      <c r="G46">
        <f t="shared" ca="1" si="2"/>
        <v>44</v>
      </c>
      <c r="H46">
        <f t="shared" ca="1" si="3"/>
        <v>1839.0404324811354</v>
      </c>
      <c r="I46">
        <f t="shared" ca="1" si="4"/>
        <v>59317.764305462486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37907</v>
      </c>
      <c r="B49" s="66">
        <v>37907</v>
      </c>
      <c r="D49">
        <f t="shared" si="0"/>
        <v>42.692870818785899</v>
      </c>
      <c r="E49">
        <f t="shared" si="1"/>
        <v>42.692870818785899</v>
      </c>
      <c r="G49">
        <f t="shared" ca="1" si="2"/>
        <v>47</v>
      </c>
      <c r="H49">
        <f t="shared" ca="1" si="3"/>
        <v>2006.5649284829371</v>
      </c>
      <c r="I49">
        <f t="shared" ca="1" si="4"/>
        <v>51324.263771515405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39038</v>
      </c>
      <c r="B51" s="66">
        <v>39038</v>
      </c>
      <c r="D51">
        <f t="shared" si="0"/>
        <v>43.966662912490143</v>
      </c>
      <c r="E51">
        <f t="shared" si="1"/>
        <v>43.966662912490143</v>
      </c>
      <c r="G51">
        <f t="shared" ca="1" si="2"/>
        <v>49</v>
      </c>
      <c r="H51">
        <f t="shared" ca="1" si="3"/>
        <v>2154.3664827120169</v>
      </c>
      <c r="I51">
        <f t="shared" ca="1" si="4"/>
        <v>46933.734486401321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39519</v>
      </c>
      <c r="B54" s="66">
        <v>39519</v>
      </c>
      <c r="D54">
        <f t="shared" si="0"/>
        <v>44.508390584525287</v>
      </c>
      <c r="E54">
        <f t="shared" si="1"/>
        <v>44.508390584525287</v>
      </c>
      <c r="G54">
        <f t="shared" ca="1" si="2"/>
        <v>52</v>
      </c>
      <c r="H54">
        <f t="shared" ca="1" si="3"/>
        <v>2314.4363103953151</v>
      </c>
      <c r="I54">
        <f t="shared" ca="1" si="4"/>
        <v>39187.424977717666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42814</v>
      </c>
      <c r="B57" s="66">
        <v>42814</v>
      </c>
      <c r="D57">
        <f t="shared" si="0"/>
        <v>48.219394075909449</v>
      </c>
      <c r="E57">
        <f t="shared" si="1"/>
        <v>48.219394075909449</v>
      </c>
      <c r="G57">
        <f t="shared" ca="1" si="2"/>
        <v>55</v>
      </c>
      <c r="H57">
        <f t="shared" ca="1" si="3"/>
        <v>2652.0666741750197</v>
      </c>
      <c r="I57">
        <f t="shared" ca="1" si="4"/>
        <v>34304.047772908372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41102</v>
      </c>
      <c r="B59" s="66">
        <v>41102</v>
      </c>
      <c r="D59">
        <f t="shared" si="0"/>
        <v>46.29124901452866</v>
      </c>
      <c r="E59">
        <f t="shared" si="1"/>
        <v>46.29124901452866</v>
      </c>
      <c r="G59">
        <f t="shared" ca="1" si="2"/>
        <v>57</v>
      </c>
      <c r="H59">
        <f t="shared" ca="1" si="3"/>
        <v>2638.6011938281335</v>
      </c>
      <c r="I59">
        <f t="shared" ca="1" si="4"/>
        <v>28178.707957115588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42064</v>
      </c>
      <c r="B62" s="66">
        <v>42064</v>
      </c>
      <c r="D62">
        <f t="shared" si="0"/>
        <v>47.37470435859894</v>
      </c>
      <c r="E62">
        <f t="shared" si="1"/>
        <v>47.37470435859894</v>
      </c>
      <c r="G62">
        <f t="shared" ca="1" si="2"/>
        <v>60</v>
      </c>
      <c r="H62">
        <f t="shared" ca="1" si="3"/>
        <v>2842.4822615159364</v>
      </c>
      <c r="I62">
        <f t="shared" ca="1" si="4"/>
        <v>22251.527280369537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51418</v>
      </c>
      <c r="B64" s="66">
        <v>51418</v>
      </c>
      <c r="D64">
        <f t="shared" si="0"/>
        <v>57.909674512895599</v>
      </c>
      <c r="E64">
        <f t="shared" si="1"/>
        <v>57.909674512895599</v>
      </c>
      <c r="G64">
        <f t="shared" ca="1" si="2"/>
        <v>62</v>
      </c>
      <c r="H64">
        <f t="shared" ca="1" si="3"/>
        <v>3590.399819799527</v>
      </c>
      <c r="I64">
        <f t="shared" ca="1" si="4"/>
        <v>22411.196423657886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52523</v>
      </c>
      <c r="B67" s="66">
        <v>52523</v>
      </c>
      <c r="D67">
        <f t="shared" ref="D67:D130" si="5">IFERROR(100*A67/MAX(A$2:A$257), 0 )</f>
        <v>59.154184029733081</v>
      </c>
      <c r="E67">
        <f t="shared" ref="E67:E130" si="6">IFERROR(100*B67/MAX(B$2:B$257), 0 )</f>
        <v>59.154184029733081</v>
      </c>
      <c r="G67">
        <f t="shared" ref="G67:G130" ca="1" si="7">CELL("row",D67)-2</f>
        <v>65</v>
      </c>
      <c r="H67">
        <f t="shared" ref="H67:H130" ca="1" si="8">D67*G67</f>
        <v>3845.0219619326504</v>
      </c>
      <c r="I67">
        <f t="shared" ref="I67:I130" ca="1" si="9">D67*((G67-$L$1)^2)</f>
        <v>16442.990145478943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57210</v>
      </c>
      <c r="B69" s="66">
        <v>57210</v>
      </c>
      <c r="D69">
        <f t="shared" si="5"/>
        <v>64.432931636445545</v>
      </c>
      <c r="E69">
        <f t="shared" si="6"/>
        <v>64.432931636445545</v>
      </c>
      <c r="G69">
        <f t="shared" ca="1" si="7"/>
        <v>67</v>
      </c>
      <c r="H69">
        <f t="shared" ca="1" si="8"/>
        <v>4317.0064196418516</v>
      </c>
      <c r="I69">
        <f t="shared" ca="1" si="9"/>
        <v>13871.044648484065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56475</v>
      </c>
      <c r="B72" s="66">
        <v>56475</v>
      </c>
      <c r="D72">
        <f t="shared" si="5"/>
        <v>63.605135713481246</v>
      </c>
      <c r="E72">
        <f t="shared" si="6"/>
        <v>63.605135713481246</v>
      </c>
      <c r="G72">
        <f t="shared" ca="1" si="7"/>
        <v>70</v>
      </c>
      <c r="H72">
        <f t="shared" ca="1" si="8"/>
        <v>4452.3594999436873</v>
      </c>
      <c r="I72">
        <f t="shared" ca="1" si="9"/>
        <v>8665.850687431277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60057</v>
      </c>
      <c r="B75" s="66">
        <v>60057</v>
      </c>
      <c r="D75">
        <f t="shared" si="5"/>
        <v>67.639373803356236</v>
      </c>
      <c r="E75">
        <f t="shared" si="6"/>
        <v>67.639373803356236</v>
      </c>
      <c r="G75">
        <f t="shared" ca="1" si="7"/>
        <v>73</v>
      </c>
      <c r="H75">
        <f t="shared" ca="1" si="8"/>
        <v>4937.6742876450053</v>
      </c>
      <c r="I75">
        <f t="shared" ca="1" si="9"/>
        <v>5087.1720118633093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67186</v>
      </c>
      <c r="B77" s="66">
        <v>67186</v>
      </c>
      <c r="D77">
        <f t="shared" si="5"/>
        <v>75.668431129631713</v>
      </c>
      <c r="E77">
        <f t="shared" si="6"/>
        <v>75.668431129631713</v>
      </c>
      <c r="G77">
        <f t="shared" ca="1" si="7"/>
        <v>75</v>
      </c>
      <c r="H77">
        <f t="shared" ca="1" si="8"/>
        <v>5675.1323347223788</v>
      </c>
      <c r="I77">
        <f t="shared" ca="1" si="9"/>
        <v>3368.8105856417237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78580</v>
      </c>
      <c r="B80" s="66">
        <v>78580</v>
      </c>
      <c r="D80">
        <f t="shared" si="5"/>
        <v>88.500957315012954</v>
      </c>
      <c r="E80">
        <f t="shared" si="6"/>
        <v>88.500957315012954</v>
      </c>
      <c r="G80">
        <f t="shared" ca="1" si="7"/>
        <v>78</v>
      </c>
      <c r="H80">
        <f t="shared" ca="1" si="8"/>
        <v>6903.0746705710108</v>
      </c>
      <c r="I80">
        <f t="shared" ca="1" si="9"/>
        <v>1193.5586821234726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84616</v>
      </c>
      <c r="B82" s="66">
        <v>84616</v>
      </c>
      <c r="D82">
        <f t="shared" si="5"/>
        <v>95.29902015992792</v>
      </c>
      <c r="E82">
        <f t="shared" si="6"/>
        <v>95.29902015992792</v>
      </c>
      <c r="G82">
        <f t="shared" ca="1" si="7"/>
        <v>80</v>
      </c>
      <c r="H82">
        <f t="shared" ca="1" si="8"/>
        <v>7623.9216127942336</v>
      </c>
      <c r="I82">
        <f t="shared" ca="1" si="9"/>
        <v>266.53831070304619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84880</v>
      </c>
      <c r="B85" s="66">
        <v>84880</v>
      </c>
      <c r="D85">
        <f t="shared" si="5"/>
        <v>95.596350940421218</v>
      </c>
      <c r="E85">
        <f t="shared" si="6"/>
        <v>95.596350940421218</v>
      </c>
      <c r="G85">
        <f t="shared" ca="1" si="7"/>
        <v>83</v>
      </c>
      <c r="H85">
        <f t="shared" ca="1" si="8"/>
        <v>7934.4971280549607</v>
      </c>
      <c r="I85">
        <f t="shared" ca="1" si="9"/>
        <v>168.49510209412628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83634</v>
      </c>
      <c r="B88" s="66">
        <v>83634</v>
      </c>
      <c r="D88">
        <f t="shared" si="5"/>
        <v>94.193039756729362</v>
      </c>
      <c r="E88">
        <f t="shared" si="6"/>
        <v>94.193039756729362</v>
      </c>
      <c r="G88">
        <f t="shared" ca="1" si="7"/>
        <v>86</v>
      </c>
      <c r="H88">
        <f t="shared" ca="1" si="8"/>
        <v>8100.6014190787255</v>
      </c>
      <c r="I88">
        <f t="shared" ca="1" si="9"/>
        <v>1764.0730211172986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88790</v>
      </c>
      <c r="B90" s="66">
        <v>88790</v>
      </c>
      <c r="D90">
        <f t="shared" si="5"/>
        <v>100</v>
      </c>
      <c r="E90">
        <f t="shared" si="6"/>
        <v>100</v>
      </c>
      <c r="G90">
        <f t="shared" ca="1" si="7"/>
        <v>88</v>
      </c>
      <c r="H90">
        <f t="shared" ca="1" si="8"/>
        <v>8800</v>
      </c>
      <c r="I90">
        <f t="shared" ca="1" si="9"/>
        <v>4003.874379346516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86174</v>
      </c>
      <c r="B93" s="66">
        <v>86174</v>
      </c>
      <c r="D93">
        <f t="shared" si="5"/>
        <v>97.053722266020955</v>
      </c>
      <c r="E93">
        <f t="shared" si="6"/>
        <v>97.053722266020955</v>
      </c>
      <c r="G93">
        <f t="shared" ca="1" si="7"/>
        <v>91</v>
      </c>
      <c r="H93">
        <f t="shared" ca="1" si="8"/>
        <v>8831.8887262079061</v>
      </c>
      <c r="I93">
        <f t="shared" ca="1" si="9"/>
        <v>8444.1056352066535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86525</v>
      </c>
      <c r="B95" s="66">
        <v>86525</v>
      </c>
      <c r="D95">
        <f t="shared" si="5"/>
        <v>97.449037053722265</v>
      </c>
      <c r="E95">
        <f t="shared" si="6"/>
        <v>97.449037053722265</v>
      </c>
      <c r="G95">
        <f t="shared" ca="1" si="7"/>
        <v>93</v>
      </c>
      <c r="H95">
        <f t="shared" ca="1" si="8"/>
        <v>9062.7604459961713</v>
      </c>
      <c r="I95">
        <f t="shared" ca="1" si="9"/>
        <v>12504.165319722655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87061</v>
      </c>
      <c r="B98" s="66">
        <v>87061</v>
      </c>
      <c r="D98">
        <f t="shared" si="5"/>
        <v>98.052708638360173</v>
      </c>
      <c r="E98">
        <f t="shared" si="6"/>
        <v>98.052708638360173</v>
      </c>
      <c r="G98">
        <f t="shared" ca="1" si="7"/>
        <v>96</v>
      </c>
      <c r="H98">
        <f t="shared" ca="1" si="8"/>
        <v>9413.0600292825766</v>
      </c>
      <c r="I98">
        <f t="shared" ca="1" si="9"/>
        <v>20128.321264230985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76988</v>
      </c>
      <c r="B100" s="66">
        <v>76988</v>
      </c>
      <c r="D100">
        <f t="shared" si="5"/>
        <v>86.707962608401843</v>
      </c>
      <c r="E100">
        <f t="shared" si="6"/>
        <v>86.707962608401843</v>
      </c>
      <c r="G100">
        <f t="shared" ca="1" si="7"/>
        <v>98</v>
      </c>
      <c r="H100">
        <f t="shared" ca="1" si="8"/>
        <v>8497.3803356233802</v>
      </c>
      <c r="I100">
        <f t="shared" ca="1" si="9"/>
        <v>23115.570670095065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70600</v>
      </c>
      <c r="B103" s="66">
        <v>70600</v>
      </c>
      <c r="D103">
        <f t="shared" si="5"/>
        <v>79.513458722829142</v>
      </c>
      <c r="E103">
        <f t="shared" si="6"/>
        <v>79.513458722829142</v>
      </c>
      <c r="G103">
        <f t="shared" ca="1" si="7"/>
        <v>101</v>
      </c>
      <c r="H103">
        <f t="shared" ca="1" si="8"/>
        <v>8030.8593310057431</v>
      </c>
      <c r="I103">
        <f t="shared" ca="1" si="9"/>
        <v>29702.793194147045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68985</v>
      </c>
      <c r="B106" s="66">
        <v>68985</v>
      </c>
      <c r="D106">
        <f t="shared" si="5"/>
        <v>77.694560198220515</v>
      </c>
      <c r="E106">
        <f t="shared" si="6"/>
        <v>77.694560198220515</v>
      </c>
      <c r="G106">
        <f t="shared" ca="1" si="7"/>
        <v>104</v>
      </c>
      <c r="H106">
        <f t="shared" ca="1" si="8"/>
        <v>8080.2342606149332</v>
      </c>
      <c r="I106">
        <f t="shared" ca="1" si="9"/>
        <v>38732.486792572061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60990</v>
      </c>
      <c r="B108" s="66">
        <v>60990</v>
      </c>
      <c r="D108">
        <f t="shared" si="5"/>
        <v>68.6901678116905</v>
      </c>
      <c r="E108">
        <f t="shared" si="6"/>
        <v>68.6901678116905</v>
      </c>
      <c r="G108">
        <f t="shared" ca="1" si="7"/>
        <v>106</v>
      </c>
      <c r="H108">
        <f t="shared" ca="1" si="8"/>
        <v>7281.1577880391933</v>
      </c>
      <c r="I108">
        <f t="shared" ca="1" si="9"/>
        <v>40653.106397188385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51937</v>
      </c>
      <c r="B111" s="66">
        <v>51937</v>
      </c>
      <c r="D111">
        <f t="shared" si="5"/>
        <v>58.494199797274469</v>
      </c>
      <c r="E111">
        <f t="shared" si="6"/>
        <v>58.494199797274469</v>
      </c>
      <c r="G111">
        <f t="shared" ca="1" si="7"/>
        <v>109</v>
      </c>
      <c r="H111">
        <f t="shared" ca="1" si="8"/>
        <v>6375.8677779029167</v>
      </c>
      <c r="I111">
        <f t="shared" ca="1" si="9"/>
        <v>43683.391235787909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50587</v>
      </c>
      <c r="B113" s="66">
        <v>50587</v>
      </c>
      <c r="D113">
        <f t="shared" si="5"/>
        <v>56.973758306115556</v>
      </c>
      <c r="E113">
        <f t="shared" si="6"/>
        <v>56.973758306115556</v>
      </c>
      <c r="G113">
        <f t="shared" ca="1" si="7"/>
        <v>111</v>
      </c>
      <c r="H113">
        <f t="shared" ca="1" si="8"/>
        <v>6324.0871719788265</v>
      </c>
      <c r="I113">
        <f t="shared" ca="1" si="9"/>
        <v>49003.650877691507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46011</v>
      </c>
      <c r="B116" s="66">
        <v>46011</v>
      </c>
      <c r="D116">
        <f t="shared" si="5"/>
        <v>51.820024777565038</v>
      </c>
      <c r="E116">
        <f t="shared" si="6"/>
        <v>51.820024777565038</v>
      </c>
      <c r="G116">
        <f t="shared" ca="1" si="7"/>
        <v>114</v>
      </c>
      <c r="H116">
        <f t="shared" ca="1" si="8"/>
        <v>5907.482824642414</v>
      </c>
      <c r="I116">
        <f t="shared" ca="1" si="9"/>
        <v>54155.804938750975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37458</v>
      </c>
      <c r="B118" s="66">
        <v>37458</v>
      </c>
      <c r="D118">
        <f t="shared" si="5"/>
        <v>42.18718324135601</v>
      </c>
      <c r="E118">
        <f t="shared" si="6"/>
        <v>42.18718324135601</v>
      </c>
      <c r="G118">
        <f t="shared" ca="1" si="7"/>
        <v>116</v>
      </c>
      <c r="H118">
        <f t="shared" ca="1" si="8"/>
        <v>4893.713255997297</v>
      </c>
      <c r="I118">
        <f t="shared" ca="1" si="9"/>
        <v>49712.757689676902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36819</v>
      </c>
      <c r="B121" s="66">
        <v>36819</v>
      </c>
      <c r="D121">
        <f t="shared" si="5"/>
        <v>41.467507602207455</v>
      </c>
      <c r="E121">
        <f t="shared" si="6"/>
        <v>41.467507602207455</v>
      </c>
      <c r="G121">
        <f t="shared" ca="1" si="7"/>
        <v>119</v>
      </c>
      <c r="H121">
        <f t="shared" ca="1" si="8"/>
        <v>4934.6334046626871</v>
      </c>
      <c r="I121">
        <f t="shared" ca="1" si="9"/>
        <v>57778.794494258262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30841</v>
      </c>
      <c r="B124" s="66">
        <v>30841</v>
      </c>
      <c r="D124">
        <f t="shared" si="5"/>
        <v>34.734767428764499</v>
      </c>
      <c r="E124">
        <f t="shared" si="6"/>
        <v>34.734767428764499</v>
      </c>
      <c r="G124">
        <f t="shared" ca="1" si="7"/>
        <v>122</v>
      </c>
      <c r="H124">
        <f t="shared" ca="1" si="8"/>
        <v>4237.6416263092688</v>
      </c>
      <c r="I124">
        <f t="shared" ca="1" si="9"/>
        <v>56489.73361967806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25754</v>
      </c>
      <c r="B126" s="66">
        <v>25754</v>
      </c>
      <c r="D126">
        <f t="shared" si="5"/>
        <v>29.005518639486429</v>
      </c>
      <c r="E126">
        <f t="shared" si="6"/>
        <v>29.005518639486429</v>
      </c>
      <c r="G126">
        <f t="shared" ca="1" si="7"/>
        <v>124</v>
      </c>
      <c r="H126">
        <f t="shared" ca="1" si="8"/>
        <v>3596.684311296317</v>
      </c>
      <c r="I126">
        <f t="shared" ca="1" si="9"/>
        <v>51967.076348236231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22296</v>
      </c>
      <c r="B129" s="66">
        <v>22296</v>
      </c>
      <c r="D129">
        <f t="shared" si="5"/>
        <v>25.110935916206781</v>
      </c>
      <c r="E129">
        <f t="shared" si="6"/>
        <v>25.110935916206781</v>
      </c>
      <c r="G129">
        <f t="shared" ca="1" si="7"/>
        <v>127</v>
      </c>
      <c r="H129">
        <f t="shared" ca="1" si="8"/>
        <v>3189.0888613582611</v>
      </c>
      <c r="I129">
        <f t="shared" ca="1" si="9"/>
        <v>51592.750954384872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23218</v>
      </c>
      <c r="B131" s="66">
        <v>23218</v>
      </c>
      <c r="D131">
        <f t="shared" ref="D131:D194" si="10">IFERROR(100*A131/MAX(A$2:A$257), 0 )</f>
        <v>26.149341142020496</v>
      </c>
      <c r="E131">
        <f t="shared" ref="E131:E194" si="11">IFERROR(100*B131/MAX(B$2:B$257), 0 )</f>
        <v>26.149341142020496</v>
      </c>
      <c r="G131">
        <f t="shared" ref="G131:G194" ca="1" si="12">CELL("row",D131)-2</f>
        <v>129</v>
      </c>
      <c r="H131">
        <f t="shared" ref="H131:H194" ca="1" si="13">D131*G131</f>
        <v>3373.2650073206441</v>
      </c>
      <c r="I131">
        <f t="shared" ref="I131:I194" ca="1" si="14">D131*((G131-$L$1)^2)</f>
        <v>58571.99767333152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20372</v>
      </c>
      <c r="B134" s="66">
        <v>20372</v>
      </c>
      <c r="D134">
        <f t="shared" si="10"/>
        <v>22.944025228066224</v>
      </c>
      <c r="E134">
        <f t="shared" si="11"/>
        <v>22.944025228066224</v>
      </c>
      <c r="G134">
        <f t="shared" ca="1" si="12"/>
        <v>132</v>
      </c>
      <c r="H134">
        <f t="shared" ca="1" si="13"/>
        <v>3028.6113301047417</v>
      </c>
      <c r="I134">
        <f t="shared" ca="1" si="14"/>
        <v>58114.212248433381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20725</v>
      </c>
      <c r="B136" s="66">
        <v>20725</v>
      </c>
      <c r="D136">
        <f t="shared" si="10"/>
        <v>23.341592521680369</v>
      </c>
      <c r="E136">
        <f t="shared" si="11"/>
        <v>23.341592521680369</v>
      </c>
      <c r="G136">
        <f t="shared" ca="1" si="12"/>
        <v>134</v>
      </c>
      <c r="H136">
        <f t="shared" ca="1" si="13"/>
        <v>3127.7733979051695</v>
      </c>
      <c r="I136">
        <f t="shared" ca="1" si="14"/>
        <v>63913.471492083023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19910</v>
      </c>
      <c r="B139" s="66">
        <v>19910</v>
      </c>
      <c r="D139">
        <f t="shared" si="10"/>
        <v>22.42369636220295</v>
      </c>
      <c r="E139">
        <f t="shared" si="11"/>
        <v>22.42369636220295</v>
      </c>
      <c r="G139">
        <f t="shared" ca="1" si="12"/>
        <v>137</v>
      </c>
      <c r="H139">
        <f t="shared" ca="1" si="13"/>
        <v>3072.0464016218043</v>
      </c>
      <c r="I139">
        <f t="shared" ca="1" si="14"/>
        <v>68642.191902266321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18184</v>
      </c>
      <c r="B142" s="66">
        <v>18184</v>
      </c>
      <c r="D142">
        <f t="shared" si="10"/>
        <v>20.479783759432369</v>
      </c>
      <c r="E142">
        <f t="shared" si="11"/>
        <v>20.479783759432369</v>
      </c>
      <c r="G142">
        <f t="shared" ca="1" si="12"/>
        <v>140</v>
      </c>
      <c r="H142">
        <f t="shared" ca="1" si="13"/>
        <v>2867.1697263205315</v>
      </c>
      <c r="I142">
        <f t="shared" ca="1" si="14"/>
        <v>69674.496959538024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17255</v>
      </c>
      <c r="B144" s="66">
        <v>17255</v>
      </c>
      <c r="D144">
        <f t="shared" si="10"/>
        <v>19.433494762923754</v>
      </c>
      <c r="E144">
        <f t="shared" si="11"/>
        <v>19.433494762923754</v>
      </c>
      <c r="G144">
        <f t="shared" ca="1" si="12"/>
        <v>142</v>
      </c>
      <c r="H144">
        <f t="shared" ca="1" si="13"/>
        <v>2759.5562563351732</v>
      </c>
      <c r="I144">
        <f t="shared" ca="1" si="14"/>
        <v>70726.67746775868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15370</v>
      </c>
      <c r="B147" s="66">
        <v>15370</v>
      </c>
      <c r="D147">
        <f t="shared" si="10"/>
        <v>17.310507940083344</v>
      </c>
      <c r="E147">
        <f t="shared" si="11"/>
        <v>17.310507940083344</v>
      </c>
      <c r="G147">
        <f t="shared" ca="1" si="12"/>
        <v>145</v>
      </c>
      <c r="H147">
        <f t="shared" ca="1" si="13"/>
        <v>2510.0236513120849</v>
      </c>
      <c r="I147">
        <f t="shared" ca="1" si="14"/>
        <v>69421.838497332501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15694</v>
      </c>
      <c r="B149" s="66">
        <v>15694</v>
      </c>
      <c r="D149">
        <f t="shared" si="10"/>
        <v>17.675413897961484</v>
      </c>
      <c r="E149">
        <f t="shared" si="11"/>
        <v>17.675413897961484</v>
      </c>
      <c r="G149">
        <f t="shared" ca="1" si="12"/>
        <v>147</v>
      </c>
      <c r="H149">
        <f t="shared" ca="1" si="13"/>
        <v>2598.285843000338</v>
      </c>
      <c r="I149">
        <f t="shared" ca="1" si="14"/>
        <v>75433.321720237989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12786</v>
      </c>
      <c r="B152" s="66">
        <v>12786</v>
      </c>
      <c r="D152">
        <f t="shared" si="10"/>
        <v>14.40027030070954</v>
      </c>
      <c r="E152">
        <f t="shared" si="11"/>
        <v>14.40027030070954</v>
      </c>
      <c r="G152">
        <f t="shared" ca="1" si="12"/>
        <v>150</v>
      </c>
      <c r="H152">
        <f t="shared" ca="1" si="13"/>
        <v>2160.0405451064312</v>
      </c>
      <c r="I152">
        <f t="shared" ca="1" si="14"/>
        <v>67230.013741657443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9807</v>
      </c>
      <c r="B154" s="66">
        <v>9807</v>
      </c>
      <c r="D154">
        <f t="shared" si="10"/>
        <v>11.045162743552202</v>
      </c>
      <c r="E154">
        <f t="shared" si="11"/>
        <v>11.045162743552202</v>
      </c>
      <c r="G154">
        <f t="shared" ca="1" si="12"/>
        <v>152</v>
      </c>
      <c r="H154">
        <f t="shared" ca="1" si="13"/>
        <v>1678.8647370199349</v>
      </c>
      <c r="I154">
        <f t="shared" ca="1" si="14"/>
        <v>54629.085430701707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4609</v>
      </c>
      <c r="B157" s="66">
        <v>4609</v>
      </c>
      <c r="D157">
        <f t="shared" si="10"/>
        <v>5.1908998761121747</v>
      </c>
      <c r="E157">
        <f t="shared" si="11"/>
        <v>5.1908998761121747</v>
      </c>
      <c r="G157">
        <f t="shared" ca="1" si="12"/>
        <v>155</v>
      </c>
      <c r="H157">
        <f t="shared" ca="1" si="13"/>
        <v>804.58948079738707</v>
      </c>
      <c r="I157">
        <f t="shared" ca="1" si="14"/>
        <v>27911.154557413902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4155</v>
      </c>
      <c r="B160" s="66">
        <v>4155</v>
      </c>
      <c r="D160">
        <f t="shared" si="10"/>
        <v>4.679581033900214</v>
      </c>
      <c r="E160">
        <f t="shared" si="11"/>
        <v>4.679581033900214</v>
      </c>
      <c r="G160">
        <f t="shared" ca="1" si="12"/>
        <v>158</v>
      </c>
      <c r="H160">
        <f t="shared" ca="1" si="13"/>
        <v>739.37380335623379</v>
      </c>
      <c r="I160">
        <f t="shared" ca="1" si="14"/>
        <v>27262.795479537559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4179</v>
      </c>
      <c r="B162" s="66">
        <v>4179</v>
      </c>
      <c r="D162">
        <f t="shared" si="10"/>
        <v>4.7066111048541499</v>
      </c>
      <c r="E162">
        <f t="shared" si="11"/>
        <v>4.7066111048541499</v>
      </c>
      <c r="G162">
        <f t="shared" ca="1" si="12"/>
        <v>160</v>
      </c>
      <c r="H162">
        <f t="shared" ca="1" si="13"/>
        <v>753.05777677666401</v>
      </c>
      <c r="I162">
        <f t="shared" ca="1" si="14"/>
        <v>28876.074204259683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3639</v>
      </c>
      <c r="B165" s="66">
        <v>3639</v>
      </c>
      <c r="D165">
        <f t="shared" si="10"/>
        <v>4.0984345083905849</v>
      </c>
      <c r="E165">
        <f t="shared" si="11"/>
        <v>4.0984345083905849</v>
      </c>
      <c r="G165">
        <f t="shared" ca="1" si="12"/>
        <v>163</v>
      </c>
      <c r="H165">
        <f t="shared" ca="1" si="13"/>
        <v>668.04482486766528</v>
      </c>
      <c r="I165">
        <f t="shared" ca="1" si="14"/>
        <v>27107.789194168618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1992</v>
      </c>
      <c r="B167" s="66">
        <v>1992</v>
      </c>
      <c r="D167">
        <f t="shared" si="10"/>
        <v>2.2434958891767089</v>
      </c>
      <c r="E167">
        <f t="shared" si="11"/>
        <v>2.2434958891767089</v>
      </c>
      <c r="G167">
        <f t="shared" ca="1" si="12"/>
        <v>165</v>
      </c>
      <c r="H167">
        <f t="shared" ca="1" si="13"/>
        <v>370.17682171415697</v>
      </c>
      <c r="I167">
        <f t="shared" ca="1" si="14"/>
        <v>15577.695412349072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1692</v>
      </c>
      <c r="B170" s="66">
        <v>1692</v>
      </c>
      <c r="D170">
        <f t="shared" si="10"/>
        <v>1.9056200022525058</v>
      </c>
      <c r="E170">
        <f t="shared" si="11"/>
        <v>1.9056200022525058</v>
      </c>
      <c r="G170">
        <f t="shared" ca="1" si="12"/>
        <v>168</v>
      </c>
      <c r="H170">
        <f t="shared" ca="1" si="13"/>
        <v>320.14416037842096</v>
      </c>
      <c r="I170">
        <f t="shared" ca="1" si="14"/>
        <v>14201.552175054816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382</v>
      </c>
      <c r="B173" s="66">
        <v>382</v>
      </c>
      <c r="D173">
        <f t="shared" si="10"/>
        <v>0.43022862935015205</v>
      </c>
      <c r="E173">
        <f t="shared" si="11"/>
        <v>0.43022862935015205</v>
      </c>
      <c r="G173">
        <f t="shared" ca="1" si="12"/>
        <v>171</v>
      </c>
      <c r="H173">
        <f t="shared" ca="1" si="13"/>
        <v>73.569095618876005</v>
      </c>
      <c r="I173">
        <f t="shared" ca="1" si="14"/>
        <v>3432.9763305338274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626</v>
      </c>
      <c r="B175" s="66">
        <v>626</v>
      </c>
      <c r="D175">
        <f t="shared" si="10"/>
        <v>0.70503435071517062</v>
      </c>
      <c r="E175">
        <f t="shared" si="11"/>
        <v>0.70503435071517062</v>
      </c>
      <c r="G175">
        <f t="shared" ca="1" si="12"/>
        <v>173</v>
      </c>
      <c r="H175">
        <f t="shared" ca="1" si="13"/>
        <v>121.97094267372452</v>
      </c>
      <c r="I175">
        <f t="shared" ca="1" si="14"/>
        <v>5880.5037872891589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292</v>
      </c>
      <c r="B178" s="66">
        <v>292</v>
      </c>
      <c r="D178">
        <f t="shared" si="10"/>
        <v>0.32886586327289108</v>
      </c>
      <c r="E178">
        <f t="shared" si="11"/>
        <v>0.32886586327289108</v>
      </c>
      <c r="G178">
        <f t="shared" ca="1" si="12"/>
        <v>176</v>
      </c>
      <c r="H178">
        <f t="shared" ca="1" si="13"/>
        <v>57.880391936028829</v>
      </c>
      <c r="I178">
        <f t="shared" ca="1" si="14"/>
        <v>2926.1496047425194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180</v>
      </c>
      <c r="B180" s="66">
        <v>180</v>
      </c>
      <c r="D180">
        <f t="shared" si="10"/>
        <v>0.20272553215452191</v>
      </c>
      <c r="E180">
        <f t="shared" si="11"/>
        <v>0.20272553215452191</v>
      </c>
      <c r="G180">
        <f t="shared" ca="1" si="12"/>
        <v>178</v>
      </c>
      <c r="H180">
        <f t="shared" ca="1" si="13"/>
        <v>36.085144723504897</v>
      </c>
      <c r="I180">
        <f t="shared" ca="1" si="14"/>
        <v>1881.0922202217221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350</v>
      </c>
      <c r="B1" s="68" t="s">
        <v>351</v>
      </c>
      <c r="C1" s="32" t="s">
        <v>352</v>
      </c>
      <c r="D1" s="32" t="s">
        <v>353</v>
      </c>
      <c r="E1" s="32" t="s">
        <v>354</v>
      </c>
    </row>
    <row r="2" spans="1:5">
      <c r="A2" s="68">
        <v>0.140873</v>
      </c>
      <c r="B2" s="68">
        <v>0.59154300000000004</v>
      </c>
      <c r="C2" s="68">
        <v>0</v>
      </c>
      <c r="D2" s="68">
        <v>1</v>
      </c>
      <c r="E2" s="68" t="s">
        <v>355</v>
      </c>
    </row>
    <row r="3" spans="1:5">
      <c r="A3" s="68">
        <v>0.145428</v>
      </c>
      <c r="B3" s="68">
        <v>0.58235000000000003</v>
      </c>
      <c r="C3" s="68">
        <v>0.40467799999999998</v>
      </c>
      <c r="D3" s="89">
        <v>1</v>
      </c>
      <c r="E3" s="68" t="s">
        <v>356</v>
      </c>
    </row>
    <row r="4" spans="1:5">
      <c r="A4" s="68">
        <v>0.15002099999999999</v>
      </c>
      <c r="B4" s="68">
        <v>0.57332700000000003</v>
      </c>
      <c r="C4" s="68">
        <v>0.81208000000000002</v>
      </c>
      <c r="D4" s="89">
        <v>1</v>
      </c>
      <c r="E4" s="68" t="s">
        <v>357</v>
      </c>
    </row>
    <row r="5" spans="1:5">
      <c r="A5" s="89">
        <v>0.154807</v>
      </c>
      <c r="B5" s="89">
        <v>0.56396400000000002</v>
      </c>
      <c r="C5" s="89">
        <v>1.2195199999999999</v>
      </c>
      <c r="D5" s="89">
        <v>1</v>
      </c>
      <c r="E5" s="68" t="s">
        <v>358</v>
      </c>
    </row>
    <row r="6" spans="1:5">
      <c r="A6" s="68">
        <v>0.159551</v>
      </c>
      <c r="B6" s="68">
        <v>0.55492699999999995</v>
      </c>
      <c r="C6" s="68">
        <v>1.6228199999999999</v>
      </c>
      <c r="D6" s="68">
        <v>1</v>
      </c>
      <c r="E6" s="68" t="s">
        <v>359</v>
      </c>
    </row>
    <row r="7" spans="1:5">
      <c r="A7" s="68">
        <v>0.164297</v>
      </c>
      <c r="B7" s="68">
        <v>0.54528500000000002</v>
      </c>
      <c r="C7" s="68">
        <v>2.0276200000000002</v>
      </c>
      <c r="D7" s="68">
        <v>1</v>
      </c>
      <c r="E7" s="68" t="s">
        <v>360</v>
      </c>
    </row>
    <row r="8" spans="1:5">
      <c r="A8" s="68">
        <v>0.169406</v>
      </c>
      <c r="B8" s="68">
        <v>0.53436099999999997</v>
      </c>
      <c r="C8" s="68">
        <v>2.4356599999999999</v>
      </c>
      <c r="D8" s="68">
        <v>1</v>
      </c>
      <c r="E8" s="68" t="s">
        <v>361</v>
      </c>
    </row>
    <row r="9" spans="1:5">
      <c r="A9" s="68">
        <v>0.174646</v>
      </c>
      <c r="B9" s="68">
        <v>0.52253899999999998</v>
      </c>
      <c r="C9" s="68">
        <v>2.8413200000000001</v>
      </c>
      <c r="D9" s="68">
        <v>1</v>
      </c>
      <c r="E9" s="68" t="s">
        <v>362</v>
      </c>
    </row>
    <row r="10" spans="1:5">
      <c r="A10" s="68">
        <v>0.17990300000000001</v>
      </c>
      <c r="B10" s="68">
        <v>0.51014099999999996</v>
      </c>
      <c r="C10" s="68">
        <v>3.24674</v>
      </c>
      <c r="D10" s="68">
        <v>1</v>
      </c>
      <c r="E10" s="68" t="s">
        <v>363</v>
      </c>
    </row>
    <row r="11" spans="1:5">
      <c r="A11" s="68">
        <v>0.18517500000000001</v>
      </c>
      <c r="B11" s="68">
        <v>0.49799399999999999</v>
      </c>
      <c r="C11" s="68">
        <v>3.6567099999999999</v>
      </c>
      <c r="D11" s="68">
        <v>1</v>
      </c>
      <c r="E11" s="68" t="s">
        <v>364</v>
      </c>
    </row>
    <row r="12" spans="1:5">
      <c r="A12" s="68">
        <v>0.190613</v>
      </c>
      <c r="B12" s="68">
        <v>0.48522500000000002</v>
      </c>
      <c r="C12" s="68">
        <v>4.0611300000000004</v>
      </c>
      <c r="D12" s="68">
        <v>1</v>
      </c>
      <c r="E12" s="68" t="s">
        <v>365</v>
      </c>
    </row>
    <row r="13" spans="1:5">
      <c r="A13" s="68">
        <v>0.19636300000000001</v>
      </c>
      <c r="B13" s="68">
        <v>0.47161799999999998</v>
      </c>
      <c r="C13" s="68">
        <v>4.4680799999999996</v>
      </c>
      <c r="D13" s="68">
        <v>1</v>
      </c>
      <c r="E13" s="68" t="s">
        <v>366</v>
      </c>
    </row>
    <row r="14" spans="1:5">
      <c r="A14" s="68">
        <v>0.202179</v>
      </c>
      <c r="B14" s="68">
        <v>0.45748699999999998</v>
      </c>
      <c r="C14" s="68">
        <v>4.8728100000000003</v>
      </c>
      <c r="D14" s="68">
        <v>1</v>
      </c>
      <c r="E14" s="68" t="s">
        <v>367</v>
      </c>
    </row>
    <row r="15" spans="1:5">
      <c r="A15" s="68">
        <v>0.20807700000000001</v>
      </c>
      <c r="B15" s="68">
        <v>0.44240600000000002</v>
      </c>
      <c r="C15" s="68">
        <v>5.2787499999999996</v>
      </c>
      <c r="D15" s="68">
        <v>1</v>
      </c>
      <c r="E15" s="68" t="s">
        <v>368</v>
      </c>
    </row>
    <row r="16" spans="1:5">
      <c r="A16" s="68">
        <v>0.21424000000000001</v>
      </c>
      <c r="B16" s="68">
        <v>0.426172</v>
      </c>
      <c r="C16" s="68">
        <v>5.6848200000000002</v>
      </c>
      <c r="D16" s="68">
        <v>1</v>
      </c>
      <c r="E16" s="68" t="s">
        <v>369</v>
      </c>
    </row>
    <row r="17" spans="1:5">
      <c r="A17" s="68">
        <v>0.220244</v>
      </c>
      <c r="B17" s="68">
        <v>0.41112500000000002</v>
      </c>
      <c r="C17" s="68">
        <v>6.0929599999999997</v>
      </c>
      <c r="D17" s="68">
        <v>1</v>
      </c>
      <c r="E17" s="68" t="s">
        <v>370</v>
      </c>
    </row>
    <row r="18" spans="1:5">
      <c r="A18" s="68">
        <v>0.22578400000000001</v>
      </c>
      <c r="B18" s="68">
        <v>0.39837299999999998</v>
      </c>
      <c r="C18" s="68">
        <v>6.5017300000000002</v>
      </c>
      <c r="D18" s="68">
        <v>1</v>
      </c>
      <c r="E18" s="68" t="s">
        <v>371</v>
      </c>
    </row>
    <row r="19" spans="1:5">
      <c r="A19" s="68">
        <v>0.231069</v>
      </c>
      <c r="B19" s="68">
        <v>0.38769599999999999</v>
      </c>
      <c r="C19" s="68">
        <v>6.9022399999999999</v>
      </c>
      <c r="D19" s="68">
        <v>1</v>
      </c>
      <c r="E19" s="68" t="s">
        <v>372</v>
      </c>
    </row>
    <row r="20" spans="1:5">
      <c r="A20" s="68">
        <v>0.23667099999999999</v>
      </c>
      <c r="B20" s="68">
        <v>0.37739200000000001</v>
      </c>
      <c r="C20" s="68">
        <v>7.30844</v>
      </c>
      <c r="D20" s="68">
        <v>1</v>
      </c>
      <c r="E20" s="68" t="s">
        <v>373</v>
      </c>
    </row>
    <row r="21" spans="1:5">
      <c r="A21" s="68">
        <v>0.24208099999999999</v>
      </c>
      <c r="B21" s="68">
        <v>0.36641800000000002</v>
      </c>
      <c r="C21" s="68">
        <v>7.7182500000000003</v>
      </c>
      <c r="D21" s="68">
        <v>1</v>
      </c>
      <c r="E21" s="68" t="s">
        <v>374</v>
      </c>
    </row>
    <row r="22" spans="1:5">
      <c r="A22" s="68">
        <v>0.24718300000000001</v>
      </c>
      <c r="B22" s="68">
        <v>0.356321</v>
      </c>
      <c r="C22" s="68">
        <v>8.12012</v>
      </c>
      <c r="D22" s="68">
        <v>1</v>
      </c>
      <c r="E22" s="68" t="s">
        <v>375</v>
      </c>
    </row>
    <row r="23" spans="1:5">
      <c r="A23" s="68">
        <v>0.25184800000000002</v>
      </c>
      <c r="B23" s="68">
        <v>0.34754600000000002</v>
      </c>
      <c r="C23" s="68">
        <v>8.5291599999999992</v>
      </c>
      <c r="D23" s="68">
        <v>1</v>
      </c>
      <c r="E23" s="68" t="s">
        <v>376</v>
      </c>
    </row>
    <row r="24" spans="1:5">
      <c r="A24" s="68">
        <v>0.25607799999999997</v>
      </c>
      <c r="B24" s="68">
        <v>0.34011200000000003</v>
      </c>
      <c r="C24" s="68">
        <v>8.9363200000000003</v>
      </c>
      <c r="D24" s="68">
        <v>1</v>
      </c>
      <c r="E24" s="68" t="s">
        <v>377</v>
      </c>
    </row>
    <row r="25" spans="1:5">
      <c r="A25" s="68">
        <v>0.25998500000000002</v>
      </c>
      <c r="B25" s="68">
        <v>0.33416299999999999</v>
      </c>
      <c r="C25" s="68">
        <v>9.3441100000000006</v>
      </c>
      <c r="D25" s="68">
        <v>1</v>
      </c>
      <c r="E25" s="68" t="s">
        <v>378</v>
      </c>
    </row>
    <row r="26" spans="1:5">
      <c r="A26" s="68">
        <v>0.26359900000000003</v>
      </c>
      <c r="B26" s="68">
        <v>0.32972200000000002</v>
      </c>
      <c r="C26" s="68">
        <v>9.7478899999999999</v>
      </c>
      <c r="D26" s="68">
        <v>1</v>
      </c>
      <c r="E26" s="68" t="s">
        <v>379</v>
      </c>
    </row>
    <row r="27" spans="1:5">
      <c r="A27" s="68">
        <v>0.267069</v>
      </c>
      <c r="B27" s="68">
        <v>0.32614500000000002</v>
      </c>
      <c r="C27" s="68">
        <v>10.1546</v>
      </c>
      <c r="D27" s="68">
        <v>1</v>
      </c>
      <c r="E27" s="68" t="s">
        <v>380</v>
      </c>
    </row>
    <row r="28" spans="1:5">
      <c r="A28" s="68">
        <v>0.27033600000000002</v>
      </c>
      <c r="B28" s="68">
        <v>0.32330300000000001</v>
      </c>
      <c r="C28" s="68">
        <v>10.559699999999999</v>
      </c>
      <c r="D28" s="68">
        <v>1</v>
      </c>
      <c r="E28" s="68" t="s">
        <v>381</v>
      </c>
    </row>
    <row r="29" spans="1:5">
      <c r="A29" s="68">
        <v>0.27358500000000002</v>
      </c>
      <c r="B29" s="68">
        <v>0.320245</v>
      </c>
      <c r="C29" s="68">
        <v>10.9686</v>
      </c>
      <c r="D29" s="68">
        <v>1</v>
      </c>
      <c r="E29" s="68" t="s">
        <v>382</v>
      </c>
    </row>
    <row r="30" spans="1:5">
      <c r="A30" s="68">
        <v>0.27688200000000002</v>
      </c>
      <c r="B30" s="68">
        <v>0.31670100000000001</v>
      </c>
      <c r="C30" s="68">
        <v>11.372400000000001</v>
      </c>
      <c r="D30" s="68">
        <v>1</v>
      </c>
      <c r="E30" s="68" t="s">
        <v>383</v>
      </c>
    </row>
    <row r="31" spans="1:5">
      <c r="A31" s="68">
        <v>0.27996300000000002</v>
      </c>
      <c r="B31" s="68">
        <v>0.313753</v>
      </c>
      <c r="C31" s="68">
        <v>11.78</v>
      </c>
      <c r="D31" s="68">
        <v>1</v>
      </c>
      <c r="E31" s="68" t="s">
        <v>384</v>
      </c>
    </row>
    <row r="32" spans="1:5">
      <c r="A32" s="68">
        <v>0.282947</v>
      </c>
      <c r="B32" s="68">
        <v>0.31127100000000002</v>
      </c>
      <c r="C32" s="68">
        <v>12.184799999999999</v>
      </c>
      <c r="D32" s="68">
        <v>1</v>
      </c>
      <c r="E32" s="68" t="s">
        <v>385</v>
      </c>
    </row>
    <row r="33" spans="1:5">
      <c r="A33" s="68">
        <v>0.28583999999999998</v>
      </c>
      <c r="B33" s="68">
        <v>0.30859199999999998</v>
      </c>
      <c r="C33" s="68">
        <v>12.5907</v>
      </c>
      <c r="D33" s="68">
        <v>1</v>
      </c>
      <c r="E33" s="68" t="s">
        <v>386</v>
      </c>
    </row>
    <row r="34" spans="1:5">
      <c r="A34" s="68">
        <v>0.28834300000000002</v>
      </c>
      <c r="B34" s="68">
        <v>0.30636000000000002</v>
      </c>
      <c r="C34" s="68">
        <v>12.9969</v>
      </c>
      <c r="D34" s="68">
        <v>1</v>
      </c>
      <c r="E34" s="68" t="s">
        <v>387</v>
      </c>
    </row>
    <row r="35" spans="1:5">
      <c r="A35" s="68">
        <v>0.29060200000000003</v>
      </c>
      <c r="B35" s="68">
        <v>0.30414600000000003</v>
      </c>
      <c r="C35" s="68">
        <v>13.405799999999999</v>
      </c>
      <c r="D35" s="68">
        <v>1</v>
      </c>
      <c r="E35" s="68" t="s">
        <v>388</v>
      </c>
    </row>
    <row r="36" spans="1:5">
      <c r="A36" s="68">
        <v>0.29276999999999997</v>
      </c>
      <c r="B36" s="68">
        <v>0.30223699999999998</v>
      </c>
      <c r="C36" s="68">
        <v>13.8104</v>
      </c>
      <c r="D36" s="68">
        <v>1</v>
      </c>
      <c r="E36" s="68" t="s">
        <v>389</v>
      </c>
    </row>
    <row r="37" spans="1:5">
      <c r="A37" s="68">
        <v>0.294819</v>
      </c>
      <c r="B37" s="68">
        <v>0.30063899999999999</v>
      </c>
      <c r="C37" s="68">
        <v>14.2171</v>
      </c>
      <c r="D37" s="68">
        <v>1</v>
      </c>
      <c r="E37" s="68" t="s">
        <v>390</v>
      </c>
    </row>
    <row r="38" spans="1:5">
      <c r="A38" s="68">
        <v>0.296543</v>
      </c>
      <c r="B38" s="68">
        <v>0.298952</v>
      </c>
      <c r="C38" s="68">
        <v>14.622400000000001</v>
      </c>
      <c r="D38" s="68">
        <v>1</v>
      </c>
      <c r="E38" s="68" t="s">
        <v>391</v>
      </c>
    </row>
    <row r="39" spans="1:5">
      <c r="A39" s="68">
        <v>0.29800900000000002</v>
      </c>
      <c r="B39" s="68">
        <v>0.29800399999999999</v>
      </c>
      <c r="C39" s="68">
        <v>15.028</v>
      </c>
      <c r="D39" s="68">
        <v>1</v>
      </c>
      <c r="E39" s="68" t="s">
        <v>392</v>
      </c>
    </row>
    <row r="40" spans="1:5">
      <c r="A40" s="68">
        <v>0.29927900000000002</v>
      </c>
      <c r="B40" s="68">
        <v>0.29802899999999999</v>
      </c>
      <c r="C40" s="68">
        <v>15.437799999999999</v>
      </c>
      <c r="D40" s="68">
        <v>1</v>
      </c>
      <c r="E40" s="68" t="s">
        <v>393</v>
      </c>
    </row>
    <row r="41" spans="1:5">
      <c r="A41" s="68">
        <v>0.30010100000000001</v>
      </c>
      <c r="B41" s="68">
        <v>0.29899799999999999</v>
      </c>
      <c r="C41" s="68">
        <v>15.842599999999999</v>
      </c>
      <c r="D41" s="68">
        <v>1</v>
      </c>
      <c r="E41" s="68" t="s">
        <v>394</v>
      </c>
    </row>
    <row r="42" spans="1:5">
      <c r="A42" s="68">
        <v>0.30036400000000002</v>
      </c>
      <c r="B42" s="68">
        <v>0.30025000000000002</v>
      </c>
      <c r="C42" s="68">
        <v>16.2471</v>
      </c>
      <c r="D42" s="68">
        <v>1</v>
      </c>
      <c r="E42" s="68" t="s">
        <v>395</v>
      </c>
    </row>
    <row r="43" spans="1:5">
      <c r="A43" s="68">
        <v>0.300539</v>
      </c>
      <c r="B43" s="68">
        <v>0.30087199999999997</v>
      </c>
      <c r="C43" s="68">
        <v>16.652999999999999</v>
      </c>
      <c r="D43" s="68">
        <v>1</v>
      </c>
      <c r="E43" s="68" t="s">
        <v>396</v>
      </c>
    </row>
    <row r="44" spans="1:5">
      <c r="A44" s="68">
        <v>0.301089</v>
      </c>
      <c r="B44" s="68">
        <v>0.30153200000000002</v>
      </c>
      <c r="C44" s="68">
        <v>17.063400000000001</v>
      </c>
      <c r="D44" s="68">
        <v>1</v>
      </c>
      <c r="E44" s="68" t="s">
        <v>397</v>
      </c>
    </row>
    <row r="45" spans="1:5">
      <c r="A45" s="68">
        <v>0.30110900000000002</v>
      </c>
      <c r="B45" s="68">
        <v>0.30214099999999999</v>
      </c>
      <c r="C45" s="68">
        <v>17.468399999999999</v>
      </c>
      <c r="D45" s="68">
        <v>1</v>
      </c>
      <c r="E45" s="68" t="s">
        <v>398</v>
      </c>
    </row>
    <row r="46" spans="1:5">
      <c r="A46" s="68">
        <v>0.30098999999999998</v>
      </c>
      <c r="B46" s="68">
        <v>0.30443300000000001</v>
      </c>
      <c r="C46" s="68">
        <v>17.871700000000001</v>
      </c>
      <c r="D46" s="68">
        <v>1</v>
      </c>
      <c r="E46" s="68" t="s">
        <v>399</v>
      </c>
    </row>
    <row r="47" spans="1:5">
      <c r="A47" s="68">
        <v>0.30091499999999999</v>
      </c>
      <c r="B47" s="68">
        <v>0.30721500000000002</v>
      </c>
      <c r="C47" s="68">
        <v>18.278099999999998</v>
      </c>
      <c r="D47" s="68">
        <v>1</v>
      </c>
      <c r="E47" s="68" t="s">
        <v>400</v>
      </c>
    </row>
    <row r="48" spans="1:5">
      <c r="A48" s="68">
        <v>0.301232</v>
      </c>
      <c r="B48" s="68">
        <v>0.31016899999999997</v>
      </c>
      <c r="C48" s="68">
        <v>18.685600000000001</v>
      </c>
      <c r="D48" s="68">
        <v>1</v>
      </c>
      <c r="E48" s="68" t="s">
        <v>401</v>
      </c>
    </row>
    <row r="49" spans="1:5">
      <c r="A49" s="68">
        <v>0.30136400000000002</v>
      </c>
      <c r="B49" s="68">
        <v>0.31273499999999999</v>
      </c>
      <c r="C49" s="68">
        <v>19.090900000000001</v>
      </c>
      <c r="D49" s="68">
        <v>1</v>
      </c>
      <c r="E49" s="68" t="s">
        <v>402</v>
      </c>
    </row>
    <row r="50" spans="1:5">
      <c r="A50" s="68">
        <v>0.30182199999999998</v>
      </c>
      <c r="B50" s="68">
        <v>0.31419799999999998</v>
      </c>
      <c r="C50" s="68">
        <v>19.498100000000001</v>
      </c>
      <c r="D50" s="68">
        <v>1</v>
      </c>
      <c r="E50" s="68" t="s">
        <v>403</v>
      </c>
    </row>
    <row r="51" spans="1:5">
      <c r="A51" s="68">
        <v>0.30262499999999998</v>
      </c>
      <c r="B51" s="68">
        <v>0.31476700000000002</v>
      </c>
      <c r="C51" s="68">
        <v>19.9053</v>
      </c>
      <c r="D51" s="68">
        <v>1</v>
      </c>
      <c r="E51" s="68" t="s">
        <v>404</v>
      </c>
    </row>
    <row r="52" spans="1:5">
      <c r="A52" s="68">
        <v>0.30330699999999999</v>
      </c>
      <c r="B52" s="68">
        <v>0.31509399999999999</v>
      </c>
      <c r="C52" s="68">
        <v>20.312000000000001</v>
      </c>
      <c r="D52" s="68">
        <v>1</v>
      </c>
      <c r="E52" s="68" t="s">
        <v>405</v>
      </c>
    </row>
    <row r="53" spans="1:5">
      <c r="A53" s="68">
        <v>0.30436600000000003</v>
      </c>
      <c r="B53" s="68">
        <v>0.31533</v>
      </c>
      <c r="C53" s="68">
        <v>20.715599999999998</v>
      </c>
      <c r="D53" s="68">
        <v>1</v>
      </c>
      <c r="E53" s="68" t="s">
        <v>406</v>
      </c>
    </row>
    <row r="54" spans="1:5">
      <c r="A54" s="68">
        <v>0.305562</v>
      </c>
      <c r="B54" s="68">
        <v>0.31595600000000001</v>
      </c>
      <c r="C54" s="68">
        <v>21.122499999999999</v>
      </c>
      <c r="D54" s="68">
        <v>1</v>
      </c>
      <c r="E54" s="68" t="s">
        <v>407</v>
      </c>
    </row>
    <row r="55" spans="1:5">
      <c r="A55" s="68">
        <v>0.30665399999999998</v>
      </c>
      <c r="B55" s="68">
        <v>0.31653100000000001</v>
      </c>
      <c r="C55" s="68">
        <v>21.529900000000001</v>
      </c>
      <c r="D55" s="68">
        <v>1</v>
      </c>
      <c r="E55" s="68" t="s">
        <v>408</v>
      </c>
    </row>
    <row r="56" spans="1:5">
      <c r="A56" s="68">
        <v>0.30732500000000001</v>
      </c>
      <c r="B56" s="68">
        <v>0.31725100000000001</v>
      </c>
      <c r="C56" s="68">
        <v>21.933900000000001</v>
      </c>
      <c r="D56" s="68">
        <v>1</v>
      </c>
      <c r="E56" s="68" t="s">
        <v>409</v>
      </c>
    </row>
    <row r="57" spans="1:5">
      <c r="A57" s="68">
        <v>0.30826700000000001</v>
      </c>
      <c r="B57" s="68">
        <v>0.317743</v>
      </c>
      <c r="C57" s="68">
        <v>22.341999999999999</v>
      </c>
      <c r="D57" s="68">
        <v>1</v>
      </c>
      <c r="E57" s="68" t="s">
        <v>410</v>
      </c>
    </row>
    <row r="58" spans="1:5">
      <c r="A58" s="68">
        <v>0.30904799999999999</v>
      </c>
      <c r="B58" s="68">
        <v>0.31819799999999998</v>
      </c>
      <c r="C58" s="68">
        <v>22.7454</v>
      </c>
      <c r="D58" s="68">
        <v>1</v>
      </c>
      <c r="E58" s="68" t="s">
        <v>411</v>
      </c>
    </row>
    <row r="59" spans="1:5">
      <c r="A59" s="68">
        <v>0.31027900000000003</v>
      </c>
      <c r="B59" s="68">
        <v>0.31797599999999998</v>
      </c>
      <c r="C59" s="68">
        <v>23.153400000000001</v>
      </c>
      <c r="D59" s="68">
        <v>1</v>
      </c>
      <c r="E59" s="68" t="s">
        <v>412</v>
      </c>
    </row>
    <row r="60" spans="1:5">
      <c r="A60" s="68">
        <v>0.31156400000000001</v>
      </c>
      <c r="B60" s="68">
        <v>0.31837100000000002</v>
      </c>
      <c r="C60" s="68">
        <v>23.559799999999999</v>
      </c>
      <c r="D60" s="68">
        <v>1</v>
      </c>
      <c r="E60" s="68" t="s">
        <v>413</v>
      </c>
    </row>
    <row r="61" spans="1:5">
      <c r="A61" s="68">
        <v>0.313058</v>
      </c>
      <c r="B61" s="68">
        <v>0.31841900000000001</v>
      </c>
      <c r="C61" s="68">
        <v>23.967600000000001</v>
      </c>
      <c r="D61" s="68">
        <v>1</v>
      </c>
      <c r="E61" s="68" t="s">
        <v>414</v>
      </c>
    </row>
    <row r="62" spans="1:5">
      <c r="A62" s="68">
        <v>0.31492199999999998</v>
      </c>
      <c r="B62" s="68">
        <v>0.31797900000000001</v>
      </c>
      <c r="C62" s="68">
        <v>24.371400000000001</v>
      </c>
      <c r="D62" s="68">
        <v>1</v>
      </c>
      <c r="E62" s="68" t="s">
        <v>415</v>
      </c>
    </row>
    <row r="63" spans="1:5">
      <c r="A63" s="68">
        <v>0.31743900000000003</v>
      </c>
      <c r="B63" s="68">
        <v>0.31694299999999997</v>
      </c>
      <c r="C63" s="68">
        <v>24.780200000000001</v>
      </c>
      <c r="D63" s="68">
        <v>1</v>
      </c>
      <c r="E63" s="68" t="s">
        <v>416</v>
      </c>
    </row>
    <row r="64" spans="1:5">
      <c r="A64" s="68">
        <v>0.31939699999999999</v>
      </c>
      <c r="B64" s="68">
        <v>0.316137</v>
      </c>
      <c r="C64" s="68">
        <v>25.1877</v>
      </c>
      <c r="D64" s="68">
        <v>1</v>
      </c>
      <c r="E64" s="68" t="s">
        <v>417</v>
      </c>
    </row>
    <row r="65" spans="1:5">
      <c r="A65" s="68">
        <v>0.32070399999999999</v>
      </c>
      <c r="B65" s="68">
        <v>0.315637</v>
      </c>
      <c r="C65" s="68">
        <v>25.590599999999998</v>
      </c>
      <c r="D65" s="68">
        <v>1</v>
      </c>
      <c r="E65" s="68" t="s">
        <v>418</v>
      </c>
    </row>
    <row r="66" spans="1:5">
      <c r="A66" s="68">
        <v>0.32291999999999998</v>
      </c>
      <c r="B66" s="68">
        <v>0.31393399999999999</v>
      </c>
      <c r="C66" s="68">
        <v>25.996300000000002</v>
      </c>
      <c r="D66" s="68">
        <v>1</v>
      </c>
      <c r="E66" s="68" t="s">
        <v>419</v>
      </c>
    </row>
    <row r="67" spans="1:5">
      <c r="A67" s="68">
        <v>0.32639499999999999</v>
      </c>
      <c r="B67" s="68">
        <v>0.31102600000000002</v>
      </c>
      <c r="C67" s="68">
        <v>26.403400000000001</v>
      </c>
      <c r="D67" s="68">
        <v>1</v>
      </c>
      <c r="E67" s="68" t="s">
        <v>420</v>
      </c>
    </row>
    <row r="68" spans="1:5">
      <c r="A68" s="68">
        <v>0.32944200000000001</v>
      </c>
      <c r="B68" s="68">
        <v>0.30849799999999999</v>
      </c>
      <c r="C68" s="68">
        <v>26.8123</v>
      </c>
      <c r="D68" s="68">
        <v>1</v>
      </c>
      <c r="E68" s="68" t="s">
        <v>421</v>
      </c>
    </row>
    <row r="69" spans="1:5">
      <c r="A69" s="68">
        <v>0.33136900000000002</v>
      </c>
      <c r="B69" s="68">
        <v>0.30701800000000001</v>
      </c>
      <c r="C69" s="68">
        <v>27.215900000000001</v>
      </c>
      <c r="D69" s="68">
        <v>1</v>
      </c>
      <c r="E69" s="68" t="s">
        <v>422</v>
      </c>
    </row>
    <row r="70" spans="1:5">
      <c r="A70" s="68">
        <v>0.33469300000000002</v>
      </c>
      <c r="B70" s="68">
        <v>0.30408200000000002</v>
      </c>
      <c r="C70" s="68">
        <v>27.6251</v>
      </c>
      <c r="D70" s="68">
        <v>1</v>
      </c>
      <c r="E70" s="68" t="s">
        <v>423</v>
      </c>
    </row>
    <row r="71" spans="1:5">
      <c r="A71" s="68">
        <v>0.33652199999999999</v>
      </c>
      <c r="B71" s="68">
        <v>0.30353999999999998</v>
      </c>
      <c r="C71" s="68">
        <v>28.0304</v>
      </c>
      <c r="D71" s="68">
        <v>1</v>
      </c>
      <c r="E71" s="68" t="s">
        <v>424</v>
      </c>
    </row>
    <row r="72" spans="1:5">
      <c r="A72" s="68">
        <v>0.33816099999999999</v>
      </c>
      <c r="B72" s="68">
        <v>0.30335600000000001</v>
      </c>
      <c r="C72" s="68">
        <v>28.435500000000001</v>
      </c>
      <c r="D72" s="68">
        <v>1</v>
      </c>
      <c r="E72" s="68" t="s">
        <v>425</v>
      </c>
    </row>
    <row r="73" spans="1:5">
      <c r="A73" s="68">
        <v>0.33935799999999999</v>
      </c>
      <c r="B73" s="68">
        <v>0.30298399999999998</v>
      </c>
      <c r="C73" s="68">
        <v>28.843599999999999</v>
      </c>
      <c r="D73" s="68">
        <v>1</v>
      </c>
      <c r="E73" s="68" t="s">
        <v>426</v>
      </c>
    </row>
    <row r="74" spans="1:5">
      <c r="A74" s="68">
        <v>0.34067199999999997</v>
      </c>
      <c r="B74" s="68">
        <v>0.30289700000000003</v>
      </c>
      <c r="C74" s="68">
        <v>29.248100000000001</v>
      </c>
      <c r="D74" s="68">
        <v>1</v>
      </c>
      <c r="E74" s="68" t="s">
        <v>427</v>
      </c>
    </row>
    <row r="75" spans="1:5">
      <c r="A75" s="68">
        <v>0.34140999999999999</v>
      </c>
      <c r="B75" s="68">
        <v>0.30368000000000001</v>
      </c>
      <c r="C75" s="68">
        <v>29.654499999999999</v>
      </c>
      <c r="D75" s="68">
        <v>1</v>
      </c>
      <c r="E75" s="68" t="s">
        <v>428</v>
      </c>
    </row>
    <row r="76" spans="1:5">
      <c r="A76" s="68">
        <v>0.34234700000000001</v>
      </c>
      <c r="B76" s="68">
        <v>0.30390899999999998</v>
      </c>
      <c r="C76" s="68">
        <v>30.06</v>
      </c>
      <c r="D76" s="68">
        <v>2</v>
      </c>
      <c r="E76" s="68" t="s">
        <v>429</v>
      </c>
    </row>
    <row r="77" spans="1:5">
      <c r="A77" s="68">
        <v>0.343277</v>
      </c>
      <c r="B77" s="68">
        <v>0.30533399999999999</v>
      </c>
      <c r="C77" s="68">
        <v>30.519200000000001</v>
      </c>
      <c r="D77" s="68">
        <v>2</v>
      </c>
      <c r="E77" s="68" t="s">
        <v>430</v>
      </c>
    </row>
    <row r="78" spans="1:5">
      <c r="A78" s="68">
        <v>0.34387099999999998</v>
      </c>
      <c r="B78" s="68">
        <v>0.30670700000000001</v>
      </c>
      <c r="C78" s="68">
        <v>30.9252</v>
      </c>
      <c r="D78" s="68">
        <v>2</v>
      </c>
      <c r="E78" s="68" t="s">
        <v>431</v>
      </c>
    </row>
    <row r="79" spans="1:5">
      <c r="A79" s="68">
        <v>0.34437000000000001</v>
      </c>
      <c r="B79" s="68">
        <v>0.30805700000000003</v>
      </c>
      <c r="C79" s="68">
        <v>31.3278</v>
      </c>
      <c r="D79" s="68">
        <v>2</v>
      </c>
      <c r="E79" s="68" t="s">
        <v>432</v>
      </c>
    </row>
    <row r="80" spans="1:5">
      <c r="A80" s="68">
        <v>0.34418300000000002</v>
      </c>
      <c r="B80" s="68">
        <v>0.30961499999999997</v>
      </c>
      <c r="C80" s="68">
        <v>31.733000000000001</v>
      </c>
      <c r="D80" s="68">
        <v>2</v>
      </c>
      <c r="E80" s="68" t="s">
        <v>433</v>
      </c>
    </row>
    <row r="81" spans="1:5">
      <c r="A81" s="68">
        <v>0.343889</v>
      </c>
      <c r="B81" s="68">
        <v>0.31096699999999999</v>
      </c>
      <c r="C81" s="68">
        <v>32.143000000000001</v>
      </c>
      <c r="D81" s="68">
        <v>2</v>
      </c>
      <c r="E81" s="68" t="s">
        <v>434</v>
      </c>
    </row>
    <row r="82" spans="1:5">
      <c r="A82" s="68">
        <v>0.34348200000000001</v>
      </c>
      <c r="B82" s="68">
        <v>0.31176900000000002</v>
      </c>
      <c r="C82" s="68">
        <v>32.5473</v>
      </c>
      <c r="D82" s="68">
        <v>2</v>
      </c>
      <c r="E82" s="68" t="s">
        <v>435</v>
      </c>
    </row>
    <row r="83" spans="1:5">
      <c r="A83" s="68">
        <v>0.34320699999999998</v>
      </c>
      <c r="B83" s="68">
        <v>0.31198300000000001</v>
      </c>
      <c r="C83" s="68">
        <v>32.952800000000003</v>
      </c>
      <c r="D83" s="68">
        <v>2</v>
      </c>
      <c r="E83" s="68" t="s">
        <v>436</v>
      </c>
    </row>
    <row r="84" spans="1:5">
      <c r="A84" s="68">
        <v>0.34291500000000003</v>
      </c>
      <c r="B84" s="68">
        <v>0.311865</v>
      </c>
      <c r="C84" s="68">
        <v>33.357300000000002</v>
      </c>
      <c r="D84" s="68">
        <v>2</v>
      </c>
      <c r="E84" s="68" t="s">
        <v>437</v>
      </c>
    </row>
    <row r="85" spans="1:5">
      <c r="A85" s="68">
        <v>0.34238800000000003</v>
      </c>
      <c r="B85" s="68">
        <v>0.31174099999999999</v>
      </c>
      <c r="C85" s="68">
        <v>33.763300000000001</v>
      </c>
      <c r="D85" s="68">
        <v>2</v>
      </c>
      <c r="E85" s="68" t="s">
        <v>438</v>
      </c>
    </row>
    <row r="86" spans="1:5">
      <c r="A86" s="68">
        <v>0.341256</v>
      </c>
      <c r="B86" s="68">
        <v>0.31204700000000002</v>
      </c>
      <c r="C86" s="68">
        <v>34.171599999999998</v>
      </c>
      <c r="D86" s="68">
        <v>2</v>
      </c>
      <c r="E86" s="68" t="s">
        <v>439</v>
      </c>
    </row>
    <row r="87" spans="1:5">
      <c r="A87" s="68">
        <v>0.339698</v>
      </c>
      <c r="B87" s="68">
        <v>0.31295899999999999</v>
      </c>
      <c r="C87" s="68">
        <v>34.581099999999999</v>
      </c>
      <c r="D87" s="68">
        <v>2</v>
      </c>
      <c r="E87" s="68" t="s">
        <v>440</v>
      </c>
    </row>
    <row r="88" spans="1:5">
      <c r="A88" s="68">
        <v>0.33800000000000002</v>
      </c>
      <c r="B88" s="68">
        <v>0.31455499999999997</v>
      </c>
      <c r="C88" s="68">
        <v>34.983899999999998</v>
      </c>
      <c r="D88" s="68">
        <v>2</v>
      </c>
      <c r="E88" s="68" t="s">
        <v>441</v>
      </c>
    </row>
    <row r="89" spans="1:5">
      <c r="A89" s="68">
        <v>0.33577099999999999</v>
      </c>
      <c r="B89" s="68">
        <v>0.31637599999999999</v>
      </c>
      <c r="C89" s="68">
        <v>35.39</v>
      </c>
      <c r="D89" s="68">
        <v>2</v>
      </c>
      <c r="E89" s="68" t="s">
        <v>442</v>
      </c>
    </row>
    <row r="90" spans="1:5">
      <c r="A90" s="68">
        <v>0.332897</v>
      </c>
      <c r="B90" s="68">
        <v>0.318664</v>
      </c>
      <c r="C90" s="68">
        <v>35.794199999999996</v>
      </c>
      <c r="D90" s="68">
        <v>2</v>
      </c>
      <c r="E90" s="68" t="s">
        <v>443</v>
      </c>
    </row>
    <row r="91" spans="1:5">
      <c r="A91" s="68">
        <v>0.33021800000000001</v>
      </c>
      <c r="B91" s="68">
        <v>0.320938</v>
      </c>
      <c r="C91" s="68">
        <v>36.200400000000002</v>
      </c>
      <c r="D91" s="68">
        <v>2</v>
      </c>
      <c r="E91" s="68" t="s">
        <v>444</v>
      </c>
    </row>
    <row r="92" spans="1:5">
      <c r="A92" s="68">
        <v>0.32722200000000001</v>
      </c>
      <c r="B92" s="68">
        <v>0.32477099999999998</v>
      </c>
      <c r="C92" s="68">
        <v>36.607599999999998</v>
      </c>
      <c r="D92" s="68">
        <v>2</v>
      </c>
      <c r="E92" s="68" t="s">
        <v>445</v>
      </c>
    </row>
    <row r="93" spans="1:5">
      <c r="A93" s="68">
        <v>0.32382499999999997</v>
      </c>
      <c r="B93" s="68">
        <v>0.32992100000000002</v>
      </c>
      <c r="C93" s="68">
        <v>37.0124</v>
      </c>
      <c r="D93" s="68">
        <v>2</v>
      </c>
      <c r="E93" s="68" t="s">
        <v>446</v>
      </c>
    </row>
    <row r="94" spans="1:5">
      <c r="A94" s="68">
        <v>0.32020900000000002</v>
      </c>
      <c r="B94" s="68">
        <v>0.33589999999999998</v>
      </c>
      <c r="C94" s="68">
        <v>37.421700000000001</v>
      </c>
      <c r="D94" s="68">
        <v>2</v>
      </c>
      <c r="E94" s="68" t="s">
        <v>447</v>
      </c>
    </row>
    <row r="95" spans="1:5">
      <c r="A95" s="68">
        <v>0.31689699999999998</v>
      </c>
      <c r="B95" s="68">
        <v>0.34161200000000003</v>
      </c>
      <c r="C95" s="68">
        <v>37.826700000000002</v>
      </c>
      <c r="D95" s="68">
        <v>2</v>
      </c>
      <c r="E95" s="68" t="s">
        <v>448</v>
      </c>
    </row>
    <row r="96" spans="1:5">
      <c r="A96" s="68">
        <v>0.31391999999999998</v>
      </c>
      <c r="B96" s="68">
        <v>0.346331</v>
      </c>
      <c r="C96" s="68">
        <v>38.232500000000002</v>
      </c>
      <c r="D96" s="68">
        <v>2</v>
      </c>
      <c r="E96" s="68" t="s">
        <v>449</v>
      </c>
    </row>
    <row r="97" spans="1:5">
      <c r="A97" s="68">
        <v>0.310778</v>
      </c>
      <c r="B97" s="68">
        <v>0.350908</v>
      </c>
      <c r="C97" s="68">
        <v>38.6389</v>
      </c>
      <c r="D97" s="68">
        <v>2</v>
      </c>
      <c r="E97" s="68" t="s">
        <v>450</v>
      </c>
    </row>
    <row r="98" spans="1:5">
      <c r="A98" s="68">
        <v>0.30784499999999998</v>
      </c>
      <c r="B98" s="68">
        <v>0.35543200000000003</v>
      </c>
      <c r="C98" s="68">
        <v>39.046500000000002</v>
      </c>
      <c r="D98" s="68">
        <v>2</v>
      </c>
      <c r="E98" s="68" t="s">
        <v>451</v>
      </c>
    </row>
    <row r="99" spans="1:5">
      <c r="A99" s="68">
        <v>0.30524899999999999</v>
      </c>
      <c r="B99" s="68">
        <v>0.36004900000000001</v>
      </c>
      <c r="C99" s="68">
        <v>39.4512</v>
      </c>
      <c r="D99" s="68">
        <v>2</v>
      </c>
      <c r="E99" s="68" t="s">
        <v>452</v>
      </c>
    </row>
    <row r="100" spans="1:5">
      <c r="A100" s="68">
        <v>0.30290499999999998</v>
      </c>
      <c r="B100" s="68">
        <v>0.36472399999999999</v>
      </c>
      <c r="C100" s="68">
        <v>39.860999999999997</v>
      </c>
      <c r="D100" s="68">
        <v>2</v>
      </c>
      <c r="E100" s="68" t="s">
        <v>453</v>
      </c>
    </row>
    <row r="101" spans="1:5">
      <c r="A101" s="68">
        <v>0.30057600000000001</v>
      </c>
      <c r="B101" s="68">
        <v>0.37044300000000002</v>
      </c>
      <c r="C101" s="68">
        <v>40.265099999999997</v>
      </c>
      <c r="D101" s="68">
        <v>2</v>
      </c>
      <c r="E101" s="68" t="s">
        <v>454</v>
      </c>
    </row>
    <row r="102" spans="1:5">
      <c r="A102" s="68">
        <v>0.297962</v>
      </c>
      <c r="B102" s="68">
        <v>0.37684400000000001</v>
      </c>
      <c r="C102" s="68">
        <v>40.667900000000003</v>
      </c>
      <c r="D102" s="68">
        <v>2</v>
      </c>
      <c r="E102" s="68" t="s">
        <v>455</v>
      </c>
    </row>
    <row r="103" spans="1:5">
      <c r="A103" s="68">
        <v>0.295821</v>
      </c>
      <c r="B103" s="68">
        <v>0.38254199999999999</v>
      </c>
      <c r="C103" s="68">
        <v>41.076700000000002</v>
      </c>
      <c r="D103" s="68">
        <v>2</v>
      </c>
      <c r="E103" s="68" t="s">
        <v>456</v>
      </c>
    </row>
    <row r="104" spans="1:5">
      <c r="A104" s="68">
        <v>0.29392400000000002</v>
      </c>
      <c r="B104" s="68">
        <v>0.38853900000000002</v>
      </c>
      <c r="C104" s="68">
        <v>41.482300000000002</v>
      </c>
      <c r="D104" s="68">
        <v>2</v>
      </c>
      <c r="E104" s="68" t="s">
        <v>457</v>
      </c>
    </row>
    <row r="105" spans="1:5">
      <c r="A105" s="68">
        <v>0.29264699999999999</v>
      </c>
      <c r="B105" s="68">
        <v>0.39317800000000003</v>
      </c>
      <c r="C105" s="68">
        <v>41.890900000000002</v>
      </c>
      <c r="D105" s="68">
        <v>2</v>
      </c>
      <c r="E105" s="68" t="s">
        <v>458</v>
      </c>
    </row>
    <row r="106" spans="1:5">
      <c r="A106" s="68">
        <v>0.29181000000000001</v>
      </c>
      <c r="B106" s="68">
        <v>0.39716600000000002</v>
      </c>
      <c r="C106" s="68">
        <v>42.293999999999997</v>
      </c>
      <c r="D106" s="68">
        <v>2</v>
      </c>
      <c r="E106" s="68" t="s">
        <v>459</v>
      </c>
    </row>
    <row r="107" spans="1:5">
      <c r="A107" s="68">
        <v>0.29122799999999999</v>
      </c>
      <c r="B107" s="68">
        <v>0.40110699999999999</v>
      </c>
      <c r="C107" s="68">
        <v>42.700299999999999</v>
      </c>
      <c r="D107" s="68">
        <v>2</v>
      </c>
      <c r="E107" s="68" t="s">
        <v>460</v>
      </c>
    </row>
    <row r="108" spans="1:5">
      <c r="A108" s="68">
        <v>0.29058899999999999</v>
      </c>
      <c r="B108" s="68">
        <v>0.40666000000000002</v>
      </c>
      <c r="C108" s="68">
        <v>43.107599999999998</v>
      </c>
      <c r="D108" s="68">
        <v>2</v>
      </c>
      <c r="E108" s="68" t="s">
        <v>461</v>
      </c>
    </row>
    <row r="109" spans="1:5">
      <c r="A109" s="68">
        <v>0.28987299999999999</v>
      </c>
      <c r="B109" s="68">
        <v>0.41269499999999998</v>
      </c>
      <c r="C109" s="68">
        <v>43.514299999999999</v>
      </c>
      <c r="D109" s="68">
        <v>2</v>
      </c>
      <c r="E109" s="68" t="s">
        <v>462</v>
      </c>
    </row>
    <row r="110" spans="1:5">
      <c r="A110" s="68">
        <v>0.28909099999999999</v>
      </c>
      <c r="B110" s="68">
        <v>0.41827300000000001</v>
      </c>
      <c r="C110" s="68">
        <v>43.922199999999997</v>
      </c>
      <c r="D110" s="68">
        <v>2</v>
      </c>
      <c r="E110" s="68" t="s">
        <v>463</v>
      </c>
    </row>
    <row r="111" spans="1:5">
      <c r="A111" s="68">
        <v>0.28828399999999998</v>
      </c>
      <c r="B111" s="68">
        <v>0.42329600000000001</v>
      </c>
      <c r="C111" s="68">
        <v>44.326900000000002</v>
      </c>
      <c r="D111" s="68">
        <v>2</v>
      </c>
      <c r="E111" s="68" t="s">
        <v>464</v>
      </c>
    </row>
    <row r="112" spans="1:5">
      <c r="A112" s="68">
        <v>0.28800900000000001</v>
      </c>
      <c r="B112" s="68">
        <v>0.42692799999999997</v>
      </c>
      <c r="C112" s="68">
        <v>44.734200000000001</v>
      </c>
      <c r="D112" s="68">
        <v>2</v>
      </c>
      <c r="E112" s="68" t="s">
        <v>465</v>
      </c>
    </row>
    <row r="113" spans="1:5">
      <c r="A113" s="68">
        <v>0.28838200000000003</v>
      </c>
      <c r="B113" s="68">
        <v>0.429313</v>
      </c>
      <c r="C113" s="68">
        <v>45.137</v>
      </c>
      <c r="D113" s="68">
        <v>2</v>
      </c>
      <c r="E113" s="68" t="s">
        <v>466</v>
      </c>
    </row>
    <row r="114" spans="1:5">
      <c r="A114" s="68">
        <v>0.289657</v>
      </c>
      <c r="B114" s="68">
        <v>0.43046600000000002</v>
      </c>
      <c r="C114" s="68">
        <v>45.5473</v>
      </c>
      <c r="D114" s="68">
        <v>2</v>
      </c>
      <c r="E114" s="68" t="s">
        <v>467</v>
      </c>
    </row>
    <row r="115" spans="1:5">
      <c r="A115" s="68">
        <v>0.29149000000000003</v>
      </c>
      <c r="B115" s="68">
        <v>0.430622</v>
      </c>
      <c r="C115" s="68">
        <v>45.9512</v>
      </c>
      <c r="D115" s="68">
        <v>2</v>
      </c>
      <c r="E115" s="68" t="s">
        <v>468</v>
      </c>
    </row>
    <row r="116" spans="1:5">
      <c r="A116" s="68">
        <v>0.29321799999999998</v>
      </c>
      <c r="B116" s="68">
        <v>0.43069499999999999</v>
      </c>
      <c r="C116" s="68">
        <v>46.358400000000003</v>
      </c>
      <c r="D116" s="68">
        <v>2</v>
      </c>
      <c r="E116" s="68" t="s">
        <v>469</v>
      </c>
    </row>
    <row r="117" spans="1:5">
      <c r="A117" s="68">
        <v>0.29475899999999999</v>
      </c>
      <c r="B117" s="68">
        <v>0.43119200000000002</v>
      </c>
      <c r="C117" s="68">
        <v>46.761600000000001</v>
      </c>
      <c r="D117" s="68">
        <v>2</v>
      </c>
      <c r="E117" s="68" t="s">
        <v>470</v>
      </c>
    </row>
    <row r="118" spans="1:5">
      <c r="A118" s="68">
        <v>0.29643399999999998</v>
      </c>
      <c r="B118" s="68">
        <v>0.431315</v>
      </c>
      <c r="C118" s="68">
        <v>47.167099999999998</v>
      </c>
      <c r="D118" s="68">
        <v>2</v>
      </c>
      <c r="E118" s="68" t="s">
        <v>471</v>
      </c>
    </row>
    <row r="119" spans="1:5">
      <c r="A119" s="68">
        <v>0.29824400000000001</v>
      </c>
      <c r="B119" s="68">
        <v>0.43139100000000002</v>
      </c>
      <c r="C119" s="68">
        <v>47.577199999999998</v>
      </c>
      <c r="D119" s="68">
        <v>2</v>
      </c>
      <c r="E119" s="68" t="s">
        <v>472</v>
      </c>
    </row>
    <row r="120" spans="1:5">
      <c r="A120" s="68">
        <v>0.30029800000000001</v>
      </c>
      <c r="B120" s="68">
        <v>0.43039100000000002</v>
      </c>
      <c r="C120" s="68">
        <v>47.984299999999998</v>
      </c>
      <c r="D120" s="68">
        <v>2</v>
      </c>
      <c r="E120" s="68" t="s">
        <v>473</v>
      </c>
    </row>
    <row r="121" spans="1:5">
      <c r="A121" s="68">
        <v>0.302923</v>
      </c>
      <c r="B121" s="68">
        <v>0.42791000000000001</v>
      </c>
      <c r="C121" s="68">
        <v>48.3874</v>
      </c>
      <c r="D121" s="68">
        <v>2</v>
      </c>
      <c r="E121" s="68" t="s">
        <v>474</v>
      </c>
    </row>
    <row r="122" spans="1:5">
      <c r="A122" s="68">
        <v>0.30595699999999998</v>
      </c>
      <c r="B122" s="68">
        <v>0.42518600000000001</v>
      </c>
      <c r="C122" s="68">
        <v>48.794600000000003</v>
      </c>
      <c r="D122" s="68">
        <v>2</v>
      </c>
      <c r="E122" s="68" t="s">
        <v>475</v>
      </c>
    </row>
    <row r="123" spans="1:5">
      <c r="A123" s="68">
        <v>0.309004</v>
      </c>
      <c r="B123" s="68">
        <v>0.42279</v>
      </c>
      <c r="C123" s="68">
        <v>49.198799999999999</v>
      </c>
      <c r="D123" s="68">
        <v>2</v>
      </c>
      <c r="E123" s="68" t="s">
        <v>476</v>
      </c>
    </row>
    <row r="124" spans="1:5">
      <c r="A124" s="68">
        <v>0.31185099999999999</v>
      </c>
      <c r="B124" s="68">
        <v>0.421101</v>
      </c>
      <c r="C124" s="68">
        <v>49.607599999999998</v>
      </c>
      <c r="D124" s="68">
        <v>2</v>
      </c>
      <c r="E124" s="68" t="s">
        <v>477</v>
      </c>
    </row>
    <row r="125" spans="1:5">
      <c r="A125" s="68">
        <v>0.31462099999999998</v>
      </c>
      <c r="B125" s="68">
        <v>0.41913499999999998</v>
      </c>
      <c r="C125" s="68">
        <v>50.013599999999997</v>
      </c>
      <c r="D125" s="68">
        <v>2</v>
      </c>
      <c r="E125" s="68" t="s">
        <v>478</v>
      </c>
    </row>
    <row r="126" spans="1:5">
      <c r="A126" s="68">
        <v>0.31571700000000003</v>
      </c>
      <c r="B126" s="68">
        <v>0.41952699999999998</v>
      </c>
      <c r="C126" s="68">
        <v>50.4206</v>
      </c>
      <c r="D126" s="68">
        <v>2</v>
      </c>
      <c r="E126" s="68" t="s">
        <v>479</v>
      </c>
    </row>
    <row r="127" spans="1:5">
      <c r="A127" s="68">
        <v>0.31694299999999997</v>
      </c>
      <c r="B127" s="68">
        <v>0.41966999999999999</v>
      </c>
      <c r="C127" s="68">
        <v>50.824300000000001</v>
      </c>
      <c r="D127" s="68">
        <v>2</v>
      </c>
      <c r="E127" s="68" t="s">
        <v>480</v>
      </c>
    </row>
    <row r="128" spans="1:5">
      <c r="A128" s="68">
        <v>0.31812600000000002</v>
      </c>
      <c r="B128" s="68">
        <v>0.419622</v>
      </c>
      <c r="C128" s="68">
        <v>51.233600000000003</v>
      </c>
      <c r="D128" s="68">
        <v>2</v>
      </c>
      <c r="E128" s="68" t="s">
        <v>481</v>
      </c>
    </row>
    <row r="129" spans="1:5">
      <c r="A129" s="68">
        <v>0.31935799999999998</v>
      </c>
      <c r="B129" s="68">
        <v>0.41912500000000003</v>
      </c>
      <c r="C129" s="68">
        <v>51.636499999999998</v>
      </c>
      <c r="D129" s="68">
        <v>2</v>
      </c>
      <c r="E129" s="68" t="s">
        <v>482</v>
      </c>
    </row>
    <row r="130" spans="1:5">
      <c r="A130" s="68">
        <v>0.320604</v>
      </c>
      <c r="B130" s="68">
        <v>0.418431</v>
      </c>
      <c r="C130" s="68">
        <v>52.044699999999999</v>
      </c>
      <c r="D130" s="68">
        <v>2</v>
      </c>
      <c r="E130" s="68" t="s">
        <v>483</v>
      </c>
    </row>
    <row r="131" spans="1:5">
      <c r="A131" s="68">
        <v>0.32172200000000001</v>
      </c>
      <c r="B131" s="68">
        <v>0.41797899999999999</v>
      </c>
      <c r="C131" s="68">
        <v>52.450200000000002</v>
      </c>
      <c r="D131" s="68">
        <v>2</v>
      </c>
      <c r="E131" s="68" t="s">
        <v>484</v>
      </c>
    </row>
    <row r="132" spans="1:5">
      <c r="A132" s="68">
        <v>0.322938</v>
      </c>
      <c r="B132" s="68">
        <v>0.41747400000000001</v>
      </c>
      <c r="C132" s="68">
        <v>52.859900000000003</v>
      </c>
      <c r="D132" s="68">
        <v>2</v>
      </c>
      <c r="E132" s="68" t="s">
        <v>485</v>
      </c>
    </row>
    <row r="133" spans="1:5">
      <c r="A133" s="68">
        <v>0.32408799999999999</v>
      </c>
      <c r="B133" s="68">
        <v>0.41608200000000001</v>
      </c>
      <c r="C133" s="68">
        <v>53.2669</v>
      </c>
      <c r="D133" s="68">
        <v>2</v>
      </c>
      <c r="E133" s="68" t="s">
        <v>486</v>
      </c>
    </row>
    <row r="134" spans="1:5">
      <c r="A134" s="68">
        <v>0.32547700000000002</v>
      </c>
      <c r="B134" s="68">
        <v>0.414466</v>
      </c>
      <c r="C134" s="68">
        <v>53.6706</v>
      </c>
      <c r="D134" s="68">
        <v>2</v>
      </c>
      <c r="E134" s="68" t="s">
        <v>487</v>
      </c>
    </row>
    <row r="135" spans="1:5">
      <c r="A135" s="68">
        <v>0.32740799999999998</v>
      </c>
      <c r="B135" s="68">
        <v>0.41304800000000003</v>
      </c>
      <c r="C135" s="68">
        <v>54.075899999999997</v>
      </c>
      <c r="D135" s="68">
        <v>2</v>
      </c>
      <c r="E135" s="68" t="s">
        <v>488</v>
      </c>
    </row>
    <row r="136" spans="1:5">
      <c r="A136" s="68">
        <v>0.32984999999999998</v>
      </c>
      <c r="B136" s="68">
        <v>0.41193999999999997</v>
      </c>
      <c r="C136" s="68">
        <v>54.481699999999996</v>
      </c>
      <c r="D136" s="68">
        <v>2</v>
      </c>
      <c r="E136" s="68" t="s">
        <v>489</v>
      </c>
    </row>
    <row r="137" spans="1:5">
      <c r="A137" s="68">
        <v>0.33221699999999998</v>
      </c>
      <c r="B137" s="68">
        <v>0.41084100000000001</v>
      </c>
      <c r="C137" s="68">
        <v>54.890300000000003</v>
      </c>
      <c r="D137" s="68">
        <v>2</v>
      </c>
      <c r="E137" s="68" t="s">
        <v>490</v>
      </c>
    </row>
    <row r="138" spans="1:5">
      <c r="A138" s="68">
        <v>0.33411400000000002</v>
      </c>
      <c r="B138" s="68">
        <v>0.409028</v>
      </c>
      <c r="C138" s="68">
        <v>55.296999999999997</v>
      </c>
      <c r="D138" s="68">
        <v>2</v>
      </c>
      <c r="E138" s="68" t="s">
        <v>491</v>
      </c>
    </row>
    <row r="139" spans="1:5">
      <c r="A139" s="68">
        <v>0.33543600000000001</v>
      </c>
      <c r="B139" s="68">
        <v>0.40629100000000001</v>
      </c>
      <c r="C139" s="68">
        <v>55.702100000000002</v>
      </c>
      <c r="D139" s="68">
        <v>2</v>
      </c>
      <c r="E139" s="68" t="s">
        <v>492</v>
      </c>
    </row>
    <row r="140" spans="1:5">
      <c r="A140" s="68">
        <v>0.33664100000000002</v>
      </c>
      <c r="B140" s="68">
        <v>0.40341700000000003</v>
      </c>
      <c r="C140" s="68">
        <v>56.104999999999997</v>
      </c>
      <c r="D140" s="68">
        <v>2</v>
      </c>
      <c r="E140" s="68" t="s">
        <v>493</v>
      </c>
    </row>
    <row r="141" spans="1:5">
      <c r="A141" s="68">
        <v>0.33796300000000001</v>
      </c>
      <c r="B141" s="68">
        <v>0.40082800000000002</v>
      </c>
      <c r="C141" s="68">
        <v>56.516199999999998</v>
      </c>
      <c r="D141" s="68">
        <v>2</v>
      </c>
      <c r="E141" s="68" t="s">
        <v>494</v>
      </c>
    </row>
    <row r="142" spans="1:5">
      <c r="A142" s="68">
        <v>0.339754</v>
      </c>
      <c r="B142" s="68">
        <v>0.39769300000000002</v>
      </c>
      <c r="C142" s="68">
        <v>56.921399999999998</v>
      </c>
      <c r="D142" s="68">
        <v>2</v>
      </c>
      <c r="E142" s="68" t="s">
        <v>495</v>
      </c>
    </row>
    <row r="143" spans="1:5">
      <c r="A143" s="68">
        <v>0.34181499999999998</v>
      </c>
      <c r="B143" s="68">
        <v>0.39513100000000001</v>
      </c>
      <c r="C143" s="68">
        <v>57.325899999999997</v>
      </c>
      <c r="D143" s="68">
        <v>2</v>
      </c>
      <c r="E143" s="68" t="s">
        <v>496</v>
      </c>
    </row>
    <row r="144" spans="1:5">
      <c r="A144" s="68">
        <v>0.34423700000000002</v>
      </c>
      <c r="B144" s="68">
        <v>0.39182099999999997</v>
      </c>
      <c r="C144" s="68">
        <v>57.732799999999997</v>
      </c>
      <c r="D144" s="68">
        <v>2</v>
      </c>
      <c r="E144" s="68" t="s">
        <v>497</v>
      </c>
    </row>
    <row r="145" spans="1:5">
      <c r="A145" s="68">
        <v>0.34640700000000002</v>
      </c>
      <c r="B145" s="68">
        <v>0.38934099999999999</v>
      </c>
      <c r="C145" s="68">
        <v>58.137799999999999</v>
      </c>
      <c r="D145" s="68">
        <v>2</v>
      </c>
      <c r="E145" s="68" t="s">
        <v>498</v>
      </c>
    </row>
    <row r="146" spans="1:5">
      <c r="A146" s="68">
        <v>0.34710400000000002</v>
      </c>
      <c r="B146" s="68">
        <v>0.38800200000000001</v>
      </c>
      <c r="C146" s="68">
        <v>58.545200000000001</v>
      </c>
      <c r="D146" s="68">
        <v>2</v>
      </c>
      <c r="E146" s="68" t="s">
        <v>499</v>
      </c>
    </row>
    <row r="147" spans="1:5">
      <c r="A147" s="68">
        <v>0.34715699999999999</v>
      </c>
      <c r="B147" s="68">
        <v>0.38793800000000001</v>
      </c>
      <c r="C147" s="68">
        <v>58.9542</v>
      </c>
      <c r="D147" s="68">
        <v>2</v>
      </c>
      <c r="E147" s="68" t="s">
        <v>500</v>
      </c>
    </row>
    <row r="148" spans="1:5">
      <c r="A148" s="68">
        <v>0.34711500000000001</v>
      </c>
      <c r="B148" s="68">
        <v>0.38911800000000002</v>
      </c>
      <c r="C148" s="68">
        <v>59.356999999999999</v>
      </c>
      <c r="D148" s="68">
        <v>2</v>
      </c>
      <c r="E148" s="68" t="s">
        <v>501</v>
      </c>
    </row>
    <row r="149" spans="1:5">
      <c r="A149" s="68">
        <v>0.34798299999999999</v>
      </c>
      <c r="B149" s="68">
        <v>0.38698300000000002</v>
      </c>
      <c r="C149" s="68">
        <v>59.7637</v>
      </c>
      <c r="D149" s="68">
        <v>2</v>
      </c>
      <c r="E149" s="68" t="s">
        <v>502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352</v>
      </c>
      <c r="B1" s="66" t="s">
        <v>503</v>
      </c>
      <c r="C1" s="66" t="s">
        <v>505</v>
      </c>
      <c r="D1" s="66" t="s">
        <v>506</v>
      </c>
      <c r="E1" s="66" t="s">
        <v>507</v>
      </c>
      <c r="F1" s="66" t="s">
        <v>293</v>
      </c>
      <c r="G1" s="66" t="s">
        <v>294</v>
      </c>
      <c r="H1" s="66" t="s">
        <v>508</v>
      </c>
      <c r="I1" s="66" t="s">
        <v>509</v>
      </c>
      <c r="J1" s="66" t="s">
        <v>510</v>
      </c>
      <c r="K1" s="66" t="s">
        <v>511</v>
      </c>
      <c r="L1" s="66" t="s">
        <v>512</v>
      </c>
      <c r="M1" s="66" t="s">
        <v>513</v>
      </c>
      <c r="N1" s="66"/>
    </row>
    <row r="2" spans="1:14">
      <c r="A2" s="75">
        <v>43628.637499999997</v>
      </c>
      <c r="B2" s="66" t="s">
        <v>504</v>
      </c>
      <c r="C2" s="66"/>
      <c r="D2" s="66"/>
      <c r="E2" s="66">
        <v>4.9207200000000002</v>
      </c>
      <c r="F2" s="66">
        <v>1.57413</v>
      </c>
      <c r="G2" s="66">
        <v>0.63390899999999994</v>
      </c>
      <c r="H2" s="66">
        <v>0</v>
      </c>
      <c r="I2" s="66">
        <v>88790</v>
      </c>
      <c r="J2" s="66">
        <v>88</v>
      </c>
      <c r="K2" s="66">
        <v>88</v>
      </c>
      <c r="L2" s="66">
        <v>0</v>
      </c>
      <c r="M2" s="66" t="s">
        <v>514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2019-06-12T07:18:40Z</cp:lastPrinted>
  <dcterms:created xsi:type="dcterms:W3CDTF">2010-10-29T12:53:05Z</dcterms:created>
  <dcterms:modified xsi:type="dcterms:W3CDTF">2019-06-12T07:18:53Z</dcterms:modified>
</cp:coreProperties>
</file>