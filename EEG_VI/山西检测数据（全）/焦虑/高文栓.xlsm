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<sst xmlns="http://schemas.openxmlformats.org/spreadsheetml/2006/main" count="701" uniqueCount="571">
  <si>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</si>
  <si>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</si>
  <si>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</si>
  <si>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</si>
  <si>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</si>
  <si>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</si>
  <si>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</si>
  <si>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</si>
  <si>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</si>
  <si>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</si>
  <si>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</si>
  <si>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</si>
  <si>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</si>
  <si>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</si>
  <si>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</si>
  <si>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</si>
  <si>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</si>
  <si>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</si>
  <si>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</si>
  <si>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</si>
  <si>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</si>
  <si>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</si>
  <si>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</si>
  <si>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</si>
  <si>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</si>
  <si>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</si>
  <si>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</si>
  <si>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</si>
  <si>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</si>
  <si>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</si>
  <si>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</si>
  <si>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</si>
  <si>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</si>
  <si>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</si>
  <si>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</si>
  <si>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</si>
  <si>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</si>
  <si>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</si>
  <si>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</si>
  <si>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</si>
  <si>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</si>
  <si>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</si>
  <si>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</si>
  <si>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</si>
  <si>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</si>
  <si>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</si>
  <si>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</si>
  <si>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</si>
  <si>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</si>
  <si>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</si>
  <si>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</si>
  <si>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</si>
  <si>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</si>
  <si>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</si>
  <si>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</si>
  <si>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</si>
  <si>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</si>
  <si>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</si>
  <si>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</si>
  <si>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</si>
  <si>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</si>
  <si>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</si>
  <si>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</si>
  <si>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</si>
  <si>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</si>
  <si>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</si>
  <si>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</si>
  <si>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</si>
  <si>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</si>
  <si>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</si>
  <si>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</si>
  <si>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</si>
  <si>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</si>
  <si>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</si>
  <si>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</si>
  <si>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</si>
  <si>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</si>
  <si>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</si>
  <si>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</si>
  <si>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</si>
  <si>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</si>
  <si>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</si>
  <si>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</si>
  <si>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</si>
  <si>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</si>
  <si>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</si>
  <si>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</si>
  <si>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</si>
  <si>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</si>
  <si>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</si>
  <si>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</si>
  <si>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</si>
  <si>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</si>
  <si>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</si>
  <si>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</si>
  <si>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</si>
  <si>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</si>
  <si>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</si>
  <si>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</si>
  <si>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</si>
  <si>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</si>
  <si>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</si>
  <si>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</si>
  <si>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</si>
  <si>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</si>
  <si>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</si>
  <si>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</si>
  <si>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</si>
  <si>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</si>
  <si>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</si>
  <si>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</si>
  <si>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</si>
  <si>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</si>
  <si>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</si>
  <si>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</si>
  <si>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</si>
  <si>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</si>
  <si>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</si>
  <si>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</si>
  <si>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</si>
  <si>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</si>
  <si>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</si>
  <si>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</si>
  <si>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</si>
  <si>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</si>
  <si>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</si>
  <si>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</si>
  <si>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</si>
  <si>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</si>
  <si>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</si>
  <si>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</si>
  <si>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</si>
  <si>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</si>
  <si>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</si>
  <si>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</si>
  <si>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</si>
  <si>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</si>
  <si>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</si>
  <si>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</si>
  <si>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</si>
  <si>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</si>
  <si>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</si>
  <si>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</si>
  <si>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</si>
  <si>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</si>
  <si>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</si>
  <si>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</si>
  <si>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</si>
  <si>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</si>
  <si>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</si>
  <si>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</si>
  <si>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</si>
  <si>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</si>
  <si>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</si>
  <si>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</si>
  <si>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</si>
  <si>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</si>
  <si>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</si>
  <si>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</si>
  <si>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</si>
  <si>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</si>
  <si>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</si>
  <si>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</si>
  <si>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</si>
  <si>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</si>
  <si>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</si>
  <si>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</si>
  <si>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</si>
  <si>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</si>
  <si>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</si>
  <si>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</si>
  <si>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</si>
  <si>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</si>
  <si>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</si>
  <si>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</si>
  <si>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</si>
  <si>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</si>
  <si>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</si>
  <si>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</si>
  <si>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</si>
  <si>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</si>
  <si>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</si>
  <si>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</si>
  <si>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</si>
  <si>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</si>
  <si>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</si>
  <si>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</si>
  <si>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</si>
  <si>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</si>
  <si>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</si>
  <si>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</si>
  <si>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</si>
  <si>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</si>
  <si>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</si>
  <si>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</si>
  <si>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</si>
  <si>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</si>
  <si>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</si>
  <si>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</si>
  <si>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</si>
  <si>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</si>
  <si>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</si>
  <si>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</si>
  <si>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</si>
  <si>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</si>
  <si>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</si>
  <si>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</si>
  <si>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</si>
  <si>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</si>
  <si>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</si>
  <si>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</si>
  <si>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</si>
  <si>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</si>
  <si>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</si>
  <si>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</si>
  <si>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</si>
  <si>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</si>
  <si>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</si>
  <si>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</si>
  <si>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</si>
  <si>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</si>
  <si>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</si>
  <si>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</si>
  <si>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</si>
  <si>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</si>
  <si>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</si>
  <si>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</si>
  <si>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</si>
  <si>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</si>
  <si>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</si>
  <si>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</si>
  <si>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</si>
  <si>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</si>
  <si>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</si>
  <si>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</si>
  <si>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</si>
  <si>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</si>
  <si>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</si>
  <si>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</si>
  <si>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</si>
  <si>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</si>
  <si>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</si>
  <si>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</si>
  <si>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</si>
  <si>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</si>
  <si>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</si>
  <si>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</si>
  <si>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</si>
  <si>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</si>
  <si>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</si>
  <si>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</si>
  <si>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</si>
  <si>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</si>
  <si>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</si>
  <si>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</si>
  <si>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</si>
  <si>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</si>
  <si>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</si>
  <si>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</si>
  <si>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</si>
  <si>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</si>
  <si>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</si>
  <si>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</si>
  <si>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</si>
  <si>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</si>
  <si>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</si>
  <si>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</si>
  <si>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</si>
  <si>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</si>
  <si>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</si>
  <si>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</si>
  <si>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</si>
  <si>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</si>
  <si>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</si>
  <si>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</si>
  <si>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</si>
  <si>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</si>
  <si>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</si>
  <si>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</si>
  <si>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</si>
  <si>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</si>
  <si>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</si>
  <si>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</si>
  <si>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</si>
  <si>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</si>
  <si>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</si>
  <si>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</si>
  <si>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</si>
  <si>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</si>
  <si>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</si>
  <si>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</si>
  <si>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</si>
  <si>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</si>
  <si>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</si>
  <si>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</si>
  <si>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</si>
  <si>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</si>
  <si>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</si>
  <si>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</si>
  <si>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</si>
  <si>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</si>
  <si>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</si>
  <si>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</si>
  <si>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</si>
  <si>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</si>
  <si>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</si>
  <si>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</si>
  <si>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</si>
  <si>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</si>
  <si>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</si>
  <si>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</si>
  <si>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</si>
  <si>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</si>
  <si>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</si>
  <si>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</si>
  <si>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</si>
  <si>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</si>
  <si>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</si>
  <si>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</si>
  <si>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</si>
  <si>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</si>
  <si>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</si>
  <si>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</si>
  <si>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</si>
  <si>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</si>
  <si>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</si>
  <si>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</si>
  <si>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</si>
  <si>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</si>
  <si>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</si>
  <si>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</si>
  <si>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</si>
  <si>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</si>
  <si>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</si>
  <si>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</si>
  <si>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</si>
  <si>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</si>
  <si>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</si>
  <si>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</si>
  <si>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</si>
  <si>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</si>
  <si>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</si>
  <si>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</si>
  <si>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</si>
  <si>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</si>
  <si>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</si>
  <si>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</si>
  <si>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</si>
  <si>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</si>
  <si>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</si>
  <si>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</si>
  <si>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</si>
  <si>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</si>
  <si>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</si>
  <si>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</si>
  <si>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</si>
  <si>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</si>
  <si>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</si>
  <si>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</si>
  <si>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</si>
  <si>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</si>
  <si>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</si>
  <si>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</si>
  <si>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</si>
  <si>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</si>
  <si>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</si>
  <si>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</si>
  <si>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</si>
  <si>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</si>
  <si>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</si>
  <si>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</si>
  <si>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</si>
  <si>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</si>
  <si>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</si>
  <si>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</si>
  <si>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</si>
  <si>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</si>
  <si>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</si>
  <si>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</si>
  <si>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</si>
  <si>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</si>
  <si>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</si>
  <si>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</si>
  <si>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</si>
  <si>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</si>
  <si>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</si>
  <si>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</si>
  <si>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</si>
  <si>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</si>
  <si>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</si>
  <si>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</si>
  <si>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</si>
  <si>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</si>
  <si>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</si>
  <si>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</si>
  <si>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</si>
  <si>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</si>
  <si>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</si>
  <si>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</si>
  <si>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</si>
  <si>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</si>
  <si>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</si>
  <si>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</si>
  <si>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</si>
  <si>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</si>
  <si>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</si>
  <si>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</si>
  <si>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</si>
  <si>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</si>
  <si>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</si>
  <si>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[0.403930]</t>
  </si>
  <si>
    <t>1 [0.814039]</t>
  </si>
  <si>
    <t>1 [1.223787]</t>
  </si>
  <si>
    <t>1 [1.627761]</t>
  </si>
  <si>
    <t>1 [2.037628]</t>
  </si>
  <si>
    <t>1 [2.439481]</t>
  </si>
  <si>
    <t>1 [2.845616]</t>
  </si>
  <si>
    <t>1 [3.251343]</t>
  </si>
  <si>
    <t>1 [3.660235]</t>
  </si>
  <si>
    <t>1 [4.067185]</t>
  </si>
  <si>
    <t>1 [4.468183]</t>
  </si>
  <si>
    <t>1 [4.879518]</t>
  </si>
  <si>
    <t>1 [5.281072]</t>
  </si>
  <si>
    <t>1 [5.687959]</t>
  </si>
  <si>
    <t>1 [6.092105]</t>
  </si>
  <si>
    <t>1 [6.501653]</t>
  </si>
  <si>
    <t>1 [6.905528]</t>
  </si>
  <si>
    <t>1 [7.313563]</t>
  </si>
  <si>
    <t>1 [7.721539]</t>
  </si>
  <si>
    <t>1 [8.126572]</t>
  </si>
  <si>
    <t>1 [8.534278]</t>
  </si>
  <si>
    <t>1 [8.939321]</t>
  </si>
  <si>
    <t>1 [9.347142]</t>
  </si>
  <si>
    <t>1 [9.778382]</t>
  </si>
  <si>
    <t>1 [10.153875]</t>
  </si>
  <si>
    <t>1 [10.560049]</t>
  </si>
  <si>
    <t>1 [10.970788]</t>
  </si>
  <si>
    <t>1 [11.375026]</t>
  </si>
  <si>
    <t>1 [11.780615]</t>
  </si>
  <si>
    <t>1 [12.187754]</t>
  </si>
  <si>
    <t>1 [12.594696]</t>
  </si>
  <si>
    <t>1 [12.998384]</t>
  </si>
  <si>
    <t>1 [13.405229]</t>
  </si>
  <si>
    <t>1 [13.812090]</t>
  </si>
  <si>
    <t>1 [14.223059]</t>
  </si>
  <si>
    <t>1 [14.626062]</t>
  </si>
  <si>
    <t>1 [15.034627]</t>
  </si>
  <si>
    <t>1 [15.449143]</t>
  </si>
  <si>
    <t>1 [15.848725]</t>
  </si>
  <si>
    <t>1 [16.254387]</t>
  </si>
  <si>
    <t>1 [16.656511]</t>
  </si>
  <si>
    <t>1 [17.060499]</t>
  </si>
  <si>
    <t>1 [17.469487]</t>
  </si>
  <si>
    <t>1 [17.873461]</t>
  </si>
  <si>
    <t>1 [18.281080]</t>
  </si>
  <si>
    <t>1 [18.687048]</t>
  </si>
  <si>
    <t>1 [19.092977]</t>
  </si>
  <si>
    <t>1 [19.497905]</t>
  </si>
  <si>
    <t>1 [19.904861]</t>
  </si>
  <si>
    <t>1 [20.309763]</t>
  </si>
  <si>
    <t>1 [20.719949]</t>
  </si>
  <si>
    <t>1 [21.125805]</t>
  </si>
  <si>
    <t>1 [21.532611]</t>
  </si>
  <si>
    <t>1 [21.938380]</t>
  </si>
  <si>
    <t>1 [22.341608]</t>
  </si>
  <si>
    <t>1 [22.747216]</t>
  </si>
  <si>
    <t>1 [23.155281]</t>
  </si>
  <si>
    <t>1 [23.561231]</t>
  </si>
  <si>
    <t>1 [23.967993]</t>
  </si>
  <si>
    <t>1 [24.375820]</t>
  </si>
  <si>
    <t>1 [24.787828]</t>
  </si>
  <si>
    <t>1 [25.190678]</t>
  </si>
  <si>
    <t>1 [25.595890]</t>
  </si>
  <si>
    <t>1 [25.999728]</t>
  </si>
  <si>
    <t>1 [26.407661]</t>
  </si>
  <si>
    <t>1 [26.812532]</t>
  </si>
  <si>
    <t>1 [27.218365]</t>
  </si>
  <si>
    <t>1 [27.623113]</t>
  </si>
  <si>
    <t>1 [28.038014]</t>
  </si>
  <si>
    <t>1 [28.444181]</t>
  </si>
  <si>
    <t>1 [28.851995]</t>
  </si>
  <si>
    <t>1 [29.255815]</t>
  </si>
  <si>
    <t>1 [29.662103]</t>
  </si>
  <si>
    <t>2 [30.360010]</t>
  </si>
  <si>
    <t>2 [30.702029]</t>
  </si>
  <si>
    <t>2 [31.064019]</t>
  </si>
  <si>
    <t>2 [31.438965]</t>
  </si>
  <si>
    <t>2 [31.814986]</t>
  </si>
  <si>
    <t>2 [32.202931]</t>
  </si>
  <si>
    <t>2 [32.622855]</t>
  </si>
  <si>
    <t>2 [33.014440]</t>
  </si>
  <si>
    <t>2 [33.424044]</t>
  </si>
  <si>
    <t>2 [33.831216]</t>
  </si>
  <si>
    <t>2 [34.233153]</t>
  </si>
  <si>
    <t>2 [34.643211]</t>
  </si>
  <si>
    <t>2 [35.050108]</t>
  </si>
  <si>
    <t>2 [35.453013]</t>
  </si>
  <si>
    <t>2 [35.862786]</t>
  </si>
  <si>
    <t>2 [36.266068]</t>
  </si>
  <si>
    <t>2 [36.696050]</t>
  </si>
  <si>
    <t>2 [37.078588]</t>
  </si>
  <si>
    <t>2 [37.489481]</t>
  </si>
  <si>
    <t>2 [37.893337]</t>
  </si>
  <si>
    <t>2 [38.298273]</t>
  </si>
  <si>
    <t>2 [38.704293]</t>
  </si>
  <si>
    <t>2 [39.118302]</t>
  </si>
  <si>
    <t>2 [39.514091]</t>
  </si>
  <si>
    <t>2 [39.925334]</t>
  </si>
  <si>
    <t>2 [40.332834]</t>
  </si>
  <si>
    <t>2 [40.737960]</t>
  </si>
  <si>
    <t>2 [41.165169]</t>
  </si>
  <si>
    <t>2 [41.560710]</t>
  </si>
  <si>
    <t>2 [41.971569]</t>
  </si>
  <si>
    <t>2 [42.367441]</t>
  </si>
  <si>
    <t>2 [42.768524]</t>
  </si>
  <si>
    <t>2 [43.171262]</t>
  </si>
  <si>
    <t>2 [43.577161]</t>
  </si>
  <si>
    <t>2 [43.983301]</t>
  </si>
  <si>
    <t>2 [44.393003]</t>
  </si>
  <si>
    <t>2 [44.797934]</t>
  </si>
  <si>
    <t>2 [45.203922]</t>
  </si>
  <si>
    <t>2 [45.606849]</t>
  </si>
  <si>
    <t>2 [46.017322]</t>
  </si>
  <si>
    <t>2 [46.422632]</t>
  </si>
  <si>
    <t>2 [46.828734]</t>
  </si>
  <si>
    <t>2 [47.236485]</t>
  </si>
  <si>
    <t>2 [47.640437]</t>
  </si>
  <si>
    <t>2 [48.049366]</t>
  </si>
  <si>
    <t>2 [48.453225]</t>
  </si>
  <si>
    <t>2 [48.857083]</t>
  </si>
  <si>
    <t>2 [49.263094]</t>
  </si>
  <si>
    <t>2 [49.674019]</t>
  </si>
  <si>
    <t>2 [50.076902]</t>
  </si>
  <si>
    <t>2 [50.484660]</t>
  </si>
  <si>
    <t>2 [50.892460]</t>
  </si>
  <si>
    <t>2 [51.294720]</t>
  </si>
  <si>
    <t>2 [51.704615]</t>
  </si>
  <si>
    <t>2 [52.116472]</t>
  </si>
  <si>
    <t>2 [52.517452]</t>
  </si>
  <si>
    <t>2 [52.921323]</t>
  </si>
  <si>
    <t>2 [53.332093]</t>
  </si>
  <si>
    <t>2 [53.735127]</t>
  </si>
  <si>
    <t>2 [54.142570]</t>
  </si>
  <si>
    <t>2 [54.550972]</t>
  </si>
  <si>
    <t>2 [54.967171]</t>
  </si>
  <si>
    <t>2 [55.361672]</t>
  </si>
  <si>
    <t>2 [55.766673]</t>
  </si>
  <si>
    <t>2 [56.174872]</t>
  </si>
  <si>
    <t>2 [56.578425]</t>
  </si>
  <si>
    <t>2 [56.985373]</t>
  </si>
  <si>
    <t>2 [57.396273]</t>
  </si>
  <si>
    <t>2 [57.795202]</t>
  </si>
  <si>
    <t>2 [58.204334]</t>
  </si>
  <si>
    <t>2 [58.607090]</t>
  </si>
  <si>
    <t>2 [59.013987]</t>
  </si>
  <si>
    <t>2 [59.425151]</t>
  </si>
  <si>
    <t>2 [59.830781]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</si>
  <si>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</si>
  <si>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</si>
  <si>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</si>
  <si>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</si>
  <si>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</si>
  <si>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</si>
  <si>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</si>
  <si>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</si>
  <si>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</si>
  <si>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</si>
  <si>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</si>
  <si>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</si>
  <si>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</si>
  <si>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高文栓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</si>
</sst>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34.608899999999998</c:v>
                </c:pt>
                <c:pt idx="1">
                  <c:v>33.077800000000003</c:v>
                </c:pt>
                <c:pt idx="2">
                  <c:v>23.553699999999999</c:v>
                </c:pt>
                <c:pt idx="3">
                  <c:v>30.684200000000001</c:v>
                </c:pt>
                <c:pt idx="4">
                  <c:v>70.540800000000004</c:v>
                </c:pt>
                <c:pt idx="5">
                  <c:v>71.145200000000003</c:v>
                </c:pt>
                <c:pt idx="6">
                  <c:v>24.4544</c:v>
                </c:pt>
                <c:pt idx="7">
                  <c:v>70.299099999999996</c:v>
                </c:pt>
                <c:pt idx="8">
                  <c:v>19.079799999999999</c:v>
                </c:pt>
                <c:pt idx="9">
                  <c:v>57.685000000000002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0.46189179511293066</c:v>
                </c:pt>
                <c:pt idx="1">
                  <c:v>0.23818343534995642</c:v>
                </c:pt>
                <c:pt idx="2">
                  <c:v>0.29992476953711289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446</c:v>
                </c:pt>
                <c:pt idx="7">
                  <c:v>0</c:v>
                </c:pt>
                <c:pt idx="8">
                  <c:v>513</c:v>
                </c:pt>
                <c:pt idx="9">
                  <c:v>0</c:v>
                </c:pt>
                <c:pt idx="10">
                  <c:v>0</c:v>
                </c:pt>
                <c:pt idx="11">
                  <c:v>1742</c:v>
                </c:pt>
                <c:pt idx="12">
                  <c:v>0</c:v>
                </c:pt>
                <c:pt idx="13">
                  <c:v>2304</c:v>
                </c:pt>
                <c:pt idx="14">
                  <c:v>0</c:v>
                </c:pt>
                <c:pt idx="15">
                  <c:v>0</c:v>
                </c:pt>
                <c:pt idx="16">
                  <c:v>3630</c:v>
                </c:pt>
                <c:pt idx="17">
                  <c:v>0</c:v>
                </c:pt>
                <c:pt idx="18">
                  <c:v>0</c:v>
                </c:pt>
                <c:pt idx="19">
                  <c:v>3974</c:v>
                </c:pt>
                <c:pt idx="20">
                  <c:v>0</c:v>
                </c:pt>
                <c:pt idx="21">
                  <c:v>8757</c:v>
                </c:pt>
                <c:pt idx="22">
                  <c:v>0</c:v>
                </c:pt>
                <c:pt idx="23">
                  <c:v>0</c:v>
                </c:pt>
                <c:pt idx="24">
                  <c:v>11450</c:v>
                </c:pt>
                <c:pt idx="25">
                  <c:v>0</c:v>
                </c:pt>
                <c:pt idx="26">
                  <c:v>18266</c:v>
                </c:pt>
                <c:pt idx="27">
                  <c:v>0</c:v>
                </c:pt>
                <c:pt idx="28">
                  <c:v>0</c:v>
                </c:pt>
                <c:pt idx="29">
                  <c:v>30677</c:v>
                </c:pt>
                <c:pt idx="30">
                  <c:v>0</c:v>
                </c:pt>
                <c:pt idx="31">
                  <c:v>46533</c:v>
                </c:pt>
                <c:pt idx="32">
                  <c:v>0</c:v>
                </c:pt>
                <c:pt idx="33">
                  <c:v>0</c:v>
                </c:pt>
                <c:pt idx="34">
                  <c:v>57773</c:v>
                </c:pt>
                <c:pt idx="35">
                  <c:v>0</c:v>
                </c:pt>
                <c:pt idx="36">
                  <c:v>0</c:v>
                </c:pt>
                <c:pt idx="37">
                  <c:v>63960</c:v>
                </c:pt>
                <c:pt idx="38">
                  <c:v>0</c:v>
                </c:pt>
                <c:pt idx="39">
                  <c:v>70859</c:v>
                </c:pt>
                <c:pt idx="40">
                  <c:v>0</c:v>
                </c:pt>
                <c:pt idx="41">
                  <c:v>0</c:v>
                </c:pt>
                <c:pt idx="42">
                  <c:v>89064</c:v>
                </c:pt>
                <c:pt idx="43">
                  <c:v>0</c:v>
                </c:pt>
                <c:pt idx="44">
                  <c:v>109611</c:v>
                </c:pt>
                <c:pt idx="45">
                  <c:v>0</c:v>
                </c:pt>
                <c:pt idx="46">
                  <c:v>0</c:v>
                </c:pt>
                <c:pt idx="47">
                  <c:v>130786</c:v>
                </c:pt>
                <c:pt idx="48">
                  <c:v>0</c:v>
                </c:pt>
                <c:pt idx="49">
                  <c:v>149549</c:v>
                </c:pt>
                <c:pt idx="50">
                  <c:v>0</c:v>
                </c:pt>
                <c:pt idx="51">
                  <c:v>0</c:v>
                </c:pt>
                <c:pt idx="52">
                  <c:v>178539</c:v>
                </c:pt>
                <c:pt idx="53">
                  <c:v>0</c:v>
                </c:pt>
                <c:pt idx="54">
                  <c:v>0</c:v>
                </c:pt>
                <c:pt idx="55">
                  <c:v>191675</c:v>
                </c:pt>
                <c:pt idx="56">
                  <c:v>0</c:v>
                </c:pt>
                <c:pt idx="57">
                  <c:v>202614</c:v>
                </c:pt>
                <c:pt idx="58">
                  <c:v>0</c:v>
                </c:pt>
                <c:pt idx="59">
                  <c:v>0</c:v>
                </c:pt>
                <c:pt idx="60">
                  <c:v>199773</c:v>
                </c:pt>
                <c:pt idx="61">
                  <c:v>0</c:v>
                </c:pt>
                <c:pt idx="62">
                  <c:v>217220</c:v>
                </c:pt>
                <c:pt idx="63">
                  <c:v>0</c:v>
                </c:pt>
                <c:pt idx="64">
                  <c:v>0</c:v>
                </c:pt>
                <c:pt idx="65">
                  <c:v>225396</c:v>
                </c:pt>
                <c:pt idx="66">
                  <c:v>0</c:v>
                </c:pt>
                <c:pt idx="67">
                  <c:v>230127</c:v>
                </c:pt>
                <c:pt idx="68">
                  <c:v>0</c:v>
                </c:pt>
                <c:pt idx="69">
                  <c:v>0</c:v>
                </c:pt>
                <c:pt idx="70">
                  <c:v>262763</c:v>
                </c:pt>
                <c:pt idx="71">
                  <c:v>0</c:v>
                </c:pt>
                <c:pt idx="72">
                  <c:v>0</c:v>
                </c:pt>
                <c:pt idx="73">
                  <c:v>290367</c:v>
                </c:pt>
                <c:pt idx="74">
                  <c:v>0</c:v>
                </c:pt>
                <c:pt idx="75">
                  <c:v>310567</c:v>
                </c:pt>
                <c:pt idx="76">
                  <c:v>0</c:v>
                </c:pt>
                <c:pt idx="77">
                  <c:v>0</c:v>
                </c:pt>
                <c:pt idx="78">
                  <c:v>336829</c:v>
                </c:pt>
                <c:pt idx="79">
                  <c:v>0</c:v>
                </c:pt>
                <c:pt idx="80">
                  <c:v>350742</c:v>
                </c:pt>
                <c:pt idx="81">
                  <c:v>0</c:v>
                </c:pt>
                <c:pt idx="82">
                  <c:v>0</c:v>
                </c:pt>
                <c:pt idx="83">
                  <c:v>350888</c:v>
                </c:pt>
                <c:pt idx="84">
                  <c:v>0</c:v>
                </c:pt>
                <c:pt idx="85">
                  <c:v>0</c:v>
                </c:pt>
                <c:pt idx="86">
                  <c:v>350457</c:v>
                </c:pt>
                <c:pt idx="87">
                  <c:v>0</c:v>
                </c:pt>
                <c:pt idx="88">
                  <c:v>321564</c:v>
                </c:pt>
                <c:pt idx="89">
                  <c:v>0</c:v>
                </c:pt>
                <c:pt idx="90">
                  <c:v>0</c:v>
                </c:pt>
                <c:pt idx="91">
                  <c:v>330698</c:v>
                </c:pt>
                <c:pt idx="92">
                  <c:v>0</c:v>
                </c:pt>
                <c:pt idx="93">
                  <c:v>343598</c:v>
                </c:pt>
                <c:pt idx="94">
                  <c:v>0</c:v>
                </c:pt>
                <c:pt idx="95">
                  <c:v>0</c:v>
                </c:pt>
                <c:pt idx="96">
                  <c:v>324935</c:v>
                </c:pt>
                <c:pt idx="97">
                  <c:v>0</c:v>
                </c:pt>
                <c:pt idx="98">
                  <c:v>306610</c:v>
                </c:pt>
                <c:pt idx="99">
                  <c:v>0</c:v>
                </c:pt>
                <c:pt idx="100">
                  <c:v>0</c:v>
                </c:pt>
                <c:pt idx="101">
                  <c:v>318732</c:v>
                </c:pt>
                <c:pt idx="102">
                  <c:v>0</c:v>
                </c:pt>
                <c:pt idx="103">
                  <c:v>0</c:v>
                </c:pt>
                <c:pt idx="104">
                  <c:v>275046</c:v>
                </c:pt>
                <c:pt idx="105">
                  <c:v>0</c:v>
                </c:pt>
                <c:pt idx="106">
                  <c:v>290303</c:v>
                </c:pt>
                <c:pt idx="107">
                  <c:v>0</c:v>
                </c:pt>
                <c:pt idx="108">
                  <c:v>0</c:v>
                </c:pt>
                <c:pt idx="109">
                  <c:v>286947</c:v>
                </c:pt>
                <c:pt idx="110">
                  <c:v>0</c:v>
                </c:pt>
                <c:pt idx="111">
                  <c:v>241403</c:v>
                </c:pt>
                <c:pt idx="112">
                  <c:v>0</c:v>
                </c:pt>
                <c:pt idx="113">
                  <c:v>0</c:v>
                </c:pt>
                <c:pt idx="114">
                  <c:v>223232</c:v>
                </c:pt>
                <c:pt idx="115">
                  <c:v>0</c:v>
                </c:pt>
                <c:pt idx="116">
                  <c:v>218178</c:v>
                </c:pt>
                <c:pt idx="117">
                  <c:v>0</c:v>
                </c:pt>
                <c:pt idx="118">
                  <c:v>0</c:v>
                </c:pt>
                <c:pt idx="119">
                  <c:v>218125</c:v>
                </c:pt>
                <c:pt idx="120">
                  <c:v>0</c:v>
                </c:pt>
                <c:pt idx="121">
                  <c:v>0</c:v>
                </c:pt>
                <c:pt idx="122">
                  <c:v>189565</c:v>
                </c:pt>
                <c:pt idx="123">
                  <c:v>0</c:v>
                </c:pt>
                <c:pt idx="124">
                  <c:v>165859</c:v>
                </c:pt>
                <c:pt idx="125">
                  <c:v>0</c:v>
                </c:pt>
                <c:pt idx="126">
                  <c:v>0</c:v>
                </c:pt>
                <c:pt idx="127">
                  <c:v>158861</c:v>
                </c:pt>
                <c:pt idx="128">
                  <c:v>0</c:v>
                </c:pt>
                <c:pt idx="129">
                  <c:v>144188</c:v>
                </c:pt>
                <c:pt idx="130">
                  <c:v>0</c:v>
                </c:pt>
                <c:pt idx="131">
                  <c:v>0</c:v>
                </c:pt>
                <c:pt idx="132">
                  <c:v>121708</c:v>
                </c:pt>
                <c:pt idx="133">
                  <c:v>0</c:v>
                </c:pt>
                <c:pt idx="134">
                  <c:v>110328</c:v>
                </c:pt>
                <c:pt idx="135">
                  <c:v>0</c:v>
                </c:pt>
                <c:pt idx="136">
                  <c:v>0</c:v>
                </c:pt>
                <c:pt idx="137">
                  <c:v>99196</c:v>
                </c:pt>
                <c:pt idx="138">
                  <c:v>0</c:v>
                </c:pt>
                <c:pt idx="139">
                  <c:v>0</c:v>
                </c:pt>
                <c:pt idx="140">
                  <c:v>82712</c:v>
                </c:pt>
                <c:pt idx="141">
                  <c:v>0</c:v>
                </c:pt>
                <c:pt idx="142">
                  <c:v>65531</c:v>
                </c:pt>
                <c:pt idx="143">
                  <c:v>0</c:v>
                </c:pt>
                <c:pt idx="144">
                  <c:v>0</c:v>
                </c:pt>
                <c:pt idx="145">
                  <c:v>54763</c:v>
                </c:pt>
                <c:pt idx="146">
                  <c:v>0</c:v>
                </c:pt>
                <c:pt idx="147">
                  <c:v>45754</c:v>
                </c:pt>
                <c:pt idx="148">
                  <c:v>0</c:v>
                </c:pt>
                <c:pt idx="149">
                  <c:v>0</c:v>
                </c:pt>
                <c:pt idx="150">
                  <c:v>41035</c:v>
                </c:pt>
                <c:pt idx="151">
                  <c:v>0</c:v>
                </c:pt>
                <c:pt idx="152">
                  <c:v>25472</c:v>
                </c:pt>
                <c:pt idx="153">
                  <c:v>0</c:v>
                </c:pt>
                <c:pt idx="154">
                  <c:v>0</c:v>
                </c:pt>
                <c:pt idx="155">
                  <c:v>17898</c:v>
                </c:pt>
                <c:pt idx="156">
                  <c:v>0</c:v>
                </c:pt>
                <c:pt idx="157">
                  <c:v>0</c:v>
                </c:pt>
                <c:pt idx="158">
                  <c:v>10942</c:v>
                </c:pt>
                <c:pt idx="159">
                  <c:v>0</c:v>
                </c:pt>
                <c:pt idx="160">
                  <c:v>5462</c:v>
                </c:pt>
                <c:pt idx="161">
                  <c:v>0</c:v>
                </c:pt>
                <c:pt idx="162">
                  <c:v>0</c:v>
                </c:pt>
                <c:pt idx="163">
                  <c:v>4346</c:v>
                </c:pt>
                <c:pt idx="164">
                  <c:v>0</c:v>
                </c:pt>
                <c:pt idx="165">
                  <c:v>4595</c:v>
                </c:pt>
                <c:pt idx="166">
                  <c:v>0</c:v>
                </c:pt>
                <c:pt idx="167">
                  <c:v>0</c:v>
                </c:pt>
                <c:pt idx="168">
                  <c:v>2561</c:v>
                </c:pt>
                <c:pt idx="169">
                  <c:v>0</c:v>
                </c:pt>
                <c:pt idx="170">
                  <c:v>0</c:v>
                </c:pt>
                <c:pt idx="171">
                  <c:v>3073</c:v>
                </c:pt>
                <c:pt idx="172">
                  <c:v>0</c:v>
                </c:pt>
                <c:pt idx="173">
                  <c:v>1840</c:v>
                </c:pt>
                <c:pt idx="174">
                  <c:v>0</c:v>
                </c:pt>
                <c:pt idx="175">
                  <c:v>0</c:v>
                </c:pt>
                <c:pt idx="176">
                  <c:v>576</c:v>
                </c:pt>
                <c:pt idx="177">
                  <c:v>0</c:v>
                </c:pt>
                <c:pt idx="178">
                  <c:v>501</c:v>
                </c:pt>
                <c:pt idx="179">
                  <c:v>0</c:v>
                </c:pt>
                <c:pt idx="180">
                  <c:v>0</c:v>
                </c:pt>
                <c:pt idx="181">
                  <c:v>101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2.9014099999999998</c:v>
                </c:pt>
                <c:pt idx="1">
                  <c:v>3.0009799999999998</c:v>
                </c:pt>
                <c:pt idx="2">
                  <c:v>3.0935099999999998</c:v>
                </c:pt>
                <c:pt idx="3">
                  <c:v>3.18025</c:v>
                </c:pt>
                <c:pt idx="4">
                  <c:v>3.2611499999999998</c:v>
                </c:pt>
                <c:pt idx="5">
                  <c:v>3.3388</c:v>
                </c:pt>
                <c:pt idx="6">
                  <c:v>3.41303</c:v>
                </c:pt>
                <c:pt idx="7">
                  <c:v>3.4840999999999998</c:v>
                </c:pt>
                <c:pt idx="8">
                  <c:v>3.5511300000000001</c:v>
                </c:pt>
                <c:pt idx="9">
                  <c:v>3.6154299999999999</c:v>
                </c:pt>
                <c:pt idx="10">
                  <c:v>3.6783999999999999</c:v>
                </c:pt>
                <c:pt idx="11">
                  <c:v>3.73977</c:v>
                </c:pt>
                <c:pt idx="12">
                  <c:v>3.7920500000000001</c:v>
                </c:pt>
                <c:pt idx="13">
                  <c:v>3.8379699999999999</c:v>
                </c:pt>
                <c:pt idx="14">
                  <c:v>3.8780900000000003</c:v>
                </c:pt>
                <c:pt idx="15">
                  <c:v>3.9123099999999997</c:v>
                </c:pt>
                <c:pt idx="16">
                  <c:v>3.94062</c:v>
                </c:pt>
                <c:pt idx="17">
                  <c:v>3.9658700000000002</c:v>
                </c:pt>
                <c:pt idx="18">
                  <c:v>3.9859200000000001</c:v>
                </c:pt>
                <c:pt idx="19">
                  <c:v>4.0006599999999999</c:v>
                </c:pt>
                <c:pt idx="20">
                  <c:v>4.0104800000000003</c:v>
                </c:pt>
                <c:pt idx="21">
                  <c:v>4.0176800000000004</c:v>
                </c:pt>
                <c:pt idx="22">
                  <c:v>4.0210800000000004</c:v>
                </c:pt>
                <c:pt idx="23">
                  <c:v>4.0213900000000002</c:v>
                </c:pt>
                <c:pt idx="24">
                  <c:v>4.0183799999999996</c:v>
                </c:pt>
                <c:pt idx="25">
                  <c:v>4.01112</c:v>
                </c:pt>
                <c:pt idx="26">
                  <c:v>3.9988800000000002</c:v>
                </c:pt>
                <c:pt idx="27">
                  <c:v>3.9852300000000001</c:v>
                </c:pt>
                <c:pt idx="28">
                  <c:v>3.9712499999999999</c:v>
                </c:pt>
                <c:pt idx="29">
                  <c:v>3.9565200000000003</c:v>
                </c:pt>
                <c:pt idx="30">
                  <c:v>3.9404400000000002</c:v>
                </c:pt>
                <c:pt idx="31">
                  <c:v>3.92252</c:v>
                </c:pt>
                <c:pt idx="32">
                  <c:v>3.9033199999999999</c:v>
                </c:pt>
                <c:pt idx="33">
                  <c:v>3.8832299999999997</c:v>
                </c:pt>
                <c:pt idx="34">
                  <c:v>3.8608199999999999</c:v>
                </c:pt>
                <c:pt idx="35">
                  <c:v>3.8344299999999998</c:v>
                </c:pt>
                <c:pt idx="36">
                  <c:v>3.8048100000000002</c:v>
                </c:pt>
                <c:pt idx="37">
                  <c:v>3.7802699999999998</c:v>
                </c:pt>
                <c:pt idx="38">
                  <c:v>3.7586999999999997</c:v>
                </c:pt>
                <c:pt idx="39">
                  <c:v>3.73935</c:v>
                </c:pt>
                <c:pt idx="40">
                  <c:v>3.72424</c:v>
                </c:pt>
                <c:pt idx="41">
                  <c:v>3.7113</c:v>
                </c:pt>
                <c:pt idx="42">
                  <c:v>3.6961699999999995</c:v>
                </c:pt>
                <c:pt idx="43">
                  <c:v>3.68309</c:v>
                </c:pt>
                <c:pt idx="44">
                  <c:v>3.6734599999999999</c:v>
                </c:pt>
                <c:pt idx="45">
                  <c:v>3.6685099999999999</c:v>
                </c:pt>
                <c:pt idx="46">
                  <c:v>3.6634100000000003</c:v>
                </c:pt>
                <c:pt idx="47">
                  <c:v>3.6568399999999999</c:v>
                </c:pt>
                <c:pt idx="48">
                  <c:v>3.6474200000000003</c:v>
                </c:pt>
                <c:pt idx="49">
                  <c:v>3.6352000000000002</c:v>
                </c:pt>
                <c:pt idx="50">
                  <c:v>3.6310900000000004</c:v>
                </c:pt>
                <c:pt idx="51">
                  <c:v>3.6130100000000001</c:v>
                </c:pt>
                <c:pt idx="52">
                  <c:v>3.5988700000000002</c:v>
                </c:pt>
                <c:pt idx="53">
                  <c:v>3.58317</c:v>
                </c:pt>
                <c:pt idx="54">
                  <c:v>3.5679600000000002</c:v>
                </c:pt>
                <c:pt idx="55">
                  <c:v>3.5505500000000003</c:v>
                </c:pt>
                <c:pt idx="56">
                  <c:v>3.5307200000000001</c:v>
                </c:pt>
                <c:pt idx="57">
                  <c:v>3.5082000000000004</c:v>
                </c:pt>
                <c:pt idx="58">
                  <c:v>3.4845999999999999</c:v>
                </c:pt>
                <c:pt idx="59">
                  <c:v>3.4602399999999998</c:v>
                </c:pt>
                <c:pt idx="60">
                  <c:v>3.4346999999999999</c:v>
                </c:pt>
                <c:pt idx="61">
                  <c:v>3.4057199999999996</c:v>
                </c:pt>
                <c:pt idx="62">
                  <c:v>3.3754099999999996</c:v>
                </c:pt>
                <c:pt idx="63">
                  <c:v>3.3440700000000003</c:v>
                </c:pt>
                <c:pt idx="64">
                  <c:v>3.3120500000000002</c:v>
                </c:pt>
                <c:pt idx="65">
                  <c:v>3.2780999999999998</c:v>
                </c:pt>
                <c:pt idx="66">
                  <c:v>3.2465300000000004</c:v>
                </c:pt>
                <c:pt idx="67">
                  <c:v>3.2173699999999998</c:v>
                </c:pt>
                <c:pt idx="68">
                  <c:v>3.1905099999999997</c:v>
                </c:pt>
                <c:pt idx="69">
                  <c:v>3.1663799999999998</c:v>
                </c:pt>
                <c:pt idx="70">
                  <c:v>3.1407600000000002</c:v>
                </c:pt>
                <c:pt idx="71">
                  <c:v>3.1153199999999996</c:v>
                </c:pt>
                <c:pt idx="72">
                  <c:v>3.0933100000000002</c:v>
                </c:pt>
                <c:pt idx="73">
                  <c:v>3.0730300000000002</c:v>
                </c:pt>
                <c:pt idx="74">
                  <c:v>3.0432900000000003</c:v>
                </c:pt>
                <c:pt idx="75">
                  <c:v>3.0262000000000002</c:v>
                </c:pt>
                <c:pt idx="76">
                  <c:v>3.00929</c:v>
                </c:pt>
                <c:pt idx="77">
                  <c:v>2.99308</c:v>
                </c:pt>
                <c:pt idx="78">
                  <c:v>2.9783300000000001</c:v>
                </c:pt>
                <c:pt idx="79">
                  <c:v>2.9635899999999999</c:v>
                </c:pt>
                <c:pt idx="80">
                  <c:v>2.95269</c:v>
                </c:pt>
                <c:pt idx="81">
                  <c:v>2.9475800000000003</c:v>
                </c:pt>
                <c:pt idx="82">
                  <c:v>2.9445100000000002</c:v>
                </c:pt>
                <c:pt idx="83">
                  <c:v>2.9411199999999997</c:v>
                </c:pt>
                <c:pt idx="84">
                  <c:v>2.9358899999999997</c:v>
                </c:pt>
                <c:pt idx="85">
                  <c:v>2.9304599999999996</c:v>
                </c:pt>
                <c:pt idx="86">
                  <c:v>2.9286499999999998</c:v>
                </c:pt>
                <c:pt idx="87">
                  <c:v>2.9262999999999999</c:v>
                </c:pt>
                <c:pt idx="88">
                  <c:v>2.9258899999999999</c:v>
                </c:pt>
                <c:pt idx="89">
                  <c:v>2.9272</c:v>
                </c:pt>
                <c:pt idx="90">
                  <c:v>2.9268300000000003</c:v>
                </c:pt>
                <c:pt idx="91">
                  <c:v>2.9286600000000003</c:v>
                </c:pt>
                <c:pt idx="92">
                  <c:v>2.9326000000000003</c:v>
                </c:pt>
                <c:pt idx="93">
                  <c:v>2.9384900000000003</c:v>
                </c:pt>
                <c:pt idx="94">
                  <c:v>2.9447200000000002</c:v>
                </c:pt>
                <c:pt idx="95">
                  <c:v>2.9520999999999997</c:v>
                </c:pt>
                <c:pt idx="96">
                  <c:v>2.9616799999999999</c:v>
                </c:pt>
                <c:pt idx="97">
                  <c:v>2.9745500000000002</c:v>
                </c:pt>
                <c:pt idx="98">
                  <c:v>2.9891399999999999</c:v>
                </c:pt>
                <c:pt idx="99">
                  <c:v>3.0048399999999997</c:v>
                </c:pt>
                <c:pt idx="100">
                  <c:v>3.0219299999999998</c:v>
                </c:pt>
                <c:pt idx="101">
                  <c:v>3.04413</c:v>
                </c:pt>
                <c:pt idx="102">
                  <c:v>3.07301</c:v>
                </c:pt>
                <c:pt idx="103">
                  <c:v>3.1040700000000001</c:v>
                </c:pt>
                <c:pt idx="104">
                  <c:v>3.1373199999999999</c:v>
                </c:pt>
                <c:pt idx="105">
                  <c:v>3.1747199999999998</c:v>
                </c:pt>
                <c:pt idx="106">
                  <c:v>3.2121899999999997</c:v>
                </c:pt>
                <c:pt idx="107">
                  <c:v>3.2499499999999997</c:v>
                </c:pt>
                <c:pt idx="108">
                  <c:v>3.2913900000000003</c:v>
                </c:pt>
                <c:pt idx="109">
                  <c:v>3.3384399999999999</c:v>
                </c:pt>
                <c:pt idx="110">
                  <c:v>3.3905099999999999</c:v>
                </c:pt>
                <c:pt idx="111">
                  <c:v>3.4419899999999997</c:v>
                </c:pt>
                <c:pt idx="112">
                  <c:v>3.48922</c:v>
                </c:pt>
                <c:pt idx="113">
                  <c:v>3.5323199999999999</c:v>
                </c:pt>
                <c:pt idx="114">
                  <c:v>3.5719499999999997</c:v>
                </c:pt>
                <c:pt idx="115">
                  <c:v>3.6093999999999999</c:v>
                </c:pt>
                <c:pt idx="116">
                  <c:v>3.64506</c:v>
                </c:pt>
                <c:pt idx="117">
                  <c:v>3.6785800000000002</c:v>
                </c:pt>
                <c:pt idx="118">
                  <c:v>3.70919</c:v>
                </c:pt>
                <c:pt idx="119">
                  <c:v>3.7386799999999996</c:v>
                </c:pt>
                <c:pt idx="120">
                  <c:v>3.7683899999999997</c:v>
                </c:pt>
                <c:pt idx="121">
                  <c:v>3.7995299999999999</c:v>
                </c:pt>
                <c:pt idx="122">
                  <c:v>3.8331200000000001</c:v>
                </c:pt>
                <c:pt idx="123">
                  <c:v>3.8610899999999999</c:v>
                </c:pt>
                <c:pt idx="124">
                  <c:v>3.8818599999999996</c:v>
                </c:pt>
                <c:pt idx="125">
                  <c:v>3.90293</c:v>
                </c:pt>
                <c:pt idx="126">
                  <c:v>3.9227099999999999</c:v>
                </c:pt>
                <c:pt idx="127">
                  <c:v>3.9400499999999998</c:v>
                </c:pt>
                <c:pt idx="128">
                  <c:v>3.9561299999999999</c:v>
                </c:pt>
                <c:pt idx="129">
                  <c:v>3.9719500000000001</c:v>
                </c:pt>
                <c:pt idx="130">
                  <c:v>3.9847000000000001</c:v>
                </c:pt>
                <c:pt idx="131">
                  <c:v>3.9967100000000002</c:v>
                </c:pt>
                <c:pt idx="132">
                  <c:v>4.0076499999999999</c:v>
                </c:pt>
                <c:pt idx="133">
                  <c:v>4.0155099999999999</c:v>
                </c:pt>
                <c:pt idx="134">
                  <c:v>4.0189900000000005</c:v>
                </c:pt>
                <c:pt idx="135">
                  <c:v>4.0167599999999997</c:v>
                </c:pt>
                <c:pt idx="136">
                  <c:v>4.0119500000000006</c:v>
                </c:pt>
                <c:pt idx="137">
                  <c:v>4.00908</c:v>
                </c:pt>
                <c:pt idx="138">
                  <c:v>4.0081600000000002</c:v>
                </c:pt>
                <c:pt idx="139">
                  <c:v>4.0106599999999997</c:v>
                </c:pt>
                <c:pt idx="140">
                  <c:v>4.0164400000000002</c:v>
                </c:pt>
                <c:pt idx="141">
                  <c:v>4.0234699999999997</c:v>
                </c:pt>
                <c:pt idx="142">
                  <c:v>4.0329800000000002</c:v>
                </c:pt>
                <c:pt idx="143">
                  <c:v>4.0504699999999998</c:v>
                </c:pt>
                <c:pt idx="144">
                  <c:v>4.0759600000000002</c:v>
                </c:pt>
                <c:pt idx="145">
                  <c:v>4.1123399999999997</c:v>
                </c:pt>
                <c:pt idx="146">
                  <c:v>4.1610700000000005</c:v>
                </c:pt>
                <c:pt idx="147">
                  <c:v>4.2107600000000005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51.738500000000002</c:v>
                </c:pt>
                <c:pt idx="1">
                  <c:v>50.499700000000004</c:v>
                </c:pt>
                <c:pt idx="2">
                  <c:v>49.641999999999996</c:v>
                </c:pt>
                <c:pt idx="3">
                  <c:v>49.1355</c:v>
                </c:pt>
                <c:pt idx="4">
                  <c:v>48.961799999999997</c:v>
                </c:pt>
                <c:pt idx="5">
                  <c:v>48.908000000000001</c:v>
                </c:pt>
                <c:pt idx="6">
                  <c:v>48.894100000000002</c:v>
                </c:pt>
                <c:pt idx="7">
                  <c:v>48.919000000000004</c:v>
                </c:pt>
                <c:pt idx="8">
                  <c:v>49.070599999999999</c:v>
                </c:pt>
                <c:pt idx="9">
                  <c:v>49.197499999999998</c:v>
                </c:pt>
                <c:pt idx="10">
                  <c:v>49.2483</c:v>
                </c:pt>
                <c:pt idx="11">
                  <c:v>49.295999999999999</c:v>
                </c:pt>
                <c:pt idx="12">
                  <c:v>49.517099999999999</c:v>
                </c:pt>
                <c:pt idx="13">
                  <c:v>49.895699999999998</c:v>
                </c:pt>
                <c:pt idx="14">
                  <c:v>50.278100000000002</c:v>
                </c:pt>
                <c:pt idx="15">
                  <c:v>50.633200000000002</c:v>
                </c:pt>
                <c:pt idx="16">
                  <c:v>50.922900000000006</c:v>
                </c:pt>
                <c:pt idx="17">
                  <c:v>51.149799999999999</c:v>
                </c:pt>
                <c:pt idx="18">
                  <c:v>51.334500000000006</c:v>
                </c:pt>
                <c:pt idx="19">
                  <c:v>51.439800000000005</c:v>
                </c:pt>
                <c:pt idx="20">
                  <c:v>51.450700000000005</c:v>
                </c:pt>
                <c:pt idx="21">
                  <c:v>51.369100000000003</c:v>
                </c:pt>
                <c:pt idx="22">
                  <c:v>51.229800000000004</c:v>
                </c:pt>
                <c:pt idx="23">
                  <c:v>51.005800000000001</c:v>
                </c:pt>
                <c:pt idx="24">
                  <c:v>50.729700000000001</c:v>
                </c:pt>
                <c:pt idx="25">
                  <c:v>50.4649</c:v>
                </c:pt>
                <c:pt idx="26">
                  <c:v>50.230799999999995</c:v>
                </c:pt>
                <c:pt idx="27">
                  <c:v>50.003900000000002</c:v>
                </c:pt>
                <c:pt idx="28">
                  <c:v>49.811499999999995</c:v>
                </c:pt>
                <c:pt idx="29">
                  <c:v>49.590400000000002</c:v>
                </c:pt>
                <c:pt idx="30">
                  <c:v>49.416399999999996</c:v>
                </c:pt>
                <c:pt idx="31">
                  <c:v>49.333199999999998</c:v>
                </c:pt>
                <c:pt idx="32">
                  <c:v>49.336999999999996</c:v>
                </c:pt>
                <c:pt idx="33">
                  <c:v>49.43</c:v>
                </c:pt>
                <c:pt idx="34">
                  <c:v>49.585599999999999</c:v>
                </c:pt>
                <c:pt idx="35">
                  <c:v>49.836999999999996</c:v>
                </c:pt>
                <c:pt idx="36">
                  <c:v>50.199199999999998</c:v>
                </c:pt>
                <c:pt idx="37">
                  <c:v>50.445099999999996</c:v>
                </c:pt>
                <c:pt idx="38">
                  <c:v>50.501300000000008</c:v>
                </c:pt>
                <c:pt idx="39">
                  <c:v>50.509499999999996</c:v>
                </c:pt>
                <c:pt idx="40">
                  <c:v>50.455300000000001</c:v>
                </c:pt>
                <c:pt idx="41">
                  <c:v>50.366</c:v>
                </c:pt>
                <c:pt idx="42">
                  <c:v>50.263800000000003</c:v>
                </c:pt>
                <c:pt idx="43">
                  <c:v>50.141500000000008</c:v>
                </c:pt>
                <c:pt idx="44">
                  <c:v>49.981299999999997</c:v>
                </c:pt>
                <c:pt idx="45">
                  <c:v>49.804299999999998</c:v>
                </c:pt>
                <c:pt idx="46">
                  <c:v>49.640099999999997</c:v>
                </c:pt>
                <c:pt idx="47">
                  <c:v>49.407600000000002</c:v>
                </c:pt>
                <c:pt idx="48">
                  <c:v>49.174800000000005</c:v>
                </c:pt>
                <c:pt idx="49">
                  <c:v>48.979900000000001</c:v>
                </c:pt>
                <c:pt idx="50">
                  <c:v>48.898899999999998</c:v>
                </c:pt>
                <c:pt idx="51">
                  <c:v>48.623100000000001</c:v>
                </c:pt>
                <c:pt idx="52">
                  <c:v>48.407400000000003</c:v>
                </c:pt>
                <c:pt idx="53">
                  <c:v>48.191499999999998</c:v>
                </c:pt>
                <c:pt idx="54">
                  <c:v>48.008099999999999</c:v>
                </c:pt>
                <c:pt idx="55">
                  <c:v>47.8613</c:v>
                </c:pt>
                <c:pt idx="56">
                  <c:v>47.732400000000005</c:v>
                </c:pt>
                <c:pt idx="57">
                  <c:v>47.619</c:v>
                </c:pt>
                <c:pt idx="58">
                  <c:v>47.471299999999999</c:v>
                </c:pt>
                <c:pt idx="59">
                  <c:v>47.361799999999995</c:v>
                </c:pt>
                <c:pt idx="60">
                  <c:v>47.301700000000004</c:v>
                </c:pt>
                <c:pt idx="61">
                  <c:v>47.2258</c:v>
                </c:pt>
                <c:pt idx="62">
                  <c:v>47.227699999999999</c:v>
                </c:pt>
                <c:pt idx="63">
                  <c:v>47.315400000000004</c:v>
                </c:pt>
                <c:pt idx="64">
                  <c:v>47.426600000000001</c:v>
                </c:pt>
                <c:pt idx="65">
                  <c:v>47.615200000000002</c:v>
                </c:pt>
                <c:pt idx="66">
                  <c:v>47.783099999999997</c:v>
                </c:pt>
                <c:pt idx="67">
                  <c:v>47.919200000000004</c:v>
                </c:pt>
                <c:pt idx="68">
                  <c:v>47.998100000000001</c:v>
                </c:pt>
                <c:pt idx="69">
                  <c:v>48.082099999999997</c:v>
                </c:pt>
                <c:pt idx="70">
                  <c:v>48.228000000000002</c:v>
                </c:pt>
                <c:pt idx="71">
                  <c:v>48.401800000000001</c:v>
                </c:pt>
                <c:pt idx="72">
                  <c:v>48.546399999999998</c:v>
                </c:pt>
                <c:pt idx="73">
                  <c:v>48.731099999999998</c:v>
                </c:pt>
                <c:pt idx="74">
                  <c:v>48.957999999999998</c:v>
                </c:pt>
                <c:pt idx="75">
                  <c:v>49.145600000000002</c:v>
                </c:pt>
                <c:pt idx="76">
                  <c:v>49.232500000000002</c:v>
                </c:pt>
                <c:pt idx="77">
                  <c:v>49.2697</c:v>
                </c:pt>
                <c:pt idx="78">
                  <c:v>49.2654</c:v>
                </c:pt>
                <c:pt idx="79">
                  <c:v>49.2667</c:v>
                </c:pt>
                <c:pt idx="80">
                  <c:v>49.211399999999998</c:v>
                </c:pt>
                <c:pt idx="81">
                  <c:v>49.057499999999997</c:v>
                </c:pt>
                <c:pt idx="82">
                  <c:v>48.866500000000002</c:v>
                </c:pt>
                <c:pt idx="83">
                  <c:v>48.688199999999995</c:v>
                </c:pt>
                <c:pt idx="84">
                  <c:v>48.572400000000002</c:v>
                </c:pt>
                <c:pt idx="85">
                  <c:v>48.415300000000002</c:v>
                </c:pt>
                <c:pt idx="86">
                  <c:v>48.290399999999998</c:v>
                </c:pt>
                <c:pt idx="87">
                  <c:v>48.222999999999999</c:v>
                </c:pt>
                <c:pt idx="88">
                  <c:v>48.070500000000003</c:v>
                </c:pt>
                <c:pt idx="89">
                  <c:v>47.909700000000001</c:v>
                </c:pt>
                <c:pt idx="90">
                  <c:v>47.801500000000004</c:v>
                </c:pt>
                <c:pt idx="91">
                  <c:v>47.733499999999999</c:v>
                </c:pt>
                <c:pt idx="92">
                  <c:v>47.656399999999998</c:v>
                </c:pt>
                <c:pt idx="93">
                  <c:v>47.627600000000001</c:v>
                </c:pt>
                <c:pt idx="94">
                  <c:v>47.6432</c:v>
                </c:pt>
                <c:pt idx="95">
                  <c:v>47.697299999999998</c:v>
                </c:pt>
                <c:pt idx="96">
                  <c:v>47.8127</c:v>
                </c:pt>
                <c:pt idx="97">
                  <c:v>47.939900000000002</c:v>
                </c:pt>
                <c:pt idx="98">
                  <c:v>48.069099999999999</c:v>
                </c:pt>
                <c:pt idx="99">
                  <c:v>48.278500000000001</c:v>
                </c:pt>
                <c:pt idx="100">
                  <c:v>48.4863</c:v>
                </c:pt>
                <c:pt idx="101">
                  <c:v>48.690600000000003</c:v>
                </c:pt>
                <c:pt idx="102">
                  <c:v>48.879600000000003</c:v>
                </c:pt>
                <c:pt idx="103">
                  <c:v>49.0642</c:v>
                </c:pt>
                <c:pt idx="104">
                  <c:v>49.2209</c:v>
                </c:pt>
                <c:pt idx="105">
                  <c:v>49.247700000000002</c:v>
                </c:pt>
                <c:pt idx="106">
                  <c:v>49.359900000000003</c:v>
                </c:pt>
                <c:pt idx="107">
                  <c:v>49.492599999999996</c:v>
                </c:pt>
                <c:pt idx="108">
                  <c:v>49.615299999999998</c:v>
                </c:pt>
                <c:pt idx="109">
                  <c:v>49.7087</c:v>
                </c:pt>
                <c:pt idx="110">
                  <c:v>49.762499999999996</c:v>
                </c:pt>
                <c:pt idx="111">
                  <c:v>49.836999999999996</c:v>
                </c:pt>
                <c:pt idx="112">
                  <c:v>50.069800000000001</c:v>
                </c:pt>
                <c:pt idx="113">
                  <c:v>50.451100000000004</c:v>
                </c:pt>
                <c:pt idx="114">
                  <c:v>50.944199999999995</c:v>
                </c:pt>
                <c:pt idx="115">
                  <c:v>51.514200000000002</c:v>
                </c:pt>
                <c:pt idx="116">
                  <c:v>52.081599999999995</c:v>
                </c:pt>
                <c:pt idx="117">
                  <c:v>52.659299999999995</c:v>
                </c:pt>
                <c:pt idx="118">
                  <c:v>53.209399999999995</c:v>
                </c:pt>
                <c:pt idx="119">
                  <c:v>53.735900000000001</c:v>
                </c:pt>
                <c:pt idx="120">
                  <c:v>54.252800000000001</c:v>
                </c:pt>
                <c:pt idx="121">
                  <c:v>54.712899999999998</c:v>
                </c:pt>
                <c:pt idx="122">
                  <c:v>55.040599999999998</c:v>
                </c:pt>
                <c:pt idx="123">
                  <c:v>55.386299999999999</c:v>
                </c:pt>
                <c:pt idx="124">
                  <c:v>55.812399999999997</c:v>
                </c:pt>
                <c:pt idx="125">
                  <c:v>56.265000000000001</c:v>
                </c:pt>
                <c:pt idx="126">
                  <c:v>56.661300000000004</c:v>
                </c:pt>
                <c:pt idx="127">
                  <c:v>56.958299999999994</c:v>
                </c:pt>
                <c:pt idx="128">
                  <c:v>57.225499999999997</c:v>
                </c:pt>
                <c:pt idx="129">
                  <c:v>57.509399999999999</c:v>
                </c:pt>
                <c:pt idx="130">
                  <c:v>57.761799999999994</c:v>
                </c:pt>
                <c:pt idx="131">
                  <c:v>57.918300000000002</c:v>
                </c:pt>
                <c:pt idx="132">
                  <c:v>58.039300000000004</c:v>
                </c:pt>
                <c:pt idx="133">
                  <c:v>58.069400000000002</c:v>
                </c:pt>
                <c:pt idx="134">
                  <c:v>58.016300000000001</c:v>
                </c:pt>
                <c:pt idx="135">
                  <c:v>57.991999999999997</c:v>
                </c:pt>
                <c:pt idx="136">
                  <c:v>58.016599999999997</c:v>
                </c:pt>
                <c:pt idx="137">
                  <c:v>57.991999999999997</c:v>
                </c:pt>
                <c:pt idx="138">
                  <c:v>57.956799999999994</c:v>
                </c:pt>
                <c:pt idx="139">
                  <c:v>57.863299999999995</c:v>
                </c:pt>
                <c:pt idx="140">
                  <c:v>57.726299999999995</c:v>
                </c:pt>
                <c:pt idx="141">
                  <c:v>57.576899999999995</c:v>
                </c:pt>
                <c:pt idx="142">
                  <c:v>57.391199999999998</c:v>
                </c:pt>
                <c:pt idx="143">
                  <c:v>57.218000000000004</c:v>
                </c:pt>
                <c:pt idx="144">
                  <c:v>57.040900000000008</c:v>
                </c:pt>
                <c:pt idx="145">
                  <c:v>56.8078</c:v>
                </c:pt>
                <c:pt idx="146">
                  <c:v>56.470399999999998</c:v>
                </c:pt>
                <c:pt idx="147">
                  <c:v>56.275600000000004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2.9014099999999998</c:v>
                </c:pt>
                <c:pt idx="1">
                  <c:v>3.0009799999999998</c:v>
                </c:pt>
                <c:pt idx="2">
                  <c:v>3.0935099999999998</c:v>
                </c:pt>
                <c:pt idx="3">
                  <c:v>3.18025</c:v>
                </c:pt>
                <c:pt idx="4">
                  <c:v>3.2611499999999998</c:v>
                </c:pt>
                <c:pt idx="5">
                  <c:v>3.3388</c:v>
                </c:pt>
                <c:pt idx="6">
                  <c:v>3.41303</c:v>
                </c:pt>
                <c:pt idx="7">
                  <c:v>3.4840999999999998</c:v>
                </c:pt>
                <c:pt idx="8">
                  <c:v>3.5511300000000001</c:v>
                </c:pt>
                <c:pt idx="9">
                  <c:v>3.6154299999999999</c:v>
                </c:pt>
                <c:pt idx="10">
                  <c:v>3.6783999999999999</c:v>
                </c:pt>
                <c:pt idx="11">
                  <c:v>3.73977</c:v>
                </c:pt>
                <c:pt idx="12">
                  <c:v>3.7920500000000001</c:v>
                </c:pt>
                <c:pt idx="13">
                  <c:v>3.8379699999999999</c:v>
                </c:pt>
                <c:pt idx="14">
                  <c:v>3.8780900000000003</c:v>
                </c:pt>
                <c:pt idx="15">
                  <c:v>3.9123099999999997</c:v>
                </c:pt>
                <c:pt idx="16">
                  <c:v>3.94062</c:v>
                </c:pt>
                <c:pt idx="17">
                  <c:v>3.9658700000000002</c:v>
                </c:pt>
                <c:pt idx="18">
                  <c:v>3.9859200000000001</c:v>
                </c:pt>
                <c:pt idx="19">
                  <c:v>4.0006599999999999</c:v>
                </c:pt>
                <c:pt idx="20">
                  <c:v>4.0104800000000003</c:v>
                </c:pt>
                <c:pt idx="21">
                  <c:v>4.0176800000000004</c:v>
                </c:pt>
                <c:pt idx="22">
                  <c:v>4.0210800000000004</c:v>
                </c:pt>
                <c:pt idx="23">
                  <c:v>4.0213900000000002</c:v>
                </c:pt>
                <c:pt idx="24">
                  <c:v>4.0183799999999996</c:v>
                </c:pt>
                <c:pt idx="25">
                  <c:v>4.01112</c:v>
                </c:pt>
                <c:pt idx="26">
                  <c:v>3.9988800000000002</c:v>
                </c:pt>
                <c:pt idx="27">
                  <c:v>3.9852300000000001</c:v>
                </c:pt>
                <c:pt idx="28">
                  <c:v>3.9712499999999999</c:v>
                </c:pt>
                <c:pt idx="29">
                  <c:v>3.9565200000000003</c:v>
                </c:pt>
                <c:pt idx="30">
                  <c:v>3.9404400000000002</c:v>
                </c:pt>
                <c:pt idx="31">
                  <c:v>3.92252</c:v>
                </c:pt>
                <c:pt idx="32">
                  <c:v>3.9033199999999999</c:v>
                </c:pt>
                <c:pt idx="33">
                  <c:v>3.8832299999999997</c:v>
                </c:pt>
                <c:pt idx="34">
                  <c:v>3.8608199999999999</c:v>
                </c:pt>
                <c:pt idx="35">
                  <c:v>3.8344299999999998</c:v>
                </c:pt>
                <c:pt idx="36">
                  <c:v>3.8048100000000002</c:v>
                </c:pt>
                <c:pt idx="37">
                  <c:v>3.7802699999999998</c:v>
                </c:pt>
                <c:pt idx="38">
                  <c:v>3.7586999999999997</c:v>
                </c:pt>
                <c:pt idx="39">
                  <c:v>3.73935</c:v>
                </c:pt>
                <c:pt idx="40">
                  <c:v>3.72424</c:v>
                </c:pt>
                <c:pt idx="41">
                  <c:v>3.7113</c:v>
                </c:pt>
                <c:pt idx="42">
                  <c:v>3.6961699999999995</c:v>
                </c:pt>
                <c:pt idx="43">
                  <c:v>3.68309</c:v>
                </c:pt>
                <c:pt idx="44">
                  <c:v>3.6734599999999999</c:v>
                </c:pt>
                <c:pt idx="45">
                  <c:v>3.6685099999999999</c:v>
                </c:pt>
                <c:pt idx="46">
                  <c:v>3.6634100000000003</c:v>
                </c:pt>
                <c:pt idx="47">
                  <c:v>3.6568399999999999</c:v>
                </c:pt>
                <c:pt idx="48">
                  <c:v>3.6474200000000003</c:v>
                </c:pt>
                <c:pt idx="49">
                  <c:v>3.6352000000000002</c:v>
                </c:pt>
                <c:pt idx="50">
                  <c:v>3.6310900000000004</c:v>
                </c:pt>
                <c:pt idx="51">
                  <c:v>3.6130100000000001</c:v>
                </c:pt>
                <c:pt idx="52">
                  <c:v>3.5988700000000002</c:v>
                </c:pt>
                <c:pt idx="53">
                  <c:v>3.58317</c:v>
                </c:pt>
                <c:pt idx="54">
                  <c:v>3.5679600000000002</c:v>
                </c:pt>
                <c:pt idx="55">
                  <c:v>3.5505500000000003</c:v>
                </c:pt>
                <c:pt idx="56">
                  <c:v>3.5307200000000001</c:v>
                </c:pt>
                <c:pt idx="57">
                  <c:v>3.5082000000000004</c:v>
                </c:pt>
                <c:pt idx="58">
                  <c:v>3.4845999999999999</c:v>
                </c:pt>
                <c:pt idx="59">
                  <c:v>3.4602399999999998</c:v>
                </c:pt>
                <c:pt idx="60">
                  <c:v>3.4346999999999999</c:v>
                </c:pt>
                <c:pt idx="61">
                  <c:v>3.4057199999999996</c:v>
                </c:pt>
                <c:pt idx="62">
                  <c:v>3.3754099999999996</c:v>
                </c:pt>
                <c:pt idx="63">
                  <c:v>3.3440700000000003</c:v>
                </c:pt>
                <c:pt idx="64">
                  <c:v>3.3120500000000002</c:v>
                </c:pt>
                <c:pt idx="65">
                  <c:v>3.2780999999999998</c:v>
                </c:pt>
                <c:pt idx="66">
                  <c:v>3.2465300000000004</c:v>
                </c:pt>
                <c:pt idx="67">
                  <c:v>3.2173699999999998</c:v>
                </c:pt>
                <c:pt idx="68">
                  <c:v>3.1905099999999997</c:v>
                </c:pt>
                <c:pt idx="69">
                  <c:v>3.1663799999999998</c:v>
                </c:pt>
                <c:pt idx="70">
                  <c:v>3.1407600000000002</c:v>
                </c:pt>
                <c:pt idx="71">
                  <c:v>3.1153199999999996</c:v>
                </c:pt>
                <c:pt idx="72">
                  <c:v>3.0933100000000002</c:v>
                </c:pt>
                <c:pt idx="73">
                  <c:v>3.0730300000000002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51.738500000000002</c:v>
                </c:pt>
                <c:pt idx="1">
                  <c:v>50.499700000000004</c:v>
                </c:pt>
                <c:pt idx="2">
                  <c:v>49.641999999999996</c:v>
                </c:pt>
                <c:pt idx="3">
                  <c:v>49.1355</c:v>
                </c:pt>
                <c:pt idx="4">
                  <c:v>48.961799999999997</c:v>
                </c:pt>
                <c:pt idx="5">
                  <c:v>48.908000000000001</c:v>
                </c:pt>
                <c:pt idx="6">
                  <c:v>48.894100000000002</c:v>
                </c:pt>
                <c:pt idx="7">
                  <c:v>48.919000000000004</c:v>
                </c:pt>
                <c:pt idx="8">
                  <c:v>49.070599999999999</c:v>
                </c:pt>
                <c:pt idx="9">
                  <c:v>49.197499999999998</c:v>
                </c:pt>
                <c:pt idx="10">
                  <c:v>49.2483</c:v>
                </c:pt>
                <c:pt idx="11">
                  <c:v>49.295999999999999</c:v>
                </c:pt>
                <c:pt idx="12">
                  <c:v>49.517099999999999</c:v>
                </c:pt>
                <c:pt idx="13">
                  <c:v>49.895699999999998</c:v>
                </c:pt>
                <c:pt idx="14">
                  <c:v>50.278100000000002</c:v>
                </c:pt>
                <c:pt idx="15">
                  <c:v>50.633200000000002</c:v>
                </c:pt>
                <c:pt idx="16">
                  <c:v>50.922900000000006</c:v>
                </c:pt>
                <c:pt idx="17">
                  <c:v>51.149799999999999</c:v>
                </c:pt>
                <c:pt idx="18">
                  <c:v>51.334500000000006</c:v>
                </c:pt>
                <c:pt idx="19">
                  <c:v>51.439800000000005</c:v>
                </c:pt>
                <c:pt idx="20">
                  <c:v>51.450700000000005</c:v>
                </c:pt>
                <c:pt idx="21">
                  <c:v>51.369100000000003</c:v>
                </c:pt>
                <c:pt idx="22">
                  <c:v>51.229800000000004</c:v>
                </c:pt>
                <c:pt idx="23">
                  <c:v>51.005800000000001</c:v>
                </c:pt>
                <c:pt idx="24">
                  <c:v>50.729700000000001</c:v>
                </c:pt>
                <c:pt idx="25">
                  <c:v>50.4649</c:v>
                </c:pt>
                <c:pt idx="26">
                  <c:v>50.230799999999995</c:v>
                </c:pt>
                <c:pt idx="27">
                  <c:v>50.003900000000002</c:v>
                </c:pt>
                <c:pt idx="28">
                  <c:v>49.811499999999995</c:v>
                </c:pt>
                <c:pt idx="29">
                  <c:v>49.590400000000002</c:v>
                </c:pt>
                <c:pt idx="30">
                  <c:v>49.416399999999996</c:v>
                </c:pt>
                <c:pt idx="31">
                  <c:v>49.333199999999998</c:v>
                </c:pt>
                <c:pt idx="32">
                  <c:v>49.336999999999996</c:v>
                </c:pt>
                <c:pt idx="33">
                  <c:v>49.43</c:v>
                </c:pt>
                <c:pt idx="34">
                  <c:v>49.585599999999999</c:v>
                </c:pt>
                <c:pt idx="35">
                  <c:v>49.836999999999996</c:v>
                </c:pt>
                <c:pt idx="36">
                  <c:v>50.199199999999998</c:v>
                </c:pt>
                <c:pt idx="37">
                  <c:v>50.445099999999996</c:v>
                </c:pt>
                <c:pt idx="38">
                  <c:v>50.501300000000008</c:v>
                </c:pt>
                <c:pt idx="39">
                  <c:v>50.509499999999996</c:v>
                </c:pt>
                <c:pt idx="40">
                  <c:v>50.455300000000001</c:v>
                </c:pt>
                <c:pt idx="41">
                  <c:v>50.366</c:v>
                </c:pt>
                <c:pt idx="42">
                  <c:v>50.263800000000003</c:v>
                </c:pt>
                <c:pt idx="43">
                  <c:v>50.141500000000008</c:v>
                </c:pt>
                <c:pt idx="44">
                  <c:v>49.981299999999997</c:v>
                </c:pt>
                <c:pt idx="45">
                  <c:v>49.804299999999998</c:v>
                </c:pt>
                <c:pt idx="46">
                  <c:v>49.640099999999997</c:v>
                </c:pt>
                <c:pt idx="47">
                  <c:v>49.407600000000002</c:v>
                </c:pt>
                <c:pt idx="48">
                  <c:v>49.174800000000005</c:v>
                </c:pt>
                <c:pt idx="49">
                  <c:v>48.979900000000001</c:v>
                </c:pt>
                <c:pt idx="50">
                  <c:v>48.898899999999998</c:v>
                </c:pt>
                <c:pt idx="51">
                  <c:v>48.623100000000001</c:v>
                </c:pt>
                <c:pt idx="52">
                  <c:v>48.407400000000003</c:v>
                </c:pt>
                <c:pt idx="53">
                  <c:v>48.191499999999998</c:v>
                </c:pt>
                <c:pt idx="54">
                  <c:v>48.008099999999999</c:v>
                </c:pt>
                <c:pt idx="55">
                  <c:v>47.8613</c:v>
                </c:pt>
                <c:pt idx="56">
                  <c:v>47.732400000000005</c:v>
                </c:pt>
                <c:pt idx="57">
                  <c:v>47.619</c:v>
                </c:pt>
                <c:pt idx="58">
                  <c:v>47.471299999999999</c:v>
                </c:pt>
                <c:pt idx="59">
                  <c:v>47.361799999999995</c:v>
                </c:pt>
                <c:pt idx="60">
                  <c:v>47.301700000000004</c:v>
                </c:pt>
                <c:pt idx="61">
                  <c:v>47.2258</c:v>
                </c:pt>
                <c:pt idx="62">
                  <c:v>47.227699999999999</c:v>
                </c:pt>
                <c:pt idx="63">
                  <c:v>47.315400000000004</c:v>
                </c:pt>
                <c:pt idx="64">
                  <c:v>47.426600000000001</c:v>
                </c:pt>
                <c:pt idx="65">
                  <c:v>47.615200000000002</c:v>
                </c:pt>
                <c:pt idx="66">
                  <c:v>47.783099999999997</c:v>
                </c:pt>
                <c:pt idx="67">
                  <c:v>47.919200000000004</c:v>
                </c:pt>
                <c:pt idx="68">
                  <c:v>47.998100000000001</c:v>
                </c:pt>
                <c:pt idx="69">
                  <c:v>48.082099999999997</c:v>
                </c:pt>
                <c:pt idx="70">
                  <c:v>48.228000000000002</c:v>
                </c:pt>
                <c:pt idx="71">
                  <c:v>48.401800000000001</c:v>
                </c:pt>
                <c:pt idx="72">
                  <c:v>48.546399999999998</c:v>
                </c:pt>
                <c:pt idx="73">
                  <c:v>48.731099999999998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3.0730300000000002</c:v>
                </c:pt>
                <c:pt idx="1">
                  <c:v>3.0432900000000003</c:v>
                </c:pt>
                <c:pt idx="2">
                  <c:v>3.0262000000000002</c:v>
                </c:pt>
                <c:pt idx="3">
                  <c:v>3.00929</c:v>
                </c:pt>
                <c:pt idx="4">
                  <c:v>2.99308</c:v>
                </c:pt>
                <c:pt idx="5">
                  <c:v>2.9783300000000001</c:v>
                </c:pt>
                <c:pt idx="6">
                  <c:v>2.9635899999999999</c:v>
                </c:pt>
                <c:pt idx="7">
                  <c:v>2.95269</c:v>
                </c:pt>
                <c:pt idx="8">
                  <c:v>2.9475800000000003</c:v>
                </c:pt>
                <c:pt idx="9">
                  <c:v>2.9445100000000002</c:v>
                </c:pt>
                <c:pt idx="10">
                  <c:v>2.9411199999999997</c:v>
                </c:pt>
                <c:pt idx="11">
                  <c:v>2.9358899999999997</c:v>
                </c:pt>
                <c:pt idx="12">
                  <c:v>2.9304599999999996</c:v>
                </c:pt>
                <c:pt idx="13">
                  <c:v>2.9286499999999998</c:v>
                </c:pt>
                <c:pt idx="14">
                  <c:v>2.9262999999999999</c:v>
                </c:pt>
                <c:pt idx="15">
                  <c:v>2.9258899999999999</c:v>
                </c:pt>
                <c:pt idx="16">
                  <c:v>2.9272</c:v>
                </c:pt>
                <c:pt idx="17">
                  <c:v>2.9268300000000003</c:v>
                </c:pt>
                <c:pt idx="18">
                  <c:v>2.9286600000000003</c:v>
                </c:pt>
                <c:pt idx="19">
                  <c:v>2.9326000000000003</c:v>
                </c:pt>
                <c:pt idx="20">
                  <c:v>2.9384900000000003</c:v>
                </c:pt>
                <c:pt idx="21">
                  <c:v>2.9447200000000002</c:v>
                </c:pt>
                <c:pt idx="22">
                  <c:v>2.9520999999999997</c:v>
                </c:pt>
                <c:pt idx="23">
                  <c:v>2.9616799999999999</c:v>
                </c:pt>
                <c:pt idx="24">
                  <c:v>2.9745500000000002</c:v>
                </c:pt>
                <c:pt idx="25">
                  <c:v>2.9891399999999999</c:v>
                </c:pt>
                <c:pt idx="26">
                  <c:v>3.0048399999999997</c:v>
                </c:pt>
                <c:pt idx="27">
                  <c:v>3.0219299999999998</c:v>
                </c:pt>
                <c:pt idx="28">
                  <c:v>3.04413</c:v>
                </c:pt>
                <c:pt idx="29">
                  <c:v>3.07301</c:v>
                </c:pt>
                <c:pt idx="30">
                  <c:v>3.1040700000000001</c:v>
                </c:pt>
                <c:pt idx="31">
                  <c:v>3.1373199999999999</c:v>
                </c:pt>
                <c:pt idx="32">
                  <c:v>3.1747199999999998</c:v>
                </c:pt>
                <c:pt idx="33">
                  <c:v>3.2121899999999997</c:v>
                </c:pt>
                <c:pt idx="34">
                  <c:v>3.2499499999999997</c:v>
                </c:pt>
                <c:pt idx="35">
                  <c:v>3.2913900000000003</c:v>
                </c:pt>
                <c:pt idx="36">
                  <c:v>3.3384399999999999</c:v>
                </c:pt>
                <c:pt idx="37">
                  <c:v>3.3905099999999999</c:v>
                </c:pt>
                <c:pt idx="38">
                  <c:v>3.4419899999999997</c:v>
                </c:pt>
                <c:pt idx="39">
                  <c:v>3.48922</c:v>
                </c:pt>
                <c:pt idx="40">
                  <c:v>3.5323199999999999</c:v>
                </c:pt>
                <c:pt idx="41">
                  <c:v>3.5719499999999997</c:v>
                </c:pt>
                <c:pt idx="42">
                  <c:v>3.6093999999999999</c:v>
                </c:pt>
                <c:pt idx="43">
                  <c:v>3.64506</c:v>
                </c:pt>
                <c:pt idx="44">
                  <c:v>3.6785800000000002</c:v>
                </c:pt>
                <c:pt idx="45">
                  <c:v>3.70919</c:v>
                </c:pt>
                <c:pt idx="46">
                  <c:v>3.7386799999999996</c:v>
                </c:pt>
                <c:pt idx="47">
                  <c:v>3.7683899999999997</c:v>
                </c:pt>
                <c:pt idx="48">
                  <c:v>3.7995299999999999</c:v>
                </c:pt>
                <c:pt idx="49">
                  <c:v>3.8331200000000001</c:v>
                </c:pt>
                <c:pt idx="50">
                  <c:v>3.8610899999999999</c:v>
                </c:pt>
                <c:pt idx="51">
                  <c:v>3.8818599999999996</c:v>
                </c:pt>
                <c:pt idx="52">
                  <c:v>3.90293</c:v>
                </c:pt>
                <c:pt idx="53">
                  <c:v>3.9227099999999999</c:v>
                </c:pt>
                <c:pt idx="54">
                  <c:v>3.9400499999999998</c:v>
                </c:pt>
                <c:pt idx="55">
                  <c:v>3.9561299999999999</c:v>
                </c:pt>
                <c:pt idx="56">
                  <c:v>3.9719500000000001</c:v>
                </c:pt>
                <c:pt idx="57">
                  <c:v>3.9847000000000001</c:v>
                </c:pt>
                <c:pt idx="58">
                  <c:v>3.9967100000000002</c:v>
                </c:pt>
                <c:pt idx="59">
                  <c:v>4.0076499999999999</c:v>
                </c:pt>
                <c:pt idx="60">
                  <c:v>4.0155099999999999</c:v>
                </c:pt>
                <c:pt idx="61">
                  <c:v>4.0189900000000005</c:v>
                </c:pt>
                <c:pt idx="62">
                  <c:v>4.0167599999999997</c:v>
                </c:pt>
                <c:pt idx="63">
                  <c:v>4.0119500000000006</c:v>
                </c:pt>
                <c:pt idx="64">
                  <c:v>4.00908</c:v>
                </c:pt>
                <c:pt idx="65">
                  <c:v>4.0081600000000002</c:v>
                </c:pt>
                <c:pt idx="66">
                  <c:v>4.0106599999999997</c:v>
                </c:pt>
                <c:pt idx="67">
                  <c:v>4.0164400000000002</c:v>
                </c:pt>
                <c:pt idx="68">
                  <c:v>4.0234699999999997</c:v>
                </c:pt>
                <c:pt idx="69">
                  <c:v>4.0329800000000002</c:v>
                </c:pt>
                <c:pt idx="70">
                  <c:v>4.0504699999999998</c:v>
                </c:pt>
                <c:pt idx="71">
                  <c:v>4.0759600000000002</c:v>
                </c:pt>
                <c:pt idx="72">
                  <c:v>4.1123399999999997</c:v>
                </c:pt>
                <c:pt idx="73">
                  <c:v>4.1610700000000005</c:v>
                </c:pt>
                <c:pt idx="74">
                  <c:v>4.2107600000000005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48.731099999999998</c:v>
                </c:pt>
                <c:pt idx="1">
                  <c:v>48.957999999999998</c:v>
                </c:pt>
                <c:pt idx="2">
                  <c:v>49.145600000000002</c:v>
                </c:pt>
                <c:pt idx="3">
                  <c:v>49.232500000000002</c:v>
                </c:pt>
                <c:pt idx="4">
                  <c:v>49.2697</c:v>
                </c:pt>
                <c:pt idx="5">
                  <c:v>49.2654</c:v>
                </c:pt>
                <c:pt idx="6">
                  <c:v>49.2667</c:v>
                </c:pt>
                <c:pt idx="7">
                  <c:v>49.211399999999998</c:v>
                </c:pt>
                <c:pt idx="8">
                  <c:v>49.057499999999997</c:v>
                </c:pt>
                <c:pt idx="9">
                  <c:v>48.866500000000002</c:v>
                </c:pt>
                <c:pt idx="10">
                  <c:v>48.688199999999995</c:v>
                </c:pt>
                <c:pt idx="11">
                  <c:v>48.572400000000002</c:v>
                </c:pt>
                <c:pt idx="12">
                  <c:v>48.415300000000002</c:v>
                </c:pt>
                <c:pt idx="13">
                  <c:v>48.290399999999998</c:v>
                </c:pt>
                <c:pt idx="14">
                  <c:v>48.222999999999999</c:v>
                </c:pt>
                <c:pt idx="15">
                  <c:v>48.070500000000003</c:v>
                </c:pt>
                <c:pt idx="16">
                  <c:v>47.909700000000001</c:v>
                </c:pt>
                <c:pt idx="17">
                  <c:v>47.801500000000004</c:v>
                </c:pt>
                <c:pt idx="18">
                  <c:v>47.733499999999999</c:v>
                </c:pt>
                <c:pt idx="19">
                  <c:v>47.656399999999998</c:v>
                </c:pt>
                <c:pt idx="20">
                  <c:v>47.627600000000001</c:v>
                </c:pt>
                <c:pt idx="21">
                  <c:v>47.6432</c:v>
                </c:pt>
                <c:pt idx="22">
                  <c:v>47.697299999999998</c:v>
                </c:pt>
                <c:pt idx="23">
                  <c:v>47.8127</c:v>
                </c:pt>
                <c:pt idx="24">
                  <c:v>47.939900000000002</c:v>
                </c:pt>
                <c:pt idx="25">
                  <c:v>48.069099999999999</c:v>
                </c:pt>
                <c:pt idx="26">
                  <c:v>48.278500000000001</c:v>
                </c:pt>
                <c:pt idx="27">
                  <c:v>48.4863</c:v>
                </c:pt>
                <c:pt idx="28">
                  <c:v>48.690600000000003</c:v>
                </c:pt>
                <c:pt idx="29">
                  <c:v>48.879600000000003</c:v>
                </c:pt>
                <c:pt idx="30">
                  <c:v>49.0642</c:v>
                </c:pt>
                <c:pt idx="31">
                  <c:v>49.2209</c:v>
                </c:pt>
                <c:pt idx="32">
                  <c:v>49.247700000000002</c:v>
                </c:pt>
                <c:pt idx="33">
                  <c:v>49.359900000000003</c:v>
                </c:pt>
                <c:pt idx="34">
                  <c:v>49.492599999999996</c:v>
                </c:pt>
                <c:pt idx="35">
                  <c:v>49.615299999999998</c:v>
                </c:pt>
                <c:pt idx="36">
                  <c:v>49.7087</c:v>
                </c:pt>
                <c:pt idx="37">
                  <c:v>49.762499999999996</c:v>
                </c:pt>
                <c:pt idx="38">
                  <c:v>49.836999999999996</c:v>
                </c:pt>
                <c:pt idx="39">
                  <c:v>50.069800000000001</c:v>
                </c:pt>
                <c:pt idx="40">
                  <c:v>50.451100000000004</c:v>
                </c:pt>
                <c:pt idx="41">
                  <c:v>50.944199999999995</c:v>
                </c:pt>
                <c:pt idx="42">
                  <c:v>51.514200000000002</c:v>
                </c:pt>
                <c:pt idx="43">
                  <c:v>52.081599999999995</c:v>
                </c:pt>
                <c:pt idx="44">
                  <c:v>52.659299999999995</c:v>
                </c:pt>
                <c:pt idx="45">
                  <c:v>53.209399999999995</c:v>
                </c:pt>
                <c:pt idx="46">
                  <c:v>53.735900000000001</c:v>
                </c:pt>
                <c:pt idx="47">
                  <c:v>54.252800000000001</c:v>
                </c:pt>
                <c:pt idx="48">
                  <c:v>54.712899999999998</c:v>
                </c:pt>
                <c:pt idx="49">
                  <c:v>55.040599999999998</c:v>
                </c:pt>
                <c:pt idx="50">
                  <c:v>55.386299999999999</c:v>
                </c:pt>
                <c:pt idx="51">
                  <c:v>55.812399999999997</c:v>
                </c:pt>
                <c:pt idx="52">
                  <c:v>56.265000000000001</c:v>
                </c:pt>
                <c:pt idx="53">
                  <c:v>56.661300000000004</c:v>
                </c:pt>
                <c:pt idx="54">
                  <c:v>56.958299999999994</c:v>
                </c:pt>
                <c:pt idx="55">
                  <c:v>57.225499999999997</c:v>
                </c:pt>
                <c:pt idx="56">
                  <c:v>57.509399999999999</c:v>
                </c:pt>
                <c:pt idx="57">
                  <c:v>57.761799999999994</c:v>
                </c:pt>
                <c:pt idx="58">
                  <c:v>57.918300000000002</c:v>
                </c:pt>
                <c:pt idx="59">
                  <c:v>58.039300000000004</c:v>
                </c:pt>
                <c:pt idx="60">
                  <c:v>58.069400000000002</c:v>
                </c:pt>
                <c:pt idx="61">
                  <c:v>58.016300000000001</c:v>
                </c:pt>
                <c:pt idx="62">
                  <c:v>57.991999999999997</c:v>
                </c:pt>
                <c:pt idx="63">
                  <c:v>58.016599999999997</c:v>
                </c:pt>
                <c:pt idx="64">
                  <c:v>57.991999999999997</c:v>
                </c:pt>
                <c:pt idx="65">
                  <c:v>57.956799999999994</c:v>
                </c:pt>
                <c:pt idx="66">
                  <c:v>57.863299999999995</c:v>
                </c:pt>
                <c:pt idx="67">
                  <c:v>57.726299999999995</c:v>
                </c:pt>
                <c:pt idx="68">
                  <c:v>57.576899999999995</c:v>
                </c:pt>
                <c:pt idx="69">
                  <c:v>57.391199999999998</c:v>
                </c:pt>
                <c:pt idx="70">
                  <c:v>57.218000000000004</c:v>
                </c:pt>
                <c:pt idx="71">
                  <c:v>57.040900000000008</c:v>
                </c:pt>
                <c:pt idx="72">
                  <c:v>56.8078</c:v>
                </c:pt>
                <c:pt idx="73">
                  <c:v>56.470399999999998</c:v>
                </c:pt>
                <c:pt idx="74">
                  <c:v>56.275600000000004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3.6174683783783794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49.342629729729722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3.4592317567567572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52.171495945945978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3.4592317567567572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52.171495945945978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0.13702329058205848</c:v>
                </c:pt>
                <c:pt idx="1">
                  <c:v>0.329251670985375</c:v>
                </c:pt>
                <c:pt idx="2">
                  <c:v>0.53372503843256647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0.40393000000000001</c:v>
                </c:pt>
                <c:pt idx="2">
                  <c:v>0.81403899999999996</c:v>
                </c:pt>
                <c:pt idx="3">
                  <c:v>1.2237899999999999</c:v>
                </c:pt>
                <c:pt idx="4">
                  <c:v>1.6277600000000001</c:v>
                </c:pt>
                <c:pt idx="5">
                  <c:v>2.0376300000000001</c:v>
                </c:pt>
                <c:pt idx="6">
                  <c:v>2.4394800000000001</c:v>
                </c:pt>
                <c:pt idx="7">
                  <c:v>2.8456199999999998</c:v>
                </c:pt>
                <c:pt idx="8">
                  <c:v>3.2513399999999999</c:v>
                </c:pt>
                <c:pt idx="9">
                  <c:v>3.6602399999999999</c:v>
                </c:pt>
                <c:pt idx="10">
                  <c:v>4.0671799999999996</c:v>
                </c:pt>
                <c:pt idx="11">
                  <c:v>4.4681800000000003</c:v>
                </c:pt>
                <c:pt idx="12">
                  <c:v>4.8795200000000003</c:v>
                </c:pt>
                <c:pt idx="13">
                  <c:v>5.2810699999999997</c:v>
                </c:pt>
                <c:pt idx="14">
                  <c:v>5.6879600000000003</c:v>
                </c:pt>
                <c:pt idx="15">
                  <c:v>6.0921000000000003</c:v>
                </c:pt>
                <c:pt idx="16">
                  <c:v>6.5016499999999997</c:v>
                </c:pt>
                <c:pt idx="17">
                  <c:v>6.9055299999999997</c:v>
                </c:pt>
                <c:pt idx="18">
                  <c:v>7.3135599999999998</c:v>
                </c:pt>
                <c:pt idx="19">
                  <c:v>7.7215400000000001</c:v>
                </c:pt>
                <c:pt idx="20">
                  <c:v>8.1265699999999992</c:v>
                </c:pt>
                <c:pt idx="21">
                  <c:v>8.5342800000000008</c:v>
                </c:pt>
                <c:pt idx="22">
                  <c:v>8.9393200000000004</c:v>
                </c:pt>
                <c:pt idx="23">
                  <c:v>9.3471399999999996</c:v>
                </c:pt>
                <c:pt idx="24">
                  <c:v>9.7783800000000003</c:v>
                </c:pt>
                <c:pt idx="25">
                  <c:v>10.1539</c:v>
                </c:pt>
                <c:pt idx="26">
                  <c:v>10.56</c:v>
                </c:pt>
                <c:pt idx="27">
                  <c:v>10.970800000000001</c:v>
                </c:pt>
                <c:pt idx="28">
                  <c:v>11.375</c:v>
                </c:pt>
                <c:pt idx="29">
                  <c:v>11.7806</c:v>
                </c:pt>
                <c:pt idx="30">
                  <c:v>12.187799999999999</c:v>
                </c:pt>
                <c:pt idx="31">
                  <c:v>12.5947</c:v>
                </c:pt>
                <c:pt idx="32">
                  <c:v>12.9984</c:v>
                </c:pt>
                <c:pt idx="33">
                  <c:v>13.405200000000001</c:v>
                </c:pt>
                <c:pt idx="34">
                  <c:v>13.812099999999999</c:v>
                </c:pt>
                <c:pt idx="35">
                  <c:v>14.223100000000001</c:v>
                </c:pt>
                <c:pt idx="36">
                  <c:v>14.626099999999999</c:v>
                </c:pt>
                <c:pt idx="37">
                  <c:v>15.034599999999999</c:v>
                </c:pt>
                <c:pt idx="38">
                  <c:v>15.4491</c:v>
                </c:pt>
                <c:pt idx="39">
                  <c:v>15.848699999999999</c:v>
                </c:pt>
                <c:pt idx="40">
                  <c:v>16.2544</c:v>
                </c:pt>
                <c:pt idx="41">
                  <c:v>16.656500000000001</c:v>
                </c:pt>
                <c:pt idx="42">
                  <c:v>17.060500000000001</c:v>
                </c:pt>
                <c:pt idx="43">
                  <c:v>17.4695</c:v>
                </c:pt>
                <c:pt idx="44">
                  <c:v>17.8735</c:v>
                </c:pt>
                <c:pt idx="45">
                  <c:v>18.281099999999999</c:v>
                </c:pt>
                <c:pt idx="46">
                  <c:v>18.687000000000001</c:v>
                </c:pt>
                <c:pt idx="47">
                  <c:v>19.093</c:v>
                </c:pt>
                <c:pt idx="48">
                  <c:v>19.497900000000001</c:v>
                </c:pt>
                <c:pt idx="49">
                  <c:v>19.904900000000001</c:v>
                </c:pt>
                <c:pt idx="50">
                  <c:v>20.309799999999999</c:v>
                </c:pt>
                <c:pt idx="51">
                  <c:v>20.719899999999999</c:v>
                </c:pt>
                <c:pt idx="52">
                  <c:v>21.125800000000002</c:v>
                </c:pt>
                <c:pt idx="53">
                  <c:v>21.532599999999999</c:v>
                </c:pt>
                <c:pt idx="54">
                  <c:v>21.938400000000001</c:v>
                </c:pt>
                <c:pt idx="55">
                  <c:v>22.3416</c:v>
                </c:pt>
                <c:pt idx="56">
                  <c:v>22.747199999999999</c:v>
                </c:pt>
                <c:pt idx="57">
                  <c:v>23.1553</c:v>
                </c:pt>
                <c:pt idx="58">
                  <c:v>23.561199999999999</c:v>
                </c:pt>
                <c:pt idx="59">
                  <c:v>23.968</c:v>
                </c:pt>
                <c:pt idx="60">
                  <c:v>24.375800000000002</c:v>
                </c:pt>
                <c:pt idx="61">
                  <c:v>24.787800000000001</c:v>
                </c:pt>
                <c:pt idx="62">
                  <c:v>25.1907</c:v>
                </c:pt>
                <c:pt idx="63">
                  <c:v>25.5959</c:v>
                </c:pt>
                <c:pt idx="64">
                  <c:v>25.999700000000001</c:v>
                </c:pt>
                <c:pt idx="65">
                  <c:v>26.407699999999998</c:v>
                </c:pt>
                <c:pt idx="66">
                  <c:v>26.8125</c:v>
                </c:pt>
                <c:pt idx="67">
                  <c:v>27.218399999999999</c:v>
                </c:pt>
                <c:pt idx="68">
                  <c:v>27.623100000000001</c:v>
                </c:pt>
                <c:pt idx="69">
                  <c:v>28.038</c:v>
                </c:pt>
                <c:pt idx="70">
                  <c:v>28.444199999999999</c:v>
                </c:pt>
                <c:pt idx="71">
                  <c:v>28.852</c:v>
                </c:pt>
                <c:pt idx="72">
                  <c:v>29.255800000000001</c:v>
                </c:pt>
                <c:pt idx="73">
                  <c:v>29.662099999999999</c:v>
                </c:pt>
                <c:pt idx="74">
                  <c:v>30.36</c:v>
                </c:pt>
                <c:pt idx="75">
                  <c:v>30.702000000000002</c:v>
                </c:pt>
                <c:pt idx="76">
                  <c:v>31.064</c:v>
                </c:pt>
                <c:pt idx="77">
                  <c:v>31.439</c:v>
                </c:pt>
                <c:pt idx="78">
                  <c:v>31.815000000000001</c:v>
                </c:pt>
                <c:pt idx="79">
                  <c:v>32.2029</c:v>
                </c:pt>
                <c:pt idx="80">
                  <c:v>32.622900000000001</c:v>
                </c:pt>
                <c:pt idx="81">
                  <c:v>33.014400000000002</c:v>
                </c:pt>
                <c:pt idx="82">
                  <c:v>33.423999999999999</c:v>
                </c:pt>
                <c:pt idx="83">
                  <c:v>33.831200000000003</c:v>
                </c:pt>
                <c:pt idx="84">
                  <c:v>34.233199999999997</c:v>
                </c:pt>
                <c:pt idx="85">
                  <c:v>34.6432</c:v>
                </c:pt>
                <c:pt idx="86">
                  <c:v>35.0501</c:v>
                </c:pt>
                <c:pt idx="87">
                  <c:v>35.453000000000003</c:v>
                </c:pt>
                <c:pt idx="88">
                  <c:v>35.8628</c:v>
                </c:pt>
                <c:pt idx="89">
                  <c:v>36.266100000000002</c:v>
                </c:pt>
                <c:pt idx="90">
                  <c:v>36.695999999999998</c:v>
                </c:pt>
                <c:pt idx="91">
                  <c:v>37.078600000000002</c:v>
                </c:pt>
                <c:pt idx="92">
                  <c:v>37.4895</c:v>
                </c:pt>
                <c:pt idx="93">
                  <c:v>37.893300000000004</c:v>
                </c:pt>
                <c:pt idx="94">
                  <c:v>38.298299999999998</c:v>
                </c:pt>
                <c:pt idx="95">
                  <c:v>38.704300000000003</c:v>
                </c:pt>
                <c:pt idx="96">
                  <c:v>39.118299999999998</c:v>
                </c:pt>
                <c:pt idx="97">
                  <c:v>39.514099999999999</c:v>
                </c:pt>
                <c:pt idx="98">
                  <c:v>39.9253</c:v>
                </c:pt>
                <c:pt idx="99">
                  <c:v>40.332799999999999</c:v>
                </c:pt>
                <c:pt idx="100">
                  <c:v>40.738</c:v>
                </c:pt>
                <c:pt idx="101">
                  <c:v>41.165199999999999</c:v>
                </c:pt>
                <c:pt idx="102">
                  <c:v>41.560699999999997</c:v>
                </c:pt>
                <c:pt idx="103">
                  <c:v>41.971600000000002</c:v>
                </c:pt>
                <c:pt idx="104">
                  <c:v>42.367400000000004</c:v>
                </c:pt>
                <c:pt idx="105">
                  <c:v>42.768500000000003</c:v>
                </c:pt>
                <c:pt idx="106">
                  <c:v>43.171300000000002</c:v>
                </c:pt>
                <c:pt idx="107">
                  <c:v>43.577199999999998</c:v>
                </c:pt>
                <c:pt idx="108">
                  <c:v>43.9833</c:v>
                </c:pt>
                <c:pt idx="109">
                  <c:v>44.393000000000001</c:v>
                </c:pt>
                <c:pt idx="110">
                  <c:v>44.797899999999998</c:v>
                </c:pt>
                <c:pt idx="111">
                  <c:v>45.203899999999997</c:v>
                </c:pt>
                <c:pt idx="112">
                  <c:v>45.6068</c:v>
                </c:pt>
                <c:pt idx="113">
                  <c:v>46.017299999999999</c:v>
                </c:pt>
                <c:pt idx="114">
                  <c:v>46.422600000000003</c:v>
                </c:pt>
                <c:pt idx="115">
                  <c:v>46.828699999999998</c:v>
                </c:pt>
                <c:pt idx="116">
                  <c:v>47.236499999999999</c:v>
                </c:pt>
                <c:pt idx="117">
                  <c:v>47.6404</c:v>
                </c:pt>
                <c:pt idx="118">
                  <c:v>48.049399999999999</c:v>
                </c:pt>
                <c:pt idx="119">
                  <c:v>48.453200000000002</c:v>
                </c:pt>
                <c:pt idx="120">
                  <c:v>48.857100000000003</c:v>
                </c:pt>
                <c:pt idx="121">
                  <c:v>49.263100000000001</c:v>
                </c:pt>
                <c:pt idx="122">
                  <c:v>49.673999999999999</c:v>
                </c:pt>
                <c:pt idx="123">
                  <c:v>50.076900000000002</c:v>
                </c:pt>
                <c:pt idx="124">
                  <c:v>50.484699999999997</c:v>
                </c:pt>
                <c:pt idx="125">
                  <c:v>50.892499999999998</c:v>
                </c:pt>
                <c:pt idx="126">
                  <c:v>51.294699999999999</c:v>
                </c:pt>
                <c:pt idx="127">
                  <c:v>51.704599999999999</c:v>
                </c:pt>
                <c:pt idx="128">
                  <c:v>52.116500000000002</c:v>
                </c:pt>
                <c:pt idx="129">
                  <c:v>52.517499999999998</c:v>
                </c:pt>
                <c:pt idx="130">
                  <c:v>52.921300000000002</c:v>
                </c:pt>
                <c:pt idx="131">
                  <c:v>53.332099999999997</c:v>
                </c:pt>
                <c:pt idx="132">
                  <c:v>53.735100000000003</c:v>
                </c:pt>
                <c:pt idx="133">
                  <c:v>54.142600000000002</c:v>
                </c:pt>
                <c:pt idx="134">
                  <c:v>54.551000000000002</c:v>
                </c:pt>
                <c:pt idx="135">
                  <c:v>54.967199999999998</c:v>
                </c:pt>
                <c:pt idx="136">
                  <c:v>55.361699999999999</c:v>
                </c:pt>
                <c:pt idx="137">
                  <c:v>55.7667</c:v>
                </c:pt>
                <c:pt idx="138">
                  <c:v>56.174900000000001</c:v>
                </c:pt>
                <c:pt idx="139">
                  <c:v>56.578400000000002</c:v>
                </c:pt>
                <c:pt idx="140">
                  <c:v>56.985399999999998</c:v>
                </c:pt>
                <c:pt idx="141">
                  <c:v>57.396299999999997</c:v>
                </c:pt>
                <c:pt idx="142">
                  <c:v>57.795200000000001</c:v>
                </c:pt>
                <c:pt idx="143">
                  <c:v>58.204300000000003</c:v>
                </c:pt>
                <c:pt idx="144">
                  <c:v>58.607100000000003</c:v>
                </c:pt>
                <c:pt idx="145">
                  <c:v>59.014000000000003</c:v>
                </c:pt>
                <c:pt idx="146">
                  <c:v>59.425199999999997</c:v>
                </c:pt>
                <c:pt idx="147">
                  <c:v>59.830800000000004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2.9014099999999998</c:v>
                </c:pt>
                <c:pt idx="1">
                  <c:v>3.0009799999999998</c:v>
                </c:pt>
                <c:pt idx="2">
                  <c:v>3.0935099999999998</c:v>
                </c:pt>
                <c:pt idx="3">
                  <c:v>3.18025</c:v>
                </c:pt>
                <c:pt idx="4">
                  <c:v>3.2611499999999998</c:v>
                </c:pt>
                <c:pt idx="5">
                  <c:v>3.3388</c:v>
                </c:pt>
                <c:pt idx="6">
                  <c:v>3.41303</c:v>
                </c:pt>
                <c:pt idx="7">
                  <c:v>3.4840999999999998</c:v>
                </c:pt>
                <c:pt idx="8">
                  <c:v>3.5511300000000001</c:v>
                </c:pt>
                <c:pt idx="9">
                  <c:v>3.6154299999999999</c:v>
                </c:pt>
                <c:pt idx="10">
                  <c:v>3.6783999999999999</c:v>
                </c:pt>
                <c:pt idx="11">
                  <c:v>3.73977</c:v>
                </c:pt>
                <c:pt idx="12">
                  <c:v>3.7920500000000001</c:v>
                </c:pt>
                <c:pt idx="13">
                  <c:v>3.8379699999999999</c:v>
                </c:pt>
                <c:pt idx="14">
                  <c:v>3.8780900000000003</c:v>
                </c:pt>
                <c:pt idx="15">
                  <c:v>3.9123099999999997</c:v>
                </c:pt>
                <c:pt idx="16">
                  <c:v>3.94062</c:v>
                </c:pt>
                <c:pt idx="17">
                  <c:v>3.9658700000000002</c:v>
                </c:pt>
                <c:pt idx="18">
                  <c:v>3.9859200000000001</c:v>
                </c:pt>
                <c:pt idx="19">
                  <c:v>4.0006599999999999</c:v>
                </c:pt>
                <c:pt idx="20">
                  <c:v>4.0104800000000003</c:v>
                </c:pt>
                <c:pt idx="21">
                  <c:v>4.0176800000000004</c:v>
                </c:pt>
                <c:pt idx="22">
                  <c:v>4.0210800000000004</c:v>
                </c:pt>
                <c:pt idx="23">
                  <c:v>4.0213900000000002</c:v>
                </c:pt>
                <c:pt idx="24">
                  <c:v>4.0183799999999996</c:v>
                </c:pt>
                <c:pt idx="25">
                  <c:v>4.01112</c:v>
                </c:pt>
                <c:pt idx="26">
                  <c:v>3.9988800000000002</c:v>
                </c:pt>
                <c:pt idx="27">
                  <c:v>3.9852300000000001</c:v>
                </c:pt>
                <c:pt idx="28">
                  <c:v>3.9712499999999999</c:v>
                </c:pt>
                <c:pt idx="29">
                  <c:v>3.9565200000000003</c:v>
                </c:pt>
                <c:pt idx="30">
                  <c:v>3.9404400000000002</c:v>
                </c:pt>
                <c:pt idx="31">
                  <c:v>3.92252</c:v>
                </c:pt>
                <c:pt idx="32">
                  <c:v>3.9033199999999999</c:v>
                </c:pt>
                <c:pt idx="33">
                  <c:v>3.8832299999999997</c:v>
                </c:pt>
                <c:pt idx="34">
                  <c:v>3.8608199999999999</c:v>
                </c:pt>
                <c:pt idx="35">
                  <c:v>3.8344299999999998</c:v>
                </c:pt>
                <c:pt idx="36">
                  <c:v>3.8048100000000002</c:v>
                </c:pt>
                <c:pt idx="37">
                  <c:v>3.7802699999999998</c:v>
                </c:pt>
                <c:pt idx="38">
                  <c:v>3.7586999999999997</c:v>
                </c:pt>
                <c:pt idx="39">
                  <c:v>3.73935</c:v>
                </c:pt>
                <c:pt idx="40">
                  <c:v>3.72424</c:v>
                </c:pt>
                <c:pt idx="41">
                  <c:v>3.7113</c:v>
                </c:pt>
                <c:pt idx="42">
                  <c:v>3.6961699999999995</c:v>
                </c:pt>
                <c:pt idx="43">
                  <c:v>3.68309</c:v>
                </c:pt>
                <c:pt idx="44">
                  <c:v>3.6734599999999999</c:v>
                </c:pt>
                <c:pt idx="45">
                  <c:v>3.6685099999999999</c:v>
                </c:pt>
                <c:pt idx="46">
                  <c:v>3.6634100000000003</c:v>
                </c:pt>
                <c:pt idx="47">
                  <c:v>3.6568399999999999</c:v>
                </c:pt>
                <c:pt idx="48">
                  <c:v>3.6474200000000003</c:v>
                </c:pt>
                <c:pt idx="49">
                  <c:v>3.6352000000000002</c:v>
                </c:pt>
                <c:pt idx="50">
                  <c:v>3.6310900000000004</c:v>
                </c:pt>
                <c:pt idx="51">
                  <c:v>3.6130100000000001</c:v>
                </c:pt>
                <c:pt idx="52">
                  <c:v>3.5988700000000002</c:v>
                </c:pt>
                <c:pt idx="53">
                  <c:v>3.58317</c:v>
                </c:pt>
                <c:pt idx="54">
                  <c:v>3.5679600000000002</c:v>
                </c:pt>
                <c:pt idx="55">
                  <c:v>3.5505500000000003</c:v>
                </c:pt>
                <c:pt idx="56">
                  <c:v>3.5307200000000001</c:v>
                </c:pt>
                <c:pt idx="57">
                  <c:v>3.5082000000000004</c:v>
                </c:pt>
                <c:pt idx="58">
                  <c:v>3.4845999999999999</c:v>
                </c:pt>
                <c:pt idx="59">
                  <c:v>3.4602399999999998</c:v>
                </c:pt>
                <c:pt idx="60">
                  <c:v>3.4346999999999999</c:v>
                </c:pt>
                <c:pt idx="61">
                  <c:v>3.4057199999999996</c:v>
                </c:pt>
                <c:pt idx="62">
                  <c:v>3.3754099999999996</c:v>
                </c:pt>
                <c:pt idx="63">
                  <c:v>3.3440700000000003</c:v>
                </c:pt>
                <c:pt idx="64">
                  <c:v>3.3120500000000002</c:v>
                </c:pt>
                <c:pt idx="65">
                  <c:v>3.2780999999999998</c:v>
                </c:pt>
                <c:pt idx="66">
                  <c:v>3.2465300000000004</c:v>
                </c:pt>
                <c:pt idx="67">
                  <c:v>3.2173699999999998</c:v>
                </c:pt>
                <c:pt idx="68">
                  <c:v>3.1905099999999997</c:v>
                </c:pt>
                <c:pt idx="69">
                  <c:v>3.1663799999999998</c:v>
                </c:pt>
                <c:pt idx="70">
                  <c:v>3.1407600000000002</c:v>
                </c:pt>
                <c:pt idx="71">
                  <c:v>3.1153199999999996</c:v>
                </c:pt>
                <c:pt idx="72">
                  <c:v>3.0933100000000002</c:v>
                </c:pt>
                <c:pt idx="73">
                  <c:v>3.0730300000000002</c:v>
                </c:pt>
                <c:pt idx="74">
                  <c:v>3.0432900000000003</c:v>
                </c:pt>
                <c:pt idx="75">
                  <c:v>3.0262000000000002</c:v>
                </c:pt>
                <c:pt idx="76">
                  <c:v>3.00929</c:v>
                </c:pt>
                <c:pt idx="77">
                  <c:v>2.99308</c:v>
                </c:pt>
                <c:pt idx="78">
                  <c:v>2.9783300000000001</c:v>
                </c:pt>
                <c:pt idx="79">
                  <c:v>2.9635899999999999</c:v>
                </c:pt>
                <c:pt idx="80">
                  <c:v>2.95269</c:v>
                </c:pt>
                <c:pt idx="81">
                  <c:v>2.9475800000000003</c:v>
                </c:pt>
                <c:pt idx="82">
                  <c:v>2.9445100000000002</c:v>
                </c:pt>
                <c:pt idx="83">
                  <c:v>2.9411199999999997</c:v>
                </c:pt>
                <c:pt idx="84">
                  <c:v>2.9358899999999997</c:v>
                </c:pt>
                <c:pt idx="85">
                  <c:v>2.9304599999999996</c:v>
                </c:pt>
                <c:pt idx="86">
                  <c:v>2.9286499999999998</c:v>
                </c:pt>
                <c:pt idx="87">
                  <c:v>2.9262999999999999</c:v>
                </c:pt>
                <c:pt idx="88">
                  <c:v>2.9258899999999999</c:v>
                </c:pt>
                <c:pt idx="89">
                  <c:v>2.9272</c:v>
                </c:pt>
                <c:pt idx="90">
                  <c:v>2.9268300000000003</c:v>
                </c:pt>
                <c:pt idx="91">
                  <c:v>2.9286600000000003</c:v>
                </c:pt>
                <c:pt idx="92">
                  <c:v>2.9326000000000003</c:v>
                </c:pt>
                <c:pt idx="93">
                  <c:v>2.9384900000000003</c:v>
                </c:pt>
                <c:pt idx="94">
                  <c:v>2.9447200000000002</c:v>
                </c:pt>
                <c:pt idx="95">
                  <c:v>2.9520999999999997</c:v>
                </c:pt>
                <c:pt idx="96">
                  <c:v>2.9616799999999999</c:v>
                </c:pt>
                <c:pt idx="97">
                  <c:v>2.9745500000000002</c:v>
                </c:pt>
                <c:pt idx="98">
                  <c:v>2.9891399999999999</c:v>
                </c:pt>
                <c:pt idx="99">
                  <c:v>3.0048399999999997</c:v>
                </c:pt>
                <c:pt idx="100">
                  <c:v>3.0219299999999998</c:v>
                </c:pt>
                <c:pt idx="101">
                  <c:v>3.04413</c:v>
                </c:pt>
                <c:pt idx="102">
                  <c:v>3.07301</c:v>
                </c:pt>
                <c:pt idx="103">
                  <c:v>3.1040700000000001</c:v>
                </c:pt>
                <c:pt idx="104">
                  <c:v>3.1373199999999999</c:v>
                </c:pt>
                <c:pt idx="105">
                  <c:v>3.1747199999999998</c:v>
                </c:pt>
                <c:pt idx="106">
                  <c:v>3.2121899999999997</c:v>
                </c:pt>
                <c:pt idx="107">
                  <c:v>3.2499499999999997</c:v>
                </c:pt>
                <c:pt idx="108">
                  <c:v>3.2913900000000003</c:v>
                </c:pt>
                <c:pt idx="109">
                  <c:v>3.3384399999999999</c:v>
                </c:pt>
                <c:pt idx="110">
                  <c:v>3.3905099999999999</c:v>
                </c:pt>
                <c:pt idx="111">
                  <c:v>3.4419899999999997</c:v>
                </c:pt>
                <c:pt idx="112">
                  <c:v>3.48922</c:v>
                </c:pt>
                <c:pt idx="113">
                  <c:v>3.5323199999999999</c:v>
                </c:pt>
                <c:pt idx="114">
                  <c:v>3.5719499999999997</c:v>
                </c:pt>
                <c:pt idx="115">
                  <c:v>3.6093999999999999</c:v>
                </c:pt>
                <c:pt idx="116">
                  <c:v>3.64506</c:v>
                </c:pt>
                <c:pt idx="117">
                  <c:v>3.6785800000000002</c:v>
                </c:pt>
                <c:pt idx="118">
                  <c:v>3.70919</c:v>
                </c:pt>
                <c:pt idx="119">
                  <c:v>3.7386799999999996</c:v>
                </c:pt>
                <c:pt idx="120">
                  <c:v>3.7683899999999997</c:v>
                </c:pt>
                <c:pt idx="121">
                  <c:v>3.7995299999999999</c:v>
                </c:pt>
                <c:pt idx="122">
                  <c:v>3.8331200000000001</c:v>
                </c:pt>
                <c:pt idx="123">
                  <c:v>3.8610899999999999</c:v>
                </c:pt>
                <c:pt idx="124">
                  <c:v>3.8818599999999996</c:v>
                </c:pt>
                <c:pt idx="125">
                  <c:v>3.90293</c:v>
                </c:pt>
                <c:pt idx="126">
                  <c:v>3.9227099999999999</c:v>
                </c:pt>
                <c:pt idx="127">
                  <c:v>3.9400499999999998</c:v>
                </c:pt>
                <c:pt idx="128">
                  <c:v>3.9561299999999999</c:v>
                </c:pt>
                <c:pt idx="129">
                  <c:v>3.9719500000000001</c:v>
                </c:pt>
                <c:pt idx="130">
                  <c:v>3.9847000000000001</c:v>
                </c:pt>
                <c:pt idx="131">
                  <c:v>3.9967100000000002</c:v>
                </c:pt>
                <c:pt idx="132">
                  <c:v>4.0076499999999999</c:v>
                </c:pt>
                <c:pt idx="133">
                  <c:v>4.0155099999999999</c:v>
                </c:pt>
                <c:pt idx="134">
                  <c:v>4.0189900000000005</c:v>
                </c:pt>
                <c:pt idx="135">
                  <c:v>4.0167599999999997</c:v>
                </c:pt>
                <c:pt idx="136">
                  <c:v>4.0119500000000006</c:v>
                </c:pt>
                <c:pt idx="137">
                  <c:v>4.00908</c:v>
                </c:pt>
                <c:pt idx="138">
                  <c:v>4.0081600000000002</c:v>
                </c:pt>
                <c:pt idx="139">
                  <c:v>4.0106599999999997</c:v>
                </c:pt>
                <c:pt idx="140">
                  <c:v>4.0164400000000002</c:v>
                </c:pt>
                <c:pt idx="141">
                  <c:v>4.0234699999999997</c:v>
                </c:pt>
                <c:pt idx="142">
                  <c:v>4.0329800000000002</c:v>
                </c:pt>
                <c:pt idx="143">
                  <c:v>4.0504699999999998</c:v>
                </c:pt>
                <c:pt idx="144">
                  <c:v>4.0759600000000002</c:v>
                </c:pt>
                <c:pt idx="145">
                  <c:v>4.1123399999999997</c:v>
                </c:pt>
                <c:pt idx="146">
                  <c:v>4.1610700000000005</c:v>
                </c:pt>
                <c:pt idx="147">
                  <c:v>4.2107600000000005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0.40393000000000001</c:v>
                </c:pt>
                <c:pt idx="2">
                  <c:v>0.81403899999999996</c:v>
                </c:pt>
                <c:pt idx="3">
                  <c:v>1.2237899999999999</c:v>
                </c:pt>
                <c:pt idx="4">
                  <c:v>1.6277600000000001</c:v>
                </c:pt>
                <c:pt idx="5">
                  <c:v>2.0376300000000001</c:v>
                </c:pt>
                <c:pt idx="6">
                  <c:v>2.4394800000000001</c:v>
                </c:pt>
                <c:pt idx="7">
                  <c:v>2.8456199999999998</c:v>
                </c:pt>
                <c:pt idx="8">
                  <c:v>3.2513399999999999</c:v>
                </c:pt>
                <c:pt idx="9">
                  <c:v>3.6602399999999999</c:v>
                </c:pt>
                <c:pt idx="10">
                  <c:v>4.0671799999999996</c:v>
                </c:pt>
                <c:pt idx="11">
                  <c:v>4.4681800000000003</c:v>
                </c:pt>
                <c:pt idx="12">
                  <c:v>4.8795200000000003</c:v>
                </c:pt>
                <c:pt idx="13">
                  <c:v>5.2810699999999997</c:v>
                </c:pt>
                <c:pt idx="14">
                  <c:v>5.6879600000000003</c:v>
                </c:pt>
                <c:pt idx="15">
                  <c:v>6.0921000000000003</c:v>
                </c:pt>
                <c:pt idx="16">
                  <c:v>6.5016499999999997</c:v>
                </c:pt>
                <c:pt idx="17">
                  <c:v>6.9055299999999997</c:v>
                </c:pt>
                <c:pt idx="18">
                  <c:v>7.3135599999999998</c:v>
                </c:pt>
                <c:pt idx="19">
                  <c:v>7.7215400000000001</c:v>
                </c:pt>
                <c:pt idx="20">
                  <c:v>8.1265699999999992</c:v>
                </c:pt>
                <c:pt idx="21">
                  <c:v>8.5342800000000008</c:v>
                </c:pt>
                <c:pt idx="22">
                  <c:v>8.9393200000000004</c:v>
                </c:pt>
                <c:pt idx="23">
                  <c:v>9.3471399999999996</c:v>
                </c:pt>
                <c:pt idx="24">
                  <c:v>9.7783800000000003</c:v>
                </c:pt>
                <c:pt idx="25">
                  <c:v>10.1539</c:v>
                </c:pt>
                <c:pt idx="26">
                  <c:v>10.56</c:v>
                </c:pt>
                <c:pt idx="27">
                  <c:v>10.970800000000001</c:v>
                </c:pt>
                <c:pt idx="28">
                  <c:v>11.375</c:v>
                </c:pt>
                <c:pt idx="29">
                  <c:v>11.7806</c:v>
                </c:pt>
                <c:pt idx="30">
                  <c:v>12.187799999999999</c:v>
                </c:pt>
                <c:pt idx="31">
                  <c:v>12.5947</c:v>
                </c:pt>
                <c:pt idx="32">
                  <c:v>12.9984</c:v>
                </c:pt>
                <c:pt idx="33">
                  <c:v>13.405200000000001</c:v>
                </c:pt>
                <c:pt idx="34">
                  <c:v>13.812099999999999</c:v>
                </c:pt>
                <c:pt idx="35">
                  <c:v>14.223100000000001</c:v>
                </c:pt>
                <c:pt idx="36">
                  <c:v>14.626099999999999</c:v>
                </c:pt>
                <c:pt idx="37">
                  <c:v>15.034599999999999</c:v>
                </c:pt>
                <c:pt idx="38">
                  <c:v>15.4491</c:v>
                </c:pt>
                <c:pt idx="39">
                  <c:v>15.848699999999999</c:v>
                </c:pt>
                <c:pt idx="40">
                  <c:v>16.2544</c:v>
                </c:pt>
                <c:pt idx="41">
                  <c:v>16.656500000000001</c:v>
                </c:pt>
                <c:pt idx="42">
                  <c:v>17.060500000000001</c:v>
                </c:pt>
                <c:pt idx="43">
                  <c:v>17.4695</c:v>
                </c:pt>
                <c:pt idx="44">
                  <c:v>17.8735</c:v>
                </c:pt>
                <c:pt idx="45">
                  <c:v>18.281099999999999</c:v>
                </c:pt>
                <c:pt idx="46">
                  <c:v>18.687000000000001</c:v>
                </c:pt>
                <c:pt idx="47">
                  <c:v>19.093</c:v>
                </c:pt>
                <c:pt idx="48">
                  <c:v>19.497900000000001</c:v>
                </c:pt>
                <c:pt idx="49">
                  <c:v>19.904900000000001</c:v>
                </c:pt>
                <c:pt idx="50">
                  <c:v>20.309799999999999</c:v>
                </c:pt>
                <c:pt idx="51">
                  <c:v>20.719899999999999</c:v>
                </c:pt>
                <c:pt idx="52">
                  <c:v>21.125800000000002</c:v>
                </c:pt>
                <c:pt idx="53">
                  <c:v>21.532599999999999</c:v>
                </c:pt>
                <c:pt idx="54">
                  <c:v>21.938400000000001</c:v>
                </c:pt>
                <c:pt idx="55">
                  <c:v>22.3416</c:v>
                </c:pt>
                <c:pt idx="56">
                  <c:v>22.747199999999999</c:v>
                </c:pt>
                <c:pt idx="57">
                  <c:v>23.1553</c:v>
                </c:pt>
                <c:pt idx="58">
                  <c:v>23.561199999999999</c:v>
                </c:pt>
                <c:pt idx="59">
                  <c:v>23.968</c:v>
                </c:pt>
                <c:pt idx="60">
                  <c:v>24.375800000000002</c:v>
                </c:pt>
                <c:pt idx="61">
                  <c:v>24.787800000000001</c:v>
                </c:pt>
                <c:pt idx="62">
                  <c:v>25.1907</c:v>
                </c:pt>
                <c:pt idx="63">
                  <c:v>25.5959</c:v>
                </c:pt>
                <c:pt idx="64">
                  <c:v>25.999700000000001</c:v>
                </c:pt>
                <c:pt idx="65">
                  <c:v>26.407699999999998</c:v>
                </c:pt>
                <c:pt idx="66">
                  <c:v>26.8125</c:v>
                </c:pt>
                <c:pt idx="67">
                  <c:v>27.218399999999999</c:v>
                </c:pt>
                <c:pt idx="68">
                  <c:v>27.623100000000001</c:v>
                </c:pt>
                <c:pt idx="69">
                  <c:v>28.038</c:v>
                </c:pt>
                <c:pt idx="70">
                  <c:v>28.444199999999999</c:v>
                </c:pt>
                <c:pt idx="71">
                  <c:v>28.852</c:v>
                </c:pt>
                <c:pt idx="72">
                  <c:v>29.255800000000001</c:v>
                </c:pt>
                <c:pt idx="73">
                  <c:v>29.662099999999999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2.9014099999999998</c:v>
                </c:pt>
                <c:pt idx="1">
                  <c:v>3.0009799999999998</c:v>
                </c:pt>
                <c:pt idx="2">
                  <c:v>3.0935099999999998</c:v>
                </c:pt>
                <c:pt idx="3">
                  <c:v>3.18025</c:v>
                </c:pt>
                <c:pt idx="4">
                  <c:v>3.2611499999999998</c:v>
                </c:pt>
                <c:pt idx="5">
                  <c:v>3.3388</c:v>
                </c:pt>
                <c:pt idx="6">
                  <c:v>3.41303</c:v>
                </c:pt>
                <c:pt idx="7">
                  <c:v>3.4840999999999998</c:v>
                </c:pt>
                <c:pt idx="8">
                  <c:v>3.5511300000000001</c:v>
                </c:pt>
                <c:pt idx="9">
                  <c:v>3.6154299999999999</c:v>
                </c:pt>
                <c:pt idx="10">
                  <c:v>3.6783999999999999</c:v>
                </c:pt>
                <c:pt idx="11">
                  <c:v>3.73977</c:v>
                </c:pt>
                <c:pt idx="12">
                  <c:v>3.7920500000000001</c:v>
                </c:pt>
                <c:pt idx="13">
                  <c:v>3.8379699999999999</c:v>
                </c:pt>
                <c:pt idx="14">
                  <c:v>3.8780900000000003</c:v>
                </c:pt>
                <c:pt idx="15">
                  <c:v>3.9123099999999997</c:v>
                </c:pt>
                <c:pt idx="16">
                  <c:v>3.94062</c:v>
                </c:pt>
                <c:pt idx="17">
                  <c:v>3.9658700000000002</c:v>
                </c:pt>
                <c:pt idx="18">
                  <c:v>3.9859200000000001</c:v>
                </c:pt>
                <c:pt idx="19">
                  <c:v>4.0006599999999999</c:v>
                </c:pt>
                <c:pt idx="20">
                  <c:v>4.0104800000000003</c:v>
                </c:pt>
                <c:pt idx="21">
                  <c:v>4.0176800000000004</c:v>
                </c:pt>
                <c:pt idx="22">
                  <c:v>4.0210800000000004</c:v>
                </c:pt>
                <c:pt idx="23">
                  <c:v>4.0213900000000002</c:v>
                </c:pt>
                <c:pt idx="24">
                  <c:v>4.0183799999999996</c:v>
                </c:pt>
                <c:pt idx="25">
                  <c:v>4.01112</c:v>
                </c:pt>
                <c:pt idx="26">
                  <c:v>3.9988800000000002</c:v>
                </c:pt>
                <c:pt idx="27">
                  <c:v>3.9852300000000001</c:v>
                </c:pt>
                <c:pt idx="28">
                  <c:v>3.9712499999999999</c:v>
                </c:pt>
                <c:pt idx="29">
                  <c:v>3.9565200000000003</c:v>
                </c:pt>
                <c:pt idx="30">
                  <c:v>3.9404400000000002</c:v>
                </c:pt>
                <c:pt idx="31">
                  <c:v>3.92252</c:v>
                </c:pt>
                <c:pt idx="32">
                  <c:v>3.9033199999999999</c:v>
                </c:pt>
                <c:pt idx="33">
                  <c:v>3.8832299999999997</c:v>
                </c:pt>
                <c:pt idx="34">
                  <c:v>3.8608199999999999</c:v>
                </c:pt>
                <c:pt idx="35">
                  <c:v>3.8344299999999998</c:v>
                </c:pt>
                <c:pt idx="36">
                  <c:v>3.8048100000000002</c:v>
                </c:pt>
                <c:pt idx="37">
                  <c:v>3.7802699999999998</c:v>
                </c:pt>
                <c:pt idx="38">
                  <c:v>3.7586999999999997</c:v>
                </c:pt>
                <c:pt idx="39">
                  <c:v>3.73935</c:v>
                </c:pt>
                <c:pt idx="40">
                  <c:v>3.72424</c:v>
                </c:pt>
                <c:pt idx="41">
                  <c:v>3.7113</c:v>
                </c:pt>
                <c:pt idx="42">
                  <c:v>3.6961699999999995</c:v>
                </c:pt>
                <c:pt idx="43">
                  <c:v>3.68309</c:v>
                </c:pt>
                <c:pt idx="44">
                  <c:v>3.6734599999999999</c:v>
                </c:pt>
                <c:pt idx="45">
                  <c:v>3.6685099999999999</c:v>
                </c:pt>
                <c:pt idx="46">
                  <c:v>3.6634100000000003</c:v>
                </c:pt>
                <c:pt idx="47">
                  <c:v>3.6568399999999999</c:v>
                </c:pt>
                <c:pt idx="48">
                  <c:v>3.6474200000000003</c:v>
                </c:pt>
                <c:pt idx="49">
                  <c:v>3.6352000000000002</c:v>
                </c:pt>
                <c:pt idx="50">
                  <c:v>3.6310900000000004</c:v>
                </c:pt>
                <c:pt idx="51">
                  <c:v>3.6130100000000001</c:v>
                </c:pt>
                <c:pt idx="52">
                  <c:v>3.5988700000000002</c:v>
                </c:pt>
                <c:pt idx="53">
                  <c:v>3.58317</c:v>
                </c:pt>
                <c:pt idx="54">
                  <c:v>3.5679600000000002</c:v>
                </c:pt>
                <c:pt idx="55">
                  <c:v>3.5505500000000003</c:v>
                </c:pt>
                <c:pt idx="56">
                  <c:v>3.5307200000000001</c:v>
                </c:pt>
                <c:pt idx="57">
                  <c:v>3.5082000000000004</c:v>
                </c:pt>
                <c:pt idx="58">
                  <c:v>3.4845999999999999</c:v>
                </c:pt>
                <c:pt idx="59">
                  <c:v>3.4602399999999998</c:v>
                </c:pt>
                <c:pt idx="60">
                  <c:v>3.4346999999999999</c:v>
                </c:pt>
                <c:pt idx="61">
                  <c:v>3.4057199999999996</c:v>
                </c:pt>
                <c:pt idx="62">
                  <c:v>3.3754099999999996</c:v>
                </c:pt>
                <c:pt idx="63">
                  <c:v>3.3440700000000003</c:v>
                </c:pt>
                <c:pt idx="64">
                  <c:v>3.3120500000000002</c:v>
                </c:pt>
                <c:pt idx="65">
                  <c:v>3.2780999999999998</c:v>
                </c:pt>
                <c:pt idx="66">
                  <c:v>3.2465300000000004</c:v>
                </c:pt>
                <c:pt idx="67">
                  <c:v>3.2173699999999998</c:v>
                </c:pt>
                <c:pt idx="68">
                  <c:v>3.1905099999999997</c:v>
                </c:pt>
                <c:pt idx="69">
                  <c:v>3.1663799999999998</c:v>
                </c:pt>
                <c:pt idx="70">
                  <c:v>3.1407600000000002</c:v>
                </c:pt>
                <c:pt idx="71">
                  <c:v>3.1153199999999996</c:v>
                </c:pt>
                <c:pt idx="72">
                  <c:v>3.0933100000000002</c:v>
                </c:pt>
                <c:pt idx="73">
                  <c:v>3.0730300000000002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29.662099999999999</c:v>
                </c:pt>
                <c:pt idx="1">
                  <c:v>30.36</c:v>
                </c:pt>
                <c:pt idx="2">
                  <c:v>30.702000000000002</c:v>
                </c:pt>
                <c:pt idx="3">
                  <c:v>31.064</c:v>
                </c:pt>
                <c:pt idx="4">
                  <c:v>31.439</c:v>
                </c:pt>
                <c:pt idx="5">
                  <c:v>31.815000000000001</c:v>
                </c:pt>
                <c:pt idx="6">
                  <c:v>32.2029</c:v>
                </c:pt>
                <c:pt idx="7">
                  <c:v>32.622900000000001</c:v>
                </c:pt>
                <c:pt idx="8">
                  <c:v>33.014400000000002</c:v>
                </c:pt>
                <c:pt idx="9">
                  <c:v>33.423999999999999</c:v>
                </c:pt>
                <c:pt idx="10">
                  <c:v>33.831200000000003</c:v>
                </c:pt>
                <c:pt idx="11">
                  <c:v>34.233199999999997</c:v>
                </c:pt>
                <c:pt idx="12">
                  <c:v>34.6432</c:v>
                </c:pt>
                <c:pt idx="13">
                  <c:v>35.0501</c:v>
                </c:pt>
                <c:pt idx="14">
                  <c:v>35.453000000000003</c:v>
                </c:pt>
                <c:pt idx="15">
                  <c:v>35.8628</c:v>
                </c:pt>
                <c:pt idx="16">
                  <c:v>36.266100000000002</c:v>
                </c:pt>
                <c:pt idx="17">
                  <c:v>36.695999999999998</c:v>
                </c:pt>
                <c:pt idx="18">
                  <c:v>37.078600000000002</c:v>
                </c:pt>
                <c:pt idx="19">
                  <c:v>37.4895</c:v>
                </c:pt>
                <c:pt idx="20">
                  <c:v>37.893300000000004</c:v>
                </c:pt>
                <c:pt idx="21">
                  <c:v>38.298299999999998</c:v>
                </c:pt>
                <c:pt idx="22">
                  <c:v>38.704300000000003</c:v>
                </c:pt>
                <c:pt idx="23">
                  <c:v>39.118299999999998</c:v>
                </c:pt>
                <c:pt idx="24">
                  <c:v>39.514099999999999</c:v>
                </c:pt>
                <c:pt idx="25">
                  <c:v>39.9253</c:v>
                </c:pt>
                <c:pt idx="26">
                  <c:v>40.332799999999999</c:v>
                </c:pt>
                <c:pt idx="27">
                  <c:v>40.738</c:v>
                </c:pt>
                <c:pt idx="28">
                  <c:v>41.165199999999999</c:v>
                </c:pt>
                <c:pt idx="29">
                  <c:v>41.560699999999997</c:v>
                </c:pt>
                <c:pt idx="30">
                  <c:v>41.971600000000002</c:v>
                </c:pt>
                <c:pt idx="31">
                  <c:v>42.367400000000004</c:v>
                </c:pt>
                <c:pt idx="32">
                  <c:v>42.768500000000003</c:v>
                </c:pt>
                <c:pt idx="33">
                  <c:v>43.171300000000002</c:v>
                </c:pt>
                <c:pt idx="34">
                  <c:v>43.577199999999998</c:v>
                </c:pt>
                <c:pt idx="35">
                  <c:v>43.9833</c:v>
                </c:pt>
                <c:pt idx="36">
                  <c:v>44.393000000000001</c:v>
                </c:pt>
                <c:pt idx="37">
                  <c:v>44.797899999999998</c:v>
                </c:pt>
                <c:pt idx="38">
                  <c:v>45.203899999999997</c:v>
                </c:pt>
                <c:pt idx="39">
                  <c:v>45.6068</c:v>
                </c:pt>
                <c:pt idx="40">
                  <c:v>46.017299999999999</c:v>
                </c:pt>
                <c:pt idx="41">
                  <c:v>46.422600000000003</c:v>
                </c:pt>
                <c:pt idx="42">
                  <c:v>46.828699999999998</c:v>
                </c:pt>
                <c:pt idx="43">
                  <c:v>47.236499999999999</c:v>
                </c:pt>
                <c:pt idx="44">
                  <c:v>47.6404</c:v>
                </c:pt>
                <c:pt idx="45">
                  <c:v>48.049399999999999</c:v>
                </c:pt>
                <c:pt idx="46">
                  <c:v>48.453200000000002</c:v>
                </c:pt>
                <c:pt idx="47">
                  <c:v>48.857100000000003</c:v>
                </c:pt>
                <c:pt idx="48">
                  <c:v>49.263100000000001</c:v>
                </c:pt>
                <c:pt idx="49">
                  <c:v>49.673999999999999</c:v>
                </c:pt>
                <c:pt idx="50">
                  <c:v>50.076900000000002</c:v>
                </c:pt>
                <c:pt idx="51">
                  <c:v>50.484699999999997</c:v>
                </c:pt>
                <c:pt idx="52">
                  <c:v>50.892499999999998</c:v>
                </c:pt>
                <c:pt idx="53">
                  <c:v>51.294699999999999</c:v>
                </c:pt>
                <c:pt idx="54">
                  <c:v>51.704599999999999</c:v>
                </c:pt>
                <c:pt idx="55">
                  <c:v>52.116500000000002</c:v>
                </c:pt>
                <c:pt idx="56">
                  <c:v>52.517499999999998</c:v>
                </c:pt>
                <c:pt idx="57">
                  <c:v>52.921300000000002</c:v>
                </c:pt>
                <c:pt idx="58">
                  <c:v>53.332099999999997</c:v>
                </c:pt>
                <c:pt idx="59">
                  <c:v>53.735100000000003</c:v>
                </c:pt>
                <c:pt idx="60">
                  <c:v>54.142600000000002</c:v>
                </c:pt>
                <c:pt idx="61">
                  <c:v>54.551000000000002</c:v>
                </c:pt>
                <c:pt idx="62">
                  <c:v>54.967199999999998</c:v>
                </c:pt>
                <c:pt idx="63">
                  <c:v>55.361699999999999</c:v>
                </c:pt>
                <c:pt idx="64">
                  <c:v>55.7667</c:v>
                </c:pt>
                <c:pt idx="65">
                  <c:v>56.174900000000001</c:v>
                </c:pt>
                <c:pt idx="66">
                  <c:v>56.578400000000002</c:v>
                </c:pt>
                <c:pt idx="67">
                  <c:v>56.985399999999998</c:v>
                </c:pt>
                <c:pt idx="68">
                  <c:v>57.396299999999997</c:v>
                </c:pt>
                <c:pt idx="69">
                  <c:v>57.795200000000001</c:v>
                </c:pt>
                <c:pt idx="70">
                  <c:v>58.204300000000003</c:v>
                </c:pt>
                <c:pt idx="71">
                  <c:v>58.607100000000003</c:v>
                </c:pt>
                <c:pt idx="72">
                  <c:v>59.014000000000003</c:v>
                </c:pt>
                <c:pt idx="73">
                  <c:v>59.425199999999997</c:v>
                </c:pt>
                <c:pt idx="74">
                  <c:v>59.830800000000004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3.0730300000000002</c:v>
                </c:pt>
                <c:pt idx="1">
                  <c:v>3.0432900000000003</c:v>
                </c:pt>
                <c:pt idx="2">
                  <c:v>3.0262000000000002</c:v>
                </c:pt>
                <c:pt idx="3">
                  <c:v>3.00929</c:v>
                </c:pt>
                <c:pt idx="4">
                  <c:v>2.99308</c:v>
                </c:pt>
                <c:pt idx="5">
                  <c:v>2.9783300000000001</c:v>
                </c:pt>
                <c:pt idx="6">
                  <c:v>2.9635899999999999</c:v>
                </c:pt>
                <c:pt idx="7">
                  <c:v>2.95269</c:v>
                </c:pt>
                <c:pt idx="8">
                  <c:v>2.9475800000000003</c:v>
                </c:pt>
                <c:pt idx="9">
                  <c:v>2.9445100000000002</c:v>
                </c:pt>
                <c:pt idx="10">
                  <c:v>2.9411199999999997</c:v>
                </c:pt>
                <c:pt idx="11">
                  <c:v>2.9358899999999997</c:v>
                </c:pt>
                <c:pt idx="12">
                  <c:v>2.9304599999999996</c:v>
                </c:pt>
                <c:pt idx="13">
                  <c:v>2.9286499999999998</c:v>
                </c:pt>
                <c:pt idx="14">
                  <c:v>2.9262999999999999</c:v>
                </c:pt>
                <c:pt idx="15">
                  <c:v>2.9258899999999999</c:v>
                </c:pt>
                <c:pt idx="16">
                  <c:v>2.9272</c:v>
                </c:pt>
                <c:pt idx="17">
                  <c:v>2.9268300000000003</c:v>
                </c:pt>
                <c:pt idx="18">
                  <c:v>2.9286600000000003</c:v>
                </c:pt>
                <c:pt idx="19">
                  <c:v>2.9326000000000003</c:v>
                </c:pt>
                <c:pt idx="20">
                  <c:v>2.9384900000000003</c:v>
                </c:pt>
                <c:pt idx="21">
                  <c:v>2.9447200000000002</c:v>
                </c:pt>
                <c:pt idx="22">
                  <c:v>2.9520999999999997</c:v>
                </c:pt>
                <c:pt idx="23">
                  <c:v>2.9616799999999999</c:v>
                </c:pt>
                <c:pt idx="24">
                  <c:v>2.9745500000000002</c:v>
                </c:pt>
                <c:pt idx="25">
                  <c:v>2.9891399999999999</c:v>
                </c:pt>
                <c:pt idx="26">
                  <c:v>3.0048399999999997</c:v>
                </c:pt>
                <c:pt idx="27">
                  <c:v>3.0219299999999998</c:v>
                </c:pt>
                <c:pt idx="28">
                  <c:v>3.04413</c:v>
                </c:pt>
                <c:pt idx="29">
                  <c:v>3.07301</c:v>
                </c:pt>
                <c:pt idx="30">
                  <c:v>3.1040700000000001</c:v>
                </c:pt>
                <c:pt idx="31">
                  <c:v>3.1373199999999999</c:v>
                </c:pt>
                <c:pt idx="32">
                  <c:v>3.1747199999999998</c:v>
                </c:pt>
                <c:pt idx="33">
                  <c:v>3.2121899999999997</c:v>
                </c:pt>
                <c:pt idx="34">
                  <c:v>3.2499499999999997</c:v>
                </c:pt>
                <c:pt idx="35">
                  <c:v>3.2913900000000003</c:v>
                </c:pt>
                <c:pt idx="36">
                  <c:v>3.3384399999999999</c:v>
                </c:pt>
                <c:pt idx="37">
                  <c:v>3.3905099999999999</c:v>
                </c:pt>
                <c:pt idx="38">
                  <c:v>3.4419899999999997</c:v>
                </c:pt>
                <c:pt idx="39">
                  <c:v>3.48922</c:v>
                </c:pt>
                <c:pt idx="40">
                  <c:v>3.5323199999999999</c:v>
                </c:pt>
                <c:pt idx="41">
                  <c:v>3.5719499999999997</c:v>
                </c:pt>
                <c:pt idx="42">
                  <c:v>3.6093999999999999</c:v>
                </c:pt>
                <c:pt idx="43">
                  <c:v>3.64506</c:v>
                </c:pt>
                <c:pt idx="44">
                  <c:v>3.6785800000000002</c:v>
                </c:pt>
                <c:pt idx="45">
                  <c:v>3.70919</c:v>
                </c:pt>
                <c:pt idx="46">
                  <c:v>3.7386799999999996</c:v>
                </c:pt>
                <c:pt idx="47">
                  <c:v>3.7683899999999997</c:v>
                </c:pt>
                <c:pt idx="48">
                  <c:v>3.7995299999999999</c:v>
                </c:pt>
                <c:pt idx="49">
                  <c:v>3.8331200000000001</c:v>
                </c:pt>
                <c:pt idx="50">
                  <c:v>3.8610899999999999</c:v>
                </c:pt>
                <c:pt idx="51">
                  <c:v>3.8818599999999996</c:v>
                </c:pt>
                <c:pt idx="52">
                  <c:v>3.90293</c:v>
                </c:pt>
                <c:pt idx="53">
                  <c:v>3.9227099999999999</c:v>
                </c:pt>
                <c:pt idx="54">
                  <c:v>3.9400499999999998</c:v>
                </c:pt>
                <c:pt idx="55">
                  <c:v>3.9561299999999999</c:v>
                </c:pt>
                <c:pt idx="56">
                  <c:v>3.9719500000000001</c:v>
                </c:pt>
                <c:pt idx="57">
                  <c:v>3.9847000000000001</c:v>
                </c:pt>
                <c:pt idx="58">
                  <c:v>3.9967100000000002</c:v>
                </c:pt>
                <c:pt idx="59">
                  <c:v>4.0076499999999999</c:v>
                </c:pt>
                <c:pt idx="60">
                  <c:v>4.0155099999999999</c:v>
                </c:pt>
                <c:pt idx="61">
                  <c:v>4.0189900000000005</c:v>
                </c:pt>
                <c:pt idx="62">
                  <c:v>4.0167599999999997</c:v>
                </c:pt>
                <c:pt idx="63">
                  <c:v>4.0119500000000006</c:v>
                </c:pt>
                <c:pt idx="64">
                  <c:v>4.00908</c:v>
                </c:pt>
                <c:pt idx="65">
                  <c:v>4.0081600000000002</c:v>
                </c:pt>
                <c:pt idx="66">
                  <c:v>4.0106599999999997</c:v>
                </c:pt>
                <c:pt idx="67">
                  <c:v>4.0164400000000002</c:v>
                </c:pt>
                <c:pt idx="68">
                  <c:v>4.0234699999999997</c:v>
                </c:pt>
                <c:pt idx="69">
                  <c:v>4.0329800000000002</c:v>
                </c:pt>
                <c:pt idx="70">
                  <c:v>4.0504699999999998</c:v>
                </c:pt>
                <c:pt idx="71">
                  <c:v>4.0759600000000002</c:v>
                </c:pt>
                <c:pt idx="72">
                  <c:v>4.1123399999999997</c:v>
                </c:pt>
                <c:pt idx="73">
                  <c:v>4.1610700000000005</c:v>
                </c:pt>
                <c:pt idx="74">
                  <c:v>4.2107600000000005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14.957700000000001</c:v>
                </c:pt>
                <c:pt idx="1">
                  <c:v>44.873100000000001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3.6174683783783794</c:v>
                </c:pt>
                <c:pt idx="1">
                  <c:v>3.4592317567567572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0.40393000000000001</c:v>
                </c:pt>
                <c:pt idx="2">
                  <c:v>0.81403899999999996</c:v>
                </c:pt>
                <c:pt idx="3">
                  <c:v>1.2237899999999999</c:v>
                </c:pt>
                <c:pt idx="4">
                  <c:v>1.6277600000000001</c:v>
                </c:pt>
                <c:pt idx="5">
                  <c:v>2.0376300000000001</c:v>
                </c:pt>
                <c:pt idx="6">
                  <c:v>2.4394800000000001</c:v>
                </c:pt>
                <c:pt idx="7">
                  <c:v>2.8456199999999998</c:v>
                </c:pt>
                <c:pt idx="8">
                  <c:v>3.2513399999999999</c:v>
                </c:pt>
                <c:pt idx="9">
                  <c:v>3.6602399999999999</c:v>
                </c:pt>
                <c:pt idx="10">
                  <c:v>4.0671799999999996</c:v>
                </c:pt>
                <c:pt idx="11">
                  <c:v>4.4681800000000003</c:v>
                </c:pt>
                <c:pt idx="12">
                  <c:v>4.8795200000000003</c:v>
                </c:pt>
                <c:pt idx="13">
                  <c:v>5.2810699999999997</c:v>
                </c:pt>
                <c:pt idx="14">
                  <c:v>5.6879600000000003</c:v>
                </c:pt>
                <c:pt idx="15">
                  <c:v>6.0921000000000003</c:v>
                </c:pt>
                <c:pt idx="16">
                  <c:v>6.5016499999999997</c:v>
                </c:pt>
                <c:pt idx="17">
                  <c:v>6.9055299999999997</c:v>
                </c:pt>
                <c:pt idx="18">
                  <c:v>7.3135599999999998</c:v>
                </c:pt>
                <c:pt idx="19">
                  <c:v>7.7215400000000001</c:v>
                </c:pt>
                <c:pt idx="20">
                  <c:v>8.1265699999999992</c:v>
                </c:pt>
                <c:pt idx="21">
                  <c:v>8.5342800000000008</c:v>
                </c:pt>
                <c:pt idx="22">
                  <c:v>8.9393200000000004</c:v>
                </c:pt>
                <c:pt idx="23">
                  <c:v>9.3471399999999996</c:v>
                </c:pt>
                <c:pt idx="24">
                  <c:v>9.7783800000000003</c:v>
                </c:pt>
                <c:pt idx="25">
                  <c:v>10.1539</c:v>
                </c:pt>
                <c:pt idx="26">
                  <c:v>10.56</c:v>
                </c:pt>
                <c:pt idx="27">
                  <c:v>10.970800000000001</c:v>
                </c:pt>
                <c:pt idx="28">
                  <c:v>11.375</c:v>
                </c:pt>
                <c:pt idx="29">
                  <c:v>11.7806</c:v>
                </c:pt>
                <c:pt idx="30">
                  <c:v>12.187799999999999</c:v>
                </c:pt>
                <c:pt idx="31">
                  <c:v>12.5947</c:v>
                </c:pt>
                <c:pt idx="32">
                  <c:v>12.9984</c:v>
                </c:pt>
                <c:pt idx="33">
                  <c:v>13.405200000000001</c:v>
                </c:pt>
                <c:pt idx="34">
                  <c:v>13.812099999999999</c:v>
                </c:pt>
                <c:pt idx="35">
                  <c:v>14.223100000000001</c:v>
                </c:pt>
                <c:pt idx="36">
                  <c:v>14.626099999999999</c:v>
                </c:pt>
                <c:pt idx="37">
                  <c:v>15.034599999999999</c:v>
                </c:pt>
                <c:pt idx="38">
                  <c:v>15.4491</c:v>
                </c:pt>
                <c:pt idx="39">
                  <c:v>15.848699999999999</c:v>
                </c:pt>
                <c:pt idx="40">
                  <c:v>16.2544</c:v>
                </c:pt>
                <c:pt idx="41">
                  <c:v>16.656500000000001</c:v>
                </c:pt>
                <c:pt idx="42">
                  <c:v>17.060500000000001</c:v>
                </c:pt>
                <c:pt idx="43">
                  <c:v>17.4695</c:v>
                </c:pt>
                <c:pt idx="44">
                  <c:v>17.8735</c:v>
                </c:pt>
                <c:pt idx="45">
                  <c:v>18.281099999999999</c:v>
                </c:pt>
                <c:pt idx="46">
                  <c:v>18.687000000000001</c:v>
                </c:pt>
                <c:pt idx="47">
                  <c:v>19.093</c:v>
                </c:pt>
                <c:pt idx="48">
                  <c:v>19.497900000000001</c:v>
                </c:pt>
                <c:pt idx="49">
                  <c:v>19.904900000000001</c:v>
                </c:pt>
                <c:pt idx="50">
                  <c:v>20.309799999999999</c:v>
                </c:pt>
                <c:pt idx="51">
                  <c:v>20.719899999999999</c:v>
                </c:pt>
                <c:pt idx="52">
                  <c:v>21.125800000000002</c:v>
                </c:pt>
                <c:pt idx="53">
                  <c:v>21.532599999999999</c:v>
                </c:pt>
                <c:pt idx="54">
                  <c:v>21.938400000000001</c:v>
                </c:pt>
                <c:pt idx="55">
                  <c:v>22.3416</c:v>
                </c:pt>
                <c:pt idx="56">
                  <c:v>22.747199999999999</c:v>
                </c:pt>
                <c:pt idx="57">
                  <c:v>23.1553</c:v>
                </c:pt>
                <c:pt idx="58">
                  <c:v>23.561199999999999</c:v>
                </c:pt>
                <c:pt idx="59">
                  <c:v>23.968</c:v>
                </c:pt>
                <c:pt idx="60">
                  <c:v>24.375800000000002</c:v>
                </c:pt>
                <c:pt idx="61">
                  <c:v>24.787800000000001</c:v>
                </c:pt>
                <c:pt idx="62">
                  <c:v>25.1907</c:v>
                </c:pt>
                <c:pt idx="63">
                  <c:v>25.5959</c:v>
                </c:pt>
                <c:pt idx="64">
                  <c:v>25.999700000000001</c:v>
                </c:pt>
                <c:pt idx="65">
                  <c:v>26.407699999999998</c:v>
                </c:pt>
                <c:pt idx="66">
                  <c:v>26.8125</c:v>
                </c:pt>
                <c:pt idx="67">
                  <c:v>27.218399999999999</c:v>
                </c:pt>
                <c:pt idx="68">
                  <c:v>27.623100000000001</c:v>
                </c:pt>
                <c:pt idx="69">
                  <c:v>28.038</c:v>
                </c:pt>
                <c:pt idx="70">
                  <c:v>28.444199999999999</c:v>
                </c:pt>
                <c:pt idx="71">
                  <c:v>28.852</c:v>
                </c:pt>
                <c:pt idx="72">
                  <c:v>29.255800000000001</c:v>
                </c:pt>
                <c:pt idx="73">
                  <c:v>29.662099999999999</c:v>
                </c:pt>
                <c:pt idx="74">
                  <c:v>30.36</c:v>
                </c:pt>
                <c:pt idx="75">
                  <c:v>30.702000000000002</c:v>
                </c:pt>
                <c:pt idx="76">
                  <c:v>31.064</c:v>
                </c:pt>
                <c:pt idx="77">
                  <c:v>31.439</c:v>
                </c:pt>
                <c:pt idx="78">
                  <c:v>31.815000000000001</c:v>
                </c:pt>
                <c:pt idx="79">
                  <c:v>32.2029</c:v>
                </c:pt>
                <c:pt idx="80">
                  <c:v>32.622900000000001</c:v>
                </c:pt>
                <c:pt idx="81">
                  <c:v>33.014400000000002</c:v>
                </c:pt>
                <c:pt idx="82">
                  <c:v>33.423999999999999</c:v>
                </c:pt>
                <c:pt idx="83">
                  <c:v>33.831200000000003</c:v>
                </c:pt>
                <c:pt idx="84">
                  <c:v>34.233199999999997</c:v>
                </c:pt>
                <c:pt idx="85">
                  <c:v>34.6432</c:v>
                </c:pt>
                <c:pt idx="86">
                  <c:v>35.0501</c:v>
                </c:pt>
                <c:pt idx="87">
                  <c:v>35.453000000000003</c:v>
                </c:pt>
                <c:pt idx="88">
                  <c:v>35.8628</c:v>
                </c:pt>
                <c:pt idx="89">
                  <c:v>36.266100000000002</c:v>
                </c:pt>
                <c:pt idx="90">
                  <c:v>36.695999999999998</c:v>
                </c:pt>
                <c:pt idx="91">
                  <c:v>37.078600000000002</c:v>
                </c:pt>
                <c:pt idx="92">
                  <c:v>37.4895</c:v>
                </c:pt>
                <c:pt idx="93">
                  <c:v>37.893300000000004</c:v>
                </c:pt>
                <c:pt idx="94">
                  <c:v>38.298299999999998</c:v>
                </c:pt>
                <c:pt idx="95">
                  <c:v>38.704300000000003</c:v>
                </c:pt>
                <c:pt idx="96">
                  <c:v>39.118299999999998</c:v>
                </c:pt>
                <c:pt idx="97">
                  <c:v>39.514099999999999</c:v>
                </c:pt>
                <c:pt idx="98">
                  <c:v>39.9253</c:v>
                </c:pt>
                <c:pt idx="99">
                  <c:v>40.332799999999999</c:v>
                </c:pt>
                <c:pt idx="100">
                  <c:v>40.738</c:v>
                </c:pt>
                <c:pt idx="101">
                  <c:v>41.165199999999999</c:v>
                </c:pt>
                <c:pt idx="102">
                  <c:v>41.560699999999997</c:v>
                </c:pt>
                <c:pt idx="103">
                  <c:v>41.971600000000002</c:v>
                </c:pt>
                <c:pt idx="104">
                  <c:v>42.367400000000004</c:v>
                </c:pt>
                <c:pt idx="105">
                  <c:v>42.768500000000003</c:v>
                </c:pt>
                <c:pt idx="106">
                  <c:v>43.171300000000002</c:v>
                </c:pt>
                <c:pt idx="107">
                  <c:v>43.577199999999998</c:v>
                </c:pt>
                <c:pt idx="108">
                  <c:v>43.9833</c:v>
                </c:pt>
                <c:pt idx="109">
                  <c:v>44.393000000000001</c:v>
                </c:pt>
                <c:pt idx="110">
                  <c:v>44.797899999999998</c:v>
                </c:pt>
                <c:pt idx="111">
                  <c:v>45.203899999999997</c:v>
                </c:pt>
                <c:pt idx="112">
                  <c:v>45.6068</c:v>
                </c:pt>
                <c:pt idx="113">
                  <c:v>46.017299999999999</c:v>
                </c:pt>
                <c:pt idx="114">
                  <c:v>46.422600000000003</c:v>
                </c:pt>
                <c:pt idx="115">
                  <c:v>46.828699999999998</c:v>
                </c:pt>
                <c:pt idx="116">
                  <c:v>47.236499999999999</c:v>
                </c:pt>
                <c:pt idx="117">
                  <c:v>47.6404</c:v>
                </c:pt>
                <c:pt idx="118">
                  <c:v>48.049399999999999</c:v>
                </c:pt>
                <c:pt idx="119">
                  <c:v>48.453200000000002</c:v>
                </c:pt>
                <c:pt idx="120">
                  <c:v>48.857100000000003</c:v>
                </c:pt>
                <c:pt idx="121">
                  <c:v>49.263100000000001</c:v>
                </c:pt>
                <c:pt idx="122">
                  <c:v>49.673999999999999</c:v>
                </c:pt>
                <c:pt idx="123">
                  <c:v>50.076900000000002</c:v>
                </c:pt>
                <c:pt idx="124">
                  <c:v>50.484699999999997</c:v>
                </c:pt>
                <c:pt idx="125">
                  <c:v>50.892499999999998</c:v>
                </c:pt>
                <c:pt idx="126">
                  <c:v>51.294699999999999</c:v>
                </c:pt>
                <c:pt idx="127">
                  <c:v>51.704599999999999</c:v>
                </c:pt>
                <c:pt idx="128">
                  <c:v>52.116500000000002</c:v>
                </c:pt>
                <c:pt idx="129">
                  <c:v>52.517499999999998</c:v>
                </c:pt>
                <c:pt idx="130">
                  <c:v>52.921300000000002</c:v>
                </c:pt>
                <c:pt idx="131">
                  <c:v>53.332099999999997</c:v>
                </c:pt>
                <c:pt idx="132">
                  <c:v>53.735100000000003</c:v>
                </c:pt>
                <c:pt idx="133">
                  <c:v>54.142600000000002</c:v>
                </c:pt>
                <c:pt idx="134">
                  <c:v>54.551000000000002</c:v>
                </c:pt>
                <c:pt idx="135">
                  <c:v>54.967199999999998</c:v>
                </c:pt>
                <c:pt idx="136">
                  <c:v>55.361699999999999</c:v>
                </c:pt>
                <c:pt idx="137">
                  <c:v>55.7667</c:v>
                </c:pt>
                <c:pt idx="138">
                  <c:v>56.174900000000001</c:v>
                </c:pt>
                <c:pt idx="139">
                  <c:v>56.578400000000002</c:v>
                </c:pt>
                <c:pt idx="140">
                  <c:v>56.985399999999998</c:v>
                </c:pt>
                <c:pt idx="141">
                  <c:v>57.396299999999997</c:v>
                </c:pt>
                <c:pt idx="142">
                  <c:v>57.795200000000001</c:v>
                </c:pt>
                <c:pt idx="143">
                  <c:v>58.204300000000003</c:v>
                </c:pt>
                <c:pt idx="144">
                  <c:v>58.607100000000003</c:v>
                </c:pt>
                <c:pt idx="145">
                  <c:v>59.014000000000003</c:v>
                </c:pt>
                <c:pt idx="146">
                  <c:v>59.425199999999997</c:v>
                </c:pt>
                <c:pt idx="147">
                  <c:v>59.830800000000004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51.738500000000002</c:v>
                </c:pt>
                <c:pt idx="1">
                  <c:v>50.499700000000004</c:v>
                </c:pt>
                <c:pt idx="2">
                  <c:v>49.641999999999996</c:v>
                </c:pt>
                <c:pt idx="3">
                  <c:v>49.1355</c:v>
                </c:pt>
                <c:pt idx="4">
                  <c:v>48.961799999999997</c:v>
                </c:pt>
                <c:pt idx="5">
                  <c:v>48.908000000000001</c:v>
                </c:pt>
                <c:pt idx="6">
                  <c:v>48.894100000000002</c:v>
                </c:pt>
                <c:pt idx="7">
                  <c:v>48.919000000000004</c:v>
                </c:pt>
                <c:pt idx="8">
                  <c:v>49.070599999999999</c:v>
                </c:pt>
                <c:pt idx="9">
                  <c:v>49.197499999999998</c:v>
                </c:pt>
                <c:pt idx="10">
                  <c:v>49.2483</c:v>
                </c:pt>
                <c:pt idx="11">
                  <c:v>49.295999999999999</c:v>
                </c:pt>
                <c:pt idx="12">
                  <c:v>49.517099999999999</c:v>
                </c:pt>
                <c:pt idx="13">
                  <c:v>49.895699999999998</c:v>
                </c:pt>
                <c:pt idx="14">
                  <c:v>50.278100000000002</c:v>
                </c:pt>
                <c:pt idx="15">
                  <c:v>50.633200000000002</c:v>
                </c:pt>
                <c:pt idx="16">
                  <c:v>50.922900000000006</c:v>
                </c:pt>
                <c:pt idx="17">
                  <c:v>51.149799999999999</c:v>
                </c:pt>
                <c:pt idx="18">
                  <c:v>51.334500000000006</c:v>
                </c:pt>
                <c:pt idx="19">
                  <c:v>51.439800000000005</c:v>
                </c:pt>
                <c:pt idx="20">
                  <c:v>51.450700000000005</c:v>
                </c:pt>
                <c:pt idx="21">
                  <c:v>51.369100000000003</c:v>
                </c:pt>
                <c:pt idx="22">
                  <c:v>51.229800000000004</c:v>
                </c:pt>
                <c:pt idx="23">
                  <c:v>51.005800000000001</c:v>
                </c:pt>
                <c:pt idx="24">
                  <c:v>50.729700000000001</c:v>
                </c:pt>
                <c:pt idx="25">
                  <c:v>50.4649</c:v>
                </c:pt>
                <c:pt idx="26">
                  <c:v>50.230799999999995</c:v>
                </c:pt>
                <c:pt idx="27">
                  <c:v>50.003900000000002</c:v>
                </c:pt>
                <c:pt idx="28">
                  <c:v>49.811499999999995</c:v>
                </c:pt>
                <c:pt idx="29">
                  <c:v>49.590400000000002</c:v>
                </c:pt>
                <c:pt idx="30">
                  <c:v>49.416399999999996</c:v>
                </c:pt>
                <c:pt idx="31">
                  <c:v>49.333199999999998</c:v>
                </c:pt>
                <c:pt idx="32">
                  <c:v>49.336999999999996</c:v>
                </c:pt>
                <c:pt idx="33">
                  <c:v>49.43</c:v>
                </c:pt>
                <c:pt idx="34">
                  <c:v>49.585599999999999</c:v>
                </c:pt>
                <c:pt idx="35">
                  <c:v>49.836999999999996</c:v>
                </c:pt>
                <c:pt idx="36">
                  <c:v>50.199199999999998</c:v>
                </c:pt>
                <c:pt idx="37">
                  <c:v>50.445099999999996</c:v>
                </c:pt>
                <c:pt idx="38">
                  <c:v>50.501300000000008</c:v>
                </c:pt>
                <c:pt idx="39">
                  <c:v>50.509499999999996</c:v>
                </c:pt>
                <c:pt idx="40">
                  <c:v>50.455300000000001</c:v>
                </c:pt>
                <c:pt idx="41">
                  <c:v>50.366</c:v>
                </c:pt>
                <c:pt idx="42">
                  <c:v>50.263800000000003</c:v>
                </c:pt>
                <c:pt idx="43">
                  <c:v>50.141500000000008</c:v>
                </c:pt>
                <c:pt idx="44">
                  <c:v>49.981299999999997</c:v>
                </c:pt>
                <c:pt idx="45">
                  <c:v>49.804299999999998</c:v>
                </c:pt>
                <c:pt idx="46">
                  <c:v>49.640099999999997</c:v>
                </c:pt>
                <c:pt idx="47">
                  <c:v>49.407600000000002</c:v>
                </c:pt>
                <c:pt idx="48">
                  <c:v>49.174800000000005</c:v>
                </c:pt>
                <c:pt idx="49">
                  <c:v>48.979900000000001</c:v>
                </c:pt>
                <c:pt idx="50">
                  <c:v>48.898899999999998</c:v>
                </c:pt>
                <c:pt idx="51">
                  <c:v>48.623100000000001</c:v>
                </c:pt>
                <c:pt idx="52">
                  <c:v>48.407400000000003</c:v>
                </c:pt>
                <c:pt idx="53">
                  <c:v>48.191499999999998</c:v>
                </c:pt>
                <c:pt idx="54">
                  <c:v>48.008099999999999</c:v>
                </c:pt>
                <c:pt idx="55">
                  <c:v>47.8613</c:v>
                </c:pt>
                <c:pt idx="56">
                  <c:v>47.732400000000005</c:v>
                </c:pt>
                <c:pt idx="57">
                  <c:v>47.619</c:v>
                </c:pt>
                <c:pt idx="58">
                  <c:v>47.471299999999999</c:v>
                </c:pt>
                <c:pt idx="59">
                  <c:v>47.361799999999995</c:v>
                </c:pt>
                <c:pt idx="60">
                  <c:v>47.301700000000004</c:v>
                </c:pt>
                <c:pt idx="61">
                  <c:v>47.2258</c:v>
                </c:pt>
                <c:pt idx="62">
                  <c:v>47.227699999999999</c:v>
                </c:pt>
                <c:pt idx="63">
                  <c:v>47.315400000000004</c:v>
                </c:pt>
                <c:pt idx="64">
                  <c:v>47.426600000000001</c:v>
                </c:pt>
                <c:pt idx="65">
                  <c:v>47.615200000000002</c:v>
                </c:pt>
                <c:pt idx="66">
                  <c:v>47.783099999999997</c:v>
                </c:pt>
                <c:pt idx="67">
                  <c:v>47.919200000000004</c:v>
                </c:pt>
                <c:pt idx="68">
                  <c:v>47.998100000000001</c:v>
                </c:pt>
                <c:pt idx="69">
                  <c:v>48.082099999999997</c:v>
                </c:pt>
                <c:pt idx="70">
                  <c:v>48.228000000000002</c:v>
                </c:pt>
                <c:pt idx="71">
                  <c:v>48.401800000000001</c:v>
                </c:pt>
                <c:pt idx="72">
                  <c:v>48.546399999999998</c:v>
                </c:pt>
                <c:pt idx="73">
                  <c:v>48.731099999999998</c:v>
                </c:pt>
                <c:pt idx="74">
                  <c:v>48.957999999999998</c:v>
                </c:pt>
                <c:pt idx="75">
                  <c:v>49.145600000000002</c:v>
                </c:pt>
                <c:pt idx="76">
                  <c:v>49.232500000000002</c:v>
                </c:pt>
                <c:pt idx="77">
                  <c:v>49.2697</c:v>
                </c:pt>
                <c:pt idx="78">
                  <c:v>49.2654</c:v>
                </c:pt>
                <c:pt idx="79">
                  <c:v>49.2667</c:v>
                </c:pt>
                <c:pt idx="80">
                  <c:v>49.211399999999998</c:v>
                </c:pt>
                <c:pt idx="81">
                  <c:v>49.057499999999997</c:v>
                </c:pt>
                <c:pt idx="82">
                  <c:v>48.866500000000002</c:v>
                </c:pt>
                <c:pt idx="83">
                  <c:v>48.688199999999995</c:v>
                </c:pt>
                <c:pt idx="84">
                  <c:v>48.572400000000002</c:v>
                </c:pt>
                <c:pt idx="85">
                  <c:v>48.415300000000002</c:v>
                </c:pt>
                <c:pt idx="86">
                  <c:v>48.290399999999998</c:v>
                </c:pt>
                <c:pt idx="87">
                  <c:v>48.222999999999999</c:v>
                </c:pt>
                <c:pt idx="88">
                  <c:v>48.070500000000003</c:v>
                </c:pt>
                <c:pt idx="89">
                  <c:v>47.909700000000001</c:v>
                </c:pt>
                <c:pt idx="90">
                  <c:v>47.801500000000004</c:v>
                </c:pt>
                <c:pt idx="91">
                  <c:v>47.733499999999999</c:v>
                </c:pt>
                <c:pt idx="92">
                  <c:v>47.656399999999998</c:v>
                </c:pt>
                <c:pt idx="93">
                  <c:v>47.627600000000001</c:v>
                </c:pt>
                <c:pt idx="94">
                  <c:v>47.6432</c:v>
                </c:pt>
                <c:pt idx="95">
                  <c:v>47.697299999999998</c:v>
                </c:pt>
                <c:pt idx="96">
                  <c:v>47.8127</c:v>
                </c:pt>
                <c:pt idx="97">
                  <c:v>47.939900000000002</c:v>
                </c:pt>
                <c:pt idx="98">
                  <c:v>48.069099999999999</c:v>
                </c:pt>
                <c:pt idx="99">
                  <c:v>48.278500000000001</c:v>
                </c:pt>
                <c:pt idx="100">
                  <c:v>48.4863</c:v>
                </c:pt>
                <c:pt idx="101">
                  <c:v>48.690600000000003</c:v>
                </c:pt>
                <c:pt idx="102">
                  <c:v>48.879600000000003</c:v>
                </c:pt>
                <c:pt idx="103">
                  <c:v>49.0642</c:v>
                </c:pt>
                <c:pt idx="104">
                  <c:v>49.2209</c:v>
                </c:pt>
                <c:pt idx="105">
                  <c:v>49.247700000000002</c:v>
                </c:pt>
                <c:pt idx="106">
                  <c:v>49.359900000000003</c:v>
                </c:pt>
                <c:pt idx="107">
                  <c:v>49.492599999999996</c:v>
                </c:pt>
                <c:pt idx="108">
                  <c:v>49.615299999999998</c:v>
                </c:pt>
                <c:pt idx="109">
                  <c:v>49.7087</c:v>
                </c:pt>
                <c:pt idx="110">
                  <c:v>49.762499999999996</c:v>
                </c:pt>
                <c:pt idx="111">
                  <c:v>49.836999999999996</c:v>
                </c:pt>
                <c:pt idx="112">
                  <c:v>50.069800000000001</c:v>
                </c:pt>
                <c:pt idx="113">
                  <c:v>50.451100000000004</c:v>
                </c:pt>
                <c:pt idx="114">
                  <c:v>50.944199999999995</c:v>
                </c:pt>
                <c:pt idx="115">
                  <c:v>51.514200000000002</c:v>
                </c:pt>
                <c:pt idx="116">
                  <c:v>52.081599999999995</c:v>
                </c:pt>
                <c:pt idx="117">
                  <c:v>52.659299999999995</c:v>
                </c:pt>
                <c:pt idx="118">
                  <c:v>53.209399999999995</c:v>
                </c:pt>
                <c:pt idx="119">
                  <c:v>53.735900000000001</c:v>
                </c:pt>
                <c:pt idx="120">
                  <c:v>54.252800000000001</c:v>
                </c:pt>
                <c:pt idx="121">
                  <c:v>54.712899999999998</c:v>
                </c:pt>
                <c:pt idx="122">
                  <c:v>55.040599999999998</c:v>
                </c:pt>
                <c:pt idx="123">
                  <c:v>55.386299999999999</c:v>
                </c:pt>
                <c:pt idx="124">
                  <c:v>55.812399999999997</c:v>
                </c:pt>
                <c:pt idx="125">
                  <c:v>56.265000000000001</c:v>
                </c:pt>
                <c:pt idx="126">
                  <c:v>56.661300000000004</c:v>
                </c:pt>
                <c:pt idx="127">
                  <c:v>56.958299999999994</c:v>
                </c:pt>
                <c:pt idx="128">
                  <c:v>57.225499999999997</c:v>
                </c:pt>
                <c:pt idx="129">
                  <c:v>57.509399999999999</c:v>
                </c:pt>
                <c:pt idx="130">
                  <c:v>57.761799999999994</c:v>
                </c:pt>
                <c:pt idx="131">
                  <c:v>57.918300000000002</c:v>
                </c:pt>
                <c:pt idx="132">
                  <c:v>58.039300000000004</c:v>
                </c:pt>
                <c:pt idx="133">
                  <c:v>58.069400000000002</c:v>
                </c:pt>
                <c:pt idx="134">
                  <c:v>58.016300000000001</c:v>
                </c:pt>
                <c:pt idx="135">
                  <c:v>57.991999999999997</c:v>
                </c:pt>
                <c:pt idx="136">
                  <c:v>58.016599999999997</c:v>
                </c:pt>
                <c:pt idx="137">
                  <c:v>57.991999999999997</c:v>
                </c:pt>
                <c:pt idx="138">
                  <c:v>57.956799999999994</c:v>
                </c:pt>
                <c:pt idx="139">
                  <c:v>57.863299999999995</c:v>
                </c:pt>
                <c:pt idx="140">
                  <c:v>57.726299999999995</c:v>
                </c:pt>
                <c:pt idx="141">
                  <c:v>57.576899999999995</c:v>
                </c:pt>
                <c:pt idx="142">
                  <c:v>57.391199999999998</c:v>
                </c:pt>
                <c:pt idx="143">
                  <c:v>57.218000000000004</c:v>
                </c:pt>
                <c:pt idx="144">
                  <c:v>57.040900000000008</c:v>
                </c:pt>
                <c:pt idx="145">
                  <c:v>56.8078</c:v>
                </c:pt>
                <c:pt idx="146">
                  <c:v>56.470399999999998</c:v>
                </c:pt>
                <c:pt idx="147">
                  <c:v>56.275600000000004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0.40393000000000001</c:v>
                </c:pt>
                <c:pt idx="2">
                  <c:v>0.81403899999999996</c:v>
                </c:pt>
                <c:pt idx="3">
                  <c:v>1.2237899999999999</c:v>
                </c:pt>
                <c:pt idx="4">
                  <c:v>1.6277600000000001</c:v>
                </c:pt>
                <c:pt idx="5">
                  <c:v>2.0376300000000001</c:v>
                </c:pt>
                <c:pt idx="6">
                  <c:v>2.4394800000000001</c:v>
                </c:pt>
                <c:pt idx="7">
                  <c:v>2.8456199999999998</c:v>
                </c:pt>
                <c:pt idx="8">
                  <c:v>3.2513399999999999</c:v>
                </c:pt>
                <c:pt idx="9">
                  <c:v>3.6602399999999999</c:v>
                </c:pt>
                <c:pt idx="10">
                  <c:v>4.0671799999999996</c:v>
                </c:pt>
                <c:pt idx="11">
                  <c:v>4.4681800000000003</c:v>
                </c:pt>
                <c:pt idx="12">
                  <c:v>4.8795200000000003</c:v>
                </c:pt>
                <c:pt idx="13">
                  <c:v>5.2810699999999997</c:v>
                </c:pt>
                <c:pt idx="14">
                  <c:v>5.6879600000000003</c:v>
                </c:pt>
                <c:pt idx="15">
                  <c:v>6.0921000000000003</c:v>
                </c:pt>
                <c:pt idx="16">
                  <c:v>6.5016499999999997</c:v>
                </c:pt>
                <c:pt idx="17">
                  <c:v>6.9055299999999997</c:v>
                </c:pt>
                <c:pt idx="18">
                  <c:v>7.3135599999999998</c:v>
                </c:pt>
                <c:pt idx="19">
                  <c:v>7.7215400000000001</c:v>
                </c:pt>
                <c:pt idx="20">
                  <c:v>8.1265699999999992</c:v>
                </c:pt>
                <c:pt idx="21">
                  <c:v>8.5342800000000008</c:v>
                </c:pt>
                <c:pt idx="22">
                  <c:v>8.9393200000000004</c:v>
                </c:pt>
                <c:pt idx="23">
                  <c:v>9.3471399999999996</c:v>
                </c:pt>
                <c:pt idx="24">
                  <c:v>9.7783800000000003</c:v>
                </c:pt>
                <c:pt idx="25">
                  <c:v>10.1539</c:v>
                </c:pt>
                <c:pt idx="26">
                  <c:v>10.56</c:v>
                </c:pt>
                <c:pt idx="27">
                  <c:v>10.970800000000001</c:v>
                </c:pt>
                <c:pt idx="28">
                  <c:v>11.375</c:v>
                </c:pt>
                <c:pt idx="29">
                  <c:v>11.7806</c:v>
                </c:pt>
                <c:pt idx="30">
                  <c:v>12.187799999999999</c:v>
                </c:pt>
                <c:pt idx="31">
                  <c:v>12.5947</c:v>
                </c:pt>
                <c:pt idx="32">
                  <c:v>12.9984</c:v>
                </c:pt>
                <c:pt idx="33">
                  <c:v>13.405200000000001</c:v>
                </c:pt>
                <c:pt idx="34">
                  <c:v>13.812099999999999</c:v>
                </c:pt>
                <c:pt idx="35">
                  <c:v>14.223100000000001</c:v>
                </c:pt>
                <c:pt idx="36">
                  <c:v>14.626099999999999</c:v>
                </c:pt>
                <c:pt idx="37">
                  <c:v>15.034599999999999</c:v>
                </c:pt>
                <c:pt idx="38">
                  <c:v>15.4491</c:v>
                </c:pt>
                <c:pt idx="39">
                  <c:v>15.848699999999999</c:v>
                </c:pt>
                <c:pt idx="40">
                  <c:v>16.2544</c:v>
                </c:pt>
                <c:pt idx="41">
                  <c:v>16.656500000000001</c:v>
                </c:pt>
                <c:pt idx="42">
                  <c:v>17.060500000000001</c:v>
                </c:pt>
                <c:pt idx="43">
                  <c:v>17.4695</c:v>
                </c:pt>
                <c:pt idx="44">
                  <c:v>17.8735</c:v>
                </c:pt>
                <c:pt idx="45">
                  <c:v>18.281099999999999</c:v>
                </c:pt>
                <c:pt idx="46">
                  <c:v>18.687000000000001</c:v>
                </c:pt>
                <c:pt idx="47">
                  <c:v>19.093</c:v>
                </c:pt>
                <c:pt idx="48">
                  <c:v>19.497900000000001</c:v>
                </c:pt>
                <c:pt idx="49">
                  <c:v>19.904900000000001</c:v>
                </c:pt>
                <c:pt idx="50">
                  <c:v>20.309799999999999</c:v>
                </c:pt>
                <c:pt idx="51">
                  <c:v>20.719899999999999</c:v>
                </c:pt>
                <c:pt idx="52">
                  <c:v>21.125800000000002</c:v>
                </c:pt>
                <c:pt idx="53">
                  <c:v>21.532599999999999</c:v>
                </c:pt>
                <c:pt idx="54">
                  <c:v>21.938400000000001</c:v>
                </c:pt>
                <c:pt idx="55">
                  <c:v>22.3416</c:v>
                </c:pt>
                <c:pt idx="56">
                  <c:v>22.747199999999999</c:v>
                </c:pt>
                <c:pt idx="57">
                  <c:v>23.1553</c:v>
                </c:pt>
                <c:pt idx="58">
                  <c:v>23.561199999999999</c:v>
                </c:pt>
                <c:pt idx="59">
                  <c:v>23.968</c:v>
                </c:pt>
                <c:pt idx="60">
                  <c:v>24.375800000000002</c:v>
                </c:pt>
                <c:pt idx="61">
                  <c:v>24.787800000000001</c:v>
                </c:pt>
                <c:pt idx="62">
                  <c:v>25.1907</c:v>
                </c:pt>
                <c:pt idx="63">
                  <c:v>25.5959</c:v>
                </c:pt>
                <c:pt idx="64">
                  <c:v>25.999700000000001</c:v>
                </c:pt>
                <c:pt idx="65">
                  <c:v>26.407699999999998</c:v>
                </c:pt>
                <c:pt idx="66">
                  <c:v>26.8125</c:v>
                </c:pt>
                <c:pt idx="67">
                  <c:v>27.218399999999999</c:v>
                </c:pt>
                <c:pt idx="68">
                  <c:v>27.623100000000001</c:v>
                </c:pt>
                <c:pt idx="69">
                  <c:v>28.038</c:v>
                </c:pt>
                <c:pt idx="70">
                  <c:v>28.444199999999999</c:v>
                </c:pt>
                <c:pt idx="71">
                  <c:v>28.852</c:v>
                </c:pt>
                <c:pt idx="72">
                  <c:v>29.255800000000001</c:v>
                </c:pt>
                <c:pt idx="73">
                  <c:v>29.662099999999999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51.738500000000002</c:v>
                </c:pt>
                <c:pt idx="1">
                  <c:v>50.499700000000004</c:v>
                </c:pt>
                <c:pt idx="2">
                  <c:v>49.641999999999996</c:v>
                </c:pt>
                <c:pt idx="3">
                  <c:v>49.1355</c:v>
                </c:pt>
                <c:pt idx="4">
                  <c:v>48.961799999999997</c:v>
                </c:pt>
                <c:pt idx="5">
                  <c:v>48.908000000000001</c:v>
                </c:pt>
                <c:pt idx="6">
                  <c:v>48.894100000000002</c:v>
                </c:pt>
                <c:pt idx="7">
                  <c:v>48.919000000000004</c:v>
                </c:pt>
                <c:pt idx="8">
                  <c:v>49.070599999999999</c:v>
                </c:pt>
                <c:pt idx="9">
                  <c:v>49.197499999999998</c:v>
                </c:pt>
                <c:pt idx="10">
                  <c:v>49.2483</c:v>
                </c:pt>
                <c:pt idx="11">
                  <c:v>49.295999999999999</c:v>
                </c:pt>
                <c:pt idx="12">
                  <c:v>49.517099999999999</c:v>
                </c:pt>
                <c:pt idx="13">
                  <c:v>49.895699999999998</c:v>
                </c:pt>
                <c:pt idx="14">
                  <c:v>50.278100000000002</c:v>
                </c:pt>
                <c:pt idx="15">
                  <c:v>50.633200000000002</c:v>
                </c:pt>
                <c:pt idx="16">
                  <c:v>50.922900000000006</c:v>
                </c:pt>
                <c:pt idx="17">
                  <c:v>51.149799999999999</c:v>
                </c:pt>
                <c:pt idx="18">
                  <c:v>51.334500000000006</c:v>
                </c:pt>
                <c:pt idx="19">
                  <c:v>51.439800000000005</c:v>
                </c:pt>
                <c:pt idx="20">
                  <c:v>51.450700000000005</c:v>
                </c:pt>
                <c:pt idx="21">
                  <c:v>51.369100000000003</c:v>
                </c:pt>
                <c:pt idx="22">
                  <c:v>51.229800000000004</c:v>
                </c:pt>
                <c:pt idx="23">
                  <c:v>51.005800000000001</c:v>
                </c:pt>
                <c:pt idx="24">
                  <c:v>50.729700000000001</c:v>
                </c:pt>
                <c:pt idx="25">
                  <c:v>50.4649</c:v>
                </c:pt>
                <c:pt idx="26">
                  <c:v>50.230799999999995</c:v>
                </c:pt>
                <c:pt idx="27">
                  <c:v>50.003900000000002</c:v>
                </c:pt>
                <c:pt idx="28">
                  <c:v>49.811499999999995</c:v>
                </c:pt>
                <c:pt idx="29">
                  <c:v>49.590400000000002</c:v>
                </c:pt>
                <c:pt idx="30">
                  <c:v>49.416399999999996</c:v>
                </c:pt>
                <c:pt idx="31">
                  <c:v>49.333199999999998</c:v>
                </c:pt>
                <c:pt idx="32">
                  <c:v>49.336999999999996</c:v>
                </c:pt>
                <c:pt idx="33">
                  <c:v>49.43</c:v>
                </c:pt>
                <c:pt idx="34">
                  <c:v>49.585599999999999</c:v>
                </c:pt>
                <c:pt idx="35">
                  <c:v>49.836999999999996</c:v>
                </c:pt>
                <c:pt idx="36">
                  <c:v>50.199199999999998</c:v>
                </c:pt>
                <c:pt idx="37">
                  <c:v>50.445099999999996</c:v>
                </c:pt>
                <c:pt idx="38">
                  <c:v>50.501300000000008</c:v>
                </c:pt>
                <c:pt idx="39">
                  <c:v>50.509499999999996</c:v>
                </c:pt>
                <c:pt idx="40">
                  <c:v>50.455300000000001</c:v>
                </c:pt>
                <c:pt idx="41">
                  <c:v>50.366</c:v>
                </c:pt>
                <c:pt idx="42">
                  <c:v>50.263800000000003</c:v>
                </c:pt>
                <c:pt idx="43">
                  <c:v>50.141500000000008</c:v>
                </c:pt>
                <c:pt idx="44">
                  <c:v>49.981299999999997</c:v>
                </c:pt>
                <c:pt idx="45">
                  <c:v>49.804299999999998</c:v>
                </c:pt>
                <c:pt idx="46">
                  <c:v>49.640099999999997</c:v>
                </c:pt>
                <c:pt idx="47">
                  <c:v>49.407600000000002</c:v>
                </c:pt>
                <c:pt idx="48">
                  <c:v>49.174800000000005</c:v>
                </c:pt>
                <c:pt idx="49">
                  <c:v>48.979900000000001</c:v>
                </c:pt>
                <c:pt idx="50">
                  <c:v>48.898899999999998</c:v>
                </c:pt>
                <c:pt idx="51">
                  <c:v>48.623100000000001</c:v>
                </c:pt>
                <c:pt idx="52">
                  <c:v>48.407400000000003</c:v>
                </c:pt>
                <c:pt idx="53">
                  <c:v>48.191499999999998</c:v>
                </c:pt>
                <c:pt idx="54">
                  <c:v>48.008099999999999</c:v>
                </c:pt>
                <c:pt idx="55">
                  <c:v>47.8613</c:v>
                </c:pt>
                <c:pt idx="56">
                  <c:v>47.732400000000005</c:v>
                </c:pt>
                <c:pt idx="57">
                  <c:v>47.619</c:v>
                </c:pt>
                <c:pt idx="58">
                  <c:v>47.471299999999999</c:v>
                </c:pt>
                <c:pt idx="59">
                  <c:v>47.361799999999995</c:v>
                </c:pt>
                <c:pt idx="60">
                  <c:v>47.301700000000004</c:v>
                </c:pt>
                <c:pt idx="61">
                  <c:v>47.2258</c:v>
                </c:pt>
                <c:pt idx="62">
                  <c:v>47.227699999999999</c:v>
                </c:pt>
                <c:pt idx="63">
                  <c:v>47.315400000000004</c:v>
                </c:pt>
                <c:pt idx="64">
                  <c:v>47.426600000000001</c:v>
                </c:pt>
                <c:pt idx="65">
                  <c:v>47.615200000000002</c:v>
                </c:pt>
                <c:pt idx="66">
                  <c:v>47.783099999999997</c:v>
                </c:pt>
                <c:pt idx="67">
                  <c:v>47.919200000000004</c:v>
                </c:pt>
                <c:pt idx="68">
                  <c:v>47.998100000000001</c:v>
                </c:pt>
                <c:pt idx="69">
                  <c:v>48.082099999999997</c:v>
                </c:pt>
                <c:pt idx="70">
                  <c:v>48.228000000000002</c:v>
                </c:pt>
                <c:pt idx="71">
                  <c:v>48.401800000000001</c:v>
                </c:pt>
                <c:pt idx="72">
                  <c:v>48.546399999999998</c:v>
                </c:pt>
                <c:pt idx="73">
                  <c:v>48.731099999999998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29.662099999999999</c:v>
                </c:pt>
                <c:pt idx="1">
                  <c:v>30.36</c:v>
                </c:pt>
                <c:pt idx="2">
                  <c:v>30.702000000000002</c:v>
                </c:pt>
                <c:pt idx="3">
                  <c:v>31.064</c:v>
                </c:pt>
                <c:pt idx="4">
                  <c:v>31.439</c:v>
                </c:pt>
                <c:pt idx="5">
                  <c:v>31.815000000000001</c:v>
                </c:pt>
                <c:pt idx="6">
                  <c:v>32.2029</c:v>
                </c:pt>
                <c:pt idx="7">
                  <c:v>32.622900000000001</c:v>
                </c:pt>
                <c:pt idx="8">
                  <c:v>33.014400000000002</c:v>
                </c:pt>
                <c:pt idx="9">
                  <c:v>33.423999999999999</c:v>
                </c:pt>
                <c:pt idx="10">
                  <c:v>33.831200000000003</c:v>
                </c:pt>
                <c:pt idx="11">
                  <c:v>34.233199999999997</c:v>
                </c:pt>
                <c:pt idx="12">
                  <c:v>34.6432</c:v>
                </c:pt>
                <c:pt idx="13">
                  <c:v>35.0501</c:v>
                </c:pt>
                <c:pt idx="14">
                  <c:v>35.453000000000003</c:v>
                </c:pt>
                <c:pt idx="15">
                  <c:v>35.8628</c:v>
                </c:pt>
                <c:pt idx="16">
                  <c:v>36.266100000000002</c:v>
                </c:pt>
                <c:pt idx="17">
                  <c:v>36.695999999999998</c:v>
                </c:pt>
                <c:pt idx="18">
                  <c:v>37.078600000000002</c:v>
                </c:pt>
                <c:pt idx="19">
                  <c:v>37.4895</c:v>
                </c:pt>
                <c:pt idx="20">
                  <c:v>37.893300000000004</c:v>
                </c:pt>
                <c:pt idx="21">
                  <c:v>38.298299999999998</c:v>
                </c:pt>
                <c:pt idx="22">
                  <c:v>38.704300000000003</c:v>
                </c:pt>
                <c:pt idx="23">
                  <c:v>39.118299999999998</c:v>
                </c:pt>
                <c:pt idx="24">
                  <c:v>39.514099999999999</c:v>
                </c:pt>
                <c:pt idx="25">
                  <c:v>39.9253</c:v>
                </c:pt>
                <c:pt idx="26">
                  <c:v>40.332799999999999</c:v>
                </c:pt>
                <c:pt idx="27">
                  <c:v>40.738</c:v>
                </c:pt>
                <c:pt idx="28">
                  <c:v>41.165199999999999</c:v>
                </c:pt>
                <c:pt idx="29">
                  <c:v>41.560699999999997</c:v>
                </c:pt>
                <c:pt idx="30">
                  <c:v>41.971600000000002</c:v>
                </c:pt>
                <c:pt idx="31">
                  <c:v>42.367400000000004</c:v>
                </c:pt>
                <c:pt idx="32">
                  <c:v>42.768500000000003</c:v>
                </c:pt>
                <c:pt idx="33">
                  <c:v>43.171300000000002</c:v>
                </c:pt>
                <c:pt idx="34">
                  <c:v>43.577199999999998</c:v>
                </c:pt>
                <c:pt idx="35">
                  <c:v>43.9833</c:v>
                </c:pt>
                <c:pt idx="36">
                  <c:v>44.393000000000001</c:v>
                </c:pt>
                <c:pt idx="37">
                  <c:v>44.797899999999998</c:v>
                </c:pt>
                <c:pt idx="38">
                  <c:v>45.203899999999997</c:v>
                </c:pt>
                <c:pt idx="39">
                  <c:v>45.6068</c:v>
                </c:pt>
                <c:pt idx="40">
                  <c:v>46.017299999999999</c:v>
                </c:pt>
                <c:pt idx="41">
                  <c:v>46.422600000000003</c:v>
                </c:pt>
                <c:pt idx="42">
                  <c:v>46.828699999999998</c:v>
                </c:pt>
                <c:pt idx="43">
                  <c:v>47.236499999999999</c:v>
                </c:pt>
                <c:pt idx="44">
                  <c:v>47.6404</c:v>
                </c:pt>
                <c:pt idx="45">
                  <c:v>48.049399999999999</c:v>
                </c:pt>
                <c:pt idx="46">
                  <c:v>48.453200000000002</c:v>
                </c:pt>
                <c:pt idx="47">
                  <c:v>48.857100000000003</c:v>
                </c:pt>
                <c:pt idx="48">
                  <c:v>49.263100000000001</c:v>
                </c:pt>
                <c:pt idx="49">
                  <c:v>49.673999999999999</c:v>
                </c:pt>
                <c:pt idx="50">
                  <c:v>50.076900000000002</c:v>
                </c:pt>
                <c:pt idx="51">
                  <c:v>50.484699999999997</c:v>
                </c:pt>
                <c:pt idx="52">
                  <c:v>50.892499999999998</c:v>
                </c:pt>
                <c:pt idx="53">
                  <c:v>51.294699999999999</c:v>
                </c:pt>
                <c:pt idx="54">
                  <c:v>51.704599999999999</c:v>
                </c:pt>
                <c:pt idx="55">
                  <c:v>52.116500000000002</c:v>
                </c:pt>
                <c:pt idx="56">
                  <c:v>52.517499999999998</c:v>
                </c:pt>
                <c:pt idx="57">
                  <c:v>52.921300000000002</c:v>
                </c:pt>
                <c:pt idx="58">
                  <c:v>53.332099999999997</c:v>
                </c:pt>
                <c:pt idx="59">
                  <c:v>53.735100000000003</c:v>
                </c:pt>
                <c:pt idx="60">
                  <c:v>54.142600000000002</c:v>
                </c:pt>
                <c:pt idx="61">
                  <c:v>54.551000000000002</c:v>
                </c:pt>
                <c:pt idx="62">
                  <c:v>54.967199999999998</c:v>
                </c:pt>
                <c:pt idx="63">
                  <c:v>55.361699999999999</c:v>
                </c:pt>
                <c:pt idx="64">
                  <c:v>55.7667</c:v>
                </c:pt>
                <c:pt idx="65">
                  <c:v>56.174900000000001</c:v>
                </c:pt>
                <c:pt idx="66">
                  <c:v>56.578400000000002</c:v>
                </c:pt>
                <c:pt idx="67">
                  <c:v>56.985399999999998</c:v>
                </c:pt>
                <c:pt idx="68">
                  <c:v>57.396299999999997</c:v>
                </c:pt>
                <c:pt idx="69">
                  <c:v>57.795200000000001</c:v>
                </c:pt>
                <c:pt idx="70">
                  <c:v>58.204300000000003</c:v>
                </c:pt>
                <c:pt idx="71">
                  <c:v>58.607100000000003</c:v>
                </c:pt>
                <c:pt idx="72">
                  <c:v>59.014000000000003</c:v>
                </c:pt>
                <c:pt idx="73">
                  <c:v>59.425199999999997</c:v>
                </c:pt>
                <c:pt idx="74">
                  <c:v>59.830800000000004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48.731099999999998</c:v>
                </c:pt>
                <c:pt idx="1">
                  <c:v>48.957999999999998</c:v>
                </c:pt>
                <c:pt idx="2">
                  <c:v>49.145600000000002</c:v>
                </c:pt>
                <c:pt idx="3">
                  <c:v>49.232500000000002</c:v>
                </c:pt>
                <c:pt idx="4">
                  <c:v>49.2697</c:v>
                </c:pt>
                <c:pt idx="5">
                  <c:v>49.2654</c:v>
                </c:pt>
                <c:pt idx="6">
                  <c:v>49.2667</c:v>
                </c:pt>
                <c:pt idx="7">
                  <c:v>49.211399999999998</c:v>
                </c:pt>
                <c:pt idx="8">
                  <c:v>49.057499999999997</c:v>
                </c:pt>
                <c:pt idx="9">
                  <c:v>48.866500000000002</c:v>
                </c:pt>
                <c:pt idx="10">
                  <c:v>48.688199999999995</c:v>
                </c:pt>
                <c:pt idx="11">
                  <c:v>48.572400000000002</c:v>
                </c:pt>
                <c:pt idx="12">
                  <c:v>48.415300000000002</c:v>
                </c:pt>
                <c:pt idx="13">
                  <c:v>48.290399999999998</c:v>
                </c:pt>
                <c:pt idx="14">
                  <c:v>48.222999999999999</c:v>
                </c:pt>
                <c:pt idx="15">
                  <c:v>48.070500000000003</c:v>
                </c:pt>
                <c:pt idx="16">
                  <c:v>47.909700000000001</c:v>
                </c:pt>
                <c:pt idx="17">
                  <c:v>47.801500000000004</c:v>
                </c:pt>
                <c:pt idx="18">
                  <c:v>47.733499999999999</c:v>
                </c:pt>
                <c:pt idx="19">
                  <c:v>47.656399999999998</c:v>
                </c:pt>
                <c:pt idx="20">
                  <c:v>47.627600000000001</c:v>
                </c:pt>
                <c:pt idx="21">
                  <c:v>47.6432</c:v>
                </c:pt>
                <c:pt idx="22">
                  <c:v>47.697299999999998</c:v>
                </c:pt>
                <c:pt idx="23">
                  <c:v>47.8127</c:v>
                </c:pt>
                <c:pt idx="24">
                  <c:v>47.939900000000002</c:v>
                </c:pt>
                <c:pt idx="25">
                  <c:v>48.069099999999999</c:v>
                </c:pt>
                <c:pt idx="26">
                  <c:v>48.278500000000001</c:v>
                </c:pt>
                <c:pt idx="27">
                  <c:v>48.4863</c:v>
                </c:pt>
                <c:pt idx="28">
                  <c:v>48.690600000000003</c:v>
                </c:pt>
                <c:pt idx="29">
                  <c:v>48.879600000000003</c:v>
                </c:pt>
                <c:pt idx="30">
                  <c:v>49.0642</c:v>
                </c:pt>
                <c:pt idx="31">
                  <c:v>49.2209</c:v>
                </c:pt>
                <c:pt idx="32">
                  <c:v>49.247700000000002</c:v>
                </c:pt>
                <c:pt idx="33">
                  <c:v>49.359900000000003</c:v>
                </c:pt>
                <c:pt idx="34">
                  <c:v>49.492599999999996</c:v>
                </c:pt>
                <c:pt idx="35">
                  <c:v>49.615299999999998</c:v>
                </c:pt>
                <c:pt idx="36">
                  <c:v>49.7087</c:v>
                </c:pt>
                <c:pt idx="37">
                  <c:v>49.762499999999996</c:v>
                </c:pt>
                <c:pt idx="38">
                  <c:v>49.836999999999996</c:v>
                </c:pt>
                <c:pt idx="39">
                  <c:v>50.069800000000001</c:v>
                </c:pt>
                <c:pt idx="40">
                  <c:v>50.451100000000004</c:v>
                </c:pt>
                <c:pt idx="41">
                  <c:v>50.944199999999995</c:v>
                </c:pt>
                <c:pt idx="42">
                  <c:v>51.514200000000002</c:v>
                </c:pt>
                <c:pt idx="43">
                  <c:v>52.081599999999995</c:v>
                </c:pt>
                <c:pt idx="44">
                  <c:v>52.659299999999995</c:v>
                </c:pt>
                <c:pt idx="45">
                  <c:v>53.209399999999995</c:v>
                </c:pt>
                <c:pt idx="46">
                  <c:v>53.735900000000001</c:v>
                </c:pt>
                <c:pt idx="47">
                  <c:v>54.252800000000001</c:v>
                </c:pt>
                <c:pt idx="48">
                  <c:v>54.712899999999998</c:v>
                </c:pt>
                <c:pt idx="49">
                  <c:v>55.040599999999998</c:v>
                </c:pt>
                <c:pt idx="50">
                  <c:v>55.386299999999999</c:v>
                </c:pt>
                <c:pt idx="51">
                  <c:v>55.812399999999997</c:v>
                </c:pt>
                <c:pt idx="52">
                  <c:v>56.265000000000001</c:v>
                </c:pt>
                <c:pt idx="53">
                  <c:v>56.661300000000004</c:v>
                </c:pt>
                <c:pt idx="54">
                  <c:v>56.958299999999994</c:v>
                </c:pt>
                <c:pt idx="55">
                  <c:v>57.225499999999997</c:v>
                </c:pt>
                <c:pt idx="56">
                  <c:v>57.509399999999999</c:v>
                </c:pt>
                <c:pt idx="57">
                  <c:v>57.761799999999994</c:v>
                </c:pt>
                <c:pt idx="58">
                  <c:v>57.918300000000002</c:v>
                </c:pt>
                <c:pt idx="59">
                  <c:v>58.039300000000004</c:v>
                </c:pt>
                <c:pt idx="60">
                  <c:v>58.069400000000002</c:v>
                </c:pt>
                <c:pt idx="61">
                  <c:v>58.016300000000001</c:v>
                </c:pt>
                <c:pt idx="62">
                  <c:v>57.991999999999997</c:v>
                </c:pt>
                <c:pt idx="63">
                  <c:v>58.016599999999997</c:v>
                </c:pt>
                <c:pt idx="64">
                  <c:v>57.991999999999997</c:v>
                </c:pt>
                <c:pt idx="65">
                  <c:v>57.956799999999994</c:v>
                </c:pt>
                <c:pt idx="66">
                  <c:v>57.863299999999995</c:v>
                </c:pt>
                <c:pt idx="67">
                  <c:v>57.726299999999995</c:v>
                </c:pt>
                <c:pt idx="68">
                  <c:v>57.576899999999995</c:v>
                </c:pt>
                <c:pt idx="69">
                  <c:v>57.391199999999998</c:v>
                </c:pt>
                <c:pt idx="70">
                  <c:v>57.218000000000004</c:v>
                </c:pt>
                <c:pt idx="71">
                  <c:v>57.040900000000008</c:v>
                </c:pt>
                <c:pt idx="72">
                  <c:v>56.8078</c:v>
                </c:pt>
                <c:pt idx="73">
                  <c:v>56.470399999999998</c:v>
                </c:pt>
                <c:pt idx="74">
                  <c:v>56.275600000000004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14.957700000000001</c:v>
                </c:pt>
                <c:pt idx="1">
                  <c:v>44.873100000000001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49.342629729729722</c:v>
                </c:pt>
                <c:pt idx="1">
                  <c:v>52.171495945945978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35.731999999999999</c:v>
                </c:pt>
                <c:pt idx="1">
                  <c:v>32.695799999999998</c:v>
                </c:pt>
                <c:pt idx="2">
                  <c:v>23.180900000000001</c:v>
                </c:pt>
                <c:pt idx="3">
                  <c:v>31.069500000000001</c:v>
                </c:pt>
                <c:pt idx="4">
                  <c:v>71.7209</c:v>
                </c:pt>
                <c:pt idx="5">
                  <c:v>71.251900000000006</c:v>
                </c:pt>
                <c:pt idx="6">
                  <c:v>26.835799999999999</c:v>
                </c:pt>
                <c:pt idx="7">
                  <c:v>71.391300000000001</c:v>
                </c:pt>
                <c:pt idx="8">
                  <c:v>21.139500000000002</c:v>
                </c:pt>
                <c:pt idx="9">
                  <c:v>63.543999999999997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33.210299999999997</c:v>
                </c:pt>
                <c:pt idx="1">
                  <c:v>35.634500000000003</c:v>
                </c:pt>
                <c:pt idx="2">
                  <c:v>23.852499999999999</c:v>
                </c:pt>
                <c:pt idx="3">
                  <c:v>29.745799999999999</c:v>
                </c:pt>
                <c:pt idx="4">
                  <c:v>69.427700000000002</c:v>
                </c:pt>
                <c:pt idx="5">
                  <c:v>70.711299999999994</c:v>
                </c:pt>
                <c:pt idx="6">
                  <c:v>21.1724</c:v>
                </c:pt>
                <c:pt idx="7">
                  <c:v>69.818600000000004</c:v>
                </c:pt>
                <c:pt idx="8">
                  <c:v>18.183700000000002</c:v>
                </c:pt>
                <c:pt idx="9">
                  <c:v>43.466000000000001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0.45232464395828487</c:v>
                </c:pt>
                <c:pt idx="1">
                  <c:v>0.23005968549921979</c:v>
                </c:pt>
                <c:pt idx="2">
                  <c:v>0.31761567054249534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246</c:v>
                </c:pt>
                <c:pt idx="7">
                  <c:v>0</c:v>
                </c:pt>
                <c:pt idx="8">
                  <c:v>267</c:v>
                </c:pt>
                <c:pt idx="9">
                  <c:v>0</c:v>
                </c:pt>
                <c:pt idx="10">
                  <c:v>0</c:v>
                </c:pt>
                <c:pt idx="11">
                  <c:v>204</c:v>
                </c:pt>
                <c:pt idx="12">
                  <c:v>0</c:v>
                </c:pt>
                <c:pt idx="13">
                  <c:v>308</c:v>
                </c:pt>
                <c:pt idx="14">
                  <c:v>0</c:v>
                </c:pt>
                <c:pt idx="15">
                  <c:v>0</c:v>
                </c:pt>
                <c:pt idx="16">
                  <c:v>182</c:v>
                </c:pt>
                <c:pt idx="17">
                  <c:v>0</c:v>
                </c:pt>
                <c:pt idx="18">
                  <c:v>0</c:v>
                </c:pt>
                <c:pt idx="19">
                  <c:v>431</c:v>
                </c:pt>
                <c:pt idx="20">
                  <c:v>0</c:v>
                </c:pt>
                <c:pt idx="21">
                  <c:v>1723</c:v>
                </c:pt>
                <c:pt idx="22">
                  <c:v>0</c:v>
                </c:pt>
                <c:pt idx="23">
                  <c:v>0</c:v>
                </c:pt>
                <c:pt idx="24">
                  <c:v>3621</c:v>
                </c:pt>
                <c:pt idx="25">
                  <c:v>0</c:v>
                </c:pt>
                <c:pt idx="26">
                  <c:v>5083</c:v>
                </c:pt>
                <c:pt idx="27">
                  <c:v>0</c:v>
                </c:pt>
                <c:pt idx="28">
                  <c:v>0</c:v>
                </c:pt>
                <c:pt idx="29">
                  <c:v>14704</c:v>
                </c:pt>
                <c:pt idx="30">
                  <c:v>0</c:v>
                </c:pt>
                <c:pt idx="31">
                  <c:v>27096</c:v>
                </c:pt>
                <c:pt idx="32">
                  <c:v>0</c:v>
                </c:pt>
                <c:pt idx="33">
                  <c:v>0</c:v>
                </c:pt>
                <c:pt idx="34">
                  <c:v>37925</c:v>
                </c:pt>
                <c:pt idx="35">
                  <c:v>0</c:v>
                </c:pt>
                <c:pt idx="36">
                  <c:v>0</c:v>
                </c:pt>
                <c:pt idx="37">
                  <c:v>36580</c:v>
                </c:pt>
                <c:pt idx="38">
                  <c:v>0</c:v>
                </c:pt>
                <c:pt idx="39">
                  <c:v>41606</c:v>
                </c:pt>
                <c:pt idx="40">
                  <c:v>0</c:v>
                </c:pt>
                <c:pt idx="41">
                  <c:v>0</c:v>
                </c:pt>
                <c:pt idx="42">
                  <c:v>47931</c:v>
                </c:pt>
                <c:pt idx="43">
                  <c:v>0</c:v>
                </c:pt>
                <c:pt idx="44">
                  <c:v>54396</c:v>
                </c:pt>
                <c:pt idx="45">
                  <c:v>0</c:v>
                </c:pt>
                <c:pt idx="46">
                  <c:v>0</c:v>
                </c:pt>
                <c:pt idx="47">
                  <c:v>58933</c:v>
                </c:pt>
                <c:pt idx="48">
                  <c:v>0</c:v>
                </c:pt>
                <c:pt idx="49">
                  <c:v>69887</c:v>
                </c:pt>
                <c:pt idx="50">
                  <c:v>0</c:v>
                </c:pt>
                <c:pt idx="51">
                  <c:v>0</c:v>
                </c:pt>
                <c:pt idx="52">
                  <c:v>77304</c:v>
                </c:pt>
                <c:pt idx="53">
                  <c:v>0</c:v>
                </c:pt>
                <c:pt idx="54">
                  <c:v>0</c:v>
                </c:pt>
                <c:pt idx="55">
                  <c:v>79259</c:v>
                </c:pt>
                <c:pt idx="56">
                  <c:v>0</c:v>
                </c:pt>
                <c:pt idx="57">
                  <c:v>92147</c:v>
                </c:pt>
                <c:pt idx="58">
                  <c:v>0</c:v>
                </c:pt>
                <c:pt idx="59">
                  <c:v>0</c:v>
                </c:pt>
                <c:pt idx="60">
                  <c:v>98089</c:v>
                </c:pt>
                <c:pt idx="61">
                  <c:v>0</c:v>
                </c:pt>
                <c:pt idx="62">
                  <c:v>107667</c:v>
                </c:pt>
                <c:pt idx="63">
                  <c:v>0</c:v>
                </c:pt>
                <c:pt idx="64">
                  <c:v>0</c:v>
                </c:pt>
                <c:pt idx="65">
                  <c:v>112710</c:v>
                </c:pt>
                <c:pt idx="66">
                  <c:v>0</c:v>
                </c:pt>
                <c:pt idx="67">
                  <c:v>119837</c:v>
                </c:pt>
                <c:pt idx="68">
                  <c:v>0</c:v>
                </c:pt>
                <c:pt idx="69">
                  <c:v>0</c:v>
                </c:pt>
                <c:pt idx="70">
                  <c:v>135207</c:v>
                </c:pt>
                <c:pt idx="71">
                  <c:v>0</c:v>
                </c:pt>
                <c:pt idx="72">
                  <c:v>0</c:v>
                </c:pt>
                <c:pt idx="73">
                  <c:v>155131</c:v>
                </c:pt>
                <c:pt idx="74">
                  <c:v>0</c:v>
                </c:pt>
                <c:pt idx="75">
                  <c:v>166993</c:v>
                </c:pt>
                <c:pt idx="76">
                  <c:v>0</c:v>
                </c:pt>
                <c:pt idx="77">
                  <c:v>0</c:v>
                </c:pt>
                <c:pt idx="78">
                  <c:v>181426</c:v>
                </c:pt>
                <c:pt idx="79">
                  <c:v>0</c:v>
                </c:pt>
                <c:pt idx="80">
                  <c:v>191115</c:v>
                </c:pt>
                <c:pt idx="81">
                  <c:v>0</c:v>
                </c:pt>
                <c:pt idx="82">
                  <c:v>0</c:v>
                </c:pt>
                <c:pt idx="83">
                  <c:v>190917</c:v>
                </c:pt>
                <c:pt idx="84">
                  <c:v>0</c:v>
                </c:pt>
                <c:pt idx="85">
                  <c:v>0</c:v>
                </c:pt>
                <c:pt idx="86">
                  <c:v>197875</c:v>
                </c:pt>
                <c:pt idx="87">
                  <c:v>0</c:v>
                </c:pt>
                <c:pt idx="88">
                  <c:v>180912</c:v>
                </c:pt>
                <c:pt idx="89">
                  <c:v>0</c:v>
                </c:pt>
                <c:pt idx="90">
                  <c:v>0</c:v>
                </c:pt>
                <c:pt idx="91">
                  <c:v>184430</c:v>
                </c:pt>
                <c:pt idx="92">
                  <c:v>0</c:v>
                </c:pt>
                <c:pt idx="93">
                  <c:v>179055</c:v>
                </c:pt>
                <c:pt idx="94">
                  <c:v>0</c:v>
                </c:pt>
                <c:pt idx="95">
                  <c:v>0</c:v>
                </c:pt>
                <c:pt idx="96">
                  <c:v>181627</c:v>
                </c:pt>
                <c:pt idx="97">
                  <c:v>0</c:v>
                </c:pt>
                <c:pt idx="98">
                  <c:v>169684</c:v>
                </c:pt>
                <c:pt idx="99">
                  <c:v>0</c:v>
                </c:pt>
                <c:pt idx="100">
                  <c:v>0</c:v>
                </c:pt>
                <c:pt idx="101">
                  <c:v>167811</c:v>
                </c:pt>
                <c:pt idx="102">
                  <c:v>0</c:v>
                </c:pt>
                <c:pt idx="103">
                  <c:v>0</c:v>
                </c:pt>
                <c:pt idx="104">
                  <c:v>146918</c:v>
                </c:pt>
                <c:pt idx="105">
                  <c:v>0</c:v>
                </c:pt>
                <c:pt idx="106">
                  <c:v>149078</c:v>
                </c:pt>
                <c:pt idx="107">
                  <c:v>0</c:v>
                </c:pt>
                <c:pt idx="108">
                  <c:v>0</c:v>
                </c:pt>
                <c:pt idx="109">
                  <c:v>146766</c:v>
                </c:pt>
                <c:pt idx="110">
                  <c:v>0</c:v>
                </c:pt>
                <c:pt idx="111">
                  <c:v>127834</c:v>
                </c:pt>
                <c:pt idx="112">
                  <c:v>0</c:v>
                </c:pt>
                <c:pt idx="113">
                  <c:v>0</c:v>
                </c:pt>
                <c:pt idx="114">
                  <c:v>121826</c:v>
                </c:pt>
                <c:pt idx="115">
                  <c:v>0</c:v>
                </c:pt>
                <c:pt idx="116">
                  <c:v>113699</c:v>
                </c:pt>
                <c:pt idx="117">
                  <c:v>0</c:v>
                </c:pt>
                <c:pt idx="118">
                  <c:v>0</c:v>
                </c:pt>
                <c:pt idx="119">
                  <c:v>119779</c:v>
                </c:pt>
                <c:pt idx="120">
                  <c:v>0</c:v>
                </c:pt>
                <c:pt idx="121">
                  <c:v>0</c:v>
                </c:pt>
                <c:pt idx="122">
                  <c:v>112679</c:v>
                </c:pt>
                <c:pt idx="123">
                  <c:v>0</c:v>
                </c:pt>
                <c:pt idx="124">
                  <c:v>103665</c:v>
                </c:pt>
                <c:pt idx="125">
                  <c:v>0</c:v>
                </c:pt>
                <c:pt idx="126">
                  <c:v>0</c:v>
                </c:pt>
                <c:pt idx="127">
                  <c:v>95046</c:v>
                </c:pt>
                <c:pt idx="128">
                  <c:v>0</c:v>
                </c:pt>
                <c:pt idx="129">
                  <c:v>91090</c:v>
                </c:pt>
                <c:pt idx="130">
                  <c:v>0</c:v>
                </c:pt>
                <c:pt idx="131">
                  <c:v>0</c:v>
                </c:pt>
                <c:pt idx="132">
                  <c:v>78247</c:v>
                </c:pt>
                <c:pt idx="133">
                  <c:v>0</c:v>
                </c:pt>
                <c:pt idx="134">
                  <c:v>70834</c:v>
                </c:pt>
                <c:pt idx="135">
                  <c:v>0</c:v>
                </c:pt>
                <c:pt idx="136">
                  <c:v>0</c:v>
                </c:pt>
                <c:pt idx="137">
                  <c:v>59954</c:v>
                </c:pt>
                <c:pt idx="138">
                  <c:v>0</c:v>
                </c:pt>
                <c:pt idx="139">
                  <c:v>0</c:v>
                </c:pt>
                <c:pt idx="140">
                  <c:v>50419</c:v>
                </c:pt>
                <c:pt idx="141">
                  <c:v>0</c:v>
                </c:pt>
                <c:pt idx="142">
                  <c:v>42649</c:v>
                </c:pt>
                <c:pt idx="143">
                  <c:v>0</c:v>
                </c:pt>
                <c:pt idx="144">
                  <c:v>0</c:v>
                </c:pt>
                <c:pt idx="145">
                  <c:v>38232</c:v>
                </c:pt>
                <c:pt idx="146">
                  <c:v>0</c:v>
                </c:pt>
                <c:pt idx="147">
                  <c:v>33206</c:v>
                </c:pt>
                <c:pt idx="148">
                  <c:v>0</c:v>
                </c:pt>
                <c:pt idx="149">
                  <c:v>0</c:v>
                </c:pt>
                <c:pt idx="150">
                  <c:v>29116</c:v>
                </c:pt>
                <c:pt idx="151">
                  <c:v>0</c:v>
                </c:pt>
                <c:pt idx="152">
                  <c:v>16277</c:v>
                </c:pt>
                <c:pt idx="153">
                  <c:v>0</c:v>
                </c:pt>
                <c:pt idx="154">
                  <c:v>0</c:v>
                </c:pt>
                <c:pt idx="155">
                  <c:v>12134</c:v>
                </c:pt>
                <c:pt idx="156">
                  <c:v>0</c:v>
                </c:pt>
                <c:pt idx="157">
                  <c:v>0</c:v>
                </c:pt>
                <c:pt idx="158">
                  <c:v>7524</c:v>
                </c:pt>
                <c:pt idx="159">
                  <c:v>0</c:v>
                </c:pt>
                <c:pt idx="160">
                  <c:v>3951</c:v>
                </c:pt>
                <c:pt idx="161">
                  <c:v>0</c:v>
                </c:pt>
                <c:pt idx="162">
                  <c:v>0</c:v>
                </c:pt>
                <c:pt idx="163">
                  <c:v>3978</c:v>
                </c:pt>
                <c:pt idx="164">
                  <c:v>0</c:v>
                </c:pt>
                <c:pt idx="165">
                  <c:v>4296</c:v>
                </c:pt>
                <c:pt idx="166">
                  <c:v>0</c:v>
                </c:pt>
                <c:pt idx="167">
                  <c:v>0</c:v>
                </c:pt>
                <c:pt idx="168">
                  <c:v>2397</c:v>
                </c:pt>
                <c:pt idx="169">
                  <c:v>0</c:v>
                </c:pt>
                <c:pt idx="170">
                  <c:v>0</c:v>
                </c:pt>
                <c:pt idx="171">
                  <c:v>2990</c:v>
                </c:pt>
                <c:pt idx="172">
                  <c:v>0</c:v>
                </c:pt>
                <c:pt idx="173">
                  <c:v>1585</c:v>
                </c:pt>
                <c:pt idx="174">
                  <c:v>0</c:v>
                </c:pt>
                <c:pt idx="175">
                  <c:v>0</c:v>
                </c:pt>
                <c:pt idx="176">
                  <c:v>576</c:v>
                </c:pt>
                <c:pt idx="177">
                  <c:v>0</c:v>
                </c:pt>
                <c:pt idx="178">
                  <c:v>501</c:v>
                </c:pt>
                <c:pt idx="179">
                  <c:v>0</c:v>
                </c:pt>
                <c:pt idx="180">
                  <c:v>0</c:v>
                </c:pt>
                <c:pt idx="181">
                  <c:v>101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0</c:v>
                </c:pt>
                <c:pt idx="8">
                  <c:v>246</c:v>
                </c:pt>
                <c:pt idx="9">
                  <c:v>0</c:v>
                </c:pt>
                <c:pt idx="10">
                  <c:v>0</c:v>
                </c:pt>
                <c:pt idx="11">
                  <c:v>1546</c:v>
                </c:pt>
                <c:pt idx="12">
                  <c:v>0</c:v>
                </c:pt>
                <c:pt idx="13">
                  <c:v>2011</c:v>
                </c:pt>
                <c:pt idx="14">
                  <c:v>0</c:v>
                </c:pt>
                <c:pt idx="15">
                  <c:v>0</c:v>
                </c:pt>
                <c:pt idx="16">
                  <c:v>3517</c:v>
                </c:pt>
                <c:pt idx="17">
                  <c:v>0</c:v>
                </c:pt>
                <c:pt idx="18">
                  <c:v>0</c:v>
                </c:pt>
                <c:pt idx="19">
                  <c:v>3622</c:v>
                </c:pt>
                <c:pt idx="20">
                  <c:v>0</c:v>
                </c:pt>
                <c:pt idx="21">
                  <c:v>7187</c:v>
                </c:pt>
                <c:pt idx="22">
                  <c:v>0</c:v>
                </c:pt>
                <c:pt idx="23">
                  <c:v>0</c:v>
                </c:pt>
                <c:pt idx="24">
                  <c:v>7989</c:v>
                </c:pt>
                <c:pt idx="25">
                  <c:v>0</c:v>
                </c:pt>
                <c:pt idx="26">
                  <c:v>13343</c:v>
                </c:pt>
                <c:pt idx="27">
                  <c:v>0</c:v>
                </c:pt>
                <c:pt idx="28">
                  <c:v>0</c:v>
                </c:pt>
                <c:pt idx="29">
                  <c:v>16167</c:v>
                </c:pt>
                <c:pt idx="30">
                  <c:v>0</c:v>
                </c:pt>
                <c:pt idx="31">
                  <c:v>19761</c:v>
                </c:pt>
                <c:pt idx="32">
                  <c:v>0</c:v>
                </c:pt>
                <c:pt idx="33">
                  <c:v>0</c:v>
                </c:pt>
                <c:pt idx="34">
                  <c:v>20156</c:v>
                </c:pt>
                <c:pt idx="35">
                  <c:v>0</c:v>
                </c:pt>
                <c:pt idx="36">
                  <c:v>0</c:v>
                </c:pt>
                <c:pt idx="37">
                  <c:v>27684</c:v>
                </c:pt>
                <c:pt idx="38">
                  <c:v>0</c:v>
                </c:pt>
                <c:pt idx="39">
                  <c:v>29505</c:v>
                </c:pt>
                <c:pt idx="40">
                  <c:v>0</c:v>
                </c:pt>
                <c:pt idx="41">
                  <c:v>0</c:v>
                </c:pt>
                <c:pt idx="42">
                  <c:v>41526</c:v>
                </c:pt>
                <c:pt idx="43">
                  <c:v>0</c:v>
                </c:pt>
                <c:pt idx="44">
                  <c:v>55842</c:v>
                </c:pt>
                <c:pt idx="45">
                  <c:v>0</c:v>
                </c:pt>
                <c:pt idx="46">
                  <c:v>0</c:v>
                </c:pt>
                <c:pt idx="47">
                  <c:v>72475</c:v>
                </c:pt>
                <c:pt idx="48">
                  <c:v>0</c:v>
                </c:pt>
                <c:pt idx="49">
                  <c:v>81007</c:v>
                </c:pt>
                <c:pt idx="50">
                  <c:v>0</c:v>
                </c:pt>
                <c:pt idx="51">
                  <c:v>0</c:v>
                </c:pt>
                <c:pt idx="52">
                  <c:v>102323</c:v>
                </c:pt>
                <c:pt idx="53">
                  <c:v>0</c:v>
                </c:pt>
                <c:pt idx="54">
                  <c:v>0</c:v>
                </c:pt>
                <c:pt idx="55">
                  <c:v>114666</c:v>
                </c:pt>
                <c:pt idx="56">
                  <c:v>0</c:v>
                </c:pt>
                <c:pt idx="57">
                  <c:v>112710</c:v>
                </c:pt>
                <c:pt idx="58">
                  <c:v>0</c:v>
                </c:pt>
                <c:pt idx="59">
                  <c:v>0</c:v>
                </c:pt>
                <c:pt idx="60">
                  <c:v>103985</c:v>
                </c:pt>
                <c:pt idx="61">
                  <c:v>0</c:v>
                </c:pt>
                <c:pt idx="62">
                  <c:v>111186</c:v>
                </c:pt>
                <c:pt idx="63">
                  <c:v>0</c:v>
                </c:pt>
                <c:pt idx="64">
                  <c:v>0</c:v>
                </c:pt>
                <c:pt idx="65">
                  <c:v>114373</c:v>
                </c:pt>
                <c:pt idx="66">
                  <c:v>0</c:v>
                </c:pt>
                <c:pt idx="67">
                  <c:v>111472</c:v>
                </c:pt>
                <c:pt idx="68">
                  <c:v>0</c:v>
                </c:pt>
                <c:pt idx="69">
                  <c:v>0</c:v>
                </c:pt>
                <c:pt idx="70">
                  <c:v>128666</c:v>
                </c:pt>
                <c:pt idx="71">
                  <c:v>0</c:v>
                </c:pt>
                <c:pt idx="72">
                  <c:v>0</c:v>
                </c:pt>
                <c:pt idx="73">
                  <c:v>136852</c:v>
                </c:pt>
                <c:pt idx="74">
                  <c:v>0</c:v>
                </c:pt>
                <c:pt idx="75">
                  <c:v>144576</c:v>
                </c:pt>
                <c:pt idx="76">
                  <c:v>0</c:v>
                </c:pt>
                <c:pt idx="77">
                  <c:v>0</c:v>
                </c:pt>
                <c:pt idx="78">
                  <c:v>156740</c:v>
                </c:pt>
                <c:pt idx="79">
                  <c:v>0</c:v>
                </c:pt>
                <c:pt idx="80">
                  <c:v>161656</c:v>
                </c:pt>
                <c:pt idx="81">
                  <c:v>0</c:v>
                </c:pt>
                <c:pt idx="82">
                  <c:v>0</c:v>
                </c:pt>
                <c:pt idx="83">
                  <c:v>161880</c:v>
                </c:pt>
                <c:pt idx="84">
                  <c:v>0</c:v>
                </c:pt>
                <c:pt idx="85">
                  <c:v>0</c:v>
                </c:pt>
                <c:pt idx="86">
                  <c:v>154774</c:v>
                </c:pt>
                <c:pt idx="87">
                  <c:v>0</c:v>
                </c:pt>
                <c:pt idx="88">
                  <c:v>142102</c:v>
                </c:pt>
                <c:pt idx="89">
                  <c:v>0</c:v>
                </c:pt>
                <c:pt idx="90">
                  <c:v>0</c:v>
                </c:pt>
                <c:pt idx="91">
                  <c:v>147787</c:v>
                </c:pt>
                <c:pt idx="92">
                  <c:v>0</c:v>
                </c:pt>
                <c:pt idx="93">
                  <c:v>165921</c:v>
                </c:pt>
                <c:pt idx="94">
                  <c:v>0</c:v>
                </c:pt>
                <c:pt idx="95">
                  <c:v>0</c:v>
                </c:pt>
                <c:pt idx="96">
                  <c:v>145349</c:v>
                </c:pt>
                <c:pt idx="97">
                  <c:v>0</c:v>
                </c:pt>
                <c:pt idx="98">
                  <c:v>138350</c:v>
                </c:pt>
                <c:pt idx="99">
                  <c:v>0</c:v>
                </c:pt>
                <c:pt idx="100">
                  <c:v>0</c:v>
                </c:pt>
                <c:pt idx="101">
                  <c:v>152271</c:v>
                </c:pt>
                <c:pt idx="102">
                  <c:v>0</c:v>
                </c:pt>
                <c:pt idx="103">
                  <c:v>0</c:v>
                </c:pt>
                <c:pt idx="104">
                  <c:v>130014</c:v>
                </c:pt>
                <c:pt idx="105">
                  <c:v>0</c:v>
                </c:pt>
                <c:pt idx="106">
                  <c:v>143479</c:v>
                </c:pt>
                <c:pt idx="107">
                  <c:v>0</c:v>
                </c:pt>
                <c:pt idx="108">
                  <c:v>0</c:v>
                </c:pt>
                <c:pt idx="109">
                  <c:v>142704</c:v>
                </c:pt>
                <c:pt idx="110">
                  <c:v>0</c:v>
                </c:pt>
                <c:pt idx="111">
                  <c:v>114907</c:v>
                </c:pt>
                <c:pt idx="112">
                  <c:v>0</c:v>
                </c:pt>
                <c:pt idx="113">
                  <c:v>0</c:v>
                </c:pt>
                <c:pt idx="114">
                  <c:v>103039</c:v>
                </c:pt>
                <c:pt idx="115">
                  <c:v>0</c:v>
                </c:pt>
                <c:pt idx="116">
                  <c:v>106021</c:v>
                </c:pt>
                <c:pt idx="117">
                  <c:v>0</c:v>
                </c:pt>
                <c:pt idx="118">
                  <c:v>0</c:v>
                </c:pt>
                <c:pt idx="119">
                  <c:v>99398</c:v>
                </c:pt>
                <c:pt idx="120">
                  <c:v>0</c:v>
                </c:pt>
                <c:pt idx="121">
                  <c:v>0</c:v>
                </c:pt>
                <c:pt idx="122">
                  <c:v>77424</c:v>
                </c:pt>
                <c:pt idx="123">
                  <c:v>0</c:v>
                </c:pt>
                <c:pt idx="124">
                  <c:v>63222</c:v>
                </c:pt>
                <c:pt idx="125">
                  <c:v>0</c:v>
                </c:pt>
                <c:pt idx="126">
                  <c:v>0</c:v>
                </c:pt>
                <c:pt idx="127">
                  <c:v>64885</c:v>
                </c:pt>
                <c:pt idx="128">
                  <c:v>0</c:v>
                </c:pt>
                <c:pt idx="129">
                  <c:v>53722</c:v>
                </c:pt>
                <c:pt idx="130">
                  <c:v>0</c:v>
                </c:pt>
                <c:pt idx="131">
                  <c:v>0</c:v>
                </c:pt>
                <c:pt idx="132">
                  <c:v>43967</c:v>
                </c:pt>
                <c:pt idx="133">
                  <c:v>0</c:v>
                </c:pt>
                <c:pt idx="134">
                  <c:v>40089</c:v>
                </c:pt>
                <c:pt idx="135">
                  <c:v>0</c:v>
                </c:pt>
                <c:pt idx="136">
                  <c:v>0</c:v>
                </c:pt>
                <c:pt idx="137">
                  <c:v>39525</c:v>
                </c:pt>
                <c:pt idx="138">
                  <c:v>0</c:v>
                </c:pt>
                <c:pt idx="139">
                  <c:v>0</c:v>
                </c:pt>
                <c:pt idx="140">
                  <c:v>32317</c:v>
                </c:pt>
                <c:pt idx="141">
                  <c:v>0</c:v>
                </c:pt>
                <c:pt idx="142">
                  <c:v>22956</c:v>
                </c:pt>
                <c:pt idx="143">
                  <c:v>0</c:v>
                </c:pt>
                <c:pt idx="144">
                  <c:v>0</c:v>
                </c:pt>
                <c:pt idx="145">
                  <c:v>16680</c:v>
                </c:pt>
                <c:pt idx="146">
                  <c:v>0</c:v>
                </c:pt>
                <c:pt idx="147">
                  <c:v>12623</c:v>
                </c:pt>
                <c:pt idx="148">
                  <c:v>0</c:v>
                </c:pt>
                <c:pt idx="149">
                  <c:v>0</c:v>
                </c:pt>
                <c:pt idx="150">
                  <c:v>12142</c:v>
                </c:pt>
                <c:pt idx="151">
                  <c:v>0</c:v>
                </c:pt>
                <c:pt idx="152">
                  <c:v>9271</c:v>
                </c:pt>
                <c:pt idx="153">
                  <c:v>0</c:v>
                </c:pt>
                <c:pt idx="154">
                  <c:v>0</c:v>
                </c:pt>
                <c:pt idx="155">
                  <c:v>5764</c:v>
                </c:pt>
                <c:pt idx="156">
                  <c:v>0</c:v>
                </c:pt>
                <c:pt idx="157">
                  <c:v>0</c:v>
                </c:pt>
                <c:pt idx="158">
                  <c:v>3418</c:v>
                </c:pt>
                <c:pt idx="159">
                  <c:v>0</c:v>
                </c:pt>
                <c:pt idx="160">
                  <c:v>1511</c:v>
                </c:pt>
                <c:pt idx="161">
                  <c:v>0</c:v>
                </c:pt>
                <c:pt idx="162">
                  <c:v>0</c:v>
                </c:pt>
                <c:pt idx="163">
                  <c:v>368</c:v>
                </c:pt>
                <c:pt idx="164">
                  <c:v>0</c:v>
                </c:pt>
                <c:pt idx="165">
                  <c:v>299</c:v>
                </c:pt>
                <c:pt idx="166">
                  <c:v>0</c:v>
                </c:pt>
                <c:pt idx="167">
                  <c:v>0</c:v>
                </c:pt>
                <c:pt idx="168">
                  <c:v>164</c:v>
                </c:pt>
                <c:pt idx="169">
                  <c:v>0</c:v>
                </c:pt>
                <c:pt idx="170">
                  <c:v>0</c:v>
                </c:pt>
                <c:pt idx="171">
                  <c:v>83</c:v>
                </c:pt>
                <c:pt idx="172">
                  <c:v>0</c:v>
                </c:pt>
                <c:pt idx="173">
                  <c:v>255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0.12756847352559836</c:v>
                </c:pt>
                <c:pt idx="1">
                  <c:v>0.34492104586462374</c:v>
                </c:pt>
                <c:pt idx="2">
                  <c:v>0.5275104806097779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0.48467881876182844</c:v>
                </c:pt>
                <c:pt idx="1">
                  <c:v>0.25676276153479177</c:v>
                </c:pt>
                <c:pt idx="2">
                  <c:v>0.25855841970337984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9.9099575000000009</c:v>
                </c:pt>
                <c:pt idx="1">
                  <c:v>19.606175</c:v>
                </c:pt>
                <c:pt idx="2">
                  <c:v>39.004049999999999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0.40393000000000001</c:v>
                </c:pt>
                <c:pt idx="2">
                  <c:v>0.81403899999999996</c:v>
                </c:pt>
                <c:pt idx="3">
                  <c:v>1.2237899999999999</c:v>
                </c:pt>
                <c:pt idx="4">
                  <c:v>1.6277600000000001</c:v>
                </c:pt>
                <c:pt idx="5">
                  <c:v>2.0376300000000001</c:v>
                </c:pt>
                <c:pt idx="6">
                  <c:v>2.4394800000000001</c:v>
                </c:pt>
                <c:pt idx="7">
                  <c:v>2.8456199999999998</c:v>
                </c:pt>
                <c:pt idx="8">
                  <c:v>3.2513399999999999</c:v>
                </c:pt>
                <c:pt idx="9">
                  <c:v>3.6602399999999999</c:v>
                </c:pt>
                <c:pt idx="10">
                  <c:v>4.0671799999999996</c:v>
                </c:pt>
                <c:pt idx="11">
                  <c:v>4.4681800000000003</c:v>
                </c:pt>
                <c:pt idx="12">
                  <c:v>4.8795200000000003</c:v>
                </c:pt>
                <c:pt idx="13">
                  <c:v>5.2810699999999997</c:v>
                </c:pt>
                <c:pt idx="14">
                  <c:v>5.6879600000000003</c:v>
                </c:pt>
                <c:pt idx="15">
                  <c:v>6.0921000000000003</c:v>
                </c:pt>
                <c:pt idx="16">
                  <c:v>6.5016499999999997</c:v>
                </c:pt>
                <c:pt idx="17">
                  <c:v>6.9055299999999997</c:v>
                </c:pt>
                <c:pt idx="18">
                  <c:v>7.3135599999999998</c:v>
                </c:pt>
                <c:pt idx="19">
                  <c:v>7.7215400000000001</c:v>
                </c:pt>
                <c:pt idx="20">
                  <c:v>8.1265699999999992</c:v>
                </c:pt>
                <c:pt idx="21">
                  <c:v>8.5342800000000008</c:v>
                </c:pt>
                <c:pt idx="22">
                  <c:v>8.9393200000000004</c:v>
                </c:pt>
                <c:pt idx="23">
                  <c:v>9.3471399999999996</c:v>
                </c:pt>
                <c:pt idx="24">
                  <c:v>9.7783800000000003</c:v>
                </c:pt>
                <c:pt idx="25">
                  <c:v>10.1539</c:v>
                </c:pt>
                <c:pt idx="26">
                  <c:v>10.56</c:v>
                </c:pt>
                <c:pt idx="27">
                  <c:v>10.970800000000001</c:v>
                </c:pt>
                <c:pt idx="28">
                  <c:v>11.375</c:v>
                </c:pt>
                <c:pt idx="29">
                  <c:v>11.7806</c:v>
                </c:pt>
                <c:pt idx="30">
                  <c:v>12.187799999999999</c:v>
                </c:pt>
                <c:pt idx="31">
                  <c:v>12.5947</c:v>
                </c:pt>
                <c:pt idx="32">
                  <c:v>12.9984</c:v>
                </c:pt>
                <c:pt idx="33">
                  <c:v>13.405200000000001</c:v>
                </c:pt>
                <c:pt idx="34">
                  <c:v>13.812099999999999</c:v>
                </c:pt>
                <c:pt idx="35">
                  <c:v>14.223100000000001</c:v>
                </c:pt>
                <c:pt idx="36">
                  <c:v>14.626099999999999</c:v>
                </c:pt>
                <c:pt idx="37">
                  <c:v>15.034599999999999</c:v>
                </c:pt>
                <c:pt idx="38">
                  <c:v>15.4491</c:v>
                </c:pt>
                <c:pt idx="39">
                  <c:v>15.848699999999999</c:v>
                </c:pt>
                <c:pt idx="40">
                  <c:v>16.2544</c:v>
                </c:pt>
                <c:pt idx="41">
                  <c:v>16.656500000000001</c:v>
                </c:pt>
                <c:pt idx="42">
                  <c:v>17.060500000000001</c:v>
                </c:pt>
                <c:pt idx="43">
                  <c:v>17.4695</c:v>
                </c:pt>
                <c:pt idx="44">
                  <c:v>17.8735</c:v>
                </c:pt>
                <c:pt idx="45">
                  <c:v>18.281099999999999</c:v>
                </c:pt>
                <c:pt idx="46">
                  <c:v>18.687000000000001</c:v>
                </c:pt>
                <c:pt idx="47">
                  <c:v>19.093</c:v>
                </c:pt>
                <c:pt idx="48">
                  <c:v>19.497900000000001</c:v>
                </c:pt>
                <c:pt idx="49">
                  <c:v>19.904900000000001</c:v>
                </c:pt>
                <c:pt idx="50">
                  <c:v>20.309799999999999</c:v>
                </c:pt>
                <c:pt idx="51">
                  <c:v>20.719899999999999</c:v>
                </c:pt>
                <c:pt idx="52">
                  <c:v>21.125800000000002</c:v>
                </c:pt>
                <c:pt idx="53">
                  <c:v>21.532599999999999</c:v>
                </c:pt>
                <c:pt idx="54">
                  <c:v>21.938400000000001</c:v>
                </c:pt>
                <c:pt idx="55">
                  <c:v>22.3416</c:v>
                </c:pt>
                <c:pt idx="56">
                  <c:v>22.747199999999999</c:v>
                </c:pt>
                <c:pt idx="57">
                  <c:v>23.1553</c:v>
                </c:pt>
                <c:pt idx="58">
                  <c:v>23.561199999999999</c:v>
                </c:pt>
                <c:pt idx="59">
                  <c:v>23.968</c:v>
                </c:pt>
                <c:pt idx="60">
                  <c:v>24.375800000000002</c:v>
                </c:pt>
                <c:pt idx="61">
                  <c:v>24.787800000000001</c:v>
                </c:pt>
                <c:pt idx="62">
                  <c:v>25.1907</c:v>
                </c:pt>
                <c:pt idx="63">
                  <c:v>25.5959</c:v>
                </c:pt>
                <c:pt idx="64">
                  <c:v>25.999700000000001</c:v>
                </c:pt>
                <c:pt idx="65">
                  <c:v>26.407699999999998</c:v>
                </c:pt>
                <c:pt idx="66">
                  <c:v>26.8125</c:v>
                </c:pt>
                <c:pt idx="67">
                  <c:v>27.218399999999999</c:v>
                </c:pt>
                <c:pt idx="68">
                  <c:v>27.623100000000001</c:v>
                </c:pt>
                <c:pt idx="69">
                  <c:v>28.038</c:v>
                </c:pt>
                <c:pt idx="70">
                  <c:v>28.444199999999999</c:v>
                </c:pt>
                <c:pt idx="71">
                  <c:v>28.852</c:v>
                </c:pt>
                <c:pt idx="72">
                  <c:v>29.255800000000001</c:v>
                </c:pt>
                <c:pt idx="73">
                  <c:v>29.662099999999999</c:v>
                </c:pt>
                <c:pt idx="74">
                  <c:v>30.36</c:v>
                </c:pt>
                <c:pt idx="75">
                  <c:v>30.702000000000002</c:v>
                </c:pt>
                <c:pt idx="76">
                  <c:v>31.064</c:v>
                </c:pt>
                <c:pt idx="77">
                  <c:v>31.439</c:v>
                </c:pt>
                <c:pt idx="78">
                  <c:v>31.815000000000001</c:v>
                </c:pt>
                <c:pt idx="79">
                  <c:v>32.2029</c:v>
                </c:pt>
                <c:pt idx="80">
                  <c:v>32.622900000000001</c:v>
                </c:pt>
                <c:pt idx="81">
                  <c:v>33.014400000000002</c:v>
                </c:pt>
                <c:pt idx="82">
                  <c:v>33.423999999999999</c:v>
                </c:pt>
                <c:pt idx="83">
                  <c:v>33.831200000000003</c:v>
                </c:pt>
                <c:pt idx="84">
                  <c:v>34.233199999999997</c:v>
                </c:pt>
                <c:pt idx="85">
                  <c:v>34.6432</c:v>
                </c:pt>
                <c:pt idx="86">
                  <c:v>35.0501</c:v>
                </c:pt>
                <c:pt idx="87">
                  <c:v>35.453000000000003</c:v>
                </c:pt>
                <c:pt idx="88">
                  <c:v>35.8628</c:v>
                </c:pt>
                <c:pt idx="89">
                  <c:v>36.266100000000002</c:v>
                </c:pt>
                <c:pt idx="90">
                  <c:v>36.695999999999998</c:v>
                </c:pt>
                <c:pt idx="91">
                  <c:v>37.078600000000002</c:v>
                </c:pt>
                <c:pt idx="92">
                  <c:v>37.4895</c:v>
                </c:pt>
                <c:pt idx="93">
                  <c:v>37.893300000000004</c:v>
                </c:pt>
                <c:pt idx="94">
                  <c:v>38.298299999999998</c:v>
                </c:pt>
                <c:pt idx="95">
                  <c:v>38.704300000000003</c:v>
                </c:pt>
                <c:pt idx="96">
                  <c:v>39.118299999999998</c:v>
                </c:pt>
                <c:pt idx="97">
                  <c:v>39.514099999999999</c:v>
                </c:pt>
                <c:pt idx="98">
                  <c:v>39.9253</c:v>
                </c:pt>
                <c:pt idx="99">
                  <c:v>40.332799999999999</c:v>
                </c:pt>
                <c:pt idx="100">
                  <c:v>40.738</c:v>
                </c:pt>
                <c:pt idx="101">
                  <c:v>41.165199999999999</c:v>
                </c:pt>
                <c:pt idx="102">
                  <c:v>41.560699999999997</c:v>
                </c:pt>
                <c:pt idx="103">
                  <c:v>41.971600000000002</c:v>
                </c:pt>
                <c:pt idx="104">
                  <c:v>42.367400000000004</c:v>
                </c:pt>
                <c:pt idx="105">
                  <c:v>42.768500000000003</c:v>
                </c:pt>
                <c:pt idx="106">
                  <c:v>43.171300000000002</c:v>
                </c:pt>
                <c:pt idx="107">
                  <c:v>43.577199999999998</c:v>
                </c:pt>
                <c:pt idx="108">
                  <c:v>43.9833</c:v>
                </c:pt>
                <c:pt idx="109">
                  <c:v>44.393000000000001</c:v>
                </c:pt>
                <c:pt idx="110">
                  <c:v>44.797899999999998</c:v>
                </c:pt>
                <c:pt idx="111">
                  <c:v>45.203899999999997</c:v>
                </c:pt>
                <c:pt idx="112">
                  <c:v>45.6068</c:v>
                </c:pt>
                <c:pt idx="113">
                  <c:v>46.017299999999999</c:v>
                </c:pt>
                <c:pt idx="114">
                  <c:v>46.422600000000003</c:v>
                </c:pt>
                <c:pt idx="115">
                  <c:v>46.828699999999998</c:v>
                </c:pt>
                <c:pt idx="116">
                  <c:v>47.236499999999999</c:v>
                </c:pt>
                <c:pt idx="117">
                  <c:v>47.6404</c:v>
                </c:pt>
                <c:pt idx="118">
                  <c:v>48.049399999999999</c:v>
                </c:pt>
                <c:pt idx="119">
                  <c:v>48.453200000000002</c:v>
                </c:pt>
                <c:pt idx="120">
                  <c:v>48.857100000000003</c:v>
                </c:pt>
                <c:pt idx="121">
                  <c:v>49.263100000000001</c:v>
                </c:pt>
                <c:pt idx="122">
                  <c:v>49.673999999999999</c:v>
                </c:pt>
                <c:pt idx="123">
                  <c:v>50.076900000000002</c:v>
                </c:pt>
                <c:pt idx="124">
                  <c:v>50.484699999999997</c:v>
                </c:pt>
                <c:pt idx="125">
                  <c:v>50.892499999999998</c:v>
                </c:pt>
                <c:pt idx="126">
                  <c:v>51.294699999999999</c:v>
                </c:pt>
                <c:pt idx="127">
                  <c:v>51.704599999999999</c:v>
                </c:pt>
                <c:pt idx="128">
                  <c:v>52.116500000000002</c:v>
                </c:pt>
                <c:pt idx="129">
                  <c:v>52.517499999999998</c:v>
                </c:pt>
                <c:pt idx="130">
                  <c:v>52.921300000000002</c:v>
                </c:pt>
                <c:pt idx="131">
                  <c:v>53.332099999999997</c:v>
                </c:pt>
                <c:pt idx="132">
                  <c:v>53.735100000000003</c:v>
                </c:pt>
                <c:pt idx="133">
                  <c:v>54.142600000000002</c:v>
                </c:pt>
                <c:pt idx="134">
                  <c:v>54.551000000000002</c:v>
                </c:pt>
                <c:pt idx="135">
                  <c:v>54.967199999999998</c:v>
                </c:pt>
                <c:pt idx="136">
                  <c:v>55.361699999999999</c:v>
                </c:pt>
                <c:pt idx="137">
                  <c:v>55.7667</c:v>
                </c:pt>
                <c:pt idx="138">
                  <c:v>56.174900000000001</c:v>
                </c:pt>
                <c:pt idx="139">
                  <c:v>56.578400000000002</c:v>
                </c:pt>
                <c:pt idx="140">
                  <c:v>56.985399999999998</c:v>
                </c:pt>
                <c:pt idx="141">
                  <c:v>57.396299999999997</c:v>
                </c:pt>
                <c:pt idx="142">
                  <c:v>57.795200000000001</c:v>
                </c:pt>
                <c:pt idx="143">
                  <c:v>58.204300000000003</c:v>
                </c:pt>
                <c:pt idx="144">
                  <c:v>58.607100000000003</c:v>
                </c:pt>
                <c:pt idx="145">
                  <c:v>59.014000000000003</c:v>
                </c:pt>
                <c:pt idx="146">
                  <c:v>59.425199999999997</c:v>
                </c:pt>
                <c:pt idx="147">
                  <c:v>59.830800000000004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2.9014099999999998</c:v>
                </c:pt>
                <c:pt idx="1">
                  <c:v>3.0009799999999998</c:v>
                </c:pt>
                <c:pt idx="2">
                  <c:v>3.0935099999999998</c:v>
                </c:pt>
                <c:pt idx="3">
                  <c:v>3.18025</c:v>
                </c:pt>
                <c:pt idx="4">
                  <c:v>3.2611499999999998</c:v>
                </c:pt>
                <c:pt idx="5">
                  <c:v>3.3388</c:v>
                </c:pt>
                <c:pt idx="6">
                  <c:v>3.41303</c:v>
                </c:pt>
                <c:pt idx="7">
                  <c:v>3.4840999999999998</c:v>
                </c:pt>
                <c:pt idx="8">
                  <c:v>3.5511300000000001</c:v>
                </c:pt>
                <c:pt idx="9">
                  <c:v>3.6154299999999999</c:v>
                </c:pt>
                <c:pt idx="10">
                  <c:v>3.6783999999999999</c:v>
                </c:pt>
                <c:pt idx="11">
                  <c:v>3.73977</c:v>
                </c:pt>
                <c:pt idx="12">
                  <c:v>3.7920500000000001</c:v>
                </c:pt>
                <c:pt idx="13">
                  <c:v>3.8379699999999999</c:v>
                </c:pt>
                <c:pt idx="14">
                  <c:v>3.8780900000000003</c:v>
                </c:pt>
                <c:pt idx="15">
                  <c:v>3.9123099999999997</c:v>
                </c:pt>
                <c:pt idx="16">
                  <c:v>3.94062</c:v>
                </c:pt>
                <c:pt idx="17">
                  <c:v>3.9658700000000002</c:v>
                </c:pt>
                <c:pt idx="18">
                  <c:v>3.9859200000000001</c:v>
                </c:pt>
                <c:pt idx="19">
                  <c:v>4.0006599999999999</c:v>
                </c:pt>
                <c:pt idx="20">
                  <c:v>4.0104800000000003</c:v>
                </c:pt>
                <c:pt idx="21">
                  <c:v>4.0176800000000004</c:v>
                </c:pt>
                <c:pt idx="22">
                  <c:v>4.0210800000000004</c:v>
                </c:pt>
                <c:pt idx="23">
                  <c:v>4.0213900000000002</c:v>
                </c:pt>
                <c:pt idx="24">
                  <c:v>4.0183799999999996</c:v>
                </c:pt>
                <c:pt idx="25">
                  <c:v>4.01112</c:v>
                </c:pt>
                <c:pt idx="26">
                  <c:v>3.9988800000000002</c:v>
                </c:pt>
                <c:pt idx="27">
                  <c:v>3.9852300000000001</c:v>
                </c:pt>
                <c:pt idx="28">
                  <c:v>3.9712499999999999</c:v>
                </c:pt>
                <c:pt idx="29">
                  <c:v>3.9565200000000003</c:v>
                </c:pt>
                <c:pt idx="30">
                  <c:v>3.9404400000000002</c:v>
                </c:pt>
                <c:pt idx="31">
                  <c:v>3.92252</c:v>
                </c:pt>
                <c:pt idx="32">
                  <c:v>3.9033199999999999</c:v>
                </c:pt>
                <c:pt idx="33">
                  <c:v>3.8832299999999997</c:v>
                </c:pt>
                <c:pt idx="34">
                  <c:v>3.8608199999999999</c:v>
                </c:pt>
                <c:pt idx="35">
                  <c:v>3.8344299999999998</c:v>
                </c:pt>
                <c:pt idx="36">
                  <c:v>3.8048100000000002</c:v>
                </c:pt>
                <c:pt idx="37">
                  <c:v>3.7802699999999998</c:v>
                </c:pt>
                <c:pt idx="38">
                  <c:v>3.7586999999999997</c:v>
                </c:pt>
                <c:pt idx="39">
                  <c:v>3.73935</c:v>
                </c:pt>
                <c:pt idx="40">
                  <c:v>3.72424</c:v>
                </c:pt>
                <c:pt idx="41">
                  <c:v>3.7113</c:v>
                </c:pt>
                <c:pt idx="42">
                  <c:v>3.6961699999999995</c:v>
                </c:pt>
                <c:pt idx="43">
                  <c:v>3.68309</c:v>
                </c:pt>
                <c:pt idx="44">
                  <c:v>3.6734599999999999</c:v>
                </c:pt>
                <c:pt idx="45">
                  <c:v>3.6685099999999999</c:v>
                </c:pt>
                <c:pt idx="46">
                  <c:v>3.6634100000000003</c:v>
                </c:pt>
                <c:pt idx="47">
                  <c:v>3.6568399999999999</c:v>
                </c:pt>
                <c:pt idx="48">
                  <c:v>3.6474200000000003</c:v>
                </c:pt>
                <c:pt idx="49">
                  <c:v>3.6352000000000002</c:v>
                </c:pt>
                <c:pt idx="50">
                  <c:v>3.6310900000000004</c:v>
                </c:pt>
                <c:pt idx="51">
                  <c:v>3.6130100000000001</c:v>
                </c:pt>
                <c:pt idx="52">
                  <c:v>3.5988700000000002</c:v>
                </c:pt>
                <c:pt idx="53">
                  <c:v>3.58317</c:v>
                </c:pt>
                <c:pt idx="54">
                  <c:v>3.5679600000000002</c:v>
                </c:pt>
                <c:pt idx="55">
                  <c:v>3.5505500000000003</c:v>
                </c:pt>
                <c:pt idx="56">
                  <c:v>3.5307200000000001</c:v>
                </c:pt>
                <c:pt idx="57">
                  <c:v>3.5082000000000004</c:v>
                </c:pt>
                <c:pt idx="58">
                  <c:v>3.4845999999999999</c:v>
                </c:pt>
                <c:pt idx="59">
                  <c:v>3.4602399999999998</c:v>
                </c:pt>
                <c:pt idx="60">
                  <c:v>3.4346999999999999</c:v>
                </c:pt>
                <c:pt idx="61">
                  <c:v>3.4057199999999996</c:v>
                </c:pt>
                <c:pt idx="62">
                  <c:v>3.3754099999999996</c:v>
                </c:pt>
                <c:pt idx="63">
                  <c:v>3.3440700000000003</c:v>
                </c:pt>
                <c:pt idx="64">
                  <c:v>3.3120500000000002</c:v>
                </c:pt>
                <c:pt idx="65">
                  <c:v>3.2780999999999998</c:v>
                </c:pt>
                <c:pt idx="66">
                  <c:v>3.2465300000000004</c:v>
                </c:pt>
                <c:pt idx="67">
                  <c:v>3.2173699999999998</c:v>
                </c:pt>
                <c:pt idx="68">
                  <c:v>3.1905099999999997</c:v>
                </c:pt>
                <c:pt idx="69">
                  <c:v>3.1663799999999998</c:v>
                </c:pt>
                <c:pt idx="70">
                  <c:v>3.1407600000000002</c:v>
                </c:pt>
                <c:pt idx="71">
                  <c:v>3.1153199999999996</c:v>
                </c:pt>
                <c:pt idx="72">
                  <c:v>3.0933100000000002</c:v>
                </c:pt>
                <c:pt idx="73">
                  <c:v>3.0730300000000002</c:v>
                </c:pt>
                <c:pt idx="74">
                  <c:v>3.0432900000000003</c:v>
                </c:pt>
                <c:pt idx="75">
                  <c:v>3.0262000000000002</c:v>
                </c:pt>
                <c:pt idx="76">
                  <c:v>3.00929</c:v>
                </c:pt>
                <c:pt idx="77">
                  <c:v>2.99308</c:v>
                </c:pt>
                <c:pt idx="78">
                  <c:v>2.9783300000000001</c:v>
                </c:pt>
                <c:pt idx="79">
                  <c:v>2.9635899999999999</c:v>
                </c:pt>
                <c:pt idx="80">
                  <c:v>2.95269</c:v>
                </c:pt>
                <c:pt idx="81">
                  <c:v>2.9475800000000003</c:v>
                </c:pt>
                <c:pt idx="82">
                  <c:v>2.9445100000000002</c:v>
                </c:pt>
                <c:pt idx="83">
                  <c:v>2.9411199999999997</c:v>
                </c:pt>
                <c:pt idx="84">
                  <c:v>2.9358899999999997</c:v>
                </c:pt>
                <c:pt idx="85">
                  <c:v>2.9304599999999996</c:v>
                </c:pt>
                <c:pt idx="86">
                  <c:v>2.9286499999999998</c:v>
                </c:pt>
                <c:pt idx="87">
                  <c:v>2.9262999999999999</c:v>
                </c:pt>
                <c:pt idx="88">
                  <c:v>2.9258899999999999</c:v>
                </c:pt>
                <c:pt idx="89">
                  <c:v>2.9272</c:v>
                </c:pt>
                <c:pt idx="90">
                  <c:v>2.9268300000000003</c:v>
                </c:pt>
                <c:pt idx="91">
                  <c:v>2.9286600000000003</c:v>
                </c:pt>
                <c:pt idx="92">
                  <c:v>2.9326000000000003</c:v>
                </c:pt>
                <c:pt idx="93">
                  <c:v>2.9384900000000003</c:v>
                </c:pt>
                <c:pt idx="94">
                  <c:v>2.9447200000000002</c:v>
                </c:pt>
                <c:pt idx="95">
                  <c:v>2.9520999999999997</c:v>
                </c:pt>
                <c:pt idx="96">
                  <c:v>2.9616799999999999</c:v>
                </c:pt>
                <c:pt idx="97">
                  <c:v>2.9745500000000002</c:v>
                </c:pt>
                <c:pt idx="98">
                  <c:v>2.9891399999999999</c:v>
                </c:pt>
                <c:pt idx="99">
                  <c:v>3.0048399999999997</c:v>
                </c:pt>
                <c:pt idx="100">
                  <c:v>3.0219299999999998</c:v>
                </c:pt>
                <c:pt idx="101">
                  <c:v>3.04413</c:v>
                </c:pt>
                <c:pt idx="102">
                  <c:v>3.07301</c:v>
                </c:pt>
                <c:pt idx="103">
                  <c:v>3.1040700000000001</c:v>
                </c:pt>
                <c:pt idx="104">
                  <c:v>3.1373199999999999</c:v>
                </c:pt>
                <c:pt idx="105">
                  <c:v>3.1747199999999998</c:v>
                </c:pt>
                <c:pt idx="106">
                  <c:v>3.2121899999999997</c:v>
                </c:pt>
                <c:pt idx="107">
                  <c:v>3.2499499999999997</c:v>
                </c:pt>
                <c:pt idx="108">
                  <c:v>3.2913900000000003</c:v>
                </c:pt>
                <c:pt idx="109">
                  <c:v>3.3384399999999999</c:v>
                </c:pt>
                <c:pt idx="110">
                  <c:v>3.3905099999999999</c:v>
                </c:pt>
                <c:pt idx="111">
                  <c:v>3.4419899999999997</c:v>
                </c:pt>
                <c:pt idx="112">
                  <c:v>3.48922</c:v>
                </c:pt>
                <c:pt idx="113">
                  <c:v>3.5323199999999999</c:v>
                </c:pt>
                <c:pt idx="114">
                  <c:v>3.5719499999999997</c:v>
                </c:pt>
                <c:pt idx="115">
                  <c:v>3.6093999999999999</c:v>
                </c:pt>
                <c:pt idx="116">
                  <c:v>3.64506</c:v>
                </c:pt>
                <c:pt idx="117">
                  <c:v>3.6785800000000002</c:v>
                </c:pt>
                <c:pt idx="118">
                  <c:v>3.70919</c:v>
                </c:pt>
                <c:pt idx="119">
                  <c:v>3.7386799999999996</c:v>
                </c:pt>
                <c:pt idx="120">
                  <c:v>3.7683899999999997</c:v>
                </c:pt>
                <c:pt idx="121">
                  <c:v>3.7995299999999999</c:v>
                </c:pt>
                <c:pt idx="122">
                  <c:v>3.8331200000000001</c:v>
                </c:pt>
                <c:pt idx="123">
                  <c:v>3.8610899999999999</c:v>
                </c:pt>
                <c:pt idx="124">
                  <c:v>3.8818599999999996</c:v>
                </c:pt>
                <c:pt idx="125">
                  <c:v>3.90293</c:v>
                </c:pt>
                <c:pt idx="126">
                  <c:v>3.9227099999999999</c:v>
                </c:pt>
                <c:pt idx="127">
                  <c:v>3.9400499999999998</c:v>
                </c:pt>
                <c:pt idx="128">
                  <c:v>3.9561299999999999</c:v>
                </c:pt>
                <c:pt idx="129">
                  <c:v>3.9719500000000001</c:v>
                </c:pt>
                <c:pt idx="130">
                  <c:v>3.9847000000000001</c:v>
                </c:pt>
                <c:pt idx="131">
                  <c:v>3.9967100000000002</c:v>
                </c:pt>
                <c:pt idx="132">
                  <c:v>4.0076499999999999</c:v>
                </c:pt>
                <c:pt idx="133">
                  <c:v>4.0155099999999999</c:v>
                </c:pt>
                <c:pt idx="134">
                  <c:v>4.0189900000000005</c:v>
                </c:pt>
                <c:pt idx="135">
                  <c:v>4.0167599999999997</c:v>
                </c:pt>
                <c:pt idx="136">
                  <c:v>4.0119500000000006</c:v>
                </c:pt>
                <c:pt idx="137">
                  <c:v>4.00908</c:v>
                </c:pt>
                <c:pt idx="138">
                  <c:v>4.0081600000000002</c:v>
                </c:pt>
                <c:pt idx="139">
                  <c:v>4.0106599999999997</c:v>
                </c:pt>
                <c:pt idx="140">
                  <c:v>4.0164400000000002</c:v>
                </c:pt>
                <c:pt idx="141">
                  <c:v>4.0234699999999997</c:v>
                </c:pt>
                <c:pt idx="142">
                  <c:v>4.0329800000000002</c:v>
                </c:pt>
                <c:pt idx="143">
                  <c:v>4.0504699999999998</c:v>
                </c:pt>
                <c:pt idx="144">
                  <c:v>4.0759600000000002</c:v>
                </c:pt>
                <c:pt idx="145">
                  <c:v>4.1123399999999997</c:v>
                </c:pt>
                <c:pt idx="146">
                  <c:v>4.1610700000000005</c:v>
                </c:pt>
                <c:pt idx="147">
                  <c:v>4.2107600000000005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0.40393000000000001</c:v>
                </c:pt>
                <c:pt idx="2">
                  <c:v>0.81403899999999996</c:v>
                </c:pt>
                <c:pt idx="3">
                  <c:v>1.2237899999999999</c:v>
                </c:pt>
                <c:pt idx="4">
                  <c:v>1.6277600000000001</c:v>
                </c:pt>
                <c:pt idx="5">
                  <c:v>2.0376300000000001</c:v>
                </c:pt>
                <c:pt idx="6">
                  <c:v>2.4394800000000001</c:v>
                </c:pt>
                <c:pt idx="7">
                  <c:v>2.8456199999999998</c:v>
                </c:pt>
                <c:pt idx="8">
                  <c:v>3.2513399999999999</c:v>
                </c:pt>
                <c:pt idx="9">
                  <c:v>3.6602399999999999</c:v>
                </c:pt>
                <c:pt idx="10">
                  <c:v>4.0671799999999996</c:v>
                </c:pt>
                <c:pt idx="11">
                  <c:v>4.4681800000000003</c:v>
                </c:pt>
                <c:pt idx="12">
                  <c:v>4.8795200000000003</c:v>
                </c:pt>
                <c:pt idx="13">
                  <c:v>5.2810699999999997</c:v>
                </c:pt>
                <c:pt idx="14">
                  <c:v>5.6879600000000003</c:v>
                </c:pt>
                <c:pt idx="15">
                  <c:v>6.0921000000000003</c:v>
                </c:pt>
                <c:pt idx="16">
                  <c:v>6.5016499999999997</c:v>
                </c:pt>
                <c:pt idx="17">
                  <c:v>6.9055299999999997</c:v>
                </c:pt>
                <c:pt idx="18">
                  <c:v>7.3135599999999998</c:v>
                </c:pt>
                <c:pt idx="19">
                  <c:v>7.7215400000000001</c:v>
                </c:pt>
                <c:pt idx="20">
                  <c:v>8.1265699999999992</c:v>
                </c:pt>
                <c:pt idx="21">
                  <c:v>8.5342800000000008</c:v>
                </c:pt>
                <c:pt idx="22">
                  <c:v>8.9393200000000004</c:v>
                </c:pt>
                <c:pt idx="23">
                  <c:v>9.3471399999999996</c:v>
                </c:pt>
                <c:pt idx="24">
                  <c:v>9.7783800000000003</c:v>
                </c:pt>
                <c:pt idx="25">
                  <c:v>10.1539</c:v>
                </c:pt>
                <c:pt idx="26">
                  <c:v>10.56</c:v>
                </c:pt>
                <c:pt idx="27">
                  <c:v>10.970800000000001</c:v>
                </c:pt>
                <c:pt idx="28">
                  <c:v>11.375</c:v>
                </c:pt>
                <c:pt idx="29">
                  <c:v>11.7806</c:v>
                </c:pt>
                <c:pt idx="30">
                  <c:v>12.187799999999999</c:v>
                </c:pt>
                <c:pt idx="31">
                  <c:v>12.5947</c:v>
                </c:pt>
                <c:pt idx="32">
                  <c:v>12.9984</c:v>
                </c:pt>
                <c:pt idx="33">
                  <c:v>13.405200000000001</c:v>
                </c:pt>
                <c:pt idx="34">
                  <c:v>13.812099999999999</c:v>
                </c:pt>
                <c:pt idx="35">
                  <c:v>14.223100000000001</c:v>
                </c:pt>
                <c:pt idx="36">
                  <c:v>14.626099999999999</c:v>
                </c:pt>
                <c:pt idx="37">
                  <c:v>15.034599999999999</c:v>
                </c:pt>
                <c:pt idx="38">
                  <c:v>15.4491</c:v>
                </c:pt>
                <c:pt idx="39">
                  <c:v>15.848699999999999</c:v>
                </c:pt>
                <c:pt idx="40">
                  <c:v>16.2544</c:v>
                </c:pt>
                <c:pt idx="41">
                  <c:v>16.656500000000001</c:v>
                </c:pt>
                <c:pt idx="42">
                  <c:v>17.060500000000001</c:v>
                </c:pt>
                <c:pt idx="43">
                  <c:v>17.4695</c:v>
                </c:pt>
                <c:pt idx="44">
                  <c:v>17.8735</c:v>
                </c:pt>
                <c:pt idx="45">
                  <c:v>18.281099999999999</c:v>
                </c:pt>
                <c:pt idx="46">
                  <c:v>18.687000000000001</c:v>
                </c:pt>
                <c:pt idx="47">
                  <c:v>19.093</c:v>
                </c:pt>
                <c:pt idx="48">
                  <c:v>19.497900000000001</c:v>
                </c:pt>
                <c:pt idx="49">
                  <c:v>19.904900000000001</c:v>
                </c:pt>
                <c:pt idx="50">
                  <c:v>20.309799999999999</c:v>
                </c:pt>
                <c:pt idx="51">
                  <c:v>20.719899999999999</c:v>
                </c:pt>
                <c:pt idx="52">
                  <c:v>21.125800000000002</c:v>
                </c:pt>
                <c:pt idx="53">
                  <c:v>21.532599999999999</c:v>
                </c:pt>
                <c:pt idx="54">
                  <c:v>21.938400000000001</c:v>
                </c:pt>
                <c:pt idx="55">
                  <c:v>22.3416</c:v>
                </c:pt>
                <c:pt idx="56">
                  <c:v>22.747199999999999</c:v>
                </c:pt>
                <c:pt idx="57">
                  <c:v>23.1553</c:v>
                </c:pt>
                <c:pt idx="58">
                  <c:v>23.561199999999999</c:v>
                </c:pt>
                <c:pt idx="59">
                  <c:v>23.968</c:v>
                </c:pt>
                <c:pt idx="60">
                  <c:v>24.375800000000002</c:v>
                </c:pt>
                <c:pt idx="61">
                  <c:v>24.787800000000001</c:v>
                </c:pt>
                <c:pt idx="62">
                  <c:v>25.1907</c:v>
                </c:pt>
                <c:pt idx="63">
                  <c:v>25.5959</c:v>
                </c:pt>
                <c:pt idx="64">
                  <c:v>25.999700000000001</c:v>
                </c:pt>
                <c:pt idx="65">
                  <c:v>26.407699999999998</c:v>
                </c:pt>
                <c:pt idx="66">
                  <c:v>26.8125</c:v>
                </c:pt>
                <c:pt idx="67">
                  <c:v>27.218399999999999</c:v>
                </c:pt>
                <c:pt idx="68">
                  <c:v>27.623100000000001</c:v>
                </c:pt>
                <c:pt idx="69">
                  <c:v>28.038</c:v>
                </c:pt>
                <c:pt idx="70">
                  <c:v>28.444199999999999</c:v>
                </c:pt>
                <c:pt idx="71">
                  <c:v>28.852</c:v>
                </c:pt>
                <c:pt idx="72">
                  <c:v>29.255800000000001</c:v>
                </c:pt>
                <c:pt idx="73">
                  <c:v>29.662099999999999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2.9014099999999998</c:v>
                </c:pt>
                <c:pt idx="1">
                  <c:v>3.0009799999999998</c:v>
                </c:pt>
                <c:pt idx="2">
                  <c:v>3.0935099999999998</c:v>
                </c:pt>
                <c:pt idx="3">
                  <c:v>3.18025</c:v>
                </c:pt>
                <c:pt idx="4">
                  <c:v>3.2611499999999998</c:v>
                </c:pt>
                <c:pt idx="5">
                  <c:v>3.3388</c:v>
                </c:pt>
                <c:pt idx="6">
                  <c:v>3.41303</c:v>
                </c:pt>
                <c:pt idx="7">
                  <c:v>3.4840999999999998</c:v>
                </c:pt>
                <c:pt idx="8">
                  <c:v>3.5511300000000001</c:v>
                </c:pt>
                <c:pt idx="9">
                  <c:v>3.6154299999999999</c:v>
                </c:pt>
                <c:pt idx="10">
                  <c:v>3.6783999999999999</c:v>
                </c:pt>
                <c:pt idx="11">
                  <c:v>3.73977</c:v>
                </c:pt>
                <c:pt idx="12">
                  <c:v>3.7920500000000001</c:v>
                </c:pt>
                <c:pt idx="13">
                  <c:v>3.8379699999999999</c:v>
                </c:pt>
                <c:pt idx="14">
                  <c:v>3.8780900000000003</c:v>
                </c:pt>
                <c:pt idx="15">
                  <c:v>3.9123099999999997</c:v>
                </c:pt>
                <c:pt idx="16">
                  <c:v>3.94062</c:v>
                </c:pt>
                <c:pt idx="17">
                  <c:v>3.9658700000000002</c:v>
                </c:pt>
                <c:pt idx="18">
                  <c:v>3.9859200000000001</c:v>
                </c:pt>
                <c:pt idx="19">
                  <c:v>4.0006599999999999</c:v>
                </c:pt>
                <c:pt idx="20">
                  <c:v>4.0104800000000003</c:v>
                </c:pt>
                <c:pt idx="21">
                  <c:v>4.0176800000000004</c:v>
                </c:pt>
                <c:pt idx="22">
                  <c:v>4.0210800000000004</c:v>
                </c:pt>
                <c:pt idx="23">
                  <c:v>4.0213900000000002</c:v>
                </c:pt>
                <c:pt idx="24">
                  <c:v>4.0183799999999996</c:v>
                </c:pt>
                <c:pt idx="25">
                  <c:v>4.01112</c:v>
                </c:pt>
                <c:pt idx="26">
                  <c:v>3.9988800000000002</c:v>
                </c:pt>
                <c:pt idx="27">
                  <c:v>3.9852300000000001</c:v>
                </c:pt>
                <c:pt idx="28">
                  <c:v>3.9712499999999999</c:v>
                </c:pt>
                <c:pt idx="29">
                  <c:v>3.9565200000000003</c:v>
                </c:pt>
                <c:pt idx="30">
                  <c:v>3.9404400000000002</c:v>
                </c:pt>
                <c:pt idx="31">
                  <c:v>3.92252</c:v>
                </c:pt>
                <c:pt idx="32">
                  <c:v>3.9033199999999999</c:v>
                </c:pt>
                <c:pt idx="33">
                  <c:v>3.8832299999999997</c:v>
                </c:pt>
                <c:pt idx="34">
                  <c:v>3.8608199999999999</c:v>
                </c:pt>
                <c:pt idx="35">
                  <c:v>3.8344299999999998</c:v>
                </c:pt>
                <c:pt idx="36">
                  <c:v>3.8048100000000002</c:v>
                </c:pt>
                <c:pt idx="37">
                  <c:v>3.7802699999999998</c:v>
                </c:pt>
                <c:pt idx="38">
                  <c:v>3.7586999999999997</c:v>
                </c:pt>
                <c:pt idx="39">
                  <c:v>3.73935</c:v>
                </c:pt>
                <c:pt idx="40">
                  <c:v>3.72424</c:v>
                </c:pt>
                <c:pt idx="41">
                  <c:v>3.7113</c:v>
                </c:pt>
                <c:pt idx="42">
                  <c:v>3.6961699999999995</c:v>
                </c:pt>
                <c:pt idx="43">
                  <c:v>3.68309</c:v>
                </c:pt>
                <c:pt idx="44">
                  <c:v>3.6734599999999999</c:v>
                </c:pt>
                <c:pt idx="45">
                  <c:v>3.6685099999999999</c:v>
                </c:pt>
                <c:pt idx="46">
                  <c:v>3.6634100000000003</c:v>
                </c:pt>
                <c:pt idx="47">
                  <c:v>3.6568399999999999</c:v>
                </c:pt>
                <c:pt idx="48">
                  <c:v>3.6474200000000003</c:v>
                </c:pt>
                <c:pt idx="49">
                  <c:v>3.6352000000000002</c:v>
                </c:pt>
                <c:pt idx="50">
                  <c:v>3.6310900000000004</c:v>
                </c:pt>
                <c:pt idx="51">
                  <c:v>3.6130100000000001</c:v>
                </c:pt>
                <c:pt idx="52">
                  <c:v>3.5988700000000002</c:v>
                </c:pt>
                <c:pt idx="53">
                  <c:v>3.58317</c:v>
                </c:pt>
                <c:pt idx="54">
                  <c:v>3.5679600000000002</c:v>
                </c:pt>
                <c:pt idx="55">
                  <c:v>3.5505500000000003</c:v>
                </c:pt>
                <c:pt idx="56">
                  <c:v>3.5307200000000001</c:v>
                </c:pt>
                <c:pt idx="57">
                  <c:v>3.5082000000000004</c:v>
                </c:pt>
                <c:pt idx="58">
                  <c:v>3.4845999999999999</c:v>
                </c:pt>
                <c:pt idx="59">
                  <c:v>3.4602399999999998</c:v>
                </c:pt>
                <c:pt idx="60">
                  <c:v>3.4346999999999999</c:v>
                </c:pt>
                <c:pt idx="61">
                  <c:v>3.4057199999999996</c:v>
                </c:pt>
                <c:pt idx="62">
                  <c:v>3.3754099999999996</c:v>
                </c:pt>
                <c:pt idx="63">
                  <c:v>3.3440700000000003</c:v>
                </c:pt>
                <c:pt idx="64">
                  <c:v>3.3120500000000002</c:v>
                </c:pt>
                <c:pt idx="65">
                  <c:v>3.2780999999999998</c:v>
                </c:pt>
                <c:pt idx="66">
                  <c:v>3.2465300000000004</c:v>
                </c:pt>
                <c:pt idx="67">
                  <c:v>3.2173699999999998</c:v>
                </c:pt>
                <c:pt idx="68">
                  <c:v>3.1905099999999997</c:v>
                </c:pt>
                <c:pt idx="69">
                  <c:v>3.1663799999999998</c:v>
                </c:pt>
                <c:pt idx="70">
                  <c:v>3.1407600000000002</c:v>
                </c:pt>
                <c:pt idx="71">
                  <c:v>3.1153199999999996</c:v>
                </c:pt>
                <c:pt idx="72">
                  <c:v>3.0933100000000002</c:v>
                </c:pt>
                <c:pt idx="73">
                  <c:v>3.0730300000000002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29.662099999999999</c:v>
                </c:pt>
                <c:pt idx="1">
                  <c:v>30.36</c:v>
                </c:pt>
                <c:pt idx="2">
                  <c:v>30.702000000000002</c:v>
                </c:pt>
                <c:pt idx="3">
                  <c:v>31.064</c:v>
                </c:pt>
                <c:pt idx="4">
                  <c:v>31.439</c:v>
                </c:pt>
                <c:pt idx="5">
                  <c:v>31.815000000000001</c:v>
                </c:pt>
                <c:pt idx="6">
                  <c:v>32.2029</c:v>
                </c:pt>
                <c:pt idx="7">
                  <c:v>32.622900000000001</c:v>
                </c:pt>
                <c:pt idx="8">
                  <c:v>33.014400000000002</c:v>
                </c:pt>
                <c:pt idx="9">
                  <c:v>33.423999999999999</c:v>
                </c:pt>
                <c:pt idx="10">
                  <c:v>33.831200000000003</c:v>
                </c:pt>
                <c:pt idx="11">
                  <c:v>34.233199999999997</c:v>
                </c:pt>
                <c:pt idx="12">
                  <c:v>34.6432</c:v>
                </c:pt>
                <c:pt idx="13">
                  <c:v>35.0501</c:v>
                </c:pt>
                <c:pt idx="14">
                  <c:v>35.453000000000003</c:v>
                </c:pt>
                <c:pt idx="15">
                  <c:v>35.8628</c:v>
                </c:pt>
                <c:pt idx="16">
                  <c:v>36.266100000000002</c:v>
                </c:pt>
                <c:pt idx="17">
                  <c:v>36.695999999999998</c:v>
                </c:pt>
                <c:pt idx="18">
                  <c:v>37.078600000000002</c:v>
                </c:pt>
                <c:pt idx="19">
                  <c:v>37.4895</c:v>
                </c:pt>
                <c:pt idx="20">
                  <c:v>37.893300000000004</c:v>
                </c:pt>
                <c:pt idx="21">
                  <c:v>38.298299999999998</c:v>
                </c:pt>
                <c:pt idx="22">
                  <c:v>38.704300000000003</c:v>
                </c:pt>
                <c:pt idx="23">
                  <c:v>39.118299999999998</c:v>
                </c:pt>
                <c:pt idx="24">
                  <c:v>39.514099999999999</c:v>
                </c:pt>
                <c:pt idx="25">
                  <c:v>39.9253</c:v>
                </c:pt>
                <c:pt idx="26">
                  <c:v>40.332799999999999</c:v>
                </c:pt>
                <c:pt idx="27">
                  <c:v>40.738</c:v>
                </c:pt>
                <c:pt idx="28">
                  <c:v>41.165199999999999</c:v>
                </c:pt>
                <c:pt idx="29">
                  <c:v>41.560699999999997</c:v>
                </c:pt>
                <c:pt idx="30">
                  <c:v>41.971600000000002</c:v>
                </c:pt>
                <c:pt idx="31">
                  <c:v>42.367400000000004</c:v>
                </c:pt>
                <c:pt idx="32">
                  <c:v>42.768500000000003</c:v>
                </c:pt>
                <c:pt idx="33">
                  <c:v>43.171300000000002</c:v>
                </c:pt>
                <c:pt idx="34">
                  <c:v>43.577199999999998</c:v>
                </c:pt>
                <c:pt idx="35">
                  <c:v>43.9833</c:v>
                </c:pt>
                <c:pt idx="36">
                  <c:v>44.393000000000001</c:v>
                </c:pt>
                <c:pt idx="37">
                  <c:v>44.797899999999998</c:v>
                </c:pt>
                <c:pt idx="38">
                  <c:v>45.203899999999997</c:v>
                </c:pt>
                <c:pt idx="39">
                  <c:v>45.6068</c:v>
                </c:pt>
                <c:pt idx="40">
                  <c:v>46.017299999999999</c:v>
                </c:pt>
                <c:pt idx="41">
                  <c:v>46.422600000000003</c:v>
                </c:pt>
                <c:pt idx="42">
                  <c:v>46.828699999999998</c:v>
                </c:pt>
                <c:pt idx="43">
                  <c:v>47.236499999999999</c:v>
                </c:pt>
                <c:pt idx="44">
                  <c:v>47.6404</c:v>
                </c:pt>
                <c:pt idx="45">
                  <c:v>48.049399999999999</c:v>
                </c:pt>
                <c:pt idx="46">
                  <c:v>48.453200000000002</c:v>
                </c:pt>
                <c:pt idx="47">
                  <c:v>48.857100000000003</c:v>
                </c:pt>
                <c:pt idx="48">
                  <c:v>49.263100000000001</c:v>
                </c:pt>
                <c:pt idx="49">
                  <c:v>49.673999999999999</c:v>
                </c:pt>
                <c:pt idx="50">
                  <c:v>50.076900000000002</c:v>
                </c:pt>
                <c:pt idx="51">
                  <c:v>50.484699999999997</c:v>
                </c:pt>
                <c:pt idx="52">
                  <c:v>50.892499999999998</c:v>
                </c:pt>
                <c:pt idx="53">
                  <c:v>51.294699999999999</c:v>
                </c:pt>
                <c:pt idx="54">
                  <c:v>51.704599999999999</c:v>
                </c:pt>
                <c:pt idx="55">
                  <c:v>52.116500000000002</c:v>
                </c:pt>
                <c:pt idx="56">
                  <c:v>52.517499999999998</c:v>
                </c:pt>
                <c:pt idx="57">
                  <c:v>52.921300000000002</c:v>
                </c:pt>
                <c:pt idx="58">
                  <c:v>53.332099999999997</c:v>
                </c:pt>
                <c:pt idx="59">
                  <c:v>53.735100000000003</c:v>
                </c:pt>
                <c:pt idx="60">
                  <c:v>54.142600000000002</c:v>
                </c:pt>
                <c:pt idx="61">
                  <c:v>54.551000000000002</c:v>
                </c:pt>
                <c:pt idx="62">
                  <c:v>54.967199999999998</c:v>
                </c:pt>
                <c:pt idx="63">
                  <c:v>55.361699999999999</c:v>
                </c:pt>
                <c:pt idx="64">
                  <c:v>55.7667</c:v>
                </c:pt>
                <c:pt idx="65">
                  <c:v>56.174900000000001</c:v>
                </c:pt>
                <c:pt idx="66">
                  <c:v>56.578400000000002</c:v>
                </c:pt>
                <c:pt idx="67">
                  <c:v>56.985399999999998</c:v>
                </c:pt>
                <c:pt idx="68">
                  <c:v>57.396299999999997</c:v>
                </c:pt>
                <c:pt idx="69">
                  <c:v>57.795200000000001</c:v>
                </c:pt>
                <c:pt idx="70">
                  <c:v>58.204300000000003</c:v>
                </c:pt>
                <c:pt idx="71">
                  <c:v>58.607100000000003</c:v>
                </c:pt>
                <c:pt idx="72">
                  <c:v>59.014000000000003</c:v>
                </c:pt>
                <c:pt idx="73">
                  <c:v>59.425199999999997</c:v>
                </c:pt>
                <c:pt idx="74">
                  <c:v>59.830800000000004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3.0730300000000002</c:v>
                </c:pt>
                <c:pt idx="1">
                  <c:v>3.0432900000000003</c:v>
                </c:pt>
                <c:pt idx="2">
                  <c:v>3.0262000000000002</c:v>
                </c:pt>
                <c:pt idx="3">
                  <c:v>3.00929</c:v>
                </c:pt>
                <c:pt idx="4">
                  <c:v>2.99308</c:v>
                </c:pt>
                <c:pt idx="5">
                  <c:v>2.9783300000000001</c:v>
                </c:pt>
                <c:pt idx="6">
                  <c:v>2.9635899999999999</c:v>
                </c:pt>
                <c:pt idx="7">
                  <c:v>2.95269</c:v>
                </c:pt>
                <c:pt idx="8">
                  <c:v>2.9475800000000003</c:v>
                </c:pt>
                <c:pt idx="9">
                  <c:v>2.9445100000000002</c:v>
                </c:pt>
                <c:pt idx="10">
                  <c:v>2.9411199999999997</c:v>
                </c:pt>
                <c:pt idx="11">
                  <c:v>2.9358899999999997</c:v>
                </c:pt>
                <c:pt idx="12">
                  <c:v>2.9304599999999996</c:v>
                </c:pt>
                <c:pt idx="13">
                  <c:v>2.9286499999999998</c:v>
                </c:pt>
                <c:pt idx="14">
                  <c:v>2.9262999999999999</c:v>
                </c:pt>
                <c:pt idx="15">
                  <c:v>2.9258899999999999</c:v>
                </c:pt>
                <c:pt idx="16">
                  <c:v>2.9272</c:v>
                </c:pt>
                <c:pt idx="17">
                  <c:v>2.9268300000000003</c:v>
                </c:pt>
                <c:pt idx="18">
                  <c:v>2.9286600000000003</c:v>
                </c:pt>
                <c:pt idx="19">
                  <c:v>2.9326000000000003</c:v>
                </c:pt>
                <c:pt idx="20">
                  <c:v>2.9384900000000003</c:v>
                </c:pt>
                <c:pt idx="21">
                  <c:v>2.9447200000000002</c:v>
                </c:pt>
                <c:pt idx="22">
                  <c:v>2.9520999999999997</c:v>
                </c:pt>
                <c:pt idx="23">
                  <c:v>2.9616799999999999</c:v>
                </c:pt>
                <c:pt idx="24">
                  <c:v>2.9745500000000002</c:v>
                </c:pt>
                <c:pt idx="25">
                  <c:v>2.9891399999999999</c:v>
                </c:pt>
                <c:pt idx="26">
                  <c:v>3.0048399999999997</c:v>
                </c:pt>
                <c:pt idx="27">
                  <c:v>3.0219299999999998</c:v>
                </c:pt>
                <c:pt idx="28">
                  <c:v>3.04413</c:v>
                </c:pt>
                <c:pt idx="29">
                  <c:v>3.07301</c:v>
                </c:pt>
                <c:pt idx="30">
                  <c:v>3.1040700000000001</c:v>
                </c:pt>
                <c:pt idx="31">
                  <c:v>3.1373199999999999</c:v>
                </c:pt>
                <c:pt idx="32">
                  <c:v>3.1747199999999998</c:v>
                </c:pt>
                <c:pt idx="33">
                  <c:v>3.2121899999999997</c:v>
                </c:pt>
                <c:pt idx="34">
                  <c:v>3.2499499999999997</c:v>
                </c:pt>
                <c:pt idx="35">
                  <c:v>3.2913900000000003</c:v>
                </c:pt>
                <c:pt idx="36">
                  <c:v>3.3384399999999999</c:v>
                </c:pt>
                <c:pt idx="37">
                  <c:v>3.3905099999999999</c:v>
                </c:pt>
                <c:pt idx="38">
                  <c:v>3.4419899999999997</c:v>
                </c:pt>
                <c:pt idx="39">
                  <c:v>3.48922</c:v>
                </c:pt>
                <c:pt idx="40">
                  <c:v>3.5323199999999999</c:v>
                </c:pt>
                <c:pt idx="41">
                  <c:v>3.5719499999999997</c:v>
                </c:pt>
                <c:pt idx="42">
                  <c:v>3.6093999999999999</c:v>
                </c:pt>
                <c:pt idx="43">
                  <c:v>3.64506</c:v>
                </c:pt>
                <c:pt idx="44">
                  <c:v>3.6785800000000002</c:v>
                </c:pt>
                <c:pt idx="45">
                  <c:v>3.70919</c:v>
                </c:pt>
                <c:pt idx="46">
                  <c:v>3.7386799999999996</c:v>
                </c:pt>
                <c:pt idx="47">
                  <c:v>3.7683899999999997</c:v>
                </c:pt>
                <c:pt idx="48">
                  <c:v>3.7995299999999999</c:v>
                </c:pt>
                <c:pt idx="49">
                  <c:v>3.8331200000000001</c:v>
                </c:pt>
                <c:pt idx="50">
                  <c:v>3.8610899999999999</c:v>
                </c:pt>
                <c:pt idx="51">
                  <c:v>3.8818599999999996</c:v>
                </c:pt>
                <c:pt idx="52">
                  <c:v>3.90293</c:v>
                </c:pt>
                <c:pt idx="53">
                  <c:v>3.9227099999999999</c:v>
                </c:pt>
                <c:pt idx="54">
                  <c:v>3.9400499999999998</c:v>
                </c:pt>
                <c:pt idx="55">
                  <c:v>3.9561299999999999</c:v>
                </c:pt>
                <c:pt idx="56">
                  <c:v>3.9719500000000001</c:v>
                </c:pt>
                <c:pt idx="57">
                  <c:v>3.9847000000000001</c:v>
                </c:pt>
                <c:pt idx="58">
                  <c:v>3.9967100000000002</c:v>
                </c:pt>
                <c:pt idx="59">
                  <c:v>4.0076499999999999</c:v>
                </c:pt>
                <c:pt idx="60">
                  <c:v>4.0155099999999999</c:v>
                </c:pt>
                <c:pt idx="61">
                  <c:v>4.0189900000000005</c:v>
                </c:pt>
                <c:pt idx="62">
                  <c:v>4.0167599999999997</c:v>
                </c:pt>
                <c:pt idx="63">
                  <c:v>4.0119500000000006</c:v>
                </c:pt>
                <c:pt idx="64">
                  <c:v>4.00908</c:v>
                </c:pt>
                <c:pt idx="65">
                  <c:v>4.0081600000000002</c:v>
                </c:pt>
                <c:pt idx="66">
                  <c:v>4.0106599999999997</c:v>
                </c:pt>
                <c:pt idx="67">
                  <c:v>4.0164400000000002</c:v>
                </c:pt>
                <c:pt idx="68">
                  <c:v>4.0234699999999997</c:v>
                </c:pt>
                <c:pt idx="69">
                  <c:v>4.0329800000000002</c:v>
                </c:pt>
                <c:pt idx="70">
                  <c:v>4.0504699999999998</c:v>
                </c:pt>
                <c:pt idx="71">
                  <c:v>4.0759600000000002</c:v>
                </c:pt>
                <c:pt idx="72">
                  <c:v>4.1123399999999997</c:v>
                </c:pt>
                <c:pt idx="73">
                  <c:v>4.1610700000000005</c:v>
                </c:pt>
                <c:pt idx="74">
                  <c:v>4.2107600000000005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14.957700000000001</c:v>
                </c:pt>
                <c:pt idx="1">
                  <c:v>44.873100000000001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3.6174683783783794</c:v>
                </c:pt>
                <c:pt idx="1">
                  <c:v>3.4592317567567572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0.40393000000000001</c:v>
                </c:pt>
                <c:pt idx="2">
                  <c:v>0.81403899999999996</c:v>
                </c:pt>
                <c:pt idx="3">
                  <c:v>1.2237899999999999</c:v>
                </c:pt>
                <c:pt idx="4">
                  <c:v>1.6277600000000001</c:v>
                </c:pt>
                <c:pt idx="5">
                  <c:v>2.0376300000000001</c:v>
                </c:pt>
                <c:pt idx="6">
                  <c:v>2.4394800000000001</c:v>
                </c:pt>
                <c:pt idx="7">
                  <c:v>2.8456199999999998</c:v>
                </c:pt>
                <c:pt idx="8">
                  <c:v>3.2513399999999999</c:v>
                </c:pt>
                <c:pt idx="9">
                  <c:v>3.6602399999999999</c:v>
                </c:pt>
                <c:pt idx="10">
                  <c:v>4.0671799999999996</c:v>
                </c:pt>
                <c:pt idx="11">
                  <c:v>4.4681800000000003</c:v>
                </c:pt>
                <c:pt idx="12">
                  <c:v>4.8795200000000003</c:v>
                </c:pt>
                <c:pt idx="13">
                  <c:v>5.2810699999999997</c:v>
                </c:pt>
                <c:pt idx="14">
                  <c:v>5.6879600000000003</c:v>
                </c:pt>
                <c:pt idx="15">
                  <c:v>6.0921000000000003</c:v>
                </c:pt>
                <c:pt idx="16">
                  <c:v>6.5016499999999997</c:v>
                </c:pt>
                <c:pt idx="17">
                  <c:v>6.9055299999999997</c:v>
                </c:pt>
                <c:pt idx="18">
                  <c:v>7.3135599999999998</c:v>
                </c:pt>
                <c:pt idx="19">
                  <c:v>7.7215400000000001</c:v>
                </c:pt>
                <c:pt idx="20">
                  <c:v>8.1265699999999992</c:v>
                </c:pt>
                <c:pt idx="21">
                  <c:v>8.5342800000000008</c:v>
                </c:pt>
                <c:pt idx="22">
                  <c:v>8.9393200000000004</c:v>
                </c:pt>
                <c:pt idx="23">
                  <c:v>9.3471399999999996</c:v>
                </c:pt>
                <c:pt idx="24">
                  <c:v>9.7783800000000003</c:v>
                </c:pt>
                <c:pt idx="25">
                  <c:v>10.1539</c:v>
                </c:pt>
                <c:pt idx="26">
                  <c:v>10.56</c:v>
                </c:pt>
                <c:pt idx="27">
                  <c:v>10.970800000000001</c:v>
                </c:pt>
                <c:pt idx="28">
                  <c:v>11.375</c:v>
                </c:pt>
                <c:pt idx="29">
                  <c:v>11.7806</c:v>
                </c:pt>
                <c:pt idx="30">
                  <c:v>12.187799999999999</c:v>
                </c:pt>
                <c:pt idx="31">
                  <c:v>12.5947</c:v>
                </c:pt>
                <c:pt idx="32">
                  <c:v>12.9984</c:v>
                </c:pt>
                <c:pt idx="33">
                  <c:v>13.405200000000001</c:v>
                </c:pt>
                <c:pt idx="34">
                  <c:v>13.812099999999999</c:v>
                </c:pt>
                <c:pt idx="35">
                  <c:v>14.223100000000001</c:v>
                </c:pt>
                <c:pt idx="36">
                  <c:v>14.626099999999999</c:v>
                </c:pt>
                <c:pt idx="37">
                  <c:v>15.034599999999999</c:v>
                </c:pt>
                <c:pt idx="38">
                  <c:v>15.4491</c:v>
                </c:pt>
                <c:pt idx="39">
                  <c:v>15.848699999999999</c:v>
                </c:pt>
                <c:pt idx="40">
                  <c:v>16.2544</c:v>
                </c:pt>
                <c:pt idx="41">
                  <c:v>16.656500000000001</c:v>
                </c:pt>
                <c:pt idx="42">
                  <c:v>17.060500000000001</c:v>
                </c:pt>
                <c:pt idx="43">
                  <c:v>17.4695</c:v>
                </c:pt>
                <c:pt idx="44">
                  <c:v>17.8735</c:v>
                </c:pt>
                <c:pt idx="45">
                  <c:v>18.281099999999999</c:v>
                </c:pt>
                <c:pt idx="46">
                  <c:v>18.687000000000001</c:v>
                </c:pt>
                <c:pt idx="47">
                  <c:v>19.093</c:v>
                </c:pt>
                <c:pt idx="48">
                  <c:v>19.497900000000001</c:v>
                </c:pt>
                <c:pt idx="49">
                  <c:v>19.904900000000001</c:v>
                </c:pt>
                <c:pt idx="50">
                  <c:v>20.309799999999999</c:v>
                </c:pt>
                <c:pt idx="51">
                  <c:v>20.719899999999999</c:v>
                </c:pt>
                <c:pt idx="52">
                  <c:v>21.125800000000002</c:v>
                </c:pt>
                <c:pt idx="53">
                  <c:v>21.532599999999999</c:v>
                </c:pt>
                <c:pt idx="54">
                  <c:v>21.938400000000001</c:v>
                </c:pt>
                <c:pt idx="55">
                  <c:v>22.3416</c:v>
                </c:pt>
                <c:pt idx="56">
                  <c:v>22.747199999999999</c:v>
                </c:pt>
                <c:pt idx="57">
                  <c:v>23.1553</c:v>
                </c:pt>
                <c:pt idx="58">
                  <c:v>23.561199999999999</c:v>
                </c:pt>
                <c:pt idx="59">
                  <c:v>23.968</c:v>
                </c:pt>
                <c:pt idx="60">
                  <c:v>24.375800000000002</c:v>
                </c:pt>
                <c:pt idx="61">
                  <c:v>24.787800000000001</c:v>
                </c:pt>
                <c:pt idx="62">
                  <c:v>25.1907</c:v>
                </c:pt>
                <c:pt idx="63">
                  <c:v>25.5959</c:v>
                </c:pt>
                <c:pt idx="64">
                  <c:v>25.999700000000001</c:v>
                </c:pt>
                <c:pt idx="65">
                  <c:v>26.407699999999998</c:v>
                </c:pt>
                <c:pt idx="66">
                  <c:v>26.8125</c:v>
                </c:pt>
                <c:pt idx="67">
                  <c:v>27.218399999999999</c:v>
                </c:pt>
                <c:pt idx="68">
                  <c:v>27.623100000000001</c:v>
                </c:pt>
                <c:pt idx="69">
                  <c:v>28.038</c:v>
                </c:pt>
                <c:pt idx="70">
                  <c:v>28.444199999999999</c:v>
                </c:pt>
                <c:pt idx="71">
                  <c:v>28.852</c:v>
                </c:pt>
                <c:pt idx="72">
                  <c:v>29.255800000000001</c:v>
                </c:pt>
                <c:pt idx="73">
                  <c:v>29.662099999999999</c:v>
                </c:pt>
                <c:pt idx="74">
                  <c:v>30.36</c:v>
                </c:pt>
                <c:pt idx="75">
                  <c:v>30.702000000000002</c:v>
                </c:pt>
                <c:pt idx="76">
                  <c:v>31.064</c:v>
                </c:pt>
                <c:pt idx="77">
                  <c:v>31.439</c:v>
                </c:pt>
                <c:pt idx="78">
                  <c:v>31.815000000000001</c:v>
                </c:pt>
                <c:pt idx="79">
                  <c:v>32.2029</c:v>
                </c:pt>
                <c:pt idx="80">
                  <c:v>32.622900000000001</c:v>
                </c:pt>
                <c:pt idx="81">
                  <c:v>33.014400000000002</c:v>
                </c:pt>
                <c:pt idx="82">
                  <c:v>33.423999999999999</c:v>
                </c:pt>
                <c:pt idx="83">
                  <c:v>33.831200000000003</c:v>
                </c:pt>
                <c:pt idx="84">
                  <c:v>34.233199999999997</c:v>
                </c:pt>
                <c:pt idx="85">
                  <c:v>34.6432</c:v>
                </c:pt>
                <c:pt idx="86">
                  <c:v>35.0501</c:v>
                </c:pt>
                <c:pt idx="87">
                  <c:v>35.453000000000003</c:v>
                </c:pt>
                <c:pt idx="88">
                  <c:v>35.8628</c:v>
                </c:pt>
                <c:pt idx="89">
                  <c:v>36.266100000000002</c:v>
                </c:pt>
                <c:pt idx="90">
                  <c:v>36.695999999999998</c:v>
                </c:pt>
                <c:pt idx="91">
                  <c:v>37.078600000000002</c:v>
                </c:pt>
                <c:pt idx="92">
                  <c:v>37.4895</c:v>
                </c:pt>
                <c:pt idx="93">
                  <c:v>37.893300000000004</c:v>
                </c:pt>
                <c:pt idx="94">
                  <c:v>38.298299999999998</c:v>
                </c:pt>
                <c:pt idx="95">
                  <c:v>38.704300000000003</c:v>
                </c:pt>
                <c:pt idx="96">
                  <c:v>39.118299999999998</c:v>
                </c:pt>
                <c:pt idx="97">
                  <c:v>39.514099999999999</c:v>
                </c:pt>
                <c:pt idx="98">
                  <c:v>39.9253</c:v>
                </c:pt>
                <c:pt idx="99">
                  <c:v>40.332799999999999</c:v>
                </c:pt>
                <c:pt idx="100">
                  <c:v>40.738</c:v>
                </c:pt>
                <c:pt idx="101">
                  <c:v>41.165199999999999</c:v>
                </c:pt>
                <c:pt idx="102">
                  <c:v>41.560699999999997</c:v>
                </c:pt>
                <c:pt idx="103">
                  <c:v>41.971600000000002</c:v>
                </c:pt>
                <c:pt idx="104">
                  <c:v>42.367400000000004</c:v>
                </c:pt>
                <c:pt idx="105">
                  <c:v>42.768500000000003</c:v>
                </c:pt>
                <c:pt idx="106">
                  <c:v>43.171300000000002</c:v>
                </c:pt>
                <c:pt idx="107">
                  <c:v>43.577199999999998</c:v>
                </c:pt>
                <c:pt idx="108">
                  <c:v>43.9833</c:v>
                </c:pt>
                <c:pt idx="109">
                  <c:v>44.393000000000001</c:v>
                </c:pt>
                <c:pt idx="110">
                  <c:v>44.797899999999998</c:v>
                </c:pt>
                <c:pt idx="111">
                  <c:v>45.203899999999997</c:v>
                </c:pt>
                <c:pt idx="112">
                  <c:v>45.6068</c:v>
                </c:pt>
                <c:pt idx="113">
                  <c:v>46.017299999999999</c:v>
                </c:pt>
                <c:pt idx="114">
                  <c:v>46.422600000000003</c:v>
                </c:pt>
                <c:pt idx="115">
                  <c:v>46.828699999999998</c:v>
                </c:pt>
                <c:pt idx="116">
                  <c:v>47.236499999999999</c:v>
                </c:pt>
                <c:pt idx="117">
                  <c:v>47.6404</c:v>
                </c:pt>
                <c:pt idx="118">
                  <c:v>48.049399999999999</c:v>
                </c:pt>
                <c:pt idx="119">
                  <c:v>48.453200000000002</c:v>
                </c:pt>
                <c:pt idx="120">
                  <c:v>48.857100000000003</c:v>
                </c:pt>
                <c:pt idx="121">
                  <c:v>49.263100000000001</c:v>
                </c:pt>
                <c:pt idx="122">
                  <c:v>49.673999999999999</c:v>
                </c:pt>
                <c:pt idx="123">
                  <c:v>50.076900000000002</c:v>
                </c:pt>
                <c:pt idx="124">
                  <c:v>50.484699999999997</c:v>
                </c:pt>
                <c:pt idx="125">
                  <c:v>50.892499999999998</c:v>
                </c:pt>
                <c:pt idx="126">
                  <c:v>51.294699999999999</c:v>
                </c:pt>
                <c:pt idx="127">
                  <c:v>51.704599999999999</c:v>
                </c:pt>
                <c:pt idx="128">
                  <c:v>52.116500000000002</c:v>
                </c:pt>
                <c:pt idx="129">
                  <c:v>52.517499999999998</c:v>
                </c:pt>
                <c:pt idx="130">
                  <c:v>52.921300000000002</c:v>
                </c:pt>
                <c:pt idx="131">
                  <c:v>53.332099999999997</c:v>
                </c:pt>
                <c:pt idx="132">
                  <c:v>53.735100000000003</c:v>
                </c:pt>
                <c:pt idx="133">
                  <c:v>54.142600000000002</c:v>
                </c:pt>
                <c:pt idx="134">
                  <c:v>54.551000000000002</c:v>
                </c:pt>
                <c:pt idx="135">
                  <c:v>54.967199999999998</c:v>
                </c:pt>
                <c:pt idx="136">
                  <c:v>55.361699999999999</c:v>
                </c:pt>
                <c:pt idx="137">
                  <c:v>55.7667</c:v>
                </c:pt>
                <c:pt idx="138">
                  <c:v>56.174900000000001</c:v>
                </c:pt>
                <c:pt idx="139">
                  <c:v>56.578400000000002</c:v>
                </c:pt>
                <c:pt idx="140">
                  <c:v>56.985399999999998</c:v>
                </c:pt>
                <c:pt idx="141">
                  <c:v>57.396299999999997</c:v>
                </c:pt>
                <c:pt idx="142">
                  <c:v>57.795200000000001</c:v>
                </c:pt>
                <c:pt idx="143">
                  <c:v>58.204300000000003</c:v>
                </c:pt>
                <c:pt idx="144">
                  <c:v>58.607100000000003</c:v>
                </c:pt>
                <c:pt idx="145">
                  <c:v>59.014000000000003</c:v>
                </c:pt>
                <c:pt idx="146">
                  <c:v>59.425199999999997</c:v>
                </c:pt>
                <c:pt idx="147">
                  <c:v>59.830800000000004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51.738500000000002</c:v>
                </c:pt>
                <c:pt idx="1">
                  <c:v>50.499700000000004</c:v>
                </c:pt>
                <c:pt idx="2">
                  <c:v>49.641999999999996</c:v>
                </c:pt>
                <c:pt idx="3">
                  <c:v>49.1355</c:v>
                </c:pt>
                <c:pt idx="4">
                  <c:v>48.961799999999997</c:v>
                </c:pt>
                <c:pt idx="5">
                  <c:v>48.908000000000001</c:v>
                </c:pt>
                <c:pt idx="6">
                  <c:v>48.894100000000002</c:v>
                </c:pt>
                <c:pt idx="7">
                  <c:v>48.919000000000004</c:v>
                </c:pt>
                <c:pt idx="8">
                  <c:v>49.070599999999999</c:v>
                </c:pt>
                <c:pt idx="9">
                  <c:v>49.197499999999998</c:v>
                </c:pt>
                <c:pt idx="10">
                  <c:v>49.2483</c:v>
                </c:pt>
                <c:pt idx="11">
                  <c:v>49.295999999999999</c:v>
                </c:pt>
                <c:pt idx="12">
                  <c:v>49.517099999999999</c:v>
                </c:pt>
                <c:pt idx="13">
                  <c:v>49.895699999999998</c:v>
                </c:pt>
                <c:pt idx="14">
                  <c:v>50.278100000000002</c:v>
                </c:pt>
                <c:pt idx="15">
                  <c:v>50.633200000000002</c:v>
                </c:pt>
                <c:pt idx="16">
                  <c:v>50.922900000000006</c:v>
                </c:pt>
                <c:pt idx="17">
                  <c:v>51.149799999999999</c:v>
                </c:pt>
                <c:pt idx="18">
                  <c:v>51.334500000000006</c:v>
                </c:pt>
                <c:pt idx="19">
                  <c:v>51.439800000000005</c:v>
                </c:pt>
                <c:pt idx="20">
                  <c:v>51.450700000000005</c:v>
                </c:pt>
                <c:pt idx="21">
                  <c:v>51.369100000000003</c:v>
                </c:pt>
                <c:pt idx="22">
                  <c:v>51.229800000000004</c:v>
                </c:pt>
                <c:pt idx="23">
                  <c:v>51.005800000000001</c:v>
                </c:pt>
                <c:pt idx="24">
                  <c:v>50.729700000000001</c:v>
                </c:pt>
                <c:pt idx="25">
                  <c:v>50.4649</c:v>
                </c:pt>
                <c:pt idx="26">
                  <c:v>50.230799999999995</c:v>
                </c:pt>
                <c:pt idx="27">
                  <c:v>50.003900000000002</c:v>
                </c:pt>
                <c:pt idx="28">
                  <c:v>49.811499999999995</c:v>
                </c:pt>
                <c:pt idx="29">
                  <c:v>49.590400000000002</c:v>
                </c:pt>
                <c:pt idx="30">
                  <c:v>49.416399999999996</c:v>
                </c:pt>
                <c:pt idx="31">
                  <c:v>49.333199999999998</c:v>
                </c:pt>
                <c:pt idx="32">
                  <c:v>49.336999999999996</c:v>
                </c:pt>
                <c:pt idx="33">
                  <c:v>49.43</c:v>
                </c:pt>
                <c:pt idx="34">
                  <c:v>49.585599999999999</c:v>
                </c:pt>
                <c:pt idx="35">
                  <c:v>49.836999999999996</c:v>
                </c:pt>
                <c:pt idx="36">
                  <c:v>50.199199999999998</c:v>
                </c:pt>
                <c:pt idx="37">
                  <c:v>50.445099999999996</c:v>
                </c:pt>
                <c:pt idx="38">
                  <c:v>50.501300000000008</c:v>
                </c:pt>
                <c:pt idx="39">
                  <c:v>50.509499999999996</c:v>
                </c:pt>
                <c:pt idx="40">
                  <c:v>50.455300000000001</c:v>
                </c:pt>
                <c:pt idx="41">
                  <c:v>50.366</c:v>
                </c:pt>
                <c:pt idx="42">
                  <c:v>50.263800000000003</c:v>
                </c:pt>
                <c:pt idx="43">
                  <c:v>50.141500000000008</c:v>
                </c:pt>
                <c:pt idx="44">
                  <c:v>49.981299999999997</c:v>
                </c:pt>
                <c:pt idx="45">
                  <c:v>49.804299999999998</c:v>
                </c:pt>
                <c:pt idx="46">
                  <c:v>49.640099999999997</c:v>
                </c:pt>
                <c:pt idx="47">
                  <c:v>49.407600000000002</c:v>
                </c:pt>
                <c:pt idx="48">
                  <c:v>49.174800000000005</c:v>
                </c:pt>
                <c:pt idx="49">
                  <c:v>48.979900000000001</c:v>
                </c:pt>
                <c:pt idx="50">
                  <c:v>48.898899999999998</c:v>
                </c:pt>
                <c:pt idx="51">
                  <c:v>48.623100000000001</c:v>
                </c:pt>
                <c:pt idx="52">
                  <c:v>48.407400000000003</c:v>
                </c:pt>
                <c:pt idx="53">
                  <c:v>48.191499999999998</c:v>
                </c:pt>
                <c:pt idx="54">
                  <c:v>48.008099999999999</c:v>
                </c:pt>
                <c:pt idx="55">
                  <c:v>47.8613</c:v>
                </c:pt>
                <c:pt idx="56">
                  <c:v>47.732400000000005</c:v>
                </c:pt>
                <c:pt idx="57">
                  <c:v>47.619</c:v>
                </c:pt>
                <c:pt idx="58">
                  <c:v>47.471299999999999</c:v>
                </c:pt>
                <c:pt idx="59">
                  <c:v>47.361799999999995</c:v>
                </c:pt>
                <c:pt idx="60">
                  <c:v>47.301700000000004</c:v>
                </c:pt>
                <c:pt idx="61">
                  <c:v>47.2258</c:v>
                </c:pt>
                <c:pt idx="62">
                  <c:v>47.227699999999999</c:v>
                </c:pt>
                <c:pt idx="63">
                  <c:v>47.315400000000004</c:v>
                </c:pt>
                <c:pt idx="64">
                  <c:v>47.426600000000001</c:v>
                </c:pt>
                <c:pt idx="65">
                  <c:v>47.615200000000002</c:v>
                </c:pt>
                <c:pt idx="66">
                  <c:v>47.783099999999997</c:v>
                </c:pt>
                <c:pt idx="67">
                  <c:v>47.919200000000004</c:v>
                </c:pt>
                <c:pt idx="68">
                  <c:v>47.998100000000001</c:v>
                </c:pt>
                <c:pt idx="69">
                  <c:v>48.082099999999997</c:v>
                </c:pt>
                <c:pt idx="70">
                  <c:v>48.228000000000002</c:v>
                </c:pt>
                <c:pt idx="71">
                  <c:v>48.401800000000001</c:v>
                </c:pt>
                <c:pt idx="72">
                  <c:v>48.546399999999998</c:v>
                </c:pt>
                <c:pt idx="73">
                  <c:v>48.731099999999998</c:v>
                </c:pt>
                <c:pt idx="74">
                  <c:v>48.957999999999998</c:v>
                </c:pt>
                <c:pt idx="75">
                  <c:v>49.145600000000002</c:v>
                </c:pt>
                <c:pt idx="76">
                  <c:v>49.232500000000002</c:v>
                </c:pt>
                <c:pt idx="77">
                  <c:v>49.2697</c:v>
                </c:pt>
                <c:pt idx="78">
                  <c:v>49.2654</c:v>
                </c:pt>
                <c:pt idx="79">
                  <c:v>49.2667</c:v>
                </c:pt>
                <c:pt idx="80">
                  <c:v>49.211399999999998</c:v>
                </c:pt>
                <c:pt idx="81">
                  <c:v>49.057499999999997</c:v>
                </c:pt>
                <c:pt idx="82">
                  <c:v>48.866500000000002</c:v>
                </c:pt>
                <c:pt idx="83">
                  <c:v>48.688199999999995</c:v>
                </c:pt>
                <c:pt idx="84">
                  <c:v>48.572400000000002</c:v>
                </c:pt>
                <c:pt idx="85">
                  <c:v>48.415300000000002</c:v>
                </c:pt>
                <c:pt idx="86">
                  <c:v>48.290399999999998</c:v>
                </c:pt>
                <c:pt idx="87">
                  <c:v>48.222999999999999</c:v>
                </c:pt>
                <c:pt idx="88">
                  <c:v>48.070500000000003</c:v>
                </c:pt>
                <c:pt idx="89">
                  <c:v>47.909700000000001</c:v>
                </c:pt>
                <c:pt idx="90">
                  <c:v>47.801500000000004</c:v>
                </c:pt>
                <c:pt idx="91">
                  <c:v>47.733499999999999</c:v>
                </c:pt>
                <c:pt idx="92">
                  <c:v>47.656399999999998</c:v>
                </c:pt>
                <c:pt idx="93">
                  <c:v>47.627600000000001</c:v>
                </c:pt>
                <c:pt idx="94">
                  <c:v>47.6432</c:v>
                </c:pt>
                <c:pt idx="95">
                  <c:v>47.697299999999998</c:v>
                </c:pt>
                <c:pt idx="96">
                  <c:v>47.8127</c:v>
                </c:pt>
                <c:pt idx="97">
                  <c:v>47.939900000000002</c:v>
                </c:pt>
                <c:pt idx="98">
                  <c:v>48.069099999999999</c:v>
                </c:pt>
                <c:pt idx="99">
                  <c:v>48.278500000000001</c:v>
                </c:pt>
                <c:pt idx="100">
                  <c:v>48.4863</c:v>
                </c:pt>
                <c:pt idx="101">
                  <c:v>48.690600000000003</c:v>
                </c:pt>
                <c:pt idx="102">
                  <c:v>48.879600000000003</c:v>
                </c:pt>
                <c:pt idx="103">
                  <c:v>49.0642</c:v>
                </c:pt>
                <c:pt idx="104">
                  <c:v>49.2209</c:v>
                </c:pt>
                <c:pt idx="105">
                  <c:v>49.247700000000002</c:v>
                </c:pt>
                <c:pt idx="106">
                  <c:v>49.359900000000003</c:v>
                </c:pt>
                <c:pt idx="107">
                  <c:v>49.492599999999996</c:v>
                </c:pt>
                <c:pt idx="108">
                  <c:v>49.615299999999998</c:v>
                </c:pt>
                <c:pt idx="109">
                  <c:v>49.7087</c:v>
                </c:pt>
                <c:pt idx="110">
                  <c:v>49.762499999999996</c:v>
                </c:pt>
                <c:pt idx="111">
                  <c:v>49.836999999999996</c:v>
                </c:pt>
                <c:pt idx="112">
                  <c:v>50.069800000000001</c:v>
                </c:pt>
                <c:pt idx="113">
                  <c:v>50.451100000000004</c:v>
                </c:pt>
                <c:pt idx="114">
                  <c:v>50.944199999999995</c:v>
                </c:pt>
                <c:pt idx="115">
                  <c:v>51.514200000000002</c:v>
                </c:pt>
                <c:pt idx="116">
                  <c:v>52.081599999999995</c:v>
                </c:pt>
                <c:pt idx="117">
                  <c:v>52.659299999999995</c:v>
                </c:pt>
                <c:pt idx="118">
                  <c:v>53.209399999999995</c:v>
                </c:pt>
                <c:pt idx="119">
                  <c:v>53.735900000000001</c:v>
                </c:pt>
                <c:pt idx="120">
                  <c:v>54.252800000000001</c:v>
                </c:pt>
                <c:pt idx="121">
                  <c:v>54.712899999999998</c:v>
                </c:pt>
                <c:pt idx="122">
                  <c:v>55.040599999999998</c:v>
                </c:pt>
                <c:pt idx="123">
                  <c:v>55.386299999999999</c:v>
                </c:pt>
                <c:pt idx="124">
                  <c:v>55.812399999999997</c:v>
                </c:pt>
                <c:pt idx="125">
                  <c:v>56.265000000000001</c:v>
                </c:pt>
                <c:pt idx="126">
                  <c:v>56.661300000000004</c:v>
                </c:pt>
                <c:pt idx="127">
                  <c:v>56.958299999999994</c:v>
                </c:pt>
                <c:pt idx="128">
                  <c:v>57.225499999999997</c:v>
                </c:pt>
                <c:pt idx="129">
                  <c:v>57.509399999999999</c:v>
                </c:pt>
                <c:pt idx="130">
                  <c:v>57.761799999999994</c:v>
                </c:pt>
                <c:pt idx="131">
                  <c:v>57.918300000000002</c:v>
                </c:pt>
                <c:pt idx="132">
                  <c:v>58.039300000000004</c:v>
                </c:pt>
                <c:pt idx="133">
                  <c:v>58.069400000000002</c:v>
                </c:pt>
                <c:pt idx="134">
                  <c:v>58.016300000000001</c:v>
                </c:pt>
                <c:pt idx="135">
                  <c:v>57.991999999999997</c:v>
                </c:pt>
                <c:pt idx="136">
                  <c:v>58.016599999999997</c:v>
                </c:pt>
                <c:pt idx="137">
                  <c:v>57.991999999999997</c:v>
                </c:pt>
                <c:pt idx="138">
                  <c:v>57.956799999999994</c:v>
                </c:pt>
                <c:pt idx="139">
                  <c:v>57.863299999999995</c:v>
                </c:pt>
                <c:pt idx="140">
                  <c:v>57.726299999999995</c:v>
                </c:pt>
                <c:pt idx="141">
                  <c:v>57.576899999999995</c:v>
                </c:pt>
                <c:pt idx="142">
                  <c:v>57.391199999999998</c:v>
                </c:pt>
                <c:pt idx="143">
                  <c:v>57.218000000000004</c:v>
                </c:pt>
                <c:pt idx="144">
                  <c:v>57.040900000000008</c:v>
                </c:pt>
                <c:pt idx="145">
                  <c:v>56.8078</c:v>
                </c:pt>
                <c:pt idx="146">
                  <c:v>56.470399999999998</c:v>
                </c:pt>
                <c:pt idx="147">
                  <c:v>56.275600000000004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0.40393000000000001</c:v>
                </c:pt>
                <c:pt idx="2">
                  <c:v>0.81403899999999996</c:v>
                </c:pt>
                <c:pt idx="3">
                  <c:v>1.2237899999999999</c:v>
                </c:pt>
                <c:pt idx="4">
                  <c:v>1.6277600000000001</c:v>
                </c:pt>
                <c:pt idx="5">
                  <c:v>2.0376300000000001</c:v>
                </c:pt>
                <c:pt idx="6">
                  <c:v>2.4394800000000001</c:v>
                </c:pt>
                <c:pt idx="7">
                  <c:v>2.8456199999999998</c:v>
                </c:pt>
                <c:pt idx="8">
                  <c:v>3.2513399999999999</c:v>
                </c:pt>
                <c:pt idx="9">
                  <c:v>3.6602399999999999</c:v>
                </c:pt>
                <c:pt idx="10">
                  <c:v>4.0671799999999996</c:v>
                </c:pt>
                <c:pt idx="11">
                  <c:v>4.4681800000000003</c:v>
                </c:pt>
                <c:pt idx="12">
                  <c:v>4.8795200000000003</c:v>
                </c:pt>
                <c:pt idx="13">
                  <c:v>5.2810699999999997</c:v>
                </c:pt>
                <c:pt idx="14">
                  <c:v>5.6879600000000003</c:v>
                </c:pt>
                <c:pt idx="15">
                  <c:v>6.0921000000000003</c:v>
                </c:pt>
                <c:pt idx="16">
                  <c:v>6.5016499999999997</c:v>
                </c:pt>
                <c:pt idx="17">
                  <c:v>6.9055299999999997</c:v>
                </c:pt>
                <c:pt idx="18">
                  <c:v>7.3135599999999998</c:v>
                </c:pt>
                <c:pt idx="19">
                  <c:v>7.7215400000000001</c:v>
                </c:pt>
                <c:pt idx="20">
                  <c:v>8.1265699999999992</c:v>
                </c:pt>
                <c:pt idx="21">
                  <c:v>8.5342800000000008</c:v>
                </c:pt>
                <c:pt idx="22">
                  <c:v>8.9393200000000004</c:v>
                </c:pt>
                <c:pt idx="23">
                  <c:v>9.3471399999999996</c:v>
                </c:pt>
                <c:pt idx="24">
                  <c:v>9.7783800000000003</c:v>
                </c:pt>
                <c:pt idx="25">
                  <c:v>10.1539</c:v>
                </c:pt>
                <c:pt idx="26">
                  <c:v>10.56</c:v>
                </c:pt>
                <c:pt idx="27">
                  <c:v>10.970800000000001</c:v>
                </c:pt>
                <c:pt idx="28">
                  <c:v>11.375</c:v>
                </c:pt>
                <c:pt idx="29">
                  <c:v>11.7806</c:v>
                </c:pt>
                <c:pt idx="30">
                  <c:v>12.187799999999999</c:v>
                </c:pt>
                <c:pt idx="31">
                  <c:v>12.5947</c:v>
                </c:pt>
                <c:pt idx="32">
                  <c:v>12.9984</c:v>
                </c:pt>
                <c:pt idx="33">
                  <c:v>13.405200000000001</c:v>
                </c:pt>
                <c:pt idx="34">
                  <c:v>13.812099999999999</c:v>
                </c:pt>
                <c:pt idx="35">
                  <c:v>14.223100000000001</c:v>
                </c:pt>
                <c:pt idx="36">
                  <c:v>14.626099999999999</c:v>
                </c:pt>
                <c:pt idx="37">
                  <c:v>15.034599999999999</c:v>
                </c:pt>
                <c:pt idx="38">
                  <c:v>15.4491</c:v>
                </c:pt>
                <c:pt idx="39">
                  <c:v>15.848699999999999</c:v>
                </c:pt>
                <c:pt idx="40">
                  <c:v>16.2544</c:v>
                </c:pt>
                <c:pt idx="41">
                  <c:v>16.656500000000001</c:v>
                </c:pt>
                <c:pt idx="42">
                  <c:v>17.060500000000001</c:v>
                </c:pt>
                <c:pt idx="43">
                  <c:v>17.4695</c:v>
                </c:pt>
                <c:pt idx="44">
                  <c:v>17.8735</c:v>
                </c:pt>
                <c:pt idx="45">
                  <c:v>18.281099999999999</c:v>
                </c:pt>
                <c:pt idx="46">
                  <c:v>18.687000000000001</c:v>
                </c:pt>
                <c:pt idx="47">
                  <c:v>19.093</c:v>
                </c:pt>
                <c:pt idx="48">
                  <c:v>19.497900000000001</c:v>
                </c:pt>
                <c:pt idx="49">
                  <c:v>19.904900000000001</c:v>
                </c:pt>
                <c:pt idx="50">
                  <c:v>20.309799999999999</c:v>
                </c:pt>
                <c:pt idx="51">
                  <c:v>20.719899999999999</c:v>
                </c:pt>
                <c:pt idx="52">
                  <c:v>21.125800000000002</c:v>
                </c:pt>
                <c:pt idx="53">
                  <c:v>21.532599999999999</c:v>
                </c:pt>
                <c:pt idx="54">
                  <c:v>21.938400000000001</c:v>
                </c:pt>
                <c:pt idx="55">
                  <c:v>22.3416</c:v>
                </c:pt>
                <c:pt idx="56">
                  <c:v>22.747199999999999</c:v>
                </c:pt>
                <c:pt idx="57">
                  <c:v>23.1553</c:v>
                </c:pt>
                <c:pt idx="58">
                  <c:v>23.561199999999999</c:v>
                </c:pt>
                <c:pt idx="59">
                  <c:v>23.968</c:v>
                </c:pt>
                <c:pt idx="60">
                  <c:v>24.375800000000002</c:v>
                </c:pt>
                <c:pt idx="61">
                  <c:v>24.787800000000001</c:v>
                </c:pt>
                <c:pt idx="62">
                  <c:v>25.1907</c:v>
                </c:pt>
                <c:pt idx="63">
                  <c:v>25.5959</c:v>
                </c:pt>
                <c:pt idx="64">
                  <c:v>25.999700000000001</c:v>
                </c:pt>
                <c:pt idx="65">
                  <c:v>26.407699999999998</c:v>
                </c:pt>
                <c:pt idx="66">
                  <c:v>26.8125</c:v>
                </c:pt>
                <c:pt idx="67">
                  <c:v>27.218399999999999</c:v>
                </c:pt>
                <c:pt idx="68">
                  <c:v>27.623100000000001</c:v>
                </c:pt>
                <c:pt idx="69">
                  <c:v>28.038</c:v>
                </c:pt>
                <c:pt idx="70">
                  <c:v>28.444199999999999</c:v>
                </c:pt>
                <c:pt idx="71">
                  <c:v>28.852</c:v>
                </c:pt>
                <c:pt idx="72">
                  <c:v>29.255800000000001</c:v>
                </c:pt>
                <c:pt idx="73">
                  <c:v>29.662099999999999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51.738500000000002</c:v>
                </c:pt>
                <c:pt idx="1">
                  <c:v>50.499700000000004</c:v>
                </c:pt>
                <c:pt idx="2">
                  <c:v>49.641999999999996</c:v>
                </c:pt>
                <c:pt idx="3">
                  <c:v>49.1355</c:v>
                </c:pt>
                <c:pt idx="4">
                  <c:v>48.961799999999997</c:v>
                </c:pt>
                <c:pt idx="5">
                  <c:v>48.908000000000001</c:v>
                </c:pt>
                <c:pt idx="6">
                  <c:v>48.894100000000002</c:v>
                </c:pt>
                <c:pt idx="7">
                  <c:v>48.919000000000004</c:v>
                </c:pt>
                <c:pt idx="8">
                  <c:v>49.070599999999999</c:v>
                </c:pt>
                <c:pt idx="9">
                  <c:v>49.197499999999998</c:v>
                </c:pt>
                <c:pt idx="10">
                  <c:v>49.2483</c:v>
                </c:pt>
                <c:pt idx="11">
                  <c:v>49.295999999999999</c:v>
                </c:pt>
                <c:pt idx="12">
                  <c:v>49.517099999999999</c:v>
                </c:pt>
                <c:pt idx="13">
                  <c:v>49.895699999999998</c:v>
                </c:pt>
                <c:pt idx="14">
                  <c:v>50.278100000000002</c:v>
                </c:pt>
                <c:pt idx="15">
                  <c:v>50.633200000000002</c:v>
                </c:pt>
                <c:pt idx="16">
                  <c:v>50.922900000000006</c:v>
                </c:pt>
                <c:pt idx="17">
                  <c:v>51.149799999999999</c:v>
                </c:pt>
                <c:pt idx="18">
                  <c:v>51.334500000000006</c:v>
                </c:pt>
                <c:pt idx="19">
                  <c:v>51.439800000000005</c:v>
                </c:pt>
                <c:pt idx="20">
                  <c:v>51.450700000000005</c:v>
                </c:pt>
                <c:pt idx="21">
                  <c:v>51.369100000000003</c:v>
                </c:pt>
                <c:pt idx="22">
                  <c:v>51.229800000000004</c:v>
                </c:pt>
                <c:pt idx="23">
                  <c:v>51.005800000000001</c:v>
                </c:pt>
                <c:pt idx="24">
                  <c:v>50.729700000000001</c:v>
                </c:pt>
                <c:pt idx="25">
                  <c:v>50.4649</c:v>
                </c:pt>
                <c:pt idx="26">
                  <c:v>50.230799999999995</c:v>
                </c:pt>
                <c:pt idx="27">
                  <c:v>50.003900000000002</c:v>
                </c:pt>
                <c:pt idx="28">
                  <c:v>49.811499999999995</c:v>
                </c:pt>
                <c:pt idx="29">
                  <c:v>49.590400000000002</c:v>
                </c:pt>
                <c:pt idx="30">
                  <c:v>49.416399999999996</c:v>
                </c:pt>
                <c:pt idx="31">
                  <c:v>49.333199999999998</c:v>
                </c:pt>
                <c:pt idx="32">
                  <c:v>49.336999999999996</c:v>
                </c:pt>
                <c:pt idx="33">
                  <c:v>49.43</c:v>
                </c:pt>
                <c:pt idx="34">
                  <c:v>49.585599999999999</c:v>
                </c:pt>
                <c:pt idx="35">
                  <c:v>49.836999999999996</c:v>
                </c:pt>
                <c:pt idx="36">
                  <c:v>50.199199999999998</c:v>
                </c:pt>
                <c:pt idx="37">
                  <c:v>50.445099999999996</c:v>
                </c:pt>
                <c:pt idx="38">
                  <c:v>50.501300000000008</c:v>
                </c:pt>
                <c:pt idx="39">
                  <c:v>50.509499999999996</c:v>
                </c:pt>
                <c:pt idx="40">
                  <c:v>50.455300000000001</c:v>
                </c:pt>
                <c:pt idx="41">
                  <c:v>50.366</c:v>
                </c:pt>
                <c:pt idx="42">
                  <c:v>50.263800000000003</c:v>
                </c:pt>
                <c:pt idx="43">
                  <c:v>50.141500000000008</c:v>
                </c:pt>
                <c:pt idx="44">
                  <c:v>49.981299999999997</c:v>
                </c:pt>
                <c:pt idx="45">
                  <c:v>49.804299999999998</c:v>
                </c:pt>
                <c:pt idx="46">
                  <c:v>49.640099999999997</c:v>
                </c:pt>
                <c:pt idx="47">
                  <c:v>49.407600000000002</c:v>
                </c:pt>
                <c:pt idx="48">
                  <c:v>49.174800000000005</c:v>
                </c:pt>
                <c:pt idx="49">
                  <c:v>48.979900000000001</c:v>
                </c:pt>
                <c:pt idx="50">
                  <c:v>48.898899999999998</c:v>
                </c:pt>
                <c:pt idx="51">
                  <c:v>48.623100000000001</c:v>
                </c:pt>
                <c:pt idx="52">
                  <c:v>48.407400000000003</c:v>
                </c:pt>
                <c:pt idx="53">
                  <c:v>48.191499999999998</c:v>
                </c:pt>
                <c:pt idx="54">
                  <c:v>48.008099999999999</c:v>
                </c:pt>
                <c:pt idx="55">
                  <c:v>47.8613</c:v>
                </c:pt>
                <c:pt idx="56">
                  <c:v>47.732400000000005</c:v>
                </c:pt>
                <c:pt idx="57">
                  <c:v>47.619</c:v>
                </c:pt>
                <c:pt idx="58">
                  <c:v>47.471299999999999</c:v>
                </c:pt>
                <c:pt idx="59">
                  <c:v>47.361799999999995</c:v>
                </c:pt>
                <c:pt idx="60">
                  <c:v>47.301700000000004</c:v>
                </c:pt>
                <c:pt idx="61">
                  <c:v>47.2258</c:v>
                </c:pt>
                <c:pt idx="62">
                  <c:v>47.227699999999999</c:v>
                </c:pt>
                <c:pt idx="63">
                  <c:v>47.315400000000004</c:v>
                </c:pt>
                <c:pt idx="64">
                  <c:v>47.426600000000001</c:v>
                </c:pt>
                <c:pt idx="65">
                  <c:v>47.615200000000002</c:v>
                </c:pt>
                <c:pt idx="66">
                  <c:v>47.783099999999997</c:v>
                </c:pt>
                <c:pt idx="67">
                  <c:v>47.919200000000004</c:v>
                </c:pt>
                <c:pt idx="68">
                  <c:v>47.998100000000001</c:v>
                </c:pt>
                <c:pt idx="69">
                  <c:v>48.082099999999997</c:v>
                </c:pt>
                <c:pt idx="70">
                  <c:v>48.228000000000002</c:v>
                </c:pt>
                <c:pt idx="71">
                  <c:v>48.401800000000001</c:v>
                </c:pt>
                <c:pt idx="72">
                  <c:v>48.546399999999998</c:v>
                </c:pt>
                <c:pt idx="73">
                  <c:v>48.731099999999998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29.662099999999999</c:v>
                </c:pt>
                <c:pt idx="1">
                  <c:v>30.36</c:v>
                </c:pt>
                <c:pt idx="2">
                  <c:v>30.702000000000002</c:v>
                </c:pt>
                <c:pt idx="3">
                  <c:v>31.064</c:v>
                </c:pt>
                <c:pt idx="4">
                  <c:v>31.439</c:v>
                </c:pt>
                <c:pt idx="5">
                  <c:v>31.815000000000001</c:v>
                </c:pt>
                <c:pt idx="6">
                  <c:v>32.2029</c:v>
                </c:pt>
                <c:pt idx="7">
                  <c:v>32.622900000000001</c:v>
                </c:pt>
                <c:pt idx="8">
                  <c:v>33.014400000000002</c:v>
                </c:pt>
                <c:pt idx="9">
                  <c:v>33.423999999999999</c:v>
                </c:pt>
                <c:pt idx="10">
                  <c:v>33.831200000000003</c:v>
                </c:pt>
                <c:pt idx="11">
                  <c:v>34.233199999999997</c:v>
                </c:pt>
                <c:pt idx="12">
                  <c:v>34.6432</c:v>
                </c:pt>
                <c:pt idx="13">
                  <c:v>35.0501</c:v>
                </c:pt>
                <c:pt idx="14">
                  <c:v>35.453000000000003</c:v>
                </c:pt>
                <c:pt idx="15">
                  <c:v>35.8628</c:v>
                </c:pt>
                <c:pt idx="16">
                  <c:v>36.266100000000002</c:v>
                </c:pt>
                <c:pt idx="17">
                  <c:v>36.695999999999998</c:v>
                </c:pt>
                <c:pt idx="18">
                  <c:v>37.078600000000002</c:v>
                </c:pt>
                <c:pt idx="19">
                  <c:v>37.4895</c:v>
                </c:pt>
                <c:pt idx="20">
                  <c:v>37.893300000000004</c:v>
                </c:pt>
                <c:pt idx="21">
                  <c:v>38.298299999999998</c:v>
                </c:pt>
                <c:pt idx="22">
                  <c:v>38.704300000000003</c:v>
                </c:pt>
                <c:pt idx="23">
                  <c:v>39.118299999999998</c:v>
                </c:pt>
                <c:pt idx="24">
                  <c:v>39.514099999999999</c:v>
                </c:pt>
                <c:pt idx="25">
                  <c:v>39.9253</c:v>
                </c:pt>
                <c:pt idx="26">
                  <c:v>40.332799999999999</c:v>
                </c:pt>
                <c:pt idx="27">
                  <c:v>40.738</c:v>
                </c:pt>
                <c:pt idx="28">
                  <c:v>41.165199999999999</c:v>
                </c:pt>
                <c:pt idx="29">
                  <c:v>41.560699999999997</c:v>
                </c:pt>
                <c:pt idx="30">
                  <c:v>41.971600000000002</c:v>
                </c:pt>
                <c:pt idx="31">
                  <c:v>42.367400000000004</c:v>
                </c:pt>
                <c:pt idx="32">
                  <c:v>42.768500000000003</c:v>
                </c:pt>
                <c:pt idx="33">
                  <c:v>43.171300000000002</c:v>
                </c:pt>
                <c:pt idx="34">
                  <c:v>43.577199999999998</c:v>
                </c:pt>
                <c:pt idx="35">
                  <c:v>43.9833</c:v>
                </c:pt>
                <c:pt idx="36">
                  <c:v>44.393000000000001</c:v>
                </c:pt>
                <c:pt idx="37">
                  <c:v>44.797899999999998</c:v>
                </c:pt>
                <c:pt idx="38">
                  <c:v>45.203899999999997</c:v>
                </c:pt>
                <c:pt idx="39">
                  <c:v>45.6068</c:v>
                </c:pt>
                <c:pt idx="40">
                  <c:v>46.017299999999999</c:v>
                </c:pt>
                <c:pt idx="41">
                  <c:v>46.422600000000003</c:v>
                </c:pt>
                <c:pt idx="42">
                  <c:v>46.828699999999998</c:v>
                </c:pt>
                <c:pt idx="43">
                  <c:v>47.236499999999999</c:v>
                </c:pt>
                <c:pt idx="44">
                  <c:v>47.6404</c:v>
                </c:pt>
                <c:pt idx="45">
                  <c:v>48.049399999999999</c:v>
                </c:pt>
                <c:pt idx="46">
                  <c:v>48.453200000000002</c:v>
                </c:pt>
                <c:pt idx="47">
                  <c:v>48.857100000000003</c:v>
                </c:pt>
                <c:pt idx="48">
                  <c:v>49.263100000000001</c:v>
                </c:pt>
                <c:pt idx="49">
                  <c:v>49.673999999999999</c:v>
                </c:pt>
                <c:pt idx="50">
                  <c:v>50.076900000000002</c:v>
                </c:pt>
                <c:pt idx="51">
                  <c:v>50.484699999999997</c:v>
                </c:pt>
                <c:pt idx="52">
                  <c:v>50.892499999999998</c:v>
                </c:pt>
                <c:pt idx="53">
                  <c:v>51.294699999999999</c:v>
                </c:pt>
                <c:pt idx="54">
                  <c:v>51.704599999999999</c:v>
                </c:pt>
                <c:pt idx="55">
                  <c:v>52.116500000000002</c:v>
                </c:pt>
                <c:pt idx="56">
                  <c:v>52.517499999999998</c:v>
                </c:pt>
                <c:pt idx="57">
                  <c:v>52.921300000000002</c:v>
                </c:pt>
                <c:pt idx="58">
                  <c:v>53.332099999999997</c:v>
                </c:pt>
                <c:pt idx="59">
                  <c:v>53.735100000000003</c:v>
                </c:pt>
                <c:pt idx="60">
                  <c:v>54.142600000000002</c:v>
                </c:pt>
                <c:pt idx="61">
                  <c:v>54.551000000000002</c:v>
                </c:pt>
                <c:pt idx="62">
                  <c:v>54.967199999999998</c:v>
                </c:pt>
                <c:pt idx="63">
                  <c:v>55.361699999999999</c:v>
                </c:pt>
                <c:pt idx="64">
                  <c:v>55.7667</c:v>
                </c:pt>
                <c:pt idx="65">
                  <c:v>56.174900000000001</c:v>
                </c:pt>
                <c:pt idx="66">
                  <c:v>56.578400000000002</c:v>
                </c:pt>
                <c:pt idx="67">
                  <c:v>56.985399999999998</c:v>
                </c:pt>
                <c:pt idx="68">
                  <c:v>57.396299999999997</c:v>
                </c:pt>
                <c:pt idx="69">
                  <c:v>57.795200000000001</c:v>
                </c:pt>
                <c:pt idx="70">
                  <c:v>58.204300000000003</c:v>
                </c:pt>
                <c:pt idx="71">
                  <c:v>58.607100000000003</c:v>
                </c:pt>
                <c:pt idx="72">
                  <c:v>59.014000000000003</c:v>
                </c:pt>
                <c:pt idx="73">
                  <c:v>59.425199999999997</c:v>
                </c:pt>
                <c:pt idx="74">
                  <c:v>59.830800000000004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48.731099999999998</c:v>
                </c:pt>
                <c:pt idx="1">
                  <c:v>48.957999999999998</c:v>
                </c:pt>
                <c:pt idx="2">
                  <c:v>49.145600000000002</c:v>
                </c:pt>
                <c:pt idx="3">
                  <c:v>49.232500000000002</c:v>
                </c:pt>
                <c:pt idx="4">
                  <c:v>49.2697</c:v>
                </c:pt>
                <c:pt idx="5">
                  <c:v>49.2654</c:v>
                </c:pt>
                <c:pt idx="6">
                  <c:v>49.2667</c:v>
                </c:pt>
                <c:pt idx="7">
                  <c:v>49.211399999999998</c:v>
                </c:pt>
                <c:pt idx="8">
                  <c:v>49.057499999999997</c:v>
                </c:pt>
                <c:pt idx="9">
                  <c:v>48.866500000000002</c:v>
                </c:pt>
                <c:pt idx="10">
                  <c:v>48.688199999999995</c:v>
                </c:pt>
                <c:pt idx="11">
                  <c:v>48.572400000000002</c:v>
                </c:pt>
                <c:pt idx="12">
                  <c:v>48.415300000000002</c:v>
                </c:pt>
                <c:pt idx="13">
                  <c:v>48.290399999999998</c:v>
                </c:pt>
                <c:pt idx="14">
                  <c:v>48.222999999999999</c:v>
                </c:pt>
                <c:pt idx="15">
                  <c:v>48.070500000000003</c:v>
                </c:pt>
                <c:pt idx="16">
                  <c:v>47.909700000000001</c:v>
                </c:pt>
                <c:pt idx="17">
                  <c:v>47.801500000000004</c:v>
                </c:pt>
                <c:pt idx="18">
                  <c:v>47.733499999999999</c:v>
                </c:pt>
                <c:pt idx="19">
                  <c:v>47.656399999999998</c:v>
                </c:pt>
                <c:pt idx="20">
                  <c:v>47.627600000000001</c:v>
                </c:pt>
                <c:pt idx="21">
                  <c:v>47.6432</c:v>
                </c:pt>
                <c:pt idx="22">
                  <c:v>47.697299999999998</c:v>
                </c:pt>
                <c:pt idx="23">
                  <c:v>47.8127</c:v>
                </c:pt>
                <c:pt idx="24">
                  <c:v>47.939900000000002</c:v>
                </c:pt>
                <c:pt idx="25">
                  <c:v>48.069099999999999</c:v>
                </c:pt>
                <c:pt idx="26">
                  <c:v>48.278500000000001</c:v>
                </c:pt>
                <c:pt idx="27">
                  <c:v>48.4863</c:v>
                </c:pt>
                <c:pt idx="28">
                  <c:v>48.690600000000003</c:v>
                </c:pt>
                <c:pt idx="29">
                  <c:v>48.879600000000003</c:v>
                </c:pt>
                <c:pt idx="30">
                  <c:v>49.0642</c:v>
                </c:pt>
                <c:pt idx="31">
                  <c:v>49.2209</c:v>
                </c:pt>
                <c:pt idx="32">
                  <c:v>49.247700000000002</c:v>
                </c:pt>
                <c:pt idx="33">
                  <c:v>49.359900000000003</c:v>
                </c:pt>
                <c:pt idx="34">
                  <c:v>49.492599999999996</c:v>
                </c:pt>
                <c:pt idx="35">
                  <c:v>49.615299999999998</c:v>
                </c:pt>
                <c:pt idx="36">
                  <c:v>49.7087</c:v>
                </c:pt>
                <c:pt idx="37">
                  <c:v>49.762499999999996</c:v>
                </c:pt>
                <c:pt idx="38">
                  <c:v>49.836999999999996</c:v>
                </c:pt>
                <c:pt idx="39">
                  <c:v>50.069800000000001</c:v>
                </c:pt>
                <c:pt idx="40">
                  <c:v>50.451100000000004</c:v>
                </c:pt>
                <c:pt idx="41">
                  <c:v>50.944199999999995</c:v>
                </c:pt>
                <c:pt idx="42">
                  <c:v>51.514200000000002</c:v>
                </c:pt>
                <c:pt idx="43">
                  <c:v>52.081599999999995</c:v>
                </c:pt>
                <c:pt idx="44">
                  <c:v>52.659299999999995</c:v>
                </c:pt>
                <c:pt idx="45">
                  <c:v>53.209399999999995</c:v>
                </c:pt>
                <c:pt idx="46">
                  <c:v>53.735900000000001</c:v>
                </c:pt>
                <c:pt idx="47">
                  <c:v>54.252800000000001</c:v>
                </c:pt>
                <c:pt idx="48">
                  <c:v>54.712899999999998</c:v>
                </c:pt>
                <c:pt idx="49">
                  <c:v>55.040599999999998</c:v>
                </c:pt>
                <c:pt idx="50">
                  <c:v>55.386299999999999</c:v>
                </c:pt>
                <c:pt idx="51">
                  <c:v>55.812399999999997</c:v>
                </c:pt>
                <c:pt idx="52">
                  <c:v>56.265000000000001</c:v>
                </c:pt>
                <c:pt idx="53">
                  <c:v>56.661300000000004</c:v>
                </c:pt>
                <c:pt idx="54">
                  <c:v>56.958299999999994</c:v>
                </c:pt>
                <c:pt idx="55">
                  <c:v>57.225499999999997</c:v>
                </c:pt>
                <c:pt idx="56">
                  <c:v>57.509399999999999</c:v>
                </c:pt>
                <c:pt idx="57">
                  <c:v>57.761799999999994</c:v>
                </c:pt>
                <c:pt idx="58">
                  <c:v>57.918300000000002</c:v>
                </c:pt>
                <c:pt idx="59">
                  <c:v>58.039300000000004</c:v>
                </c:pt>
                <c:pt idx="60">
                  <c:v>58.069400000000002</c:v>
                </c:pt>
                <c:pt idx="61">
                  <c:v>58.016300000000001</c:v>
                </c:pt>
                <c:pt idx="62">
                  <c:v>57.991999999999997</c:v>
                </c:pt>
                <c:pt idx="63">
                  <c:v>58.016599999999997</c:v>
                </c:pt>
                <c:pt idx="64">
                  <c:v>57.991999999999997</c:v>
                </c:pt>
                <c:pt idx="65">
                  <c:v>57.956799999999994</c:v>
                </c:pt>
                <c:pt idx="66">
                  <c:v>57.863299999999995</c:v>
                </c:pt>
                <c:pt idx="67">
                  <c:v>57.726299999999995</c:v>
                </c:pt>
                <c:pt idx="68">
                  <c:v>57.576899999999995</c:v>
                </c:pt>
                <c:pt idx="69">
                  <c:v>57.391199999999998</c:v>
                </c:pt>
                <c:pt idx="70">
                  <c:v>57.218000000000004</c:v>
                </c:pt>
                <c:pt idx="71">
                  <c:v>57.040900000000008</c:v>
                </c:pt>
                <c:pt idx="72">
                  <c:v>56.8078</c:v>
                </c:pt>
                <c:pt idx="73">
                  <c:v>56.470399999999998</c:v>
                </c:pt>
                <c:pt idx="74">
                  <c:v>56.275600000000004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14.957700000000001</c:v>
                </c:pt>
                <c:pt idx="1">
                  <c:v>44.873100000000001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49.342629729729722</c:v>
                </c:pt>
                <c:pt idx="1">
                  <c:v>52.171495945945978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2.9014099999999998</c:v>
                </c:pt>
                <c:pt idx="1">
                  <c:v>3.0009799999999998</c:v>
                </c:pt>
                <c:pt idx="2">
                  <c:v>3.0935099999999998</c:v>
                </c:pt>
                <c:pt idx="3">
                  <c:v>3.18025</c:v>
                </c:pt>
                <c:pt idx="4">
                  <c:v>3.2611499999999998</c:v>
                </c:pt>
                <c:pt idx="5">
                  <c:v>3.3388</c:v>
                </c:pt>
                <c:pt idx="6">
                  <c:v>3.41303</c:v>
                </c:pt>
                <c:pt idx="7">
                  <c:v>3.4840999999999998</c:v>
                </c:pt>
                <c:pt idx="8">
                  <c:v>3.5511300000000001</c:v>
                </c:pt>
                <c:pt idx="9">
                  <c:v>3.6154299999999999</c:v>
                </c:pt>
                <c:pt idx="10">
                  <c:v>3.6783999999999999</c:v>
                </c:pt>
                <c:pt idx="11">
                  <c:v>3.73977</c:v>
                </c:pt>
                <c:pt idx="12">
                  <c:v>3.7920500000000001</c:v>
                </c:pt>
                <c:pt idx="13">
                  <c:v>3.8379699999999999</c:v>
                </c:pt>
                <c:pt idx="14">
                  <c:v>3.8780900000000003</c:v>
                </c:pt>
                <c:pt idx="15">
                  <c:v>3.9123099999999997</c:v>
                </c:pt>
                <c:pt idx="16">
                  <c:v>3.94062</c:v>
                </c:pt>
                <c:pt idx="17">
                  <c:v>3.9658700000000002</c:v>
                </c:pt>
                <c:pt idx="18">
                  <c:v>3.9859200000000001</c:v>
                </c:pt>
                <c:pt idx="19">
                  <c:v>4.0006599999999999</c:v>
                </c:pt>
                <c:pt idx="20">
                  <c:v>4.0104800000000003</c:v>
                </c:pt>
                <c:pt idx="21">
                  <c:v>4.0176800000000004</c:v>
                </c:pt>
                <c:pt idx="22">
                  <c:v>4.0210800000000004</c:v>
                </c:pt>
                <c:pt idx="23">
                  <c:v>4.0213900000000002</c:v>
                </c:pt>
                <c:pt idx="24">
                  <c:v>4.0183799999999996</c:v>
                </c:pt>
                <c:pt idx="25">
                  <c:v>4.01112</c:v>
                </c:pt>
                <c:pt idx="26">
                  <c:v>3.9988800000000002</c:v>
                </c:pt>
                <c:pt idx="27">
                  <c:v>3.9852300000000001</c:v>
                </c:pt>
                <c:pt idx="28">
                  <c:v>3.9712499999999999</c:v>
                </c:pt>
                <c:pt idx="29">
                  <c:v>3.9565200000000003</c:v>
                </c:pt>
                <c:pt idx="30">
                  <c:v>3.9404400000000002</c:v>
                </c:pt>
                <c:pt idx="31">
                  <c:v>3.92252</c:v>
                </c:pt>
                <c:pt idx="32">
                  <c:v>3.9033199999999999</c:v>
                </c:pt>
                <c:pt idx="33">
                  <c:v>3.8832299999999997</c:v>
                </c:pt>
                <c:pt idx="34">
                  <c:v>3.8608199999999999</c:v>
                </c:pt>
                <c:pt idx="35">
                  <c:v>3.8344299999999998</c:v>
                </c:pt>
                <c:pt idx="36">
                  <c:v>3.8048100000000002</c:v>
                </c:pt>
                <c:pt idx="37">
                  <c:v>3.7802699999999998</c:v>
                </c:pt>
                <c:pt idx="38">
                  <c:v>3.7586999999999997</c:v>
                </c:pt>
                <c:pt idx="39">
                  <c:v>3.73935</c:v>
                </c:pt>
                <c:pt idx="40">
                  <c:v>3.72424</c:v>
                </c:pt>
                <c:pt idx="41">
                  <c:v>3.7113</c:v>
                </c:pt>
                <c:pt idx="42">
                  <c:v>3.6961699999999995</c:v>
                </c:pt>
                <c:pt idx="43">
                  <c:v>3.68309</c:v>
                </c:pt>
                <c:pt idx="44">
                  <c:v>3.6734599999999999</c:v>
                </c:pt>
                <c:pt idx="45">
                  <c:v>3.6685099999999999</c:v>
                </c:pt>
                <c:pt idx="46">
                  <c:v>3.6634100000000003</c:v>
                </c:pt>
                <c:pt idx="47">
                  <c:v>3.6568399999999999</c:v>
                </c:pt>
                <c:pt idx="48">
                  <c:v>3.6474200000000003</c:v>
                </c:pt>
                <c:pt idx="49">
                  <c:v>3.6352000000000002</c:v>
                </c:pt>
                <c:pt idx="50">
                  <c:v>3.6310900000000004</c:v>
                </c:pt>
                <c:pt idx="51">
                  <c:v>3.6130100000000001</c:v>
                </c:pt>
                <c:pt idx="52">
                  <c:v>3.5988700000000002</c:v>
                </c:pt>
                <c:pt idx="53">
                  <c:v>3.58317</c:v>
                </c:pt>
                <c:pt idx="54">
                  <c:v>3.5679600000000002</c:v>
                </c:pt>
                <c:pt idx="55">
                  <c:v>3.5505500000000003</c:v>
                </c:pt>
                <c:pt idx="56">
                  <c:v>3.5307200000000001</c:v>
                </c:pt>
                <c:pt idx="57">
                  <c:v>3.5082000000000004</c:v>
                </c:pt>
                <c:pt idx="58">
                  <c:v>3.4845999999999999</c:v>
                </c:pt>
                <c:pt idx="59">
                  <c:v>3.4602399999999998</c:v>
                </c:pt>
                <c:pt idx="60">
                  <c:v>3.4346999999999999</c:v>
                </c:pt>
                <c:pt idx="61">
                  <c:v>3.4057199999999996</c:v>
                </c:pt>
                <c:pt idx="62">
                  <c:v>3.3754099999999996</c:v>
                </c:pt>
                <c:pt idx="63">
                  <c:v>3.3440700000000003</c:v>
                </c:pt>
                <c:pt idx="64">
                  <c:v>3.3120500000000002</c:v>
                </c:pt>
                <c:pt idx="65">
                  <c:v>3.2780999999999998</c:v>
                </c:pt>
                <c:pt idx="66">
                  <c:v>3.2465300000000004</c:v>
                </c:pt>
                <c:pt idx="67">
                  <c:v>3.2173699999999998</c:v>
                </c:pt>
                <c:pt idx="68">
                  <c:v>3.1905099999999997</c:v>
                </c:pt>
                <c:pt idx="69">
                  <c:v>3.1663799999999998</c:v>
                </c:pt>
                <c:pt idx="70">
                  <c:v>3.1407600000000002</c:v>
                </c:pt>
                <c:pt idx="71">
                  <c:v>3.1153199999999996</c:v>
                </c:pt>
                <c:pt idx="72">
                  <c:v>3.0933100000000002</c:v>
                </c:pt>
                <c:pt idx="73">
                  <c:v>3.0730300000000002</c:v>
                </c:pt>
                <c:pt idx="74">
                  <c:v>3.0432900000000003</c:v>
                </c:pt>
                <c:pt idx="75">
                  <c:v>3.0262000000000002</c:v>
                </c:pt>
                <c:pt idx="76">
                  <c:v>3.00929</c:v>
                </c:pt>
                <c:pt idx="77">
                  <c:v>2.99308</c:v>
                </c:pt>
                <c:pt idx="78">
                  <c:v>2.9783300000000001</c:v>
                </c:pt>
                <c:pt idx="79">
                  <c:v>2.9635899999999999</c:v>
                </c:pt>
                <c:pt idx="80">
                  <c:v>2.95269</c:v>
                </c:pt>
                <c:pt idx="81">
                  <c:v>2.9475800000000003</c:v>
                </c:pt>
                <c:pt idx="82">
                  <c:v>2.9445100000000002</c:v>
                </c:pt>
                <c:pt idx="83">
                  <c:v>2.9411199999999997</c:v>
                </c:pt>
                <c:pt idx="84">
                  <c:v>2.9358899999999997</c:v>
                </c:pt>
                <c:pt idx="85">
                  <c:v>2.9304599999999996</c:v>
                </c:pt>
                <c:pt idx="86">
                  <c:v>2.9286499999999998</c:v>
                </c:pt>
                <c:pt idx="87">
                  <c:v>2.9262999999999999</c:v>
                </c:pt>
                <c:pt idx="88">
                  <c:v>2.9258899999999999</c:v>
                </c:pt>
                <c:pt idx="89">
                  <c:v>2.9272</c:v>
                </c:pt>
                <c:pt idx="90">
                  <c:v>2.9268300000000003</c:v>
                </c:pt>
                <c:pt idx="91">
                  <c:v>2.9286600000000003</c:v>
                </c:pt>
                <c:pt idx="92">
                  <c:v>2.9326000000000003</c:v>
                </c:pt>
                <c:pt idx="93">
                  <c:v>2.9384900000000003</c:v>
                </c:pt>
                <c:pt idx="94">
                  <c:v>2.9447200000000002</c:v>
                </c:pt>
                <c:pt idx="95">
                  <c:v>2.9520999999999997</c:v>
                </c:pt>
                <c:pt idx="96">
                  <c:v>2.9616799999999999</c:v>
                </c:pt>
                <c:pt idx="97">
                  <c:v>2.9745500000000002</c:v>
                </c:pt>
                <c:pt idx="98">
                  <c:v>2.9891399999999999</c:v>
                </c:pt>
                <c:pt idx="99">
                  <c:v>3.0048399999999997</c:v>
                </c:pt>
                <c:pt idx="100">
                  <c:v>3.0219299999999998</c:v>
                </c:pt>
                <c:pt idx="101">
                  <c:v>3.04413</c:v>
                </c:pt>
                <c:pt idx="102">
                  <c:v>3.07301</c:v>
                </c:pt>
                <c:pt idx="103">
                  <c:v>3.1040700000000001</c:v>
                </c:pt>
                <c:pt idx="104">
                  <c:v>3.1373199999999999</c:v>
                </c:pt>
                <c:pt idx="105">
                  <c:v>3.1747199999999998</c:v>
                </c:pt>
                <c:pt idx="106">
                  <c:v>3.2121899999999997</c:v>
                </c:pt>
                <c:pt idx="107">
                  <c:v>3.2499499999999997</c:v>
                </c:pt>
                <c:pt idx="108">
                  <c:v>3.2913900000000003</c:v>
                </c:pt>
                <c:pt idx="109">
                  <c:v>3.3384399999999999</c:v>
                </c:pt>
                <c:pt idx="110">
                  <c:v>3.3905099999999999</c:v>
                </c:pt>
                <c:pt idx="111">
                  <c:v>3.4419899999999997</c:v>
                </c:pt>
                <c:pt idx="112">
                  <c:v>3.48922</c:v>
                </c:pt>
                <c:pt idx="113">
                  <c:v>3.5323199999999999</c:v>
                </c:pt>
                <c:pt idx="114">
                  <c:v>3.5719499999999997</c:v>
                </c:pt>
                <c:pt idx="115">
                  <c:v>3.6093999999999999</c:v>
                </c:pt>
                <c:pt idx="116">
                  <c:v>3.64506</c:v>
                </c:pt>
                <c:pt idx="117">
                  <c:v>3.6785800000000002</c:v>
                </c:pt>
                <c:pt idx="118">
                  <c:v>3.70919</c:v>
                </c:pt>
                <c:pt idx="119">
                  <c:v>3.7386799999999996</c:v>
                </c:pt>
                <c:pt idx="120">
                  <c:v>3.7683899999999997</c:v>
                </c:pt>
                <c:pt idx="121">
                  <c:v>3.7995299999999999</c:v>
                </c:pt>
                <c:pt idx="122">
                  <c:v>3.8331200000000001</c:v>
                </c:pt>
                <c:pt idx="123">
                  <c:v>3.8610899999999999</c:v>
                </c:pt>
                <c:pt idx="124">
                  <c:v>3.8818599999999996</c:v>
                </c:pt>
                <c:pt idx="125">
                  <c:v>3.90293</c:v>
                </c:pt>
                <c:pt idx="126">
                  <c:v>3.9227099999999999</c:v>
                </c:pt>
                <c:pt idx="127">
                  <c:v>3.9400499999999998</c:v>
                </c:pt>
                <c:pt idx="128">
                  <c:v>3.9561299999999999</c:v>
                </c:pt>
                <c:pt idx="129">
                  <c:v>3.9719500000000001</c:v>
                </c:pt>
                <c:pt idx="130">
                  <c:v>3.9847000000000001</c:v>
                </c:pt>
                <c:pt idx="131">
                  <c:v>3.9967100000000002</c:v>
                </c:pt>
                <c:pt idx="132">
                  <c:v>4.0076499999999999</c:v>
                </c:pt>
                <c:pt idx="133">
                  <c:v>4.0155099999999999</c:v>
                </c:pt>
                <c:pt idx="134">
                  <c:v>4.0189900000000005</c:v>
                </c:pt>
                <c:pt idx="135">
                  <c:v>4.0167599999999997</c:v>
                </c:pt>
                <c:pt idx="136">
                  <c:v>4.0119500000000006</c:v>
                </c:pt>
                <c:pt idx="137">
                  <c:v>4.00908</c:v>
                </c:pt>
                <c:pt idx="138">
                  <c:v>4.0081600000000002</c:v>
                </c:pt>
                <c:pt idx="139">
                  <c:v>4.0106599999999997</c:v>
                </c:pt>
                <c:pt idx="140">
                  <c:v>4.0164400000000002</c:v>
                </c:pt>
                <c:pt idx="141">
                  <c:v>4.0234699999999997</c:v>
                </c:pt>
                <c:pt idx="142">
                  <c:v>4.0329800000000002</c:v>
                </c:pt>
                <c:pt idx="143">
                  <c:v>4.0504699999999998</c:v>
                </c:pt>
                <c:pt idx="144">
                  <c:v>4.0759600000000002</c:v>
                </c:pt>
                <c:pt idx="145">
                  <c:v>4.1123399999999997</c:v>
                </c:pt>
                <c:pt idx="146">
                  <c:v>4.1610700000000005</c:v>
                </c:pt>
                <c:pt idx="147">
                  <c:v>4.2107600000000005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51.738500000000002</c:v>
                </c:pt>
                <c:pt idx="1">
                  <c:v>50.499700000000004</c:v>
                </c:pt>
                <c:pt idx="2">
                  <c:v>49.641999999999996</c:v>
                </c:pt>
                <c:pt idx="3">
                  <c:v>49.1355</c:v>
                </c:pt>
                <c:pt idx="4">
                  <c:v>48.961799999999997</c:v>
                </c:pt>
                <c:pt idx="5">
                  <c:v>48.908000000000001</c:v>
                </c:pt>
                <c:pt idx="6">
                  <c:v>48.894100000000002</c:v>
                </c:pt>
                <c:pt idx="7">
                  <c:v>48.919000000000004</c:v>
                </c:pt>
                <c:pt idx="8">
                  <c:v>49.070599999999999</c:v>
                </c:pt>
                <c:pt idx="9">
                  <c:v>49.197499999999998</c:v>
                </c:pt>
                <c:pt idx="10">
                  <c:v>49.2483</c:v>
                </c:pt>
                <c:pt idx="11">
                  <c:v>49.295999999999999</c:v>
                </c:pt>
                <c:pt idx="12">
                  <c:v>49.517099999999999</c:v>
                </c:pt>
                <c:pt idx="13">
                  <c:v>49.895699999999998</c:v>
                </c:pt>
                <c:pt idx="14">
                  <c:v>50.278100000000002</c:v>
                </c:pt>
                <c:pt idx="15">
                  <c:v>50.633200000000002</c:v>
                </c:pt>
                <c:pt idx="16">
                  <c:v>50.922900000000006</c:v>
                </c:pt>
                <c:pt idx="17">
                  <c:v>51.149799999999999</c:v>
                </c:pt>
                <c:pt idx="18">
                  <c:v>51.334500000000006</c:v>
                </c:pt>
                <c:pt idx="19">
                  <c:v>51.439800000000005</c:v>
                </c:pt>
                <c:pt idx="20">
                  <c:v>51.450700000000005</c:v>
                </c:pt>
                <c:pt idx="21">
                  <c:v>51.369100000000003</c:v>
                </c:pt>
                <c:pt idx="22">
                  <c:v>51.229800000000004</c:v>
                </c:pt>
                <c:pt idx="23">
                  <c:v>51.005800000000001</c:v>
                </c:pt>
                <c:pt idx="24">
                  <c:v>50.729700000000001</c:v>
                </c:pt>
                <c:pt idx="25">
                  <c:v>50.4649</c:v>
                </c:pt>
                <c:pt idx="26">
                  <c:v>50.230799999999995</c:v>
                </c:pt>
                <c:pt idx="27">
                  <c:v>50.003900000000002</c:v>
                </c:pt>
                <c:pt idx="28">
                  <c:v>49.811499999999995</c:v>
                </c:pt>
                <c:pt idx="29">
                  <c:v>49.590400000000002</c:v>
                </c:pt>
                <c:pt idx="30">
                  <c:v>49.416399999999996</c:v>
                </c:pt>
                <c:pt idx="31">
                  <c:v>49.333199999999998</c:v>
                </c:pt>
                <c:pt idx="32">
                  <c:v>49.336999999999996</c:v>
                </c:pt>
                <c:pt idx="33">
                  <c:v>49.43</c:v>
                </c:pt>
                <c:pt idx="34">
                  <c:v>49.585599999999999</c:v>
                </c:pt>
                <c:pt idx="35">
                  <c:v>49.836999999999996</c:v>
                </c:pt>
                <c:pt idx="36">
                  <c:v>50.199199999999998</c:v>
                </c:pt>
                <c:pt idx="37">
                  <c:v>50.445099999999996</c:v>
                </c:pt>
                <c:pt idx="38">
                  <c:v>50.501300000000008</c:v>
                </c:pt>
                <c:pt idx="39">
                  <c:v>50.509499999999996</c:v>
                </c:pt>
                <c:pt idx="40">
                  <c:v>50.455300000000001</c:v>
                </c:pt>
                <c:pt idx="41">
                  <c:v>50.366</c:v>
                </c:pt>
                <c:pt idx="42">
                  <c:v>50.263800000000003</c:v>
                </c:pt>
                <c:pt idx="43">
                  <c:v>50.141500000000008</c:v>
                </c:pt>
                <c:pt idx="44">
                  <c:v>49.981299999999997</c:v>
                </c:pt>
                <c:pt idx="45">
                  <c:v>49.804299999999998</c:v>
                </c:pt>
                <c:pt idx="46">
                  <c:v>49.640099999999997</c:v>
                </c:pt>
                <c:pt idx="47">
                  <c:v>49.407600000000002</c:v>
                </c:pt>
                <c:pt idx="48">
                  <c:v>49.174800000000005</c:v>
                </c:pt>
                <c:pt idx="49">
                  <c:v>48.979900000000001</c:v>
                </c:pt>
                <c:pt idx="50">
                  <c:v>48.898899999999998</c:v>
                </c:pt>
                <c:pt idx="51">
                  <c:v>48.623100000000001</c:v>
                </c:pt>
                <c:pt idx="52">
                  <c:v>48.407400000000003</c:v>
                </c:pt>
                <c:pt idx="53">
                  <c:v>48.191499999999998</c:v>
                </c:pt>
                <c:pt idx="54">
                  <c:v>48.008099999999999</c:v>
                </c:pt>
                <c:pt idx="55">
                  <c:v>47.8613</c:v>
                </c:pt>
                <c:pt idx="56">
                  <c:v>47.732400000000005</c:v>
                </c:pt>
                <c:pt idx="57">
                  <c:v>47.619</c:v>
                </c:pt>
                <c:pt idx="58">
                  <c:v>47.471299999999999</c:v>
                </c:pt>
                <c:pt idx="59">
                  <c:v>47.361799999999995</c:v>
                </c:pt>
                <c:pt idx="60">
                  <c:v>47.301700000000004</c:v>
                </c:pt>
                <c:pt idx="61">
                  <c:v>47.2258</c:v>
                </c:pt>
                <c:pt idx="62">
                  <c:v>47.227699999999999</c:v>
                </c:pt>
                <c:pt idx="63">
                  <c:v>47.315400000000004</c:v>
                </c:pt>
                <c:pt idx="64">
                  <c:v>47.426600000000001</c:v>
                </c:pt>
                <c:pt idx="65">
                  <c:v>47.615200000000002</c:v>
                </c:pt>
                <c:pt idx="66">
                  <c:v>47.783099999999997</c:v>
                </c:pt>
                <c:pt idx="67">
                  <c:v>47.919200000000004</c:v>
                </c:pt>
                <c:pt idx="68">
                  <c:v>47.998100000000001</c:v>
                </c:pt>
                <c:pt idx="69">
                  <c:v>48.082099999999997</c:v>
                </c:pt>
                <c:pt idx="70">
                  <c:v>48.228000000000002</c:v>
                </c:pt>
                <c:pt idx="71">
                  <c:v>48.401800000000001</c:v>
                </c:pt>
                <c:pt idx="72">
                  <c:v>48.546399999999998</c:v>
                </c:pt>
                <c:pt idx="73">
                  <c:v>48.731099999999998</c:v>
                </c:pt>
                <c:pt idx="74">
                  <c:v>48.957999999999998</c:v>
                </c:pt>
                <c:pt idx="75">
                  <c:v>49.145600000000002</c:v>
                </c:pt>
                <c:pt idx="76">
                  <c:v>49.232500000000002</c:v>
                </c:pt>
                <c:pt idx="77">
                  <c:v>49.2697</c:v>
                </c:pt>
                <c:pt idx="78">
                  <c:v>49.2654</c:v>
                </c:pt>
                <c:pt idx="79">
                  <c:v>49.2667</c:v>
                </c:pt>
                <c:pt idx="80">
                  <c:v>49.211399999999998</c:v>
                </c:pt>
                <c:pt idx="81">
                  <c:v>49.057499999999997</c:v>
                </c:pt>
                <c:pt idx="82">
                  <c:v>48.866500000000002</c:v>
                </c:pt>
                <c:pt idx="83">
                  <c:v>48.688199999999995</c:v>
                </c:pt>
                <c:pt idx="84">
                  <c:v>48.572400000000002</c:v>
                </c:pt>
                <c:pt idx="85">
                  <c:v>48.415300000000002</c:v>
                </c:pt>
                <c:pt idx="86">
                  <c:v>48.290399999999998</c:v>
                </c:pt>
                <c:pt idx="87">
                  <c:v>48.222999999999999</c:v>
                </c:pt>
                <c:pt idx="88">
                  <c:v>48.070500000000003</c:v>
                </c:pt>
                <c:pt idx="89">
                  <c:v>47.909700000000001</c:v>
                </c:pt>
                <c:pt idx="90">
                  <c:v>47.801500000000004</c:v>
                </c:pt>
                <c:pt idx="91">
                  <c:v>47.733499999999999</c:v>
                </c:pt>
                <c:pt idx="92">
                  <c:v>47.656399999999998</c:v>
                </c:pt>
                <c:pt idx="93">
                  <c:v>47.627600000000001</c:v>
                </c:pt>
                <c:pt idx="94">
                  <c:v>47.6432</c:v>
                </c:pt>
                <c:pt idx="95">
                  <c:v>47.697299999999998</c:v>
                </c:pt>
                <c:pt idx="96">
                  <c:v>47.8127</c:v>
                </c:pt>
                <c:pt idx="97">
                  <c:v>47.939900000000002</c:v>
                </c:pt>
                <c:pt idx="98">
                  <c:v>48.069099999999999</c:v>
                </c:pt>
                <c:pt idx="99">
                  <c:v>48.278500000000001</c:v>
                </c:pt>
                <c:pt idx="100">
                  <c:v>48.4863</c:v>
                </c:pt>
                <c:pt idx="101">
                  <c:v>48.690600000000003</c:v>
                </c:pt>
                <c:pt idx="102">
                  <c:v>48.879600000000003</c:v>
                </c:pt>
                <c:pt idx="103">
                  <c:v>49.0642</c:v>
                </c:pt>
                <c:pt idx="104">
                  <c:v>49.2209</c:v>
                </c:pt>
                <c:pt idx="105">
                  <c:v>49.247700000000002</c:v>
                </c:pt>
                <c:pt idx="106">
                  <c:v>49.359900000000003</c:v>
                </c:pt>
                <c:pt idx="107">
                  <c:v>49.492599999999996</c:v>
                </c:pt>
                <c:pt idx="108">
                  <c:v>49.615299999999998</c:v>
                </c:pt>
                <c:pt idx="109">
                  <c:v>49.7087</c:v>
                </c:pt>
                <c:pt idx="110">
                  <c:v>49.762499999999996</c:v>
                </c:pt>
                <c:pt idx="111">
                  <c:v>49.836999999999996</c:v>
                </c:pt>
                <c:pt idx="112">
                  <c:v>50.069800000000001</c:v>
                </c:pt>
                <c:pt idx="113">
                  <c:v>50.451100000000004</c:v>
                </c:pt>
                <c:pt idx="114">
                  <c:v>50.944199999999995</c:v>
                </c:pt>
                <c:pt idx="115">
                  <c:v>51.514200000000002</c:v>
                </c:pt>
                <c:pt idx="116">
                  <c:v>52.081599999999995</c:v>
                </c:pt>
                <c:pt idx="117">
                  <c:v>52.659299999999995</c:v>
                </c:pt>
                <c:pt idx="118">
                  <c:v>53.209399999999995</c:v>
                </c:pt>
                <c:pt idx="119">
                  <c:v>53.735900000000001</c:v>
                </c:pt>
                <c:pt idx="120">
                  <c:v>54.252800000000001</c:v>
                </c:pt>
                <c:pt idx="121">
                  <c:v>54.712899999999998</c:v>
                </c:pt>
                <c:pt idx="122">
                  <c:v>55.040599999999998</c:v>
                </c:pt>
                <c:pt idx="123">
                  <c:v>55.386299999999999</c:v>
                </c:pt>
                <c:pt idx="124">
                  <c:v>55.812399999999997</c:v>
                </c:pt>
                <c:pt idx="125">
                  <c:v>56.265000000000001</c:v>
                </c:pt>
                <c:pt idx="126">
                  <c:v>56.661300000000004</c:v>
                </c:pt>
                <c:pt idx="127">
                  <c:v>56.958299999999994</c:v>
                </c:pt>
                <c:pt idx="128">
                  <c:v>57.225499999999997</c:v>
                </c:pt>
                <c:pt idx="129">
                  <c:v>57.509399999999999</c:v>
                </c:pt>
                <c:pt idx="130">
                  <c:v>57.761799999999994</c:v>
                </c:pt>
                <c:pt idx="131">
                  <c:v>57.918300000000002</c:v>
                </c:pt>
                <c:pt idx="132">
                  <c:v>58.039300000000004</c:v>
                </c:pt>
                <c:pt idx="133">
                  <c:v>58.069400000000002</c:v>
                </c:pt>
                <c:pt idx="134">
                  <c:v>58.016300000000001</c:v>
                </c:pt>
                <c:pt idx="135">
                  <c:v>57.991999999999997</c:v>
                </c:pt>
                <c:pt idx="136">
                  <c:v>58.016599999999997</c:v>
                </c:pt>
                <c:pt idx="137">
                  <c:v>57.991999999999997</c:v>
                </c:pt>
                <c:pt idx="138">
                  <c:v>57.956799999999994</c:v>
                </c:pt>
                <c:pt idx="139">
                  <c:v>57.863299999999995</c:v>
                </c:pt>
                <c:pt idx="140">
                  <c:v>57.726299999999995</c:v>
                </c:pt>
                <c:pt idx="141">
                  <c:v>57.576899999999995</c:v>
                </c:pt>
                <c:pt idx="142">
                  <c:v>57.391199999999998</c:v>
                </c:pt>
                <c:pt idx="143">
                  <c:v>57.218000000000004</c:v>
                </c:pt>
                <c:pt idx="144">
                  <c:v>57.040900000000008</c:v>
                </c:pt>
                <c:pt idx="145">
                  <c:v>56.8078</c:v>
                </c:pt>
                <c:pt idx="146">
                  <c:v>56.470399999999998</c:v>
                </c:pt>
                <c:pt idx="147">
                  <c:v>56.275600000000004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2.9014099999999998</c:v>
                </c:pt>
                <c:pt idx="1">
                  <c:v>3.0009799999999998</c:v>
                </c:pt>
                <c:pt idx="2">
                  <c:v>3.0935099999999998</c:v>
                </c:pt>
                <c:pt idx="3">
                  <c:v>3.18025</c:v>
                </c:pt>
                <c:pt idx="4">
                  <c:v>3.2611499999999998</c:v>
                </c:pt>
                <c:pt idx="5">
                  <c:v>3.3388</c:v>
                </c:pt>
                <c:pt idx="6">
                  <c:v>3.41303</c:v>
                </c:pt>
                <c:pt idx="7">
                  <c:v>3.4840999999999998</c:v>
                </c:pt>
                <c:pt idx="8">
                  <c:v>3.5511300000000001</c:v>
                </c:pt>
                <c:pt idx="9">
                  <c:v>3.6154299999999999</c:v>
                </c:pt>
                <c:pt idx="10">
                  <c:v>3.6783999999999999</c:v>
                </c:pt>
                <c:pt idx="11">
                  <c:v>3.73977</c:v>
                </c:pt>
                <c:pt idx="12">
                  <c:v>3.7920500000000001</c:v>
                </c:pt>
                <c:pt idx="13">
                  <c:v>3.8379699999999999</c:v>
                </c:pt>
                <c:pt idx="14">
                  <c:v>3.8780900000000003</c:v>
                </c:pt>
                <c:pt idx="15">
                  <c:v>3.9123099999999997</c:v>
                </c:pt>
                <c:pt idx="16">
                  <c:v>3.94062</c:v>
                </c:pt>
                <c:pt idx="17">
                  <c:v>3.9658700000000002</c:v>
                </c:pt>
                <c:pt idx="18">
                  <c:v>3.9859200000000001</c:v>
                </c:pt>
                <c:pt idx="19">
                  <c:v>4.0006599999999999</c:v>
                </c:pt>
                <c:pt idx="20">
                  <c:v>4.0104800000000003</c:v>
                </c:pt>
                <c:pt idx="21">
                  <c:v>4.0176800000000004</c:v>
                </c:pt>
                <c:pt idx="22">
                  <c:v>4.0210800000000004</c:v>
                </c:pt>
                <c:pt idx="23">
                  <c:v>4.0213900000000002</c:v>
                </c:pt>
                <c:pt idx="24">
                  <c:v>4.0183799999999996</c:v>
                </c:pt>
                <c:pt idx="25">
                  <c:v>4.01112</c:v>
                </c:pt>
                <c:pt idx="26">
                  <c:v>3.9988800000000002</c:v>
                </c:pt>
                <c:pt idx="27">
                  <c:v>3.9852300000000001</c:v>
                </c:pt>
                <c:pt idx="28">
                  <c:v>3.9712499999999999</c:v>
                </c:pt>
                <c:pt idx="29">
                  <c:v>3.9565200000000003</c:v>
                </c:pt>
                <c:pt idx="30">
                  <c:v>3.9404400000000002</c:v>
                </c:pt>
                <c:pt idx="31">
                  <c:v>3.92252</c:v>
                </c:pt>
                <c:pt idx="32">
                  <c:v>3.9033199999999999</c:v>
                </c:pt>
                <c:pt idx="33">
                  <c:v>3.8832299999999997</c:v>
                </c:pt>
                <c:pt idx="34">
                  <c:v>3.8608199999999999</c:v>
                </c:pt>
                <c:pt idx="35">
                  <c:v>3.8344299999999998</c:v>
                </c:pt>
                <c:pt idx="36">
                  <c:v>3.8048100000000002</c:v>
                </c:pt>
                <c:pt idx="37">
                  <c:v>3.7802699999999998</c:v>
                </c:pt>
                <c:pt idx="38">
                  <c:v>3.7586999999999997</c:v>
                </c:pt>
                <c:pt idx="39">
                  <c:v>3.73935</c:v>
                </c:pt>
                <c:pt idx="40">
                  <c:v>3.72424</c:v>
                </c:pt>
                <c:pt idx="41">
                  <c:v>3.7113</c:v>
                </c:pt>
                <c:pt idx="42">
                  <c:v>3.6961699999999995</c:v>
                </c:pt>
                <c:pt idx="43">
                  <c:v>3.68309</c:v>
                </c:pt>
                <c:pt idx="44">
                  <c:v>3.6734599999999999</c:v>
                </c:pt>
                <c:pt idx="45">
                  <c:v>3.6685099999999999</c:v>
                </c:pt>
                <c:pt idx="46">
                  <c:v>3.6634100000000003</c:v>
                </c:pt>
                <c:pt idx="47">
                  <c:v>3.6568399999999999</c:v>
                </c:pt>
                <c:pt idx="48">
                  <c:v>3.6474200000000003</c:v>
                </c:pt>
                <c:pt idx="49">
                  <c:v>3.6352000000000002</c:v>
                </c:pt>
                <c:pt idx="50">
                  <c:v>3.6310900000000004</c:v>
                </c:pt>
                <c:pt idx="51">
                  <c:v>3.6130100000000001</c:v>
                </c:pt>
                <c:pt idx="52">
                  <c:v>3.5988700000000002</c:v>
                </c:pt>
                <c:pt idx="53">
                  <c:v>3.58317</c:v>
                </c:pt>
                <c:pt idx="54">
                  <c:v>3.5679600000000002</c:v>
                </c:pt>
                <c:pt idx="55">
                  <c:v>3.5505500000000003</c:v>
                </c:pt>
                <c:pt idx="56">
                  <c:v>3.5307200000000001</c:v>
                </c:pt>
                <c:pt idx="57">
                  <c:v>3.5082000000000004</c:v>
                </c:pt>
                <c:pt idx="58">
                  <c:v>3.4845999999999999</c:v>
                </c:pt>
                <c:pt idx="59">
                  <c:v>3.4602399999999998</c:v>
                </c:pt>
                <c:pt idx="60">
                  <c:v>3.4346999999999999</c:v>
                </c:pt>
                <c:pt idx="61">
                  <c:v>3.4057199999999996</c:v>
                </c:pt>
                <c:pt idx="62">
                  <c:v>3.3754099999999996</c:v>
                </c:pt>
                <c:pt idx="63">
                  <c:v>3.3440700000000003</c:v>
                </c:pt>
                <c:pt idx="64">
                  <c:v>3.3120500000000002</c:v>
                </c:pt>
                <c:pt idx="65">
                  <c:v>3.2780999999999998</c:v>
                </c:pt>
                <c:pt idx="66">
                  <c:v>3.2465300000000004</c:v>
                </c:pt>
                <c:pt idx="67">
                  <c:v>3.2173699999999998</c:v>
                </c:pt>
                <c:pt idx="68">
                  <c:v>3.1905099999999997</c:v>
                </c:pt>
                <c:pt idx="69">
                  <c:v>3.1663799999999998</c:v>
                </c:pt>
                <c:pt idx="70">
                  <c:v>3.1407600000000002</c:v>
                </c:pt>
                <c:pt idx="71">
                  <c:v>3.1153199999999996</c:v>
                </c:pt>
                <c:pt idx="72">
                  <c:v>3.0933100000000002</c:v>
                </c:pt>
                <c:pt idx="73">
                  <c:v>3.0730300000000002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51.738500000000002</c:v>
                </c:pt>
                <c:pt idx="1">
                  <c:v>50.499700000000004</c:v>
                </c:pt>
                <c:pt idx="2">
                  <c:v>49.641999999999996</c:v>
                </c:pt>
                <c:pt idx="3">
                  <c:v>49.1355</c:v>
                </c:pt>
                <c:pt idx="4">
                  <c:v>48.961799999999997</c:v>
                </c:pt>
                <c:pt idx="5">
                  <c:v>48.908000000000001</c:v>
                </c:pt>
                <c:pt idx="6">
                  <c:v>48.894100000000002</c:v>
                </c:pt>
                <c:pt idx="7">
                  <c:v>48.919000000000004</c:v>
                </c:pt>
                <c:pt idx="8">
                  <c:v>49.070599999999999</c:v>
                </c:pt>
                <c:pt idx="9">
                  <c:v>49.197499999999998</c:v>
                </c:pt>
                <c:pt idx="10">
                  <c:v>49.2483</c:v>
                </c:pt>
                <c:pt idx="11">
                  <c:v>49.295999999999999</c:v>
                </c:pt>
                <c:pt idx="12">
                  <c:v>49.517099999999999</c:v>
                </c:pt>
                <c:pt idx="13">
                  <c:v>49.895699999999998</c:v>
                </c:pt>
                <c:pt idx="14">
                  <c:v>50.278100000000002</c:v>
                </c:pt>
                <c:pt idx="15">
                  <c:v>50.633200000000002</c:v>
                </c:pt>
                <c:pt idx="16">
                  <c:v>50.922900000000006</c:v>
                </c:pt>
                <c:pt idx="17">
                  <c:v>51.149799999999999</c:v>
                </c:pt>
                <c:pt idx="18">
                  <c:v>51.334500000000006</c:v>
                </c:pt>
                <c:pt idx="19">
                  <c:v>51.439800000000005</c:v>
                </c:pt>
                <c:pt idx="20">
                  <c:v>51.450700000000005</c:v>
                </c:pt>
                <c:pt idx="21">
                  <c:v>51.369100000000003</c:v>
                </c:pt>
                <c:pt idx="22">
                  <c:v>51.229800000000004</c:v>
                </c:pt>
                <c:pt idx="23">
                  <c:v>51.005800000000001</c:v>
                </c:pt>
                <c:pt idx="24">
                  <c:v>50.729700000000001</c:v>
                </c:pt>
                <c:pt idx="25">
                  <c:v>50.4649</c:v>
                </c:pt>
                <c:pt idx="26">
                  <c:v>50.230799999999995</c:v>
                </c:pt>
                <c:pt idx="27">
                  <c:v>50.003900000000002</c:v>
                </c:pt>
                <c:pt idx="28">
                  <c:v>49.811499999999995</c:v>
                </c:pt>
                <c:pt idx="29">
                  <c:v>49.590400000000002</c:v>
                </c:pt>
                <c:pt idx="30">
                  <c:v>49.416399999999996</c:v>
                </c:pt>
                <c:pt idx="31">
                  <c:v>49.333199999999998</c:v>
                </c:pt>
                <c:pt idx="32">
                  <c:v>49.336999999999996</c:v>
                </c:pt>
                <c:pt idx="33">
                  <c:v>49.43</c:v>
                </c:pt>
                <c:pt idx="34">
                  <c:v>49.585599999999999</c:v>
                </c:pt>
                <c:pt idx="35">
                  <c:v>49.836999999999996</c:v>
                </c:pt>
                <c:pt idx="36">
                  <c:v>50.199199999999998</c:v>
                </c:pt>
                <c:pt idx="37">
                  <c:v>50.445099999999996</c:v>
                </c:pt>
                <c:pt idx="38">
                  <c:v>50.501300000000008</c:v>
                </c:pt>
                <c:pt idx="39">
                  <c:v>50.509499999999996</c:v>
                </c:pt>
                <c:pt idx="40">
                  <c:v>50.455300000000001</c:v>
                </c:pt>
                <c:pt idx="41">
                  <c:v>50.366</c:v>
                </c:pt>
                <c:pt idx="42">
                  <c:v>50.263800000000003</c:v>
                </c:pt>
                <c:pt idx="43">
                  <c:v>50.141500000000008</c:v>
                </c:pt>
                <c:pt idx="44">
                  <c:v>49.981299999999997</c:v>
                </c:pt>
                <c:pt idx="45">
                  <c:v>49.804299999999998</c:v>
                </c:pt>
                <c:pt idx="46">
                  <c:v>49.640099999999997</c:v>
                </c:pt>
                <c:pt idx="47">
                  <c:v>49.407600000000002</c:v>
                </c:pt>
                <c:pt idx="48">
                  <c:v>49.174800000000005</c:v>
                </c:pt>
                <c:pt idx="49">
                  <c:v>48.979900000000001</c:v>
                </c:pt>
                <c:pt idx="50">
                  <c:v>48.898899999999998</c:v>
                </c:pt>
                <c:pt idx="51">
                  <c:v>48.623100000000001</c:v>
                </c:pt>
                <c:pt idx="52">
                  <c:v>48.407400000000003</c:v>
                </c:pt>
                <c:pt idx="53">
                  <c:v>48.191499999999998</c:v>
                </c:pt>
                <c:pt idx="54">
                  <c:v>48.008099999999999</c:v>
                </c:pt>
                <c:pt idx="55">
                  <c:v>47.8613</c:v>
                </c:pt>
                <c:pt idx="56">
                  <c:v>47.732400000000005</c:v>
                </c:pt>
                <c:pt idx="57">
                  <c:v>47.619</c:v>
                </c:pt>
                <c:pt idx="58">
                  <c:v>47.471299999999999</c:v>
                </c:pt>
                <c:pt idx="59">
                  <c:v>47.361799999999995</c:v>
                </c:pt>
                <c:pt idx="60">
                  <c:v>47.301700000000004</c:v>
                </c:pt>
                <c:pt idx="61">
                  <c:v>47.2258</c:v>
                </c:pt>
                <c:pt idx="62">
                  <c:v>47.227699999999999</c:v>
                </c:pt>
                <c:pt idx="63">
                  <c:v>47.315400000000004</c:v>
                </c:pt>
                <c:pt idx="64">
                  <c:v>47.426600000000001</c:v>
                </c:pt>
                <c:pt idx="65">
                  <c:v>47.615200000000002</c:v>
                </c:pt>
                <c:pt idx="66">
                  <c:v>47.783099999999997</c:v>
                </c:pt>
                <c:pt idx="67">
                  <c:v>47.919200000000004</c:v>
                </c:pt>
                <c:pt idx="68">
                  <c:v>47.998100000000001</c:v>
                </c:pt>
                <c:pt idx="69">
                  <c:v>48.082099999999997</c:v>
                </c:pt>
                <c:pt idx="70">
                  <c:v>48.228000000000002</c:v>
                </c:pt>
                <c:pt idx="71">
                  <c:v>48.401800000000001</c:v>
                </c:pt>
                <c:pt idx="72">
                  <c:v>48.546399999999998</c:v>
                </c:pt>
                <c:pt idx="73">
                  <c:v>48.731099999999998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3.0730300000000002</c:v>
                </c:pt>
                <c:pt idx="1">
                  <c:v>3.0432900000000003</c:v>
                </c:pt>
                <c:pt idx="2">
                  <c:v>3.0262000000000002</c:v>
                </c:pt>
                <c:pt idx="3">
                  <c:v>3.00929</c:v>
                </c:pt>
                <c:pt idx="4">
                  <c:v>2.99308</c:v>
                </c:pt>
                <c:pt idx="5">
                  <c:v>2.9783300000000001</c:v>
                </c:pt>
                <c:pt idx="6">
                  <c:v>2.9635899999999999</c:v>
                </c:pt>
                <c:pt idx="7">
                  <c:v>2.95269</c:v>
                </c:pt>
                <c:pt idx="8">
                  <c:v>2.9475800000000003</c:v>
                </c:pt>
                <c:pt idx="9">
                  <c:v>2.9445100000000002</c:v>
                </c:pt>
                <c:pt idx="10">
                  <c:v>2.9411199999999997</c:v>
                </c:pt>
                <c:pt idx="11">
                  <c:v>2.9358899999999997</c:v>
                </c:pt>
                <c:pt idx="12">
                  <c:v>2.9304599999999996</c:v>
                </c:pt>
                <c:pt idx="13">
                  <c:v>2.9286499999999998</c:v>
                </c:pt>
                <c:pt idx="14">
                  <c:v>2.9262999999999999</c:v>
                </c:pt>
                <c:pt idx="15">
                  <c:v>2.9258899999999999</c:v>
                </c:pt>
                <c:pt idx="16">
                  <c:v>2.9272</c:v>
                </c:pt>
                <c:pt idx="17">
                  <c:v>2.9268300000000003</c:v>
                </c:pt>
                <c:pt idx="18">
                  <c:v>2.9286600000000003</c:v>
                </c:pt>
                <c:pt idx="19">
                  <c:v>2.9326000000000003</c:v>
                </c:pt>
                <c:pt idx="20">
                  <c:v>2.9384900000000003</c:v>
                </c:pt>
                <c:pt idx="21">
                  <c:v>2.9447200000000002</c:v>
                </c:pt>
                <c:pt idx="22">
                  <c:v>2.9520999999999997</c:v>
                </c:pt>
                <c:pt idx="23">
                  <c:v>2.9616799999999999</c:v>
                </c:pt>
                <c:pt idx="24">
                  <c:v>2.9745500000000002</c:v>
                </c:pt>
                <c:pt idx="25">
                  <c:v>2.9891399999999999</c:v>
                </c:pt>
                <c:pt idx="26">
                  <c:v>3.0048399999999997</c:v>
                </c:pt>
                <c:pt idx="27">
                  <c:v>3.0219299999999998</c:v>
                </c:pt>
                <c:pt idx="28">
                  <c:v>3.04413</c:v>
                </c:pt>
                <c:pt idx="29">
                  <c:v>3.07301</c:v>
                </c:pt>
                <c:pt idx="30">
                  <c:v>3.1040700000000001</c:v>
                </c:pt>
                <c:pt idx="31">
                  <c:v>3.1373199999999999</c:v>
                </c:pt>
                <c:pt idx="32">
                  <c:v>3.1747199999999998</c:v>
                </c:pt>
                <c:pt idx="33">
                  <c:v>3.2121899999999997</c:v>
                </c:pt>
                <c:pt idx="34">
                  <c:v>3.2499499999999997</c:v>
                </c:pt>
                <c:pt idx="35">
                  <c:v>3.2913900000000003</c:v>
                </c:pt>
                <c:pt idx="36">
                  <c:v>3.3384399999999999</c:v>
                </c:pt>
                <c:pt idx="37">
                  <c:v>3.3905099999999999</c:v>
                </c:pt>
                <c:pt idx="38">
                  <c:v>3.4419899999999997</c:v>
                </c:pt>
                <c:pt idx="39">
                  <c:v>3.48922</c:v>
                </c:pt>
                <c:pt idx="40">
                  <c:v>3.5323199999999999</c:v>
                </c:pt>
                <c:pt idx="41">
                  <c:v>3.5719499999999997</c:v>
                </c:pt>
                <c:pt idx="42">
                  <c:v>3.6093999999999999</c:v>
                </c:pt>
                <c:pt idx="43">
                  <c:v>3.64506</c:v>
                </c:pt>
                <c:pt idx="44">
                  <c:v>3.6785800000000002</c:v>
                </c:pt>
                <c:pt idx="45">
                  <c:v>3.70919</c:v>
                </c:pt>
                <c:pt idx="46">
                  <c:v>3.7386799999999996</c:v>
                </c:pt>
                <c:pt idx="47">
                  <c:v>3.7683899999999997</c:v>
                </c:pt>
                <c:pt idx="48">
                  <c:v>3.7995299999999999</c:v>
                </c:pt>
                <c:pt idx="49">
                  <c:v>3.8331200000000001</c:v>
                </c:pt>
                <c:pt idx="50">
                  <c:v>3.8610899999999999</c:v>
                </c:pt>
                <c:pt idx="51">
                  <c:v>3.8818599999999996</c:v>
                </c:pt>
                <c:pt idx="52">
                  <c:v>3.90293</c:v>
                </c:pt>
                <c:pt idx="53">
                  <c:v>3.9227099999999999</c:v>
                </c:pt>
                <c:pt idx="54">
                  <c:v>3.9400499999999998</c:v>
                </c:pt>
                <c:pt idx="55">
                  <c:v>3.9561299999999999</c:v>
                </c:pt>
                <c:pt idx="56">
                  <c:v>3.9719500000000001</c:v>
                </c:pt>
                <c:pt idx="57">
                  <c:v>3.9847000000000001</c:v>
                </c:pt>
                <c:pt idx="58">
                  <c:v>3.9967100000000002</c:v>
                </c:pt>
                <c:pt idx="59">
                  <c:v>4.0076499999999999</c:v>
                </c:pt>
                <c:pt idx="60">
                  <c:v>4.0155099999999999</c:v>
                </c:pt>
                <c:pt idx="61">
                  <c:v>4.0189900000000005</c:v>
                </c:pt>
                <c:pt idx="62">
                  <c:v>4.0167599999999997</c:v>
                </c:pt>
                <c:pt idx="63">
                  <c:v>4.0119500000000006</c:v>
                </c:pt>
                <c:pt idx="64">
                  <c:v>4.00908</c:v>
                </c:pt>
                <c:pt idx="65">
                  <c:v>4.0081600000000002</c:v>
                </c:pt>
                <c:pt idx="66">
                  <c:v>4.0106599999999997</c:v>
                </c:pt>
                <c:pt idx="67">
                  <c:v>4.0164400000000002</c:v>
                </c:pt>
                <c:pt idx="68">
                  <c:v>4.0234699999999997</c:v>
                </c:pt>
                <c:pt idx="69">
                  <c:v>4.0329800000000002</c:v>
                </c:pt>
                <c:pt idx="70">
                  <c:v>4.0504699999999998</c:v>
                </c:pt>
                <c:pt idx="71">
                  <c:v>4.0759600000000002</c:v>
                </c:pt>
                <c:pt idx="72">
                  <c:v>4.1123399999999997</c:v>
                </c:pt>
                <c:pt idx="73">
                  <c:v>4.1610700000000005</c:v>
                </c:pt>
                <c:pt idx="74">
                  <c:v>4.2107600000000005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48.731099999999998</c:v>
                </c:pt>
                <c:pt idx="1">
                  <c:v>48.957999999999998</c:v>
                </c:pt>
                <c:pt idx="2">
                  <c:v>49.145600000000002</c:v>
                </c:pt>
                <c:pt idx="3">
                  <c:v>49.232500000000002</c:v>
                </c:pt>
                <c:pt idx="4">
                  <c:v>49.2697</c:v>
                </c:pt>
                <c:pt idx="5">
                  <c:v>49.2654</c:v>
                </c:pt>
                <c:pt idx="6">
                  <c:v>49.2667</c:v>
                </c:pt>
                <c:pt idx="7">
                  <c:v>49.211399999999998</c:v>
                </c:pt>
                <c:pt idx="8">
                  <c:v>49.057499999999997</c:v>
                </c:pt>
                <c:pt idx="9">
                  <c:v>48.866500000000002</c:v>
                </c:pt>
                <c:pt idx="10">
                  <c:v>48.688199999999995</c:v>
                </c:pt>
                <c:pt idx="11">
                  <c:v>48.572400000000002</c:v>
                </c:pt>
                <c:pt idx="12">
                  <c:v>48.415300000000002</c:v>
                </c:pt>
                <c:pt idx="13">
                  <c:v>48.290399999999998</c:v>
                </c:pt>
                <c:pt idx="14">
                  <c:v>48.222999999999999</c:v>
                </c:pt>
                <c:pt idx="15">
                  <c:v>48.070500000000003</c:v>
                </c:pt>
                <c:pt idx="16">
                  <c:v>47.909700000000001</c:v>
                </c:pt>
                <c:pt idx="17">
                  <c:v>47.801500000000004</c:v>
                </c:pt>
                <c:pt idx="18">
                  <c:v>47.733499999999999</c:v>
                </c:pt>
                <c:pt idx="19">
                  <c:v>47.656399999999998</c:v>
                </c:pt>
                <c:pt idx="20">
                  <c:v>47.627600000000001</c:v>
                </c:pt>
                <c:pt idx="21">
                  <c:v>47.6432</c:v>
                </c:pt>
                <c:pt idx="22">
                  <c:v>47.697299999999998</c:v>
                </c:pt>
                <c:pt idx="23">
                  <c:v>47.8127</c:v>
                </c:pt>
                <c:pt idx="24">
                  <c:v>47.939900000000002</c:v>
                </c:pt>
                <c:pt idx="25">
                  <c:v>48.069099999999999</c:v>
                </c:pt>
                <c:pt idx="26">
                  <c:v>48.278500000000001</c:v>
                </c:pt>
                <c:pt idx="27">
                  <c:v>48.4863</c:v>
                </c:pt>
                <c:pt idx="28">
                  <c:v>48.690600000000003</c:v>
                </c:pt>
                <c:pt idx="29">
                  <c:v>48.879600000000003</c:v>
                </c:pt>
                <c:pt idx="30">
                  <c:v>49.0642</c:v>
                </c:pt>
                <c:pt idx="31">
                  <c:v>49.2209</c:v>
                </c:pt>
                <c:pt idx="32">
                  <c:v>49.247700000000002</c:v>
                </c:pt>
                <c:pt idx="33">
                  <c:v>49.359900000000003</c:v>
                </c:pt>
                <c:pt idx="34">
                  <c:v>49.492599999999996</c:v>
                </c:pt>
                <c:pt idx="35">
                  <c:v>49.615299999999998</c:v>
                </c:pt>
                <c:pt idx="36">
                  <c:v>49.7087</c:v>
                </c:pt>
                <c:pt idx="37">
                  <c:v>49.762499999999996</c:v>
                </c:pt>
                <c:pt idx="38">
                  <c:v>49.836999999999996</c:v>
                </c:pt>
                <c:pt idx="39">
                  <c:v>50.069800000000001</c:v>
                </c:pt>
                <c:pt idx="40">
                  <c:v>50.451100000000004</c:v>
                </c:pt>
                <c:pt idx="41">
                  <c:v>50.944199999999995</c:v>
                </c:pt>
                <c:pt idx="42">
                  <c:v>51.514200000000002</c:v>
                </c:pt>
                <c:pt idx="43">
                  <c:v>52.081599999999995</c:v>
                </c:pt>
                <c:pt idx="44">
                  <c:v>52.659299999999995</c:v>
                </c:pt>
                <c:pt idx="45">
                  <c:v>53.209399999999995</c:v>
                </c:pt>
                <c:pt idx="46">
                  <c:v>53.735900000000001</c:v>
                </c:pt>
                <c:pt idx="47">
                  <c:v>54.252800000000001</c:v>
                </c:pt>
                <c:pt idx="48">
                  <c:v>54.712899999999998</c:v>
                </c:pt>
                <c:pt idx="49">
                  <c:v>55.040599999999998</c:v>
                </c:pt>
                <c:pt idx="50">
                  <c:v>55.386299999999999</c:v>
                </c:pt>
                <c:pt idx="51">
                  <c:v>55.812399999999997</c:v>
                </c:pt>
                <c:pt idx="52">
                  <c:v>56.265000000000001</c:v>
                </c:pt>
                <c:pt idx="53">
                  <c:v>56.661300000000004</c:v>
                </c:pt>
                <c:pt idx="54">
                  <c:v>56.958299999999994</c:v>
                </c:pt>
                <c:pt idx="55">
                  <c:v>57.225499999999997</c:v>
                </c:pt>
                <c:pt idx="56">
                  <c:v>57.509399999999999</c:v>
                </c:pt>
                <c:pt idx="57">
                  <c:v>57.761799999999994</c:v>
                </c:pt>
                <c:pt idx="58">
                  <c:v>57.918300000000002</c:v>
                </c:pt>
                <c:pt idx="59">
                  <c:v>58.039300000000004</c:v>
                </c:pt>
                <c:pt idx="60">
                  <c:v>58.069400000000002</c:v>
                </c:pt>
                <c:pt idx="61">
                  <c:v>58.016300000000001</c:v>
                </c:pt>
                <c:pt idx="62">
                  <c:v>57.991999999999997</c:v>
                </c:pt>
                <c:pt idx="63">
                  <c:v>58.016599999999997</c:v>
                </c:pt>
                <c:pt idx="64">
                  <c:v>57.991999999999997</c:v>
                </c:pt>
                <c:pt idx="65">
                  <c:v>57.956799999999994</c:v>
                </c:pt>
                <c:pt idx="66">
                  <c:v>57.863299999999995</c:v>
                </c:pt>
                <c:pt idx="67">
                  <c:v>57.726299999999995</c:v>
                </c:pt>
                <c:pt idx="68">
                  <c:v>57.576899999999995</c:v>
                </c:pt>
                <c:pt idx="69">
                  <c:v>57.391199999999998</c:v>
                </c:pt>
                <c:pt idx="70">
                  <c:v>57.218000000000004</c:v>
                </c:pt>
                <c:pt idx="71">
                  <c:v>57.040900000000008</c:v>
                </c:pt>
                <c:pt idx="72">
                  <c:v>56.8078</c:v>
                </c:pt>
                <c:pt idx="73">
                  <c:v>56.470399999999998</c:v>
                </c:pt>
                <c:pt idx="74">
                  <c:v>56.275600000000004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2.9014099999999998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51.738500000000002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3.6174683783783794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49.342629729729722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3.4592317567567572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52.171495945945978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3.4592317567567572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52.171495945945978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13"/>
      <c r="D1" s="114"/>
      <c r="E1" s="114"/>
      <c r="F1" s="114"/>
      <c r="G1" s="114"/>
      <c r="H1" s="114"/>
      <c r="I1" s="114"/>
      <c r="J1" s="26"/>
      <c r="K1" s="8"/>
      <c r="L1" s="2"/>
      <c r="M1" s="2"/>
      <c r="N1" s="2"/>
      <c r="O1" s="2"/>
      <c r="P1" s="2"/>
    </row>
    <row r="2" spans="2:21" ht="27.75" customHeight="1" thickBot="1">
      <c r="B2" s="154" t="s">
        <v>290</v>
      </c>
      <c r="C2" s="155"/>
      <c r="D2" s="155"/>
      <c r="E2" s="155"/>
      <c r="F2" s="155"/>
      <c r="G2" s="155"/>
      <c r="H2" s="155"/>
      <c r="I2" s="155"/>
      <c r="J2" s="155"/>
      <c r="K2" s="155"/>
      <c r="L2" s="90"/>
      <c r="M2" s="90"/>
      <c r="N2" s="90"/>
      <c r="O2" s="90"/>
      <c r="P2" s="90"/>
    </row>
    <row r="3" spans="2:21" ht="13.5">
      <c r="B3" s="136" t="str">
        <f>lang!B2</f>
        <v>心理生理状态分析结果</v>
      </c>
      <c r="C3" s="137"/>
      <c r="D3" s="137"/>
      <c r="E3" s="137"/>
      <c r="F3" s="137"/>
      <c r="G3" s="137"/>
      <c r="H3" s="137"/>
      <c r="I3" s="137"/>
      <c r="J3" s="137"/>
      <c r="K3" s="138"/>
    </row>
    <row r="4" spans="2:21" ht="34.5" customHeight="1" thickBot="1">
      <c r="B4" s="139"/>
      <c r="C4" s="140"/>
      <c r="D4" s="140"/>
      <c r="E4" s="140"/>
      <c r="F4" s="140"/>
      <c r="G4" s="140"/>
      <c r="H4" s="140"/>
      <c r="I4" s="140"/>
      <c r="J4" s="140"/>
      <c r="K4" s="141"/>
    </row>
    <row r="5" spans="2:21" ht="16.5" customHeight="1">
      <c r="B5" s="45" t="str">
        <f>lang!B24</f>
        <v>姓名</v>
      </c>
      <c r="C5" s="198" t="s">
        <v>570</v>
      </c>
      <c r="D5" s="151"/>
      <c r="E5" s="151"/>
      <c r="F5" s="152"/>
      <c r="G5" s="48" t="str">
        <f>lang!B27</f>
        <v>编号</v>
      </c>
      <c r="H5" s="150">
        <v>50</v>
      </c>
      <c r="I5" s="151"/>
      <c r="J5" s="151"/>
      <c r="K5" s="153"/>
    </row>
    <row r="6" spans="2:21" ht="17.25" customHeight="1">
      <c r="B6" s="46" t="str">
        <f>lang!B25</f>
        <v>性别</v>
      </c>
      <c r="C6" s="197" t="s">
        <v>569</v>
      </c>
      <c r="D6" s="188"/>
      <c r="E6" s="188"/>
      <c r="F6" s="189"/>
      <c r="G6" s="49" t="str">
        <f>lang!B28</f>
        <v xml:space="preserve"> 日期</v>
      </c>
      <c r="H6" s="172">
        <f>FH_info!A2</f>
        <v>43607.669756944444</v>
      </c>
      <c r="I6" s="173"/>
      <c r="J6" s="173"/>
      <c r="K6" s="174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90">
        <v>56</v>
      </c>
      <c r="D7" s="191"/>
      <c r="E7" s="191"/>
      <c r="F7" s="192"/>
      <c r="G7" s="50" t="str">
        <f>lang!B29</f>
        <v>误差率（%）</v>
      </c>
      <c r="H7" s="175">
        <f>M!B17*1</f>
        <v>20.758900000000001</v>
      </c>
      <c r="I7" s="176"/>
      <c r="J7" s="176"/>
      <c r="K7" s="177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68" t="str">
        <f>lang!B30</f>
        <v>10项参数结果</v>
      </c>
      <c r="C8" s="169"/>
      <c r="D8" s="170"/>
      <c r="E8" s="170"/>
      <c r="F8" s="170"/>
      <c r="G8" s="170"/>
      <c r="H8" s="170"/>
      <c r="I8" s="170"/>
      <c r="J8" s="170"/>
      <c r="K8" s="171"/>
      <c r="M8" s="27" t="str">
        <f>lang!B14</f>
        <v>攻击性</v>
      </c>
      <c r="N8" s="59">
        <f>M!B5*1</f>
        <v>34.608899999999998</v>
      </c>
      <c r="O8" s="59">
        <f>M!C5*1</f>
        <v>5.0990099999999998</v>
      </c>
      <c r="P8" s="59">
        <f>M!D5*1</f>
        <v>14.7332</v>
      </c>
      <c r="Q8" s="59">
        <f>M!E5*1</f>
        <v>20</v>
      </c>
      <c r="R8" s="59">
        <f>M!F5*1</f>
        <v>15.558</v>
      </c>
      <c r="S8" s="59">
        <f>M!G5*1</f>
        <v>50</v>
      </c>
      <c r="T8" s="59">
        <f>M!H5*1</f>
        <v>42.971600000000002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33.077800000000003</v>
      </c>
      <c r="O9" s="59">
        <f>M!C6*1</f>
        <v>5.3441200000000002</v>
      </c>
      <c r="P9" s="59">
        <f>M!D6*1</f>
        <v>16.156199999999998</v>
      </c>
      <c r="Q9" s="59">
        <f>M!E6*1</f>
        <v>20</v>
      </c>
      <c r="R9" s="59">
        <f>M!F6*1</f>
        <v>23.7653</v>
      </c>
      <c r="S9" s="59">
        <f>M!G6*1</f>
        <v>40</v>
      </c>
      <c r="T9" s="59">
        <f>M!H6*1</f>
        <v>43.491799999999998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15.558</v>
      </c>
      <c r="D10" s="99">
        <f>N8</f>
        <v>34.608899999999998</v>
      </c>
      <c r="E10" s="100">
        <f>T8</f>
        <v>42.971600000000002</v>
      </c>
      <c r="F10" s="91">
        <f>P8</f>
        <v>14.7332</v>
      </c>
      <c r="G10" s="81" t="str">
        <f>CONCATENATE(M9,"
(20 ~ 40)")</f>
        <v>压力
(20 ~ 40)</v>
      </c>
      <c r="H10" s="98">
        <f>R9</f>
        <v>23.7653</v>
      </c>
      <c r="I10" s="108">
        <f>N9</f>
        <v>33.077800000000003</v>
      </c>
      <c r="J10" s="98">
        <f>T9</f>
        <v>43.491799999999998</v>
      </c>
      <c r="K10" s="92">
        <f>P9</f>
        <v>16.156199999999998</v>
      </c>
      <c r="L10" s="6"/>
      <c r="M10" s="27" t="str">
        <f>lang!B16</f>
        <v>焦虑</v>
      </c>
      <c r="N10" s="59">
        <f>M!B7*1</f>
        <v>23.553699999999999</v>
      </c>
      <c r="O10" s="59">
        <f>M!C7*1</f>
        <v>11.4648</v>
      </c>
      <c r="P10" s="59">
        <f>M!D7*1</f>
        <v>48.675199999999997</v>
      </c>
      <c r="Q10" s="59">
        <f>M!E7*1</f>
        <v>15</v>
      </c>
      <c r="R10" s="59">
        <f>M!F7*1</f>
        <v>4.2032499999999997</v>
      </c>
      <c r="S10" s="59">
        <f>M!G7*1</f>
        <v>40</v>
      </c>
      <c r="T10" s="59">
        <f>M!H7*1</f>
        <v>50.211799999999997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4.2032499999999997</v>
      </c>
      <c r="D11" s="102">
        <f>N10</f>
        <v>23.553699999999999</v>
      </c>
      <c r="E11" s="103">
        <f>T10</f>
        <v>50.211799999999997</v>
      </c>
      <c r="F11" s="94">
        <f>P10</f>
        <v>48.675199999999997</v>
      </c>
      <c r="G11" s="52" t="str">
        <f>CONCATENATE(M11,"
(20 ~ 50)")</f>
        <v>可疑
(20 ~ 50)</v>
      </c>
      <c r="H11" s="101">
        <f>R11</f>
        <v>18.690999999999999</v>
      </c>
      <c r="I11" s="104">
        <f>N11</f>
        <v>30.684200000000001</v>
      </c>
      <c r="J11" s="101">
        <f>T11</f>
        <v>37.682600000000001</v>
      </c>
      <c r="K11" s="95">
        <f>P11</f>
        <v>13.663600000000001</v>
      </c>
      <c r="L11" s="4"/>
      <c r="M11" s="27" t="str">
        <f>lang!B17</f>
        <v>可疑</v>
      </c>
      <c r="N11" s="59">
        <f>M!B8*1</f>
        <v>30.684200000000001</v>
      </c>
      <c r="O11" s="59">
        <f>M!C8*1</f>
        <v>4.1925600000000003</v>
      </c>
      <c r="P11" s="59">
        <f>M!D8*1</f>
        <v>13.663600000000001</v>
      </c>
      <c r="Q11" s="59">
        <f>M!E8*1</f>
        <v>20</v>
      </c>
      <c r="R11" s="59">
        <f>M!F8*1</f>
        <v>18.690999999999999</v>
      </c>
      <c r="S11" s="59">
        <f>M!G8*1</f>
        <v>50</v>
      </c>
      <c r="T11" s="59">
        <f>M!H8*1</f>
        <v>37.682600000000001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59.469499999999996</v>
      </c>
      <c r="D12" s="104">
        <f>N12</f>
        <v>70.540800000000004</v>
      </c>
      <c r="E12" s="101">
        <f>T12</f>
        <v>85.670599999999993</v>
      </c>
      <c r="F12" s="93">
        <f>P12</f>
        <v>7.2948500000000003</v>
      </c>
      <c r="G12" s="52" t="str">
        <f>CONCATENATE(M13,"
(40 ~ 100)")</f>
        <v>自信
(40 ~ 100)</v>
      </c>
      <c r="H12" s="101">
        <f>R13</f>
        <v>65.889499999999998</v>
      </c>
      <c r="I12" s="104">
        <f>N13</f>
        <v>71.145200000000003</v>
      </c>
      <c r="J12" s="101">
        <f>T13</f>
        <v>79.953500000000005</v>
      </c>
      <c r="K12" s="95">
        <f>P13</f>
        <v>4.6578400000000002</v>
      </c>
      <c r="L12" s="4"/>
      <c r="M12" s="27" t="str">
        <f>lang!B18</f>
        <v>平衡</v>
      </c>
      <c r="N12" s="59">
        <f>M!B9*1</f>
        <v>70.540800000000004</v>
      </c>
      <c r="O12" s="59">
        <f>M!C9*1</f>
        <v>5.1458399999999997</v>
      </c>
      <c r="P12" s="59">
        <f>M!D9*1</f>
        <v>7.2948500000000003</v>
      </c>
      <c r="Q12" s="59">
        <f>M!E9*1</f>
        <v>50</v>
      </c>
      <c r="R12" s="59">
        <f>M!F9*1</f>
        <v>59.469499999999996</v>
      </c>
      <c r="S12" s="59">
        <f>M!G9*1</f>
        <v>100</v>
      </c>
      <c r="T12" s="59">
        <f>M!H9*1</f>
        <v>85.670599999999993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13.4168</v>
      </c>
      <c r="D13" s="102">
        <f>N14</f>
        <v>24.4544</v>
      </c>
      <c r="E13" s="103">
        <f>T14</f>
        <v>33.558199999999999</v>
      </c>
      <c r="F13" s="94">
        <f>P14</f>
        <v>21.700199999999999</v>
      </c>
      <c r="G13" s="52" t="str">
        <f>CONCATENATE(M15,"
(50 ~ 100)")</f>
        <v>自我调节
(50 ~ 100)</v>
      </c>
      <c r="H13" s="101">
        <f>R15</f>
        <v>63.639800000000001</v>
      </c>
      <c r="I13" s="104">
        <f>N15</f>
        <v>70.299099999999996</v>
      </c>
      <c r="J13" s="101">
        <f>T15</f>
        <v>82.812100000000001</v>
      </c>
      <c r="K13" s="95">
        <f>P15</f>
        <v>5.1455000000000002</v>
      </c>
      <c r="L13" s="4"/>
      <c r="M13" s="27" t="str">
        <f>lang!B19</f>
        <v>自信</v>
      </c>
      <c r="N13" s="59">
        <f>M!B10*1</f>
        <v>71.145200000000003</v>
      </c>
      <c r="O13" s="59">
        <f>M!C10*1</f>
        <v>3.3138299999999998</v>
      </c>
      <c r="P13" s="59">
        <f>M!D10*1</f>
        <v>4.6578400000000002</v>
      </c>
      <c r="Q13" s="59">
        <f>M!E10*1</f>
        <v>40</v>
      </c>
      <c r="R13" s="59">
        <f>M!F10*1</f>
        <v>65.889499999999998</v>
      </c>
      <c r="S13" s="59">
        <f>M!G10*1</f>
        <v>100</v>
      </c>
      <c r="T13" s="59">
        <f>M!H10*1</f>
        <v>79.953500000000005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11.961499999999999</v>
      </c>
      <c r="D14" s="106">
        <f>N16</f>
        <v>19.079799999999999</v>
      </c>
      <c r="E14" s="107">
        <f>T16</f>
        <v>46.430399999999999</v>
      </c>
      <c r="F14" s="96">
        <f>P16</f>
        <v>30.233599999999999</v>
      </c>
      <c r="G14" s="112" t="str">
        <f>CONCATENATE(M17,"
(10 ~ 50)")</f>
        <v>神经质
(10 ~ 50)</v>
      </c>
      <c r="H14" s="105">
        <f>R17</f>
        <v>1.4942599999999999</v>
      </c>
      <c r="I14" s="106">
        <f>N17</f>
        <v>57.685000000000002</v>
      </c>
      <c r="J14" s="107">
        <f>T17</f>
        <v>79.369</v>
      </c>
      <c r="K14" s="97">
        <f>P17</f>
        <v>45.329000000000001</v>
      </c>
      <c r="M14" s="27" t="str">
        <f>lang!B20</f>
        <v>活力</v>
      </c>
      <c r="N14" s="59">
        <f>M!B11*1</f>
        <v>24.4544</v>
      </c>
      <c r="O14" s="59">
        <f>M!C11*1</f>
        <v>5.3066599999999999</v>
      </c>
      <c r="P14" s="59">
        <f>M!D11*1</f>
        <v>21.700199999999999</v>
      </c>
      <c r="Q14" s="59">
        <f>M!E11*1</f>
        <v>10</v>
      </c>
      <c r="R14" s="59">
        <f>M!F11*1</f>
        <v>13.4168</v>
      </c>
      <c r="S14" s="59">
        <f>M!G11*1</f>
        <v>50</v>
      </c>
      <c r="T14" s="59">
        <f>M!H11*1</f>
        <v>33.558199999999999</v>
      </c>
      <c r="U14" s="14"/>
    </row>
    <row r="15" spans="2:21" ht="19.5" customHeight="1" thickBot="1">
      <c r="B15" s="147" t="str">
        <f>lang!B3</f>
        <v>参数表</v>
      </c>
      <c r="C15" s="148"/>
      <c r="D15" s="148"/>
      <c r="E15" s="148"/>
      <c r="F15" s="149"/>
      <c r="G15" s="144" t="str">
        <f>lang!B4</f>
        <v>情感状态分布图</v>
      </c>
      <c r="H15" s="145"/>
      <c r="I15" s="145"/>
      <c r="J15" s="145"/>
      <c r="K15" s="146"/>
      <c r="M15" s="27" t="str">
        <f>lang!B21</f>
        <v>自我调节</v>
      </c>
      <c r="N15" s="59">
        <f>M!B12*1</f>
        <v>70.299099999999996</v>
      </c>
      <c r="O15" s="59">
        <f>M!C12*1</f>
        <v>3.6172399999999998</v>
      </c>
      <c r="P15" s="59">
        <f>M!D12*1</f>
        <v>5.1455000000000002</v>
      </c>
      <c r="Q15" s="59">
        <f>M!E12*1</f>
        <v>50</v>
      </c>
      <c r="R15" s="59">
        <f>M!F12*1</f>
        <v>63.639800000000001</v>
      </c>
      <c r="S15" s="59">
        <f>M!G12*1</f>
        <v>100</v>
      </c>
      <c r="T15" s="59">
        <f>M!H12*1</f>
        <v>82.812100000000001</v>
      </c>
      <c r="U15" s="14"/>
    </row>
    <row r="16" spans="2:21" ht="21" customHeight="1">
      <c r="B16" s="38"/>
      <c r="C16" s="28"/>
      <c r="D16" s="28"/>
      <c r="E16" s="28"/>
      <c r="F16" s="28"/>
      <c r="G16" s="125"/>
      <c r="H16" s="126"/>
      <c r="I16" s="126"/>
      <c r="J16" s="126"/>
      <c r="K16" s="127"/>
      <c r="M16" s="27" t="str">
        <f>lang!B22</f>
        <v>抑郁</v>
      </c>
      <c r="N16" s="59">
        <f>M!B13*1</f>
        <v>19.079799999999999</v>
      </c>
      <c r="O16" s="59">
        <f>M!C13*1</f>
        <v>5.7685000000000004</v>
      </c>
      <c r="P16" s="59">
        <f>M!D13*1</f>
        <v>30.233599999999999</v>
      </c>
      <c r="Q16" s="59">
        <f>M!E13*1</f>
        <v>10</v>
      </c>
      <c r="R16" s="59">
        <f>M!F13*1</f>
        <v>11.961499999999999</v>
      </c>
      <c r="S16" s="59">
        <f>M!G13*1</f>
        <v>25</v>
      </c>
      <c r="T16" s="59">
        <f>M!H13*1</f>
        <v>46.430399999999999</v>
      </c>
      <c r="U16" s="14"/>
    </row>
    <row r="17" spans="2:24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7" t="str">
        <f>lang!B23</f>
        <v>神经质</v>
      </c>
      <c r="N17" s="59">
        <f>M!B14*1</f>
        <v>57.685000000000002</v>
      </c>
      <c r="O17" s="59">
        <f>M!C14*1</f>
        <v>26.148099999999999</v>
      </c>
      <c r="P17" s="59">
        <f>M!D14*1</f>
        <v>45.329000000000001</v>
      </c>
      <c r="Q17" s="59">
        <f>M!E14*1</f>
        <v>10</v>
      </c>
      <c r="R17" s="59">
        <f>M!F14*1</f>
        <v>1.4942599999999999</v>
      </c>
      <c r="S17" s="59">
        <f>M!G14*1</f>
        <v>50</v>
      </c>
      <c r="T17" s="59">
        <f>M!H14*1</f>
        <v>79.369</v>
      </c>
      <c r="U17" s="15"/>
    </row>
    <row r="18" spans="2:24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lang!B7</f>
        <v>Positive</v>
      </c>
      <c r="N18" s="65">
        <f>SUM(N12:N15)/4</f>
        <v>59.109875000000002</v>
      </c>
      <c r="O18" s="22">
        <f>N18/(N18+N19+N20)</f>
        <v>0.46189179511293066</v>
      </c>
      <c r="P18" s="65">
        <f>SUM(P12:P15)/4</f>
        <v>9.6995974999999994</v>
      </c>
      <c r="Q18" s="22">
        <f>P18/(P18+P19+P20)</f>
        <v>0.13702329058205848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lang!B8</f>
        <v>Negative</v>
      </c>
      <c r="N19" s="18">
        <f>SUM(N8:N11)/4</f>
        <v>30.48115</v>
      </c>
      <c r="O19" s="22">
        <f>N19/(N18+N19+N20)</f>
        <v>0.23818343534995642</v>
      </c>
      <c r="P19" s="18">
        <f>SUM(P8:P11)/4</f>
        <v>23.30705</v>
      </c>
      <c r="Q19" s="22">
        <f>P19/(P18+P19+P20)</f>
        <v>0.329251670985375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 t="str">
        <f>lang!B9</f>
        <v>Physiological</v>
      </c>
      <c r="N20" s="18">
        <f>(N16+N17)/2</f>
        <v>38.382400000000004</v>
      </c>
      <c r="O20" s="22">
        <f>N20/(N18+N19+N20)</f>
        <v>0.29992476953711289</v>
      </c>
      <c r="P20" s="18">
        <f>(P16+P17)/2</f>
        <v>37.781300000000002</v>
      </c>
      <c r="Q20" s="22">
        <f>P20/(P18+P19+P20)</f>
        <v>0.53372503843256647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21" t="str">
        <f>lang!B50</f>
        <v>Sat</v>
      </c>
      <c r="N21" s="88">
        <f ca="1">(info!V3-info!U3)-(info!X3-info!W3)</f>
        <v>4.411232432432477E-2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28"/>
      <c r="H22" s="129"/>
      <c r="I22" s="129"/>
      <c r="J22" s="129"/>
      <c r="K22" s="13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31"/>
      <c r="H23" s="132"/>
      <c r="I23" s="132"/>
      <c r="J23" s="132"/>
      <c r="K23" s="133"/>
      <c r="M23" s="16"/>
      <c r="O23" s="17"/>
      <c r="Q23"/>
      <c r="T23"/>
      <c r="U23" s="19"/>
    </row>
    <row r="24" spans="2:24" ht="17.25" customHeight="1" thickBot="1">
      <c r="B24" s="193" t="str">
        <f>lang!B5</f>
        <v>频率分布直方图</v>
      </c>
      <c r="C24" s="194"/>
      <c r="D24" s="194"/>
      <c r="E24" s="194"/>
      <c r="F24" s="195"/>
      <c r="G24" s="122" t="str">
        <f>lang!B6</f>
        <v xml:space="preserve">心理变化 - 心理基础代谢 </v>
      </c>
      <c r="H24" s="123"/>
      <c r="I24" s="123"/>
      <c r="J24" s="123"/>
      <c r="K24" s="12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1.727271642369576</v>
      </c>
      <c r="D25" s="44" t="str">
        <f>lang!B11</f>
        <v>频率方差</v>
      </c>
      <c r="E25" s="142">
        <f ca="1">FH!L3</f>
        <v>0.5308819909943665</v>
      </c>
      <c r="F25" s="143"/>
      <c r="G25" s="134" t="str">
        <f>lang!B12</f>
        <v>生理变化率</v>
      </c>
      <c r="H25" s="135"/>
      <c r="I25" s="62" t="str">
        <f ca="1">CONCATENATE(info!M7,"-",info!M8)</f>
        <v>47.2-58.1</v>
      </c>
      <c r="J25" s="42" t="str">
        <f>lang!B13</f>
        <v>千卡l/分钟</v>
      </c>
      <c r="K25" s="41" t="str">
        <f ca="1">CONCATENATE(info!M5,"-",info!M6)</f>
        <v>2.9-4.2</v>
      </c>
      <c r="M25" s="16"/>
      <c r="O25" s="17"/>
      <c r="P25" s="17"/>
      <c r="Q25"/>
      <c r="T25"/>
      <c r="U25" s="19"/>
    </row>
    <row r="26" spans="2:24" ht="156.75" customHeight="1" thickBot="1">
      <c r="B26" s="115" ph="1"/>
      <c r="C26" s="116" ph="1"/>
      <c r="D26" s="116" ph="1"/>
      <c r="E26" s="117" ph="1"/>
      <c r="F26" s="39" ph="1"/>
      <c r="G26" s="118"/>
      <c r="H26" s="119"/>
      <c r="I26" s="119"/>
      <c r="J26" s="120"/>
      <c r="K26" s="121"/>
      <c r="M26"/>
      <c r="O26" s="17"/>
      <c r="Q26"/>
      <c r="T26"/>
      <c r="U26" s="19"/>
    </row>
    <row r="27" spans="2:24" ht="15" customHeight="1" thickBot="1">
      <c r="B27" s="162" t="str">
        <f>CONCATENATE( lang!B31," ",ROUND(100-FH_info!L2,0),"%]")</f>
        <v>Result [Quality 100%]</v>
      </c>
      <c r="C27" s="163"/>
      <c r="D27" s="163"/>
      <c r="E27" s="163"/>
      <c r="F27" s="163"/>
      <c r="G27" s="163"/>
      <c r="H27" s="163"/>
      <c r="I27" s="163"/>
      <c r="J27" s="163"/>
      <c r="K27" s="164"/>
      <c r="M27"/>
      <c r="Q27"/>
      <c r="T27"/>
    </row>
    <row r="28" spans="2:24" ht="15.75" thickBot="1">
      <c r="B28" s="178" t="str">
        <f>lang!B32</f>
        <v>外向性</v>
      </c>
      <c r="C28" s="179"/>
      <c r="D28" s="180"/>
      <c r="E28" s="162">
        <f>M!B18*100</f>
        <v>59.571300000000008</v>
      </c>
      <c r="F28" s="164"/>
      <c r="G28" s="178" t="str">
        <f>lang!B33</f>
        <v>稳定性</v>
      </c>
      <c r="H28" s="179"/>
      <c r="I28" s="180"/>
      <c r="J28" s="181">
        <f>M!B19*100</f>
        <v>56.103899999999996</v>
      </c>
      <c r="K28" s="182"/>
    </row>
    <row r="29" spans="2:24" ht="24.75" customHeight="1">
      <c r="B29" s="165" t="str">
        <f>lang!B34</f>
        <v xml:space="preserve">心理生理状态分析结果： </v>
      </c>
      <c r="C29" s="166"/>
      <c r="D29" s="166"/>
      <c r="E29" s="166"/>
      <c r="F29" s="166"/>
      <c r="G29" s="166"/>
      <c r="H29" s="166"/>
      <c r="I29" s="166"/>
      <c r="J29" s="166"/>
      <c r="K29" s="167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⊠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⊡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83" t="str">
        <f>lang!B37</f>
        <v>意见</v>
      </c>
      <c r="C32" s="184"/>
      <c r="D32" s="185"/>
      <c r="E32" s="185"/>
      <c r="F32" s="185"/>
      <c r="G32" s="185"/>
      <c r="H32" s="185"/>
      <c r="I32" s="185"/>
      <c r="J32" s="185"/>
      <c r="K32" s="186"/>
      <c r="M32"/>
      <c r="Q32"/>
      <c r="T32"/>
      <c r="W32" s="33"/>
      <c r="X32" s="33"/>
    </row>
    <row r="33" spans="2:24" ht="18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20.25" customHeight="1">
      <c r="B34" s="156"/>
      <c r="C34" s="157"/>
      <c r="D34" s="157"/>
      <c r="E34" s="157"/>
      <c r="F34" s="157"/>
      <c r="G34" s="157"/>
      <c r="H34" s="157"/>
      <c r="I34" s="157"/>
      <c r="J34" s="157"/>
      <c r="K34" s="158"/>
      <c r="M34"/>
      <c r="Q34"/>
      <c r="T34"/>
      <c r="W34" s="33"/>
      <c r="X34" s="33"/>
    </row>
    <row r="35" spans="2:24" ht="35.25" customHeight="1" thickBot="1">
      <c r="B35" s="159"/>
      <c r="C35" s="160"/>
      <c r="D35" s="160"/>
      <c r="E35" s="160"/>
      <c r="F35" s="160"/>
      <c r="G35" s="160"/>
      <c r="H35" s="160"/>
      <c r="I35" s="160"/>
      <c r="J35" s="160"/>
      <c r="K35" s="161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13"/>
      <c r="D1" s="114"/>
      <c r="E1" s="114"/>
      <c r="F1" s="114"/>
      <c r="G1" s="114"/>
      <c r="H1" s="114"/>
      <c r="I1" s="114"/>
      <c r="J1" s="87"/>
      <c r="K1" s="87"/>
      <c r="L1" s="86"/>
      <c r="M1" s="86"/>
      <c r="N1" s="86"/>
      <c r="O1" s="86"/>
      <c r="P1" s="86"/>
    </row>
    <row r="2" spans="2:38" ht="13.5">
      <c r="B2" s="136" t="str">
        <f>lang!B2</f>
        <v>心理生理状态分析结果</v>
      </c>
      <c r="C2" s="137"/>
      <c r="D2" s="137"/>
      <c r="E2" s="137"/>
      <c r="F2" s="137"/>
      <c r="G2" s="137"/>
      <c r="H2" s="137"/>
      <c r="I2" s="137"/>
      <c r="J2" s="137"/>
      <c r="K2" s="138"/>
    </row>
    <row r="3" spans="2:38" ht="31.5" customHeight="1" thickBot="1">
      <c r="B3" s="139"/>
      <c r="C3" s="140"/>
      <c r="D3" s="140"/>
      <c r="E3" s="140"/>
      <c r="F3" s="140"/>
      <c r="G3" s="140"/>
      <c r="H3" s="140"/>
      <c r="I3" s="140"/>
      <c r="J3" s="140"/>
      <c r="K3" s="141"/>
    </row>
    <row r="4" spans="2:38" ht="16.5" customHeight="1">
      <c r="B4" s="45" t="str">
        <f>lang!B24</f>
        <v>姓名</v>
      </c>
      <c r="C4" s="150" t="str">
        <f>FH_info!B2</f>
        <v>.</v>
      </c>
      <c r="D4" s="151"/>
      <c r="E4" s="151"/>
      <c r="F4" s="152"/>
      <c r="G4" s="48" t="str">
        <f>lang!B27</f>
        <v>编号</v>
      </c>
      <c r="H4" s="150"/>
      <c r="I4" s="151"/>
      <c r="J4" s="151"/>
      <c r="K4" s="153"/>
    </row>
    <row r="5" spans="2:38" ht="17.25" customHeight="1">
      <c r="B5" s="46" t="str">
        <f>lang!B25</f>
        <v>性别</v>
      </c>
      <c r="C5" s="187"/>
      <c r="D5" s="188"/>
      <c r="E5" s="188"/>
      <c r="F5" s="189"/>
      <c r="G5" s="49" t="str">
        <f>lang!B28</f>
        <v xml:space="preserve"> 日期</v>
      </c>
      <c r="H5" s="172">
        <f>FH_info!A2</f>
        <v>43607.669756944444</v>
      </c>
      <c r="I5" s="173"/>
      <c r="J5" s="173"/>
      <c r="K5" s="174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90"/>
      <c r="D6" s="191"/>
      <c r="E6" s="191"/>
      <c r="F6" s="192"/>
      <c r="G6" s="50" t="str">
        <f>lang!B29</f>
        <v>误差率（%）</v>
      </c>
      <c r="H6" s="175">
        <f>dM!B17*1</f>
        <v>0</v>
      </c>
      <c r="I6" s="176"/>
      <c r="J6" s="176"/>
      <c r="K6" s="177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68" t="str">
        <f>lang!B30</f>
        <v>10项参数结果</v>
      </c>
      <c r="C7" s="169"/>
      <c r="D7" s="170"/>
      <c r="E7" s="170"/>
      <c r="F7" s="170"/>
      <c r="G7" s="170"/>
      <c r="H7" s="170"/>
      <c r="I7" s="170"/>
      <c r="J7" s="170"/>
      <c r="K7" s="171"/>
      <c r="M7" s="27" t="str">
        <f>lang!B14</f>
        <v>攻击性</v>
      </c>
      <c r="N7" s="59">
        <f>AF7-W7</f>
        <v>-2.5217000000000027</v>
      </c>
      <c r="O7" s="59">
        <f t="shared" ref="O7:T7" si="2">AG7-X7</f>
        <v>-3.5267999999999997</v>
      </c>
      <c r="P7" s="59">
        <f t="shared" si="2"/>
        <v>-9.229099999999999</v>
      </c>
      <c r="Q7" s="59">
        <f t="shared" si="2"/>
        <v>0</v>
      </c>
      <c r="R7" s="59">
        <f t="shared" si="2"/>
        <v>13.1783</v>
      </c>
      <c r="S7" s="59">
        <f t="shared" si="2"/>
        <v>0</v>
      </c>
      <c r="T7" s="59">
        <f t="shared" si="2"/>
        <v>-0.70320000000000249</v>
      </c>
      <c r="U7" s="14"/>
      <c r="V7" s="27" t="str">
        <f>M7</f>
        <v>攻击性</v>
      </c>
      <c r="W7" s="59">
        <f>'M1'!B5*1</f>
        <v>35.731999999999999</v>
      </c>
      <c r="X7" s="59">
        <f>'M1'!C5*1</f>
        <v>6.5434599999999996</v>
      </c>
      <c r="Y7" s="59">
        <f>'M1'!D5*1</f>
        <v>18.3126</v>
      </c>
      <c r="Z7" s="59">
        <f>'M1'!E5*1</f>
        <v>20</v>
      </c>
      <c r="AA7" s="59">
        <f>'M1'!F5*1</f>
        <v>15.558</v>
      </c>
      <c r="AB7" s="59">
        <f>'M1'!G5*1</f>
        <v>50</v>
      </c>
      <c r="AC7" s="59">
        <f>'M1'!H5*1</f>
        <v>42.971600000000002</v>
      </c>
      <c r="AE7" s="27" t="str">
        <f>V7</f>
        <v>攻击性</v>
      </c>
      <c r="AF7" s="59">
        <f>'M2'!B5*1</f>
        <v>33.210299999999997</v>
      </c>
      <c r="AG7" s="59">
        <f>'M2'!C5*1</f>
        <v>3.0166599999999999</v>
      </c>
      <c r="AH7" s="59">
        <f>'M2'!D5*1</f>
        <v>9.0835000000000008</v>
      </c>
      <c r="AI7" s="59">
        <f>'M2'!E5*1</f>
        <v>20</v>
      </c>
      <c r="AJ7" s="59">
        <f>'M2'!F5*1</f>
        <v>28.7363</v>
      </c>
      <c r="AK7" s="59">
        <f>'M2'!G5*1</f>
        <v>50</v>
      </c>
      <c r="AL7" s="59">
        <f>'M2'!H5*1</f>
        <v>42.2684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2.9387000000000043</v>
      </c>
      <c r="O8" s="59">
        <f t="shared" ref="O8:O16" si="5">AG8-X8</f>
        <v>4.3887699999999992</v>
      </c>
      <c r="P8" s="59">
        <f t="shared" ref="P8:P16" si="6">AH8-Y8</f>
        <v>11.655389999999999</v>
      </c>
      <c r="Q8" s="59">
        <f t="shared" ref="Q8:Q16" si="7">AI8-Z8</f>
        <v>0</v>
      </c>
      <c r="R8" s="59">
        <f t="shared" ref="R8:R16" si="8">AJ8-AA8</f>
        <v>-2.4484999999999992</v>
      </c>
      <c r="S8" s="59">
        <f t="shared" ref="S8:S16" si="9">AK8-AB8</f>
        <v>0</v>
      </c>
      <c r="T8" s="59">
        <f t="shared" ref="T8:T16" si="10">AL8-AC8</f>
        <v>1.9221999999999966</v>
      </c>
      <c r="U8" s="15"/>
      <c r="V8" s="27" t="str">
        <f t="shared" ref="V8:V16" si="11">M8</f>
        <v>压力</v>
      </c>
      <c r="W8" s="59">
        <f>'M1'!B6*1</f>
        <v>32.695799999999998</v>
      </c>
      <c r="X8" s="59">
        <f>'M1'!C6*1</f>
        <v>2.6192600000000001</v>
      </c>
      <c r="Y8" s="59">
        <f>'M1'!D6*1</f>
        <v>8.0110100000000006</v>
      </c>
      <c r="Z8" s="59">
        <f>'M1'!E6*1</f>
        <v>20</v>
      </c>
      <c r="AA8" s="59">
        <f>'M1'!F6*1</f>
        <v>26.213799999999999</v>
      </c>
      <c r="AB8" s="59">
        <f>'M1'!G6*1</f>
        <v>40</v>
      </c>
      <c r="AC8" s="59">
        <f>'M1'!H6*1</f>
        <v>41.569600000000001</v>
      </c>
      <c r="AE8" s="27" t="str">
        <f t="shared" ref="AE8:AE16" si="12">V8</f>
        <v>压力</v>
      </c>
      <c r="AF8" s="59">
        <f>'M2'!B6*1</f>
        <v>35.634500000000003</v>
      </c>
      <c r="AG8" s="59">
        <f>'M2'!C6*1</f>
        <v>7.0080299999999998</v>
      </c>
      <c r="AH8" s="59">
        <f>'M2'!D6*1</f>
        <v>19.666399999999999</v>
      </c>
      <c r="AI8" s="59">
        <f>'M2'!E6*1</f>
        <v>20</v>
      </c>
      <c r="AJ8" s="59">
        <f>'M2'!F6*1</f>
        <v>23.7653</v>
      </c>
      <c r="AK8" s="59">
        <f>'M2'!G6*1</f>
        <v>40</v>
      </c>
      <c r="AL8" s="59">
        <f>'M2'!H6*1</f>
        <v>43.491799999999998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13.1783</v>
      </c>
      <c r="D9" s="78">
        <f>N7</f>
        <v>-2.5217000000000027</v>
      </c>
      <c r="E9" s="79">
        <f>T7</f>
        <v>-0.70320000000000249</v>
      </c>
      <c r="F9" s="79">
        <f>P7</f>
        <v>-9.229099999999999</v>
      </c>
      <c r="G9" s="80" t="str">
        <f>CONCATENATE(M8,"
(20 ~ 40)")</f>
        <v>压力
(20 ~ 40)</v>
      </c>
      <c r="H9" s="77">
        <f>R8</f>
        <v>-2.4484999999999992</v>
      </c>
      <c r="I9" s="81">
        <f>N8</f>
        <v>2.9387000000000043</v>
      </c>
      <c r="J9" s="77">
        <f>T8</f>
        <v>1.9221999999999966</v>
      </c>
      <c r="K9" s="82">
        <f>P8</f>
        <v>11.655389999999999</v>
      </c>
      <c r="L9" s="6"/>
      <c r="M9" s="27" t="str">
        <f>lang!B16</f>
        <v>焦虑</v>
      </c>
      <c r="N9" s="59">
        <f t="shared" si="4"/>
        <v>0.67159999999999798</v>
      </c>
      <c r="O9" s="59">
        <f t="shared" si="5"/>
        <v>-4.0899400000000004</v>
      </c>
      <c r="P9" s="59">
        <f t="shared" si="6"/>
        <v>-18.758400000000002</v>
      </c>
      <c r="Q9" s="59">
        <f t="shared" si="7"/>
        <v>0</v>
      </c>
      <c r="R9" s="59">
        <f t="shared" si="8"/>
        <v>1.8031300000000003</v>
      </c>
      <c r="S9" s="59">
        <f t="shared" si="9"/>
        <v>0</v>
      </c>
      <c r="T9" s="59">
        <f t="shared" si="10"/>
        <v>-4.411999999999999</v>
      </c>
      <c r="U9" s="14"/>
      <c r="V9" s="27" t="str">
        <f t="shared" si="11"/>
        <v>焦虑</v>
      </c>
      <c r="W9" s="59">
        <f>'M1'!B7*1</f>
        <v>23.180900000000001</v>
      </c>
      <c r="X9" s="59">
        <f>'M1'!C7*1</f>
        <v>13.266</v>
      </c>
      <c r="Y9" s="59">
        <f>'M1'!D7*1</f>
        <v>57.228400000000001</v>
      </c>
      <c r="Z9" s="59">
        <f>'M1'!E7*1</f>
        <v>15</v>
      </c>
      <c r="AA9" s="59">
        <f>'M1'!F7*1</f>
        <v>4.2032499999999997</v>
      </c>
      <c r="AB9" s="59">
        <f>'M1'!G7*1</f>
        <v>40</v>
      </c>
      <c r="AC9" s="59">
        <f>'M1'!H7*1</f>
        <v>50.211799999999997</v>
      </c>
      <c r="AE9" s="27" t="str">
        <f t="shared" si="12"/>
        <v>焦虑</v>
      </c>
      <c r="AF9" s="59">
        <f>'M2'!B7*1</f>
        <v>23.852499999999999</v>
      </c>
      <c r="AG9" s="59">
        <f>'M2'!C7*1</f>
        <v>9.1760599999999997</v>
      </c>
      <c r="AH9" s="59">
        <f>'M2'!D7*1</f>
        <v>38.47</v>
      </c>
      <c r="AI9" s="59">
        <f>'M2'!E7*1</f>
        <v>15</v>
      </c>
      <c r="AJ9" s="59">
        <f>'M2'!F7*1</f>
        <v>6.0063800000000001</v>
      </c>
      <c r="AK9" s="59">
        <f>'M2'!G7*1</f>
        <v>40</v>
      </c>
      <c r="AL9" s="59">
        <f>'M2'!H7*1</f>
        <v>45.799799999999998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1.8031300000000003</v>
      </c>
      <c r="D10" s="51">
        <f>N9</f>
        <v>0.67159999999999798</v>
      </c>
      <c r="E10" s="53">
        <f>T9</f>
        <v>-4.411999999999999</v>
      </c>
      <c r="F10" s="53">
        <f>P9</f>
        <v>-18.758400000000002</v>
      </c>
      <c r="G10" s="73" t="str">
        <f>CONCATENATE(M10,"
(20 ~ 50)")</f>
        <v>可疑
(20 ~ 50)</v>
      </c>
      <c r="H10" s="24">
        <f>R10</f>
        <v>6.7316000000000003</v>
      </c>
      <c r="I10" s="52">
        <f>N10</f>
        <v>-1.3237000000000023</v>
      </c>
      <c r="J10" s="24">
        <f>T10</f>
        <v>0.33239999999999981</v>
      </c>
      <c r="K10" s="25">
        <f>P10</f>
        <v>-4.5568999999999988</v>
      </c>
      <c r="L10" s="4"/>
      <c r="M10" s="27" t="str">
        <f>lang!B17</f>
        <v>可疑</v>
      </c>
      <c r="N10" s="59">
        <f t="shared" si="4"/>
        <v>-1.3237000000000023</v>
      </c>
      <c r="O10" s="59">
        <f t="shared" si="5"/>
        <v>-1.56412</v>
      </c>
      <c r="P10" s="59">
        <f t="shared" si="6"/>
        <v>-4.5568999999999988</v>
      </c>
      <c r="Q10" s="59">
        <f t="shared" si="7"/>
        <v>0</v>
      </c>
      <c r="R10" s="59">
        <f t="shared" si="8"/>
        <v>6.7316000000000003</v>
      </c>
      <c r="S10" s="59">
        <f t="shared" si="9"/>
        <v>0</v>
      </c>
      <c r="T10" s="59">
        <f t="shared" si="10"/>
        <v>0.33239999999999981</v>
      </c>
      <c r="U10" s="14"/>
      <c r="V10" s="27" t="str">
        <f t="shared" si="11"/>
        <v>可疑</v>
      </c>
      <c r="W10" s="59">
        <f>'M1'!B8*1</f>
        <v>31.069500000000001</v>
      </c>
      <c r="X10" s="59">
        <f>'M1'!C8*1</f>
        <v>4.8970599999999997</v>
      </c>
      <c r="Y10" s="59">
        <f>'M1'!D8*1</f>
        <v>15.761699999999999</v>
      </c>
      <c r="Z10" s="59">
        <f>'M1'!E8*1</f>
        <v>20</v>
      </c>
      <c r="AA10" s="59">
        <f>'M1'!F8*1</f>
        <v>18.690999999999999</v>
      </c>
      <c r="AB10" s="59">
        <f>'M1'!G8*1</f>
        <v>50</v>
      </c>
      <c r="AC10" s="59">
        <f>'M1'!H8*1</f>
        <v>37.350200000000001</v>
      </c>
      <c r="AE10" s="27" t="str">
        <f t="shared" si="12"/>
        <v>可疑</v>
      </c>
      <c r="AF10" s="59">
        <f>'M2'!B8*1</f>
        <v>29.745799999999999</v>
      </c>
      <c r="AG10" s="59">
        <f>'M2'!C8*1</f>
        <v>3.3329399999999998</v>
      </c>
      <c r="AH10" s="59">
        <f>'M2'!D8*1</f>
        <v>11.204800000000001</v>
      </c>
      <c r="AI10" s="59">
        <f>'M2'!E8*1</f>
        <v>20</v>
      </c>
      <c r="AJ10" s="59">
        <f>'M2'!F8*1</f>
        <v>25.422599999999999</v>
      </c>
      <c r="AK10" s="59">
        <f>'M2'!G8*1</f>
        <v>50</v>
      </c>
      <c r="AL10" s="59">
        <f>'M2'!H8*1</f>
        <v>37.682600000000001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-0.4521000000000015</v>
      </c>
      <c r="D11" s="52">
        <f>N11</f>
        <v>-2.2931999999999988</v>
      </c>
      <c r="E11" s="24">
        <f>T11</f>
        <v>-7.5189999999999912</v>
      </c>
      <c r="F11" s="24">
        <f>P11</f>
        <v>-1.1086600000000004</v>
      </c>
      <c r="G11" s="73" t="str">
        <f>CONCATENATE(M12,"
(40 ~ 100)")</f>
        <v>自信
(40 ~ 100)</v>
      </c>
      <c r="H11" s="24">
        <f>R12</f>
        <v>0.1787000000000063</v>
      </c>
      <c r="I11" s="52">
        <f>N12</f>
        <v>-0.54060000000001196</v>
      </c>
      <c r="J11" s="24">
        <f>T12</f>
        <v>-4.0982000000000056</v>
      </c>
      <c r="K11" s="25">
        <f>P12</f>
        <v>0.51719999999999988</v>
      </c>
      <c r="L11" s="4"/>
      <c r="M11" s="27" t="str">
        <f>lang!B18</f>
        <v>平衡</v>
      </c>
      <c r="N11" s="59">
        <f t="shared" si="4"/>
        <v>-2.2931999999999988</v>
      </c>
      <c r="O11" s="59">
        <f t="shared" si="5"/>
        <v>-0.94327999999999967</v>
      </c>
      <c r="P11" s="59">
        <f t="shared" si="6"/>
        <v>-1.1086600000000004</v>
      </c>
      <c r="Q11" s="59">
        <f t="shared" si="7"/>
        <v>0</v>
      </c>
      <c r="R11" s="59">
        <f t="shared" si="8"/>
        <v>-0.4521000000000015</v>
      </c>
      <c r="S11" s="59">
        <f t="shared" si="9"/>
        <v>0</v>
      </c>
      <c r="T11" s="59">
        <f t="shared" si="10"/>
        <v>-7.5189999999999912</v>
      </c>
      <c r="U11" s="14"/>
      <c r="V11" s="27" t="str">
        <f t="shared" si="11"/>
        <v>平衡</v>
      </c>
      <c r="W11" s="59">
        <f>'M1'!B9*1</f>
        <v>71.7209</v>
      </c>
      <c r="X11" s="59">
        <f>'M1'!C9*1</f>
        <v>5.4283599999999996</v>
      </c>
      <c r="Y11" s="59">
        <f>'M1'!D9*1</f>
        <v>7.5687300000000004</v>
      </c>
      <c r="Z11" s="59">
        <f>'M1'!E9*1</f>
        <v>50</v>
      </c>
      <c r="AA11" s="59">
        <f>'M1'!F9*1</f>
        <v>59.921599999999998</v>
      </c>
      <c r="AB11" s="59">
        <f>'M1'!G9*1</f>
        <v>100</v>
      </c>
      <c r="AC11" s="59">
        <f>'M1'!H9*1</f>
        <v>85.670599999999993</v>
      </c>
      <c r="AE11" s="27" t="str">
        <f t="shared" si="12"/>
        <v>平衡</v>
      </c>
      <c r="AF11" s="59">
        <f>'M2'!B9*1</f>
        <v>69.427700000000002</v>
      </c>
      <c r="AG11" s="59">
        <f>'M2'!C9*1</f>
        <v>4.48508</v>
      </c>
      <c r="AH11" s="59">
        <f>'M2'!D9*1</f>
        <v>6.46007</v>
      </c>
      <c r="AI11" s="59">
        <f>'M2'!E9*1</f>
        <v>50</v>
      </c>
      <c r="AJ11" s="59">
        <f>'M2'!F9*1</f>
        <v>59.469499999999996</v>
      </c>
      <c r="AK11" s="59">
        <f>'M2'!G9*1</f>
        <v>100</v>
      </c>
      <c r="AL11" s="59">
        <f>'M2'!H9*1</f>
        <v>78.151600000000002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4.7367000000000008</v>
      </c>
      <c r="D12" s="51">
        <f>N13</f>
        <v>-5.6633999999999993</v>
      </c>
      <c r="E12" s="53">
        <f>T13</f>
        <v>8.1800000000001205E-2</v>
      </c>
      <c r="F12" s="53">
        <f>P13</f>
        <v>4.1961000000000013</v>
      </c>
      <c r="G12" s="73" t="str">
        <f>CONCATENATE(M14,"
(50 ~ 100)")</f>
        <v>自我调节
(50 ~ 100)</v>
      </c>
      <c r="H12" s="24">
        <f>R14</f>
        <v>-1.4067999999999969</v>
      </c>
      <c r="I12" s="52">
        <f>N14</f>
        <v>-1.5726999999999975</v>
      </c>
      <c r="J12" s="24">
        <f>T14</f>
        <v>-6.3917000000000002</v>
      </c>
      <c r="K12" s="25">
        <f>P14</f>
        <v>-0.69581999999999944</v>
      </c>
      <c r="L12" s="4"/>
      <c r="M12" s="27" t="str">
        <f>lang!B19</f>
        <v>自信</v>
      </c>
      <c r="N12" s="59">
        <f t="shared" si="4"/>
        <v>-0.54060000000001196</v>
      </c>
      <c r="O12" s="59">
        <f t="shared" si="5"/>
        <v>0.34230000000000027</v>
      </c>
      <c r="P12" s="59">
        <f t="shared" si="6"/>
        <v>0.51719999999999988</v>
      </c>
      <c r="Q12" s="59">
        <f t="shared" si="7"/>
        <v>0</v>
      </c>
      <c r="R12" s="59">
        <f t="shared" si="8"/>
        <v>0.1787000000000063</v>
      </c>
      <c r="S12" s="59">
        <f t="shared" si="9"/>
        <v>0</v>
      </c>
      <c r="T12" s="59">
        <f t="shared" si="10"/>
        <v>-4.0982000000000056</v>
      </c>
      <c r="U12" s="15"/>
      <c r="V12" s="27" t="str">
        <f t="shared" si="11"/>
        <v>自信</v>
      </c>
      <c r="W12" s="59">
        <f>'M1'!B10*1</f>
        <v>71.251900000000006</v>
      </c>
      <c r="X12" s="59">
        <f>'M1'!C10*1</f>
        <v>3.0868099999999998</v>
      </c>
      <c r="Y12" s="59">
        <f>'M1'!D10*1</f>
        <v>4.3322500000000002</v>
      </c>
      <c r="Z12" s="59">
        <f>'M1'!E10*1</f>
        <v>40</v>
      </c>
      <c r="AA12" s="59">
        <f>'M1'!F10*1</f>
        <v>65.889499999999998</v>
      </c>
      <c r="AB12" s="59">
        <f>'M1'!G10*1</f>
        <v>100</v>
      </c>
      <c r="AC12" s="59">
        <f>'M1'!H10*1</f>
        <v>79.953500000000005</v>
      </c>
      <c r="AE12" s="27" t="str">
        <f t="shared" si="12"/>
        <v>自信</v>
      </c>
      <c r="AF12" s="59">
        <f>'M2'!B10*1</f>
        <v>70.711299999999994</v>
      </c>
      <c r="AG12" s="59">
        <f>'M2'!C10*1</f>
        <v>3.4291100000000001</v>
      </c>
      <c r="AH12" s="59">
        <f>'M2'!D10*1</f>
        <v>4.84945</v>
      </c>
      <c r="AI12" s="59">
        <f>'M2'!E10*1</f>
        <v>40</v>
      </c>
      <c r="AJ12" s="59">
        <f>'M2'!F10*1</f>
        <v>66.068200000000004</v>
      </c>
      <c r="AK12" s="59">
        <f>'M2'!G10*1</f>
        <v>100</v>
      </c>
      <c r="AL12" s="59">
        <f>'M2'!H10*1</f>
        <v>75.8553</v>
      </c>
    </row>
    <row r="13" spans="2:38" ht="25.5" customHeight="1" thickBot="1">
      <c r="B13" s="72" t="str">
        <f>CONCATENATE(M15,"
(10 ~ 25)")</f>
        <v>抑郁
(10 ~ 25)</v>
      </c>
      <c r="C13" s="54">
        <f>R15</f>
        <v>-4.8516999999999992</v>
      </c>
      <c r="D13" s="55">
        <f>N15</f>
        <v>-2.9558</v>
      </c>
      <c r="E13" s="56">
        <f>T15</f>
        <v>-15.3764</v>
      </c>
      <c r="F13" s="56">
        <f>P15</f>
        <v>-6.1555999999999997</v>
      </c>
      <c r="G13" s="74" t="str">
        <f>CONCATENATE(M16,"
(10 ~ 50)")</f>
        <v>神经质
(10 ~ 50)</v>
      </c>
      <c r="H13" s="54">
        <f>R16</f>
        <v>1.8676100000000002</v>
      </c>
      <c r="I13" s="55">
        <f>N16</f>
        <v>-20.077999999999996</v>
      </c>
      <c r="J13" s="56">
        <f>T16</f>
        <v>-16.051400000000001</v>
      </c>
      <c r="K13" s="57">
        <f>P16</f>
        <v>8.2202000000000055</v>
      </c>
      <c r="M13" s="27" t="str">
        <f>lang!B20</f>
        <v>活力</v>
      </c>
      <c r="N13" s="59">
        <f t="shared" si="4"/>
        <v>-5.6633999999999993</v>
      </c>
      <c r="O13" s="59">
        <f t="shared" si="5"/>
        <v>-0.21923000000000048</v>
      </c>
      <c r="P13" s="59">
        <f t="shared" si="6"/>
        <v>4.1961000000000013</v>
      </c>
      <c r="Q13" s="59">
        <f t="shared" si="7"/>
        <v>0</v>
      </c>
      <c r="R13" s="59">
        <f t="shared" si="8"/>
        <v>4.7367000000000008</v>
      </c>
      <c r="S13" s="59">
        <f t="shared" si="9"/>
        <v>0</v>
      </c>
      <c r="T13" s="59">
        <f t="shared" si="10"/>
        <v>8.1800000000001205E-2</v>
      </c>
      <c r="U13" s="14"/>
      <c r="V13" s="27" t="str">
        <f t="shared" si="11"/>
        <v>活力</v>
      </c>
      <c r="W13" s="59">
        <f>'M1'!B11*1</f>
        <v>26.835799999999999</v>
      </c>
      <c r="X13" s="59">
        <f>'M1'!C11*1</f>
        <v>5.2486100000000002</v>
      </c>
      <c r="Y13" s="59">
        <f>'M1'!D11*1</f>
        <v>19.558199999999999</v>
      </c>
      <c r="Z13" s="59">
        <f>'M1'!E11*1</f>
        <v>10</v>
      </c>
      <c r="AA13" s="59">
        <f>'M1'!F11*1</f>
        <v>13.4168</v>
      </c>
      <c r="AB13" s="59">
        <f>'M1'!G11*1</f>
        <v>50</v>
      </c>
      <c r="AC13" s="59">
        <f>'M1'!H11*1</f>
        <v>33.150599999999997</v>
      </c>
      <c r="AE13" s="27" t="str">
        <f t="shared" si="12"/>
        <v>活力</v>
      </c>
      <c r="AF13" s="59">
        <f>'M2'!B11*1</f>
        <v>21.1724</v>
      </c>
      <c r="AG13" s="59">
        <f>'M2'!C11*1</f>
        <v>5.0293799999999997</v>
      </c>
      <c r="AH13" s="59">
        <f>'M2'!D11*1</f>
        <v>23.754300000000001</v>
      </c>
      <c r="AI13" s="59">
        <f>'M2'!E11*1</f>
        <v>10</v>
      </c>
      <c r="AJ13" s="59">
        <f>'M2'!F11*1</f>
        <v>18.153500000000001</v>
      </c>
      <c r="AK13" s="59">
        <f>'M2'!G11*1</f>
        <v>50</v>
      </c>
      <c r="AL13" s="59">
        <f>'M2'!H11*1</f>
        <v>33.232399999999998</v>
      </c>
    </row>
    <row r="14" spans="2:38" ht="19.5" customHeight="1" thickBot="1">
      <c r="B14" s="147" t="str">
        <f>lang!B3</f>
        <v>参数表</v>
      </c>
      <c r="C14" s="148"/>
      <c r="D14" s="148"/>
      <c r="E14" s="148"/>
      <c r="F14" s="149"/>
      <c r="G14" s="144" t="str">
        <f>lang!B4</f>
        <v>情感状态分布图</v>
      </c>
      <c r="H14" s="145"/>
      <c r="I14" s="145"/>
      <c r="J14" s="145"/>
      <c r="K14" s="146"/>
      <c r="M14" s="27" t="str">
        <f>lang!B21</f>
        <v>自我调节</v>
      </c>
      <c r="N14" s="59">
        <f t="shared" si="4"/>
        <v>-1.5726999999999975</v>
      </c>
      <c r="O14" s="59">
        <f t="shared" si="5"/>
        <v>-0.56871999999999989</v>
      </c>
      <c r="P14" s="59">
        <f t="shared" si="6"/>
        <v>-0.69581999999999944</v>
      </c>
      <c r="Q14" s="59">
        <f t="shared" si="7"/>
        <v>0</v>
      </c>
      <c r="R14" s="59">
        <f t="shared" si="8"/>
        <v>-1.4067999999999969</v>
      </c>
      <c r="S14" s="59">
        <f t="shared" si="9"/>
        <v>0</v>
      </c>
      <c r="T14" s="59">
        <f t="shared" si="10"/>
        <v>-6.3917000000000002</v>
      </c>
      <c r="U14" s="14"/>
      <c r="V14" s="27" t="str">
        <f t="shared" si="11"/>
        <v>自我调节</v>
      </c>
      <c r="W14" s="59">
        <f>'M1'!B12*1</f>
        <v>71.391300000000001</v>
      </c>
      <c r="X14" s="59">
        <f>'M1'!C12*1</f>
        <v>3.76363</v>
      </c>
      <c r="Y14" s="59">
        <f>'M1'!D12*1</f>
        <v>5.2718299999999996</v>
      </c>
      <c r="Z14" s="59">
        <f>'M1'!E12*1</f>
        <v>50</v>
      </c>
      <c r="AA14" s="59">
        <f>'M1'!F12*1</f>
        <v>65.046599999999998</v>
      </c>
      <c r="AB14" s="59">
        <f>'M1'!G12*1</f>
        <v>100</v>
      </c>
      <c r="AC14" s="59">
        <f>'M1'!H12*1</f>
        <v>82.812100000000001</v>
      </c>
      <c r="AE14" s="27" t="str">
        <f t="shared" si="12"/>
        <v>自我调节</v>
      </c>
      <c r="AF14" s="59">
        <f>'M2'!B12*1</f>
        <v>69.818600000000004</v>
      </c>
      <c r="AG14" s="59">
        <f>'M2'!C12*1</f>
        <v>3.1949100000000001</v>
      </c>
      <c r="AH14" s="59">
        <f>'M2'!D12*1</f>
        <v>4.5760100000000001</v>
      </c>
      <c r="AI14" s="59">
        <f>'M2'!E12*1</f>
        <v>50</v>
      </c>
      <c r="AJ14" s="59">
        <f>'M2'!F12*1</f>
        <v>63.639800000000001</v>
      </c>
      <c r="AK14" s="59">
        <f>'M2'!G12*1</f>
        <v>100</v>
      </c>
      <c r="AL14" s="59">
        <f>'M2'!H12*1</f>
        <v>76.420400000000001</v>
      </c>
    </row>
    <row r="15" spans="2:38" ht="21" customHeight="1">
      <c r="B15" s="38"/>
      <c r="C15" s="28"/>
      <c r="D15" s="28"/>
      <c r="E15" s="28"/>
      <c r="F15" s="28"/>
      <c r="G15" s="125"/>
      <c r="H15" s="126"/>
      <c r="I15" s="126"/>
      <c r="J15" s="126"/>
      <c r="K15" s="127"/>
      <c r="M15" s="27" t="str">
        <f>lang!B22</f>
        <v>抑郁</v>
      </c>
      <c r="N15" s="59">
        <f t="shared" si="4"/>
        <v>-2.9558</v>
      </c>
      <c r="O15" s="59">
        <f t="shared" si="5"/>
        <v>-2.0078000000000005</v>
      </c>
      <c r="P15" s="59">
        <f t="shared" si="6"/>
        <v>-6.1555999999999997</v>
      </c>
      <c r="Q15" s="59">
        <f t="shared" si="7"/>
        <v>0</v>
      </c>
      <c r="R15" s="59">
        <f t="shared" si="8"/>
        <v>-4.8516999999999992</v>
      </c>
      <c r="S15" s="59">
        <f t="shared" si="9"/>
        <v>0</v>
      </c>
      <c r="T15" s="59">
        <f t="shared" si="10"/>
        <v>-15.3764</v>
      </c>
      <c r="U15" s="14"/>
      <c r="V15" s="27" t="str">
        <f t="shared" si="11"/>
        <v>抑郁</v>
      </c>
      <c r="W15" s="59">
        <f>'M1'!B13*1</f>
        <v>21.139500000000002</v>
      </c>
      <c r="X15" s="59">
        <f>'M1'!C13*1</f>
        <v>6.3544</v>
      </c>
      <c r="Y15" s="59">
        <f>'M1'!D13*1</f>
        <v>30.0594</v>
      </c>
      <c r="Z15" s="59">
        <f>'M1'!E13*1</f>
        <v>10</v>
      </c>
      <c r="AA15" s="59">
        <f>'M1'!F13*1</f>
        <v>16.813199999999998</v>
      </c>
      <c r="AB15" s="59">
        <f>'M1'!G13*1</f>
        <v>25</v>
      </c>
      <c r="AC15" s="59">
        <f>'M1'!H13*1</f>
        <v>46.430399999999999</v>
      </c>
      <c r="AE15" s="27" t="str">
        <f t="shared" si="12"/>
        <v>抑郁</v>
      </c>
      <c r="AF15" s="59">
        <f>'M2'!B13*1</f>
        <v>18.183700000000002</v>
      </c>
      <c r="AG15" s="59">
        <f>'M2'!C13*1</f>
        <v>4.3465999999999996</v>
      </c>
      <c r="AH15" s="59">
        <f>'M2'!D13*1</f>
        <v>23.9038</v>
      </c>
      <c r="AI15" s="59">
        <f>'M2'!E13*1</f>
        <v>10</v>
      </c>
      <c r="AJ15" s="59">
        <f>'M2'!F13*1</f>
        <v>11.961499999999999</v>
      </c>
      <c r="AK15" s="59">
        <f>'M2'!G13*1</f>
        <v>25</v>
      </c>
      <c r="AL15" s="59">
        <f>'M2'!H13*1</f>
        <v>31.053999999999998</v>
      </c>
    </row>
    <row r="16" spans="2:38" ht="21" customHeight="1">
      <c r="B16" s="29"/>
      <c r="C16" s="32"/>
      <c r="D16" s="32"/>
      <c r="E16" s="32"/>
      <c r="F16" s="32"/>
      <c r="G16" s="128"/>
      <c r="H16" s="129"/>
      <c r="I16" s="129"/>
      <c r="J16" s="129"/>
      <c r="K16" s="130"/>
      <c r="M16" s="27" t="str">
        <f>lang!B23</f>
        <v>神经质</v>
      </c>
      <c r="N16" s="59">
        <f t="shared" si="4"/>
        <v>-20.077999999999996</v>
      </c>
      <c r="O16" s="59">
        <f t="shared" si="5"/>
        <v>-5.6396000000000015</v>
      </c>
      <c r="P16" s="59">
        <f t="shared" si="6"/>
        <v>8.2202000000000055</v>
      </c>
      <c r="Q16" s="59">
        <f t="shared" si="7"/>
        <v>0</v>
      </c>
      <c r="R16" s="59">
        <f t="shared" si="8"/>
        <v>1.8676100000000002</v>
      </c>
      <c r="S16" s="59">
        <f t="shared" si="9"/>
        <v>0</v>
      </c>
      <c r="T16" s="59">
        <f t="shared" si="10"/>
        <v>-16.051400000000001</v>
      </c>
      <c r="U16" s="15"/>
      <c r="V16" s="27" t="str">
        <f t="shared" si="11"/>
        <v>神经质</v>
      </c>
      <c r="W16" s="59">
        <f>'M1'!B14*1</f>
        <v>63.543999999999997</v>
      </c>
      <c r="X16" s="59">
        <f>'M1'!C14*1</f>
        <v>29.156600000000001</v>
      </c>
      <c r="Y16" s="59">
        <f>'M1'!D14*1</f>
        <v>45.884099999999997</v>
      </c>
      <c r="Z16" s="59">
        <f>'M1'!E14*1</f>
        <v>10</v>
      </c>
      <c r="AA16" s="59">
        <f>'M1'!F14*1</f>
        <v>1.4942599999999999</v>
      </c>
      <c r="AB16" s="59">
        <f>'M1'!G14*1</f>
        <v>50</v>
      </c>
      <c r="AC16" s="59">
        <f>'M1'!H14*1</f>
        <v>79.369</v>
      </c>
      <c r="AE16" s="27" t="str">
        <f t="shared" si="12"/>
        <v>神经质</v>
      </c>
      <c r="AF16" s="59">
        <f>'M2'!B14*1</f>
        <v>43.466000000000001</v>
      </c>
      <c r="AG16" s="59">
        <f>'M2'!C14*1</f>
        <v>23.516999999999999</v>
      </c>
      <c r="AH16" s="59">
        <f>'M2'!D14*1</f>
        <v>54.104300000000002</v>
      </c>
      <c r="AI16" s="59">
        <f>'M2'!E14*1</f>
        <v>10</v>
      </c>
      <c r="AJ16" s="59">
        <f>'M2'!F14*1</f>
        <v>3.3618700000000001</v>
      </c>
      <c r="AK16" s="59">
        <f>'M2'!G14*1</f>
        <v>50</v>
      </c>
      <c r="AL16" s="59">
        <f>'M2'!H14*1</f>
        <v>63.317599999999999</v>
      </c>
    </row>
    <row r="17" spans="2:38" ht="21" customHeight="1">
      <c r="B17" s="29"/>
      <c r="C17" s="32"/>
      <c r="D17" s="32"/>
      <c r="E17" s="32"/>
      <c r="F17" s="32"/>
      <c r="G17" s="128"/>
      <c r="H17" s="129"/>
      <c r="I17" s="129"/>
      <c r="J17" s="129"/>
      <c r="K17" s="130"/>
      <c r="M17" s="21" t="str">
        <f>lang!B7</f>
        <v>Positive</v>
      </c>
      <c r="N17" s="65">
        <f>SUM(N11:N14)/4</f>
        <v>-2.5174750000000019</v>
      </c>
      <c r="O17" s="22">
        <f>N17/(N17+N18+N19)</f>
        <v>0.17863110802056331</v>
      </c>
      <c r="P17" s="65">
        <f>SUM(P11:P14)/4</f>
        <v>0.72720500000000032</v>
      </c>
      <c r="Q17" s="22">
        <f>P17/(P17+P18+P19)</f>
        <v>-0.21000809328430706</v>
      </c>
      <c r="R17" s="14"/>
      <c r="S17" s="14"/>
      <c r="T17" s="14"/>
      <c r="U17" s="14"/>
      <c r="V17" s="21" t="str">
        <f>M17</f>
        <v>Positive</v>
      </c>
      <c r="W17" s="65">
        <f>SUM(W11:W14)/4</f>
        <v>60.299975000000003</v>
      </c>
      <c r="X17" s="22">
        <f>W17/(W17+W18+W19)</f>
        <v>0.45232464395828487</v>
      </c>
      <c r="Y17" s="65">
        <f>SUM(Y11:Y14)/4</f>
        <v>9.1827524999999994</v>
      </c>
      <c r="Z17" s="22">
        <f>Y17/(Y17+Y18+Y19)</f>
        <v>0.12756847352559836</v>
      </c>
      <c r="AA17" s="14"/>
      <c r="AB17" s="14"/>
      <c r="AC17" s="14"/>
      <c r="AE17" s="21" t="str">
        <f>V17</f>
        <v>Positive</v>
      </c>
      <c r="AF17" s="65">
        <f>SUM(AF11:AF14)/4</f>
        <v>57.782500000000006</v>
      </c>
      <c r="AG17" s="22">
        <f>AF17/(AF17+AF18+AF19)</f>
        <v>0.48467881876182844</v>
      </c>
      <c r="AH17" s="65">
        <f>SUM(AH11:AH14)/4</f>
        <v>9.9099575000000009</v>
      </c>
      <c r="AI17" s="22">
        <f>AH17/(AH17+AH18+AH19)</f>
        <v>0.14462829984435607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28"/>
      <c r="H18" s="129"/>
      <c r="I18" s="129"/>
      <c r="J18" s="129"/>
      <c r="K18" s="130"/>
      <c r="M18" s="21" t="str">
        <f>lang!B8</f>
        <v>Negative</v>
      </c>
      <c r="N18" s="18">
        <f>SUM(N7:N10)/4</f>
        <v>-5.8775000000000688E-2</v>
      </c>
      <c r="O18" s="22">
        <f>N18/(N17+N18+N19)</f>
        <v>4.1704657936657659E-3</v>
      </c>
      <c r="P18" s="18">
        <f>SUM(P7:P10)/4</f>
        <v>-5.2222524999999997</v>
      </c>
      <c r="Q18" s="22">
        <f>P18/(P17+P18+P19)</f>
        <v>1.5081239680340555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30.669550000000001</v>
      </c>
      <c r="X18" s="22">
        <f>W18/(W17+W18+W19)</f>
        <v>0.23005968549921979</v>
      </c>
      <c r="Y18" s="18">
        <f>SUM(Y7:Y10)/4</f>
        <v>24.8284275</v>
      </c>
      <c r="Z18" s="22">
        <f>Y18/(Y17+Y18+Y19)</f>
        <v>0.34492104586462374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30.610774999999997</v>
      </c>
      <c r="AG18" s="22">
        <f>AF18/(AF17+AF18+AF19)</f>
        <v>0.25676276153479177</v>
      </c>
      <c r="AH18" s="18">
        <f>SUM(AH7:AH10)/4</f>
        <v>19.606175</v>
      </c>
      <c r="AI18" s="22">
        <f>AH18/(AH17+AH18+AH19)</f>
        <v>0.28613722679445575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28"/>
      <c r="H19" s="129"/>
      <c r="I19" s="129"/>
      <c r="J19" s="129"/>
      <c r="K19" s="130"/>
      <c r="M19" s="21" t="str">
        <f>lang!B9</f>
        <v>Physiological</v>
      </c>
      <c r="N19" s="18">
        <f>(N15+N16)/2</f>
        <v>-11.516899999999998</v>
      </c>
      <c r="O19" s="22">
        <f>N19/(N17+N18+N19)</f>
        <v>0.81719842618577088</v>
      </c>
      <c r="P19" s="18">
        <f>(P15+P16)/2</f>
        <v>1.0323000000000029</v>
      </c>
      <c r="Q19" s="22">
        <f>P19/(P17+P18+P19)</f>
        <v>-0.29811587474974827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42.341749999999998</v>
      </c>
      <c r="X19" s="22">
        <f>W19/(W17+W18+W19)</f>
        <v>0.31761567054249534</v>
      </c>
      <c r="Y19" s="18">
        <f>(Y15+Y16)/2</f>
        <v>37.97175</v>
      </c>
      <c r="Z19" s="22">
        <f>Y19/(Y17+Y18+Y19)</f>
        <v>0.5275104806097779</v>
      </c>
      <c r="AA19" s="14"/>
      <c r="AB19" s="14"/>
      <c r="AC19" s="14"/>
      <c r="AE19" s="21" t="str">
        <f t="shared" si="14"/>
        <v>Physiological</v>
      </c>
      <c r="AF19" s="18">
        <f>(AF15+AF16)/2</f>
        <v>30.824850000000001</v>
      </c>
      <c r="AG19" s="22">
        <f>AF19/(AF17+AF18+AF19)</f>
        <v>0.25855841970337984</v>
      </c>
      <c r="AH19" s="18">
        <f>(AH15+AH16)/2</f>
        <v>39.004049999999999</v>
      </c>
      <c r="AI19" s="22">
        <f>AH19/(AH17+AH18+AH19)</f>
        <v>0.56923447336118815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28"/>
      <c r="H20" s="129"/>
      <c r="I20" s="129"/>
      <c r="J20" s="129"/>
      <c r="K20" s="13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28"/>
      <c r="H21" s="129"/>
      <c r="I21" s="129"/>
      <c r="J21" s="129"/>
      <c r="K21" s="13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31"/>
      <c r="H22" s="132"/>
      <c r="I22" s="132"/>
      <c r="J22" s="132"/>
      <c r="K22" s="133"/>
      <c r="M22" s="16"/>
      <c r="O22" s="17"/>
      <c r="Q22"/>
      <c r="T22"/>
      <c r="U22" s="19"/>
    </row>
    <row r="23" spans="2:38" ht="17.25" customHeight="1" thickBot="1">
      <c r="B23" s="193" t="str">
        <f>lang!B5</f>
        <v>频率分布直方图</v>
      </c>
      <c r="C23" s="194"/>
      <c r="D23" s="194"/>
      <c r="E23" s="194"/>
      <c r="F23" s="195"/>
      <c r="G23" s="122" t="str">
        <f>lang!B6</f>
        <v xml:space="preserve">心理变化 - 心理基础代谢 </v>
      </c>
      <c r="H23" s="123"/>
      <c r="I23" s="123"/>
      <c r="J23" s="123"/>
      <c r="K23" s="12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1.77/1.68</v>
      </c>
      <c r="D24" s="44" t="str">
        <f>lang!B11</f>
        <v>频率方差</v>
      </c>
      <c r="E24" s="142" t="str">
        <f ca="1">CONCATENATE(ROUND('FH1'!L3,2),"/",ROUND('FH2'!L3,2))</f>
        <v>0.54/0.52</v>
      </c>
      <c r="F24" s="143"/>
      <c r="G24" s="134" t="str">
        <f>lang!B12</f>
        <v>生理变化率</v>
      </c>
      <c r="H24" s="135"/>
      <c r="I24" s="62" t="str">
        <f ca="1">CONCATENATE(info!M7,"-",info!M8)</f>
        <v>47.2-58.1</v>
      </c>
      <c r="J24" s="42" t="str">
        <f>lang!B13</f>
        <v>千卡l/分钟</v>
      </c>
      <c r="K24" s="41" t="str">
        <f ca="1">CONCATENATE(info!M5,"-",info!M6)</f>
        <v>2.9-4.2</v>
      </c>
      <c r="M24" s="16"/>
      <c r="O24" s="17"/>
      <c r="P24" s="17"/>
      <c r="Q24"/>
      <c r="T24"/>
      <c r="U24" s="19"/>
    </row>
    <row r="25" spans="2:38" ht="156.75" customHeight="1" thickBot="1">
      <c r="B25" s="115"/>
      <c r="C25" s="116"/>
      <c r="D25" s="116"/>
      <c r="E25" s="117"/>
      <c r="F25" s="39"/>
      <c r="G25" s="118"/>
      <c r="H25" s="119"/>
      <c r="I25" s="119"/>
      <c r="J25" s="120"/>
      <c r="K25" s="121"/>
      <c r="M25"/>
      <c r="O25" s="17"/>
      <c r="Q25"/>
      <c r="T25"/>
      <c r="U25" s="19"/>
    </row>
    <row r="26" spans="2:38" ht="15" customHeight="1" thickBot="1">
      <c r="B26" s="162" t="str">
        <f>CONCATENATE( lang!B31," ",ROUND(100-FH_info!L2,0),"%]")</f>
        <v>Result [Quality 100%]</v>
      </c>
      <c r="C26" s="163"/>
      <c r="D26" s="163"/>
      <c r="E26" s="163"/>
      <c r="F26" s="163"/>
      <c r="G26" s="163"/>
      <c r="H26" s="163"/>
      <c r="I26" s="163"/>
      <c r="J26" s="163"/>
      <c r="K26" s="164"/>
      <c r="M26"/>
      <c r="Q26"/>
      <c r="T26"/>
    </row>
    <row r="27" spans="2:38" ht="15.75" thickBot="1">
      <c r="B27" s="178" t="str">
        <f>lang!B32</f>
        <v>外向性</v>
      </c>
      <c r="C27" s="179"/>
      <c r="D27" s="180"/>
      <c r="E27" s="162">
        <f>dM!B18*100</f>
        <v>-5.5856999999999939</v>
      </c>
      <c r="F27" s="164"/>
      <c r="G27" s="178" t="str">
        <f>lang!B33</f>
        <v>稳定性</v>
      </c>
      <c r="H27" s="179"/>
      <c r="I27" s="180"/>
      <c r="J27" s="181">
        <f>dM!B19*100</f>
        <v>-0.72010000000000129</v>
      </c>
      <c r="K27" s="182"/>
    </row>
    <row r="28" spans="2:38" ht="24.75" customHeight="1">
      <c r="B28" s="165" t="str">
        <f>lang!B34</f>
        <v xml:space="preserve">心理生理状态分析结果： </v>
      </c>
      <c r="C28" s="166"/>
      <c r="D28" s="166"/>
      <c r="E28" s="166"/>
      <c r="F28" s="166"/>
      <c r="G28" s="166"/>
      <c r="H28" s="166"/>
      <c r="I28" s="166"/>
      <c r="J28" s="166"/>
      <c r="K28" s="167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⊠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⊡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83" t="str">
        <f>lang!B37</f>
        <v>意见</v>
      </c>
      <c r="C31" s="184"/>
      <c r="D31" s="185"/>
      <c r="E31" s="185"/>
      <c r="F31" s="185"/>
      <c r="G31" s="185"/>
      <c r="H31" s="185"/>
      <c r="I31" s="185"/>
      <c r="J31" s="185"/>
      <c r="K31" s="186"/>
      <c r="M31"/>
      <c r="Q31"/>
      <c r="T31"/>
      <c r="W31" s="33"/>
      <c r="X31" s="33"/>
    </row>
    <row r="32" spans="2:38" ht="18" customHeight="1">
      <c r="B32" s="156"/>
      <c r="C32" s="157"/>
      <c r="D32" s="157"/>
      <c r="E32" s="157"/>
      <c r="F32" s="157"/>
      <c r="G32" s="157"/>
      <c r="H32" s="157"/>
      <c r="I32" s="157"/>
      <c r="J32" s="157"/>
      <c r="K32" s="158"/>
      <c r="M32"/>
      <c r="Q32"/>
      <c r="T32"/>
      <c r="W32" s="33"/>
      <c r="X32" s="33"/>
    </row>
    <row r="33" spans="2:24" ht="20.25" customHeight="1">
      <c r="B33" s="156"/>
      <c r="C33" s="157"/>
      <c r="D33" s="157"/>
      <c r="E33" s="157"/>
      <c r="F33" s="157"/>
      <c r="G33" s="157"/>
      <c r="H33" s="157"/>
      <c r="I33" s="157"/>
      <c r="J33" s="157"/>
      <c r="K33" s="158"/>
      <c r="M33"/>
      <c r="Q33"/>
      <c r="T33"/>
      <c r="W33" s="33"/>
      <c r="X33" s="33"/>
    </row>
    <row r="34" spans="2:24" ht="35.25" customHeight="1" thickBot="1">
      <c r="B34" s="159"/>
      <c r="C34" s="160"/>
      <c r="D34" s="160"/>
      <c r="E34" s="160"/>
      <c r="F34" s="160"/>
      <c r="G34" s="160"/>
      <c r="H34" s="160"/>
      <c r="I34" s="160"/>
      <c r="J34" s="160"/>
      <c r="K34" s="161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  <mergeCell ref="B23:F23"/>
    <mergeCell ref="G23:K23"/>
    <mergeCell ref="E24:F24"/>
    <mergeCell ref="G24:H24"/>
    <mergeCell ref="B25:E25"/>
    <mergeCell ref="G25:K25"/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0.58335184837312604</v>
      </c>
      <c r="C2">
        <f t="array" aca="1" ref="C2" ca="1">CORREL(FT_E02,FT_PH02)</f>
        <v>0.96664091715203981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2.9014099999999998</v>
      </c>
      <c r="G2" s="61">
        <f>IF(FT!B2&lt;&gt;"",FT!B2*100,"")</f>
        <v>51.738500000000002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3.0009799999999998</v>
      </c>
      <c r="G3" s="61">
        <f>IF(FT!B3&lt;&gt;"",FT!B3*100,"")</f>
        <v>50.499700000000004</v>
      </c>
      <c r="H3" s="61">
        <f t="shared" ref="H3:H66" si="1">(IF(F3&lt;&gt;"",1,""))</f>
        <v>1</v>
      </c>
      <c r="I3" t="str">
        <f>IF(FT!B3&lt;&gt;"",FT!E3,"")</f>
        <v>1 [0.403930]</v>
      </c>
      <c r="J3">
        <f>IF(FT!B3&lt;&gt;"",FT!C3,"")</f>
        <v>0.40393000000000001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0.49342629729729726</v>
      </c>
      <c r="V3">
        <f ca="1">AVERAGE(OFFSET(FT!B2,info!$L$3/2,0,info!$L$3/2,1))</f>
        <v>0.52171495945945978</v>
      </c>
      <c r="W3">
        <f ca="1">AVERAGE(OFFSET(FT!A2,0,0,info!$L$3/2,1))</f>
        <v>0.36174683783783795</v>
      </c>
      <c r="X3">
        <f ca="1">AVERAGE(OFFSET(FT!A2,info!$L$3/2,0,info!$L$3/2,1))</f>
        <v>0.34592317567567571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3.0935099999999998</v>
      </c>
      <c r="G4" s="61">
        <f>IF(FT!B4&lt;&gt;"",FT!B4*100,"")</f>
        <v>49.641999999999996</v>
      </c>
      <c r="H4" s="61">
        <f t="shared" si="1"/>
        <v>1</v>
      </c>
      <c r="I4" t="str">
        <f>IF(FT!B4&lt;&gt;"",FT!E4,"")</f>
        <v>1 [0.814039]</v>
      </c>
      <c r="J4">
        <f>IF(FT!B4&lt;&gt;"",FT!C4,"")</f>
        <v>0.81403899999999996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14.957700000000001</v>
      </c>
      <c r="V4">
        <f>U4*3</f>
        <v>44.873100000000001</v>
      </c>
      <c r="W4">
        <f>U4</f>
        <v>14.957700000000001</v>
      </c>
      <c r="X4">
        <f>V4</f>
        <v>44.873100000000001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3.18025</v>
      </c>
      <c r="G5" s="61">
        <f>IF(FT!B5&lt;&gt;"",FT!B5*100,"")</f>
        <v>49.1355</v>
      </c>
      <c r="H5" s="61">
        <f t="shared" si="1"/>
        <v>1</v>
      </c>
      <c r="I5" t="str">
        <f>IF(FT!B5&lt;&gt;"",FT!E5,"")</f>
        <v>1 [1.223787]</v>
      </c>
      <c r="J5">
        <f>IF(FT!B5&lt;&gt;"",FT!C5,"")</f>
        <v>1.2237899999999999</v>
      </c>
      <c r="K5" t="s">
        <v>53</v>
      </c>
      <c r="L5" s="63">
        <f ca="1">MIN(FT_E)</f>
        <v>2.9014099999999998</v>
      </c>
      <c r="M5" s="63">
        <f ca="1">ROUND(L5,1)</f>
        <v>2.9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49.342629729729722</v>
      </c>
      <c r="V5">
        <f ca="1">V3*100</f>
        <v>52.171495945945978</v>
      </c>
      <c r="W5">
        <f ca="1">W3*10</f>
        <v>3.6174683783783794</v>
      </c>
      <c r="X5">
        <f ca="1">X3*10</f>
        <v>3.4592317567567572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3.2611499999999998</v>
      </c>
      <c r="G6" s="61">
        <f>IF(FT!B6&lt;&gt;"",FT!B6*100,"")</f>
        <v>48.961799999999997</v>
      </c>
      <c r="H6" s="61">
        <f t="shared" si="1"/>
        <v>1</v>
      </c>
      <c r="I6" t="str">
        <f>IF(FT!B6&lt;&gt;"",FT!E6,"")</f>
        <v>1 [1.627761]</v>
      </c>
      <c r="J6">
        <f>IF(FT!B6&lt;&gt;"",FT!C6,"")</f>
        <v>1.6277600000000001</v>
      </c>
      <c r="K6" t="s">
        <v>54</v>
      </c>
      <c r="L6" s="63">
        <f ca="1">MAX(FT_E)</f>
        <v>4.2107600000000005</v>
      </c>
      <c r="M6" s="63">
        <f ca="1">ROUND(L6,1)</f>
        <v>4.2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3.3388</v>
      </c>
      <c r="G7" s="61">
        <f>IF(FT!B7&lt;&gt;"",FT!B7*100,"")</f>
        <v>48.908000000000001</v>
      </c>
      <c r="H7" s="61">
        <f t="shared" si="1"/>
        <v>1</v>
      </c>
      <c r="I7" t="str">
        <f>IF(FT!B7&lt;&gt;"",FT!E7,"")</f>
        <v>1 [2.037628]</v>
      </c>
      <c r="J7">
        <f>IF(FT!B7&lt;&gt;"",FT!C7,"")</f>
        <v>2.0376300000000001</v>
      </c>
      <c r="K7" t="s">
        <v>55</v>
      </c>
      <c r="L7" s="63">
        <f ca="1">MIN(FT_PH)</f>
        <v>47.2258</v>
      </c>
      <c r="M7" s="63">
        <f ca="1">ROUND(L7,1)</f>
        <v>47.2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446</v>
      </c>
      <c r="D8" s="61">
        <f>FH!B8*1</f>
        <v>446</v>
      </c>
      <c r="E8">
        <f t="shared" si="3"/>
        <v>6</v>
      </c>
      <c r="F8" s="61">
        <f>IF(FT!A8&lt;&gt;"",FT!A8*10,"")</f>
        <v>3.41303</v>
      </c>
      <c r="G8" s="61">
        <f>IF(FT!B8&lt;&gt;"",FT!B8*100,"")</f>
        <v>48.894100000000002</v>
      </c>
      <c r="H8" s="61">
        <f t="shared" si="1"/>
        <v>1</v>
      </c>
      <c r="I8" t="str">
        <f>IF(FT!B8&lt;&gt;"",FT!E8,"")</f>
        <v>1 [2.439481]</v>
      </c>
      <c r="J8">
        <f>IF(FT!B8&lt;&gt;"",FT!C8,"")</f>
        <v>2.4394800000000001</v>
      </c>
      <c r="K8" t="s">
        <v>56</v>
      </c>
      <c r="L8" s="63">
        <f ca="1">MAX(FT_PH)</f>
        <v>58.069400000000002</v>
      </c>
      <c r="M8" s="63">
        <f ca="1">ROUND(L8,1)</f>
        <v>58.1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3.4840999999999998</v>
      </c>
      <c r="G9" s="61">
        <f>IF(FT!B9&lt;&gt;"",FT!B9*100,"")</f>
        <v>48.919000000000004</v>
      </c>
      <c r="H9" s="61">
        <f t="shared" si="1"/>
        <v>1</v>
      </c>
      <c r="I9" t="str">
        <f>IF(FT!B9&lt;&gt;"",FT!E9,"")</f>
        <v>1 [2.845616]</v>
      </c>
      <c r="J9">
        <f>IF(FT!B9&lt;&gt;"",FT!C9,"")</f>
        <v>2.8456199999999998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513</v>
      </c>
      <c r="D10" s="61">
        <f>FH!B10*1</f>
        <v>513</v>
      </c>
      <c r="E10">
        <f t="shared" si="3"/>
        <v>8</v>
      </c>
      <c r="F10" s="61">
        <f>IF(FT!A10&lt;&gt;"",FT!A10*10,"")</f>
        <v>3.5511300000000001</v>
      </c>
      <c r="G10" s="61">
        <f>IF(FT!B10&lt;&gt;"",FT!B10*100,"")</f>
        <v>49.070599999999999</v>
      </c>
      <c r="H10" s="61">
        <f t="shared" si="1"/>
        <v>1</v>
      </c>
      <c r="I10" t="str">
        <f>IF(FT!B10&lt;&gt;"",FT!E10,"")</f>
        <v>1 [3.251343]</v>
      </c>
      <c r="J10">
        <f>IF(FT!B10&lt;&gt;"",FT!C10,"")</f>
        <v>3.2513399999999999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3.6154299999999999</v>
      </c>
      <c r="G11" s="61">
        <f>IF(FT!B11&lt;&gt;"",FT!B11*100,"")</f>
        <v>49.197499999999998</v>
      </c>
      <c r="H11" s="61">
        <f t="shared" si="1"/>
        <v>1</v>
      </c>
      <c r="I11" t="str">
        <f>IF(FT!B11&lt;&gt;"",FT!E11,"")</f>
        <v>1 [3.660235]</v>
      </c>
      <c r="J11">
        <f>IF(FT!B11&lt;&gt;"",FT!C11,"")</f>
        <v>3.6602399999999999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3.6783999999999999</v>
      </c>
      <c r="G12" s="61">
        <f>IF(FT!B12&lt;&gt;"",FT!B12*100,"")</f>
        <v>49.2483</v>
      </c>
      <c r="H12" s="61">
        <f t="shared" si="1"/>
        <v>1</v>
      </c>
      <c r="I12" t="str">
        <f>IF(FT!B12&lt;&gt;"",FT!E12,"")</f>
        <v>1 [4.067185]</v>
      </c>
      <c r="J12">
        <f>IF(FT!B12&lt;&gt;"",FT!C12,"")</f>
        <v>4.0671799999999996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1742</v>
      </c>
      <c r="D13" s="61">
        <f>FH!B13*1</f>
        <v>1742</v>
      </c>
      <c r="E13">
        <f t="shared" si="3"/>
        <v>11</v>
      </c>
      <c r="F13" s="61">
        <f>IF(FT!A13&lt;&gt;"",FT!A13*10,"")</f>
        <v>3.73977</v>
      </c>
      <c r="G13" s="61">
        <f>IF(FT!B13&lt;&gt;"",FT!B13*100,"")</f>
        <v>49.295999999999999</v>
      </c>
      <c r="H13" s="61">
        <f t="shared" si="1"/>
        <v>1</v>
      </c>
      <c r="I13" t="str">
        <f>IF(FT!B13&lt;&gt;"",FT!E13,"")</f>
        <v>1 [4.468183]</v>
      </c>
      <c r="J13">
        <f>IF(FT!B13&lt;&gt;"",FT!C13,"")</f>
        <v>4.4681800000000003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3.7920500000000001</v>
      </c>
      <c r="G14" s="61">
        <f>IF(FT!B14&lt;&gt;"",FT!B14*100,"")</f>
        <v>49.517099999999999</v>
      </c>
      <c r="H14" s="61">
        <f t="shared" si="1"/>
        <v>1</v>
      </c>
      <c r="I14" t="str">
        <f>IF(FT!B14&lt;&gt;"",FT!E14,"")</f>
        <v>1 [4.879518]</v>
      </c>
      <c r="J14">
        <f>IF(FT!B14&lt;&gt;"",FT!C14,"")</f>
        <v>4.8795200000000003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2304</v>
      </c>
      <c r="D15" s="61">
        <f>FH!B15*1</f>
        <v>2304</v>
      </c>
      <c r="E15">
        <f t="shared" si="3"/>
        <v>13</v>
      </c>
      <c r="F15" s="61">
        <f>IF(FT!A15&lt;&gt;"",FT!A15*10,"")</f>
        <v>3.8379699999999999</v>
      </c>
      <c r="G15" s="61">
        <f>IF(FT!B15&lt;&gt;"",FT!B15*100,"")</f>
        <v>49.895699999999998</v>
      </c>
      <c r="H15" s="61">
        <f t="shared" si="1"/>
        <v>1</v>
      </c>
      <c r="I15" t="str">
        <f>IF(FT!B15&lt;&gt;"",FT!E15,"")</f>
        <v>1 [5.281072]</v>
      </c>
      <c r="J15">
        <f>IF(FT!B15&lt;&gt;"",FT!C15,"")</f>
        <v>5.2810699999999997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3.8780900000000003</v>
      </c>
      <c r="G16" s="61">
        <f>IF(FT!B16&lt;&gt;"",FT!B16*100,"")</f>
        <v>50.278100000000002</v>
      </c>
      <c r="H16" s="61">
        <f t="shared" si="1"/>
        <v>1</v>
      </c>
      <c r="I16" t="str">
        <f>IF(FT!B16&lt;&gt;"",FT!E16,"")</f>
        <v>1 [5.687959]</v>
      </c>
      <c r="J16">
        <f>IF(FT!B16&lt;&gt;"",FT!C16,"")</f>
        <v>5.6879600000000003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3.9123099999999997</v>
      </c>
      <c r="G17" s="61">
        <f>IF(FT!B17&lt;&gt;"",FT!B17*100,"")</f>
        <v>50.633200000000002</v>
      </c>
      <c r="H17" s="61">
        <f t="shared" si="1"/>
        <v>1</v>
      </c>
      <c r="I17" t="str">
        <f>IF(FT!B17&lt;&gt;"",FT!E17,"")</f>
        <v>1 [6.092105]</v>
      </c>
      <c r="J17">
        <f>IF(FT!B17&lt;&gt;"",FT!C17,"")</f>
        <v>6.0921000000000003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3630</v>
      </c>
      <c r="D18" s="61">
        <f>FH!B18*1</f>
        <v>3630</v>
      </c>
      <c r="E18">
        <f t="shared" si="3"/>
        <v>16</v>
      </c>
      <c r="F18" s="61">
        <f>IF(FT!A18&lt;&gt;"",FT!A18*10,"")</f>
        <v>3.94062</v>
      </c>
      <c r="G18" s="61">
        <f>IF(FT!B18&lt;&gt;"",FT!B18*100,"")</f>
        <v>50.922900000000006</v>
      </c>
      <c r="H18" s="61">
        <f t="shared" si="1"/>
        <v>1</v>
      </c>
      <c r="I18" t="str">
        <f>IF(FT!B18&lt;&gt;"",FT!E18,"")</f>
        <v>1 [6.501653]</v>
      </c>
      <c r="J18">
        <f>IF(FT!B18&lt;&gt;"",FT!C18,"")</f>
        <v>6.5016499999999997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3.9658700000000002</v>
      </c>
      <c r="G19" s="61">
        <f>IF(FT!B19&lt;&gt;"",FT!B19*100,"")</f>
        <v>51.149799999999999</v>
      </c>
      <c r="H19" s="61">
        <f t="shared" si="1"/>
        <v>1</v>
      </c>
      <c r="I19" t="str">
        <f>IF(FT!B19&lt;&gt;"",FT!E19,"")</f>
        <v>1 [6.905528]</v>
      </c>
      <c r="J19">
        <f>IF(FT!B19&lt;&gt;"",FT!C19,"")</f>
        <v>6.9055299999999997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3.9859200000000001</v>
      </c>
      <c r="G20" s="61">
        <f>IF(FT!B20&lt;&gt;"",FT!B20*100,"")</f>
        <v>51.334500000000006</v>
      </c>
      <c r="H20" s="61">
        <f t="shared" si="1"/>
        <v>1</v>
      </c>
      <c r="I20" t="str">
        <f>IF(FT!B20&lt;&gt;"",FT!E20,"")</f>
        <v>1 [7.313563]</v>
      </c>
      <c r="J20">
        <f>IF(FT!B20&lt;&gt;"",FT!C20,"")</f>
        <v>7.3135599999999998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3974</v>
      </c>
      <c r="D21" s="61">
        <f>FH!B21*1</f>
        <v>3974</v>
      </c>
      <c r="E21">
        <f t="shared" si="3"/>
        <v>19</v>
      </c>
      <c r="F21" s="61">
        <f>IF(FT!A21&lt;&gt;"",FT!A21*10,"")</f>
        <v>4.0006599999999999</v>
      </c>
      <c r="G21" s="61">
        <f>IF(FT!B21&lt;&gt;"",FT!B21*100,"")</f>
        <v>51.439800000000005</v>
      </c>
      <c r="H21" s="61">
        <f t="shared" si="1"/>
        <v>1</v>
      </c>
      <c r="I21" t="str">
        <f>IF(FT!B21&lt;&gt;"",FT!E21,"")</f>
        <v>1 [7.721539]</v>
      </c>
      <c r="J21">
        <f>IF(FT!B21&lt;&gt;"",FT!C21,"")</f>
        <v>7.7215400000000001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4.0104800000000003</v>
      </c>
      <c r="G22" s="61">
        <f>IF(FT!B22&lt;&gt;"",FT!B22*100,"")</f>
        <v>51.450700000000005</v>
      </c>
      <c r="H22" s="61">
        <f t="shared" si="1"/>
        <v>1</v>
      </c>
      <c r="I22" t="str">
        <f>IF(FT!B22&lt;&gt;"",FT!E22,"")</f>
        <v>1 [8.126572]</v>
      </c>
      <c r="J22">
        <f>IF(FT!B22&lt;&gt;"",FT!C22,"")</f>
        <v>8.1265699999999992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8757</v>
      </c>
      <c r="D23" s="61">
        <f>FH!B23*1</f>
        <v>8757</v>
      </c>
      <c r="E23">
        <f t="shared" si="3"/>
        <v>21</v>
      </c>
      <c r="F23" s="61">
        <f>IF(FT!A23&lt;&gt;"",FT!A23*10,"")</f>
        <v>4.0176800000000004</v>
      </c>
      <c r="G23" s="61">
        <f>IF(FT!B23&lt;&gt;"",FT!B23*100,"")</f>
        <v>51.369100000000003</v>
      </c>
      <c r="H23" s="61">
        <f t="shared" si="1"/>
        <v>1</v>
      </c>
      <c r="I23" t="str">
        <f>IF(FT!B23&lt;&gt;"",FT!E23,"")</f>
        <v>1 [8.534278]</v>
      </c>
      <c r="J23">
        <f>IF(FT!B23&lt;&gt;"",FT!C23,"")</f>
        <v>8.5342800000000008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4.0210800000000004</v>
      </c>
      <c r="G24" s="61">
        <f>IF(FT!B24&lt;&gt;"",FT!B24*100,"")</f>
        <v>51.229800000000004</v>
      </c>
      <c r="H24" s="61">
        <f t="shared" si="1"/>
        <v>1</v>
      </c>
      <c r="I24" t="str">
        <f>IF(FT!B24&lt;&gt;"",FT!E24,"")</f>
        <v>1 [8.939321]</v>
      </c>
      <c r="J24">
        <f>IF(FT!B24&lt;&gt;"",FT!C24,"")</f>
        <v>8.9393200000000004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4.0213900000000002</v>
      </c>
      <c r="G25" s="61">
        <f>IF(FT!B25&lt;&gt;"",FT!B25*100,"")</f>
        <v>51.005800000000001</v>
      </c>
      <c r="H25" s="61">
        <f t="shared" si="1"/>
        <v>1</v>
      </c>
      <c r="I25" t="str">
        <f>IF(FT!B25&lt;&gt;"",FT!E25,"")</f>
        <v>1 [9.347142]</v>
      </c>
      <c r="J25">
        <f>IF(FT!B25&lt;&gt;"",FT!C25,"")</f>
        <v>9.3471399999999996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11450</v>
      </c>
      <c r="D26" s="61">
        <f>FH!B26*1</f>
        <v>11450</v>
      </c>
      <c r="E26">
        <f t="shared" si="3"/>
        <v>24</v>
      </c>
      <c r="F26" s="61">
        <f>IF(FT!A26&lt;&gt;"",FT!A26*10,"")</f>
        <v>4.0183799999999996</v>
      </c>
      <c r="G26" s="61">
        <f>IF(FT!B26&lt;&gt;"",FT!B26*100,"")</f>
        <v>50.729700000000001</v>
      </c>
      <c r="H26" s="61">
        <f t="shared" si="1"/>
        <v>1</v>
      </c>
      <c r="I26" t="str">
        <f>IF(FT!B26&lt;&gt;"",FT!E26,"")</f>
        <v>1 [9.778382]</v>
      </c>
      <c r="J26">
        <f>IF(FT!B26&lt;&gt;"",FT!C26,"")</f>
        <v>9.7783800000000003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4.01112</v>
      </c>
      <c r="G27" s="61">
        <f>IF(FT!B27&lt;&gt;"",FT!B27*100,"")</f>
        <v>50.4649</v>
      </c>
      <c r="H27" s="61">
        <f t="shared" si="1"/>
        <v>1</v>
      </c>
      <c r="I27" t="str">
        <f>IF(FT!B27&lt;&gt;"",FT!E27,"")</f>
        <v>1 [10.153875]</v>
      </c>
      <c r="J27">
        <f>IF(FT!B27&lt;&gt;"",FT!C27,"")</f>
        <v>10.1539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18266</v>
      </c>
      <c r="D28" s="61">
        <f>FH!B28*1</f>
        <v>18266</v>
      </c>
      <c r="E28">
        <f t="shared" si="3"/>
        <v>26</v>
      </c>
      <c r="F28" s="61">
        <f>IF(FT!A28&lt;&gt;"",FT!A28*10,"")</f>
        <v>3.9988800000000002</v>
      </c>
      <c r="G28" s="61">
        <f>IF(FT!B28&lt;&gt;"",FT!B28*100,"")</f>
        <v>50.230799999999995</v>
      </c>
      <c r="H28" s="61">
        <f t="shared" si="1"/>
        <v>1</v>
      </c>
      <c r="I28" t="str">
        <f>IF(FT!B28&lt;&gt;"",FT!E28,"")</f>
        <v>1 [10.560049]</v>
      </c>
      <c r="J28">
        <f>IF(FT!B28&lt;&gt;"",FT!C28,"")</f>
        <v>10.56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3.9852300000000001</v>
      </c>
      <c r="G29" s="61">
        <f>IF(FT!B29&lt;&gt;"",FT!B29*100,"")</f>
        <v>50.003900000000002</v>
      </c>
      <c r="H29" s="61">
        <f t="shared" si="1"/>
        <v>1</v>
      </c>
      <c r="I29" t="str">
        <f>IF(FT!B29&lt;&gt;"",FT!E29,"")</f>
        <v>1 [10.970788]</v>
      </c>
      <c r="J29">
        <f>IF(FT!B29&lt;&gt;"",FT!C29,"")</f>
        <v>10.970800000000001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3.9712499999999999</v>
      </c>
      <c r="G30" s="61">
        <f>IF(FT!B30&lt;&gt;"",FT!B30*100,"")</f>
        <v>49.811499999999995</v>
      </c>
      <c r="H30" s="61">
        <f t="shared" si="1"/>
        <v>1</v>
      </c>
      <c r="I30" t="str">
        <f>IF(FT!B30&lt;&gt;"",FT!E30,"")</f>
        <v>1 [11.375026]</v>
      </c>
      <c r="J30">
        <f>IF(FT!B30&lt;&gt;"",FT!C30,"")</f>
        <v>11.375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30677</v>
      </c>
      <c r="D31" s="61">
        <f>FH!B31*1</f>
        <v>30677</v>
      </c>
      <c r="E31">
        <f t="shared" si="3"/>
        <v>29</v>
      </c>
      <c r="F31" s="61">
        <f>IF(FT!A31&lt;&gt;"",FT!A31*10,"")</f>
        <v>3.9565200000000003</v>
      </c>
      <c r="G31" s="61">
        <f>IF(FT!B31&lt;&gt;"",FT!B31*100,"")</f>
        <v>49.590400000000002</v>
      </c>
      <c r="H31" s="61">
        <f t="shared" si="1"/>
        <v>1</v>
      </c>
      <c r="I31" t="str">
        <f>IF(FT!B31&lt;&gt;"",FT!E31,"")</f>
        <v>1 [11.780615]</v>
      </c>
      <c r="J31">
        <f>IF(FT!B31&lt;&gt;"",FT!C31,"")</f>
        <v>11.7806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3.9404400000000002</v>
      </c>
      <c r="G32" s="61">
        <f>IF(FT!B32&lt;&gt;"",FT!B32*100,"")</f>
        <v>49.416399999999996</v>
      </c>
      <c r="H32" s="61">
        <f t="shared" si="1"/>
        <v>1</v>
      </c>
      <c r="I32" t="str">
        <f>IF(FT!B32&lt;&gt;"",FT!E32,"")</f>
        <v>1 [12.187754]</v>
      </c>
      <c r="J32">
        <f>IF(FT!B32&lt;&gt;"",FT!C32,"")</f>
        <v>12.187799999999999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46533</v>
      </c>
      <c r="D33" s="61">
        <f>FH!B33*1</f>
        <v>46533</v>
      </c>
      <c r="E33">
        <f t="shared" si="3"/>
        <v>31</v>
      </c>
      <c r="F33" s="61">
        <f>IF(FT!A33&lt;&gt;"",FT!A33*10,"")</f>
        <v>3.92252</v>
      </c>
      <c r="G33" s="61">
        <f>IF(FT!B33&lt;&gt;"",FT!B33*100,"")</f>
        <v>49.333199999999998</v>
      </c>
      <c r="H33" s="61">
        <f t="shared" si="1"/>
        <v>1</v>
      </c>
      <c r="I33" t="str">
        <f>IF(FT!B33&lt;&gt;"",FT!E33,"")</f>
        <v>1 [12.594696]</v>
      </c>
      <c r="J33">
        <f>IF(FT!B33&lt;&gt;"",FT!C33,"")</f>
        <v>12.5947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3.9033199999999999</v>
      </c>
      <c r="G34" s="61">
        <f>IF(FT!B34&lt;&gt;"",FT!B34*100,"")</f>
        <v>49.336999999999996</v>
      </c>
      <c r="H34" s="61">
        <f t="shared" si="1"/>
        <v>1</v>
      </c>
      <c r="I34" t="str">
        <f>IF(FT!B34&lt;&gt;"",FT!E34,"")</f>
        <v>1 [12.998384]</v>
      </c>
      <c r="J34">
        <f>IF(FT!B34&lt;&gt;"",FT!C34,"")</f>
        <v>12.9984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3.8832299999999997</v>
      </c>
      <c r="G35" s="61">
        <f>IF(FT!B35&lt;&gt;"",FT!B35*100,"")</f>
        <v>49.43</v>
      </c>
      <c r="H35" s="61">
        <f t="shared" si="1"/>
        <v>1</v>
      </c>
      <c r="I35" t="str">
        <f>IF(FT!B35&lt;&gt;"",FT!E35,"")</f>
        <v>1 [13.405229]</v>
      </c>
      <c r="J35">
        <f>IF(FT!B35&lt;&gt;"",FT!C35,"")</f>
        <v>13.405200000000001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57773</v>
      </c>
      <c r="D36" s="61">
        <f>FH!B36*1</f>
        <v>57773</v>
      </c>
      <c r="E36">
        <f t="shared" si="3"/>
        <v>34</v>
      </c>
      <c r="F36" s="61">
        <f>IF(FT!A36&lt;&gt;"",FT!A36*10,"")</f>
        <v>3.8608199999999999</v>
      </c>
      <c r="G36" s="61">
        <f>IF(FT!B36&lt;&gt;"",FT!B36*100,"")</f>
        <v>49.585599999999999</v>
      </c>
      <c r="H36" s="61">
        <f t="shared" si="1"/>
        <v>1</v>
      </c>
      <c r="I36" t="str">
        <f>IF(FT!B36&lt;&gt;"",FT!E36,"")</f>
        <v>1 [13.812090]</v>
      </c>
      <c r="J36">
        <f>IF(FT!B36&lt;&gt;"",FT!C36,"")</f>
        <v>13.812099999999999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3.8344299999999998</v>
      </c>
      <c r="G37" s="61">
        <f>IF(FT!B37&lt;&gt;"",FT!B37*100,"")</f>
        <v>49.836999999999996</v>
      </c>
      <c r="H37" s="61">
        <f t="shared" si="1"/>
        <v>1</v>
      </c>
      <c r="I37" t="str">
        <f>IF(FT!B37&lt;&gt;"",FT!E37,"")</f>
        <v>1 [14.223059]</v>
      </c>
      <c r="J37">
        <f>IF(FT!B37&lt;&gt;"",FT!C37,"")</f>
        <v>14.223100000000001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3.8048100000000002</v>
      </c>
      <c r="G38" s="61">
        <f>IF(FT!B38&lt;&gt;"",FT!B38*100,"")</f>
        <v>50.199199999999998</v>
      </c>
      <c r="H38" s="61">
        <f t="shared" si="1"/>
        <v>1</v>
      </c>
      <c r="I38" t="str">
        <f>IF(FT!B38&lt;&gt;"",FT!E38,"")</f>
        <v>1 [14.626062]</v>
      </c>
      <c r="J38">
        <f>IF(FT!B38&lt;&gt;"",FT!C38,"")</f>
        <v>14.626099999999999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63960</v>
      </c>
      <c r="D39" s="61">
        <f>FH!B39*1</f>
        <v>63960</v>
      </c>
      <c r="E39">
        <f t="shared" si="3"/>
        <v>37</v>
      </c>
      <c r="F39" s="61">
        <f>IF(FT!A39&lt;&gt;"",FT!A39*10,"")</f>
        <v>3.7802699999999998</v>
      </c>
      <c r="G39" s="61">
        <f>IF(FT!B39&lt;&gt;"",FT!B39*100,"")</f>
        <v>50.445099999999996</v>
      </c>
      <c r="H39" s="61">
        <f t="shared" si="1"/>
        <v>1</v>
      </c>
      <c r="I39" t="str">
        <f>IF(FT!B39&lt;&gt;"",FT!E39,"")</f>
        <v>1 [15.034627]</v>
      </c>
      <c r="J39">
        <f>IF(FT!B39&lt;&gt;"",FT!C39,"")</f>
        <v>15.034599999999999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3.7586999999999997</v>
      </c>
      <c r="G40" s="61">
        <f>IF(FT!B40&lt;&gt;"",FT!B40*100,"")</f>
        <v>50.501300000000008</v>
      </c>
      <c r="H40" s="61">
        <f t="shared" si="1"/>
        <v>1</v>
      </c>
      <c r="I40" t="str">
        <f>IF(FT!B40&lt;&gt;"",FT!E40,"")</f>
        <v>1 [15.449143]</v>
      </c>
      <c r="J40">
        <f>IF(FT!B40&lt;&gt;"",FT!C40,"")</f>
        <v>15.4491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70859</v>
      </c>
      <c r="D41" s="61">
        <f>FH!B41*1</f>
        <v>70859</v>
      </c>
      <c r="E41">
        <f t="shared" si="3"/>
        <v>39</v>
      </c>
      <c r="F41" s="61">
        <f>IF(FT!A41&lt;&gt;"",FT!A41*10,"")</f>
        <v>3.73935</v>
      </c>
      <c r="G41" s="61">
        <f>IF(FT!B41&lt;&gt;"",FT!B41*100,"")</f>
        <v>50.509499999999996</v>
      </c>
      <c r="H41" s="61">
        <f t="shared" si="1"/>
        <v>1</v>
      </c>
      <c r="I41" t="str">
        <f>IF(FT!B41&lt;&gt;"",FT!E41,"")</f>
        <v>1 [15.848725]</v>
      </c>
      <c r="J41">
        <f>IF(FT!B41&lt;&gt;"",FT!C41,"")</f>
        <v>15.848699999999999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3.72424</v>
      </c>
      <c r="G42" s="61">
        <f>IF(FT!B42&lt;&gt;"",FT!B42*100,"")</f>
        <v>50.455300000000001</v>
      </c>
      <c r="H42" s="61">
        <f t="shared" si="1"/>
        <v>1</v>
      </c>
      <c r="I42" t="str">
        <f>IF(FT!B42&lt;&gt;"",FT!E42,"")</f>
        <v>1 [16.254387]</v>
      </c>
      <c r="J42">
        <f>IF(FT!B42&lt;&gt;"",FT!C42,"")</f>
        <v>16.2544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3.7113</v>
      </c>
      <c r="G43" s="61">
        <f>IF(FT!B43&lt;&gt;"",FT!B43*100,"")</f>
        <v>50.366</v>
      </c>
      <c r="H43" s="61">
        <f t="shared" si="1"/>
        <v>1</v>
      </c>
      <c r="I43" t="str">
        <f>IF(FT!B43&lt;&gt;"",FT!E43,"")</f>
        <v>1 [16.656511]</v>
      </c>
      <c r="J43">
        <f>IF(FT!B43&lt;&gt;"",FT!C43,"")</f>
        <v>16.656500000000001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89064</v>
      </c>
      <c r="D44" s="61">
        <f>FH!B44*1</f>
        <v>89064</v>
      </c>
      <c r="E44">
        <f t="shared" si="3"/>
        <v>42</v>
      </c>
      <c r="F44" s="61">
        <f>IF(FT!A44&lt;&gt;"",FT!A44*10,"")</f>
        <v>3.6961699999999995</v>
      </c>
      <c r="G44" s="61">
        <f>IF(FT!B44&lt;&gt;"",FT!B44*100,"")</f>
        <v>50.263800000000003</v>
      </c>
      <c r="H44" s="61">
        <f t="shared" si="1"/>
        <v>1</v>
      </c>
      <c r="I44" t="str">
        <f>IF(FT!B44&lt;&gt;"",FT!E44,"")</f>
        <v>1 [17.060499]</v>
      </c>
      <c r="J44">
        <f>IF(FT!B44&lt;&gt;"",FT!C44,"")</f>
        <v>17.060500000000001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3.68309</v>
      </c>
      <c r="G45" s="61">
        <f>IF(FT!B45&lt;&gt;"",FT!B45*100,"")</f>
        <v>50.141500000000008</v>
      </c>
      <c r="H45" s="61">
        <f t="shared" si="1"/>
        <v>1</v>
      </c>
      <c r="I45" t="str">
        <f>IF(FT!B45&lt;&gt;"",FT!E45,"")</f>
        <v>1 [17.469487]</v>
      </c>
      <c r="J45">
        <f>IF(FT!B45&lt;&gt;"",FT!C45,"")</f>
        <v>17.4695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109611</v>
      </c>
      <c r="D46" s="61">
        <f>FH!B46*1</f>
        <v>109611</v>
      </c>
      <c r="E46">
        <f t="shared" si="3"/>
        <v>44</v>
      </c>
      <c r="F46" s="61">
        <f>IF(FT!A46&lt;&gt;"",FT!A46*10,"")</f>
        <v>3.6734599999999999</v>
      </c>
      <c r="G46" s="61">
        <f>IF(FT!B46&lt;&gt;"",FT!B46*100,"")</f>
        <v>49.981299999999997</v>
      </c>
      <c r="H46" s="61">
        <f t="shared" si="1"/>
        <v>1</v>
      </c>
      <c r="I46" t="str">
        <f>IF(FT!B46&lt;&gt;"",FT!E46,"")</f>
        <v>1 [17.873461]</v>
      </c>
      <c r="J46">
        <f>IF(FT!B46&lt;&gt;"",FT!C46,"")</f>
        <v>17.8735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3.6685099999999999</v>
      </c>
      <c r="G47" s="61">
        <f>IF(FT!B47&lt;&gt;"",FT!B47*100,"")</f>
        <v>49.804299999999998</v>
      </c>
      <c r="H47" s="61">
        <f t="shared" si="1"/>
        <v>1</v>
      </c>
      <c r="I47" t="str">
        <f>IF(FT!B47&lt;&gt;"",FT!E47,"")</f>
        <v>1 [18.281080]</v>
      </c>
      <c r="J47">
        <f>IF(FT!B47&lt;&gt;"",FT!C47,"")</f>
        <v>18.281099999999999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3.6634100000000003</v>
      </c>
      <c r="G48" s="61">
        <f>IF(FT!B48&lt;&gt;"",FT!B48*100,"")</f>
        <v>49.640099999999997</v>
      </c>
      <c r="H48" s="61">
        <f t="shared" si="1"/>
        <v>1</v>
      </c>
      <c r="I48" t="str">
        <f>IF(FT!B48&lt;&gt;"",FT!E48,"")</f>
        <v>1 [18.687048]</v>
      </c>
      <c r="J48">
        <f>IF(FT!B48&lt;&gt;"",FT!C48,"")</f>
        <v>18.687000000000001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130786</v>
      </c>
      <c r="D49" s="61">
        <f>FH!B49*1</f>
        <v>130786</v>
      </c>
      <c r="E49">
        <f t="shared" si="3"/>
        <v>47</v>
      </c>
      <c r="F49" s="61">
        <f>IF(FT!A49&lt;&gt;"",FT!A49*10,"")</f>
        <v>3.6568399999999999</v>
      </c>
      <c r="G49" s="61">
        <f>IF(FT!B49&lt;&gt;"",FT!B49*100,"")</f>
        <v>49.407600000000002</v>
      </c>
      <c r="H49" s="61">
        <f t="shared" si="1"/>
        <v>1</v>
      </c>
      <c r="I49" t="str">
        <f>IF(FT!B49&lt;&gt;"",FT!E49,"")</f>
        <v>1 [19.092977]</v>
      </c>
      <c r="J49">
        <f>IF(FT!B49&lt;&gt;"",FT!C49,"")</f>
        <v>19.093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3.6474200000000003</v>
      </c>
      <c r="G50" s="61">
        <f>IF(FT!B50&lt;&gt;"",FT!B50*100,"")</f>
        <v>49.174800000000005</v>
      </c>
      <c r="H50" s="61">
        <f t="shared" si="1"/>
        <v>1</v>
      </c>
      <c r="I50" t="str">
        <f>IF(FT!B50&lt;&gt;"",FT!E50,"")</f>
        <v>1 [19.497905]</v>
      </c>
      <c r="J50">
        <f>IF(FT!B50&lt;&gt;"",FT!C50,"")</f>
        <v>19.497900000000001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149549</v>
      </c>
      <c r="D51" s="61">
        <f>FH!B51*1</f>
        <v>149549</v>
      </c>
      <c r="E51">
        <f t="shared" si="3"/>
        <v>49</v>
      </c>
      <c r="F51" s="61">
        <f>IF(FT!A51&lt;&gt;"",FT!A51*10,"")</f>
        <v>3.6352000000000002</v>
      </c>
      <c r="G51" s="61">
        <f>IF(FT!B51&lt;&gt;"",FT!B51*100,"")</f>
        <v>48.979900000000001</v>
      </c>
      <c r="H51" s="61">
        <f t="shared" si="1"/>
        <v>1</v>
      </c>
      <c r="I51" t="str">
        <f>IF(FT!B51&lt;&gt;"",FT!E51,"")</f>
        <v>1 [19.904861]</v>
      </c>
      <c r="J51">
        <f>IF(FT!B51&lt;&gt;"",FT!C51,"")</f>
        <v>19.904900000000001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3.6310900000000004</v>
      </c>
      <c r="G52" s="61">
        <f>IF(FT!B52&lt;&gt;"",FT!B52*100,"")</f>
        <v>48.898899999999998</v>
      </c>
      <c r="H52" s="61">
        <f t="shared" si="1"/>
        <v>1</v>
      </c>
      <c r="I52" t="str">
        <f>IF(FT!B52&lt;&gt;"",FT!E52,"")</f>
        <v>1 [20.309763]</v>
      </c>
      <c r="J52">
        <f>IF(FT!B52&lt;&gt;"",FT!C52,"")</f>
        <v>20.309799999999999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3.6130100000000001</v>
      </c>
      <c r="G53" s="61">
        <f>IF(FT!B53&lt;&gt;"",FT!B53*100,"")</f>
        <v>48.623100000000001</v>
      </c>
      <c r="H53" s="61">
        <f t="shared" si="1"/>
        <v>1</v>
      </c>
      <c r="I53" t="str">
        <f>IF(FT!B53&lt;&gt;"",FT!E53,"")</f>
        <v>1 [20.719949]</v>
      </c>
      <c r="J53">
        <f>IF(FT!B53&lt;&gt;"",FT!C53,"")</f>
        <v>20.719899999999999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178539</v>
      </c>
      <c r="D54" s="61">
        <f>FH!B54*1</f>
        <v>178539</v>
      </c>
      <c r="E54">
        <f t="shared" si="3"/>
        <v>52</v>
      </c>
      <c r="F54" s="61">
        <f>IF(FT!A54&lt;&gt;"",FT!A54*10,"")</f>
        <v>3.5988700000000002</v>
      </c>
      <c r="G54" s="61">
        <f>IF(FT!B54&lt;&gt;"",FT!B54*100,"")</f>
        <v>48.407400000000003</v>
      </c>
      <c r="H54" s="61">
        <f t="shared" si="1"/>
        <v>1</v>
      </c>
      <c r="I54" t="str">
        <f>IF(FT!B54&lt;&gt;"",FT!E54,"")</f>
        <v>1 [21.125805]</v>
      </c>
      <c r="J54">
        <f>IF(FT!B54&lt;&gt;"",FT!C54,"")</f>
        <v>21.125800000000002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3.58317</v>
      </c>
      <c r="G55" s="61">
        <f>IF(FT!B55&lt;&gt;"",FT!B55*100,"")</f>
        <v>48.191499999999998</v>
      </c>
      <c r="H55" s="61">
        <f t="shared" si="1"/>
        <v>1</v>
      </c>
      <c r="I55" t="str">
        <f>IF(FT!B55&lt;&gt;"",FT!E55,"")</f>
        <v>1 [21.532611]</v>
      </c>
      <c r="J55">
        <f>IF(FT!B55&lt;&gt;"",FT!C55,"")</f>
        <v>21.532599999999999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3.5679600000000002</v>
      </c>
      <c r="G56" s="61">
        <f>IF(FT!B56&lt;&gt;"",FT!B56*100,"")</f>
        <v>48.008099999999999</v>
      </c>
      <c r="H56" s="61">
        <f t="shared" si="1"/>
        <v>1</v>
      </c>
      <c r="I56" t="str">
        <f>IF(FT!B56&lt;&gt;"",FT!E56,"")</f>
        <v>1 [21.938380]</v>
      </c>
      <c r="J56">
        <f>IF(FT!B56&lt;&gt;"",FT!C56,"")</f>
        <v>21.938400000000001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191675</v>
      </c>
      <c r="D57" s="61">
        <f>FH!B57*1</f>
        <v>191675</v>
      </c>
      <c r="E57">
        <f t="shared" si="3"/>
        <v>55</v>
      </c>
      <c r="F57" s="61">
        <f>IF(FT!A57&lt;&gt;"",FT!A57*10,"")</f>
        <v>3.5505500000000003</v>
      </c>
      <c r="G57" s="61">
        <f>IF(FT!B57&lt;&gt;"",FT!B57*100,"")</f>
        <v>47.8613</v>
      </c>
      <c r="H57" s="61">
        <f t="shared" si="1"/>
        <v>1</v>
      </c>
      <c r="I57" t="str">
        <f>IF(FT!B57&lt;&gt;"",FT!E57,"")</f>
        <v>1 [22.341608]</v>
      </c>
      <c r="J57">
        <f>IF(FT!B57&lt;&gt;"",FT!C57,"")</f>
        <v>22.3416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3.5307200000000001</v>
      </c>
      <c r="G58" s="61">
        <f>IF(FT!B58&lt;&gt;"",FT!B58*100,"")</f>
        <v>47.732400000000005</v>
      </c>
      <c r="H58" s="61">
        <f t="shared" si="1"/>
        <v>1</v>
      </c>
      <c r="I58" t="str">
        <f>IF(FT!B58&lt;&gt;"",FT!E58,"")</f>
        <v>1 [22.747216]</v>
      </c>
      <c r="J58">
        <f>IF(FT!B58&lt;&gt;"",FT!C58,"")</f>
        <v>22.747199999999999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202614</v>
      </c>
      <c r="D59" s="61">
        <f>FH!B59*1</f>
        <v>202614</v>
      </c>
      <c r="E59">
        <f t="shared" si="3"/>
        <v>57</v>
      </c>
      <c r="F59" s="61">
        <f>IF(FT!A59&lt;&gt;"",FT!A59*10,"")</f>
        <v>3.5082000000000004</v>
      </c>
      <c r="G59" s="61">
        <f>IF(FT!B59&lt;&gt;"",FT!B59*100,"")</f>
        <v>47.619</v>
      </c>
      <c r="H59" s="61">
        <f t="shared" si="1"/>
        <v>1</v>
      </c>
      <c r="I59" t="str">
        <f>IF(FT!B59&lt;&gt;"",FT!E59,"")</f>
        <v>1 [23.155281]</v>
      </c>
      <c r="J59">
        <f>IF(FT!B59&lt;&gt;"",FT!C59,"")</f>
        <v>23.1553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3.4845999999999999</v>
      </c>
      <c r="G60" s="61">
        <f>IF(FT!B60&lt;&gt;"",FT!B60*100,"")</f>
        <v>47.471299999999999</v>
      </c>
      <c r="H60" s="61">
        <f t="shared" si="1"/>
        <v>1</v>
      </c>
      <c r="I60" t="str">
        <f>IF(FT!B60&lt;&gt;"",FT!E60,"")</f>
        <v>1 [23.561231]</v>
      </c>
      <c r="J60">
        <f>IF(FT!B60&lt;&gt;"",FT!C60,"")</f>
        <v>23.561199999999999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3.4602399999999998</v>
      </c>
      <c r="G61" s="61">
        <f>IF(FT!B61&lt;&gt;"",FT!B61*100,"")</f>
        <v>47.361799999999995</v>
      </c>
      <c r="H61" s="61">
        <f t="shared" si="1"/>
        <v>1</v>
      </c>
      <c r="I61" t="str">
        <f>IF(FT!B61&lt;&gt;"",FT!E61,"")</f>
        <v>1 [23.967993]</v>
      </c>
      <c r="J61">
        <f>IF(FT!B61&lt;&gt;"",FT!C61,"")</f>
        <v>23.968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199773</v>
      </c>
      <c r="D62" s="61">
        <f>FH!B62*1</f>
        <v>199773</v>
      </c>
      <c r="E62">
        <f t="shared" si="3"/>
        <v>60</v>
      </c>
      <c r="F62" s="61">
        <f>IF(FT!A62&lt;&gt;"",FT!A62*10,"")</f>
        <v>3.4346999999999999</v>
      </c>
      <c r="G62" s="61">
        <f>IF(FT!B62&lt;&gt;"",FT!B62*100,"")</f>
        <v>47.301700000000004</v>
      </c>
      <c r="H62" s="61">
        <f t="shared" si="1"/>
        <v>1</v>
      </c>
      <c r="I62" t="str">
        <f>IF(FT!B62&lt;&gt;"",FT!E62,"")</f>
        <v>1 [24.375820]</v>
      </c>
      <c r="J62">
        <f>IF(FT!B62&lt;&gt;"",FT!C62,"")</f>
        <v>24.375800000000002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3.4057199999999996</v>
      </c>
      <c r="G63" s="61">
        <f>IF(FT!B63&lt;&gt;"",FT!B63*100,"")</f>
        <v>47.2258</v>
      </c>
      <c r="H63" s="61">
        <f t="shared" si="1"/>
        <v>1</v>
      </c>
      <c r="I63" t="str">
        <f>IF(FT!B63&lt;&gt;"",FT!E63,"")</f>
        <v>1 [24.787828]</v>
      </c>
      <c r="J63">
        <f>IF(FT!B63&lt;&gt;"",FT!C63,"")</f>
        <v>24.787800000000001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217220</v>
      </c>
      <c r="D64" s="61">
        <f>FH!B64*1</f>
        <v>217220</v>
      </c>
      <c r="E64">
        <f t="shared" si="3"/>
        <v>62</v>
      </c>
      <c r="F64" s="61">
        <f>IF(FT!A64&lt;&gt;"",FT!A64*10,"")</f>
        <v>3.3754099999999996</v>
      </c>
      <c r="G64" s="61">
        <f>IF(FT!B64&lt;&gt;"",FT!B64*100,"")</f>
        <v>47.227699999999999</v>
      </c>
      <c r="H64" s="61">
        <f t="shared" si="1"/>
        <v>1</v>
      </c>
      <c r="I64" t="str">
        <f>IF(FT!B64&lt;&gt;"",FT!E64,"")</f>
        <v>1 [25.190678]</v>
      </c>
      <c r="J64">
        <f>IF(FT!B64&lt;&gt;"",FT!C64,"")</f>
        <v>25.1907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3.3440700000000003</v>
      </c>
      <c r="G65" s="61">
        <f>IF(FT!B65&lt;&gt;"",FT!B65*100,"")</f>
        <v>47.315400000000004</v>
      </c>
      <c r="H65" s="61">
        <f t="shared" si="1"/>
        <v>1</v>
      </c>
      <c r="I65" t="str">
        <f>IF(FT!B65&lt;&gt;"",FT!E65,"")</f>
        <v>1 [25.595890]</v>
      </c>
      <c r="J65">
        <f>IF(FT!B65&lt;&gt;"",FT!C65,"")</f>
        <v>25.5959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3.3120500000000002</v>
      </c>
      <c r="G66" s="61">
        <f>IF(FT!B66&lt;&gt;"",FT!B66*100,"")</f>
        <v>47.426600000000001</v>
      </c>
      <c r="H66" s="61">
        <f t="shared" si="1"/>
        <v>1</v>
      </c>
      <c r="I66" t="str">
        <f>IF(FT!B66&lt;&gt;"",FT!E66,"")</f>
        <v>1 [25.999728]</v>
      </c>
      <c r="J66">
        <f>IF(FT!B66&lt;&gt;"",FT!C66,"")</f>
        <v>25.999700000000001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225396</v>
      </c>
      <c r="D67" s="61">
        <f>FH!B67*1</f>
        <v>225396</v>
      </c>
      <c r="E67">
        <f t="shared" si="3"/>
        <v>65</v>
      </c>
      <c r="F67" s="61">
        <f>IF(FT!A67&lt;&gt;"",FT!A67*10,"")</f>
        <v>3.2780999999999998</v>
      </c>
      <c r="G67" s="61">
        <f>IF(FT!B67&lt;&gt;"",FT!B67*100,"")</f>
        <v>47.615200000000002</v>
      </c>
      <c r="H67" s="61">
        <f t="shared" ref="H67:H130" si="9">(IF(F67&lt;&gt;"",1,""))</f>
        <v>1</v>
      </c>
      <c r="I67" t="str">
        <f>IF(FT!B67&lt;&gt;"",FT!E67,"")</f>
        <v>1 [26.407661]</v>
      </c>
      <c r="J67">
        <f>IF(FT!B67&lt;&gt;"",FT!C67,"")</f>
        <v>26.407699999999998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3.2465300000000004</v>
      </c>
      <c r="G68" s="61">
        <f>IF(FT!B68&lt;&gt;"",FT!B68*100,"")</f>
        <v>47.783099999999997</v>
      </c>
      <c r="H68" s="61">
        <f t="shared" si="9"/>
        <v>1</v>
      </c>
      <c r="I68" t="str">
        <f>IF(FT!B68&lt;&gt;"",FT!E68,"")</f>
        <v>1 [26.812532]</v>
      </c>
      <c r="J68">
        <f>IF(FT!B68&lt;&gt;"",FT!C68,"")</f>
        <v>26.8125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230127</v>
      </c>
      <c r="D69" s="61">
        <f>FH!B69*1</f>
        <v>230127</v>
      </c>
      <c r="E69">
        <f t="shared" si="11"/>
        <v>67</v>
      </c>
      <c r="F69" s="61">
        <f>IF(FT!A69&lt;&gt;"",FT!A69*10,"")</f>
        <v>3.2173699999999998</v>
      </c>
      <c r="G69" s="61">
        <f>IF(FT!B69&lt;&gt;"",FT!B69*100,"")</f>
        <v>47.919200000000004</v>
      </c>
      <c r="H69" s="61">
        <f t="shared" si="9"/>
        <v>1</v>
      </c>
      <c r="I69" t="str">
        <f>IF(FT!B69&lt;&gt;"",FT!E69,"")</f>
        <v>1 [27.218365]</v>
      </c>
      <c r="J69">
        <f>IF(FT!B69&lt;&gt;"",FT!C69,"")</f>
        <v>27.218399999999999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3.1905099999999997</v>
      </c>
      <c r="G70" s="61">
        <f>IF(FT!B70&lt;&gt;"",FT!B70*100,"")</f>
        <v>47.998100000000001</v>
      </c>
      <c r="H70" s="61">
        <f t="shared" si="9"/>
        <v>1</v>
      </c>
      <c r="I70" t="str">
        <f>IF(FT!B70&lt;&gt;"",FT!E70,"")</f>
        <v>1 [27.623113]</v>
      </c>
      <c r="J70">
        <f>IF(FT!B70&lt;&gt;"",FT!C70,"")</f>
        <v>27.623100000000001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3.1663799999999998</v>
      </c>
      <c r="G71" s="61">
        <f>IF(FT!B71&lt;&gt;"",FT!B71*100,"")</f>
        <v>48.082099999999997</v>
      </c>
      <c r="H71" s="61">
        <f t="shared" si="9"/>
        <v>1</v>
      </c>
      <c r="I71" t="str">
        <f>IF(FT!B71&lt;&gt;"",FT!E71,"")</f>
        <v>1 [28.038014]</v>
      </c>
      <c r="J71">
        <f>IF(FT!B71&lt;&gt;"",FT!C71,"")</f>
        <v>28.038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262763</v>
      </c>
      <c r="D72" s="61">
        <f>FH!B72*1</f>
        <v>262763</v>
      </c>
      <c r="E72">
        <f t="shared" si="11"/>
        <v>70</v>
      </c>
      <c r="F72" s="61">
        <f>IF(FT!A72&lt;&gt;"",FT!A72*10,"")</f>
        <v>3.1407600000000002</v>
      </c>
      <c r="G72" s="61">
        <f>IF(FT!B72&lt;&gt;"",FT!B72*100,"")</f>
        <v>48.228000000000002</v>
      </c>
      <c r="H72" s="61">
        <f t="shared" si="9"/>
        <v>1</v>
      </c>
      <c r="I72" t="str">
        <f>IF(FT!B72&lt;&gt;"",FT!E72,"")</f>
        <v>1 [28.444181]</v>
      </c>
      <c r="J72">
        <f>IF(FT!B72&lt;&gt;"",FT!C72,"")</f>
        <v>28.444199999999999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3.1153199999999996</v>
      </c>
      <c r="G73" s="61">
        <f>IF(FT!B73&lt;&gt;"",FT!B73*100,"")</f>
        <v>48.401800000000001</v>
      </c>
      <c r="H73" s="61">
        <f t="shared" si="9"/>
        <v>1</v>
      </c>
      <c r="I73" t="str">
        <f>IF(FT!B73&lt;&gt;"",FT!E73,"")</f>
        <v>1 [28.851995]</v>
      </c>
      <c r="J73">
        <f>IF(FT!B73&lt;&gt;"",FT!C73,"")</f>
        <v>28.852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3.0933100000000002</v>
      </c>
      <c r="G74" s="61">
        <f>IF(FT!B74&lt;&gt;"",FT!B74*100,"")</f>
        <v>48.546399999999998</v>
      </c>
      <c r="H74" s="61">
        <f t="shared" si="9"/>
        <v>1</v>
      </c>
      <c r="I74" t="str">
        <f>IF(FT!B74&lt;&gt;"",FT!E74,"")</f>
        <v>1 [29.255815]</v>
      </c>
      <c r="J74">
        <f>IF(FT!B74&lt;&gt;"",FT!C74,"")</f>
        <v>29.255800000000001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290367</v>
      </c>
      <c r="D75" s="61">
        <f>FH!B75*1</f>
        <v>290367</v>
      </c>
      <c r="E75">
        <f t="shared" si="11"/>
        <v>73</v>
      </c>
      <c r="F75" s="61">
        <f>IF(FT!A75&lt;&gt;"",FT!A75*10,"")</f>
        <v>3.0730300000000002</v>
      </c>
      <c r="G75" s="61">
        <f>IF(FT!B75&lt;&gt;"",FT!B75*100,"")</f>
        <v>48.731099999999998</v>
      </c>
      <c r="H75" s="61">
        <f t="shared" si="9"/>
        <v>1</v>
      </c>
      <c r="I75" t="str">
        <f>IF(FT!B75&lt;&gt;"",FT!E75,"")</f>
        <v>1 [29.662103]</v>
      </c>
      <c r="J75">
        <f>IF(FT!B75&lt;&gt;"",FT!C75,"")</f>
        <v>29.662099999999999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3.0432900000000003</v>
      </c>
      <c r="G76" s="61">
        <f>IF(FT!B76&lt;&gt;"",FT!B76*100,"")</f>
        <v>48.957999999999998</v>
      </c>
      <c r="H76" s="61">
        <f t="shared" si="9"/>
        <v>1</v>
      </c>
      <c r="I76" t="str">
        <f>IF(FT!B76&lt;&gt;"",FT!E76,"")</f>
        <v>2 [30.360010]</v>
      </c>
      <c r="J76">
        <f>IF(FT!B76&lt;&gt;"",FT!C76,"")</f>
        <v>30.36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310567</v>
      </c>
      <c r="D77" s="61">
        <f>FH!B77*1</f>
        <v>310567</v>
      </c>
      <c r="E77">
        <f t="shared" si="11"/>
        <v>75</v>
      </c>
      <c r="F77" s="61">
        <f>IF(FT!A77&lt;&gt;"",FT!A77*10,"")</f>
        <v>3.0262000000000002</v>
      </c>
      <c r="G77" s="61">
        <f>IF(FT!B77&lt;&gt;"",FT!B77*100,"")</f>
        <v>49.145600000000002</v>
      </c>
      <c r="H77" s="61">
        <f t="shared" si="9"/>
        <v>1</v>
      </c>
      <c r="I77" t="str">
        <f>IF(FT!B77&lt;&gt;"",FT!E77,"")</f>
        <v>2 [30.702029]</v>
      </c>
      <c r="J77">
        <f>IF(FT!B77&lt;&gt;"",FT!C77,"")</f>
        <v>30.702000000000002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3.00929</v>
      </c>
      <c r="G78" s="61">
        <f>IF(FT!B78&lt;&gt;"",FT!B78*100,"")</f>
        <v>49.232500000000002</v>
      </c>
      <c r="H78" s="61">
        <f t="shared" si="9"/>
        <v>1</v>
      </c>
      <c r="I78" t="str">
        <f>IF(FT!B78&lt;&gt;"",FT!E78,"")</f>
        <v>2 [31.064019]</v>
      </c>
      <c r="J78">
        <f>IF(FT!B78&lt;&gt;"",FT!C78,"")</f>
        <v>31.064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2.99308</v>
      </c>
      <c r="G79" s="61">
        <f>IF(FT!B79&lt;&gt;"",FT!B79*100,"")</f>
        <v>49.2697</v>
      </c>
      <c r="H79" s="61">
        <f t="shared" si="9"/>
        <v>1</v>
      </c>
      <c r="I79" t="str">
        <f>IF(FT!B79&lt;&gt;"",FT!E79,"")</f>
        <v>2 [31.438965]</v>
      </c>
      <c r="J79">
        <f>IF(FT!B79&lt;&gt;"",FT!C79,"")</f>
        <v>31.439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336829</v>
      </c>
      <c r="D80" s="61">
        <f>FH!B80*1</f>
        <v>336829</v>
      </c>
      <c r="E80">
        <f t="shared" si="11"/>
        <v>78</v>
      </c>
      <c r="F80" s="61">
        <f>IF(FT!A80&lt;&gt;"",FT!A80*10,"")</f>
        <v>2.9783300000000001</v>
      </c>
      <c r="G80" s="61">
        <f>IF(FT!B80&lt;&gt;"",FT!B80*100,"")</f>
        <v>49.2654</v>
      </c>
      <c r="H80" s="61">
        <f t="shared" si="9"/>
        <v>1</v>
      </c>
      <c r="I80" t="str">
        <f>IF(FT!B80&lt;&gt;"",FT!E80,"")</f>
        <v>2 [31.814986]</v>
      </c>
      <c r="J80">
        <f>IF(FT!B80&lt;&gt;"",FT!C80,"")</f>
        <v>31.815000000000001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2.9635899999999999</v>
      </c>
      <c r="G81" s="61">
        <f>IF(FT!B81&lt;&gt;"",FT!B81*100,"")</f>
        <v>49.2667</v>
      </c>
      <c r="H81" s="61">
        <f t="shared" si="9"/>
        <v>1</v>
      </c>
      <c r="I81" t="str">
        <f>IF(FT!B81&lt;&gt;"",FT!E81,"")</f>
        <v>2 [32.202931]</v>
      </c>
      <c r="J81">
        <f>IF(FT!B81&lt;&gt;"",FT!C81,"")</f>
        <v>32.2029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350742</v>
      </c>
      <c r="D82" s="61">
        <f>FH!B82*1</f>
        <v>350742</v>
      </c>
      <c r="E82">
        <f t="shared" si="11"/>
        <v>80</v>
      </c>
      <c r="F82" s="61">
        <f>IF(FT!A82&lt;&gt;"",FT!A82*10,"")</f>
        <v>2.95269</v>
      </c>
      <c r="G82" s="61">
        <f>IF(FT!B82&lt;&gt;"",FT!B82*100,"")</f>
        <v>49.211399999999998</v>
      </c>
      <c r="H82" s="61">
        <f t="shared" si="9"/>
        <v>1</v>
      </c>
      <c r="I82" t="str">
        <f>IF(FT!B82&lt;&gt;"",FT!E82,"")</f>
        <v>2 [32.622855]</v>
      </c>
      <c r="J82">
        <f>IF(FT!B82&lt;&gt;"",FT!C82,"")</f>
        <v>32.622900000000001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2.9475800000000003</v>
      </c>
      <c r="G83" s="61">
        <f>IF(FT!B83&lt;&gt;"",FT!B83*100,"")</f>
        <v>49.057499999999997</v>
      </c>
      <c r="H83" s="61">
        <f t="shared" si="9"/>
        <v>1</v>
      </c>
      <c r="I83" t="str">
        <f>IF(FT!B83&lt;&gt;"",FT!E83,"")</f>
        <v>2 [33.014440]</v>
      </c>
      <c r="J83">
        <f>IF(FT!B83&lt;&gt;"",FT!C83,"")</f>
        <v>33.014400000000002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2.9445100000000002</v>
      </c>
      <c r="G84" s="61">
        <f>IF(FT!B84&lt;&gt;"",FT!B84*100,"")</f>
        <v>48.866500000000002</v>
      </c>
      <c r="H84" s="61">
        <f t="shared" si="9"/>
        <v>1</v>
      </c>
      <c r="I84" t="str">
        <f>IF(FT!B84&lt;&gt;"",FT!E84,"")</f>
        <v>2 [33.424044]</v>
      </c>
      <c r="J84">
        <f>IF(FT!B84&lt;&gt;"",FT!C84,"")</f>
        <v>33.423999999999999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350888</v>
      </c>
      <c r="D85" s="61">
        <f>FH!B85*1</f>
        <v>350888</v>
      </c>
      <c r="E85">
        <f t="shared" si="11"/>
        <v>83</v>
      </c>
      <c r="F85" s="61">
        <f>IF(FT!A85&lt;&gt;"",FT!A85*10,"")</f>
        <v>2.9411199999999997</v>
      </c>
      <c r="G85" s="61">
        <f>IF(FT!B85&lt;&gt;"",FT!B85*100,"")</f>
        <v>48.688199999999995</v>
      </c>
      <c r="H85" s="61">
        <f t="shared" si="9"/>
        <v>1</v>
      </c>
      <c r="I85" t="str">
        <f>IF(FT!B85&lt;&gt;"",FT!E85,"")</f>
        <v>2 [33.831216]</v>
      </c>
      <c r="J85">
        <f>IF(FT!B85&lt;&gt;"",FT!C85,"")</f>
        <v>33.831200000000003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2.9358899999999997</v>
      </c>
      <c r="G86" s="61">
        <f>IF(FT!B86&lt;&gt;"",FT!B86*100,"")</f>
        <v>48.572400000000002</v>
      </c>
      <c r="H86" s="61">
        <f t="shared" si="9"/>
        <v>1</v>
      </c>
      <c r="I86" t="str">
        <f>IF(FT!B86&lt;&gt;"",FT!E86,"")</f>
        <v>2 [34.233153]</v>
      </c>
      <c r="J86">
        <f>IF(FT!B86&lt;&gt;"",FT!C86,"")</f>
        <v>34.233199999999997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2.9304599999999996</v>
      </c>
      <c r="G87" s="61">
        <f>IF(FT!B87&lt;&gt;"",FT!B87*100,"")</f>
        <v>48.415300000000002</v>
      </c>
      <c r="H87" s="61">
        <f t="shared" si="9"/>
        <v>1</v>
      </c>
      <c r="I87" t="str">
        <f>IF(FT!B87&lt;&gt;"",FT!E87,"")</f>
        <v>2 [34.643211]</v>
      </c>
      <c r="J87">
        <f>IF(FT!B87&lt;&gt;"",FT!C87,"")</f>
        <v>34.6432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350457</v>
      </c>
      <c r="D88" s="61">
        <f>FH!B88*1</f>
        <v>350457</v>
      </c>
      <c r="E88">
        <f t="shared" si="11"/>
        <v>86</v>
      </c>
      <c r="F88" s="61">
        <f>IF(FT!A88&lt;&gt;"",FT!A88*10,"")</f>
        <v>2.9286499999999998</v>
      </c>
      <c r="G88" s="61">
        <f>IF(FT!B88&lt;&gt;"",FT!B88*100,"")</f>
        <v>48.290399999999998</v>
      </c>
      <c r="H88" s="61">
        <f t="shared" si="9"/>
        <v>1</v>
      </c>
      <c r="I88" t="str">
        <f>IF(FT!B88&lt;&gt;"",FT!E88,"")</f>
        <v>2 [35.050108]</v>
      </c>
      <c r="J88">
        <f>IF(FT!B88&lt;&gt;"",FT!C88,"")</f>
        <v>35.0501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2.9262999999999999</v>
      </c>
      <c r="G89" s="61">
        <f>IF(FT!B89&lt;&gt;"",FT!B89*100,"")</f>
        <v>48.222999999999999</v>
      </c>
      <c r="H89" s="61">
        <f t="shared" si="9"/>
        <v>1</v>
      </c>
      <c r="I89" t="str">
        <f>IF(FT!B89&lt;&gt;"",FT!E89,"")</f>
        <v>2 [35.453013]</v>
      </c>
      <c r="J89">
        <f>IF(FT!B89&lt;&gt;"",FT!C89,"")</f>
        <v>35.453000000000003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321564</v>
      </c>
      <c r="D90" s="61">
        <f>FH!B90*1</f>
        <v>321564</v>
      </c>
      <c r="E90">
        <f t="shared" si="11"/>
        <v>88</v>
      </c>
      <c r="F90" s="61">
        <f>IF(FT!A90&lt;&gt;"",FT!A90*10,"")</f>
        <v>2.9258899999999999</v>
      </c>
      <c r="G90" s="61">
        <f>IF(FT!B90&lt;&gt;"",FT!B90*100,"")</f>
        <v>48.070500000000003</v>
      </c>
      <c r="H90" s="61">
        <f t="shared" si="9"/>
        <v>1</v>
      </c>
      <c r="I90" t="str">
        <f>IF(FT!B90&lt;&gt;"",FT!E90,"")</f>
        <v>2 [35.862786]</v>
      </c>
      <c r="J90">
        <f>IF(FT!B90&lt;&gt;"",FT!C90,"")</f>
        <v>35.8628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2.9272</v>
      </c>
      <c r="G91" s="61">
        <f>IF(FT!B91&lt;&gt;"",FT!B91*100,"")</f>
        <v>47.909700000000001</v>
      </c>
      <c r="H91" s="61">
        <f t="shared" si="9"/>
        <v>1</v>
      </c>
      <c r="I91" t="str">
        <f>IF(FT!B91&lt;&gt;"",FT!E91,"")</f>
        <v>2 [36.266068]</v>
      </c>
      <c r="J91">
        <f>IF(FT!B91&lt;&gt;"",FT!C91,"")</f>
        <v>36.266100000000002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2.9268300000000003</v>
      </c>
      <c r="G92" s="61">
        <f>IF(FT!B92&lt;&gt;"",FT!B92*100,"")</f>
        <v>47.801500000000004</v>
      </c>
      <c r="H92" s="61">
        <f t="shared" si="9"/>
        <v>1</v>
      </c>
      <c r="I92" t="str">
        <f>IF(FT!B92&lt;&gt;"",FT!E92,"")</f>
        <v>2 [36.696050]</v>
      </c>
      <c r="J92">
        <f>IF(FT!B92&lt;&gt;"",FT!C92,"")</f>
        <v>36.695999999999998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330698</v>
      </c>
      <c r="D93" s="61">
        <f>FH!B93*1</f>
        <v>330698</v>
      </c>
      <c r="E93">
        <f t="shared" si="11"/>
        <v>91</v>
      </c>
      <c r="F93" s="61">
        <f>IF(FT!A93&lt;&gt;"",FT!A93*10,"")</f>
        <v>2.9286600000000003</v>
      </c>
      <c r="G93" s="61">
        <f>IF(FT!B93&lt;&gt;"",FT!B93*100,"")</f>
        <v>47.733499999999999</v>
      </c>
      <c r="H93" s="61">
        <f t="shared" si="9"/>
        <v>1</v>
      </c>
      <c r="I93" t="str">
        <f>IF(FT!B93&lt;&gt;"",FT!E93,"")</f>
        <v>2 [37.078588]</v>
      </c>
      <c r="J93">
        <f>IF(FT!B93&lt;&gt;"",FT!C93,"")</f>
        <v>37.078600000000002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2.9326000000000003</v>
      </c>
      <c r="G94" s="61">
        <f>IF(FT!B94&lt;&gt;"",FT!B94*100,"")</f>
        <v>47.656399999999998</v>
      </c>
      <c r="H94" s="61">
        <f t="shared" si="9"/>
        <v>1</v>
      </c>
      <c r="I94" t="str">
        <f>IF(FT!B94&lt;&gt;"",FT!E94,"")</f>
        <v>2 [37.489481]</v>
      </c>
      <c r="J94">
        <f>IF(FT!B94&lt;&gt;"",FT!C94,"")</f>
        <v>37.4895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343598</v>
      </c>
      <c r="D95" s="61">
        <f>FH!B95*1</f>
        <v>343598</v>
      </c>
      <c r="E95">
        <f t="shared" si="11"/>
        <v>93</v>
      </c>
      <c r="F95" s="61">
        <f>IF(FT!A95&lt;&gt;"",FT!A95*10,"")</f>
        <v>2.9384900000000003</v>
      </c>
      <c r="G95" s="61">
        <f>IF(FT!B95&lt;&gt;"",FT!B95*100,"")</f>
        <v>47.627600000000001</v>
      </c>
      <c r="H95" s="61">
        <f t="shared" si="9"/>
        <v>1</v>
      </c>
      <c r="I95" t="str">
        <f>IF(FT!B95&lt;&gt;"",FT!E95,"")</f>
        <v>2 [37.893337]</v>
      </c>
      <c r="J95">
        <f>IF(FT!B95&lt;&gt;"",FT!C95,"")</f>
        <v>37.893300000000004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2.9447200000000002</v>
      </c>
      <c r="G96" s="61">
        <f>IF(FT!B96&lt;&gt;"",FT!B96*100,"")</f>
        <v>47.6432</v>
      </c>
      <c r="H96" s="61">
        <f t="shared" si="9"/>
        <v>1</v>
      </c>
      <c r="I96" t="str">
        <f>IF(FT!B96&lt;&gt;"",FT!E96,"")</f>
        <v>2 [38.298273]</v>
      </c>
      <c r="J96">
        <f>IF(FT!B96&lt;&gt;"",FT!C96,"")</f>
        <v>38.298299999999998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2.9520999999999997</v>
      </c>
      <c r="G97" s="61">
        <f>IF(FT!B97&lt;&gt;"",FT!B97*100,"")</f>
        <v>47.697299999999998</v>
      </c>
      <c r="H97" s="61">
        <f t="shared" si="9"/>
        <v>1</v>
      </c>
      <c r="I97" t="str">
        <f>IF(FT!B97&lt;&gt;"",FT!E97,"")</f>
        <v>2 [38.704293]</v>
      </c>
      <c r="J97">
        <f>IF(FT!B97&lt;&gt;"",FT!C97,"")</f>
        <v>38.704300000000003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324935</v>
      </c>
      <c r="D98" s="61">
        <f>FH!B98*1</f>
        <v>324935</v>
      </c>
      <c r="E98">
        <f t="shared" si="11"/>
        <v>96</v>
      </c>
      <c r="F98" s="61">
        <f>IF(FT!A98&lt;&gt;"",FT!A98*10,"")</f>
        <v>2.9616799999999999</v>
      </c>
      <c r="G98" s="61">
        <f>IF(FT!B98&lt;&gt;"",FT!B98*100,"")</f>
        <v>47.8127</v>
      </c>
      <c r="H98" s="61">
        <f t="shared" si="9"/>
        <v>1</v>
      </c>
      <c r="I98" t="str">
        <f>IF(FT!B98&lt;&gt;"",FT!E98,"")</f>
        <v>2 [39.118302]</v>
      </c>
      <c r="J98">
        <f>IF(FT!B98&lt;&gt;"",FT!C98,"")</f>
        <v>39.118299999999998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2.9745500000000002</v>
      </c>
      <c r="G99" s="61">
        <f>IF(FT!B99&lt;&gt;"",FT!B99*100,"")</f>
        <v>47.939900000000002</v>
      </c>
      <c r="H99" s="61">
        <f t="shared" si="9"/>
        <v>1</v>
      </c>
      <c r="I99" t="str">
        <f>IF(FT!B99&lt;&gt;"",FT!E99,"")</f>
        <v>2 [39.514091]</v>
      </c>
      <c r="J99">
        <f>IF(FT!B99&lt;&gt;"",FT!C99,"")</f>
        <v>39.514099999999999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306610</v>
      </c>
      <c r="D100" s="61">
        <f>FH!B100*1</f>
        <v>306610</v>
      </c>
      <c r="E100">
        <f t="shared" si="11"/>
        <v>98</v>
      </c>
      <c r="F100" s="61">
        <f>IF(FT!A100&lt;&gt;"",FT!A100*10,"")</f>
        <v>2.9891399999999999</v>
      </c>
      <c r="G100" s="61">
        <f>IF(FT!B100&lt;&gt;"",FT!B100*100,"")</f>
        <v>48.069099999999999</v>
      </c>
      <c r="H100" s="61">
        <f t="shared" si="9"/>
        <v>1</v>
      </c>
      <c r="I100" t="str">
        <f>IF(FT!B100&lt;&gt;"",FT!E100,"")</f>
        <v>2 [39.925334]</v>
      </c>
      <c r="J100">
        <f>IF(FT!B100&lt;&gt;"",FT!C100,"")</f>
        <v>39.9253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3.0048399999999997</v>
      </c>
      <c r="G101" s="61">
        <f>IF(FT!B101&lt;&gt;"",FT!B101*100,"")</f>
        <v>48.278500000000001</v>
      </c>
      <c r="H101" s="61">
        <f t="shared" si="9"/>
        <v>1</v>
      </c>
      <c r="I101" t="str">
        <f>IF(FT!B101&lt;&gt;"",FT!E101,"")</f>
        <v>2 [40.332834]</v>
      </c>
      <c r="J101">
        <f>IF(FT!B101&lt;&gt;"",FT!C101,"")</f>
        <v>40.332799999999999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3.0219299999999998</v>
      </c>
      <c r="G102" s="61">
        <f>IF(FT!B102&lt;&gt;"",FT!B102*100,"")</f>
        <v>48.4863</v>
      </c>
      <c r="H102" s="61">
        <f t="shared" si="9"/>
        <v>1</v>
      </c>
      <c r="I102" t="str">
        <f>IF(FT!B102&lt;&gt;"",FT!E102,"")</f>
        <v>2 [40.737960]</v>
      </c>
      <c r="J102">
        <f>IF(FT!B102&lt;&gt;"",FT!C102,"")</f>
        <v>40.738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318732</v>
      </c>
      <c r="D103" s="61">
        <f>FH!B103*1</f>
        <v>318732</v>
      </c>
      <c r="E103">
        <f t="shared" si="11"/>
        <v>101</v>
      </c>
      <c r="F103" s="61">
        <f>IF(FT!A103&lt;&gt;"",FT!A103*10,"")</f>
        <v>3.04413</v>
      </c>
      <c r="G103" s="61">
        <f>IF(FT!B103&lt;&gt;"",FT!B103*100,"")</f>
        <v>48.690600000000003</v>
      </c>
      <c r="H103" s="61">
        <f t="shared" si="9"/>
        <v>1</v>
      </c>
      <c r="I103" t="str">
        <f>IF(FT!B103&lt;&gt;"",FT!E103,"")</f>
        <v>2 [41.165169]</v>
      </c>
      <c r="J103">
        <f>IF(FT!B103&lt;&gt;"",FT!C103,"")</f>
        <v>41.165199999999999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3.07301</v>
      </c>
      <c r="G104" s="61">
        <f>IF(FT!B104&lt;&gt;"",FT!B104*100,"")</f>
        <v>48.879600000000003</v>
      </c>
      <c r="H104" s="61">
        <f t="shared" si="9"/>
        <v>1</v>
      </c>
      <c r="I104" t="str">
        <f>IF(FT!B104&lt;&gt;"",FT!E104,"")</f>
        <v>2 [41.560710]</v>
      </c>
      <c r="J104">
        <f>IF(FT!B104&lt;&gt;"",FT!C104,"")</f>
        <v>41.560699999999997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3.1040700000000001</v>
      </c>
      <c r="G105" s="61">
        <f>IF(FT!B105&lt;&gt;"",FT!B105*100,"")</f>
        <v>49.0642</v>
      </c>
      <c r="H105" s="61">
        <f t="shared" si="9"/>
        <v>1</v>
      </c>
      <c r="I105" t="str">
        <f>IF(FT!B105&lt;&gt;"",FT!E105,"")</f>
        <v>2 [41.971569]</v>
      </c>
      <c r="J105">
        <f>IF(FT!B105&lt;&gt;"",FT!C105,"")</f>
        <v>41.971600000000002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275046</v>
      </c>
      <c r="D106" s="61">
        <f>FH!B106*1</f>
        <v>275046</v>
      </c>
      <c r="E106">
        <f t="shared" si="11"/>
        <v>104</v>
      </c>
      <c r="F106" s="61">
        <f>IF(FT!A106&lt;&gt;"",FT!A106*10,"")</f>
        <v>3.1373199999999999</v>
      </c>
      <c r="G106" s="61">
        <f>IF(FT!B106&lt;&gt;"",FT!B106*100,"")</f>
        <v>49.2209</v>
      </c>
      <c r="H106" s="61">
        <f t="shared" si="9"/>
        <v>1</v>
      </c>
      <c r="I106" t="str">
        <f>IF(FT!B106&lt;&gt;"",FT!E106,"")</f>
        <v>2 [42.367441]</v>
      </c>
      <c r="J106">
        <f>IF(FT!B106&lt;&gt;"",FT!C106,"")</f>
        <v>42.367400000000004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3.1747199999999998</v>
      </c>
      <c r="G107" s="61">
        <f>IF(FT!B107&lt;&gt;"",FT!B107*100,"")</f>
        <v>49.247700000000002</v>
      </c>
      <c r="H107" s="61">
        <f t="shared" si="9"/>
        <v>1</v>
      </c>
      <c r="I107" t="str">
        <f>IF(FT!B107&lt;&gt;"",FT!E107,"")</f>
        <v>2 [42.768524]</v>
      </c>
      <c r="J107">
        <f>IF(FT!B107&lt;&gt;"",FT!C107,"")</f>
        <v>42.768500000000003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290303</v>
      </c>
      <c r="D108" s="61">
        <f>FH!B108*1</f>
        <v>290303</v>
      </c>
      <c r="E108">
        <f t="shared" si="11"/>
        <v>106</v>
      </c>
      <c r="F108" s="61">
        <f>IF(FT!A108&lt;&gt;"",FT!A108*10,"")</f>
        <v>3.2121899999999997</v>
      </c>
      <c r="G108" s="61">
        <f>IF(FT!B108&lt;&gt;"",FT!B108*100,"")</f>
        <v>49.359900000000003</v>
      </c>
      <c r="H108" s="61">
        <f t="shared" si="9"/>
        <v>1</v>
      </c>
      <c r="I108" t="str">
        <f>IF(FT!B108&lt;&gt;"",FT!E108,"")</f>
        <v>2 [43.171262]</v>
      </c>
      <c r="J108">
        <f>IF(FT!B108&lt;&gt;"",FT!C108,"")</f>
        <v>43.171300000000002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3.2499499999999997</v>
      </c>
      <c r="G109" s="61">
        <f>IF(FT!B109&lt;&gt;"",FT!B109*100,"")</f>
        <v>49.492599999999996</v>
      </c>
      <c r="H109" s="61">
        <f t="shared" si="9"/>
        <v>1</v>
      </c>
      <c r="I109" t="str">
        <f>IF(FT!B109&lt;&gt;"",FT!E109,"")</f>
        <v>2 [43.577161]</v>
      </c>
      <c r="J109">
        <f>IF(FT!B109&lt;&gt;"",FT!C109,"")</f>
        <v>43.577199999999998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3.2913900000000003</v>
      </c>
      <c r="G110" s="61">
        <f>IF(FT!B110&lt;&gt;"",FT!B110*100,"")</f>
        <v>49.615299999999998</v>
      </c>
      <c r="H110" s="61">
        <f t="shared" si="9"/>
        <v>1</v>
      </c>
      <c r="I110" t="str">
        <f>IF(FT!B110&lt;&gt;"",FT!E110,"")</f>
        <v>2 [43.983301]</v>
      </c>
      <c r="J110">
        <f>IF(FT!B110&lt;&gt;"",FT!C110,"")</f>
        <v>43.9833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286947</v>
      </c>
      <c r="D111" s="61">
        <f>FH!B111*1</f>
        <v>286947</v>
      </c>
      <c r="E111">
        <f t="shared" si="11"/>
        <v>109</v>
      </c>
      <c r="F111" s="61">
        <f>IF(FT!A111&lt;&gt;"",FT!A111*10,"")</f>
        <v>3.3384399999999999</v>
      </c>
      <c r="G111" s="61">
        <f>IF(FT!B111&lt;&gt;"",FT!B111*100,"")</f>
        <v>49.7087</v>
      </c>
      <c r="H111" s="61">
        <f t="shared" si="9"/>
        <v>1</v>
      </c>
      <c r="I111" t="str">
        <f>IF(FT!B111&lt;&gt;"",FT!E111,"")</f>
        <v>2 [44.393003]</v>
      </c>
      <c r="J111">
        <f>IF(FT!B111&lt;&gt;"",FT!C111,"")</f>
        <v>44.393000000000001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3.3905099999999999</v>
      </c>
      <c r="G112" s="61">
        <f>IF(FT!B112&lt;&gt;"",FT!B112*100,"")</f>
        <v>49.762499999999996</v>
      </c>
      <c r="H112" s="61">
        <f t="shared" si="9"/>
        <v>1</v>
      </c>
      <c r="I112" t="str">
        <f>IF(FT!B112&lt;&gt;"",FT!E112,"")</f>
        <v>2 [44.797934]</v>
      </c>
      <c r="J112">
        <f>IF(FT!B112&lt;&gt;"",FT!C112,"")</f>
        <v>44.797899999999998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241403</v>
      </c>
      <c r="D113" s="61">
        <f>FH!B113*1</f>
        <v>241403</v>
      </c>
      <c r="E113">
        <f t="shared" si="11"/>
        <v>111</v>
      </c>
      <c r="F113" s="61">
        <f>IF(FT!A113&lt;&gt;"",FT!A113*10,"")</f>
        <v>3.4419899999999997</v>
      </c>
      <c r="G113" s="61">
        <f>IF(FT!B113&lt;&gt;"",FT!B113*100,"")</f>
        <v>49.836999999999996</v>
      </c>
      <c r="H113" s="61">
        <f t="shared" si="9"/>
        <v>1</v>
      </c>
      <c r="I113" t="str">
        <f>IF(FT!B113&lt;&gt;"",FT!E113,"")</f>
        <v>2 [45.203922]</v>
      </c>
      <c r="J113">
        <f>IF(FT!B113&lt;&gt;"",FT!C113,"")</f>
        <v>45.203899999999997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3.48922</v>
      </c>
      <c r="G114" s="61">
        <f>IF(FT!B114&lt;&gt;"",FT!B114*100,"")</f>
        <v>50.069800000000001</v>
      </c>
      <c r="H114" s="61">
        <f t="shared" si="9"/>
        <v>1</v>
      </c>
      <c r="I114" t="str">
        <f>IF(FT!B114&lt;&gt;"",FT!E114,"")</f>
        <v>2 [45.606849]</v>
      </c>
      <c r="J114">
        <f>IF(FT!B114&lt;&gt;"",FT!C114,"")</f>
        <v>45.6068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3.5323199999999999</v>
      </c>
      <c r="G115" s="61">
        <f>IF(FT!B115&lt;&gt;"",FT!B115*100,"")</f>
        <v>50.451100000000004</v>
      </c>
      <c r="H115" s="61">
        <f t="shared" si="9"/>
        <v>1</v>
      </c>
      <c r="I115" t="str">
        <f>IF(FT!B115&lt;&gt;"",FT!E115,"")</f>
        <v>2 [46.017322]</v>
      </c>
      <c r="J115">
        <f>IF(FT!B115&lt;&gt;"",FT!C115,"")</f>
        <v>46.017299999999999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223232</v>
      </c>
      <c r="D116" s="61">
        <f>FH!B116*1</f>
        <v>223232</v>
      </c>
      <c r="E116">
        <f t="shared" si="11"/>
        <v>114</v>
      </c>
      <c r="F116" s="61">
        <f>IF(FT!A116&lt;&gt;"",FT!A116*10,"")</f>
        <v>3.5719499999999997</v>
      </c>
      <c r="G116" s="61">
        <f>IF(FT!B116&lt;&gt;"",FT!B116*100,"")</f>
        <v>50.944199999999995</v>
      </c>
      <c r="H116" s="61">
        <f t="shared" si="9"/>
        <v>1</v>
      </c>
      <c r="I116" t="str">
        <f>IF(FT!B116&lt;&gt;"",FT!E116,"")</f>
        <v>2 [46.422632]</v>
      </c>
      <c r="J116">
        <f>IF(FT!B116&lt;&gt;"",FT!C116,"")</f>
        <v>46.422600000000003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3.6093999999999999</v>
      </c>
      <c r="G117" s="61">
        <f>IF(FT!B117&lt;&gt;"",FT!B117*100,"")</f>
        <v>51.514200000000002</v>
      </c>
      <c r="H117" s="61">
        <f t="shared" si="9"/>
        <v>1</v>
      </c>
      <c r="I117" t="str">
        <f>IF(FT!B117&lt;&gt;"",FT!E117,"")</f>
        <v>2 [46.828734]</v>
      </c>
      <c r="J117">
        <f>IF(FT!B117&lt;&gt;"",FT!C117,"")</f>
        <v>46.828699999999998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218178</v>
      </c>
      <c r="D118" s="61">
        <f>FH!B118*1</f>
        <v>218178</v>
      </c>
      <c r="E118">
        <f t="shared" si="11"/>
        <v>116</v>
      </c>
      <c r="F118" s="61">
        <f>IF(FT!A118&lt;&gt;"",FT!A118*10,"")</f>
        <v>3.64506</v>
      </c>
      <c r="G118" s="61">
        <f>IF(FT!B118&lt;&gt;"",FT!B118*100,"")</f>
        <v>52.081599999999995</v>
      </c>
      <c r="H118" s="61">
        <f t="shared" si="9"/>
        <v>1</v>
      </c>
      <c r="I118" t="str">
        <f>IF(FT!B118&lt;&gt;"",FT!E118,"")</f>
        <v>2 [47.236485]</v>
      </c>
      <c r="J118">
        <f>IF(FT!B118&lt;&gt;"",FT!C118,"")</f>
        <v>47.236499999999999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3.6785800000000002</v>
      </c>
      <c r="G119" s="61">
        <f>IF(FT!B119&lt;&gt;"",FT!B119*100,"")</f>
        <v>52.659299999999995</v>
      </c>
      <c r="H119" s="61">
        <f t="shared" si="9"/>
        <v>1</v>
      </c>
      <c r="I119" t="str">
        <f>IF(FT!B119&lt;&gt;"",FT!E119,"")</f>
        <v>2 [47.640437]</v>
      </c>
      <c r="J119">
        <f>IF(FT!B119&lt;&gt;"",FT!C119,"")</f>
        <v>47.6404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3.70919</v>
      </c>
      <c r="G120" s="61">
        <f>IF(FT!B120&lt;&gt;"",FT!B120*100,"")</f>
        <v>53.209399999999995</v>
      </c>
      <c r="H120" s="61">
        <f t="shared" si="9"/>
        <v>1</v>
      </c>
      <c r="I120" t="str">
        <f>IF(FT!B120&lt;&gt;"",FT!E120,"")</f>
        <v>2 [48.049366]</v>
      </c>
      <c r="J120">
        <f>IF(FT!B120&lt;&gt;"",FT!C120,"")</f>
        <v>48.049399999999999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218125</v>
      </c>
      <c r="D121" s="61">
        <f>FH!B121*1</f>
        <v>218125</v>
      </c>
      <c r="E121">
        <f t="shared" si="11"/>
        <v>119</v>
      </c>
      <c r="F121" s="61">
        <f>IF(FT!A121&lt;&gt;"",FT!A121*10,"")</f>
        <v>3.7386799999999996</v>
      </c>
      <c r="G121" s="61">
        <f>IF(FT!B121&lt;&gt;"",FT!B121*100,"")</f>
        <v>53.735900000000001</v>
      </c>
      <c r="H121" s="61">
        <f t="shared" si="9"/>
        <v>1</v>
      </c>
      <c r="I121" t="str">
        <f>IF(FT!B121&lt;&gt;"",FT!E121,"")</f>
        <v>2 [48.453225]</v>
      </c>
      <c r="J121">
        <f>IF(FT!B121&lt;&gt;"",FT!C121,"")</f>
        <v>48.453200000000002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3.7683899999999997</v>
      </c>
      <c r="G122" s="61">
        <f>IF(FT!B122&lt;&gt;"",FT!B122*100,"")</f>
        <v>54.252800000000001</v>
      </c>
      <c r="H122" s="61">
        <f t="shared" si="9"/>
        <v>1</v>
      </c>
      <c r="I122" t="str">
        <f>IF(FT!B122&lt;&gt;"",FT!E122,"")</f>
        <v>2 [48.857083]</v>
      </c>
      <c r="J122">
        <f>IF(FT!B122&lt;&gt;"",FT!C122,"")</f>
        <v>48.857100000000003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3.7995299999999999</v>
      </c>
      <c r="G123" s="61">
        <f>IF(FT!B123&lt;&gt;"",FT!B123*100,"")</f>
        <v>54.712899999999998</v>
      </c>
      <c r="H123" s="61">
        <f t="shared" si="9"/>
        <v>1</v>
      </c>
      <c r="I123" t="str">
        <f>IF(FT!B123&lt;&gt;"",FT!E123,"")</f>
        <v>2 [49.263094]</v>
      </c>
      <c r="J123">
        <f>IF(FT!B123&lt;&gt;"",FT!C123,"")</f>
        <v>49.263100000000001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189565</v>
      </c>
      <c r="D124" s="61">
        <f>FH!B124*1</f>
        <v>189565</v>
      </c>
      <c r="E124">
        <f t="shared" si="11"/>
        <v>122</v>
      </c>
      <c r="F124" s="61">
        <f>IF(FT!A124&lt;&gt;"",FT!A124*10,"")</f>
        <v>3.8331200000000001</v>
      </c>
      <c r="G124" s="61">
        <f>IF(FT!B124&lt;&gt;"",FT!B124*100,"")</f>
        <v>55.040599999999998</v>
      </c>
      <c r="H124" s="61">
        <f t="shared" si="9"/>
        <v>1</v>
      </c>
      <c r="I124" t="str">
        <f>IF(FT!B124&lt;&gt;"",FT!E124,"")</f>
        <v>2 [49.674019]</v>
      </c>
      <c r="J124">
        <f>IF(FT!B124&lt;&gt;"",FT!C124,"")</f>
        <v>49.673999999999999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3.8610899999999999</v>
      </c>
      <c r="G125" s="61">
        <f>IF(FT!B125&lt;&gt;"",FT!B125*100,"")</f>
        <v>55.386299999999999</v>
      </c>
      <c r="H125" s="61">
        <f t="shared" si="9"/>
        <v>1</v>
      </c>
      <c r="I125" t="str">
        <f>IF(FT!B125&lt;&gt;"",FT!E125,"")</f>
        <v>2 [50.076902]</v>
      </c>
      <c r="J125">
        <f>IF(FT!B125&lt;&gt;"",FT!C125,"")</f>
        <v>50.076900000000002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165859</v>
      </c>
      <c r="D126" s="61">
        <f>FH!B126*1</f>
        <v>165859</v>
      </c>
      <c r="E126">
        <f t="shared" si="11"/>
        <v>124</v>
      </c>
      <c r="F126" s="61">
        <f>IF(FT!A126&lt;&gt;"",FT!A126*10,"")</f>
        <v>3.8818599999999996</v>
      </c>
      <c r="G126" s="61">
        <f>IF(FT!B126&lt;&gt;"",FT!B126*100,"")</f>
        <v>55.812399999999997</v>
      </c>
      <c r="H126" s="61">
        <f t="shared" si="9"/>
        <v>1</v>
      </c>
      <c r="I126" t="str">
        <f>IF(FT!B126&lt;&gt;"",FT!E126,"")</f>
        <v>2 [50.484660]</v>
      </c>
      <c r="J126">
        <f>IF(FT!B126&lt;&gt;"",FT!C126,"")</f>
        <v>50.484699999999997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3.90293</v>
      </c>
      <c r="G127" s="61">
        <f>IF(FT!B127&lt;&gt;"",FT!B127*100,"")</f>
        <v>56.265000000000001</v>
      </c>
      <c r="H127" s="61">
        <f t="shared" si="9"/>
        <v>1</v>
      </c>
      <c r="I127" t="str">
        <f>IF(FT!B127&lt;&gt;"",FT!E127,"")</f>
        <v>2 [50.892460]</v>
      </c>
      <c r="J127">
        <f>IF(FT!B127&lt;&gt;"",FT!C127,"")</f>
        <v>50.892499999999998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3.9227099999999999</v>
      </c>
      <c r="G128" s="61">
        <f>IF(FT!B128&lt;&gt;"",FT!B128*100,"")</f>
        <v>56.661300000000004</v>
      </c>
      <c r="H128" s="61">
        <f t="shared" si="9"/>
        <v>1</v>
      </c>
      <c r="I128" t="str">
        <f>IF(FT!B128&lt;&gt;"",FT!E128,"")</f>
        <v>2 [51.294720]</v>
      </c>
      <c r="J128">
        <f>IF(FT!B128&lt;&gt;"",FT!C128,"")</f>
        <v>51.294699999999999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158861</v>
      </c>
      <c r="D129" s="61">
        <f>FH!B129*1</f>
        <v>158861</v>
      </c>
      <c r="E129">
        <f t="shared" si="11"/>
        <v>127</v>
      </c>
      <c r="F129" s="61">
        <f>IF(FT!A129&lt;&gt;"",FT!A129*10,"")</f>
        <v>3.9400499999999998</v>
      </c>
      <c r="G129" s="61">
        <f>IF(FT!B129&lt;&gt;"",FT!B129*100,"")</f>
        <v>56.958299999999994</v>
      </c>
      <c r="H129" s="61">
        <f t="shared" si="9"/>
        <v>1</v>
      </c>
      <c r="I129" t="str">
        <f>IF(FT!B129&lt;&gt;"",FT!E129,"")</f>
        <v>2 [51.704615]</v>
      </c>
      <c r="J129">
        <f>IF(FT!B129&lt;&gt;"",FT!C129,"")</f>
        <v>51.704599999999999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3.9561299999999999</v>
      </c>
      <c r="G130" s="61">
        <f>IF(FT!B130&lt;&gt;"",FT!B130*100,"")</f>
        <v>57.225499999999997</v>
      </c>
      <c r="H130" s="61">
        <f t="shared" si="9"/>
        <v>1</v>
      </c>
      <c r="I130" t="str">
        <f>IF(FT!B130&lt;&gt;"",FT!E130,"")</f>
        <v>2 [52.116472]</v>
      </c>
      <c r="J130">
        <f>IF(FT!B130&lt;&gt;"",FT!C130,"")</f>
        <v>52.116500000000002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144188</v>
      </c>
      <c r="D131" s="61">
        <f>FH!B131*1</f>
        <v>144188</v>
      </c>
      <c r="E131">
        <f t="shared" si="11"/>
        <v>129</v>
      </c>
      <c r="F131" s="61">
        <f>IF(FT!A131&lt;&gt;"",FT!A131*10,"")</f>
        <v>3.9719500000000001</v>
      </c>
      <c r="G131" s="61">
        <f>IF(FT!B131&lt;&gt;"",FT!B131*100,"")</f>
        <v>57.509399999999999</v>
      </c>
      <c r="H131" s="61">
        <f t="shared" ref="H131:H194" si="13">(IF(F131&lt;&gt;"",1,""))</f>
        <v>1</v>
      </c>
      <c r="I131" t="str">
        <f>IF(FT!B131&lt;&gt;"",FT!E131,"")</f>
        <v>2 [52.517452]</v>
      </c>
      <c r="J131">
        <f>IF(FT!B131&lt;&gt;"",FT!C131,"")</f>
        <v>52.517499999999998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3.9847000000000001</v>
      </c>
      <c r="G132" s="61">
        <f>IF(FT!B132&lt;&gt;"",FT!B132*100,"")</f>
        <v>57.761799999999994</v>
      </c>
      <c r="H132" s="61">
        <f t="shared" si="13"/>
        <v>1</v>
      </c>
      <c r="I132" t="str">
        <f>IF(FT!B132&lt;&gt;"",FT!E132,"")</f>
        <v>2 [52.921323]</v>
      </c>
      <c r="J132">
        <f>IF(FT!B132&lt;&gt;"",FT!C132,"")</f>
        <v>52.921300000000002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3.9967100000000002</v>
      </c>
      <c r="G133" s="61">
        <f>IF(FT!B133&lt;&gt;"",FT!B133*100,"")</f>
        <v>57.918300000000002</v>
      </c>
      <c r="H133" s="61">
        <f t="shared" si="13"/>
        <v>1</v>
      </c>
      <c r="I133" t="str">
        <f>IF(FT!B133&lt;&gt;"",FT!E133,"")</f>
        <v>2 [53.332093]</v>
      </c>
      <c r="J133">
        <f>IF(FT!B133&lt;&gt;"",FT!C133,"")</f>
        <v>53.332099999999997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121708</v>
      </c>
      <c r="D134" s="61">
        <f>FH!B134*1</f>
        <v>121708</v>
      </c>
      <c r="E134">
        <f t="shared" si="15"/>
        <v>132</v>
      </c>
      <c r="F134" s="61">
        <f>IF(FT!A134&lt;&gt;"",FT!A134*10,"")</f>
        <v>4.0076499999999999</v>
      </c>
      <c r="G134" s="61">
        <f>IF(FT!B134&lt;&gt;"",FT!B134*100,"")</f>
        <v>58.039300000000004</v>
      </c>
      <c r="H134" s="61">
        <f t="shared" si="13"/>
        <v>1</v>
      </c>
      <c r="I134" t="str">
        <f>IF(FT!B134&lt;&gt;"",FT!E134,"")</f>
        <v>2 [53.735127]</v>
      </c>
      <c r="J134">
        <f>IF(FT!B134&lt;&gt;"",FT!C134,"")</f>
        <v>53.735100000000003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4.0155099999999999</v>
      </c>
      <c r="G135" s="61">
        <f>IF(FT!B135&lt;&gt;"",FT!B135*100,"")</f>
        <v>58.069400000000002</v>
      </c>
      <c r="H135" s="61">
        <f t="shared" si="13"/>
        <v>1</v>
      </c>
      <c r="I135" t="str">
        <f>IF(FT!B135&lt;&gt;"",FT!E135,"")</f>
        <v>2 [54.142570]</v>
      </c>
      <c r="J135">
        <f>IF(FT!B135&lt;&gt;"",FT!C135,"")</f>
        <v>54.142600000000002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110328</v>
      </c>
      <c r="D136" s="61">
        <f>FH!B136*1</f>
        <v>110328</v>
      </c>
      <c r="E136">
        <f t="shared" si="15"/>
        <v>134</v>
      </c>
      <c r="F136" s="61">
        <f>IF(FT!A136&lt;&gt;"",FT!A136*10,"")</f>
        <v>4.0189900000000005</v>
      </c>
      <c r="G136" s="61">
        <f>IF(FT!B136&lt;&gt;"",FT!B136*100,"")</f>
        <v>58.016300000000001</v>
      </c>
      <c r="H136" s="61">
        <f t="shared" si="13"/>
        <v>1</v>
      </c>
      <c r="I136" t="str">
        <f>IF(FT!B136&lt;&gt;"",FT!E136,"")</f>
        <v>2 [54.550972]</v>
      </c>
      <c r="J136">
        <f>IF(FT!B136&lt;&gt;"",FT!C136,"")</f>
        <v>54.551000000000002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4.0167599999999997</v>
      </c>
      <c r="G137" s="61">
        <f>IF(FT!B137&lt;&gt;"",FT!B137*100,"")</f>
        <v>57.991999999999997</v>
      </c>
      <c r="H137" s="61">
        <f t="shared" si="13"/>
        <v>1</v>
      </c>
      <c r="I137" t="str">
        <f>IF(FT!B137&lt;&gt;"",FT!E137,"")</f>
        <v>2 [54.967171]</v>
      </c>
      <c r="J137">
        <f>IF(FT!B137&lt;&gt;"",FT!C137,"")</f>
        <v>54.967199999999998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4.0119500000000006</v>
      </c>
      <c r="G138" s="61">
        <f>IF(FT!B138&lt;&gt;"",FT!B138*100,"")</f>
        <v>58.016599999999997</v>
      </c>
      <c r="H138" s="61">
        <f t="shared" si="13"/>
        <v>1</v>
      </c>
      <c r="I138" t="str">
        <f>IF(FT!B138&lt;&gt;"",FT!E138,"")</f>
        <v>2 [55.361672]</v>
      </c>
      <c r="J138">
        <f>IF(FT!B138&lt;&gt;"",FT!C138,"")</f>
        <v>55.361699999999999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99196</v>
      </c>
      <c r="D139" s="61">
        <f>FH!B139*1</f>
        <v>99196</v>
      </c>
      <c r="E139">
        <f t="shared" si="15"/>
        <v>137</v>
      </c>
      <c r="F139" s="61">
        <f>IF(FT!A139&lt;&gt;"",FT!A139*10,"")</f>
        <v>4.00908</v>
      </c>
      <c r="G139" s="61">
        <f>IF(FT!B139&lt;&gt;"",FT!B139*100,"")</f>
        <v>57.991999999999997</v>
      </c>
      <c r="H139" s="61">
        <f t="shared" si="13"/>
        <v>1</v>
      </c>
      <c r="I139" t="str">
        <f>IF(FT!B139&lt;&gt;"",FT!E139,"")</f>
        <v>2 [55.766673]</v>
      </c>
      <c r="J139">
        <f>IF(FT!B139&lt;&gt;"",FT!C139,"")</f>
        <v>55.7667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4.0081600000000002</v>
      </c>
      <c r="G140" s="61">
        <f>IF(FT!B140&lt;&gt;"",FT!B140*100,"")</f>
        <v>57.956799999999994</v>
      </c>
      <c r="H140" s="61">
        <f t="shared" si="13"/>
        <v>1</v>
      </c>
      <c r="I140" t="str">
        <f>IF(FT!B140&lt;&gt;"",FT!E140,"")</f>
        <v>2 [56.174872]</v>
      </c>
      <c r="J140">
        <f>IF(FT!B140&lt;&gt;"",FT!C140,"")</f>
        <v>56.174900000000001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4.0106599999999997</v>
      </c>
      <c r="G141" s="61">
        <f>IF(FT!B141&lt;&gt;"",FT!B141*100,"")</f>
        <v>57.863299999999995</v>
      </c>
      <c r="H141" s="61">
        <f t="shared" si="13"/>
        <v>1</v>
      </c>
      <c r="I141" t="str">
        <f>IF(FT!B141&lt;&gt;"",FT!E141,"")</f>
        <v>2 [56.578425]</v>
      </c>
      <c r="J141">
        <f>IF(FT!B141&lt;&gt;"",FT!C141,"")</f>
        <v>56.578400000000002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82712</v>
      </c>
      <c r="D142" s="61">
        <f>FH!B142*1</f>
        <v>82712</v>
      </c>
      <c r="E142">
        <f t="shared" si="15"/>
        <v>140</v>
      </c>
      <c r="F142" s="61">
        <f>IF(FT!A142&lt;&gt;"",FT!A142*10,"")</f>
        <v>4.0164400000000002</v>
      </c>
      <c r="G142" s="61">
        <f>IF(FT!B142&lt;&gt;"",FT!B142*100,"")</f>
        <v>57.726299999999995</v>
      </c>
      <c r="H142" s="61">
        <f t="shared" si="13"/>
        <v>1</v>
      </c>
      <c r="I142" t="str">
        <f>IF(FT!B142&lt;&gt;"",FT!E142,"")</f>
        <v>2 [56.985373]</v>
      </c>
      <c r="J142">
        <f>IF(FT!B142&lt;&gt;"",FT!C142,"")</f>
        <v>56.985399999999998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4.0234699999999997</v>
      </c>
      <c r="G143" s="61">
        <f>IF(FT!B143&lt;&gt;"",FT!B143*100,"")</f>
        <v>57.576899999999995</v>
      </c>
      <c r="H143" s="61">
        <f t="shared" si="13"/>
        <v>1</v>
      </c>
      <c r="I143" t="str">
        <f>IF(FT!B143&lt;&gt;"",FT!E143,"")</f>
        <v>2 [57.396273]</v>
      </c>
      <c r="J143">
        <f>IF(FT!B143&lt;&gt;"",FT!C143,"")</f>
        <v>57.396299999999997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65531</v>
      </c>
      <c r="D144" s="61">
        <f>FH!B144*1</f>
        <v>65531</v>
      </c>
      <c r="E144">
        <f t="shared" si="15"/>
        <v>142</v>
      </c>
      <c r="F144" s="61">
        <f>IF(FT!A144&lt;&gt;"",FT!A144*10,"")</f>
        <v>4.0329800000000002</v>
      </c>
      <c r="G144" s="61">
        <f>IF(FT!B144&lt;&gt;"",FT!B144*100,"")</f>
        <v>57.391199999999998</v>
      </c>
      <c r="H144" s="61">
        <f t="shared" si="13"/>
        <v>1</v>
      </c>
      <c r="I144" t="str">
        <f>IF(FT!B144&lt;&gt;"",FT!E144,"")</f>
        <v>2 [57.795202]</v>
      </c>
      <c r="J144">
        <f>IF(FT!B144&lt;&gt;"",FT!C144,"")</f>
        <v>57.795200000000001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4.0504699999999998</v>
      </c>
      <c r="G145" s="61">
        <f>IF(FT!B145&lt;&gt;"",FT!B145*100,"")</f>
        <v>57.218000000000004</v>
      </c>
      <c r="H145" s="61">
        <f t="shared" si="13"/>
        <v>1</v>
      </c>
      <c r="I145" t="str">
        <f>IF(FT!B145&lt;&gt;"",FT!E145,"")</f>
        <v>2 [58.204334]</v>
      </c>
      <c r="J145">
        <f>IF(FT!B145&lt;&gt;"",FT!C145,"")</f>
        <v>58.204300000000003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4.0759600000000002</v>
      </c>
      <c r="G146" s="61">
        <f>IF(FT!B146&lt;&gt;"",FT!B146*100,"")</f>
        <v>57.040900000000008</v>
      </c>
      <c r="H146" s="61">
        <f t="shared" si="13"/>
        <v>1</v>
      </c>
      <c r="I146" t="str">
        <f>IF(FT!B146&lt;&gt;"",FT!E146,"")</f>
        <v>2 [58.607090]</v>
      </c>
      <c r="J146">
        <f>IF(FT!B146&lt;&gt;"",FT!C146,"")</f>
        <v>58.607100000000003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54763</v>
      </c>
      <c r="D147" s="61">
        <f>FH!B147*1</f>
        <v>54763</v>
      </c>
      <c r="E147">
        <f t="shared" si="15"/>
        <v>145</v>
      </c>
      <c r="F147" s="61">
        <f>IF(FT!A147&lt;&gt;"",FT!A147*10,"")</f>
        <v>4.1123399999999997</v>
      </c>
      <c r="G147" s="61">
        <f>IF(FT!B147&lt;&gt;"",FT!B147*100,"")</f>
        <v>56.8078</v>
      </c>
      <c r="H147" s="61">
        <f t="shared" si="13"/>
        <v>1</v>
      </c>
      <c r="I147" t="str">
        <f>IF(FT!B147&lt;&gt;"",FT!E147,"")</f>
        <v>2 [59.013987]</v>
      </c>
      <c r="J147">
        <f>IF(FT!B147&lt;&gt;"",FT!C147,"")</f>
        <v>59.014000000000003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4.1610700000000005</v>
      </c>
      <c r="G148" s="61">
        <f>IF(FT!B148&lt;&gt;"",FT!B148*100,"")</f>
        <v>56.470399999999998</v>
      </c>
      <c r="H148" s="61">
        <f t="shared" si="13"/>
        <v>1</v>
      </c>
      <c r="I148" t="str">
        <f>IF(FT!B148&lt;&gt;"",FT!E148,"")</f>
        <v>2 [59.425151]</v>
      </c>
      <c r="J148">
        <f>IF(FT!B148&lt;&gt;"",FT!C148,"")</f>
        <v>59.425199999999997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45754</v>
      </c>
      <c r="D149" s="61">
        <f>FH!B149*1</f>
        <v>45754</v>
      </c>
      <c r="E149">
        <f t="shared" si="15"/>
        <v>147</v>
      </c>
      <c r="F149" s="61">
        <f>IF(FT!A149&lt;&gt;"",FT!A149*10,"")</f>
        <v>4.2107600000000005</v>
      </c>
      <c r="G149" s="61">
        <f>IF(FT!B149&lt;&gt;"",FT!B149*100,"")</f>
        <v>56.275600000000004</v>
      </c>
      <c r="H149" s="61">
        <f t="shared" si="13"/>
        <v>1</v>
      </c>
      <c r="I149" t="str">
        <f>IF(FT!B149&lt;&gt;"",FT!E149,"")</f>
        <v>2 [59.830781]</v>
      </c>
      <c r="J149">
        <f>IF(FT!B149&lt;&gt;"",FT!C149,"")</f>
        <v>59.830800000000004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41035</v>
      </c>
      <c r="D152" s="61">
        <f>FH!B152*1</f>
        <v>41035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25472</v>
      </c>
      <c r="D154" s="61">
        <f>FH!B154*1</f>
        <v>25472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17898</v>
      </c>
      <c r="D157" s="61">
        <f>FH!B157*1</f>
        <v>17898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10942</v>
      </c>
      <c r="D160" s="61">
        <f>FH!B160*1</f>
        <v>10942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5462</v>
      </c>
      <c r="D162" s="61">
        <f>FH!B162*1</f>
        <v>5462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4346</v>
      </c>
      <c r="D165" s="61">
        <f>FH!B165*1</f>
        <v>4346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4595</v>
      </c>
      <c r="D167" s="61">
        <f>FH!B167*1</f>
        <v>4595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2561</v>
      </c>
      <c r="D170" s="61">
        <f>FH!B170*1</f>
        <v>2561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3073</v>
      </c>
      <c r="D173" s="61">
        <f>FH!B173*1</f>
        <v>3073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1840</v>
      </c>
      <c r="D175" s="61">
        <f>FH!B175*1</f>
        <v>1840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576</v>
      </c>
      <c r="D178" s="61">
        <f>FH!B178*1</f>
        <v>576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501</v>
      </c>
      <c r="D180" s="61">
        <f>FH!B180*1</f>
        <v>501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101</v>
      </c>
      <c r="D183" s="61">
        <f>FH!B183*1</f>
        <v>101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34.608899999999998</v>
      </c>
      <c r="C5" s="66">
        <v>5.0990099999999998</v>
      </c>
      <c r="D5" s="66">
        <v>14.7332</v>
      </c>
      <c r="E5" s="66">
        <v>20</v>
      </c>
      <c r="F5" s="66">
        <v>15.558</v>
      </c>
      <c r="G5" s="66">
        <v>50</v>
      </c>
      <c r="H5" s="66">
        <v>42.971600000000002</v>
      </c>
    </row>
    <row r="6" spans="1:8">
      <c r="A6" s="58" t="s">
        <v>303</v>
      </c>
      <c r="B6" s="66">
        <v>33.077800000000003</v>
      </c>
      <c r="C6" s="66">
        <v>5.3441200000000002</v>
      </c>
      <c r="D6" s="66">
        <v>16.156199999999998</v>
      </c>
      <c r="E6" s="66">
        <v>20</v>
      </c>
      <c r="F6" s="66">
        <v>23.7653</v>
      </c>
      <c r="G6" s="66">
        <v>40</v>
      </c>
      <c r="H6" s="66">
        <v>43.491799999999998</v>
      </c>
    </row>
    <row r="7" spans="1:8">
      <c r="A7" s="58" t="s">
        <v>304</v>
      </c>
      <c r="B7" s="66">
        <v>23.553699999999999</v>
      </c>
      <c r="C7" s="66">
        <v>11.4648</v>
      </c>
      <c r="D7" s="66">
        <v>48.675199999999997</v>
      </c>
      <c r="E7" s="66">
        <v>15</v>
      </c>
      <c r="F7" s="66">
        <v>4.2032499999999997</v>
      </c>
      <c r="G7" s="66">
        <v>40</v>
      </c>
      <c r="H7" s="66">
        <v>50.211799999999997</v>
      </c>
    </row>
    <row r="8" spans="1:8">
      <c r="A8" s="58" t="s">
        <v>305</v>
      </c>
      <c r="B8" s="66">
        <v>30.684200000000001</v>
      </c>
      <c r="C8" s="66">
        <v>4.1925600000000003</v>
      </c>
      <c r="D8" s="66">
        <v>13.663600000000001</v>
      </c>
      <c r="E8" s="66">
        <v>20</v>
      </c>
      <c r="F8" s="66">
        <v>18.690999999999999</v>
      </c>
      <c r="G8" s="66">
        <v>50</v>
      </c>
      <c r="H8" s="66">
        <v>37.682600000000001</v>
      </c>
    </row>
    <row r="9" spans="1:8">
      <c r="A9" s="58" t="s">
        <v>306</v>
      </c>
      <c r="B9" s="66">
        <v>70.540800000000004</v>
      </c>
      <c r="C9" s="66">
        <v>5.1458399999999997</v>
      </c>
      <c r="D9" s="66">
        <v>7.2948500000000003</v>
      </c>
      <c r="E9" s="66">
        <v>50</v>
      </c>
      <c r="F9" s="66">
        <v>59.469499999999996</v>
      </c>
      <c r="G9" s="66">
        <v>100</v>
      </c>
      <c r="H9" s="66">
        <v>85.670599999999993</v>
      </c>
    </row>
    <row r="10" spans="1:8">
      <c r="A10" s="58" t="s">
        <v>307</v>
      </c>
      <c r="B10" s="66">
        <v>71.145200000000003</v>
      </c>
      <c r="C10" s="66">
        <v>3.3138299999999998</v>
      </c>
      <c r="D10" s="66">
        <v>4.6578400000000002</v>
      </c>
      <c r="E10" s="66">
        <v>40</v>
      </c>
      <c r="F10" s="66">
        <v>65.889499999999998</v>
      </c>
      <c r="G10" s="66">
        <v>100</v>
      </c>
      <c r="H10" s="66">
        <v>79.953500000000005</v>
      </c>
    </row>
    <row r="11" spans="1:8">
      <c r="A11" s="58" t="s">
        <v>308</v>
      </c>
      <c r="B11" s="66">
        <v>24.4544</v>
      </c>
      <c r="C11" s="66">
        <v>5.3066599999999999</v>
      </c>
      <c r="D11" s="66">
        <v>21.700199999999999</v>
      </c>
      <c r="E11" s="66">
        <v>10</v>
      </c>
      <c r="F11" s="66">
        <v>13.4168</v>
      </c>
      <c r="G11" s="66">
        <v>50</v>
      </c>
      <c r="H11" s="66">
        <v>33.558199999999999</v>
      </c>
    </row>
    <row r="12" spans="1:8">
      <c r="A12" s="58" t="s">
        <v>309</v>
      </c>
      <c r="B12" s="66">
        <v>70.299099999999996</v>
      </c>
      <c r="C12" s="66">
        <v>3.6172399999999998</v>
      </c>
      <c r="D12" s="66">
        <v>5.1455000000000002</v>
      </c>
      <c r="E12" s="66">
        <v>50</v>
      </c>
      <c r="F12" s="66">
        <v>63.639800000000001</v>
      </c>
      <c r="G12" s="66">
        <v>100</v>
      </c>
      <c r="H12" s="66">
        <v>82.812100000000001</v>
      </c>
    </row>
    <row r="13" spans="1:8">
      <c r="A13" s="58" t="s">
        <v>310</v>
      </c>
      <c r="B13" s="66">
        <v>19.079799999999999</v>
      </c>
      <c r="C13" s="66">
        <v>5.7685000000000004</v>
      </c>
      <c r="D13" s="66">
        <v>30.233599999999999</v>
      </c>
      <c r="E13" s="66">
        <v>10</v>
      </c>
      <c r="F13" s="66">
        <v>11.961499999999999</v>
      </c>
      <c r="G13" s="66">
        <v>25</v>
      </c>
      <c r="H13" s="66">
        <v>46.430399999999999</v>
      </c>
    </row>
    <row r="14" spans="1:8">
      <c r="A14" s="58" t="s">
        <v>311</v>
      </c>
      <c r="B14" s="66">
        <v>57.685000000000002</v>
      </c>
      <c r="C14" s="66">
        <v>26.148099999999999</v>
      </c>
      <c r="D14" s="66">
        <v>45.329000000000001</v>
      </c>
      <c r="E14" s="66">
        <v>10</v>
      </c>
      <c r="F14" s="66">
        <v>1.4942599999999999</v>
      </c>
      <c r="G14" s="66">
        <v>50</v>
      </c>
      <c r="H14" s="66">
        <v>79.369</v>
      </c>
    </row>
    <row r="15" spans="1:8">
      <c r="A15" s="58" t="s">
        <v>312</v>
      </c>
      <c r="B15" s="66">
        <v>2.30964E-2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1.94953E-2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20.758900000000001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0.59571300000000005</v>
      </c>
      <c r="C18" s="66">
        <v>2.8026499999999999E-2</v>
      </c>
      <c r="D18" s="66">
        <v>4.7046999999999999E-2</v>
      </c>
      <c r="E18" s="66">
        <v>0</v>
      </c>
      <c r="F18" s="66">
        <v>0.56768600000000002</v>
      </c>
      <c r="G18" s="66">
        <v>0</v>
      </c>
      <c r="H18" s="66">
        <v>0.62373900000000004</v>
      </c>
    </row>
    <row r="19" spans="1:8">
      <c r="A19" s="58" t="s">
        <v>316</v>
      </c>
      <c r="B19" s="66">
        <v>0.56103899999999995</v>
      </c>
      <c r="C19" s="66">
        <v>1.73928E-2</v>
      </c>
      <c r="D19" s="66">
        <v>3.1001000000000001E-2</v>
      </c>
      <c r="E19" s="66">
        <v>0</v>
      </c>
      <c r="F19" s="66">
        <v>0.54364599999999996</v>
      </c>
      <c r="G19" s="66">
        <v>0</v>
      </c>
      <c r="H19" s="66">
        <v>0.57843100000000003</v>
      </c>
    </row>
    <row r="20" spans="1:8">
      <c r="A20" s="58" t="s">
        <v>317</v>
      </c>
      <c r="B20" s="66">
        <v>9.6499900000000007E-3</v>
      </c>
      <c r="C20" s="66">
        <v>0.132526</v>
      </c>
      <c r="D20" s="66">
        <v>13.7333</v>
      </c>
      <c r="E20" s="66">
        <v>0</v>
      </c>
      <c r="F20" s="66">
        <v>0</v>
      </c>
      <c r="G20" s="66">
        <v>0</v>
      </c>
      <c r="H20" s="66">
        <v>1.59453</v>
      </c>
    </row>
    <row r="21" spans="1:8">
      <c r="A21" s="58" t="s">
        <v>318</v>
      </c>
      <c r="B21" s="66">
        <v>0.33102799999999999</v>
      </c>
      <c r="C21" s="66">
        <v>1.03495</v>
      </c>
      <c r="D21" s="66">
        <v>3.1264799999999999</v>
      </c>
      <c r="E21" s="66">
        <v>0</v>
      </c>
      <c r="F21" s="66">
        <v>1.5729700000000001E-4</v>
      </c>
      <c r="G21" s="66">
        <v>0</v>
      </c>
      <c r="H21" s="66">
        <v>4.6073300000000001</v>
      </c>
    </row>
    <row r="22" spans="1:8">
      <c r="A22" s="58" t="s">
        <v>319</v>
      </c>
      <c r="B22" s="66">
        <v>49.889000000000003</v>
      </c>
      <c r="C22" s="66">
        <v>31.078900000000001</v>
      </c>
      <c r="D22" s="66">
        <v>0.62296099999999999</v>
      </c>
      <c r="E22" s="66">
        <v>0</v>
      </c>
      <c r="F22" s="66">
        <v>18.340399999999999</v>
      </c>
      <c r="G22" s="66">
        <v>0</v>
      </c>
      <c r="H22" s="66">
        <v>140.292</v>
      </c>
    </row>
    <row r="23" spans="1:8">
      <c r="A23" s="58" t="s">
        <v>320</v>
      </c>
      <c r="B23" s="66">
        <v>35.213700000000003</v>
      </c>
      <c r="C23" s="66">
        <v>11.6363</v>
      </c>
      <c r="D23" s="66">
        <v>0.33045000000000002</v>
      </c>
      <c r="E23" s="66">
        <v>0</v>
      </c>
      <c r="F23" s="66">
        <v>20.358799999999999</v>
      </c>
      <c r="G23" s="66">
        <v>0</v>
      </c>
      <c r="H23" s="66">
        <v>55.790399999999998</v>
      </c>
    </row>
    <row r="24" spans="1:8">
      <c r="A24" s="58" t="s">
        <v>321</v>
      </c>
      <c r="B24" s="66">
        <v>1.8927300000000001E-2</v>
      </c>
      <c r="C24" s="66">
        <v>0.10452400000000001</v>
      </c>
      <c r="D24" s="66">
        <v>5.5223699999999996</v>
      </c>
      <c r="E24" s="66">
        <v>0</v>
      </c>
      <c r="F24" s="66">
        <v>1.16205E-4</v>
      </c>
      <c r="G24" s="66">
        <v>0</v>
      </c>
      <c r="H24" s="66">
        <v>0.69787999999999994</v>
      </c>
    </row>
    <row r="25" spans="1:8">
      <c r="A25" s="58" t="s">
        <v>322</v>
      </c>
      <c r="B25" s="66">
        <v>0.47240500000000002</v>
      </c>
      <c r="C25" s="66">
        <v>0.81469000000000003</v>
      </c>
      <c r="D25" s="66">
        <v>1.7245600000000001</v>
      </c>
      <c r="E25" s="66">
        <v>0</v>
      </c>
      <c r="F25" s="66">
        <v>2.0944600000000001E-2</v>
      </c>
      <c r="G25" s="66">
        <v>0</v>
      </c>
      <c r="H25" s="66">
        <v>2.8237700000000001</v>
      </c>
    </row>
    <row r="26" spans="1:8">
      <c r="A26" s="58" t="s">
        <v>323</v>
      </c>
      <c r="B26" s="66">
        <v>1.77915E-3</v>
      </c>
      <c r="C26" s="66">
        <v>1.3561800000000001E-2</v>
      </c>
      <c r="D26" s="66">
        <v>7.6226599999999998</v>
      </c>
      <c r="E26" s="66">
        <v>0</v>
      </c>
      <c r="F26" s="66">
        <v>0</v>
      </c>
      <c r="G26" s="66">
        <v>0</v>
      </c>
      <c r="H26" s="66">
        <v>0.19840099999999999</v>
      </c>
    </row>
    <row r="27" spans="1:8">
      <c r="A27" s="58" t="s">
        <v>324</v>
      </c>
      <c r="B27" s="196">
        <v>-6.5651299999999996E-6</v>
      </c>
      <c r="C27" s="66">
        <v>8.4112000000000006E-3</v>
      </c>
      <c r="D27" s="66">
        <v>-1281.19</v>
      </c>
      <c r="E27" s="66">
        <v>0</v>
      </c>
      <c r="F27" s="66">
        <v>-0.19750899999999999</v>
      </c>
      <c r="G27" s="66">
        <v>0</v>
      </c>
      <c r="H27" s="66">
        <v>0.19661200000000001</v>
      </c>
    </row>
    <row r="28" spans="1:8">
      <c r="A28" s="58" t="s">
        <v>325</v>
      </c>
      <c r="B28" s="66">
        <v>3.52214E-2</v>
      </c>
      <c r="C28" s="66">
        <v>5.66486E-2</v>
      </c>
      <c r="D28" s="66">
        <v>1.60836</v>
      </c>
      <c r="E28" s="66">
        <v>0</v>
      </c>
      <c r="F28" s="196">
        <v>4.8828100000000001E-5</v>
      </c>
      <c r="G28" s="66">
        <v>0</v>
      </c>
      <c r="H28" s="66">
        <v>0.20938499999999999</v>
      </c>
    </row>
    <row r="29" spans="1:8">
      <c r="A29" s="58" t="s">
        <v>326</v>
      </c>
      <c r="B29" s="66">
        <v>68.517499999999998</v>
      </c>
      <c r="C29" s="66">
        <v>19.562899999999999</v>
      </c>
      <c r="D29" s="66">
        <v>0.28551700000000002</v>
      </c>
      <c r="E29" s="66">
        <v>0</v>
      </c>
      <c r="F29" s="66">
        <v>37.708500000000001</v>
      </c>
      <c r="G29" s="66">
        <v>0</v>
      </c>
      <c r="H29" s="66">
        <v>119.426</v>
      </c>
    </row>
    <row r="30" spans="1:8">
      <c r="A30" s="58" t="s">
        <v>327</v>
      </c>
      <c r="B30" s="66">
        <v>36.548400000000001</v>
      </c>
      <c r="C30" s="66">
        <v>10.266299999999999</v>
      </c>
      <c r="D30" s="66">
        <v>0.28089700000000001</v>
      </c>
      <c r="E30" s="66">
        <v>0</v>
      </c>
      <c r="F30" s="66">
        <v>20.934100000000001</v>
      </c>
      <c r="G30" s="66">
        <v>0</v>
      </c>
      <c r="H30" s="66">
        <v>55.299100000000003</v>
      </c>
    </row>
    <row r="31" spans="1:8">
      <c r="A31" s="58" t="s">
        <v>328</v>
      </c>
      <c r="B31" s="66">
        <v>176.054</v>
      </c>
      <c r="C31" s="66">
        <v>28.5962</v>
      </c>
      <c r="D31" s="66">
        <v>0.16242799999999999</v>
      </c>
      <c r="E31" s="66">
        <v>0</v>
      </c>
      <c r="F31" s="66">
        <v>99.549800000000005</v>
      </c>
      <c r="G31" s="66">
        <v>0</v>
      </c>
      <c r="H31" s="66">
        <v>234.69399999999999</v>
      </c>
    </row>
    <row r="32" spans="1:8">
      <c r="A32" s="58" t="s">
        <v>329</v>
      </c>
      <c r="B32" s="66">
        <v>0.235537</v>
      </c>
      <c r="C32" s="66">
        <v>0.114648</v>
      </c>
      <c r="D32" s="66">
        <v>0.48675200000000002</v>
      </c>
      <c r="E32" s="66">
        <v>0.15</v>
      </c>
      <c r="F32" s="66">
        <v>4.20325E-2</v>
      </c>
      <c r="G32" s="66">
        <v>0.4</v>
      </c>
      <c r="H32" s="66">
        <v>0.50211799999999995</v>
      </c>
    </row>
    <row r="33" spans="1:8">
      <c r="A33" s="58" t="s">
        <v>330</v>
      </c>
      <c r="B33" s="66">
        <v>0.30365900000000001</v>
      </c>
      <c r="C33" s="66">
        <v>3.3758499999999997E-2</v>
      </c>
      <c r="D33" s="66">
        <v>0.11117200000000001</v>
      </c>
      <c r="E33" s="66">
        <v>0</v>
      </c>
      <c r="F33" s="66">
        <v>0.21915499999999999</v>
      </c>
      <c r="G33" s="66">
        <v>0</v>
      </c>
      <c r="H33" s="66">
        <v>0.36647999999999997</v>
      </c>
    </row>
    <row r="34" spans="1:8">
      <c r="A34" s="58" t="s">
        <v>331</v>
      </c>
      <c r="B34" s="66">
        <v>0.190798</v>
      </c>
      <c r="C34" s="66">
        <v>5.7685E-2</v>
      </c>
      <c r="D34" s="66">
        <v>0.30233599999999999</v>
      </c>
      <c r="E34" s="66">
        <v>0.1</v>
      </c>
      <c r="F34" s="66">
        <v>0.119615</v>
      </c>
      <c r="G34" s="66">
        <v>0.25</v>
      </c>
      <c r="H34" s="66">
        <v>0.46430399999999999</v>
      </c>
    </row>
    <row r="35" spans="1:8">
      <c r="A35" s="58" t="s">
        <v>332</v>
      </c>
      <c r="B35" s="66">
        <v>8.4977800000000006E-2</v>
      </c>
      <c r="C35" s="66">
        <v>3.1246099999999999E-2</v>
      </c>
      <c r="D35" s="66">
        <v>0.367697</v>
      </c>
      <c r="E35" s="66">
        <v>0</v>
      </c>
      <c r="F35" s="66">
        <v>3.81721E-2</v>
      </c>
      <c r="G35" s="66">
        <v>0</v>
      </c>
      <c r="H35" s="66">
        <v>0.197659</v>
      </c>
    </row>
    <row r="36" spans="1:8">
      <c r="A36" s="58" t="s">
        <v>333</v>
      </c>
      <c r="B36" s="66">
        <v>0.16964000000000001</v>
      </c>
      <c r="C36" s="66">
        <v>0.1095</v>
      </c>
      <c r="D36" s="66">
        <v>0.64548300000000003</v>
      </c>
      <c r="E36" s="66">
        <v>0</v>
      </c>
      <c r="F36" s="66">
        <v>3.7516899999999999E-2</v>
      </c>
      <c r="G36" s="66">
        <v>0</v>
      </c>
      <c r="H36" s="66">
        <v>0.65226300000000004</v>
      </c>
    </row>
    <row r="37" spans="1:8">
      <c r="A37" s="58" t="s">
        <v>334</v>
      </c>
      <c r="B37" s="66">
        <v>0.57684999999999997</v>
      </c>
      <c r="C37" s="66">
        <v>0.26148100000000002</v>
      </c>
      <c r="D37" s="66">
        <v>0.45329000000000003</v>
      </c>
      <c r="E37" s="66">
        <v>0.1</v>
      </c>
      <c r="F37" s="66">
        <v>1.49426E-2</v>
      </c>
      <c r="G37" s="66">
        <v>0.5</v>
      </c>
      <c r="H37" s="66">
        <v>0.79369000000000001</v>
      </c>
    </row>
    <row r="38" spans="1:8">
      <c r="A38" s="58" t="s">
        <v>335</v>
      </c>
      <c r="B38" s="66">
        <v>-30.195799999999998</v>
      </c>
      <c r="C38" s="66">
        <v>46.439500000000002</v>
      </c>
      <c r="D38" s="66">
        <v>-1.5379499999999999</v>
      </c>
      <c r="E38" s="66">
        <v>0</v>
      </c>
      <c r="F38" s="66">
        <v>-182.93899999999999</v>
      </c>
      <c r="G38" s="66">
        <v>0</v>
      </c>
      <c r="H38" s="66">
        <v>278.15499999999997</v>
      </c>
    </row>
    <row r="39" spans="1:8">
      <c r="A39" s="58" t="s">
        <v>336</v>
      </c>
      <c r="B39" s="66">
        <v>-11.2296</v>
      </c>
      <c r="C39" s="66">
        <v>13.0487</v>
      </c>
      <c r="D39" s="66">
        <v>-1.1619900000000001</v>
      </c>
      <c r="E39" s="66">
        <v>0</v>
      </c>
      <c r="F39" s="66">
        <v>-67.805700000000002</v>
      </c>
      <c r="G39" s="66">
        <v>0</v>
      </c>
      <c r="H39" s="66">
        <v>6.9799199999999999</v>
      </c>
    </row>
    <row r="40" spans="1:8">
      <c r="A40" s="58" t="s">
        <v>337</v>
      </c>
      <c r="B40" s="66">
        <v>-12.023899999999999</v>
      </c>
      <c r="C40" s="66">
        <v>1.92422</v>
      </c>
      <c r="D40" s="66">
        <v>-0.16003300000000001</v>
      </c>
      <c r="E40" s="66">
        <v>0</v>
      </c>
      <c r="F40" s="66">
        <v>-16.588100000000001</v>
      </c>
      <c r="G40" s="66">
        <v>0</v>
      </c>
      <c r="H40" s="66">
        <v>-7.1541399999999999</v>
      </c>
    </row>
    <row r="41" spans="1:8">
      <c r="A41" s="58" t="s">
        <v>338</v>
      </c>
      <c r="B41" s="66">
        <v>-0.15118699999999999</v>
      </c>
      <c r="C41" s="66">
        <v>0.258384</v>
      </c>
      <c r="D41" s="66">
        <v>-1.7090399999999999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-0.205652</v>
      </c>
      <c r="C42" s="66">
        <v>9.9334500000000006E-2</v>
      </c>
      <c r="D42" s="66">
        <v>-0.48302299999999998</v>
      </c>
      <c r="E42" s="66">
        <v>0</v>
      </c>
      <c r="F42" s="66">
        <v>-0.44291399999999997</v>
      </c>
      <c r="G42" s="66">
        <v>0</v>
      </c>
      <c r="H42" s="66">
        <v>8.6258199999999993E-2</v>
      </c>
    </row>
    <row r="43" spans="1:8">
      <c r="A43" s="58" t="s">
        <v>340</v>
      </c>
      <c r="B43" s="66">
        <v>-0.16536899999999999</v>
      </c>
      <c r="C43" s="66">
        <v>7.8673499999999993E-2</v>
      </c>
      <c r="D43" s="66">
        <v>-0.475746</v>
      </c>
      <c r="E43" s="66">
        <v>0</v>
      </c>
      <c r="F43" s="66">
        <v>-0.35613800000000001</v>
      </c>
      <c r="G43" s="66">
        <v>0</v>
      </c>
      <c r="H43" s="66">
        <v>9.807660000000001E-4</v>
      </c>
    </row>
    <row r="44" spans="1:8">
      <c r="A44" s="58" t="s">
        <v>341</v>
      </c>
      <c r="B44" s="66">
        <v>-23.1511</v>
      </c>
      <c r="C44" s="66">
        <v>7.8675100000000002</v>
      </c>
      <c r="D44" s="66">
        <v>-0.339833</v>
      </c>
      <c r="E44" s="66">
        <v>0</v>
      </c>
      <c r="F44" s="66">
        <v>-45.177100000000003</v>
      </c>
      <c r="G44" s="66">
        <v>0</v>
      </c>
      <c r="H44" s="66">
        <v>-4.4022399999999999</v>
      </c>
    </row>
    <row r="45" spans="1:8">
      <c r="A45" s="58" t="s">
        <v>342</v>
      </c>
      <c r="B45" s="66">
        <v>42.0974</v>
      </c>
      <c r="C45" s="66">
        <v>8.4517699999999998</v>
      </c>
      <c r="D45" s="66">
        <v>0.200767</v>
      </c>
      <c r="E45" s="66">
        <v>0</v>
      </c>
      <c r="F45" s="66">
        <v>29.7225</v>
      </c>
      <c r="G45" s="66">
        <v>0</v>
      </c>
      <c r="H45" s="66">
        <v>77.552499999999995</v>
      </c>
    </row>
    <row r="46" spans="1:8">
      <c r="A46" s="58" t="s">
        <v>343</v>
      </c>
      <c r="B46" s="66">
        <v>24.835999999999999</v>
      </c>
      <c r="C46" s="66">
        <v>3.8551000000000002</v>
      </c>
      <c r="D46" s="66">
        <v>0.155222</v>
      </c>
      <c r="E46" s="66">
        <v>0</v>
      </c>
      <c r="F46" s="66">
        <v>9.3432700000000004</v>
      </c>
      <c r="G46" s="66">
        <v>0</v>
      </c>
      <c r="H46" s="66">
        <v>28.858000000000001</v>
      </c>
    </row>
    <row r="47" spans="1:8">
      <c r="A47" s="58" t="s">
        <v>344</v>
      </c>
      <c r="B47" s="66">
        <v>1.47149</v>
      </c>
      <c r="C47" s="66">
        <v>1.55942</v>
      </c>
      <c r="D47" s="66">
        <v>1.05976</v>
      </c>
      <c r="E47" s="66">
        <v>0</v>
      </c>
      <c r="F47" s="66">
        <v>0.28768700000000003</v>
      </c>
      <c r="G47" s="66">
        <v>0</v>
      </c>
      <c r="H47" s="66">
        <v>8.2206600000000005</v>
      </c>
    </row>
    <row r="48" spans="1:8">
      <c r="A48" s="58" t="s">
        <v>345</v>
      </c>
      <c r="B48" s="66">
        <v>1.06877</v>
      </c>
      <c r="C48" s="66">
        <v>0.25445400000000001</v>
      </c>
      <c r="D48" s="66">
        <v>0.23808000000000001</v>
      </c>
      <c r="E48" s="66">
        <v>0</v>
      </c>
      <c r="F48" s="66">
        <v>0.73526599999999998</v>
      </c>
      <c r="G48" s="66">
        <v>0</v>
      </c>
      <c r="H48" s="66">
        <v>1.75248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-2.5217000000000027</v>
      </c>
      <c r="C5" s="66">
        <f>'M2'!C5-'M1'!C5</f>
        <v>-3.5267999999999997</v>
      </c>
      <c r="D5" s="66">
        <f>'M2'!D5-'M1'!D5</f>
        <v>-9.229099999999999</v>
      </c>
      <c r="E5" s="66">
        <f>'M2'!E5-'M1'!E5</f>
        <v>0</v>
      </c>
      <c r="F5" s="66">
        <f>'M2'!F5-'M1'!F5</f>
        <v>13.1783</v>
      </c>
      <c r="G5" s="66">
        <f>'M2'!G5-'M1'!G5</f>
        <v>0</v>
      </c>
      <c r="H5" s="66">
        <f>'M2'!H5-'M1'!H5</f>
        <v>-0.70320000000000249</v>
      </c>
    </row>
    <row r="6" spans="1:8">
      <c r="A6" s="66" t="s">
        <v>244</v>
      </c>
      <c r="B6" s="66">
        <f>'M2'!B6-'M1'!B6</f>
        <v>2.9387000000000043</v>
      </c>
      <c r="C6" s="66">
        <f>'M2'!C6-'M1'!C6</f>
        <v>4.3887699999999992</v>
      </c>
      <c r="D6" s="66">
        <f>'M2'!D6-'M1'!D6</f>
        <v>11.655389999999999</v>
      </c>
      <c r="E6" s="66">
        <f>'M2'!E6-'M1'!E6</f>
        <v>0</v>
      </c>
      <c r="F6" s="66">
        <f>'M2'!F6-'M1'!F6</f>
        <v>-2.4484999999999992</v>
      </c>
      <c r="G6" s="66">
        <f>'M2'!G6-'M1'!G6</f>
        <v>0</v>
      </c>
      <c r="H6" s="66">
        <f>'M2'!H6-'M1'!H6</f>
        <v>1.9221999999999966</v>
      </c>
    </row>
    <row r="7" spans="1:8">
      <c r="A7" s="66" t="s">
        <v>245</v>
      </c>
      <c r="B7" s="66">
        <f>'M2'!B7-'M1'!B7</f>
        <v>0.67159999999999798</v>
      </c>
      <c r="C7" s="66">
        <f>'M2'!C7-'M1'!C7</f>
        <v>-4.0899400000000004</v>
      </c>
      <c r="D7" s="66">
        <f>'M2'!D7-'M1'!D7</f>
        <v>-18.758400000000002</v>
      </c>
      <c r="E7" s="66">
        <f>'M2'!E7-'M1'!E7</f>
        <v>0</v>
      </c>
      <c r="F7" s="66">
        <f>'M2'!F7-'M1'!F7</f>
        <v>1.8031300000000003</v>
      </c>
      <c r="G7" s="66">
        <f>'M2'!G7-'M1'!G7</f>
        <v>0</v>
      </c>
      <c r="H7" s="66">
        <f>'M2'!H7-'M1'!H7</f>
        <v>-4.411999999999999</v>
      </c>
    </row>
    <row r="8" spans="1:8">
      <c r="A8" s="66" t="s">
        <v>246</v>
      </c>
      <c r="B8" s="66">
        <f>'M2'!B8-'M1'!B8</f>
        <v>-1.3237000000000023</v>
      </c>
      <c r="C8" s="66">
        <f>'M2'!C8-'M1'!C8</f>
        <v>-1.56412</v>
      </c>
      <c r="D8" s="66">
        <f>'M2'!D8-'M1'!D8</f>
        <v>-4.5568999999999988</v>
      </c>
      <c r="E8" s="66">
        <f>'M2'!E8-'M1'!E8</f>
        <v>0</v>
      </c>
      <c r="F8" s="66">
        <f>'M2'!F8-'M1'!F8</f>
        <v>6.7316000000000003</v>
      </c>
      <c r="G8" s="66">
        <f>'M2'!G8-'M1'!G8</f>
        <v>0</v>
      </c>
      <c r="H8" s="66">
        <f>'M2'!H8-'M1'!H8</f>
        <v>0.33239999999999981</v>
      </c>
    </row>
    <row r="9" spans="1:8">
      <c r="A9" s="66" t="s">
        <v>247</v>
      </c>
      <c r="B9" s="66">
        <f>'M2'!B9-'M1'!B9</f>
        <v>-2.2931999999999988</v>
      </c>
      <c r="C9" s="66">
        <f>'M2'!C9-'M1'!C9</f>
        <v>-0.94327999999999967</v>
      </c>
      <c r="D9" s="66">
        <f>'M2'!D9-'M1'!D9</f>
        <v>-1.1086600000000004</v>
      </c>
      <c r="E9" s="66">
        <f>'M2'!E9-'M1'!E9</f>
        <v>0</v>
      </c>
      <c r="F9" s="66">
        <f>'M2'!F9-'M1'!F9</f>
        <v>-0.4521000000000015</v>
      </c>
      <c r="G9" s="66">
        <f>'M2'!G9-'M1'!G9</f>
        <v>0</v>
      </c>
      <c r="H9" s="66">
        <f>'M2'!H9-'M1'!H9</f>
        <v>-7.5189999999999912</v>
      </c>
    </row>
    <row r="10" spans="1:8">
      <c r="A10" s="66" t="s">
        <v>248</v>
      </c>
      <c r="B10" s="66">
        <f>'M2'!B10-'M1'!B10</f>
        <v>-0.54060000000001196</v>
      </c>
      <c r="C10" s="66">
        <f>'M2'!C10-'M1'!C10</f>
        <v>0.34230000000000027</v>
      </c>
      <c r="D10" s="66">
        <f>'M2'!D10-'M1'!D10</f>
        <v>0.51719999999999988</v>
      </c>
      <c r="E10" s="66">
        <f>'M2'!E10-'M1'!E10</f>
        <v>0</v>
      </c>
      <c r="F10" s="66">
        <f>'M2'!F10-'M1'!F10</f>
        <v>0.1787000000000063</v>
      </c>
      <c r="G10" s="66">
        <f>'M2'!G10-'M1'!G10</f>
        <v>0</v>
      </c>
      <c r="H10" s="66">
        <f>'M2'!H10-'M1'!H10</f>
        <v>-4.0982000000000056</v>
      </c>
    </row>
    <row r="11" spans="1:8">
      <c r="A11" s="66" t="s">
        <v>249</v>
      </c>
      <c r="B11" s="66">
        <f>'M2'!B11-'M1'!B11</f>
        <v>-5.6633999999999993</v>
      </c>
      <c r="C11" s="66">
        <f>'M2'!C11-'M1'!C11</f>
        <v>-0.21923000000000048</v>
      </c>
      <c r="D11" s="66">
        <f>'M2'!D11-'M1'!D11</f>
        <v>4.1961000000000013</v>
      </c>
      <c r="E11" s="66">
        <f>'M2'!E11-'M1'!E11</f>
        <v>0</v>
      </c>
      <c r="F11" s="66">
        <f>'M2'!F11-'M1'!F11</f>
        <v>4.7367000000000008</v>
      </c>
      <c r="G11" s="66">
        <f>'M2'!G11-'M1'!G11</f>
        <v>0</v>
      </c>
      <c r="H11" s="66">
        <f>'M2'!H11-'M1'!H11</f>
        <v>8.1800000000001205E-2</v>
      </c>
    </row>
    <row r="12" spans="1:8">
      <c r="A12" s="66" t="s">
        <v>250</v>
      </c>
      <c r="B12" s="66">
        <f>'M2'!B12-'M1'!B12</f>
        <v>-1.5726999999999975</v>
      </c>
      <c r="C12" s="66">
        <f>'M2'!C12-'M1'!C12</f>
        <v>-0.56871999999999989</v>
      </c>
      <c r="D12" s="66">
        <f>'M2'!D12-'M1'!D12</f>
        <v>-0.69581999999999944</v>
      </c>
      <c r="E12" s="66">
        <f>'M2'!E12-'M1'!E12</f>
        <v>0</v>
      </c>
      <c r="F12" s="66">
        <f>'M2'!F12-'M1'!F12</f>
        <v>-1.4067999999999969</v>
      </c>
      <c r="G12" s="66">
        <f>'M2'!G12-'M1'!G12</f>
        <v>0</v>
      </c>
      <c r="H12" s="66">
        <f>'M2'!H12-'M1'!H12</f>
        <v>-6.3917000000000002</v>
      </c>
    </row>
    <row r="13" spans="1:8">
      <c r="A13" s="66" t="s">
        <v>251</v>
      </c>
      <c r="B13" s="66">
        <f>'M2'!B13-'M1'!B13</f>
        <v>-2.9558</v>
      </c>
      <c r="C13" s="66">
        <f>'M2'!C13-'M1'!C13</f>
        <v>-2.0078000000000005</v>
      </c>
      <c r="D13" s="66">
        <f>'M2'!D13-'M1'!D13</f>
        <v>-6.1555999999999997</v>
      </c>
      <c r="E13" s="66">
        <f>'M2'!E13-'M1'!E13</f>
        <v>0</v>
      </c>
      <c r="F13" s="66">
        <f>'M2'!F13-'M1'!F13</f>
        <v>-4.8516999999999992</v>
      </c>
      <c r="G13" s="66">
        <f>'M2'!G13-'M1'!G13</f>
        <v>0</v>
      </c>
      <c r="H13" s="66">
        <f>'M2'!H13-'M1'!H13</f>
        <v>-15.3764</v>
      </c>
    </row>
    <row r="14" spans="1:8">
      <c r="A14" s="66" t="s">
        <v>252</v>
      </c>
      <c r="B14" s="66">
        <f>'M2'!B14-'M1'!B14</f>
        <v>-20.077999999999996</v>
      </c>
      <c r="C14" s="66">
        <f>'M2'!C14-'M1'!C14</f>
        <v>-5.6396000000000015</v>
      </c>
      <c r="D14" s="66">
        <f>'M2'!D14-'M1'!D14</f>
        <v>8.2202000000000055</v>
      </c>
      <c r="E14" s="66">
        <f>'M2'!E14-'M1'!E14</f>
        <v>0</v>
      </c>
      <c r="F14" s="66">
        <f>'M2'!F14-'M1'!F14</f>
        <v>1.8676100000000002</v>
      </c>
      <c r="G14" s="66">
        <f>'M2'!G14-'M1'!G14</f>
        <v>0</v>
      </c>
      <c r="H14" s="66">
        <f>'M2'!H14-'M1'!H14</f>
        <v>-16.051400000000001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-5.5856999999999934E-2</v>
      </c>
      <c r="C18" s="66">
        <f>'M2'!C18-'M1'!C18</f>
        <v>2.8026499999999999E-2</v>
      </c>
      <c r="D18" s="66">
        <f>'M2'!D18-'M1'!D18</f>
        <v>4.7046999999999999E-2</v>
      </c>
      <c r="E18" s="66">
        <f>'M2'!E18-'M1'!E18</f>
        <v>0</v>
      </c>
      <c r="F18" s="66">
        <f>'M2'!F18-'M1'!F18</f>
        <v>0.56768600000000002</v>
      </c>
      <c r="G18" s="66">
        <f>'M2'!G18-'M1'!G18</f>
        <v>0</v>
      </c>
      <c r="H18" s="66">
        <f>'M2'!H18-'M1'!H18</f>
        <v>0.62373900000000004</v>
      </c>
    </row>
    <row r="19" spans="1:8">
      <c r="A19" s="66" t="s">
        <v>256</v>
      </c>
      <c r="B19" s="66">
        <f>'M2'!B19-'M1'!B19</f>
        <v>-7.2010000000000129E-3</v>
      </c>
      <c r="C19" s="66">
        <f>'M2'!C19-'M1'!C19</f>
        <v>1.73928E-2</v>
      </c>
      <c r="D19" s="66">
        <f>'M2'!D19-'M1'!D19</f>
        <v>3.1001000000000001E-2</v>
      </c>
      <c r="E19" s="66">
        <f>'M2'!E19-'M1'!E19</f>
        <v>0</v>
      </c>
      <c r="F19" s="66">
        <f>'M2'!F19-'M1'!F19</f>
        <v>0.54364599999999996</v>
      </c>
      <c r="G19" s="66">
        <f>'M2'!G19-'M1'!G19</f>
        <v>0</v>
      </c>
      <c r="H19" s="66">
        <f>'M2'!H19-'M1'!H19</f>
        <v>0.57843100000000003</v>
      </c>
    </row>
    <row r="20" spans="1:8">
      <c r="A20" s="66" t="s">
        <v>63</v>
      </c>
      <c r="B20" s="66">
        <f>'M2'!B20-'M1'!B20</f>
        <v>3.0532400000000005E-3</v>
      </c>
      <c r="C20" s="66">
        <f>'M2'!C20-'M1'!C20</f>
        <v>-2.9299999999998771E-4</v>
      </c>
      <c r="D20" s="66">
        <f>'M2'!D20-'M1'!D20</f>
        <v>-4.2462999999999997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-0.55285000000000006</v>
      </c>
    </row>
    <row r="21" spans="1:8">
      <c r="A21" s="66" t="s">
        <v>64</v>
      </c>
      <c r="B21" s="66">
        <f>'M2'!B21-'M1'!B21</f>
        <v>-0.20519399999999999</v>
      </c>
      <c r="C21" s="66">
        <f>'M2'!C21-'M1'!C21</f>
        <v>0.11451600000000006</v>
      </c>
      <c r="D21" s="66">
        <f>'M2'!D21-'M1'!D21</f>
        <v>3.11084</v>
      </c>
      <c r="E21" s="66">
        <f>'M2'!E21-'M1'!E21</f>
        <v>0</v>
      </c>
      <c r="F21" s="66">
        <f>'M2'!F21-'M1'!F21</f>
        <v>-1.4365129999999999E-3</v>
      </c>
      <c r="G21" s="66">
        <f>'M2'!G21-'M1'!G21</f>
        <v>0</v>
      </c>
      <c r="H21" s="66">
        <f>'M2'!H21-'M1'!H21</f>
        <v>0.31651000000000007</v>
      </c>
    </row>
    <row r="22" spans="1:8">
      <c r="A22" s="66" t="s">
        <v>65</v>
      </c>
      <c r="B22" s="66">
        <f>'M2'!B22-'M1'!B22</f>
        <v>5.092499999999994</v>
      </c>
      <c r="C22" s="66">
        <f>'M2'!C22-'M1'!C22</f>
        <v>6.5289000000000001</v>
      </c>
      <c r="D22" s="66">
        <f>'M2'!D22-'M1'!D22</f>
        <v>6.8102999999999914E-2</v>
      </c>
      <c r="E22" s="66">
        <f>'M2'!E22-'M1'!E22</f>
        <v>0</v>
      </c>
      <c r="F22" s="66">
        <f>'M2'!F22-'M1'!F22</f>
        <v>-8.2238000000000007</v>
      </c>
      <c r="G22" s="66">
        <f>'M2'!G22-'M1'!G22</f>
        <v>0</v>
      </c>
      <c r="H22" s="66">
        <f>'M2'!H22-'M1'!H22</f>
        <v>15.948000000000008</v>
      </c>
    </row>
    <row r="23" spans="1:8">
      <c r="A23" s="66" t="s">
        <v>66</v>
      </c>
      <c r="B23" s="66">
        <f>'M2'!B23-'M1'!B23</f>
        <v>-14.950499999999998</v>
      </c>
      <c r="C23" s="66">
        <f>'M2'!C23-'M1'!C23</f>
        <v>2.4646299999999997</v>
      </c>
      <c r="D23" s="66">
        <f>'M2'!D23-'M1'!D23</f>
        <v>0.23712900000000001</v>
      </c>
      <c r="E23" s="66">
        <f>'M2'!E23-'M1'!E23</f>
        <v>0</v>
      </c>
      <c r="F23" s="66">
        <f>'M2'!F23-'M1'!F23</f>
        <v>-3.3988000000000014</v>
      </c>
      <c r="G23" s="66">
        <f>'M2'!G23-'M1'!G23</f>
        <v>0</v>
      </c>
      <c r="H23" s="66">
        <f>'M2'!H23-'M1'!H23</f>
        <v>-1.2445999999999984</v>
      </c>
    </row>
    <row r="24" spans="1:8">
      <c r="A24" s="66" t="s">
        <v>67</v>
      </c>
      <c r="B24" s="66">
        <f>'M2'!B24-'M1'!B24</f>
        <v>-1.1911999999999999E-3</v>
      </c>
      <c r="C24" s="66">
        <f>'M2'!C24-'M1'!C24</f>
        <v>1.5857099999999999E-2</v>
      </c>
      <c r="D24" s="66">
        <f>'M2'!D24-'M1'!D24</f>
        <v>1.2074300000000004</v>
      </c>
      <c r="E24" s="66">
        <f>'M2'!E24-'M1'!E24</f>
        <v>0</v>
      </c>
      <c r="F24" s="66">
        <f>'M2'!F24-'M1'!F24</f>
        <v>-1.0780499999999999E-4</v>
      </c>
      <c r="G24" s="66">
        <f>'M2'!G24-'M1'!G24</f>
        <v>0</v>
      </c>
      <c r="H24" s="66">
        <f>'M2'!H24-'M1'!H24</f>
        <v>0.12601999999999991</v>
      </c>
    </row>
    <row r="25" spans="1:8">
      <c r="A25" s="66" t="s">
        <v>68</v>
      </c>
      <c r="B25" s="66">
        <f>'M2'!B25-'M1'!B25</f>
        <v>5.9738000000000013E-2</v>
      </c>
      <c r="C25" s="66">
        <f>'M2'!C25-'M1'!C25</f>
        <v>0.22396499999999997</v>
      </c>
      <c r="D25" s="66">
        <f>'M2'!D25-'M1'!D25</f>
        <v>0.25607999999999986</v>
      </c>
      <c r="E25" s="66">
        <f>'M2'!E25-'M1'!E25</f>
        <v>0</v>
      </c>
      <c r="F25" s="66">
        <f>'M2'!F25-'M1'!F25</f>
        <v>-4.5774000000000002E-2</v>
      </c>
      <c r="G25" s="66">
        <f>'M2'!G25-'M1'!G25</f>
        <v>0</v>
      </c>
      <c r="H25" s="66">
        <f>'M2'!H25-'M1'!H25</f>
        <v>0.24924999999999997</v>
      </c>
    </row>
    <row r="26" spans="1:8">
      <c r="A26" s="66" t="s">
        <v>69</v>
      </c>
      <c r="B26" s="66">
        <f>'M2'!B26-'M1'!B26</f>
        <v>2.5604000000000013E-4</v>
      </c>
      <c r="C26" s="66">
        <f>'M2'!C26-'M1'!C26</f>
        <v>-2.7359999999999884E-4</v>
      </c>
      <c r="D26" s="66">
        <f>'M2'!D26-'M1'!D26</f>
        <v>-1.2275200000000011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-0.11182339999999999</v>
      </c>
    </row>
    <row r="27" spans="1:8">
      <c r="A27" s="66" t="s">
        <v>70</v>
      </c>
      <c r="B27" s="66">
        <f>'M2'!B27-'M1'!B27</f>
        <v>-4.9238399999999996E-6</v>
      </c>
      <c r="C27" s="66">
        <f>'M2'!C27-'M1'!C27</f>
        <v>-5.4744900000000003E-3</v>
      </c>
      <c r="D27" s="66">
        <f>'M2'!D27-'M1'!D27</f>
        <v>1642.3980000000001</v>
      </c>
      <c r="E27" s="66">
        <f>'M2'!E27-'M1'!E27</f>
        <v>0</v>
      </c>
      <c r="F27" s="66">
        <f>'M2'!F27-'M1'!F27</f>
        <v>0.13761209999999999</v>
      </c>
      <c r="G27" s="66">
        <f>'M2'!G27-'M1'!G27</f>
        <v>0</v>
      </c>
      <c r="H27" s="66">
        <f>'M2'!H27-'M1'!H27</f>
        <v>-0.14518410000000001</v>
      </c>
    </row>
    <row r="28" spans="1:8">
      <c r="A28" s="66" t="s">
        <v>71</v>
      </c>
      <c r="B28" s="66">
        <f>'M2'!B28-'M1'!B28</f>
        <v>-2.16732E-2</v>
      </c>
      <c r="C28" s="66">
        <f>'M2'!C28-'M1'!C28</f>
        <v>5.4244999999999988E-3</v>
      </c>
      <c r="D28" s="66">
        <f>'M2'!D28-'M1'!D28</f>
        <v>1.6638599999999999</v>
      </c>
      <c r="E28" s="66">
        <f>'M2'!E28-'M1'!E28</f>
        <v>0</v>
      </c>
      <c r="F28" s="66">
        <f>'M2'!F28-'M1'!F28</f>
        <v>-4.6549490000000003E-4</v>
      </c>
      <c r="G28" s="66">
        <f>'M2'!G28-'M1'!G28</f>
        <v>0</v>
      </c>
      <c r="H28" s="66">
        <f>'M2'!H28-'M1'!H28</f>
        <v>1.3349999999999751E-3</v>
      </c>
    </row>
    <row r="29" spans="1:8">
      <c r="A29" s="66" t="s">
        <v>72</v>
      </c>
      <c r="B29" s="66">
        <f>'M2'!B29-'M1'!B29</f>
        <v>2.1376000000000062</v>
      </c>
      <c r="C29" s="66">
        <f>'M2'!C29-'M1'!C29</f>
        <v>4.049199999999999</v>
      </c>
      <c r="D29" s="66">
        <f>'M2'!D29-'M1'!D29</f>
        <v>4.9804000000000015E-2</v>
      </c>
      <c r="E29" s="66">
        <f>'M2'!E29-'M1'!E29</f>
        <v>0</v>
      </c>
      <c r="F29" s="66">
        <f>'M2'!F29-'M1'!F29</f>
        <v>-7.3027000000000015</v>
      </c>
      <c r="G29" s="66">
        <f>'M2'!G29-'M1'!G29</f>
        <v>0</v>
      </c>
      <c r="H29" s="66">
        <f>'M2'!H29-'M1'!H29</f>
        <v>6.8799999999999955</v>
      </c>
    </row>
    <row r="30" spans="1:8">
      <c r="A30" s="66" t="s">
        <v>73</v>
      </c>
      <c r="B30" s="66">
        <f>'M2'!B30-'M1'!B30</f>
        <v>-11.667999999999999</v>
      </c>
      <c r="C30" s="66">
        <f>'M2'!C30-'M1'!C30</f>
        <v>0.7592099999999995</v>
      </c>
      <c r="D30" s="66">
        <f>'M2'!D30-'M1'!D30</f>
        <v>0.11404199999999998</v>
      </c>
      <c r="E30" s="66">
        <f>'M2'!E30-'M1'!E30</f>
        <v>0</v>
      </c>
      <c r="F30" s="66">
        <f>'M2'!F30-'M1'!F30</f>
        <v>2.8343999999999987</v>
      </c>
      <c r="G30" s="66">
        <f>'M2'!G30-'M1'!G30</f>
        <v>0</v>
      </c>
      <c r="H30" s="66">
        <f>'M2'!H30-'M1'!H30</f>
        <v>-0.57930000000000348</v>
      </c>
    </row>
    <row r="31" spans="1:8">
      <c r="A31" s="66" t="s">
        <v>74</v>
      </c>
      <c r="B31" s="66">
        <f>'M2'!B31-'M1'!B31</f>
        <v>-1.3919999999999959</v>
      </c>
      <c r="C31" s="66">
        <f>'M2'!C31-'M1'!C31</f>
        <v>-11.305399999999999</v>
      </c>
      <c r="D31" s="66">
        <f>'M2'!D31-'M1'!D31</f>
        <v>-6.3144999999999979E-2</v>
      </c>
      <c r="E31" s="66">
        <f>'M2'!E31-'M1'!E31</f>
        <v>0</v>
      </c>
      <c r="F31" s="66">
        <f>'M2'!F31-'M1'!F31</f>
        <v>30.602199999999982</v>
      </c>
      <c r="G31" s="66">
        <f>'M2'!G31-'M1'!G31</f>
        <v>0</v>
      </c>
      <c r="H31" s="66">
        <f>'M2'!H31-'M1'!H31</f>
        <v>-38.826999999999998</v>
      </c>
    </row>
    <row r="32" spans="1:8">
      <c r="A32" s="66" t="s">
        <v>75</v>
      </c>
      <c r="B32" s="66">
        <f>'M2'!B32-'M1'!B32</f>
        <v>6.7159999999999997E-3</v>
      </c>
      <c r="C32" s="66">
        <f>'M2'!C32-'M1'!C32</f>
        <v>-4.0899400000000002E-2</v>
      </c>
      <c r="D32" s="66">
        <f>'M2'!D32-'M1'!D32</f>
        <v>-0.18758400000000003</v>
      </c>
      <c r="E32" s="66">
        <f>'M2'!E32-'M1'!E32</f>
        <v>0</v>
      </c>
      <c r="F32" s="66">
        <f>'M2'!F32-'M1'!F32</f>
        <v>1.80313E-2</v>
      </c>
      <c r="G32" s="66">
        <f>'M2'!G32-'M1'!G32</f>
        <v>0</v>
      </c>
      <c r="H32" s="66">
        <f>'M2'!H32-'M1'!H32</f>
        <v>-4.4119999999999937E-2</v>
      </c>
    </row>
    <row r="33" spans="1:8">
      <c r="A33" s="66" t="s">
        <v>76</v>
      </c>
      <c r="B33" s="66">
        <f>'M2'!B33-'M1'!B33</f>
        <v>-5.0039999999999973E-2</v>
      </c>
      <c r="C33" s="66">
        <f>'M2'!C33-'M1'!C33</f>
        <v>7.641499999999999E-3</v>
      </c>
      <c r="D33" s="66">
        <f>'M2'!D33-'M1'!D33</f>
        <v>4.2675000000000005E-2</v>
      </c>
      <c r="E33" s="66">
        <f>'M2'!E33-'M1'!E33</f>
        <v>0</v>
      </c>
      <c r="F33" s="66">
        <f>'M2'!F33-'M1'!F33</f>
        <v>-1.374800000000001E-2</v>
      </c>
      <c r="G33" s="66">
        <f>'M2'!G33-'M1'!G33</f>
        <v>0</v>
      </c>
      <c r="H33" s="66">
        <f>'M2'!H33-'M1'!H33</f>
        <v>-2.7249999999999996E-2</v>
      </c>
    </row>
    <row r="34" spans="1:8">
      <c r="A34" s="66" t="s">
        <v>77</v>
      </c>
      <c r="B34" s="66">
        <f>'M2'!B34-'M1'!B34</f>
        <v>-2.9558000000000001E-2</v>
      </c>
      <c r="C34" s="66">
        <f>'M2'!C34-'M1'!C34</f>
        <v>-2.0078000000000006E-2</v>
      </c>
      <c r="D34" s="66">
        <f>'M2'!D34-'M1'!D34</f>
        <v>-6.1555999999999972E-2</v>
      </c>
      <c r="E34" s="66">
        <f>'M2'!E34-'M1'!E34</f>
        <v>0</v>
      </c>
      <c r="F34" s="66">
        <f>'M2'!F34-'M1'!F34</f>
        <v>-4.8517000000000005E-2</v>
      </c>
      <c r="G34" s="66">
        <f>'M2'!G34-'M1'!G34</f>
        <v>0</v>
      </c>
      <c r="H34" s="66">
        <f>'M2'!H34-'M1'!H34</f>
        <v>-0.15376400000000001</v>
      </c>
    </row>
    <row r="35" spans="1:8">
      <c r="A35" s="66" t="s">
        <v>78</v>
      </c>
      <c r="B35" s="66">
        <f>'M2'!B35-'M1'!B35</f>
        <v>-4.0612000000000009E-3</v>
      </c>
      <c r="C35" s="66">
        <f>'M2'!C35-'M1'!C35</f>
        <v>9.5166000000000001E-3</v>
      </c>
      <c r="D35" s="66">
        <f>'M2'!D35-'M1'!D35</f>
        <v>0.12838500000000003</v>
      </c>
      <c r="E35" s="66">
        <f>'M2'!E35-'M1'!E35</f>
        <v>0</v>
      </c>
      <c r="F35" s="66">
        <f>'M2'!F35-'M1'!F35</f>
        <v>-8.7833000000000008E-3</v>
      </c>
      <c r="G35" s="66">
        <f>'M2'!G35-'M1'!G35</f>
        <v>0</v>
      </c>
      <c r="H35" s="66">
        <f>'M2'!H35-'M1'!H35</f>
        <v>4.4169000000000014E-2</v>
      </c>
    </row>
    <row r="36" spans="1:8">
      <c r="A36" s="66" t="s">
        <v>79</v>
      </c>
      <c r="B36" s="66">
        <f>'M2'!B36-'M1'!B36</f>
        <v>-4.5323000000000002E-2</v>
      </c>
      <c r="C36" s="66">
        <f>'M2'!C36-'M1'!C36</f>
        <v>-1.5376000000000001E-2</v>
      </c>
      <c r="D36" s="66">
        <f>'M2'!D36-'M1'!D36</f>
        <v>7.2323000000000026E-2</v>
      </c>
      <c r="E36" s="66">
        <f>'M2'!E36-'M1'!E36</f>
        <v>0</v>
      </c>
      <c r="F36" s="66">
        <f>'M2'!F36-'M1'!F36</f>
        <v>-2.4756300000000002E-2</v>
      </c>
      <c r="G36" s="66">
        <f>'M2'!G36-'M1'!G36</f>
        <v>0</v>
      </c>
      <c r="H36" s="66">
        <f>'M2'!H36-'M1'!H36</f>
        <v>-4.1138000000000008E-2</v>
      </c>
    </row>
    <row r="37" spans="1:8">
      <c r="A37" s="66" t="s">
        <v>80</v>
      </c>
      <c r="B37" s="66">
        <f>'M2'!B37-'M1'!B37</f>
        <v>-0.20078000000000001</v>
      </c>
      <c r="C37" s="66">
        <f>'M2'!C37-'M1'!C37</f>
        <v>-5.6396000000000002E-2</v>
      </c>
      <c r="D37" s="66">
        <f>'M2'!D37-'M1'!D37</f>
        <v>8.2202000000000053E-2</v>
      </c>
      <c r="E37" s="66">
        <f>'M2'!E37-'M1'!E37</f>
        <v>0</v>
      </c>
      <c r="F37" s="66">
        <f>'M2'!F37-'M1'!F37</f>
        <v>1.8676100000000001E-2</v>
      </c>
      <c r="G37" s="66">
        <f>'M2'!G37-'M1'!G37</f>
        <v>0</v>
      </c>
      <c r="H37" s="66">
        <f>'M2'!H37-'M1'!H37</f>
        <v>-0.16051400000000005</v>
      </c>
    </row>
    <row r="38" spans="1:8">
      <c r="A38" s="66" t="s">
        <v>81</v>
      </c>
      <c r="B38" s="66">
        <f>'M2'!B38-'M1'!B38</f>
        <v>10.075100000000003</v>
      </c>
      <c r="C38" s="66">
        <f>'M2'!C38-'M1'!C38</f>
        <v>8.3101999999999947</v>
      </c>
      <c r="D38" s="66">
        <f>'M2'!D38-'M1'!D38</f>
        <v>-0.76626000000000016</v>
      </c>
      <c r="E38" s="66">
        <f>'M2'!E38-'M1'!E38</f>
        <v>0</v>
      </c>
      <c r="F38" s="66">
        <f>'M2'!F38-'M1'!F38</f>
        <v>-6.867999999999995</v>
      </c>
      <c r="G38" s="66">
        <f>'M2'!G38-'M1'!G38</f>
        <v>0</v>
      </c>
      <c r="H38" s="66">
        <f>'M2'!H38-'M1'!H38</f>
        <v>171.45199999999997</v>
      </c>
    </row>
    <row r="39" spans="1:8">
      <c r="A39" s="66" t="s">
        <v>82</v>
      </c>
      <c r="B39" s="66">
        <f>'M2'!B39-'M1'!B39</f>
        <v>3.7540300000000002</v>
      </c>
      <c r="C39" s="66">
        <f>'M2'!C39-'M1'!C39</f>
        <v>0.4933000000000014</v>
      </c>
      <c r="D39" s="66">
        <f>'M2'!D39-'M1'!D39</f>
        <v>-0.41093400000000002</v>
      </c>
      <c r="E39" s="66">
        <f>'M2'!E39-'M1'!E39</f>
        <v>0</v>
      </c>
      <c r="F39" s="66">
        <f>'M2'!F39-'M1'!F39</f>
        <v>-13.243300000000005</v>
      </c>
      <c r="G39" s="66">
        <f>'M2'!G39-'M1'!G39</f>
        <v>0</v>
      </c>
      <c r="H39" s="66">
        <f>'M2'!H39-'M1'!H39</f>
        <v>-2.6298300000000001</v>
      </c>
    </row>
    <row r="40" spans="1:8">
      <c r="A40" s="66" t="s">
        <v>83</v>
      </c>
      <c r="B40" s="66">
        <f>'M2'!B40-'M1'!B40</f>
        <v>1.2736999999999998</v>
      </c>
      <c r="C40" s="66">
        <f>'M2'!C40-'M1'!C40</f>
        <v>-0.62538999999999989</v>
      </c>
      <c r="D40" s="66">
        <f>'M2'!D40-'M1'!D40</f>
        <v>3.5422999999999982E-2</v>
      </c>
      <c r="E40" s="66">
        <f>'M2'!E40-'M1'!E40</f>
        <v>0</v>
      </c>
      <c r="F40" s="66">
        <f>'M2'!F40-'M1'!F40</f>
        <v>1.6991000000000014</v>
      </c>
      <c r="G40" s="66">
        <f>'M2'!G40-'M1'!G40</f>
        <v>0</v>
      </c>
      <c r="H40" s="66">
        <f>'M2'!H40-'M1'!H40</f>
        <v>-1.8037700000000001</v>
      </c>
    </row>
    <row r="41" spans="1:8">
      <c r="A41" s="66" t="s">
        <v>84</v>
      </c>
      <c r="B41" s="66">
        <f>'M2'!B41-'M1'!B41</f>
        <v>6.0977000000000003E-2</v>
      </c>
      <c r="C41" s="66">
        <f>'M2'!C41-'M1'!C41</f>
        <v>3.3311999999999981E-2</v>
      </c>
      <c r="D41" s="66">
        <f>'M2'!D41-'M1'!D41</f>
        <v>-0.88106000000000018</v>
      </c>
      <c r="E41" s="66">
        <f>'M2'!E41-'M1'!E41</f>
        <v>0</v>
      </c>
      <c r="F41" s="66">
        <f>'M2'!F41-'M1'!F41</f>
        <v>0.30769199999999997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-1.7109999999999903E-3</v>
      </c>
      <c r="C42" s="66">
        <f>'M2'!C42-'M1'!C42</f>
        <v>4.9644600000000011E-2</v>
      </c>
      <c r="D42" s="66">
        <f>'M2'!D42-'M1'!D42</f>
        <v>-0.23744999999999999</v>
      </c>
      <c r="E42" s="66">
        <f>'M2'!E42-'M1'!E42</f>
        <v>0</v>
      </c>
      <c r="F42" s="66">
        <f>'M2'!F42-'M1'!F42</f>
        <v>-7.996399999999998E-2</v>
      </c>
      <c r="G42" s="66">
        <f>'M2'!G42-'M1'!G42</f>
        <v>0</v>
      </c>
      <c r="H42" s="66">
        <f>'M2'!H42-'M1'!H42</f>
        <v>0.12249279999999999</v>
      </c>
    </row>
    <row r="43" spans="1:8">
      <c r="A43" s="66" t="s">
        <v>86</v>
      </c>
      <c r="B43" s="66">
        <f>'M2'!B43-'M1'!B43</f>
        <v>-6.0144000000000003E-2</v>
      </c>
      <c r="C43" s="66">
        <f>'M2'!C43-'M1'!C43</f>
        <v>-1.1185899999999999E-2</v>
      </c>
      <c r="D43" s="66">
        <f>'M2'!D43-'M1'!D43</f>
        <v>0.23931600000000003</v>
      </c>
      <c r="E43" s="66">
        <f>'M2'!E43-'M1'!E43</f>
        <v>0</v>
      </c>
      <c r="F43" s="66">
        <f>'M2'!F43-'M1'!F43</f>
        <v>-9.4723000000000002E-2</v>
      </c>
      <c r="G43" s="66">
        <f>'M2'!G43-'M1'!G43</f>
        <v>0</v>
      </c>
      <c r="H43" s="66">
        <f>'M2'!H43-'M1'!H43</f>
        <v>-8.4263065999999998E-2</v>
      </c>
    </row>
    <row r="44" spans="1:8">
      <c r="A44" s="66" t="s">
        <v>87</v>
      </c>
      <c r="B44" s="66">
        <f>'M2'!B44-'M1'!B44</f>
        <v>4.0061999999999998</v>
      </c>
      <c r="C44" s="66">
        <f>'M2'!C44-'M1'!C44</f>
        <v>0.5656800000000004</v>
      </c>
      <c r="D44" s="66">
        <f>'M2'!D44-'M1'!D44</f>
        <v>-7.3680999999999996E-2</v>
      </c>
      <c r="E44" s="66">
        <f>'M2'!E44-'M1'!E44</f>
        <v>0</v>
      </c>
      <c r="F44" s="66">
        <f>'M2'!F44-'M1'!F44</f>
        <v>7.6447000000000003</v>
      </c>
      <c r="G44" s="66">
        <f>'M2'!G44-'M1'!G44</f>
        <v>0</v>
      </c>
      <c r="H44" s="66">
        <f>'M2'!H44-'M1'!H44</f>
        <v>9.2071600000000018</v>
      </c>
    </row>
    <row r="45" spans="1:8">
      <c r="A45" s="66" t="s">
        <v>88</v>
      </c>
      <c r="B45" s="66">
        <f>'M2'!B45-'M1'!B45</f>
        <v>0.7032999999999987</v>
      </c>
      <c r="C45" s="66">
        <f>'M2'!C45-'M1'!C45</f>
        <v>2.6584800000000008</v>
      </c>
      <c r="D45" s="66">
        <f>'M2'!D45-'M1'!D45</f>
        <v>5.9680999999999984E-2</v>
      </c>
      <c r="E45" s="66">
        <f>'M2'!E45-'M1'!E45</f>
        <v>0</v>
      </c>
      <c r="F45" s="66">
        <f>'M2'!F45-'M1'!F45</f>
        <v>0.48789999999999978</v>
      </c>
      <c r="G45" s="66">
        <f>'M2'!G45-'M1'!G45</f>
        <v>0</v>
      </c>
      <c r="H45" s="66">
        <f>'M2'!H45-'M1'!H45</f>
        <v>15.550899999999992</v>
      </c>
    </row>
    <row r="46" spans="1:8">
      <c r="A46" s="66" t="s">
        <v>89</v>
      </c>
      <c r="B46" s="66">
        <f>'M2'!B46-'M1'!B46</f>
        <v>-6.7199999999999704E-2</v>
      </c>
      <c r="C46" s="66">
        <f>'M2'!C46-'M1'!C46</f>
        <v>-2.8554000000000004</v>
      </c>
      <c r="D46" s="66">
        <f>'M2'!D46-'M1'!D46</f>
        <v>-0.11452559999999999</v>
      </c>
      <c r="E46" s="66">
        <f>'M2'!E46-'M1'!E46</f>
        <v>0</v>
      </c>
      <c r="F46" s="66">
        <f>'M2'!F46-'M1'!F46</f>
        <v>12.536729999999999</v>
      </c>
      <c r="G46" s="66">
        <f>'M2'!G46-'M1'!G46</f>
        <v>0</v>
      </c>
      <c r="H46" s="66">
        <f>'M2'!H46-'M1'!H46</f>
        <v>0.65520000000000067</v>
      </c>
    </row>
    <row r="47" spans="1:8">
      <c r="A47" s="66" t="s">
        <v>90</v>
      </c>
      <c r="B47" s="66">
        <f>'M2'!B47-'M1'!B47</f>
        <v>-0.42826000000000009</v>
      </c>
      <c r="C47" s="66">
        <f>'M2'!C47-'M1'!C47</f>
        <v>0.23730999999999991</v>
      </c>
      <c r="D47" s="66">
        <f>'M2'!D47-'M1'!D47</f>
        <v>0.57916899999999993</v>
      </c>
      <c r="E47" s="66">
        <f>'M2'!E47-'M1'!E47</f>
        <v>0</v>
      </c>
      <c r="F47" s="66">
        <f>'M2'!F47-'M1'!F47</f>
        <v>-0.30435099999999993</v>
      </c>
      <c r="G47" s="66">
        <f>'M2'!G47-'M1'!G47</f>
        <v>0</v>
      </c>
      <c r="H47" s="66">
        <f>'M2'!H47-'M1'!H47</f>
        <v>-2.1032300000000008</v>
      </c>
    </row>
    <row r="48" spans="1:8">
      <c r="A48" s="66" t="s">
        <v>91</v>
      </c>
      <c r="B48" s="66">
        <f>'M2'!B48-'M1'!B48</f>
        <v>-0.21667399999999992</v>
      </c>
      <c r="C48" s="66">
        <f>'M2'!C48-'M1'!C48</f>
        <v>8.9815000000000006E-2</v>
      </c>
      <c r="D48" s="66">
        <f>'M2'!D48-'M1'!D48</f>
        <v>0.131186</v>
      </c>
      <c r="E48" s="66">
        <f>'M2'!E48-'M1'!E48</f>
        <v>0</v>
      </c>
      <c r="F48" s="66">
        <f>'M2'!F48-'M1'!F48</f>
        <v>-0.14655400000000007</v>
      </c>
      <c r="G48" s="66">
        <f>'M2'!G48-'M1'!G48</f>
        <v>0</v>
      </c>
      <c r="H48" s="66">
        <f>'M2'!H48-'M1'!H48</f>
        <v>-6.0450000000000115E-2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35.731999999999999</v>
      </c>
      <c r="C5" s="66">
        <v>6.5434599999999996</v>
      </c>
      <c r="D5" s="66">
        <v>18.3126</v>
      </c>
      <c r="E5" s="66">
        <v>20</v>
      </c>
      <c r="F5" s="66">
        <v>15.558</v>
      </c>
      <c r="G5" s="66">
        <v>50</v>
      </c>
      <c r="H5" s="66">
        <v>42.971600000000002</v>
      </c>
    </row>
    <row r="6" spans="1:8">
      <c r="A6" s="66" t="s">
        <v>358</v>
      </c>
      <c r="B6" s="66">
        <v>32.695799999999998</v>
      </c>
      <c r="C6" s="66">
        <v>2.6192600000000001</v>
      </c>
      <c r="D6" s="66">
        <v>8.0110100000000006</v>
      </c>
      <c r="E6" s="66">
        <v>20</v>
      </c>
      <c r="F6" s="66">
        <v>26.213799999999999</v>
      </c>
      <c r="G6" s="66">
        <v>40</v>
      </c>
      <c r="H6" s="66">
        <v>41.569600000000001</v>
      </c>
    </row>
    <row r="7" spans="1:8">
      <c r="A7" s="66" t="s">
        <v>359</v>
      </c>
      <c r="B7" s="66">
        <v>23.180900000000001</v>
      </c>
      <c r="C7" s="66">
        <v>13.266</v>
      </c>
      <c r="D7" s="66">
        <v>57.228400000000001</v>
      </c>
      <c r="E7" s="66">
        <v>15</v>
      </c>
      <c r="F7" s="66">
        <v>4.2032499999999997</v>
      </c>
      <c r="G7" s="66">
        <v>40</v>
      </c>
      <c r="H7" s="66">
        <v>50.211799999999997</v>
      </c>
    </row>
    <row r="8" spans="1:8">
      <c r="A8" s="66" t="s">
        <v>360</v>
      </c>
      <c r="B8" s="66">
        <v>31.069500000000001</v>
      </c>
      <c r="C8" s="66">
        <v>4.8970599999999997</v>
      </c>
      <c r="D8" s="66">
        <v>15.761699999999999</v>
      </c>
      <c r="E8" s="66">
        <v>20</v>
      </c>
      <c r="F8" s="66">
        <v>18.690999999999999</v>
      </c>
      <c r="G8" s="66">
        <v>50</v>
      </c>
      <c r="H8" s="66">
        <v>37.350200000000001</v>
      </c>
    </row>
    <row r="9" spans="1:8">
      <c r="A9" s="66" t="s">
        <v>361</v>
      </c>
      <c r="B9" s="66">
        <v>71.7209</v>
      </c>
      <c r="C9" s="66">
        <v>5.4283599999999996</v>
      </c>
      <c r="D9" s="66">
        <v>7.5687300000000004</v>
      </c>
      <c r="E9" s="66">
        <v>50</v>
      </c>
      <c r="F9" s="66">
        <v>59.921599999999998</v>
      </c>
      <c r="G9" s="66">
        <v>100</v>
      </c>
      <c r="H9" s="66">
        <v>85.670599999999993</v>
      </c>
    </row>
    <row r="10" spans="1:8">
      <c r="A10" s="66" t="s">
        <v>362</v>
      </c>
      <c r="B10" s="66">
        <v>71.251900000000006</v>
      </c>
      <c r="C10" s="66">
        <v>3.0868099999999998</v>
      </c>
      <c r="D10" s="66">
        <v>4.3322500000000002</v>
      </c>
      <c r="E10" s="66">
        <v>40</v>
      </c>
      <c r="F10" s="66">
        <v>65.889499999999998</v>
      </c>
      <c r="G10" s="66">
        <v>100</v>
      </c>
      <c r="H10" s="66">
        <v>79.953500000000005</v>
      </c>
    </row>
    <row r="11" spans="1:8">
      <c r="A11" s="66" t="s">
        <v>363</v>
      </c>
      <c r="B11" s="66">
        <v>26.835799999999999</v>
      </c>
      <c r="C11" s="66">
        <v>5.2486100000000002</v>
      </c>
      <c r="D11" s="66">
        <v>19.558199999999999</v>
      </c>
      <c r="E11" s="66">
        <v>10</v>
      </c>
      <c r="F11" s="66">
        <v>13.4168</v>
      </c>
      <c r="G11" s="66">
        <v>50</v>
      </c>
      <c r="H11" s="66">
        <v>33.150599999999997</v>
      </c>
    </row>
    <row r="12" spans="1:8">
      <c r="A12" s="66" t="s">
        <v>364</v>
      </c>
      <c r="B12" s="66">
        <v>71.391300000000001</v>
      </c>
      <c r="C12" s="66">
        <v>3.76363</v>
      </c>
      <c r="D12" s="66">
        <v>5.2718299999999996</v>
      </c>
      <c r="E12" s="66">
        <v>50</v>
      </c>
      <c r="F12" s="66">
        <v>65.046599999999998</v>
      </c>
      <c r="G12" s="66">
        <v>100</v>
      </c>
      <c r="H12" s="66">
        <v>82.812100000000001</v>
      </c>
    </row>
    <row r="13" spans="1:8">
      <c r="A13" s="66" t="s">
        <v>365</v>
      </c>
      <c r="B13" s="66">
        <v>21.139500000000002</v>
      </c>
      <c r="C13" s="66">
        <v>6.3544</v>
      </c>
      <c r="D13" s="66">
        <v>30.0594</v>
      </c>
      <c r="E13" s="66">
        <v>10</v>
      </c>
      <c r="F13" s="66">
        <v>16.813199999999998</v>
      </c>
      <c r="G13" s="66">
        <v>25</v>
      </c>
      <c r="H13" s="66">
        <v>46.430399999999999</v>
      </c>
    </row>
    <row r="14" spans="1:8">
      <c r="A14" s="66" t="s">
        <v>366</v>
      </c>
      <c r="B14" s="66">
        <v>63.543999999999997</v>
      </c>
      <c r="C14" s="66">
        <v>29.156600000000001</v>
      </c>
      <c r="D14" s="66">
        <v>45.884099999999997</v>
      </c>
      <c r="E14" s="66">
        <v>10</v>
      </c>
      <c r="F14" s="66">
        <v>1.4942599999999999</v>
      </c>
      <c r="G14" s="66">
        <v>50</v>
      </c>
      <c r="H14" s="66">
        <v>79.369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0.65156999999999998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0.56823999999999997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8.3915599999999993E-3</v>
      </c>
      <c r="C20" s="66">
        <v>0.13276199999999999</v>
      </c>
      <c r="D20" s="66">
        <v>15.8209</v>
      </c>
      <c r="E20" s="66">
        <v>0</v>
      </c>
      <c r="F20" s="66">
        <v>0</v>
      </c>
      <c r="G20" s="66">
        <v>0</v>
      </c>
      <c r="H20" s="66">
        <v>1.59453</v>
      </c>
    </row>
    <row r="21" spans="1:8">
      <c r="A21" s="66" t="s">
        <v>373</v>
      </c>
      <c r="B21" s="66">
        <v>0.40225</v>
      </c>
      <c r="C21" s="66">
        <v>0.97721400000000003</v>
      </c>
      <c r="D21" s="66">
        <v>2.42937</v>
      </c>
      <c r="E21" s="66">
        <v>0</v>
      </c>
      <c r="F21" s="66">
        <v>1.59381E-3</v>
      </c>
      <c r="G21" s="66">
        <v>0</v>
      </c>
      <c r="H21" s="66">
        <v>4.2908200000000001</v>
      </c>
    </row>
    <row r="22" spans="1:8">
      <c r="A22" s="66" t="s">
        <v>374</v>
      </c>
      <c r="B22" s="66">
        <v>46.713500000000003</v>
      </c>
      <c r="C22" s="66">
        <v>27.5259</v>
      </c>
      <c r="D22" s="66">
        <v>0.58925000000000005</v>
      </c>
      <c r="E22" s="66">
        <v>0</v>
      </c>
      <c r="F22" s="66">
        <v>26.5642</v>
      </c>
      <c r="G22" s="66">
        <v>0</v>
      </c>
      <c r="H22" s="66">
        <v>124.34399999999999</v>
      </c>
    </row>
    <row r="23" spans="1:8">
      <c r="A23" s="66" t="s">
        <v>375</v>
      </c>
      <c r="B23" s="66">
        <v>40.425699999999999</v>
      </c>
      <c r="C23" s="66">
        <v>9.6701700000000006</v>
      </c>
      <c r="D23" s="66">
        <v>0.239208</v>
      </c>
      <c r="E23" s="66">
        <v>0</v>
      </c>
      <c r="F23" s="66">
        <v>23.7576</v>
      </c>
      <c r="G23" s="66">
        <v>0</v>
      </c>
      <c r="H23" s="66">
        <v>55.790399999999998</v>
      </c>
    </row>
    <row r="24" spans="1:8">
      <c r="A24" s="66" t="s">
        <v>376</v>
      </c>
      <c r="B24" s="66">
        <v>1.9259499999999999E-2</v>
      </c>
      <c r="C24" s="66">
        <v>9.6352900000000005E-2</v>
      </c>
      <c r="D24" s="66">
        <v>5.0028699999999997</v>
      </c>
      <c r="E24" s="66">
        <v>0</v>
      </c>
      <c r="F24" s="66">
        <v>2.2400999999999999E-4</v>
      </c>
      <c r="G24" s="66">
        <v>0</v>
      </c>
      <c r="H24" s="66">
        <v>0.57186000000000003</v>
      </c>
    </row>
    <row r="25" spans="1:8">
      <c r="A25" s="66" t="s">
        <v>377</v>
      </c>
      <c r="B25" s="66">
        <v>0.46915299999999999</v>
      </c>
      <c r="C25" s="66">
        <v>0.69525700000000001</v>
      </c>
      <c r="D25" s="66">
        <v>1.48194</v>
      </c>
      <c r="E25" s="66">
        <v>0</v>
      </c>
      <c r="F25" s="66">
        <v>6.6718600000000003E-2</v>
      </c>
      <c r="G25" s="66">
        <v>0</v>
      </c>
      <c r="H25" s="66">
        <v>2.5745200000000001</v>
      </c>
    </row>
    <row r="26" spans="1:8">
      <c r="A26" s="66" t="s">
        <v>378</v>
      </c>
      <c r="B26" s="66">
        <v>1.6741099999999999E-3</v>
      </c>
      <c r="C26" s="66">
        <v>1.3702499999999999E-2</v>
      </c>
      <c r="D26" s="66">
        <v>8.1849500000000006</v>
      </c>
      <c r="E26" s="66">
        <v>0</v>
      </c>
      <c r="F26" s="66">
        <v>0</v>
      </c>
      <c r="G26" s="66">
        <v>0</v>
      </c>
      <c r="H26" s="66">
        <v>0.19840099999999999</v>
      </c>
    </row>
    <row r="27" spans="1:8">
      <c r="A27" s="66" t="s">
        <v>379</v>
      </c>
      <c r="B27" s="196">
        <v>-4.9238500000000003E-6</v>
      </c>
      <c r="C27" s="66">
        <v>1.06993E-2</v>
      </c>
      <c r="D27" s="66">
        <v>-2172.96</v>
      </c>
      <c r="E27" s="66">
        <v>0</v>
      </c>
      <c r="F27" s="66">
        <v>-0.19750899999999999</v>
      </c>
      <c r="G27" s="66">
        <v>0</v>
      </c>
      <c r="H27" s="66">
        <v>0.19661200000000001</v>
      </c>
    </row>
    <row r="28" spans="1:8">
      <c r="A28" s="66" t="s">
        <v>380</v>
      </c>
      <c r="B28" s="66">
        <v>4.1744799999999999E-2</v>
      </c>
      <c r="C28" s="66">
        <v>5.3877000000000001E-2</v>
      </c>
      <c r="D28" s="66">
        <v>1.2906299999999999</v>
      </c>
      <c r="E28" s="66">
        <v>0</v>
      </c>
      <c r="F28" s="66">
        <v>5.1432300000000002E-4</v>
      </c>
      <c r="G28" s="66">
        <v>0</v>
      </c>
      <c r="H28" s="66">
        <v>0.20805000000000001</v>
      </c>
    </row>
    <row r="29" spans="1:8">
      <c r="A29" s="66" t="s">
        <v>381</v>
      </c>
      <c r="B29" s="66">
        <v>68.249600000000001</v>
      </c>
      <c r="C29" s="66">
        <v>17.3567</v>
      </c>
      <c r="D29" s="66">
        <v>0.25431199999999998</v>
      </c>
      <c r="E29" s="66">
        <v>0</v>
      </c>
      <c r="F29" s="66">
        <v>45.011200000000002</v>
      </c>
      <c r="G29" s="66">
        <v>0</v>
      </c>
      <c r="H29" s="66">
        <v>112.54600000000001</v>
      </c>
    </row>
    <row r="30" spans="1:8">
      <c r="A30" s="66" t="s">
        <v>382</v>
      </c>
      <c r="B30" s="66">
        <v>41.520699999999998</v>
      </c>
      <c r="C30" s="66">
        <v>9.4131900000000002</v>
      </c>
      <c r="D30" s="66">
        <v>0.226711</v>
      </c>
      <c r="E30" s="66">
        <v>0</v>
      </c>
      <c r="F30" s="66">
        <v>20.934100000000001</v>
      </c>
      <c r="G30" s="66">
        <v>0</v>
      </c>
      <c r="H30" s="66">
        <v>55.196800000000003</v>
      </c>
    </row>
    <row r="31" spans="1:8">
      <c r="A31" s="66" t="s">
        <v>383</v>
      </c>
      <c r="B31" s="66">
        <v>176.262</v>
      </c>
      <c r="C31" s="66">
        <v>33.325699999999998</v>
      </c>
      <c r="D31" s="66">
        <v>0.18906899999999999</v>
      </c>
      <c r="E31" s="66">
        <v>0</v>
      </c>
      <c r="F31" s="66">
        <v>99.549800000000005</v>
      </c>
      <c r="G31" s="66">
        <v>0</v>
      </c>
      <c r="H31" s="66">
        <v>234.69399999999999</v>
      </c>
    </row>
    <row r="32" spans="1:8">
      <c r="A32" s="66" t="s">
        <v>384</v>
      </c>
      <c r="B32" s="66">
        <v>0.23180899999999999</v>
      </c>
      <c r="C32" s="66">
        <v>0.13266</v>
      </c>
      <c r="D32" s="66">
        <v>0.57228400000000001</v>
      </c>
      <c r="E32" s="66">
        <v>0.15</v>
      </c>
      <c r="F32" s="66">
        <v>4.20325E-2</v>
      </c>
      <c r="G32" s="66">
        <v>0.4</v>
      </c>
      <c r="H32" s="66">
        <v>0.50211799999999995</v>
      </c>
    </row>
    <row r="33" spans="1:8">
      <c r="A33" s="66" t="s">
        <v>385</v>
      </c>
      <c r="B33" s="66">
        <v>0.31865399999999999</v>
      </c>
      <c r="C33" s="66">
        <v>2.4336300000000002E-2</v>
      </c>
      <c r="D33" s="66">
        <v>7.6371999999999995E-2</v>
      </c>
      <c r="E33" s="66">
        <v>0</v>
      </c>
      <c r="F33" s="66">
        <v>0.234929</v>
      </c>
      <c r="G33" s="66">
        <v>0</v>
      </c>
      <c r="H33" s="66">
        <v>0.36647999999999997</v>
      </c>
    </row>
    <row r="34" spans="1:8">
      <c r="A34" s="66" t="s">
        <v>386</v>
      </c>
      <c r="B34" s="66">
        <v>0.211395</v>
      </c>
      <c r="C34" s="66">
        <v>6.3544000000000003E-2</v>
      </c>
      <c r="D34" s="66">
        <v>0.30059399999999997</v>
      </c>
      <c r="E34" s="66">
        <v>0.1</v>
      </c>
      <c r="F34" s="66">
        <v>0.168132</v>
      </c>
      <c r="G34" s="66">
        <v>0.25</v>
      </c>
      <c r="H34" s="66">
        <v>0.46430399999999999</v>
      </c>
    </row>
    <row r="35" spans="1:8">
      <c r="A35" s="66" t="s">
        <v>387</v>
      </c>
      <c r="B35" s="66">
        <v>8.7289800000000001E-2</v>
      </c>
      <c r="C35" s="66">
        <v>2.5120400000000001E-2</v>
      </c>
      <c r="D35" s="66">
        <v>0.28778199999999998</v>
      </c>
      <c r="E35" s="66">
        <v>0</v>
      </c>
      <c r="F35" s="66">
        <v>4.6955400000000001E-2</v>
      </c>
      <c r="G35" s="66">
        <v>0</v>
      </c>
      <c r="H35" s="66">
        <v>0.15348999999999999</v>
      </c>
    </row>
    <row r="36" spans="1:8">
      <c r="A36" s="66" t="s">
        <v>388</v>
      </c>
      <c r="B36" s="66">
        <v>0.19819800000000001</v>
      </c>
      <c r="C36" s="66">
        <v>0.115587</v>
      </c>
      <c r="D36" s="66">
        <v>0.58318700000000001</v>
      </c>
      <c r="E36" s="66">
        <v>0</v>
      </c>
      <c r="F36" s="66">
        <v>6.2273200000000001E-2</v>
      </c>
      <c r="G36" s="66">
        <v>0</v>
      </c>
      <c r="H36" s="66">
        <v>0.65226300000000004</v>
      </c>
    </row>
    <row r="37" spans="1:8">
      <c r="A37" s="66" t="s">
        <v>389</v>
      </c>
      <c r="B37" s="66">
        <v>0.63544</v>
      </c>
      <c r="C37" s="66">
        <v>0.29156599999999999</v>
      </c>
      <c r="D37" s="66">
        <v>0.458841</v>
      </c>
      <c r="E37" s="66">
        <v>0.1</v>
      </c>
      <c r="F37" s="66">
        <v>1.49426E-2</v>
      </c>
      <c r="G37" s="66">
        <v>0.5</v>
      </c>
      <c r="H37" s="66">
        <v>0.79369000000000001</v>
      </c>
    </row>
    <row r="38" spans="1:8">
      <c r="A38" s="66" t="s">
        <v>390</v>
      </c>
      <c r="B38" s="66">
        <v>-36.077300000000001</v>
      </c>
      <c r="C38" s="66">
        <v>41.589100000000002</v>
      </c>
      <c r="D38" s="66">
        <v>-1.1527799999999999</v>
      </c>
      <c r="E38" s="66">
        <v>0</v>
      </c>
      <c r="F38" s="66">
        <v>-176.071</v>
      </c>
      <c r="G38" s="66">
        <v>0</v>
      </c>
      <c r="H38" s="66">
        <v>106.703</v>
      </c>
    </row>
    <row r="39" spans="1:8">
      <c r="A39" s="66" t="s">
        <v>391</v>
      </c>
      <c r="B39" s="66">
        <v>-13.5265</v>
      </c>
      <c r="C39" s="66">
        <v>12.692399999999999</v>
      </c>
      <c r="D39" s="66">
        <v>-0.93833599999999995</v>
      </c>
      <c r="E39" s="66">
        <v>0</v>
      </c>
      <c r="F39" s="66">
        <v>-54.562399999999997</v>
      </c>
      <c r="G39" s="66">
        <v>0</v>
      </c>
      <c r="H39" s="66">
        <v>6.9799199999999999</v>
      </c>
    </row>
    <row r="40" spans="1:8">
      <c r="A40" s="66" t="s">
        <v>392</v>
      </c>
      <c r="B40" s="66">
        <v>-12.878299999999999</v>
      </c>
      <c r="C40" s="66">
        <v>2.16689</v>
      </c>
      <c r="D40" s="66">
        <v>-0.16825799999999999</v>
      </c>
      <c r="E40" s="66">
        <v>0</v>
      </c>
      <c r="F40" s="66">
        <v>-16.588100000000001</v>
      </c>
      <c r="G40" s="66">
        <v>0</v>
      </c>
      <c r="H40" s="66">
        <v>-7.1541399999999999</v>
      </c>
    </row>
    <row r="41" spans="1:8">
      <c r="A41" s="66" t="s">
        <v>393</v>
      </c>
      <c r="B41" s="66">
        <v>-0.18753</v>
      </c>
      <c r="C41" s="66">
        <v>0.24046100000000001</v>
      </c>
      <c r="D41" s="66">
        <v>-1.2822499999999999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-0.204898</v>
      </c>
      <c r="C42" s="66">
        <v>7.0061399999999996E-2</v>
      </c>
      <c r="D42" s="66">
        <v>-0.34193299999999999</v>
      </c>
      <c r="E42" s="66">
        <v>0</v>
      </c>
      <c r="F42" s="66">
        <v>-0.36294999999999999</v>
      </c>
      <c r="G42" s="66">
        <v>0</v>
      </c>
      <c r="H42" s="66">
        <v>-3.6234599999999999E-2</v>
      </c>
    </row>
    <row r="43" spans="1:8">
      <c r="A43" s="66" t="s">
        <v>395</v>
      </c>
      <c r="B43" s="66">
        <v>-0.13195799999999999</v>
      </c>
      <c r="C43" s="66">
        <v>7.63234E-2</v>
      </c>
      <c r="D43" s="66">
        <v>-0.57839300000000005</v>
      </c>
      <c r="E43" s="66">
        <v>0</v>
      </c>
      <c r="F43" s="66">
        <v>-0.26141500000000001</v>
      </c>
      <c r="G43" s="66">
        <v>0</v>
      </c>
      <c r="H43" s="66">
        <v>9.807660000000001E-4</v>
      </c>
    </row>
    <row r="44" spans="1:8">
      <c r="A44" s="66" t="s">
        <v>396</v>
      </c>
      <c r="B44" s="66">
        <v>-25.5639</v>
      </c>
      <c r="C44" s="66">
        <v>6.5260199999999999</v>
      </c>
      <c r="D44" s="66">
        <v>-0.25528299999999998</v>
      </c>
      <c r="E44" s="66">
        <v>0</v>
      </c>
      <c r="F44" s="66">
        <v>-45.177100000000003</v>
      </c>
      <c r="G44" s="66">
        <v>0</v>
      </c>
      <c r="H44" s="66">
        <v>-13.609400000000001</v>
      </c>
    </row>
    <row r="45" spans="1:8">
      <c r="A45" s="66" t="s">
        <v>397</v>
      </c>
      <c r="B45" s="66">
        <v>41.892200000000003</v>
      </c>
      <c r="C45" s="66">
        <v>6.92943</v>
      </c>
      <c r="D45" s="66">
        <v>0.165411</v>
      </c>
      <c r="E45" s="66">
        <v>0</v>
      </c>
      <c r="F45" s="66">
        <v>29.7225</v>
      </c>
      <c r="G45" s="66">
        <v>0</v>
      </c>
      <c r="H45" s="66">
        <v>62.001600000000003</v>
      </c>
    </row>
    <row r="46" spans="1:8">
      <c r="A46" s="66" t="s">
        <v>398</v>
      </c>
      <c r="B46" s="66">
        <v>24.8856</v>
      </c>
      <c r="C46" s="66">
        <v>4.8294100000000002</v>
      </c>
      <c r="D46" s="66">
        <v>0.19406399999999999</v>
      </c>
      <c r="E46" s="66">
        <v>0</v>
      </c>
      <c r="F46" s="66">
        <v>9.3432700000000004</v>
      </c>
      <c r="G46" s="66">
        <v>0</v>
      </c>
      <c r="H46" s="66">
        <v>28.2028</v>
      </c>
    </row>
    <row r="47" spans="1:8">
      <c r="A47" s="66" t="s">
        <v>399</v>
      </c>
      <c r="B47" s="66">
        <v>1.53203</v>
      </c>
      <c r="C47" s="66">
        <v>1.43794</v>
      </c>
      <c r="D47" s="66">
        <v>0.938581</v>
      </c>
      <c r="E47" s="66">
        <v>0</v>
      </c>
      <c r="F47" s="66">
        <v>0.59203799999999995</v>
      </c>
      <c r="G47" s="66">
        <v>0</v>
      </c>
      <c r="H47" s="66">
        <v>8.2206600000000005</v>
      </c>
    </row>
    <row r="48" spans="1:8">
      <c r="A48" s="66" t="s">
        <v>400</v>
      </c>
      <c r="B48" s="66">
        <v>1.17641</v>
      </c>
      <c r="C48" s="66">
        <v>0.195941</v>
      </c>
      <c r="D48" s="66">
        <v>0.16655800000000001</v>
      </c>
      <c r="E48" s="66">
        <v>0</v>
      </c>
      <c r="F48" s="66">
        <v>0.88182000000000005</v>
      </c>
      <c r="G48" s="66">
        <v>0</v>
      </c>
      <c r="H48" s="66">
        <v>1.75248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33.210299999999997</v>
      </c>
      <c r="C5" s="66">
        <v>3.0166599999999999</v>
      </c>
      <c r="D5" s="66">
        <v>9.0835000000000008</v>
      </c>
      <c r="E5" s="66">
        <v>20</v>
      </c>
      <c r="F5" s="66">
        <v>28.7363</v>
      </c>
      <c r="G5" s="66">
        <v>50</v>
      </c>
      <c r="H5" s="66">
        <v>42.2684</v>
      </c>
    </row>
    <row r="6" spans="1:8">
      <c r="A6" s="66" t="s">
        <v>358</v>
      </c>
      <c r="B6" s="66">
        <v>35.634500000000003</v>
      </c>
      <c r="C6" s="66">
        <v>7.0080299999999998</v>
      </c>
      <c r="D6" s="66">
        <v>19.666399999999999</v>
      </c>
      <c r="E6" s="66">
        <v>20</v>
      </c>
      <c r="F6" s="66">
        <v>23.7653</v>
      </c>
      <c r="G6" s="66">
        <v>40</v>
      </c>
      <c r="H6" s="66">
        <v>43.491799999999998</v>
      </c>
    </row>
    <row r="7" spans="1:8">
      <c r="A7" s="66" t="s">
        <v>359</v>
      </c>
      <c r="B7" s="66">
        <v>23.852499999999999</v>
      </c>
      <c r="C7" s="66">
        <v>9.1760599999999997</v>
      </c>
      <c r="D7" s="66">
        <v>38.47</v>
      </c>
      <c r="E7" s="66">
        <v>15</v>
      </c>
      <c r="F7" s="66">
        <v>6.0063800000000001</v>
      </c>
      <c r="G7" s="66">
        <v>40</v>
      </c>
      <c r="H7" s="66">
        <v>45.799799999999998</v>
      </c>
    </row>
    <row r="8" spans="1:8">
      <c r="A8" s="66" t="s">
        <v>360</v>
      </c>
      <c r="B8" s="66">
        <v>29.745799999999999</v>
      </c>
      <c r="C8" s="66">
        <v>3.3329399999999998</v>
      </c>
      <c r="D8" s="66">
        <v>11.204800000000001</v>
      </c>
      <c r="E8" s="66">
        <v>20</v>
      </c>
      <c r="F8" s="66">
        <v>25.422599999999999</v>
      </c>
      <c r="G8" s="66">
        <v>50</v>
      </c>
      <c r="H8" s="66">
        <v>37.682600000000001</v>
      </c>
    </row>
    <row r="9" spans="1:8">
      <c r="A9" s="66" t="s">
        <v>361</v>
      </c>
      <c r="B9" s="66">
        <v>69.427700000000002</v>
      </c>
      <c r="C9" s="66">
        <v>4.48508</v>
      </c>
      <c r="D9" s="66">
        <v>6.46007</v>
      </c>
      <c r="E9" s="66">
        <v>50</v>
      </c>
      <c r="F9" s="66">
        <v>59.469499999999996</v>
      </c>
      <c r="G9" s="66">
        <v>100</v>
      </c>
      <c r="H9" s="66">
        <v>78.151600000000002</v>
      </c>
    </row>
    <row r="10" spans="1:8">
      <c r="A10" s="66" t="s">
        <v>362</v>
      </c>
      <c r="B10" s="66">
        <v>70.711299999999994</v>
      </c>
      <c r="C10" s="66">
        <v>3.4291100000000001</v>
      </c>
      <c r="D10" s="66">
        <v>4.84945</v>
      </c>
      <c r="E10" s="66">
        <v>40</v>
      </c>
      <c r="F10" s="66">
        <v>66.068200000000004</v>
      </c>
      <c r="G10" s="66">
        <v>100</v>
      </c>
      <c r="H10" s="66">
        <v>75.8553</v>
      </c>
    </row>
    <row r="11" spans="1:8">
      <c r="A11" s="66" t="s">
        <v>363</v>
      </c>
      <c r="B11" s="66">
        <v>21.1724</v>
      </c>
      <c r="C11" s="66">
        <v>5.0293799999999997</v>
      </c>
      <c r="D11" s="66">
        <v>23.754300000000001</v>
      </c>
      <c r="E11" s="66">
        <v>10</v>
      </c>
      <c r="F11" s="66">
        <v>18.153500000000001</v>
      </c>
      <c r="G11" s="66">
        <v>50</v>
      </c>
      <c r="H11" s="66">
        <v>33.232399999999998</v>
      </c>
    </row>
    <row r="12" spans="1:8">
      <c r="A12" s="66" t="s">
        <v>364</v>
      </c>
      <c r="B12" s="66">
        <v>69.818600000000004</v>
      </c>
      <c r="C12" s="66">
        <v>3.1949100000000001</v>
      </c>
      <c r="D12" s="66">
        <v>4.5760100000000001</v>
      </c>
      <c r="E12" s="66">
        <v>50</v>
      </c>
      <c r="F12" s="66">
        <v>63.639800000000001</v>
      </c>
      <c r="G12" s="66">
        <v>100</v>
      </c>
      <c r="H12" s="66">
        <v>76.420400000000001</v>
      </c>
    </row>
    <row r="13" spans="1:8">
      <c r="A13" s="66" t="s">
        <v>365</v>
      </c>
      <c r="B13" s="66">
        <v>18.183700000000002</v>
      </c>
      <c r="C13" s="66">
        <v>4.3465999999999996</v>
      </c>
      <c r="D13" s="66">
        <v>23.9038</v>
      </c>
      <c r="E13" s="66">
        <v>10</v>
      </c>
      <c r="F13" s="66">
        <v>11.961499999999999</v>
      </c>
      <c r="G13" s="66">
        <v>25</v>
      </c>
      <c r="H13" s="66">
        <v>31.053999999999998</v>
      </c>
    </row>
    <row r="14" spans="1:8">
      <c r="A14" s="66" t="s">
        <v>366</v>
      </c>
      <c r="B14" s="66">
        <v>43.466000000000001</v>
      </c>
      <c r="C14" s="66">
        <v>23.516999999999999</v>
      </c>
      <c r="D14" s="66">
        <v>54.104300000000002</v>
      </c>
      <c r="E14" s="66">
        <v>10</v>
      </c>
      <c r="F14" s="66">
        <v>3.3618700000000001</v>
      </c>
      <c r="G14" s="66">
        <v>50</v>
      </c>
      <c r="H14" s="66">
        <v>63.317599999999999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0.59571300000000005</v>
      </c>
      <c r="C18" s="66">
        <v>2.8026499999999999E-2</v>
      </c>
      <c r="D18" s="66">
        <v>4.7046999999999999E-2</v>
      </c>
      <c r="E18" s="66">
        <v>0</v>
      </c>
      <c r="F18" s="66">
        <v>0.56768600000000002</v>
      </c>
      <c r="G18" s="66">
        <v>0</v>
      </c>
      <c r="H18" s="66">
        <v>0.62373900000000004</v>
      </c>
    </row>
    <row r="19" spans="1:8">
      <c r="A19" s="66" t="s">
        <v>371</v>
      </c>
      <c r="B19" s="66">
        <v>0.56103899999999995</v>
      </c>
      <c r="C19" s="66">
        <v>1.73928E-2</v>
      </c>
      <c r="D19" s="66">
        <v>3.1001000000000001E-2</v>
      </c>
      <c r="E19" s="66">
        <v>0</v>
      </c>
      <c r="F19" s="66">
        <v>0.54364599999999996</v>
      </c>
      <c r="G19" s="66">
        <v>0</v>
      </c>
      <c r="H19" s="66">
        <v>0.57843100000000003</v>
      </c>
    </row>
    <row r="20" spans="1:8">
      <c r="A20" s="66" t="s">
        <v>372</v>
      </c>
      <c r="B20" s="66">
        <v>1.14448E-2</v>
      </c>
      <c r="C20" s="66">
        <v>0.132469</v>
      </c>
      <c r="D20" s="66">
        <v>11.5746</v>
      </c>
      <c r="E20" s="66">
        <v>0</v>
      </c>
      <c r="F20" s="66">
        <v>0</v>
      </c>
      <c r="G20" s="66">
        <v>0</v>
      </c>
      <c r="H20" s="66">
        <v>1.0416799999999999</v>
      </c>
    </row>
    <row r="21" spans="1:8">
      <c r="A21" s="66" t="s">
        <v>373</v>
      </c>
      <c r="B21" s="66">
        <v>0.19705600000000001</v>
      </c>
      <c r="C21" s="66">
        <v>1.0917300000000001</v>
      </c>
      <c r="D21" s="66">
        <v>5.5402100000000001</v>
      </c>
      <c r="E21" s="66">
        <v>0</v>
      </c>
      <c r="F21" s="66">
        <v>1.5729700000000001E-4</v>
      </c>
      <c r="G21" s="66">
        <v>0</v>
      </c>
      <c r="H21" s="66">
        <v>4.6073300000000001</v>
      </c>
    </row>
    <row r="22" spans="1:8">
      <c r="A22" s="66" t="s">
        <v>374</v>
      </c>
      <c r="B22" s="66">
        <v>51.805999999999997</v>
      </c>
      <c r="C22" s="66">
        <v>34.0548</v>
      </c>
      <c r="D22" s="66">
        <v>0.65735299999999997</v>
      </c>
      <c r="E22" s="66">
        <v>0</v>
      </c>
      <c r="F22" s="66">
        <v>18.340399999999999</v>
      </c>
      <c r="G22" s="66">
        <v>0</v>
      </c>
      <c r="H22" s="66">
        <v>140.292</v>
      </c>
    </row>
    <row r="23" spans="1:8">
      <c r="A23" s="66" t="s">
        <v>375</v>
      </c>
      <c r="B23" s="66">
        <v>25.475200000000001</v>
      </c>
      <c r="C23" s="66">
        <v>12.1348</v>
      </c>
      <c r="D23" s="66">
        <v>0.47633700000000001</v>
      </c>
      <c r="E23" s="66">
        <v>0</v>
      </c>
      <c r="F23" s="66">
        <v>20.358799999999999</v>
      </c>
      <c r="G23" s="66">
        <v>0</v>
      </c>
      <c r="H23" s="66">
        <v>54.5458</v>
      </c>
    </row>
    <row r="24" spans="1:8">
      <c r="A24" s="66" t="s">
        <v>401</v>
      </c>
      <c r="B24" s="66">
        <v>1.8068299999999999E-2</v>
      </c>
      <c r="C24" s="66">
        <v>0.11221</v>
      </c>
      <c r="D24" s="66">
        <v>6.2103000000000002</v>
      </c>
      <c r="E24" s="66">
        <v>0</v>
      </c>
      <c r="F24" s="66">
        <v>1.16205E-4</v>
      </c>
      <c r="G24" s="66">
        <v>0</v>
      </c>
      <c r="H24" s="66">
        <v>0.69787999999999994</v>
      </c>
    </row>
    <row r="25" spans="1:8">
      <c r="A25" s="66" t="s">
        <v>377</v>
      </c>
      <c r="B25" s="66">
        <v>0.528891</v>
      </c>
      <c r="C25" s="66">
        <v>0.91922199999999998</v>
      </c>
      <c r="D25" s="66">
        <v>1.7380199999999999</v>
      </c>
      <c r="E25" s="66">
        <v>0</v>
      </c>
      <c r="F25" s="66">
        <v>2.0944600000000001E-2</v>
      </c>
      <c r="G25" s="66">
        <v>0</v>
      </c>
      <c r="H25" s="66">
        <v>2.8237700000000001</v>
      </c>
    </row>
    <row r="26" spans="1:8">
      <c r="A26" s="66" t="s">
        <v>378</v>
      </c>
      <c r="B26" s="66">
        <v>1.9301500000000001E-3</v>
      </c>
      <c r="C26" s="66">
        <v>1.3428900000000001E-2</v>
      </c>
      <c r="D26" s="66">
        <v>6.9574299999999996</v>
      </c>
      <c r="E26" s="66">
        <v>0</v>
      </c>
      <c r="F26" s="66">
        <v>0</v>
      </c>
      <c r="G26" s="66">
        <v>0</v>
      </c>
      <c r="H26" s="66">
        <v>8.6577600000000005E-2</v>
      </c>
    </row>
    <row r="27" spans="1:8">
      <c r="A27" s="66" t="s">
        <v>379</v>
      </c>
      <c r="B27" s="196">
        <v>-9.8476899999999999E-6</v>
      </c>
      <c r="C27" s="66">
        <v>5.2248099999999999E-3</v>
      </c>
      <c r="D27" s="66">
        <v>-530.56200000000001</v>
      </c>
      <c r="E27" s="66">
        <v>0</v>
      </c>
      <c r="F27" s="66">
        <v>-5.9896900000000003E-2</v>
      </c>
      <c r="G27" s="66">
        <v>0</v>
      </c>
      <c r="H27" s="66">
        <v>5.1427899999999999E-2</v>
      </c>
    </row>
    <row r="28" spans="1:8">
      <c r="A28" s="66" t="s">
        <v>380</v>
      </c>
      <c r="B28" s="66">
        <v>2.0071599999999998E-2</v>
      </c>
      <c r="C28" s="66">
        <v>5.93015E-2</v>
      </c>
      <c r="D28" s="66">
        <v>2.9544899999999998</v>
      </c>
      <c r="E28" s="66">
        <v>0</v>
      </c>
      <c r="F28" s="196">
        <v>4.8828100000000001E-5</v>
      </c>
      <c r="G28" s="66">
        <v>0</v>
      </c>
      <c r="H28" s="66">
        <v>0.20938499999999999</v>
      </c>
    </row>
    <row r="29" spans="1:8">
      <c r="A29" s="66" t="s">
        <v>381</v>
      </c>
      <c r="B29" s="66">
        <v>70.387200000000007</v>
      </c>
      <c r="C29" s="66">
        <v>21.405899999999999</v>
      </c>
      <c r="D29" s="66">
        <v>0.304116</v>
      </c>
      <c r="E29" s="66">
        <v>0</v>
      </c>
      <c r="F29" s="66">
        <v>37.708500000000001</v>
      </c>
      <c r="G29" s="66">
        <v>0</v>
      </c>
      <c r="H29" s="66">
        <v>119.426</v>
      </c>
    </row>
    <row r="30" spans="1:8">
      <c r="A30" s="66" t="s">
        <v>382</v>
      </c>
      <c r="B30" s="66">
        <v>29.852699999999999</v>
      </c>
      <c r="C30" s="66">
        <v>10.1724</v>
      </c>
      <c r="D30" s="66">
        <v>0.34075299999999997</v>
      </c>
      <c r="E30" s="66">
        <v>0</v>
      </c>
      <c r="F30" s="66">
        <v>23.7685</v>
      </c>
      <c r="G30" s="66">
        <v>0</v>
      </c>
      <c r="H30" s="66">
        <v>54.6175</v>
      </c>
    </row>
    <row r="31" spans="1:8">
      <c r="A31" s="66" t="s">
        <v>383</v>
      </c>
      <c r="B31" s="66">
        <v>174.87</v>
      </c>
      <c r="C31" s="66">
        <v>22.020299999999999</v>
      </c>
      <c r="D31" s="66">
        <v>0.12592400000000001</v>
      </c>
      <c r="E31" s="66">
        <v>0</v>
      </c>
      <c r="F31" s="66">
        <v>130.15199999999999</v>
      </c>
      <c r="G31" s="66">
        <v>0</v>
      </c>
      <c r="H31" s="66">
        <v>195.86699999999999</v>
      </c>
    </row>
    <row r="32" spans="1:8">
      <c r="A32" s="66" t="s">
        <v>384</v>
      </c>
      <c r="B32" s="66">
        <v>0.23852499999999999</v>
      </c>
      <c r="C32" s="66">
        <v>9.1760599999999998E-2</v>
      </c>
      <c r="D32" s="66">
        <v>0.38469999999999999</v>
      </c>
      <c r="E32" s="66">
        <v>0.15</v>
      </c>
      <c r="F32" s="66">
        <v>6.0063800000000001E-2</v>
      </c>
      <c r="G32" s="66">
        <v>0.4</v>
      </c>
      <c r="H32" s="66">
        <v>0.45799800000000002</v>
      </c>
    </row>
    <row r="33" spans="1:8">
      <c r="A33" s="66" t="s">
        <v>385</v>
      </c>
      <c r="B33" s="66">
        <v>0.26861400000000002</v>
      </c>
      <c r="C33" s="66">
        <v>3.1977800000000001E-2</v>
      </c>
      <c r="D33" s="66">
        <v>0.119047</v>
      </c>
      <c r="E33" s="66">
        <v>0</v>
      </c>
      <c r="F33" s="66">
        <v>0.22118099999999999</v>
      </c>
      <c r="G33" s="66">
        <v>0</v>
      </c>
      <c r="H33" s="66">
        <v>0.33922999999999998</v>
      </c>
    </row>
    <row r="34" spans="1:8">
      <c r="A34" s="66" t="s">
        <v>386</v>
      </c>
      <c r="B34" s="66">
        <v>0.181837</v>
      </c>
      <c r="C34" s="66">
        <v>4.3465999999999998E-2</v>
      </c>
      <c r="D34" s="66">
        <v>0.239038</v>
      </c>
      <c r="E34" s="66">
        <v>0.1</v>
      </c>
      <c r="F34" s="66">
        <v>0.119615</v>
      </c>
      <c r="G34" s="66">
        <v>0.25</v>
      </c>
      <c r="H34" s="66">
        <v>0.31053999999999998</v>
      </c>
    </row>
    <row r="35" spans="1:8">
      <c r="A35" s="66" t="s">
        <v>387</v>
      </c>
      <c r="B35" s="66">
        <v>8.32286E-2</v>
      </c>
      <c r="C35" s="66">
        <v>3.4637000000000001E-2</v>
      </c>
      <c r="D35" s="66">
        <v>0.41616700000000001</v>
      </c>
      <c r="E35" s="66">
        <v>0</v>
      </c>
      <c r="F35" s="66">
        <v>3.81721E-2</v>
      </c>
      <c r="G35" s="66">
        <v>0</v>
      </c>
      <c r="H35" s="66">
        <v>0.197659</v>
      </c>
    </row>
    <row r="36" spans="1:8">
      <c r="A36" s="66" t="s">
        <v>388</v>
      </c>
      <c r="B36" s="66">
        <v>0.15287500000000001</v>
      </c>
      <c r="C36" s="66">
        <v>0.10021099999999999</v>
      </c>
      <c r="D36" s="66">
        <v>0.65551000000000004</v>
      </c>
      <c r="E36" s="66">
        <v>0</v>
      </c>
      <c r="F36" s="66">
        <v>3.7516899999999999E-2</v>
      </c>
      <c r="G36" s="66">
        <v>0</v>
      </c>
      <c r="H36" s="66">
        <v>0.61112500000000003</v>
      </c>
    </row>
    <row r="37" spans="1:8">
      <c r="A37" s="66" t="s">
        <v>389</v>
      </c>
      <c r="B37" s="66">
        <v>0.43465999999999999</v>
      </c>
      <c r="C37" s="66">
        <v>0.23516999999999999</v>
      </c>
      <c r="D37" s="66">
        <v>0.54104300000000005</v>
      </c>
      <c r="E37" s="66">
        <v>0.1</v>
      </c>
      <c r="F37" s="66">
        <v>3.3618700000000001E-2</v>
      </c>
      <c r="G37" s="66">
        <v>0.5</v>
      </c>
      <c r="H37" s="66">
        <v>0.63317599999999996</v>
      </c>
    </row>
    <row r="38" spans="1:8">
      <c r="A38" s="66" t="s">
        <v>390</v>
      </c>
      <c r="B38" s="66">
        <v>-26.002199999999998</v>
      </c>
      <c r="C38" s="66">
        <v>49.899299999999997</v>
      </c>
      <c r="D38" s="66">
        <v>-1.9190400000000001</v>
      </c>
      <c r="E38" s="66">
        <v>0</v>
      </c>
      <c r="F38" s="66">
        <v>-182.93899999999999</v>
      </c>
      <c r="G38" s="66">
        <v>0</v>
      </c>
      <c r="H38" s="66">
        <v>278.15499999999997</v>
      </c>
    </row>
    <row r="39" spans="1:8">
      <c r="A39" s="66" t="s">
        <v>391</v>
      </c>
      <c r="B39" s="66">
        <v>-9.7724700000000002</v>
      </c>
      <c r="C39" s="66">
        <v>13.185700000000001</v>
      </c>
      <c r="D39" s="66">
        <v>-1.34927</v>
      </c>
      <c r="E39" s="66">
        <v>0</v>
      </c>
      <c r="F39" s="66">
        <v>-67.805700000000002</v>
      </c>
      <c r="G39" s="66">
        <v>0</v>
      </c>
      <c r="H39" s="66">
        <v>4.3500899999999998</v>
      </c>
    </row>
    <row r="40" spans="1:8">
      <c r="A40" s="66" t="s">
        <v>392</v>
      </c>
      <c r="B40" s="66">
        <v>-11.6046</v>
      </c>
      <c r="C40" s="66">
        <v>1.5415000000000001</v>
      </c>
      <c r="D40" s="66">
        <v>-0.13283500000000001</v>
      </c>
      <c r="E40" s="66">
        <v>0</v>
      </c>
      <c r="F40" s="66">
        <v>-14.888999999999999</v>
      </c>
      <c r="G40" s="66">
        <v>0</v>
      </c>
      <c r="H40" s="66">
        <v>-8.95791</v>
      </c>
    </row>
    <row r="41" spans="1:8">
      <c r="A41" s="66" t="s">
        <v>393</v>
      </c>
      <c r="B41" s="66">
        <v>-0.126553</v>
      </c>
      <c r="C41" s="66">
        <v>0.27377299999999999</v>
      </c>
      <c r="D41" s="66">
        <v>-2.1633100000000001</v>
      </c>
      <c r="E41" s="66">
        <v>0</v>
      </c>
      <c r="F41" s="66">
        <v>-0.69230800000000003</v>
      </c>
      <c r="G41" s="66">
        <v>0</v>
      </c>
      <c r="H41" s="66">
        <v>1</v>
      </c>
    </row>
    <row r="42" spans="1:8">
      <c r="A42" s="66" t="s">
        <v>394</v>
      </c>
      <c r="B42" s="66">
        <v>-0.20660899999999999</v>
      </c>
      <c r="C42" s="66">
        <v>0.11970600000000001</v>
      </c>
      <c r="D42" s="66">
        <v>-0.57938299999999998</v>
      </c>
      <c r="E42" s="66">
        <v>0</v>
      </c>
      <c r="F42" s="66">
        <v>-0.44291399999999997</v>
      </c>
      <c r="G42" s="66">
        <v>0</v>
      </c>
      <c r="H42" s="66">
        <v>8.6258199999999993E-2</v>
      </c>
    </row>
    <row r="43" spans="1:8">
      <c r="A43" s="66" t="s">
        <v>395</v>
      </c>
      <c r="B43" s="66">
        <v>-0.19210199999999999</v>
      </c>
      <c r="C43" s="66">
        <v>6.5137500000000001E-2</v>
      </c>
      <c r="D43" s="66">
        <v>-0.33907700000000002</v>
      </c>
      <c r="E43" s="66">
        <v>0</v>
      </c>
      <c r="F43" s="66">
        <v>-0.35613800000000001</v>
      </c>
      <c r="G43" s="66">
        <v>0</v>
      </c>
      <c r="H43" s="66">
        <v>-8.3282300000000004E-2</v>
      </c>
    </row>
    <row r="44" spans="1:8">
      <c r="A44" s="66" t="s">
        <v>396</v>
      </c>
      <c r="B44" s="66">
        <v>-21.557700000000001</v>
      </c>
      <c r="C44" s="66">
        <v>7.0917000000000003</v>
      </c>
      <c r="D44" s="66">
        <v>-0.32896399999999998</v>
      </c>
      <c r="E44" s="66">
        <v>0</v>
      </c>
      <c r="F44" s="66">
        <v>-37.532400000000003</v>
      </c>
      <c r="G44" s="66">
        <v>0</v>
      </c>
      <c r="H44" s="66">
        <v>-4.4022399999999999</v>
      </c>
    </row>
    <row r="45" spans="1:8">
      <c r="A45" s="66" t="s">
        <v>397</v>
      </c>
      <c r="B45" s="66">
        <v>42.595500000000001</v>
      </c>
      <c r="C45" s="66">
        <v>9.5879100000000008</v>
      </c>
      <c r="D45" s="66">
        <v>0.22509199999999999</v>
      </c>
      <c r="E45" s="66">
        <v>0</v>
      </c>
      <c r="F45" s="66">
        <v>30.2104</v>
      </c>
      <c r="G45" s="66">
        <v>0</v>
      </c>
      <c r="H45" s="66">
        <v>77.552499999999995</v>
      </c>
    </row>
    <row r="46" spans="1:8">
      <c r="A46" s="66" t="s">
        <v>398</v>
      </c>
      <c r="B46" s="66">
        <v>24.8184</v>
      </c>
      <c r="C46" s="66">
        <v>1.97401</v>
      </c>
      <c r="D46" s="66">
        <v>7.9538399999999995E-2</v>
      </c>
      <c r="E46" s="66">
        <v>0</v>
      </c>
      <c r="F46" s="66">
        <v>21.88</v>
      </c>
      <c r="G46" s="66">
        <v>0</v>
      </c>
      <c r="H46" s="66">
        <v>28.858000000000001</v>
      </c>
    </row>
    <row r="47" spans="1:8">
      <c r="A47" s="66" t="s">
        <v>399</v>
      </c>
      <c r="B47" s="66">
        <v>1.1037699999999999</v>
      </c>
      <c r="C47" s="66">
        <v>1.6752499999999999</v>
      </c>
      <c r="D47" s="66">
        <v>1.5177499999999999</v>
      </c>
      <c r="E47" s="66">
        <v>0</v>
      </c>
      <c r="F47" s="66">
        <v>0.28768700000000003</v>
      </c>
      <c r="G47" s="66">
        <v>0</v>
      </c>
      <c r="H47" s="66">
        <v>6.1174299999999997</v>
      </c>
    </row>
    <row r="48" spans="1:8">
      <c r="A48" s="66" t="s">
        <v>400</v>
      </c>
      <c r="B48" s="66">
        <v>0.95973600000000003</v>
      </c>
      <c r="C48" s="66">
        <v>0.28575600000000001</v>
      </c>
      <c r="D48" s="66">
        <v>0.29774400000000001</v>
      </c>
      <c r="E48" s="66">
        <v>0</v>
      </c>
      <c r="F48" s="66">
        <v>0.73526599999999998</v>
      </c>
      <c r="G48" s="66">
        <v>0</v>
      </c>
      <c r="H48" s="66">
        <v>1.6920299999999999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402</v>
      </c>
      <c r="B1" s="60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89.461220740145933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1.727271642369576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0.5308819909943665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446</v>
      </c>
      <c r="B8" s="66">
        <v>446</v>
      </c>
      <c r="D8">
        <f t="shared" si="0"/>
        <v>1.2710608513257793E-3</v>
      </c>
      <c r="E8">
        <f t="shared" si="0"/>
        <v>1.2710608513257793E-3</v>
      </c>
      <c r="G8">
        <f t="shared" ca="1" si="1"/>
        <v>6</v>
      </c>
      <c r="H8">
        <f t="shared" ca="1" si="2"/>
        <v>7.626365107954676E-3</v>
      </c>
      <c r="I8">
        <f t="shared" ca="1" si="3"/>
        <v>8.8539243686765374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513</v>
      </c>
      <c r="B10" s="66">
        <v>513</v>
      </c>
      <c r="D10">
        <f t="shared" si="0"/>
        <v>1.4620049702469165E-3</v>
      </c>
      <c r="E10">
        <f t="shared" si="0"/>
        <v>1.4620049702469165E-3</v>
      </c>
      <c r="G10">
        <f t="shared" ca="1" si="1"/>
        <v>8</v>
      </c>
      <c r="H10">
        <f t="shared" ca="1" si="2"/>
        <v>1.1696039761975332E-2</v>
      </c>
      <c r="I10">
        <f t="shared" ca="1" si="3"/>
        <v>9.7017633505151597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1742</v>
      </c>
      <c r="B13" s="66">
        <v>1742</v>
      </c>
      <c r="D13">
        <f t="shared" si="0"/>
        <v>4.9645470919495683E-3</v>
      </c>
      <c r="E13">
        <f t="shared" si="0"/>
        <v>4.9645470919495683E-3</v>
      </c>
      <c r="G13">
        <f t="shared" ca="1" si="1"/>
        <v>11</v>
      </c>
      <c r="H13">
        <f t="shared" ca="1" si="2"/>
        <v>5.4610018011445251E-2</v>
      </c>
      <c r="I13">
        <f t="shared" ca="1" si="3"/>
        <v>30.562561913713392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2304</v>
      </c>
      <c r="B15" s="66">
        <v>2304</v>
      </c>
      <c r="D15">
        <f t="shared" si="0"/>
        <v>6.5661977611089582E-3</v>
      </c>
      <c r="E15">
        <f t="shared" si="0"/>
        <v>6.5661977611089582E-3</v>
      </c>
      <c r="G15">
        <f t="shared" ca="1" si="1"/>
        <v>13</v>
      </c>
      <c r="H15">
        <f t="shared" ca="1" si="2"/>
        <v>8.5360570894416454E-2</v>
      </c>
      <c r="I15">
        <f t="shared" ca="1" si="3"/>
        <v>38.388081981649236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3630</v>
      </c>
      <c r="B18" s="66">
        <v>3630</v>
      </c>
      <c r="D18">
        <f t="shared" si="0"/>
        <v>1.0345181368413853E-2</v>
      </c>
      <c r="E18">
        <f t="shared" si="0"/>
        <v>1.0345181368413853E-2</v>
      </c>
      <c r="G18">
        <f t="shared" ca="1" si="1"/>
        <v>16</v>
      </c>
      <c r="H18">
        <f t="shared" ca="1" si="2"/>
        <v>0.16552290189462165</v>
      </c>
      <c r="I18">
        <f t="shared" ca="1" si="3"/>
        <v>55.82829836886922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3974</v>
      </c>
      <c r="B21" s="66">
        <v>3974</v>
      </c>
      <c r="D21">
        <f t="shared" si="0"/>
        <v>1.1325551173023871E-2</v>
      </c>
      <c r="E21">
        <f t="shared" si="0"/>
        <v>1.1325551173023871E-2</v>
      </c>
      <c r="G21">
        <f t="shared" ca="1" si="1"/>
        <v>19</v>
      </c>
      <c r="H21">
        <f t="shared" ca="1" si="2"/>
        <v>0.21518547228745355</v>
      </c>
      <c r="I21">
        <f t="shared" ca="1" si="3"/>
        <v>56.228911044074763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8757</v>
      </c>
      <c r="B23" s="66">
        <v>8757</v>
      </c>
      <c r="D23">
        <f t="shared" si="0"/>
        <v>2.4956681334214907E-2</v>
      </c>
      <c r="E23">
        <f t="shared" si="0"/>
        <v>2.4956681334214907E-2</v>
      </c>
      <c r="G23">
        <f t="shared" ca="1" si="1"/>
        <v>21</v>
      </c>
      <c r="H23">
        <f t="shared" ca="1" si="2"/>
        <v>0.52409030801851308</v>
      </c>
      <c r="I23">
        <f t="shared" ca="1" si="3"/>
        <v>116.97043669771482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11450</v>
      </c>
      <c r="B26" s="66">
        <v>11450</v>
      </c>
      <c r="D26">
        <f t="shared" si="0"/>
        <v>3.2631494949955542E-2</v>
      </c>
      <c r="E26">
        <f t="shared" si="0"/>
        <v>3.2631494949955542E-2</v>
      </c>
      <c r="G26">
        <f t="shared" ca="1" si="1"/>
        <v>24</v>
      </c>
      <c r="H26">
        <f t="shared" ca="1" si="2"/>
        <v>0.783155878798933</v>
      </c>
      <c r="I26">
        <f t="shared" ca="1" si="3"/>
        <v>139.83154957720637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18266</v>
      </c>
      <c r="B28" s="66">
        <v>18266</v>
      </c>
      <c r="D28">
        <f t="shared" si="0"/>
        <v>5.2056496659902876E-2</v>
      </c>
      <c r="E28">
        <f t="shared" si="0"/>
        <v>5.2056496659902876E-2</v>
      </c>
      <c r="G28">
        <f t="shared" ca="1" si="1"/>
        <v>26</v>
      </c>
      <c r="H28">
        <f t="shared" ca="1" si="2"/>
        <v>1.3534689131574749</v>
      </c>
      <c r="I28">
        <f t="shared" ca="1" si="3"/>
        <v>209.64851046486106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30677</v>
      </c>
      <c r="B31" s="66">
        <v>30677</v>
      </c>
      <c r="D31">
        <f t="shared" si="0"/>
        <v>8.7426757255876522E-2</v>
      </c>
      <c r="E31">
        <f t="shared" si="0"/>
        <v>8.7426757255876522E-2</v>
      </c>
      <c r="G31">
        <f t="shared" ca="1" si="1"/>
        <v>29</v>
      </c>
      <c r="H31">
        <f t="shared" ca="1" si="2"/>
        <v>2.5353759604204194</v>
      </c>
      <c r="I31">
        <f t="shared" ca="1" si="3"/>
        <v>319.59368798341268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46533</v>
      </c>
      <c r="B33" s="66">
        <v>46533</v>
      </c>
      <c r="D33">
        <f t="shared" si="0"/>
        <v>0.13261496545906387</v>
      </c>
      <c r="E33">
        <f t="shared" si="0"/>
        <v>0.13261496545906387</v>
      </c>
      <c r="G33">
        <f t="shared" ca="1" si="1"/>
        <v>31</v>
      </c>
      <c r="H33">
        <f t="shared" ca="1" si="2"/>
        <v>4.1110639292309799</v>
      </c>
      <c r="I33">
        <f t="shared" ca="1" si="3"/>
        <v>453.24006787866597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57773</v>
      </c>
      <c r="B36" s="66">
        <v>57773</v>
      </c>
      <c r="D36">
        <f t="shared" si="0"/>
        <v>0.16464797884225166</v>
      </c>
      <c r="E36">
        <f t="shared" si="0"/>
        <v>0.16464797884225166</v>
      </c>
      <c r="G36">
        <f t="shared" ca="1" si="1"/>
        <v>34</v>
      </c>
      <c r="H36">
        <f t="shared" ca="1" si="2"/>
        <v>5.5980312806365564</v>
      </c>
      <c r="I36">
        <f t="shared" ca="1" si="3"/>
        <v>506.44845756166671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63960</v>
      </c>
      <c r="B39" s="66">
        <v>63960</v>
      </c>
      <c r="D39">
        <f t="shared" si="0"/>
        <v>0.18228038576411845</v>
      </c>
      <c r="E39">
        <f t="shared" si="0"/>
        <v>0.18228038576411845</v>
      </c>
      <c r="G39">
        <f t="shared" ca="1" si="1"/>
        <v>37</v>
      </c>
      <c r="H39">
        <f t="shared" ca="1" si="2"/>
        <v>6.744374273272383</v>
      </c>
      <c r="I39">
        <f t="shared" ca="1" si="3"/>
        <v>501.66837404443146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70859</v>
      </c>
      <c r="B41" s="66">
        <v>70859</v>
      </c>
      <c r="D41">
        <f t="shared" si="0"/>
        <v>0.20194193018855019</v>
      </c>
      <c r="E41">
        <f t="shared" si="0"/>
        <v>0.20194193018855019</v>
      </c>
      <c r="G41">
        <f t="shared" ca="1" si="1"/>
        <v>39</v>
      </c>
      <c r="H41">
        <f t="shared" ca="1" si="2"/>
        <v>7.8757352773534572</v>
      </c>
      <c r="I41">
        <f t="shared" ca="1" si="3"/>
        <v>514.21176413267631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89064</v>
      </c>
      <c r="B44" s="66">
        <v>89064</v>
      </c>
      <c r="D44">
        <f t="shared" si="0"/>
        <v>0.25382458220286813</v>
      </c>
      <c r="E44">
        <f t="shared" si="0"/>
        <v>0.25382458220286813</v>
      </c>
      <c r="G44">
        <f t="shared" ca="1" si="1"/>
        <v>42</v>
      </c>
      <c r="H44">
        <f t="shared" ca="1" si="2"/>
        <v>10.660632452520462</v>
      </c>
      <c r="I44">
        <f t="shared" ca="1" si="3"/>
        <v>571.75699800858865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109611</v>
      </c>
      <c r="B46" s="66">
        <v>109611</v>
      </c>
      <c r="D46">
        <f t="shared" si="0"/>
        <v>0.31238172864275782</v>
      </c>
      <c r="E46">
        <f t="shared" si="0"/>
        <v>0.31238172864275782</v>
      </c>
      <c r="G46">
        <f t="shared" ca="1" si="1"/>
        <v>44</v>
      </c>
      <c r="H46">
        <f t="shared" ca="1" si="2"/>
        <v>13.744796060281343</v>
      </c>
      <c r="I46">
        <f t="shared" ca="1" si="3"/>
        <v>645.60637565918341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130786</v>
      </c>
      <c r="B49" s="66">
        <v>130786</v>
      </c>
      <c r="D49">
        <f t="shared" si="0"/>
        <v>0.37272861995850526</v>
      </c>
      <c r="E49">
        <f t="shared" si="0"/>
        <v>0.37272861995850526</v>
      </c>
      <c r="G49">
        <f t="shared" ca="1" si="1"/>
        <v>47</v>
      </c>
      <c r="H49">
        <f t="shared" ca="1" si="2"/>
        <v>17.518245138049746</v>
      </c>
      <c r="I49">
        <f t="shared" ca="1" si="3"/>
        <v>672.01302842018583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149549</v>
      </c>
      <c r="B51" s="66">
        <v>149549</v>
      </c>
      <c r="D51">
        <f t="shared" si="0"/>
        <v>0.42620152299309183</v>
      </c>
      <c r="E51">
        <f t="shared" si="0"/>
        <v>0.42620152299309183</v>
      </c>
      <c r="G51">
        <f t="shared" ca="1" si="1"/>
        <v>49</v>
      </c>
      <c r="H51">
        <f t="shared" ca="1" si="2"/>
        <v>20.883874626661498</v>
      </c>
      <c r="I51">
        <f t="shared" ca="1" si="3"/>
        <v>697.73893887604106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178539</v>
      </c>
      <c r="B54" s="66">
        <v>178539</v>
      </c>
      <c r="D54">
        <f t="shared" si="0"/>
        <v>0.50882047832926747</v>
      </c>
      <c r="E54">
        <f t="shared" si="0"/>
        <v>0.50882047832926747</v>
      </c>
      <c r="G54">
        <f t="shared" ca="1" si="1"/>
        <v>52</v>
      </c>
      <c r="H54">
        <f t="shared" ca="1" si="2"/>
        <v>26.458664873121908</v>
      </c>
      <c r="I54">
        <f t="shared" ca="1" si="3"/>
        <v>714.04968671442339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191675</v>
      </c>
      <c r="B57" s="66">
        <v>191675</v>
      </c>
      <c r="D57">
        <f t="shared" si="0"/>
        <v>0.54625692528670122</v>
      </c>
      <c r="E57">
        <f t="shared" si="0"/>
        <v>0.54625692528670122</v>
      </c>
      <c r="G57">
        <f t="shared" ca="1" si="1"/>
        <v>55</v>
      </c>
      <c r="H57">
        <f t="shared" ca="1" si="2"/>
        <v>30.044130890768567</v>
      </c>
      <c r="I57">
        <f t="shared" ca="1" si="3"/>
        <v>648.72146949214994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202614</v>
      </c>
      <c r="B59" s="66">
        <v>202614</v>
      </c>
      <c r="D59">
        <f t="shared" si="0"/>
        <v>0.57743211509085524</v>
      </c>
      <c r="E59">
        <f t="shared" si="0"/>
        <v>0.57743211509085524</v>
      </c>
      <c r="G59">
        <f t="shared" ca="1" si="1"/>
        <v>57</v>
      </c>
      <c r="H59">
        <f t="shared" ca="1" si="2"/>
        <v>32.913630560178746</v>
      </c>
      <c r="I59">
        <f t="shared" ca="1" si="3"/>
        <v>608.45803457248053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199773</v>
      </c>
      <c r="B62" s="66">
        <v>199773</v>
      </c>
      <c r="D62">
        <f t="shared" si="0"/>
        <v>0.56933551446615449</v>
      </c>
      <c r="E62">
        <f t="shared" si="0"/>
        <v>0.56933551446615449</v>
      </c>
      <c r="G62">
        <f t="shared" ca="1" si="1"/>
        <v>60</v>
      </c>
      <c r="H62">
        <f t="shared" ca="1" si="2"/>
        <v>34.160130867969272</v>
      </c>
      <c r="I62">
        <f t="shared" ca="1" si="3"/>
        <v>494.1624614668458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217220</v>
      </c>
      <c r="B64" s="66">
        <v>217220</v>
      </c>
      <c r="D64">
        <f t="shared" si="0"/>
        <v>0.61905793301566314</v>
      </c>
      <c r="E64">
        <f t="shared" si="0"/>
        <v>0.61905793301566314</v>
      </c>
      <c r="G64">
        <f t="shared" ca="1" si="1"/>
        <v>62</v>
      </c>
      <c r="H64">
        <f t="shared" ca="1" si="2"/>
        <v>38.381591846971112</v>
      </c>
      <c r="I64">
        <f t="shared" ca="1" si="3"/>
        <v>466.84312933690006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225396</v>
      </c>
      <c r="B67" s="66">
        <v>225396</v>
      </c>
      <c r="D67">
        <f t="shared" ref="D67:E130" si="4">IFERROR( A67/MAX(A$2:A$257), 0 )</f>
        <v>0.64235881534848727</v>
      </c>
      <c r="E67">
        <f t="shared" si="4"/>
        <v>0.64235881534848727</v>
      </c>
      <c r="G67">
        <f t="shared" ref="G67:G130" ca="1" si="5">CELL("row",D67)-2</f>
        <v>65</v>
      </c>
      <c r="H67">
        <f t="shared" ref="H67:H130" ca="1" si="6">D67*G67</f>
        <v>41.753322997651672</v>
      </c>
      <c r="I67">
        <f t="shared" ref="I67:I130" ca="1" si="7">D67*((G67-$L$1)^2)</f>
        <v>384.35624514044827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230127</v>
      </c>
      <c r="B69" s="66">
        <v>230127</v>
      </c>
      <c r="D69">
        <f t="shared" si="4"/>
        <v>0.65584175007409773</v>
      </c>
      <c r="E69">
        <f t="shared" si="4"/>
        <v>0.65584175007409773</v>
      </c>
      <c r="G69">
        <f t="shared" ca="1" si="5"/>
        <v>67</v>
      </c>
      <c r="H69">
        <f t="shared" ca="1" si="6"/>
        <v>43.941397254964549</v>
      </c>
      <c r="I69">
        <f t="shared" ca="1" si="7"/>
        <v>330.87638465594631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262763</v>
      </c>
      <c r="B72" s="66">
        <v>262763</v>
      </c>
      <c r="D72">
        <f t="shared" si="4"/>
        <v>0.7488514853742505</v>
      </c>
      <c r="E72">
        <f t="shared" si="4"/>
        <v>0.7488514853742505</v>
      </c>
      <c r="G72">
        <f t="shared" ca="1" si="5"/>
        <v>70</v>
      </c>
      <c r="H72">
        <f t="shared" ca="1" si="6"/>
        <v>52.419603976197536</v>
      </c>
      <c r="I72">
        <f t="shared" ca="1" si="7"/>
        <v>283.61934711223915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290367</v>
      </c>
      <c r="B75" s="66">
        <v>290367</v>
      </c>
      <c r="D75">
        <f t="shared" si="4"/>
        <v>0.82752046236975896</v>
      </c>
      <c r="E75">
        <f t="shared" si="4"/>
        <v>0.82752046236975896</v>
      </c>
      <c r="G75">
        <f t="shared" ca="1" si="5"/>
        <v>73</v>
      </c>
      <c r="H75">
        <f t="shared" ca="1" si="6"/>
        <v>60.408993752992401</v>
      </c>
      <c r="I75">
        <f t="shared" ca="1" si="7"/>
        <v>224.23469950660882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310567</v>
      </c>
      <c r="B77" s="66">
        <v>310567</v>
      </c>
      <c r="D77">
        <f t="shared" si="4"/>
        <v>0.88508868926837059</v>
      </c>
      <c r="E77">
        <f t="shared" si="4"/>
        <v>0.88508868926837059</v>
      </c>
      <c r="G77">
        <f t="shared" ca="1" si="5"/>
        <v>75</v>
      </c>
      <c r="H77">
        <f t="shared" ca="1" si="6"/>
        <v>66.3816516951278</v>
      </c>
      <c r="I77">
        <f t="shared" ca="1" si="7"/>
        <v>185.09585849850305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336829</v>
      </c>
      <c r="B80" s="66">
        <v>336829</v>
      </c>
      <c r="D80">
        <f t="shared" si="4"/>
        <v>0.95993308406101097</v>
      </c>
      <c r="E80">
        <f t="shared" si="4"/>
        <v>0.95993308406101097</v>
      </c>
      <c r="G80">
        <f t="shared" ca="1" si="5"/>
        <v>78</v>
      </c>
      <c r="H80">
        <f t="shared" ca="1" si="6"/>
        <v>74.87478055675885</v>
      </c>
      <c r="I80">
        <f t="shared" ca="1" si="7"/>
        <v>126.09640757047917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350742</v>
      </c>
      <c r="B82" s="66">
        <v>350742</v>
      </c>
      <c r="D82">
        <f t="shared" si="4"/>
        <v>0.99958391281548531</v>
      </c>
      <c r="E82">
        <f t="shared" si="4"/>
        <v>0.99958391281548531</v>
      </c>
      <c r="G82">
        <f t="shared" ca="1" si="5"/>
        <v>80</v>
      </c>
      <c r="H82">
        <f t="shared" ca="1" si="6"/>
        <v>79.966713025238818</v>
      </c>
      <c r="I82">
        <f t="shared" ca="1" si="7"/>
        <v>89.477451975148256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350888</v>
      </c>
      <c r="B85" s="66">
        <v>350888</v>
      </c>
      <c r="D85">
        <f t="shared" si="4"/>
        <v>1</v>
      </c>
      <c r="E85">
        <f t="shared" si="4"/>
        <v>1</v>
      </c>
      <c r="G85">
        <f t="shared" ca="1" si="5"/>
        <v>83</v>
      </c>
      <c r="H85">
        <f t="shared" ca="1" si="6"/>
        <v>83</v>
      </c>
      <c r="I85">
        <f t="shared" ca="1" si="7"/>
        <v>41.747373452891956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350457</v>
      </c>
      <c r="B88" s="66">
        <v>350457</v>
      </c>
      <c r="D88">
        <f t="shared" si="4"/>
        <v>0.99877168783201475</v>
      </c>
      <c r="E88">
        <f t="shared" si="4"/>
        <v>0.99877168783201475</v>
      </c>
      <c r="G88">
        <f t="shared" ca="1" si="5"/>
        <v>86</v>
      </c>
      <c r="H88">
        <f t="shared" ca="1" si="6"/>
        <v>85.894365153553267</v>
      </c>
      <c r="I88">
        <f t="shared" ca="1" si="7"/>
        <v>11.965333772041841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321564</v>
      </c>
      <c r="B90" s="66">
        <v>321564</v>
      </c>
      <c r="D90">
        <f t="shared" si="4"/>
        <v>0.91642917398144141</v>
      </c>
      <c r="E90">
        <f t="shared" si="4"/>
        <v>0.91642917398144141</v>
      </c>
      <c r="G90">
        <f t="shared" ca="1" si="5"/>
        <v>88</v>
      </c>
      <c r="H90">
        <f t="shared" ca="1" si="6"/>
        <v>80.64576731036685</v>
      </c>
      <c r="I90">
        <f t="shared" ca="1" si="7"/>
        <v>1.9567284608276194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330698</v>
      </c>
      <c r="B93" s="66">
        <v>330698</v>
      </c>
      <c r="D93">
        <f t="shared" si="4"/>
        <v>0.9424602722236155</v>
      </c>
      <c r="E93">
        <f t="shared" si="4"/>
        <v>0.9424602722236155</v>
      </c>
      <c r="G93">
        <f t="shared" ca="1" si="5"/>
        <v>91</v>
      </c>
      <c r="H93">
        <f t="shared" ca="1" si="6"/>
        <v>85.763884772349016</v>
      </c>
      <c r="I93">
        <f t="shared" ca="1" si="7"/>
        <v>2.231596648867983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343598</v>
      </c>
      <c r="B95" s="66">
        <v>343598</v>
      </c>
      <c r="D95">
        <f t="shared" si="4"/>
        <v>0.97922413989649115</v>
      </c>
      <c r="E95">
        <f t="shared" si="4"/>
        <v>0.97922413989649115</v>
      </c>
      <c r="G95">
        <f t="shared" ca="1" si="5"/>
        <v>93</v>
      </c>
      <c r="H95">
        <f t="shared" ca="1" si="6"/>
        <v>91.067845010373674</v>
      </c>
      <c r="I95">
        <f t="shared" ca="1" si="7"/>
        <v>12.262783412979427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324935</v>
      </c>
      <c r="B98" s="66">
        <v>324935</v>
      </c>
      <c r="D98">
        <f t="shared" si="4"/>
        <v>0.92603622808417496</v>
      </c>
      <c r="E98">
        <f t="shared" si="4"/>
        <v>0.92603622808417496</v>
      </c>
      <c r="G98">
        <f t="shared" ca="1" si="5"/>
        <v>96</v>
      </c>
      <c r="H98">
        <f t="shared" ca="1" si="6"/>
        <v>88.899477896080796</v>
      </c>
      <c r="I98">
        <f t="shared" ca="1" si="7"/>
        <v>39.593266232339552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306610</v>
      </c>
      <c r="B100" s="66">
        <v>306610</v>
      </c>
      <c r="D100">
        <f t="shared" si="4"/>
        <v>0.87381158660313263</v>
      </c>
      <c r="E100">
        <f t="shared" si="4"/>
        <v>0.87381158660313263</v>
      </c>
      <c r="G100">
        <f t="shared" ca="1" si="5"/>
        <v>98</v>
      </c>
      <c r="H100">
        <f t="shared" ca="1" si="6"/>
        <v>85.633535487106997</v>
      </c>
      <c r="I100">
        <f t="shared" ca="1" si="7"/>
        <v>63.71025922889033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318732</v>
      </c>
      <c r="B103" s="66">
        <v>318732</v>
      </c>
      <c r="D103">
        <f t="shared" si="4"/>
        <v>0.90835822256674492</v>
      </c>
      <c r="E103">
        <f t="shared" si="4"/>
        <v>0.90835822256674492</v>
      </c>
      <c r="G103">
        <f t="shared" ca="1" si="5"/>
        <v>101</v>
      </c>
      <c r="H103">
        <f t="shared" ca="1" si="6"/>
        <v>91.744180479241237</v>
      </c>
      <c r="I103">
        <f t="shared" ca="1" si="7"/>
        <v>120.9419265214319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275046</v>
      </c>
      <c r="B106" s="66">
        <v>275046</v>
      </c>
      <c r="D106">
        <f t="shared" si="4"/>
        <v>0.78385695720571802</v>
      </c>
      <c r="E106">
        <f t="shared" si="4"/>
        <v>0.78385695720571802</v>
      </c>
      <c r="G106">
        <f t="shared" ca="1" si="5"/>
        <v>104</v>
      </c>
      <c r="H106">
        <f t="shared" ca="1" si="6"/>
        <v>81.521123549394673</v>
      </c>
      <c r="I106">
        <f t="shared" ca="1" si="7"/>
        <v>165.68862842721504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290303</v>
      </c>
      <c r="B108" s="66">
        <v>290303</v>
      </c>
      <c r="D108">
        <f t="shared" si="4"/>
        <v>0.82733806798750598</v>
      </c>
      <c r="E108">
        <f t="shared" si="4"/>
        <v>0.82733806798750598</v>
      </c>
      <c r="G108">
        <f t="shared" ca="1" si="5"/>
        <v>106</v>
      </c>
      <c r="H108">
        <f t="shared" ca="1" si="6"/>
        <v>87.697835206675634</v>
      </c>
      <c r="I108">
        <f t="shared" ca="1" si="7"/>
        <v>226.30279059777479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286947</v>
      </c>
      <c r="B111" s="66">
        <v>286947</v>
      </c>
      <c r="D111">
        <f t="shared" si="4"/>
        <v>0.81777376256811285</v>
      </c>
      <c r="E111">
        <f t="shared" si="4"/>
        <v>0.81777376256811285</v>
      </c>
      <c r="G111">
        <f t="shared" ca="1" si="5"/>
        <v>109</v>
      </c>
      <c r="H111">
        <f t="shared" ca="1" si="6"/>
        <v>89.137340119924303</v>
      </c>
      <c r="I111">
        <f t="shared" ca="1" si="7"/>
        <v>312.19649679843405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241403</v>
      </c>
      <c r="B113" s="66">
        <v>241403</v>
      </c>
      <c r="D113">
        <f t="shared" si="4"/>
        <v>0.68797736029730283</v>
      </c>
      <c r="E113">
        <f t="shared" si="4"/>
        <v>0.68797736029730283</v>
      </c>
      <c r="G113">
        <f t="shared" ca="1" si="5"/>
        <v>111</v>
      </c>
      <c r="H113">
        <f t="shared" ca="1" si="6"/>
        <v>76.365486993000616</v>
      </c>
      <c r="I113">
        <f t="shared" ca="1" si="7"/>
        <v>319.1657772707398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223232</v>
      </c>
      <c r="B116" s="66">
        <v>223232</v>
      </c>
      <c r="D116">
        <f t="shared" si="4"/>
        <v>0.63619160529855678</v>
      </c>
      <c r="E116">
        <f t="shared" si="4"/>
        <v>0.63619160529855678</v>
      </c>
      <c r="G116">
        <f t="shared" ca="1" si="5"/>
        <v>114</v>
      </c>
      <c r="H116">
        <f t="shared" ca="1" si="6"/>
        <v>72.52584300403548</v>
      </c>
      <c r="I116">
        <f t="shared" ca="1" si="7"/>
        <v>383.083848744477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218178</v>
      </c>
      <c r="B118" s="66">
        <v>218178</v>
      </c>
      <c r="D118">
        <f t="shared" si="4"/>
        <v>0.62178814892501311</v>
      </c>
      <c r="E118">
        <f t="shared" si="4"/>
        <v>0.62178814892501311</v>
      </c>
      <c r="G118">
        <f t="shared" ca="1" si="5"/>
        <v>116</v>
      </c>
      <c r="H118">
        <f t="shared" ca="1" si="6"/>
        <v>72.127425275301519</v>
      </c>
      <c r="I118">
        <f t="shared" ca="1" si="7"/>
        <v>437.9296243095522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218125</v>
      </c>
      <c r="B121" s="66">
        <v>218125</v>
      </c>
      <c r="D121">
        <f t="shared" si="4"/>
        <v>0.6216371035772098</v>
      </c>
      <c r="E121">
        <f t="shared" si="4"/>
        <v>0.6216371035772098</v>
      </c>
      <c r="G121">
        <f t="shared" ca="1" si="5"/>
        <v>119</v>
      </c>
      <c r="H121">
        <f t="shared" ca="1" si="6"/>
        <v>73.97481532568797</v>
      </c>
      <c r="I121">
        <f t="shared" ca="1" si="7"/>
        <v>542.40291520490916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189565</v>
      </c>
      <c r="B124" s="66">
        <v>189565</v>
      </c>
      <c r="D124">
        <f t="shared" si="4"/>
        <v>0.5402436104967967</v>
      </c>
      <c r="E124">
        <f t="shared" si="4"/>
        <v>0.5402436104967967</v>
      </c>
      <c r="G124">
        <f t="shared" ca="1" si="5"/>
        <v>122</v>
      </c>
      <c r="H124">
        <f t="shared" ca="1" si="6"/>
        <v>65.909720480609195</v>
      </c>
      <c r="I124">
        <f t="shared" ca="1" si="7"/>
        <v>571.99489210046477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165859</v>
      </c>
      <c r="B126" s="66">
        <v>165859</v>
      </c>
      <c r="D126">
        <f t="shared" si="4"/>
        <v>0.47268359134538657</v>
      </c>
      <c r="E126">
        <f t="shared" si="4"/>
        <v>0.47268359134538657</v>
      </c>
      <c r="G126">
        <f t="shared" ca="1" si="5"/>
        <v>124</v>
      </c>
      <c r="H126">
        <f t="shared" ca="1" si="6"/>
        <v>58.612765326827933</v>
      </c>
      <c r="I126">
        <f t="shared" ca="1" si="7"/>
        <v>563.87714750249177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158861</v>
      </c>
      <c r="B129" s="66">
        <v>158861</v>
      </c>
      <c r="D129">
        <f t="shared" si="4"/>
        <v>0.45273990561090721</v>
      </c>
      <c r="E129">
        <f t="shared" si="4"/>
        <v>0.45273990561090721</v>
      </c>
      <c r="G129">
        <f t="shared" ca="1" si="5"/>
        <v>127</v>
      </c>
      <c r="H129">
        <f t="shared" ca="1" si="6"/>
        <v>57.497968012585218</v>
      </c>
      <c r="I129">
        <f t="shared" ca="1" si="7"/>
        <v>637.98294199309021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144188</v>
      </c>
      <c r="B131" s="66">
        <v>144188</v>
      </c>
      <c r="D131">
        <f t="shared" ref="D131:E194" si="8">IFERROR( A131/MAX(A$2:A$257), 0 )</f>
        <v>0.41092314356717813</v>
      </c>
      <c r="E131">
        <f t="shared" si="8"/>
        <v>0.41092314356717813</v>
      </c>
      <c r="G131">
        <f t="shared" ref="G131:G194" ca="1" si="9">CELL("row",D131)-2</f>
        <v>129</v>
      </c>
      <c r="H131">
        <f t="shared" ref="H131:H194" ca="1" si="10">D131*G131</f>
        <v>53.009085520165982</v>
      </c>
      <c r="I131">
        <f t="shared" ref="I131:I194" ca="1" si="11">D131*((G131-$L$1)^2)</f>
        <v>642.4023410434404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121708</v>
      </c>
      <c r="B134" s="66">
        <v>121708</v>
      </c>
      <c r="D134">
        <f t="shared" si="8"/>
        <v>0.34685711680080256</v>
      </c>
      <c r="E134">
        <f t="shared" si="8"/>
        <v>0.34685711680080256</v>
      </c>
      <c r="G134">
        <f t="shared" ca="1" si="9"/>
        <v>132</v>
      </c>
      <c r="H134">
        <f t="shared" ca="1" si="10"/>
        <v>45.785139417705935</v>
      </c>
      <c r="I134">
        <f t="shared" ca="1" si="11"/>
        <v>627.654512128428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110328</v>
      </c>
      <c r="B136" s="66">
        <v>110328</v>
      </c>
      <c r="D136">
        <f t="shared" si="8"/>
        <v>0.31442511570643622</v>
      </c>
      <c r="E136">
        <f t="shared" si="8"/>
        <v>0.31442511570643622</v>
      </c>
      <c r="G136">
        <f t="shared" ca="1" si="9"/>
        <v>134</v>
      </c>
      <c r="H136">
        <f t="shared" ca="1" si="10"/>
        <v>42.132965504662451</v>
      </c>
      <c r="I136">
        <f t="shared" ca="1" si="11"/>
        <v>623.72600064063442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99196</v>
      </c>
      <c r="B139" s="66">
        <v>99196</v>
      </c>
      <c r="D139">
        <f t="shared" si="8"/>
        <v>0.28269989284330044</v>
      </c>
      <c r="E139">
        <f t="shared" si="8"/>
        <v>0.28269989284330044</v>
      </c>
      <c r="G139">
        <f t="shared" ca="1" si="9"/>
        <v>137</v>
      </c>
      <c r="H139">
        <f t="shared" ca="1" si="10"/>
        <v>38.729885319532158</v>
      </c>
      <c r="I139">
        <f t="shared" ca="1" si="11"/>
        <v>638.88353315806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82712</v>
      </c>
      <c r="B142" s="66">
        <v>82712</v>
      </c>
      <c r="D142">
        <f t="shared" si="8"/>
        <v>0.23572193976425526</v>
      </c>
      <c r="E142">
        <f t="shared" si="8"/>
        <v>0.23572193976425526</v>
      </c>
      <c r="G142">
        <f t="shared" ca="1" si="9"/>
        <v>140</v>
      </c>
      <c r="H142">
        <f t="shared" ca="1" si="10"/>
        <v>33.001071566995734</v>
      </c>
      <c r="I142">
        <f t="shared" ca="1" si="11"/>
        <v>602.07348472764886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65531</v>
      </c>
      <c r="B144" s="66">
        <v>65531</v>
      </c>
      <c r="D144">
        <f t="shared" si="8"/>
        <v>0.18675759786598572</v>
      </c>
      <c r="E144">
        <f t="shared" si="8"/>
        <v>0.18675759786598572</v>
      </c>
      <c r="G144">
        <f t="shared" ca="1" si="9"/>
        <v>142</v>
      </c>
      <c r="H144">
        <f t="shared" ca="1" si="10"/>
        <v>26.519578896969971</v>
      </c>
      <c r="I144">
        <f t="shared" ca="1" si="11"/>
        <v>515.51135371881082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54763</v>
      </c>
      <c r="B147" s="66">
        <v>54763</v>
      </c>
      <c r="D147">
        <f t="shared" si="8"/>
        <v>0.15606974305191401</v>
      </c>
      <c r="E147">
        <f t="shared" si="8"/>
        <v>0.15606974305191401</v>
      </c>
      <c r="G147">
        <f t="shared" ca="1" si="9"/>
        <v>145</v>
      </c>
      <c r="H147">
        <f t="shared" ca="1" si="10"/>
        <v>22.630112742527533</v>
      </c>
      <c r="I147">
        <f t="shared" ca="1" si="11"/>
        <v>481.40586261062469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45754</v>
      </c>
      <c r="B149" s="66">
        <v>45754</v>
      </c>
      <c r="D149">
        <f t="shared" si="8"/>
        <v>0.1303948838375778</v>
      </c>
      <c r="E149">
        <f t="shared" si="8"/>
        <v>0.1303948838375778</v>
      </c>
      <c r="G149">
        <f t="shared" ca="1" si="9"/>
        <v>147</v>
      </c>
      <c r="H149">
        <f t="shared" ca="1" si="10"/>
        <v>19.168047924123936</v>
      </c>
      <c r="I149">
        <f t="shared" ca="1" si="11"/>
        <v>431.69979174451703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41035</v>
      </c>
      <c r="B152" s="66">
        <v>41035</v>
      </c>
      <c r="D152">
        <f t="shared" si="8"/>
        <v>0.11694614805863979</v>
      </c>
      <c r="E152">
        <f t="shared" si="8"/>
        <v>0.11694614805863979</v>
      </c>
      <c r="G152">
        <f t="shared" ca="1" si="9"/>
        <v>150</v>
      </c>
      <c r="H152">
        <f t="shared" ca="1" si="10"/>
        <v>17.541922208795967</v>
      </c>
      <c r="I152">
        <f t="shared" ca="1" si="11"/>
        <v>428.60105959168277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25472</v>
      </c>
      <c r="B154" s="66">
        <v>25472</v>
      </c>
      <c r="D154">
        <f t="shared" si="8"/>
        <v>7.2592964136704588E-2</v>
      </c>
      <c r="E154">
        <f t="shared" si="8"/>
        <v>7.2592964136704588E-2</v>
      </c>
      <c r="G154">
        <f t="shared" ca="1" si="9"/>
        <v>152</v>
      </c>
      <c r="H154">
        <f t="shared" ca="1" si="10"/>
        <v>11.034130548779098</v>
      </c>
      <c r="I154">
        <f t="shared" ca="1" si="11"/>
        <v>283.91826300403102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17898</v>
      </c>
      <c r="B157" s="66">
        <v>17898</v>
      </c>
      <c r="D157">
        <f t="shared" si="8"/>
        <v>5.1007728961947975E-2</v>
      </c>
      <c r="E157">
        <f t="shared" si="8"/>
        <v>5.1007728961947975E-2</v>
      </c>
      <c r="G157">
        <f t="shared" ca="1" si="9"/>
        <v>155</v>
      </c>
      <c r="H157">
        <f t="shared" ca="1" si="10"/>
        <v>7.9061979891019361</v>
      </c>
      <c r="I157">
        <f t="shared" ca="1" si="11"/>
        <v>219.09510938485462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10942</v>
      </c>
      <c r="B160" s="66">
        <v>10942</v>
      </c>
      <c r="D160">
        <f t="shared" si="8"/>
        <v>3.1183739540822143E-2</v>
      </c>
      <c r="E160">
        <f t="shared" si="8"/>
        <v>3.1183739540822143E-2</v>
      </c>
      <c r="G160">
        <f t="shared" ca="1" si="9"/>
        <v>158</v>
      </c>
      <c r="H160">
        <f t="shared" ca="1" si="10"/>
        <v>4.9270308474498989</v>
      </c>
      <c r="I160">
        <f t="shared" ca="1" si="11"/>
        <v>146.48762043592265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5462</v>
      </c>
      <c r="B162" s="66">
        <v>5462</v>
      </c>
      <c r="D162">
        <f t="shared" si="8"/>
        <v>1.5566220560406739E-2</v>
      </c>
      <c r="E162">
        <f t="shared" si="8"/>
        <v>1.5566220560406739E-2</v>
      </c>
      <c r="G162">
        <f t="shared" ca="1" si="9"/>
        <v>160</v>
      </c>
      <c r="H162">
        <f t="shared" ca="1" si="10"/>
        <v>2.490595289665078</v>
      </c>
      <c r="I162">
        <f t="shared" ca="1" si="11"/>
        <v>77.453145307526682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4346</v>
      </c>
      <c r="B165" s="66">
        <v>4346</v>
      </c>
      <c r="D165">
        <f t="shared" si="8"/>
        <v>1.2385718519869589E-2</v>
      </c>
      <c r="E165">
        <f t="shared" si="8"/>
        <v>1.2385718519869589E-2</v>
      </c>
      <c r="G165">
        <f t="shared" ca="1" si="9"/>
        <v>163</v>
      </c>
      <c r="H165">
        <f t="shared" ca="1" si="10"/>
        <v>2.0188721187387428</v>
      </c>
      <c r="I165">
        <f t="shared" ca="1" si="11"/>
        <v>66.981371922546217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4595</v>
      </c>
      <c r="B167" s="66">
        <v>4595</v>
      </c>
      <c r="D167">
        <f t="shared" si="8"/>
        <v>1.3095346663322769E-2</v>
      </c>
      <c r="E167">
        <f t="shared" si="8"/>
        <v>1.3095346663322769E-2</v>
      </c>
      <c r="G167">
        <f t="shared" ca="1" si="9"/>
        <v>165</v>
      </c>
      <c r="H167">
        <f t="shared" ca="1" si="10"/>
        <v>2.1607321994482569</v>
      </c>
      <c r="I167">
        <f t="shared" ca="1" si="11"/>
        <v>74.723451516315365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2561</v>
      </c>
      <c r="B170" s="66">
        <v>2561</v>
      </c>
      <c r="D170">
        <f t="shared" si="8"/>
        <v>7.298625202343768E-3</v>
      </c>
      <c r="E170">
        <f t="shared" si="8"/>
        <v>7.298625202343768E-3</v>
      </c>
      <c r="G170">
        <f t="shared" ca="1" si="9"/>
        <v>168</v>
      </c>
      <c r="H170">
        <f t="shared" ca="1" si="10"/>
        <v>1.226169033993753</v>
      </c>
      <c r="I170">
        <f t="shared" ca="1" si="11"/>
        <v>45.020400668519649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3073</v>
      </c>
      <c r="B173" s="66">
        <v>3073</v>
      </c>
      <c r="D173">
        <f t="shared" si="8"/>
        <v>8.7577802603679804E-3</v>
      </c>
      <c r="E173">
        <f t="shared" si="8"/>
        <v>8.7577802603679804E-3</v>
      </c>
      <c r="G173">
        <f t="shared" ca="1" si="9"/>
        <v>171</v>
      </c>
      <c r="H173">
        <f t="shared" ca="1" si="10"/>
        <v>1.4975804245229247</v>
      </c>
      <c r="I173">
        <f t="shared" ca="1" si="11"/>
        <v>58.226737203193863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1840</v>
      </c>
      <c r="B175" s="66">
        <v>1840</v>
      </c>
      <c r="D175">
        <f t="shared" si="8"/>
        <v>5.243838489774515E-3</v>
      </c>
      <c r="E175">
        <f t="shared" si="8"/>
        <v>5.243838489774515E-3</v>
      </c>
      <c r="G175">
        <f t="shared" ca="1" si="9"/>
        <v>173</v>
      </c>
      <c r="H175">
        <f t="shared" ca="1" si="10"/>
        <v>0.90718405873099106</v>
      </c>
      <c r="I175">
        <f t="shared" ca="1" si="11"/>
        <v>36.595320609473646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576</v>
      </c>
      <c r="B178" s="66">
        <v>576</v>
      </c>
      <c r="D178">
        <f t="shared" si="8"/>
        <v>1.6415494402772395E-3</v>
      </c>
      <c r="E178">
        <f t="shared" si="8"/>
        <v>1.6415494402772395E-3</v>
      </c>
      <c r="G178">
        <f t="shared" ca="1" si="9"/>
        <v>176</v>
      </c>
      <c r="H178">
        <f t="shared" ca="1" si="10"/>
        <v>0.28891270148879417</v>
      </c>
      <c r="I178">
        <f t="shared" ca="1" si="11"/>
        <v>12.293498614636555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501</v>
      </c>
      <c r="B180" s="66">
        <v>501</v>
      </c>
      <c r="D180">
        <f t="shared" si="8"/>
        <v>1.427806023574474E-3</v>
      </c>
      <c r="E180">
        <f t="shared" si="8"/>
        <v>1.427806023574474E-3</v>
      </c>
      <c r="G180">
        <f t="shared" ca="1" si="9"/>
        <v>178</v>
      </c>
      <c r="H180">
        <f t="shared" ca="1" si="10"/>
        <v>0.25414947219625639</v>
      </c>
      <c r="I180">
        <f t="shared" ca="1" si="11"/>
        <v>11.192736234483391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101</v>
      </c>
      <c r="B183" s="66">
        <v>101</v>
      </c>
      <c r="D183">
        <f t="shared" si="8"/>
        <v>2.8784113449305764E-4</v>
      </c>
      <c r="E183">
        <f t="shared" si="8"/>
        <v>2.8784113449305764E-4</v>
      </c>
      <c r="G183">
        <f t="shared" ca="1" si="9"/>
        <v>181</v>
      </c>
      <c r="H183">
        <f t="shared" ca="1" si="10"/>
        <v>5.2099245343243436E-2</v>
      </c>
      <c r="I183">
        <f t="shared" ca="1" si="11"/>
        <v>2.4119210658295902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91.482678599195836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1.7663009201649675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0.53748395358784162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246</v>
      </c>
      <c r="B8" s="66">
        <v>246</v>
      </c>
      <c r="D8">
        <f t="shared" si="0"/>
        <v>0.12432090966519267</v>
      </c>
      <c r="E8">
        <f t="shared" si="1"/>
        <v>0.12432090966519267</v>
      </c>
      <c r="G8">
        <f t="shared" ca="1" si="2"/>
        <v>6</v>
      </c>
      <c r="H8">
        <f t="shared" ca="1" si="3"/>
        <v>0.74592545799115606</v>
      </c>
      <c r="I8">
        <f t="shared" ca="1" si="4"/>
        <v>908.44873367599735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267</v>
      </c>
      <c r="B10" s="66">
        <v>267</v>
      </c>
      <c r="D10">
        <f t="shared" si="0"/>
        <v>0.13493367024636765</v>
      </c>
      <c r="E10">
        <f t="shared" si="1"/>
        <v>0.13493367024636765</v>
      </c>
      <c r="G10">
        <f t="shared" ca="1" si="2"/>
        <v>8</v>
      </c>
      <c r="H10">
        <f t="shared" ca="1" si="3"/>
        <v>1.0794693619709412</v>
      </c>
      <c r="I10">
        <f t="shared" ca="1" si="4"/>
        <v>940.40100374873032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204</v>
      </c>
      <c r="B13" s="66">
        <v>204</v>
      </c>
      <c r="D13">
        <f t="shared" si="0"/>
        <v>0.10309538850284271</v>
      </c>
      <c r="E13">
        <f t="shared" si="1"/>
        <v>0.10309538850284271</v>
      </c>
      <c r="G13">
        <f t="shared" ca="1" si="2"/>
        <v>11</v>
      </c>
      <c r="H13">
        <f t="shared" ca="1" si="3"/>
        <v>1.1340492735312697</v>
      </c>
      <c r="I13">
        <f t="shared" ca="1" si="4"/>
        <v>667.79641547355504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308</v>
      </c>
      <c r="B15" s="66">
        <v>308</v>
      </c>
      <c r="D15">
        <f t="shared" si="0"/>
        <v>0.15565382185723309</v>
      </c>
      <c r="E15">
        <f t="shared" si="1"/>
        <v>0.15565382185723309</v>
      </c>
      <c r="G15">
        <f t="shared" ca="1" si="2"/>
        <v>13</v>
      </c>
      <c r="H15">
        <f t="shared" ca="1" si="3"/>
        <v>2.02349968414403</v>
      </c>
      <c r="I15">
        <f t="shared" ca="1" si="4"/>
        <v>958.75451610978587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182</v>
      </c>
      <c r="B18" s="66">
        <v>182</v>
      </c>
      <c r="D18">
        <f t="shared" si="0"/>
        <v>9.1977258370183196E-2</v>
      </c>
      <c r="E18">
        <f t="shared" si="1"/>
        <v>9.1977258370183196E-2</v>
      </c>
      <c r="G18">
        <f t="shared" ca="1" si="2"/>
        <v>16</v>
      </c>
      <c r="H18">
        <f t="shared" ca="1" si="3"/>
        <v>1.4716361339229311</v>
      </c>
      <c r="I18">
        <f t="shared" ca="1" si="4"/>
        <v>524.05282520213689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431</v>
      </c>
      <c r="B21" s="66">
        <v>431</v>
      </c>
      <c r="D21">
        <f t="shared" si="0"/>
        <v>0.21781427668982944</v>
      </c>
      <c r="E21">
        <f t="shared" si="1"/>
        <v>0.21781427668982944</v>
      </c>
      <c r="G21">
        <f t="shared" ca="1" si="2"/>
        <v>19</v>
      </c>
      <c r="H21">
        <f t="shared" ca="1" si="3"/>
        <v>4.1384712571067599</v>
      </c>
      <c r="I21">
        <f t="shared" ca="1" si="4"/>
        <v>1144.3392941857601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1723</v>
      </c>
      <c r="B23" s="66">
        <v>1723</v>
      </c>
      <c r="D23">
        <f t="shared" si="0"/>
        <v>0.87075173720783328</v>
      </c>
      <c r="E23">
        <f t="shared" si="1"/>
        <v>0.87075173720783328</v>
      </c>
      <c r="G23">
        <f t="shared" ca="1" si="2"/>
        <v>21</v>
      </c>
      <c r="H23">
        <f t="shared" ca="1" si="3"/>
        <v>18.2857864813645</v>
      </c>
      <c r="I23">
        <f t="shared" ca="1" si="4"/>
        <v>4325.7274308920887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3621</v>
      </c>
      <c r="B26" s="66">
        <v>3621</v>
      </c>
      <c r="D26">
        <f t="shared" si="0"/>
        <v>1.829943145925458</v>
      </c>
      <c r="E26">
        <f t="shared" si="1"/>
        <v>1.829943145925458</v>
      </c>
      <c r="G26">
        <f t="shared" ca="1" si="2"/>
        <v>24</v>
      </c>
      <c r="H26">
        <f t="shared" ca="1" si="3"/>
        <v>43.918635502210989</v>
      </c>
      <c r="I26">
        <f t="shared" ca="1" si="4"/>
        <v>8333.3998885406854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5083</v>
      </c>
      <c r="B28" s="66">
        <v>5083</v>
      </c>
      <c r="D28">
        <f t="shared" si="0"/>
        <v>2.5687934301958308</v>
      </c>
      <c r="E28">
        <f t="shared" si="1"/>
        <v>2.5687934301958308</v>
      </c>
      <c r="G28">
        <f t="shared" ca="1" si="2"/>
        <v>26</v>
      </c>
      <c r="H28">
        <f t="shared" ca="1" si="3"/>
        <v>66.788629185091608</v>
      </c>
      <c r="I28">
        <f t="shared" ca="1" si="4"/>
        <v>11014.937926438168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14704</v>
      </c>
      <c r="B31" s="66">
        <v>14704</v>
      </c>
      <c r="D31">
        <f t="shared" si="0"/>
        <v>7.4309538850284271</v>
      </c>
      <c r="E31">
        <f t="shared" si="1"/>
        <v>7.4309538850284271</v>
      </c>
      <c r="G31">
        <f t="shared" ca="1" si="2"/>
        <v>29</v>
      </c>
      <c r="H31">
        <f t="shared" ca="1" si="3"/>
        <v>215.49766266582438</v>
      </c>
      <c r="I31">
        <f t="shared" ca="1" si="4"/>
        <v>29011.076526583289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27096</v>
      </c>
      <c r="B33" s="66">
        <v>27096</v>
      </c>
      <c r="D33">
        <f t="shared" si="0"/>
        <v>13.693493367024637</v>
      </c>
      <c r="E33">
        <f t="shared" si="1"/>
        <v>13.693493367024637</v>
      </c>
      <c r="G33">
        <f t="shared" ca="1" si="2"/>
        <v>31</v>
      </c>
      <c r="H33">
        <f t="shared" ca="1" si="3"/>
        <v>424.49829437776373</v>
      </c>
      <c r="I33">
        <f t="shared" ca="1" si="4"/>
        <v>50092.913156194074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37925</v>
      </c>
      <c r="B36" s="66">
        <v>37925</v>
      </c>
      <c r="D36">
        <f t="shared" si="0"/>
        <v>19.166140240050538</v>
      </c>
      <c r="E36">
        <f t="shared" si="1"/>
        <v>19.166140240050538</v>
      </c>
      <c r="G36">
        <f t="shared" ca="1" si="2"/>
        <v>34</v>
      </c>
      <c r="H36">
        <f t="shared" ca="1" si="3"/>
        <v>651.64876816171829</v>
      </c>
      <c r="I36">
        <f t="shared" ca="1" si="4"/>
        <v>63329.878713450715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36580</v>
      </c>
      <c r="B39" s="66">
        <v>36580</v>
      </c>
      <c r="D39">
        <f t="shared" si="0"/>
        <v>18.486418193303855</v>
      </c>
      <c r="E39">
        <f t="shared" si="1"/>
        <v>18.486418193303855</v>
      </c>
      <c r="G39">
        <f t="shared" ca="1" si="2"/>
        <v>37</v>
      </c>
      <c r="H39">
        <f t="shared" ca="1" si="3"/>
        <v>683.99747315224261</v>
      </c>
      <c r="I39">
        <f t="shared" ca="1" si="4"/>
        <v>54874.386223331341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41606</v>
      </c>
      <c r="B41" s="66">
        <v>41606</v>
      </c>
      <c r="D41">
        <f t="shared" si="0"/>
        <v>21.026405559065065</v>
      </c>
      <c r="E41">
        <f t="shared" si="1"/>
        <v>21.026405559065065</v>
      </c>
      <c r="G41">
        <f t="shared" ca="1" si="2"/>
        <v>39</v>
      </c>
      <c r="H41">
        <f t="shared" ca="1" si="3"/>
        <v>820.02981680353753</v>
      </c>
      <c r="I41">
        <f t="shared" ca="1" si="4"/>
        <v>57915.794916938263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47931</v>
      </c>
      <c r="B44" s="66">
        <v>47931</v>
      </c>
      <c r="D44">
        <f t="shared" si="0"/>
        <v>24.222867972204675</v>
      </c>
      <c r="E44">
        <f t="shared" si="1"/>
        <v>24.222867972204675</v>
      </c>
      <c r="G44">
        <f t="shared" ca="1" si="2"/>
        <v>42</v>
      </c>
      <c r="H44">
        <f t="shared" ca="1" si="3"/>
        <v>1017.3604548325964</v>
      </c>
      <c r="I44">
        <f t="shared" ca="1" si="4"/>
        <v>59310.551690031491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54396</v>
      </c>
      <c r="B46" s="66">
        <v>54396</v>
      </c>
      <c r="D46">
        <f t="shared" si="0"/>
        <v>27.490082122552117</v>
      </c>
      <c r="E46">
        <f t="shared" si="1"/>
        <v>27.490082122552117</v>
      </c>
      <c r="G46">
        <f t="shared" ca="1" si="2"/>
        <v>44</v>
      </c>
      <c r="H46">
        <f t="shared" ca="1" si="3"/>
        <v>1209.5636133922931</v>
      </c>
      <c r="I46">
        <f t="shared" ca="1" si="4"/>
        <v>61979.270197477512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58933</v>
      </c>
      <c r="B49" s="66">
        <v>58933</v>
      </c>
      <c r="D49">
        <f t="shared" si="0"/>
        <v>29.782943777637396</v>
      </c>
      <c r="E49">
        <f t="shared" si="1"/>
        <v>29.782943777637396</v>
      </c>
      <c r="G49">
        <f t="shared" ca="1" si="2"/>
        <v>47</v>
      </c>
      <c r="H49">
        <f t="shared" ca="1" si="3"/>
        <v>1399.7983575489577</v>
      </c>
      <c r="I49">
        <f t="shared" ca="1" si="4"/>
        <v>58931.769826209922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69887</v>
      </c>
      <c r="B51" s="66">
        <v>69887</v>
      </c>
      <c r="D51">
        <f t="shared" si="0"/>
        <v>35.31876184459886</v>
      </c>
      <c r="E51">
        <f t="shared" si="1"/>
        <v>35.31876184459886</v>
      </c>
      <c r="G51">
        <f t="shared" ca="1" si="2"/>
        <v>49</v>
      </c>
      <c r="H51">
        <f t="shared" ca="1" si="3"/>
        <v>1730.6193303853443</v>
      </c>
      <c r="I51">
        <f t="shared" ca="1" si="4"/>
        <v>63742.523691993054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77304</v>
      </c>
      <c r="B54" s="66">
        <v>77304</v>
      </c>
      <c r="D54">
        <f t="shared" si="0"/>
        <v>39.067087807959574</v>
      </c>
      <c r="E54">
        <f t="shared" si="1"/>
        <v>39.067087807959574</v>
      </c>
      <c r="G54">
        <f t="shared" ca="1" si="2"/>
        <v>52</v>
      </c>
      <c r="H54">
        <f t="shared" ca="1" si="3"/>
        <v>2031.4885660138978</v>
      </c>
      <c r="I54">
        <f t="shared" ca="1" si="4"/>
        <v>60900.976435495773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79259</v>
      </c>
      <c r="B57" s="66">
        <v>79259</v>
      </c>
      <c r="D57">
        <f t="shared" si="0"/>
        <v>40.055085281111815</v>
      </c>
      <c r="E57">
        <f t="shared" si="1"/>
        <v>40.055085281111815</v>
      </c>
      <c r="G57">
        <f t="shared" ca="1" si="2"/>
        <v>55</v>
      </c>
      <c r="H57">
        <f t="shared" ca="1" si="3"/>
        <v>2203.0296904611496</v>
      </c>
      <c r="I57">
        <f t="shared" ca="1" si="4"/>
        <v>53312.751239918405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92147</v>
      </c>
      <c r="B59" s="66">
        <v>92147</v>
      </c>
      <c r="D59">
        <f t="shared" si="0"/>
        <v>46.568288060644349</v>
      </c>
      <c r="E59">
        <f t="shared" si="1"/>
        <v>46.568288060644349</v>
      </c>
      <c r="G59">
        <f t="shared" ca="1" si="2"/>
        <v>57</v>
      </c>
      <c r="H59">
        <f t="shared" ca="1" si="3"/>
        <v>2654.392419456728</v>
      </c>
      <c r="I59">
        <f t="shared" ca="1" si="4"/>
        <v>55372.261505332433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98089</v>
      </c>
      <c r="B62" s="66">
        <v>98089</v>
      </c>
      <c r="D62">
        <f t="shared" si="0"/>
        <v>49.571193935565383</v>
      </c>
      <c r="E62">
        <f t="shared" si="1"/>
        <v>49.571193935565383</v>
      </c>
      <c r="G62">
        <f t="shared" ca="1" si="2"/>
        <v>60</v>
      </c>
      <c r="H62">
        <f t="shared" ca="1" si="3"/>
        <v>2974.271636133923</v>
      </c>
      <c r="I62">
        <f t="shared" ca="1" si="4"/>
        <v>49132.937576790529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107667</v>
      </c>
      <c r="B64" s="66">
        <v>107667</v>
      </c>
      <c r="D64">
        <f t="shared" si="0"/>
        <v>54.411623499684147</v>
      </c>
      <c r="E64">
        <f t="shared" si="1"/>
        <v>54.411623499684147</v>
      </c>
      <c r="G64">
        <f t="shared" ca="1" si="2"/>
        <v>62</v>
      </c>
      <c r="H64">
        <f t="shared" ca="1" si="3"/>
        <v>3373.5206569804172</v>
      </c>
      <c r="I64">
        <f t="shared" ca="1" si="4"/>
        <v>47296.125028966351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112710</v>
      </c>
      <c r="B67" s="66">
        <v>112710</v>
      </c>
      <c r="D67">
        <f t="shared" ref="D67:D130" si="5">IFERROR( 100*A67/MAX(A$2:A$257), 0 )</f>
        <v>56.960202147820596</v>
      </c>
      <c r="E67">
        <f t="shared" ref="E67:E130" si="6">IFERROR( 100*B67/MAX(B$2:B$257), 0 )</f>
        <v>56.960202147820596</v>
      </c>
      <c r="G67">
        <f t="shared" ref="G67:G130" ca="1" si="7">CELL("row",D67)-2</f>
        <v>65</v>
      </c>
      <c r="H67">
        <f t="shared" ref="H67:H130" ca="1" si="8">D67*G67</f>
        <v>3702.4131396083385</v>
      </c>
      <c r="I67">
        <f t="shared" ref="I67:I130" ca="1" si="9">D67*((G67-$L$1)^2)</f>
        <v>39948.027632090903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119837</v>
      </c>
      <c r="B69" s="66">
        <v>119837</v>
      </c>
      <c r="D69">
        <f t="shared" si="5"/>
        <v>60.561970941250792</v>
      </c>
      <c r="E69">
        <f t="shared" si="6"/>
        <v>60.561970941250792</v>
      </c>
      <c r="G69">
        <f t="shared" ca="1" si="7"/>
        <v>67</v>
      </c>
      <c r="H69">
        <f t="shared" ca="1" si="8"/>
        <v>4057.6520530638031</v>
      </c>
      <c r="I69">
        <f t="shared" ca="1" si="9"/>
        <v>36300.939337513984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135207</v>
      </c>
      <c r="B72" s="66">
        <v>135207</v>
      </c>
      <c r="D72">
        <f t="shared" si="5"/>
        <v>68.329500947567908</v>
      </c>
      <c r="E72">
        <f t="shared" si="6"/>
        <v>68.329500947567908</v>
      </c>
      <c r="G72">
        <f t="shared" ca="1" si="7"/>
        <v>70</v>
      </c>
      <c r="H72">
        <f t="shared" ca="1" si="8"/>
        <v>4783.0650663297538</v>
      </c>
      <c r="I72">
        <f t="shared" ca="1" si="9"/>
        <v>31534.439119052258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155131</v>
      </c>
      <c r="B75" s="66">
        <v>155131</v>
      </c>
      <c r="D75">
        <f t="shared" si="5"/>
        <v>78.398483891345549</v>
      </c>
      <c r="E75">
        <f t="shared" si="6"/>
        <v>78.398483891345549</v>
      </c>
      <c r="G75">
        <f t="shared" ca="1" si="7"/>
        <v>73</v>
      </c>
      <c r="H75">
        <f t="shared" ca="1" si="8"/>
        <v>5723.0893240682253</v>
      </c>
      <c r="I75">
        <f t="shared" ca="1" si="9"/>
        <v>26781.65968599165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166993</v>
      </c>
      <c r="B77" s="66">
        <v>166993</v>
      </c>
      <c r="D77">
        <f t="shared" si="5"/>
        <v>84.393177511054958</v>
      </c>
      <c r="E77">
        <f t="shared" si="6"/>
        <v>84.393177511054958</v>
      </c>
      <c r="G77">
        <f t="shared" ca="1" si="7"/>
        <v>75</v>
      </c>
      <c r="H77">
        <f t="shared" ca="1" si="8"/>
        <v>6329.4883133291214</v>
      </c>
      <c r="I77">
        <f t="shared" ca="1" si="9"/>
        <v>22927.828232205295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181426</v>
      </c>
      <c r="B80" s="66">
        <v>181426</v>
      </c>
      <c r="D80">
        <f t="shared" si="5"/>
        <v>91.687176247631086</v>
      </c>
      <c r="E80">
        <f t="shared" si="6"/>
        <v>91.687176247631086</v>
      </c>
      <c r="G80">
        <f t="shared" ca="1" si="7"/>
        <v>78</v>
      </c>
      <c r="H80">
        <f t="shared" ca="1" si="8"/>
        <v>7151.5997473152247</v>
      </c>
      <c r="I80">
        <f t="shared" ca="1" si="9"/>
        <v>16667.135321252685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191115</v>
      </c>
      <c r="B82" s="66">
        <v>191115</v>
      </c>
      <c r="D82">
        <f t="shared" si="5"/>
        <v>96.583701831964618</v>
      </c>
      <c r="E82">
        <f t="shared" si="6"/>
        <v>96.583701831964618</v>
      </c>
      <c r="G82">
        <f t="shared" ca="1" si="7"/>
        <v>80</v>
      </c>
      <c r="H82">
        <f t="shared" ca="1" si="8"/>
        <v>7726.6961465571694</v>
      </c>
      <c r="I82">
        <f t="shared" ca="1" si="9"/>
        <v>12734.74535013143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190917</v>
      </c>
      <c r="B85" s="66">
        <v>190917</v>
      </c>
      <c r="D85">
        <f t="shared" si="5"/>
        <v>96.483638660770694</v>
      </c>
      <c r="E85">
        <f t="shared" si="6"/>
        <v>96.483638660770694</v>
      </c>
      <c r="G85">
        <f t="shared" ca="1" si="7"/>
        <v>83</v>
      </c>
      <c r="H85">
        <f t="shared" ca="1" si="8"/>
        <v>8008.1420088439672</v>
      </c>
      <c r="I85">
        <f t="shared" ca="1" si="9"/>
        <v>6942.5609011192309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197875</v>
      </c>
      <c r="B88" s="66">
        <v>197875</v>
      </c>
      <c r="D88">
        <f t="shared" si="5"/>
        <v>100</v>
      </c>
      <c r="E88">
        <f t="shared" si="6"/>
        <v>100</v>
      </c>
      <c r="G88">
        <f t="shared" ca="1" si="7"/>
        <v>86</v>
      </c>
      <c r="H88">
        <f t="shared" ca="1" si="8"/>
        <v>8600</v>
      </c>
      <c r="I88">
        <f t="shared" ca="1" si="9"/>
        <v>3005.9764622080015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180912</v>
      </c>
      <c r="B90" s="66">
        <v>180912</v>
      </c>
      <c r="D90">
        <f t="shared" si="5"/>
        <v>91.42741629816804</v>
      </c>
      <c r="E90">
        <f t="shared" si="6"/>
        <v>91.42741629816804</v>
      </c>
      <c r="G90">
        <f t="shared" ca="1" si="7"/>
        <v>88</v>
      </c>
      <c r="H90">
        <f t="shared" ca="1" si="8"/>
        <v>8045.6126342387879</v>
      </c>
      <c r="I90">
        <f t="shared" ca="1" si="9"/>
        <v>1108.9277242495875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184430</v>
      </c>
      <c r="B93" s="66">
        <v>184430</v>
      </c>
      <c r="D93">
        <f t="shared" si="5"/>
        <v>93.205306380290594</v>
      </c>
      <c r="E93">
        <f t="shared" si="6"/>
        <v>93.205306380290594</v>
      </c>
      <c r="G93">
        <f t="shared" ca="1" si="7"/>
        <v>91</v>
      </c>
      <c r="H93">
        <f t="shared" ca="1" si="8"/>
        <v>8481.6828806064441</v>
      </c>
      <c r="I93">
        <f t="shared" ca="1" si="9"/>
        <v>21.714844600549206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179055</v>
      </c>
      <c r="B95" s="66">
        <v>179055</v>
      </c>
      <c r="D95">
        <f t="shared" si="5"/>
        <v>90.488945041061271</v>
      </c>
      <c r="E95">
        <f t="shared" si="6"/>
        <v>90.488945041061271</v>
      </c>
      <c r="G95">
        <f t="shared" ca="1" si="7"/>
        <v>93</v>
      </c>
      <c r="H95">
        <f t="shared" ca="1" si="8"/>
        <v>8415.4718888186981</v>
      </c>
      <c r="I95">
        <f t="shared" ca="1" si="9"/>
        <v>208.32946168055145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181627</v>
      </c>
      <c r="B98" s="66">
        <v>181627</v>
      </c>
      <c r="D98">
        <f t="shared" si="5"/>
        <v>91.788755527479466</v>
      </c>
      <c r="E98">
        <f t="shared" si="6"/>
        <v>91.788755527479466</v>
      </c>
      <c r="G98">
        <f t="shared" ca="1" si="7"/>
        <v>96</v>
      </c>
      <c r="H98">
        <f t="shared" ca="1" si="8"/>
        <v>8811.7205306380292</v>
      </c>
      <c r="I98">
        <f t="shared" ca="1" si="9"/>
        <v>1873.0590273110217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169684</v>
      </c>
      <c r="B100" s="66">
        <v>169684</v>
      </c>
      <c r="D100">
        <f t="shared" si="5"/>
        <v>85.753126974099814</v>
      </c>
      <c r="E100">
        <f t="shared" si="6"/>
        <v>85.753126974099814</v>
      </c>
      <c r="G100">
        <f t="shared" ca="1" si="7"/>
        <v>98</v>
      </c>
      <c r="H100">
        <f t="shared" ca="1" si="8"/>
        <v>8403.8064434617809</v>
      </c>
      <c r="I100">
        <f t="shared" ca="1" si="9"/>
        <v>3642.405078918669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167811</v>
      </c>
      <c r="B103" s="66">
        <v>167811</v>
      </c>
      <c r="D103">
        <f t="shared" si="5"/>
        <v>84.8065698041693</v>
      </c>
      <c r="E103">
        <f t="shared" si="6"/>
        <v>84.8065698041693</v>
      </c>
      <c r="G103">
        <f t="shared" ca="1" si="7"/>
        <v>101</v>
      </c>
      <c r="H103">
        <f t="shared" ca="1" si="8"/>
        <v>8565.4635502210986</v>
      </c>
      <c r="I103">
        <f t="shared" ca="1" si="9"/>
        <v>7681.7287725616152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146918</v>
      </c>
      <c r="B106" s="66">
        <v>146918</v>
      </c>
      <c r="D106">
        <f t="shared" si="5"/>
        <v>74.247883765003152</v>
      </c>
      <c r="E106">
        <f t="shared" si="6"/>
        <v>74.247883765003152</v>
      </c>
      <c r="G106">
        <f t="shared" ca="1" si="7"/>
        <v>104</v>
      </c>
      <c r="H106">
        <f t="shared" ca="1" si="8"/>
        <v>7721.7799115603275</v>
      </c>
      <c r="I106">
        <f t="shared" ca="1" si="9"/>
        <v>11633.406048781915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149078</v>
      </c>
      <c r="B108" s="66">
        <v>149078</v>
      </c>
      <c r="D108">
        <f t="shared" si="5"/>
        <v>75.339481996209727</v>
      </c>
      <c r="E108">
        <f t="shared" si="6"/>
        <v>75.339481996209727</v>
      </c>
      <c r="G108">
        <f t="shared" ca="1" si="7"/>
        <v>106</v>
      </c>
      <c r="H108">
        <f t="shared" ca="1" si="8"/>
        <v>7985.9850915982315</v>
      </c>
      <c r="I108">
        <f t="shared" ca="1" si="9"/>
        <v>15877.993269434628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146766</v>
      </c>
      <c r="B111" s="66">
        <v>146766</v>
      </c>
      <c r="D111">
        <f t="shared" si="5"/>
        <v>74.171067593177511</v>
      </c>
      <c r="E111">
        <f t="shared" si="6"/>
        <v>74.171067593177511</v>
      </c>
      <c r="G111">
        <f t="shared" ca="1" si="7"/>
        <v>109</v>
      </c>
      <c r="H111">
        <f t="shared" ca="1" si="8"/>
        <v>8084.646367656349</v>
      </c>
      <c r="I111">
        <f t="shared" ca="1" si="9"/>
        <v>22759.877841669586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127834</v>
      </c>
      <c r="B113" s="66">
        <v>127834</v>
      </c>
      <c r="D113">
        <f t="shared" si="5"/>
        <v>64.603411244472525</v>
      </c>
      <c r="E113">
        <f t="shared" si="6"/>
        <v>64.603411244472525</v>
      </c>
      <c r="G113">
        <f t="shared" ca="1" si="7"/>
        <v>111</v>
      </c>
      <c r="H113">
        <f t="shared" ca="1" si="8"/>
        <v>7170.9786481364499</v>
      </c>
      <c r="I113">
        <f t="shared" ca="1" si="9"/>
        <v>24609.10835033175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121826</v>
      </c>
      <c r="B116" s="66">
        <v>121826</v>
      </c>
      <c r="D116">
        <f t="shared" si="5"/>
        <v>61.567150979153503</v>
      </c>
      <c r="E116">
        <f t="shared" si="6"/>
        <v>61.567150979153503</v>
      </c>
      <c r="G116">
        <f t="shared" ca="1" si="7"/>
        <v>114</v>
      </c>
      <c r="H116">
        <f t="shared" ca="1" si="8"/>
        <v>7018.6552116234998</v>
      </c>
      <c r="I116">
        <f t="shared" ca="1" si="9"/>
        <v>31216.377973677387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113699</v>
      </c>
      <c r="B118" s="66">
        <v>113699</v>
      </c>
      <c r="D118">
        <f t="shared" si="5"/>
        <v>57.460012634238787</v>
      </c>
      <c r="E118">
        <f t="shared" si="6"/>
        <v>57.460012634238787</v>
      </c>
      <c r="G118">
        <f t="shared" ca="1" si="7"/>
        <v>116</v>
      </c>
      <c r="H118">
        <f t="shared" ca="1" si="8"/>
        <v>6665.3614655716992</v>
      </c>
      <c r="I118">
        <f t="shared" ca="1" si="9"/>
        <v>34539.158931026068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119779</v>
      </c>
      <c r="B121" s="66">
        <v>119779</v>
      </c>
      <c r="D121">
        <f t="shared" si="5"/>
        <v>60.53265950726469</v>
      </c>
      <c r="E121">
        <f t="shared" si="6"/>
        <v>60.53265950726469</v>
      </c>
      <c r="G121">
        <f t="shared" ca="1" si="7"/>
        <v>119</v>
      </c>
      <c r="H121">
        <f t="shared" ca="1" si="8"/>
        <v>7203.3864813644977</v>
      </c>
      <c r="I121">
        <f t="shared" ca="1" si="9"/>
        <v>45835.509989177503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112679</v>
      </c>
      <c r="B124" s="66">
        <v>112679</v>
      </c>
      <c r="D124">
        <f t="shared" si="5"/>
        <v>56.944535691724575</v>
      </c>
      <c r="E124">
        <f t="shared" si="6"/>
        <v>56.944535691724575</v>
      </c>
      <c r="G124">
        <f t="shared" ca="1" si="7"/>
        <v>122</v>
      </c>
      <c r="H124">
        <f t="shared" ca="1" si="8"/>
        <v>6947.2333543903978</v>
      </c>
      <c r="I124">
        <f t="shared" ca="1" si="9"/>
        <v>53032.839319054277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103665</v>
      </c>
      <c r="B126" s="66">
        <v>103665</v>
      </c>
      <c r="D126">
        <f t="shared" si="5"/>
        <v>52.389134554643086</v>
      </c>
      <c r="E126">
        <f t="shared" si="6"/>
        <v>52.389134554643086</v>
      </c>
      <c r="G126">
        <f t="shared" ca="1" si="7"/>
        <v>124</v>
      </c>
      <c r="H126">
        <f t="shared" ca="1" si="8"/>
        <v>6496.2526847757426</v>
      </c>
      <c r="I126">
        <f t="shared" ca="1" si="9"/>
        <v>55395.02354953358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95046</v>
      </c>
      <c r="B129" s="66">
        <v>95046</v>
      </c>
      <c r="D129">
        <f t="shared" si="5"/>
        <v>48.033354390397982</v>
      </c>
      <c r="E129">
        <f t="shared" si="6"/>
        <v>48.033354390397982</v>
      </c>
      <c r="G129">
        <f t="shared" ca="1" si="7"/>
        <v>127</v>
      </c>
      <c r="H129">
        <f t="shared" ca="1" si="8"/>
        <v>6100.2360075805436</v>
      </c>
      <c r="I129">
        <f t="shared" ca="1" si="9"/>
        <v>60593.12163580973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91090</v>
      </c>
      <c r="B131" s="66">
        <v>91090</v>
      </c>
      <c r="D131">
        <f t="shared" ref="D131:D194" si="10">IFERROR( 100*A131/MAX(A$2:A$257), 0 )</f>
        <v>46.034112444725203</v>
      </c>
      <c r="E131">
        <f t="shared" ref="E131:E194" si="11">IFERROR( 100*B131/MAX(B$2:B$257), 0 )</f>
        <v>46.034112444725203</v>
      </c>
      <c r="G131">
        <f t="shared" ref="G131:G194" ca="1" si="12">CELL("row",D131)-2</f>
        <v>129</v>
      </c>
      <c r="H131">
        <f t="shared" ref="H131:H194" ca="1" si="13">D131*G131</f>
        <v>5938.400505369551</v>
      </c>
      <c r="I131">
        <f t="shared" ref="I131:I194" ca="1" si="14">D131*((G131-$L$1)^2)</f>
        <v>64795.287585476122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78247</v>
      </c>
      <c r="B134" s="66">
        <v>78247</v>
      </c>
      <c r="D134">
        <f t="shared" si="10"/>
        <v>39.543651295009475</v>
      </c>
      <c r="E134">
        <f t="shared" si="11"/>
        <v>39.543651295009475</v>
      </c>
      <c r="G134">
        <f t="shared" ca="1" si="12"/>
        <v>132</v>
      </c>
      <c r="H134">
        <f t="shared" ca="1" si="13"/>
        <v>5219.7619709412511</v>
      </c>
      <c r="I134">
        <f t="shared" ca="1" si="14"/>
        <v>64916.966967058223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70834</v>
      </c>
      <c r="B136" s="66">
        <v>70834</v>
      </c>
      <c r="D136">
        <f t="shared" si="10"/>
        <v>35.797346809854709</v>
      </c>
      <c r="E136">
        <f t="shared" si="11"/>
        <v>35.797346809854709</v>
      </c>
      <c r="G136">
        <f t="shared" ca="1" si="12"/>
        <v>134</v>
      </c>
      <c r="H136">
        <f t="shared" ca="1" si="13"/>
        <v>4796.8444725205309</v>
      </c>
      <c r="I136">
        <f t="shared" ca="1" si="14"/>
        <v>64711.673531915796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59954</v>
      </c>
      <c r="B139" s="66">
        <v>59954</v>
      </c>
      <c r="D139">
        <f t="shared" si="10"/>
        <v>30.298926089703095</v>
      </c>
      <c r="E139">
        <f t="shared" si="11"/>
        <v>30.298926089703095</v>
      </c>
      <c r="G139">
        <f t="shared" ca="1" si="12"/>
        <v>137</v>
      </c>
      <c r="H139">
        <f t="shared" ca="1" si="13"/>
        <v>4150.9528742893235</v>
      </c>
      <c r="I139">
        <f t="shared" ca="1" si="14"/>
        <v>62774.119433511609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50419</v>
      </c>
      <c r="B142" s="66">
        <v>50419</v>
      </c>
      <c r="D142">
        <f t="shared" si="10"/>
        <v>25.480227416298167</v>
      </c>
      <c r="E142">
        <f t="shared" si="11"/>
        <v>25.480227416298167</v>
      </c>
      <c r="G142">
        <f t="shared" ca="1" si="12"/>
        <v>140</v>
      </c>
      <c r="H142">
        <f t="shared" ca="1" si="13"/>
        <v>3567.2318382817434</v>
      </c>
      <c r="I142">
        <f t="shared" ca="1" si="14"/>
        <v>59978.683848314497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42649</v>
      </c>
      <c r="B144" s="66">
        <v>42649</v>
      </c>
      <c r="D144">
        <f t="shared" si="10"/>
        <v>21.553506001263425</v>
      </c>
      <c r="E144">
        <f t="shared" si="11"/>
        <v>21.553506001263425</v>
      </c>
      <c r="G144">
        <f t="shared" ca="1" si="12"/>
        <v>142</v>
      </c>
      <c r="H144">
        <f t="shared" ca="1" si="13"/>
        <v>3060.5978521794063</v>
      </c>
      <c r="I144">
        <f t="shared" ca="1" si="14"/>
        <v>55004.542174974878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38232</v>
      </c>
      <c r="B147" s="66">
        <v>38232</v>
      </c>
      <c r="D147">
        <f t="shared" si="10"/>
        <v>19.321288692356287</v>
      </c>
      <c r="E147">
        <f t="shared" si="11"/>
        <v>19.321288692356287</v>
      </c>
      <c r="G147">
        <f t="shared" ca="1" si="12"/>
        <v>145</v>
      </c>
      <c r="H147">
        <f t="shared" ca="1" si="13"/>
        <v>2801.5868603916615</v>
      </c>
      <c r="I147">
        <f t="shared" ca="1" si="14"/>
        <v>55338.174237728694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33206</v>
      </c>
      <c r="B149" s="66">
        <v>33206</v>
      </c>
      <c r="D149">
        <f t="shared" si="10"/>
        <v>16.781301326595074</v>
      </c>
      <c r="E149">
        <f t="shared" si="11"/>
        <v>16.781301326595074</v>
      </c>
      <c r="G149">
        <f t="shared" ca="1" si="12"/>
        <v>147</v>
      </c>
      <c r="H149">
        <f t="shared" ca="1" si="13"/>
        <v>2466.851295009476</v>
      </c>
      <c r="I149">
        <f t="shared" ca="1" si="14"/>
        <v>51722.873442892422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29116</v>
      </c>
      <c r="B152" s="66">
        <v>29116</v>
      </c>
      <c r="D152">
        <f t="shared" si="10"/>
        <v>14.714339861023374</v>
      </c>
      <c r="E152">
        <f t="shared" si="11"/>
        <v>14.714339861023374</v>
      </c>
      <c r="G152">
        <f t="shared" ca="1" si="12"/>
        <v>150</v>
      </c>
      <c r="H152">
        <f t="shared" ca="1" si="13"/>
        <v>2207.1509791535063</v>
      </c>
      <c r="I152">
        <f t="shared" ca="1" si="14"/>
        <v>50385.974142605526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16277</v>
      </c>
      <c r="B154" s="66">
        <v>16277</v>
      </c>
      <c r="D154">
        <f t="shared" si="10"/>
        <v>8.225900189513581</v>
      </c>
      <c r="E154">
        <f t="shared" si="11"/>
        <v>8.225900189513581</v>
      </c>
      <c r="G154">
        <f t="shared" ca="1" si="12"/>
        <v>152</v>
      </c>
      <c r="H154">
        <f t="shared" ca="1" si="13"/>
        <v>1250.3368288060642</v>
      </c>
      <c r="I154">
        <f t="shared" ca="1" si="14"/>
        <v>30126.094214504606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12134</v>
      </c>
      <c r="B157" s="66">
        <v>12134</v>
      </c>
      <c r="D157">
        <f t="shared" si="10"/>
        <v>6.1321541377132025</v>
      </c>
      <c r="E157">
        <f t="shared" si="11"/>
        <v>6.1321541377132025</v>
      </c>
      <c r="G157">
        <f t="shared" ca="1" si="12"/>
        <v>155</v>
      </c>
      <c r="H157">
        <f t="shared" ca="1" si="13"/>
        <v>950.48389134554634</v>
      </c>
      <c r="I157">
        <f t="shared" ca="1" si="14"/>
        <v>24739.869984080698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7524</v>
      </c>
      <c r="B160" s="66">
        <v>7524</v>
      </c>
      <c r="D160">
        <f t="shared" si="10"/>
        <v>3.8024005053695515</v>
      </c>
      <c r="E160">
        <f t="shared" si="11"/>
        <v>3.8024005053695515</v>
      </c>
      <c r="G160">
        <f t="shared" ca="1" si="12"/>
        <v>158</v>
      </c>
      <c r="H160">
        <f t="shared" ca="1" si="13"/>
        <v>600.77927984838914</v>
      </c>
      <c r="I160">
        <f t="shared" ca="1" si="14"/>
        <v>16823.926541830046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3951</v>
      </c>
      <c r="B162" s="66">
        <v>3951</v>
      </c>
      <c r="D162">
        <f t="shared" si="10"/>
        <v>1.9967150979153505</v>
      </c>
      <c r="E162">
        <f t="shared" si="11"/>
        <v>1.9967150979153505</v>
      </c>
      <c r="G162">
        <f t="shared" ca="1" si="12"/>
        <v>160</v>
      </c>
      <c r="H162">
        <f t="shared" ca="1" si="13"/>
        <v>319.47441566645608</v>
      </c>
      <c r="I162">
        <f t="shared" ca="1" si="14"/>
        <v>9373.8252859124568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3978</v>
      </c>
      <c r="B165" s="66">
        <v>3978</v>
      </c>
      <c r="D165">
        <f t="shared" si="10"/>
        <v>2.0103600758054325</v>
      </c>
      <c r="E165">
        <f t="shared" si="11"/>
        <v>2.0103600758054325</v>
      </c>
      <c r="G165">
        <f t="shared" ca="1" si="12"/>
        <v>163</v>
      </c>
      <c r="H165">
        <f t="shared" ca="1" si="13"/>
        <v>327.68869235628551</v>
      </c>
      <c r="I165">
        <f t="shared" ca="1" si="14"/>
        <v>10282.44348283314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4296</v>
      </c>
      <c r="B167" s="66">
        <v>4296</v>
      </c>
      <c r="D167">
        <f t="shared" si="10"/>
        <v>2.171067593177511</v>
      </c>
      <c r="E167">
        <f t="shared" si="11"/>
        <v>2.171067593177511</v>
      </c>
      <c r="G167">
        <f t="shared" ca="1" si="12"/>
        <v>165</v>
      </c>
      <c r="H167">
        <f t="shared" ca="1" si="13"/>
        <v>358.22615287428931</v>
      </c>
      <c r="I167">
        <f t="shared" ca="1" si="14"/>
        <v>11734.17862862792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2397</v>
      </c>
      <c r="B170" s="66">
        <v>2397</v>
      </c>
      <c r="D170">
        <f t="shared" si="10"/>
        <v>1.2113708149084017</v>
      </c>
      <c r="E170">
        <f t="shared" si="11"/>
        <v>1.2113708149084017</v>
      </c>
      <c r="G170">
        <f t="shared" ca="1" si="12"/>
        <v>168</v>
      </c>
      <c r="H170">
        <f t="shared" ca="1" si="13"/>
        <v>203.51029690461149</v>
      </c>
      <c r="I170">
        <f t="shared" ca="1" si="14"/>
        <v>7092.4555588257472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2990</v>
      </c>
      <c r="B173" s="66">
        <v>2990</v>
      </c>
      <c r="D173">
        <f t="shared" si="10"/>
        <v>1.5110549589387239</v>
      </c>
      <c r="E173">
        <f t="shared" si="11"/>
        <v>1.5110549589387239</v>
      </c>
      <c r="G173">
        <f t="shared" ca="1" si="12"/>
        <v>171</v>
      </c>
      <c r="H173">
        <f t="shared" ca="1" si="13"/>
        <v>258.39039797852178</v>
      </c>
      <c r="I173">
        <f t="shared" ca="1" si="14"/>
        <v>9554.4071581800508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1585</v>
      </c>
      <c r="B175" s="66">
        <v>1585</v>
      </c>
      <c r="D175">
        <f t="shared" si="10"/>
        <v>0.80101073910296905</v>
      </c>
      <c r="E175">
        <f t="shared" si="11"/>
        <v>0.80101073910296905</v>
      </c>
      <c r="G175">
        <f t="shared" ca="1" si="12"/>
        <v>173</v>
      </c>
      <c r="H175">
        <f t="shared" ca="1" si="13"/>
        <v>138.57485786481365</v>
      </c>
      <c r="I175">
        <f t="shared" ca="1" si="14"/>
        <v>5322.7753865085424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576</v>
      </c>
      <c r="B178" s="66">
        <v>576</v>
      </c>
      <c r="D178">
        <f t="shared" si="10"/>
        <v>0.2910928616550853</v>
      </c>
      <c r="E178">
        <f t="shared" si="11"/>
        <v>0.2910928616550853</v>
      </c>
      <c r="G178">
        <f t="shared" ca="1" si="12"/>
        <v>176</v>
      </c>
      <c r="H178">
        <f t="shared" ca="1" si="13"/>
        <v>51.232343651295011</v>
      </c>
      <c r="I178">
        <f t="shared" ca="1" si="14"/>
        <v>2079.3280137752085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501</v>
      </c>
      <c r="B180" s="66">
        <v>501</v>
      </c>
      <c r="D180">
        <f t="shared" si="10"/>
        <v>0.25319014529374606</v>
      </c>
      <c r="E180">
        <f t="shared" si="11"/>
        <v>0.25319014529374606</v>
      </c>
      <c r="G180">
        <f t="shared" ca="1" si="12"/>
        <v>178</v>
      </c>
      <c r="H180">
        <f t="shared" ca="1" si="13"/>
        <v>45.067845862286802</v>
      </c>
      <c r="I180">
        <f t="shared" ca="1" si="14"/>
        <v>1895.1907507706346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101</v>
      </c>
      <c r="B183" s="66">
        <v>101</v>
      </c>
      <c r="D183">
        <f t="shared" si="10"/>
        <v>5.1042324699936831E-2</v>
      </c>
      <c r="E183">
        <f t="shared" si="11"/>
        <v>5.1042324699936831E-2</v>
      </c>
      <c r="G183">
        <f t="shared" ca="1" si="12"/>
        <v>181</v>
      </c>
      <c r="H183">
        <f t="shared" ca="1" si="13"/>
        <v>9.2386607706885666</v>
      </c>
      <c r="I183">
        <f t="shared" ca="1" si="14"/>
        <v>409.02005503891957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402</v>
      </c>
      <c r="B1" s="66" t="s">
        <v>403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87.069696091579075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1.6810973036636914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0.51930524023415003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200</v>
      </c>
      <c r="B8" s="66">
        <v>200</v>
      </c>
      <c r="D8">
        <f t="shared" si="0"/>
        <v>0.12053929279596917</v>
      </c>
      <c r="E8">
        <f t="shared" si="1"/>
        <v>0.12053929279596917</v>
      </c>
      <c r="G8">
        <f t="shared" ca="1" si="2"/>
        <v>6</v>
      </c>
      <c r="H8">
        <f t="shared" ca="1" si="3"/>
        <v>0.72323575677581498</v>
      </c>
      <c r="I8">
        <f t="shared" ca="1" si="4"/>
        <v>792.2198666089273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246</v>
      </c>
      <c r="B10" s="66">
        <v>246</v>
      </c>
      <c r="D10">
        <f t="shared" si="0"/>
        <v>0.14826333013904208</v>
      </c>
      <c r="E10">
        <f t="shared" si="1"/>
        <v>0.14826333013904208</v>
      </c>
      <c r="G10">
        <f t="shared" ca="1" si="2"/>
        <v>8</v>
      </c>
      <c r="H10">
        <f t="shared" ca="1" si="3"/>
        <v>1.1861066411123367</v>
      </c>
      <c r="I10">
        <f t="shared" ca="1" si="4"/>
        <v>926.94483678594634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1546</v>
      </c>
      <c r="B13" s="66">
        <v>1546</v>
      </c>
      <c r="D13">
        <f t="shared" si="0"/>
        <v>0.9317687333128416</v>
      </c>
      <c r="E13">
        <f t="shared" si="1"/>
        <v>0.9317687333128416</v>
      </c>
      <c r="G13">
        <f t="shared" ca="1" si="2"/>
        <v>11</v>
      </c>
      <c r="H13">
        <f t="shared" ca="1" si="3"/>
        <v>10.249456066441258</v>
      </c>
      <c r="I13">
        <f t="shared" ca="1" si="4"/>
        <v>5391.7717068467527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2011</v>
      </c>
      <c r="B15" s="66">
        <v>2011</v>
      </c>
      <c r="D15">
        <f t="shared" si="0"/>
        <v>1.2120225890634699</v>
      </c>
      <c r="E15">
        <f t="shared" si="1"/>
        <v>1.2120225890634699</v>
      </c>
      <c r="G15">
        <f t="shared" ca="1" si="2"/>
        <v>13</v>
      </c>
      <c r="H15">
        <f t="shared" ca="1" si="3"/>
        <v>15.756293657825109</v>
      </c>
      <c r="I15">
        <f t="shared" ca="1" si="4"/>
        <v>6649.5436242958131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3517</v>
      </c>
      <c r="B18" s="66">
        <v>3517</v>
      </c>
      <c r="D18">
        <f t="shared" si="0"/>
        <v>2.1196834638171178</v>
      </c>
      <c r="E18">
        <f t="shared" si="1"/>
        <v>2.1196834638171178</v>
      </c>
      <c r="G18">
        <f t="shared" ca="1" si="2"/>
        <v>16</v>
      </c>
      <c r="H18">
        <f t="shared" ca="1" si="3"/>
        <v>33.914935421073885</v>
      </c>
      <c r="I18">
        <f t="shared" ca="1" si="4"/>
        <v>10706.312816259711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3622</v>
      </c>
      <c r="B21" s="66">
        <v>3622</v>
      </c>
      <c r="D21">
        <f t="shared" si="0"/>
        <v>2.1829665925350015</v>
      </c>
      <c r="E21">
        <f t="shared" si="1"/>
        <v>2.1829665925350015</v>
      </c>
      <c r="G21">
        <f t="shared" ca="1" si="2"/>
        <v>19</v>
      </c>
      <c r="H21">
        <f t="shared" ca="1" si="3"/>
        <v>41.476365258165025</v>
      </c>
      <c r="I21">
        <f t="shared" ca="1" si="4"/>
        <v>10114.739744319142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7187</v>
      </c>
      <c r="B23" s="66">
        <v>7187</v>
      </c>
      <c r="D23">
        <f t="shared" si="0"/>
        <v>4.3315794866231521</v>
      </c>
      <c r="E23">
        <f t="shared" si="1"/>
        <v>4.3315794866231521</v>
      </c>
      <c r="G23">
        <f t="shared" ca="1" si="2"/>
        <v>21</v>
      </c>
      <c r="H23">
        <f t="shared" ca="1" si="3"/>
        <v>90.963169219086197</v>
      </c>
      <c r="I23">
        <f t="shared" ca="1" si="4"/>
        <v>18908.231313770302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7989</v>
      </c>
      <c r="B26" s="66">
        <v>7989</v>
      </c>
      <c r="D26">
        <f t="shared" si="0"/>
        <v>4.814942050734988</v>
      </c>
      <c r="E26">
        <f t="shared" si="1"/>
        <v>4.814942050734988</v>
      </c>
      <c r="G26">
        <f t="shared" ca="1" si="2"/>
        <v>24</v>
      </c>
      <c r="H26">
        <f t="shared" ca="1" si="3"/>
        <v>115.55860921763971</v>
      </c>
      <c r="I26">
        <f t="shared" ca="1" si="4"/>
        <v>19152.811801072337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13343</v>
      </c>
      <c r="B28" s="66">
        <v>13343</v>
      </c>
      <c r="D28">
        <f t="shared" si="0"/>
        <v>8.0417789188830824</v>
      </c>
      <c r="E28">
        <f t="shared" si="1"/>
        <v>8.0417789188830824</v>
      </c>
      <c r="G28">
        <f t="shared" ca="1" si="2"/>
        <v>26</v>
      </c>
      <c r="H28">
        <f t="shared" ca="1" si="3"/>
        <v>209.08625189096014</v>
      </c>
      <c r="I28">
        <f t="shared" ca="1" si="4"/>
        <v>29991.877048787064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16167</v>
      </c>
      <c r="B31" s="66">
        <v>16167</v>
      </c>
      <c r="D31">
        <f t="shared" si="0"/>
        <v>9.7437937331621676</v>
      </c>
      <c r="E31">
        <f t="shared" si="1"/>
        <v>9.7437937331621676</v>
      </c>
      <c r="G31">
        <f t="shared" ca="1" si="2"/>
        <v>29</v>
      </c>
      <c r="H31">
        <f t="shared" ca="1" si="3"/>
        <v>282.57001826170284</v>
      </c>
      <c r="I31">
        <f t="shared" ca="1" si="4"/>
        <v>32856.945552756901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19761</v>
      </c>
      <c r="B33" s="66">
        <v>19761</v>
      </c>
      <c r="D33">
        <f t="shared" si="0"/>
        <v>11.909884824705733</v>
      </c>
      <c r="E33">
        <f t="shared" si="1"/>
        <v>11.909884824705733</v>
      </c>
      <c r="G33">
        <f t="shared" ca="1" si="2"/>
        <v>31</v>
      </c>
      <c r="H33">
        <f t="shared" ca="1" si="3"/>
        <v>369.20642956587773</v>
      </c>
      <c r="I33">
        <f t="shared" ca="1" si="4"/>
        <v>37442.424774505977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20156</v>
      </c>
      <c r="B36" s="66">
        <v>20156</v>
      </c>
      <c r="D36">
        <f t="shared" si="0"/>
        <v>12.147949927977773</v>
      </c>
      <c r="E36">
        <f t="shared" si="1"/>
        <v>12.147949927977773</v>
      </c>
      <c r="G36">
        <f t="shared" ca="1" si="2"/>
        <v>34</v>
      </c>
      <c r="H36">
        <f t="shared" ca="1" si="3"/>
        <v>413.0302975512443</v>
      </c>
      <c r="I36">
        <f t="shared" ca="1" si="4"/>
        <v>34213.396807757104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27684</v>
      </c>
      <c r="B39" s="66">
        <v>27684</v>
      </c>
      <c r="D39">
        <f t="shared" si="0"/>
        <v>16.68504890881805</v>
      </c>
      <c r="E39">
        <f t="shared" si="1"/>
        <v>16.68504890881805</v>
      </c>
      <c r="G39">
        <f t="shared" ca="1" si="2"/>
        <v>37</v>
      </c>
      <c r="H39">
        <f t="shared" ca="1" si="3"/>
        <v>617.34680962626783</v>
      </c>
      <c r="I39">
        <f t="shared" ca="1" si="4"/>
        <v>41828.991590099089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29505</v>
      </c>
      <c r="B41" s="66">
        <v>29505</v>
      </c>
      <c r="D41">
        <f t="shared" si="0"/>
        <v>17.782559169725353</v>
      </c>
      <c r="E41">
        <f t="shared" si="1"/>
        <v>17.782559169725353</v>
      </c>
      <c r="G41">
        <f t="shared" ca="1" si="2"/>
        <v>39</v>
      </c>
      <c r="H41">
        <f t="shared" ca="1" si="3"/>
        <v>693.51980761928871</v>
      </c>
      <c r="I41">
        <f t="shared" ca="1" si="4"/>
        <v>41090.08269438256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41526</v>
      </c>
      <c r="B44" s="66">
        <v>41526</v>
      </c>
      <c r="D44">
        <f t="shared" si="0"/>
        <v>25.027573363227077</v>
      </c>
      <c r="E44">
        <f t="shared" si="1"/>
        <v>25.027573363227077</v>
      </c>
      <c r="G44">
        <f t="shared" ca="1" si="2"/>
        <v>42</v>
      </c>
      <c r="H44">
        <f t="shared" ca="1" si="3"/>
        <v>1051.1580812555371</v>
      </c>
      <c r="I44">
        <f t="shared" ca="1" si="4"/>
        <v>50837.946797164521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55842</v>
      </c>
      <c r="B46" s="66">
        <v>55842</v>
      </c>
      <c r="D46">
        <f t="shared" si="0"/>
        <v>33.655775941562553</v>
      </c>
      <c r="E46">
        <f t="shared" si="1"/>
        <v>33.655775941562553</v>
      </c>
      <c r="G46">
        <f t="shared" ca="1" si="2"/>
        <v>44</v>
      </c>
      <c r="H46">
        <f t="shared" ca="1" si="3"/>
        <v>1480.8541414287524</v>
      </c>
      <c r="I46">
        <f t="shared" ca="1" si="4"/>
        <v>62431.421340029578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72475</v>
      </c>
      <c r="B49" s="66">
        <v>72475</v>
      </c>
      <c r="D49">
        <f t="shared" si="0"/>
        <v>43.680426226939325</v>
      </c>
      <c r="E49">
        <f t="shared" si="1"/>
        <v>43.680426226939325</v>
      </c>
      <c r="G49">
        <f t="shared" ca="1" si="2"/>
        <v>47</v>
      </c>
      <c r="H49">
        <f t="shared" ca="1" si="3"/>
        <v>2052.9800326661484</v>
      </c>
      <c r="I49">
        <f t="shared" ca="1" si="4"/>
        <v>70132.442541668934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81007</v>
      </c>
      <c r="B51" s="66">
        <v>81007</v>
      </c>
      <c r="D51">
        <f t="shared" si="0"/>
        <v>48.82263245761537</v>
      </c>
      <c r="E51">
        <f t="shared" si="1"/>
        <v>48.82263245761537</v>
      </c>
      <c r="G51">
        <f t="shared" ca="1" si="2"/>
        <v>49</v>
      </c>
      <c r="H51">
        <f t="shared" ca="1" si="3"/>
        <v>2392.3089904231533</v>
      </c>
      <c r="I51">
        <f t="shared" ca="1" si="4"/>
        <v>70758.727173319843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102323</v>
      </c>
      <c r="B54" s="66">
        <v>102323</v>
      </c>
      <c r="D54">
        <f t="shared" si="0"/>
        <v>61.669710283809763</v>
      </c>
      <c r="E54">
        <f t="shared" si="1"/>
        <v>61.669710283809763</v>
      </c>
      <c r="G54">
        <f t="shared" ca="1" si="2"/>
        <v>52</v>
      </c>
      <c r="H54">
        <f t="shared" ca="1" si="3"/>
        <v>3206.8249347581077</v>
      </c>
      <c r="I54">
        <f t="shared" ca="1" si="4"/>
        <v>75846.56430536267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114666</v>
      </c>
      <c r="B57" s="66">
        <v>114666</v>
      </c>
      <c r="D57">
        <f t="shared" si="0"/>
        <v>69.108792738713007</v>
      </c>
      <c r="E57">
        <f t="shared" si="1"/>
        <v>69.108792738713007</v>
      </c>
      <c r="G57">
        <f t="shared" ca="1" si="2"/>
        <v>55</v>
      </c>
      <c r="H57">
        <f t="shared" ca="1" si="3"/>
        <v>3800.9836006292153</v>
      </c>
      <c r="I57">
        <f t="shared" ca="1" si="4"/>
        <v>71076.00267937404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112710</v>
      </c>
      <c r="B59" s="66">
        <v>112710</v>
      </c>
      <c r="D59">
        <f t="shared" si="0"/>
        <v>67.929918455168419</v>
      </c>
      <c r="E59">
        <f t="shared" si="1"/>
        <v>67.929918455168419</v>
      </c>
      <c r="G59">
        <f t="shared" ca="1" si="2"/>
        <v>57</v>
      </c>
      <c r="H59">
        <f t="shared" ca="1" si="3"/>
        <v>3872.0053519446001</v>
      </c>
      <c r="I59">
        <f t="shared" ca="1" si="4"/>
        <v>61421.323571356275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103985</v>
      </c>
      <c r="B62" s="66">
        <v>103985</v>
      </c>
      <c r="D62">
        <f t="shared" si="0"/>
        <v>62.671391806944271</v>
      </c>
      <c r="E62">
        <f t="shared" si="1"/>
        <v>62.671391806944271</v>
      </c>
      <c r="G62">
        <f t="shared" ca="1" si="2"/>
        <v>60</v>
      </c>
      <c r="H62">
        <f t="shared" ca="1" si="3"/>
        <v>3760.2835084166563</v>
      </c>
      <c r="I62">
        <f t="shared" ca="1" si="4"/>
        <v>45923.618413768956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111186</v>
      </c>
      <c r="B64" s="66">
        <v>111186</v>
      </c>
      <c r="D64">
        <f t="shared" si="0"/>
        <v>67.011409044063143</v>
      </c>
      <c r="E64">
        <f t="shared" si="1"/>
        <v>67.011409044063143</v>
      </c>
      <c r="G64">
        <f t="shared" ca="1" si="2"/>
        <v>62</v>
      </c>
      <c r="H64">
        <f t="shared" ca="1" si="3"/>
        <v>4154.7073607319153</v>
      </c>
      <c r="I64">
        <f t="shared" ca="1" si="4"/>
        <v>42115.977828565461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114373</v>
      </c>
      <c r="B67" s="66">
        <v>114373</v>
      </c>
      <c r="D67">
        <f t="shared" ref="D67:D130" si="5">IFERROR(100*A67/MAX(A$2:A$257), 0 )</f>
        <v>68.932202674766913</v>
      </c>
      <c r="E67">
        <f t="shared" ref="E67:E130" si="6">IFERROR(100*B67/MAX(B$2:B$257), 0 )</f>
        <v>68.932202674766913</v>
      </c>
      <c r="G67">
        <f t="shared" ref="G67:G130" ca="1" si="7">CELL("row",D67)-2</f>
        <v>65</v>
      </c>
      <c r="H67">
        <f t="shared" ref="H67:H130" ca="1" si="8">D67*G67</f>
        <v>4480.5931738598492</v>
      </c>
      <c r="I67">
        <f t="shared" ref="I67:I130" ca="1" si="9">D67*((G67-$L$1)^2)</f>
        <v>33574.91036073232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111472</v>
      </c>
      <c r="B69" s="66">
        <v>111472</v>
      </c>
      <c r="D69">
        <f t="shared" si="5"/>
        <v>67.183780232761379</v>
      </c>
      <c r="E69">
        <f t="shared" si="6"/>
        <v>67.183780232761379</v>
      </c>
      <c r="G69">
        <f t="shared" ca="1" si="7"/>
        <v>67</v>
      </c>
      <c r="H69">
        <f t="shared" ca="1" si="8"/>
        <v>4501.3132755950128</v>
      </c>
      <c r="I69">
        <f t="shared" ca="1" si="9"/>
        <v>27061.13631734173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128666</v>
      </c>
      <c r="B72" s="66">
        <v>128666</v>
      </c>
      <c r="D72">
        <f t="shared" si="5"/>
        <v>77.546543234430843</v>
      </c>
      <c r="E72">
        <f t="shared" si="6"/>
        <v>77.546543234430843</v>
      </c>
      <c r="G72">
        <f t="shared" ca="1" si="7"/>
        <v>70</v>
      </c>
      <c r="H72">
        <f t="shared" ca="1" si="8"/>
        <v>5428.2580264101589</v>
      </c>
      <c r="I72">
        <f t="shared" ca="1" si="9"/>
        <v>22595.087173870797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136852</v>
      </c>
      <c r="B75" s="66">
        <v>136852</v>
      </c>
      <c r="D75">
        <f t="shared" si="5"/>
        <v>82.480216488569866</v>
      </c>
      <c r="E75">
        <f t="shared" si="6"/>
        <v>82.480216488569866</v>
      </c>
      <c r="G75">
        <f t="shared" ca="1" si="7"/>
        <v>73</v>
      </c>
      <c r="H75">
        <f t="shared" ca="1" si="8"/>
        <v>6021.0558036656003</v>
      </c>
      <c r="I75">
        <f t="shared" ca="1" si="9"/>
        <v>16327.482447349641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144576</v>
      </c>
      <c r="B77" s="66">
        <v>144576</v>
      </c>
      <c r="D77">
        <f t="shared" si="5"/>
        <v>87.135443976350189</v>
      </c>
      <c r="E77">
        <f t="shared" si="6"/>
        <v>87.135443976350189</v>
      </c>
      <c r="G77">
        <f t="shared" ca="1" si="7"/>
        <v>75</v>
      </c>
      <c r="H77">
        <f t="shared" ca="1" si="8"/>
        <v>6535.1582982262644</v>
      </c>
      <c r="I77">
        <f t="shared" ca="1" si="9"/>
        <v>12693.679194146263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156740</v>
      </c>
      <c r="B80" s="66">
        <v>156740</v>
      </c>
      <c r="D80">
        <f t="shared" si="5"/>
        <v>94.466643764201038</v>
      </c>
      <c r="E80">
        <f t="shared" si="6"/>
        <v>94.466643764201038</v>
      </c>
      <c r="G80">
        <f t="shared" ca="1" si="7"/>
        <v>78</v>
      </c>
      <c r="H80">
        <f t="shared" ca="1" si="8"/>
        <v>7368.3982136076811</v>
      </c>
      <c r="I80">
        <f t="shared" ca="1" si="9"/>
        <v>7770.7682262797407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161656</v>
      </c>
      <c r="B82" s="66">
        <v>161656</v>
      </c>
      <c r="D82">
        <f t="shared" si="5"/>
        <v>97.429499581125953</v>
      </c>
      <c r="E82">
        <f t="shared" si="6"/>
        <v>97.429499581125953</v>
      </c>
      <c r="G82">
        <f t="shared" ca="1" si="7"/>
        <v>80</v>
      </c>
      <c r="H82">
        <f t="shared" ca="1" si="8"/>
        <v>7794.3599664900757</v>
      </c>
      <c r="I82">
        <f t="shared" ca="1" si="9"/>
        <v>4869.5851222257234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161880</v>
      </c>
      <c r="B85" s="66">
        <v>161880</v>
      </c>
      <c r="D85">
        <f t="shared" si="5"/>
        <v>97.564503589057438</v>
      </c>
      <c r="E85">
        <f t="shared" si="6"/>
        <v>97.564503589057438</v>
      </c>
      <c r="G85">
        <f t="shared" ca="1" si="7"/>
        <v>83</v>
      </c>
      <c r="H85">
        <f t="shared" ca="1" si="8"/>
        <v>8097.8537978917675</v>
      </c>
      <c r="I85">
        <f t="shared" ca="1" si="9"/>
        <v>1615.9048980252833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154774</v>
      </c>
      <c r="B88" s="66">
        <v>154774</v>
      </c>
      <c r="D88">
        <f t="shared" si="5"/>
        <v>93.281742516016664</v>
      </c>
      <c r="E88">
        <f t="shared" si="6"/>
        <v>93.281742516016664</v>
      </c>
      <c r="G88">
        <f t="shared" ca="1" si="7"/>
        <v>86</v>
      </c>
      <c r="H88">
        <f t="shared" ca="1" si="8"/>
        <v>8022.229856377433</v>
      </c>
      <c r="I88">
        <f t="shared" ca="1" si="9"/>
        <v>106.73760853299189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142102</v>
      </c>
      <c r="B90" s="66">
        <v>142102</v>
      </c>
      <c r="D90">
        <f t="shared" si="5"/>
        <v>85.644372924464051</v>
      </c>
      <c r="E90">
        <f t="shared" si="6"/>
        <v>85.644372924464051</v>
      </c>
      <c r="G90">
        <f t="shared" ca="1" si="7"/>
        <v>88</v>
      </c>
      <c r="H90">
        <f t="shared" ca="1" si="8"/>
        <v>7536.7048173528365</v>
      </c>
      <c r="I90">
        <f t="shared" ca="1" si="9"/>
        <v>74.12223821832535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147787</v>
      </c>
      <c r="B93" s="66">
        <v>147787</v>
      </c>
      <c r="D93">
        <f t="shared" si="5"/>
        <v>89.070702322189476</v>
      </c>
      <c r="E93">
        <f t="shared" si="6"/>
        <v>89.070702322189476</v>
      </c>
      <c r="G93">
        <f t="shared" ca="1" si="7"/>
        <v>91</v>
      </c>
      <c r="H93">
        <f t="shared" ca="1" si="8"/>
        <v>8105.4339113192427</v>
      </c>
      <c r="I93">
        <f t="shared" ca="1" si="9"/>
        <v>1375.9008635074215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165921</v>
      </c>
      <c r="B95" s="66">
        <v>165921</v>
      </c>
      <c r="D95">
        <f t="shared" si="5"/>
        <v>100</v>
      </c>
      <c r="E95">
        <f t="shared" si="6"/>
        <v>100</v>
      </c>
      <c r="G95">
        <f t="shared" ca="1" si="7"/>
        <v>93</v>
      </c>
      <c r="H95">
        <f t="shared" ca="1" si="8"/>
        <v>9300</v>
      </c>
      <c r="I95">
        <f t="shared" ca="1" si="9"/>
        <v>3516.8504446232496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145349</v>
      </c>
      <c r="B98" s="66">
        <v>145349</v>
      </c>
      <c r="D98">
        <f t="shared" si="5"/>
        <v>87.601328343006614</v>
      </c>
      <c r="E98">
        <f t="shared" si="6"/>
        <v>87.601328343006614</v>
      </c>
      <c r="G98">
        <f t="shared" ca="1" si="7"/>
        <v>96</v>
      </c>
      <c r="H98">
        <f t="shared" ca="1" si="8"/>
        <v>8409.7275209286345</v>
      </c>
      <c r="I98">
        <f t="shared" ca="1" si="9"/>
        <v>6986.2346595463405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138350</v>
      </c>
      <c r="B100" s="66">
        <v>138350</v>
      </c>
      <c r="D100">
        <f t="shared" si="5"/>
        <v>83.383055791611667</v>
      </c>
      <c r="E100">
        <f t="shared" si="6"/>
        <v>83.383055791611667</v>
      </c>
      <c r="G100">
        <f t="shared" ca="1" si="7"/>
        <v>98</v>
      </c>
      <c r="H100">
        <f t="shared" ca="1" si="8"/>
        <v>8171.5394675779435</v>
      </c>
      <c r="I100">
        <f t="shared" ca="1" si="9"/>
        <v>9961.9023797087848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152271</v>
      </c>
      <c r="B103" s="66">
        <v>152271</v>
      </c>
      <c r="D103">
        <f t="shared" si="5"/>
        <v>91.773193266675108</v>
      </c>
      <c r="E103">
        <f t="shared" si="6"/>
        <v>91.773193266675108</v>
      </c>
      <c r="G103">
        <f t="shared" ca="1" si="7"/>
        <v>101</v>
      </c>
      <c r="H103">
        <f t="shared" ca="1" si="8"/>
        <v>9269.0925199341855</v>
      </c>
      <c r="I103">
        <f t="shared" ca="1" si="9"/>
        <v>17808.89715199334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130014</v>
      </c>
      <c r="B106" s="66">
        <v>130014</v>
      </c>
      <c r="D106">
        <f t="shared" si="5"/>
        <v>78.358978067875682</v>
      </c>
      <c r="E106">
        <f t="shared" si="6"/>
        <v>78.358978067875682</v>
      </c>
      <c r="G106">
        <f t="shared" ca="1" si="7"/>
        <v>104</v>
      </c>
      <c r="H106">
        <f t="shared" ca="1" si="8"/>
        <v>8149.333719059071</v>
      </c>
      <c r="I106">
        <f t="shared" ca="1" si="9"/>
        <v>22460.440600502716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143479</v>
      </c>
      <c r="B108" s="66">
        <v>143479</v>
      </c>
      <c r="D108">
        <f t="shared" si="5"/>
        <v>86.474285955364294</v>
      </c>
      <c r="E108">
        <f t="shared" si="6"/>
        <v>86.474285955364294</v>
      </c>
      <c r="G108">
        <f t="shared" ca="1" si="7"/>
        <v>106</v>
      </c>
      <c r="H108">
        <f t="shared" ca="1" si="8"/>
        <v>9166.2743112686148</v>
      </c>
      <c r="I108">
        <f t="shared" ca="1" si="9"/>
        <v>30988.614332016721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142704</v>
      </c>
      <c r="B111" s="66">
        <v>142704</v>
      </c>
      <c r="D111">
        <f t="shared" si="5"/>
        <v>86.007196195779926</v>
      </c>
      <c r="E111">
        <f t="shared" si="6"/>
        <v>86.007196195779926</v>
      </c>
      <c r="G111">
        <f t="shared" ca="1" si="7"/>
        <v>109</v>
      </c>
      <c r="H111">
        <f t="shared" ca="1" si="8"/>
        <v>9374.7843853400118</v>
      </c>
      <c r="I111">
        <f t="shared" ca="1" si="9"/>
        <v>41364.148664008026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114907</v>
      </c>
      <c r="B113" s="66">
        <v>114907</v>
      </c>
      <c r="D113">
        <f t="shared" si="5"/>
        <v>69.254042586532151</v>
      </c>
      <c r="E113">
        <f t="shared" si="6"/>
        <v>69.254042586532151</v>
      </c>
      <c r="G113">
        <f t="shared" ca="1" si="7"/>
        <v>111</v>
      </c>
      <c r="H113">
        <f t="shared" ca="1" si="8"/>
        <v>7687.1987271050684</v>
      </c>
      <c r="I113">
        <f t="shared" ca="1" si="9"/>
        <v>39658.981601955435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103039</v>
      </c>
      <c r="B116" s="66">
        <v>103039</v>
      </c>
      <c r="D116">
        <f t="shared" si="5"/>
        <v>62.101240952019332</v>
      </c>
      <c r="E116">
        <f t="shared" si="6"/>
        <v>62.101240952019332</v>
      </c>
      <c r="G116">
        <f t="shared" ca="1" si="7"/>
        <v>114</v>
      </c>
      <c r="H116">
        <f t="shared" ca="1" si="8"/>
        <v>7079.5414685302039</v>
      </c>
      <c r="I116">
        <f t="shared" ca="1" si="9"/>
        <v>45038.382769671269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106021</v>
      </c>
      <c r="B118" s="66">
        <v>106021</v>
      </c>
      <c r="D118">
        <f t="shared" si="5"/>
        <v>63.898481807607233</v>
      </c>
      <c r="E118">
        <f t="shared" si="6"/>
        <v>63.898481807607233</v>
      </c>
      <c r="G118">
        <f t="shared" ca="1" si="7"/>
        <v>116</v>
      </c>
      <c r="H118">
        <f t="shared" ca="1" si="8"/>
        <v>7412.2238896824392</v>
      </c>
      <c r="I118">
        <f t="shared" ca="1" si="9"/>
        <v>53480.632072450127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99398</v>
      </c>
      <c r="B121" s="66">
        <v>99398</v>
      </c>
      <c r="D121">
        <f t="shared" si="5"/>
        <v>59.906823126668719</v>
      </c>
      <c r="E121">
        <f t="shared" si="6"/>
        <v>59.906823126668719</v>
      </c>
      <c r="G121">
        <f t="shared" ca="1" si="7"/>
        <v>119</v>
      </c>
      <c r="H121">
        <f t="shared" ca="1" si="8"/>
        <v>7128.9119520735776</v>
      </c>
      <c r="I121">
        <f t="shared" ca="1" si="9"/>
        <v>61077.66051023452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77424</v>
      </c>
      <c r="B124" s="66">
        <v>77424</v>
      </c>
      <c r="D124">
        <f t="shared" si="5"/>
        <v>46.663171027175586</v>
      </c>
      <c r="E124">
        <f t="shared" si="6"/>
        <v>46.663171027175586</v>
      </c>
      <c r="G124">
        <f t="shared" ca="1" si="7"/>
        <v>122</v>
      </c>
      <c r="H124">
        <f t="shared" ca="1" si="8"/>
        <v>5692.9068653154218</v>
      </c>
      <c r="I124">
        <f t="shared" ca="1" si="9"/>
        <v>56934.954331862056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63222</v>
      </c>
      <c r="B126" s="66">
        <v>63222</v>
      </c>
      <c r="D126">
        <f t="shared" si="5"/>
        <v>38.103675845733811</v>
      </c>
      <c r="E126">
        <f t="shared" si="6"/>
        <v>38.103675845733811</v>
      </c>
      <c r="G126">
        <f t="shared" ca="1" si="7"/>
        <v>124</v>
      </c>
      <c r="H126">
        <f t="shared" ca="1" si="8"/>
        <v>4724.8558048709929</v>
      </c>
      <c r="I126">
        <f t="shared" ca="1" si="9"/>
        <v>51967.597204324549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64885</v>
      </c>
      <c r="B129" s="66">
        <v>64885</v>
      </c>
      <c r="D129">
        <f t="shared" si="5"/>
        <v>39.105960065332297</v>
      </c>
      <c r="E129">
        <f t="shared" si="6"/>
        <v>39.105960065332297</v>
      </c>
      <c r="G129">
        <f t="shared" ca="1" si="7"/>
        <v>127</v>
      </c>
      <c r="H129">
        <f t="shared" ca="1" si="8"/>
        <v>4966.4569282972016</v>
      </c>
      <c r="I129">
        <f t="shared" ca="1" si="9"/>
        <v>62351.683457579471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53722</v>
      </c>
      <c r="B131" s="66">
        <v>53722</v>
      </c>
      <c r="D131">
        <f t="shared" ref="D131:D194" si="10">IFERROR(100*A131/MAX(A$2:A$257), 0 )</f>
        <v>32.37805943792528</v>
      </c>
      <c r="E131">
        <f t="shared" ref="E131:E194" si="11">IFERROR(100*B131/MAX(B$2:B$257), 0 )</f>
        <v>32.37805943792528</v>
      </c>
      <c r="G131">
        <f t="shared" ref="G131:G194" ca="1" si="12">CELL("row",D131)-2</f>
        <v>129</v>
      </c>
      <c r="H131">
        <f t="shared" ref="H131:H194" ca="1" si="13">D131*G131</f>
        <v>4176.7696674923609</v>
      </c>
      <c r="I131">
        <f t="shared" ref="I131:I194" ca="1" si="14">D131*((G131-$L$1)^2)</f>
        <v>56925.497693944781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43967</v>
      </c>
      <c r="B134" s="66">
        <v>43967</v>
      </c>
      <c r="D134">
        <f t="shared" si="10"/>
        <v>26.498755431801882</v>
      </c>
      <c r="E134">
        <f t="shared" si="11"/>
        <v>26.498755431801882</v>
      </c>
      <c r="G134">
        <f t="shared" ca="1" si="12"/>
        <v>132</v>
      </c>
      <c r="H134">
        <f t="shared" ca="1" si="13"/>
        <v>3497.8357169978485</v>
      </c>
      <c r="I134">
        <f t="shared" ca="1" si="14"/>
        <v>53493.891096622996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40089</v>
      </c>
      <c r="B136" s="66">
        <v>40089</v>
      </c>
      <c r="D136">
        <f t="shared" si="10"/>
        <v>24.16149854448804</v>
      </c>
      <c r="E136">
        <f t="shared" si="11"/>
        <v>24.16149854448804</v>
      </c>
      <c r="G136">
        <f t="shared" ca="1" si="12"/>
        <v>134</v>
      </c>
      <c r="H136">
        <f t="shared" ca="1" si="13"/>
        <v>3237.6408049613974</v>
      </c>
      <c r="I136">
        <f t="shared" ca="1" si="14"/>
        <v>53214.575220911946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39525</v>
      </c>
      <c r="B139" s="66">
        <v>39525</v>
      </c>
      <c r="D139">
        <f t="shared" si="10"/>
        <v>23.821577738803406</v>
      </c>
      <c r="E139">
        <f t="shared" si="11"/>
        <v>23.821577738803406</v>
      </c>
      <c r="G139">
        <f t="shared" ca="1" si="12"/>
        <v>137</v>
      </c>
      <c r="H139">
        <f t="shared" ca="1" si="13"/>
        <v>3263.5561502160667</v>
      </c>
      <c r="I139">
        <f t="shared" ca="1" si="14"/>
        <v>59388.032975034504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32317</v>
      </c>
      <c r="B142" s="66">
        <v>32317</v>
      </c>
      <c r="D142">
        <f t="shared" si="10"/>
        <v>19.477341626436679</v>
      </c>
      <c r="E142">
        <f t="shared" si="11"/>
        <v>19.477341626436679</v>
      </c>
      <c r="G142">
        <f t="shared" ca="1" si="12"/>
        <v>140</v>
      </c>
      <c r="H142">
        <f t="shared" ca="1" si="13"/>
        <v>2726.827827701135</v>
      </c>
      <c r="I142">
        <f t="shared" ca="1" si="14"/>
        <v>54568.052814642011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22956</v>
      </c>
      <c r="B144" s="66">
        <v>22956</v>
      </c>
      <c r="D144">
        <f t="shared" si="10"/>
        <v>13.835500027121341</v>
      </c>
      <c r="E144">
        <f t="shared" si="11"/>
        <v>13.835500027121341</v>
      </c>
      <c r="G144">
        <f t="shared" ca="1" si="12"/>
        <v>142</v>
      </c>
      <c r="H144">
        <f t="shared" ca="1" si="13"/>
        <v>1964.6410038512304</v>
      </c>
      <c r="I144">
        <f t="shared" ca="1" si="14"/>
        <v>41746.383958145962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16680</v>
      </c>
      <c r="B147" s="66">
        <v>16680</v>
      </c>
      <c r="D147">
        <f t="shared" si="10"/>
        <v>10.052977019183828</v>
      </c>
      <c r="E147">
        <f t="shared" si="11"/>
        <v>10.052977019183828</v>
      </c>
      <c r="G147">
        <f t="shared" ca="1" si="12"/>
        <v>145</v>
      </c>
      <c r="H147">
        <f t="shared" ca="1" si="13"/>
        <v>1457.6816677816551</v>
      </c>
      <c r="I147">
        <f t="shared" ca="1" si="14"/>
        <v>33736.987753315792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12623</v>
      </c>
      <c r="B149" s="66">
        <v>12623</v>
      </c>
      <c r="D149">
        <f t="shared" si="10"/>
        <v>7.6078374648175942</v>
      </c>
      <c r="E149">
        <f t="shared" si="11"/>
        <v>7.6078374648175942</v>
      </c>
      <c r="G149">
        <f t="shared" ca="1" si="12"/>
        <v>147</v>
      </c>
      <c r="H149">
        <f t="shared" ca="1" si="13"/>
        <v>1118.3521073281863</v>
      </c>
      <c r="I149">
        <f t="shared" ca="1" si="14"/>
        <v>27324.623444357559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12142</v>
      </c>
      <c r="B152" s="66">
        <v>12142</v>
      </c>
      <c r="D152">
        <f t="shared" si="10"/>
        <v>7.3179404656432885</v>
      </c>
      <c r="E152">
        <f t="shared" si="11"/>
        <v>7.3179404656432885</v>
      </c>
      <c r="G152">
        <f t="shared" ca="1" si="12"/>
        <v>150</v>
      </c>
      <c r="H152">
        <f t="shared" ca="1" si="13"/>
        <v>1097.6910698464933</v>
      </c>
      <c r="I152">
        <f t="shared" ca="1" si="14"/>
        <v>28980.677242407834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9271</v>
      </c>
      <c r="B154" s="66">
        <v>9271</v>
      </c>
      <c r="D154">
        <f t="shared" si="10"/>
        <v>5.587598917557151</v>
      </c>
      <c r="E154">
        <f t="shared" si="11"/>
        <v>5.587598917557151</v>
      </c>
      <c r="G154">
        <f t="shared" ca="1" si="12"/>
        <v>152</v>
      </c>
      <c r="H154">
        <f t="shared" ca="1" si="13"/>
        <v>849.31503546868692</v>
      </c>
      <c r="I154">
        <f t="shared" ca="1" si="14"/>
        <v>23557.006173930684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5764</v>
      </c>
      <c r="B157" s="66">
        <v>5764</v>
      </c>
      <c r="D157">
        <f t="shared" si="10"/>
        <v>3.4739424183798313</v>
      </c>
      <c r="E157">
        <f t="shared" si="11"/>
        <v>3.4739424183798313</v>
      </c>
      <c r="G157">
        <f t="shared" ca="1" si="12"/>
        <v>155</v>
      </c>
      <c r="H157">
        <f t="shared" ca="1" si="13"/>
        <v>538.46107484887386</v>
      </c>
      <c r="I157">
        <f t="shared" ca="1" si="14"/>
        <v>16030.598269005866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3418</v>
      </c>
      <c r="B160" s="66">
        <v>3418</v>
      </c>
      <c r="D160">
        <f t="shared" si="10"/>
        <v>2.060016513883113</v>
      </c>
      <c r="E160">
        <f t="shared" si="11"/>
        <v>2.060016513883113</v>
      </c>
      <c r="G160">
        <f t="shared" ca="1" si="12"/>
        <v>158</v>
      </c>
      <c r="H160">
        <f t="shared" ca="1" si="13"/>
        <v>325.48260919353186</v>
      </c>
      <c r="I160">
        <f t="shared" ca="1" si="14"/>
        <v>10364.16558896401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1511</v>
      </c>
      <c r="B162" s="66">
        <v>1511</v>
      </c>
      <c r="D162">
        <f t="shared" si="10"/>
        <v>0.91067435707354705</v>
      </c>
      <c r="E162">
        <f t="shared" si="11"/>
        <v>0.91067435707354705</v>
      </c>
      <c r="G162">
        <f t="shared" ca="1" si="12"/>
        <v>160</v>
      </c>
      <c r="H162">
        <f t="shared" ca="1" si="13"/>
        <v>145.70789713176754</v>
      </c>
      <c r="I162">
        <f t="shared" ca="1" si="14"/>
        <v>4843.7213877519271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368</v>
      </c>
      <c r="B165" s="66">
        <v>368</v>
      </c>
      <c r="D165">
        <f t="shared" si="10"/>
        <v>0.22179229874458325</v>
      </c>
      <c r="E165">
        <f t="shared" si="11"/>
        <v>0.22179229874458325</v>
      </c>
      <c r="G165">
        <f t="shared" ca="1" si="12"/>
        <v>163</v>
      </c>
      <c r="H165">
        <f t="shared" ca="1" si="13"/>
        <v>36.15214469536707</v>
      </c>
      <c r="I165">
        <f t="shared" ca="1" si="14"/>
        <v>1278.72377034737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299</v>
      </c>
      <c r="B167" s="66">
        <v>299</v>
      </c>
      <c r="D167">
        <f t="shared" si="10"/>
        <v>0.1802062427299739</v>
      </c>
      <c r="E167">
        <f t="shared" si="11"/>
        <v>0.1802062427299739</v>
      </c>
      <c r="G167">
        <f t="shared" ca="1" si="12"/>
        <v>165</v>
      </c>
      <c r="H167">
        <f t="shared" ca="1" si="13"/>
        <v>29.734030050445693</v>
      </c>
      <c r="I167">
        <f t="shared" ca="1" si="14"/>
        <v>1094.4163474848842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164</v>
      </c>
      <c r="B170" s="66">
        <v>164</v>
      </c>
      <c r="D170">
        <f t="shared" si="10"/>
        <v>9.8842220092694721E-2</v>
      </c>
      <c r="E170">
        <f t="shared" si="11"/>
        <v>9.8842220092694721E-2</v>
      </c>
      <c r="G170">
        <f t="shared" ca="1" si="12"/>
        <v>168</v>
      </c>
      <c r="H170">
        <f t="shared" ca="1" si="13"/>
        <v>16.605492975572712</v>
      </c>
      <c r="I170">
        <f t="shared" ca="1" si="14"/>
        <v>647.3882816981195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83</v>
      </c>
      <c r="B173" s="66">
        <v>83</v>
      </c>
      <c r="D173">
        <f t="shared" si="10"/>
        <v>5.0023806510327201E-2</v>
      </c>
      <c r="E173">
        <f t="shared" si="11"/>
        <v>5.0023806510327201E-2</v>
      </c>
      <c r="G173">
        <f t="shared" ca="1" si="12"/>
        <v>171</v>
      </c>
      <c r="H173">
        <f t="shared" ca="1" si="13"/>
        <v>8.5540709132659511</v>
      </c>
      <c r="I173">
        <f t="shared" ca="1" si="14"/>
        <v>352.38249581142315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255</v>
      </c>
      <c r="B175" s="66">
        <v>255</v>
      </c>
      <c r="D175">
        <f t="shared" si="10"/>
        <v>0.15368759831486067</v>
      </c>
      <c r="E175">
        <f t="shared" si="11"/>
        <v>0.15368759831486067</v>
      </c>
      <c r="G175">
        <f t="shared" ca="1" si="12"/>
        <v>173</v>
      </c>
      <c r="H175">
        <f t="shared" ca="1" si="13"/>
        <v>26.587954508470897</v>
      </c>
      <c r="I175">
        <f t="shared" ca="1" si="14"/>
        <v>1134.8318585937661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404</v>
      </c>
      <c r="B1" s="68" t="s">
        <v>405</v>
      </c>
      <c r="C1" s="32" t="s">
        <v>406</v>
      </c>
      <c r="D1" s="32" t="s">
        <v>407</v>
      </c>
      <c r="E1" s="32" t="s">
        <v>408</v>
      </c>
    </row>
    <row r="2" spans="1:5">
      <c r="A2" s="68">
        <v>0.29014099999999998</v>
      </c>
      <c r="B2" s="68">
        <v>0.51738499999999998</v>
      </c>
      <c r="C2" s="68">
        <v>0</v>
      </c>
      <c r="D2" s="68">
        <v>1</v>
      </c>
      <c r="E2" s="68" t="s">
        <v>409</v>
      </c>
    </row>
    <row r="3" spans="1:5">
      <c r="A3" s="68">
        <v>0.30009799999999998</v>
      </c>
      <c r="B3" s="68">
        <v>0.50499700000000003</v>
      </c>
      <c r="C3" s="68">
        <v>0.40393000000000001</v>
      </c>
      <c r="D3" s="89">
        <v>1</v>
      </c>
      <c r="E3" s="68" t="s">
        <v>410</v>
      </c>
    </row>
    <row r="4" spans="1:5">
      <c r="A4" s="68">
        <v>0.30935099999999999</v>
      </c>
      <c r="B4" s="68">
        <v>0.49641999999999997</v>
      </c>
      <c r="C4" s="68">
        <v>0.81403899999999996</v>
      </c>
      <c r="D4" s="89">
        <v>1</v>
      </c>
      <c r="E4" s="68" t="s">
        <v>411</v>
      </c>
    </row>
    <row r="5" spans="1:5">
      <c r="A5" s="89">
        <v>0.318025</v>
      </c>
      <c r="B5" s="89">
        <v>0.49135499999999999</v>
      </c>
      <c r="C5" s="89">
        <v>1.2237899999999999</v>
      </c>
      <c r="D5" s="89">
        <v>1</v>
      </c>
      <c r="E5" s="68" t="s">
        <v>412</v>
      </c>
    </row>
    <row r="6" spans="1:5">
      <c r="A6" s="68">
        <v>0.32611499999999999</v>
      </c>
      <c r="B6" s="68">
        <v>0.489618</v>
      </c>
      <c r="C6" s="68">
        <v>1.6277600000000001</v>
      </c>
      <c r="D6" s="68">
        <v>1</v>
      </c>
      <c r="E6" s="68" t="s">
        <v>413</v>
      </c>
    </row>
    <row r="7" spans="1:5">
      <c r="A7" s="68">
        <v>0.33388000000000001</v>
      </c>
      <c r="B7" s="68">
        <v>0.48908000000000001</v>
      </c>
      <c r="C7" s="68">
        <v>2.0376300000000001</v>
      </c>
      <c r="D7" s="68">
        <v>1</v>
      </c>
      <c r="E7" s="68" t="s">
        <v>414</v>
      </c>
    </row>
    <row r="8" spans="1:5">
      <c r="A8" s="68">
        <v>0.34130300000000002</v>
      </c>
      <c r="B8" s="68">
        <v>0.48894100000000001</v>
      </c>
      <c r="C8" s="68">
        <v>2.4394800000000001</v>
      </c>
      <c r="D8" s="68">
        <v>1</v>
      </c>
      <c r="E8" s="68" t="s">
        <v>415</v>
      </c>
    </row>
    <row r="9" spans="1:5">
      <c r="A9" s="68">
        <v>0.34841</v>
      </c>
      <c r="B9" s="68">
        <v>0.48919000000000001</v>
      </c>
      <c r="C9" s="68">
        <v>2.8456199999999998</v>
      </c>
      <c r="D9" s="68">
        <v>1</v>
      </c>
      <c r="E9" s="68" t="s">
        <v>416</v>
      </c>
    </row>
    <row r="10" spans="1:5">
      <c r="A10" s="68">
        <v>0.35511300000000001</v>
      </c>
      <c r="B10" s="68">
        <v>0.49070599999999998</v>
      </c>
      <c r="C10" s="68">
        <v>3.2513399999999999</v>
      </c>
      <c r="D10" s="68">
        <v>1</v>
      </c>
      <c r="E10" s="68" t="s">
        <v>417</v>
      </c>
    </row>
    <row r="11" spans="1:5">
      <c r="A11" s="68">
        <v>0.361543</v>
      </c>
      <c r="B11" s="68">
        <v>0.491975</v>
      </c>
      <c r="C11" s="68">
        <v>3.6602399999999999</v>
      </c>
      <c r="D11" s="68">
        <v>1</v>
      </c>
      <c r="E11" s="68" t="s">
        <v>418</v>
      </c>
    </row>
    <row r="12" spans="1:5">
      <c r="A12" s="68">
        <v>0.36784</v>
      </c>
      <c r="B12" s="68">
        <v>0.492483</v>
      </c>
      <c r="C12" s="68">
        <v>4.0671799999999996</v>
      </c>
      <c r="D12" s="68">
        <v>1</v>
      </c>
      <c r="E12" s="68" t="s">
        <v>419</v>
      </c>
    </row>
    <row r="13" spans="1:5">
      <c r="A13" s="68">
        <v>0.373977</v>
      </c>
      <c r="B13" s="68">
        <v>0.49296000000000001</v>
      </c>
      <c r="C13" s="68">
        <v>4.4681800000000003</v>
      </c>
      <c r="D13" s="68">
        <v>1</v>
      </c>
      <c r="E13" s="68" t="s">
        <v>420</v>
      </c>
    </row>
    <row r="14" spans="1:5">
      <c r="A14" s="68">
        <v>0.37920500000000001</v>
      </c>
      <c r="B14" s="68">
        <v>0.49517099999999997</v>
      </c>
      <c r="C14" s="68">
        <v>4.8795200000000003</v>
      </c>
      <c r="D14" s="68">
        <v>1</v>
      </c>
      <c r="E14" s="68" t="s">
        <v>421</v>
      </c>
    </row>
    <row r="15" spans="1:5">
      <c r="A15" s="68">
        <v>0.383797</v>
      </c>
      <c r="B15" s="68">
        <v>0.49895699999999998</v>
      </c>
      <c r="C15" s="68">
        <v>5.2810699999999997</v>
      </c>
      <c r="D15" s="68">
        <v>1</v>
      </c>
      <c r="E15" s="68" t="s">
        <v>422</v>
      </c>
    </row>
    <row r="16" spans="1:5">
      <c r="A16" s="68">
        <v>0.38780900000000001</v>
      </c>
      <c r="B16" s="68">
        <v>0.50278100000000003</v>
      </c>
      <c r="C16" s="68">
        <v>5.6879600000000003</v>
      </c>
      <c r="D16" s="68">
        <v>1</v>
      </c>
      <c r="E16" s="68" t="s">
        <v>423</v>
      </c>
    </row>
    <row r="17" spans="1:5">
      <c r="A17" s="68">
        <v>0.391231</v>
      </c>
      <c r="B17" s="68">
        <v>0.506332</v>
      </c>
      <c r="C17" s="68">
        <v>6.0921000000000003</v>
      </c>
      <c r="D17" s="68">
        <v>1</v>
      </c>
      <c r="E17" s="68" t="s">
        <v>424</v>
      </c>
    </row>
    <row r="18" spans="1:5">
      <c r="A18" s="68">
        <v>0.39406200000000002</v>
      </c>
      <c r="B18" s="68">
        <v>0.50922900000000004</v>
      </c>
      <c r="C18" s="68">
        <v>6.5016499999999997</v>
      </c>
      <c r="D18" s="68">
        <v>1</v>
      </c>
      <c r="E18" s="68" t="s">
        <v>425</v>
      </c>
    </row>
    <row r="19" spans="1:5">
      <c r="A19" s="68">
        <v>0.39658700000000002</v>
      </c>
      <c r="B19" s="68">
        <v>0.51149800000000001</v>
      </c>
      <c r="C19" s="68">
        <v>6.9055299999999997</v>
      </c>
      <c r="D19" s="68">
        <v>1</v>
      </c>
      <c r="E19" s="68" t="s">
        <v>426</v>
      </c>
    </row>
    <row r="20" spans="1:5">
      <c r="A20" s="68">
        <v>0.398592</v>
      </c>
      <c r="B20" s="68">
        <v>0.51334500000000005</v>
      </c>
      <c r="C20" s="68">
        <v>7.3135599999999998</v>
      </c>
      <c r="D20" s="68">
        <v>1</v>
      </c>
      <c r="E20" s="68" t="s">
        <v>427</v>
      </c>
    </row>
    <row r="21" spans="1:5">
      <c r="A21" s="68">
        <v>0.40006599999999998</v>
      </c>
      <c r="B21" s="68">
        <v>0.51439800000000002</v>
      </c>
      <c r="C21" s="68">
        <v>7.7215400000000001</v>
      </c>
      <c r="D21" s="68">
        <v>1</v>
      </c>
      <c r="E21" s="68" t="s">
        <v>428</v>
      </c>
    </row>
    <row r="22" spans="1:5">
      <c r="A22" s="68">
        <v>0.40104800000000002</v>
      </c>
      <c r="B22" s="68">
        <v>0.51450700000000005</v>
      </c>
      <c r="C22" s="68">
        <v>8.1265699999999992</v>
      </c>
      <c r="D22" s="68">
        <v>1</v>
      </c>
      <c r="E22" s="68" t="s">
        <v>429</v>
      </c>
    </row>
    <row r="23" spans="1:5">
      <c r="A23" s="68">
        <v>0.40176800000000001</v>
      </c>
      <c r="B23" s="68">
        <v>0.51369100000000001</v>
      </c>
      <c r="C23" s="68">
        <v>8.5342800000000008</v>
      </c>
      <c r="D23" s="68">
        <v>1</v>
      </c>
      <c r="E23" s="68" t="s">
        <v>430</v>
      </c>
    </row>
    <row r="24" spans="1:5">
      <c r="A24" s="68">
        <v>0.40210800000000002</v>
      </c>
      <c r="B24" s="68">
        <v>0.51229800000000003</v>
      </c>
      <c r="C24" s="68">
        <v>8.9393200000000004</v>
      </c>
      <c r="D24" s="68">
        <v>1</v>
      </c>
      <c r="E24" s="68" t="s">
        <v>431</v>
      </c>
    </row>
    <row r="25" spans="1:5">
      <c r="A25" s="68">
        <v>0.40213900000000002</v>
      </c>
      <c r="B25" s="68">
        <v>0.51005800000000001</v>
      </c>
      <c r="C25" s="68">
        <v>9.3471399999999996</v>
      </c>
      <c r="D25" s="68">
        <v>1</v>
      </c>
      <c r="E25" s="68" t="s">
        <v>432</v>
      </c>
    </row>
    <row r="26" spans="1:5">
      <c r="A26" s="68">
        <v>0.40183799999999997</v>
      </c>
      <c r="B26" s="68">
        <v>0.507297</v>
      </c>
      <c r="C26" s="68">
        <v>9.7783800000000003</v>
      </c>
      <c r="D26" s="68">
        <v>1</v>
      </c>
      <c r="E26" s="68" t="s">
        <v>433</v>
      </c>
    </row>
    <row r="27" spans="1:5">
      <c r="A27" s="68">
        <v>0.40111200000000002</v>
      </c>
      <c r="B27" s="68">
        <v>0.50464900000000001</v>
      </c>
      <c r="C27" s="68">
        <v>10.1539</v>
      </c>
      <c r="D27" s="68">
        <v>1</v>
      </c>
      <c r="E27" s="68" t="s">
        <v>434</v>
      </c>
    </row>
    <row r="28" spans="1:5">
      <c r="A28" s="68">
        <v>0.39988800000000002</v>
      </c>
      <c r="B28" s="68">
        <v>0.50230799999999998</v>
      </c>
      <c r="C28" s="68">
        <v>10.56</v>
      </c>
      <c r="D28" s="68">
        <v>1</v>
      </c>
      <c r="E28" s="68" t="s">
        <v>435</v>
      </c>
    </row>
    <row r="29" spans="1:5">
      <c r="A29" s="68">
        <v>0.39852300000000002</v>
      </c>
      <c r="B29" s="68">
        <v>0.50003900000000001</v>
      </c>
      <c r="C29" s="68">
        <v>10.970800000000001</v>
      </c>
      <c r="D29" s="68">
        <v>1</v>
      </c>
      <c r="E29" s="68" t="s">
        <v>436</v>
      </c>
    </row>
    <row r="30" spans="1:5">
      <c r="A30" s="68">
        <v>0.39712500000000001</v>
      </c>
      <c r="B30" s="68">
        <v>0.49811499999999997</v>
      </c>
      <c r="C30" s="68">
        <v>11.375</v>
      </c>
      <c r="D30" s="68">
        <v>1</v>
      </c>
      <c r="E30" s="68" t="s">
        <v>437</v>
      </c>
    </row>
    <row r="31" spans="1:5">
      <c r="A31" s="68">
        <v>0.395652</v>
      </c>
      <c r="B31" s="68">
        <v>0.49590400000000001</v>
      </c>
      <c r="C31" s="68">
        <v>11.7806</v>
      </c>
      <c r="D31" s="68">
        <v>1</v>
      </c>
      <c r="E31" s="68" t="s">
        <v>438</v>
      </c>
    </row>
    <row r="32" spans="1:5">
      <c r="A32" s="68">
        <v>0.39404400000000001</v>
      </c>
      <c r="B32" s="68">
        <v>0.49416399999999999</v>
      </c>
      <c r="C32" s="68">
        <v>12.187799999999999</v>
      </c>
      <c r="D32" s="68">
        <v>1</v>
      </c>
      <c r="E32" s="68" t="s">
        <v>439</v>
      </c>
    </row>
    <row r="33" spans="1:5">
      <c r="A33" s="68">
        <v>0.39225199999999999</v>
      </c>
      <c r="B33" s="68">
        <v>0.49333199999999999</v>
      </c>
      <c r="C33" s="68">
        <v>12.5947</v>
      </c>
      <c r="D33" s="68">
        <v>1</v>
      </c>
      <c r="E33" s="68" t="s">
        <v>440</v>
      </c>
    </row>
    <row r="34" spans="1:5">
      <c r="A34" s="68">
        <v>0.39033200000000001</v>
      </c>
      <c r="B34" s="68">
        <v>0.49336999999999998</v>
      </c>
      <c r="C34" s="68">
        <v>12.9984</v>
      </c>
      <c r="D34" s="68">
        <v>1</v>
      </c>
      <c r="E34" s="68" t="s">
        <v>441</v>
      </c>
    </row>
    <row r="35" spans="1:5">
      <c r="A35" s="68">
        <v>0.38832299999999997</v>
      </c>
      <c r="B35" s="68">
        <v>0.49430000000000002</v>
      </c>
      <c r="C35" s="68">
        <v>13.405200000000001</v>
      </c>
      <c r="D35" s="68">
        <v>1</v>
      </c>
      <c r="E35" s="68" t="s">
        <v>442</v>
      </c>
    </row>
    <row r="36" spans="1:5">
      <c r="A36" s="68">
        <v>0.38608199999999998</v>
      </c>
      <c r="B36" s="68">
        <v>0.49585600000000002</v>
      </c>
      <c r="C36" s="68">
        <v>13.812099999999999</v>
      </c>
      <c r="D36" s="68">
        <v>1</v>
      </c>
      <c r="E36" s="68" t="s">
        <v>443</v>
      </c>
    </row>
    <row r="37" spans="1:5">
      <c r="A37" s="68">
        <v>0.38344299999999998</v>
      </c>
      <c r="B37" s="68">
        <v>0.49836999999999998</v>
      </c>
      <c r="C37" s="68">
        <v>14.223100000000001</v>
      </c>
      <c r="D37" s="68">
        <v>1</v>
      </c>
      <c r="E37" s="68" t="s">
        <v>444</v>
      </c>
    </row>
    <row r="38" spans="1:5">
      <c r="A38" s="68">
        <v>0.38048100000000001</v>
      </c>
      <c r="B38" s="68">
        <v>0.50199199999999999</v>
      </c>
      <c r="C38" s="68">
        <v>14.626099999999999</v>
      </c>
      <c r="D38" s="68">
        <v>1</v>
      </c>
      <c r="E38" s="68" t="s">
        <v>445</v>
      </c>
    </row>
    <row r="39" spans="1:5">
      <c r="A39" s="68">
        <v>0.378027</v>
      </c>
      <c r="B39" s="68">
        <v>0.50445099999999998</v>
      </c>
      <c r="C39" s="68">
        <v>15.034599999999999</v>
      </c>
      <c r="D39" s="68">
        <v>1</v>
      </c>
      <c r="E39" s="68" t="s">
        <v>446</v>
      </c>
    </row>
    <row r="40" spans="1:5">
      <c r="A40" s="68">
        <v>0.37586999999999998</v>
      </c>
      <c r="B40" s="68">
        <v>0.50501300000000005</v>
      </c>
      <c r="C40" s="68">
        <v>15.4491</v>
      </c>
      <c r="D40" s="68">
        <v>1</v>
      </c>
      <c r="E40" s="68" t="s">
        <v>447</v>
      </c>
    </row>
    <row r="41" spans="1:5">
      <c r="A41" s="68">
        <v>0.37393500000000002</v>
      </c>
      <c r="B41" s="68">
        <v>0.50509499999999996</v>
      </c>
      <c r="C41" s="68">
        <v>15.848699999999999</v>
      </c>
      <c r="D41" s="68">
        <v>1</v>
      </c>
      <c r="E41" s="68" t="s">
        <v>448</v>
      </c>
    </row>
    <row r="42" spans="1:5">
      <c r="A42" s="68">
        <v>0.37242399999999998</v>
      </c>
      <c r="B42" s="68">
        <v>0.50455300000000003</v>
      </c>
      <c r="C42" s="68">
        <v>16.2544</v>
      </c>
      <c r="D42" s="68">
        <v>1</v>
      </c>
      <c r="E42" s="68" t="s">
        <v>449</v>
      </c>
    </row>
    <row r="43" spans="1:5">
      <c r="A43" s="68">
        <v>0.37113000000000002</v>
      </c>
      <c r="B43" s="68">
        <v>0.50366</v>
      </c>
      <c r="C43" s="68">
        <v>16.656500000000001</v>
      </c>
      <c r="D43" s="68">
        <v>1</v>
      </c>
      <c r="E43" s="68" t="s">
        <v>450</v>
      </c>
    </row>
    <row r="44" spans="1:5">
      <c r="A44" s="68">
        <v>0.36961699999999997</v>
      </c>
      <c r="B44" s="68">
        <v>0.50263800000000003</v>
      </c>
      <c r="C44" s="68">
        <v>17.060500000000001</v>
      </c>
      <c r="D44" s="68">
        <v>1</v>
      </c>
      <c r="E44" s="68" t="s">
        <v>451</v>
      </c>
    </row>
    <row r="45" spans="1:5">
      <c r="A45" s="68">
        <v>0.368309</v>
      </c>
      <c r="B45" s="68">
        <v>0.50141500000000006</v>
      </c>
      <c r="C45" s="68">
        <v>17.4695</v>
      </c>
      <c r="D45" s="68">
        <v>1</v>
      </c>
      <c r="E45" s="68" t="s">
        <v>452</v>
      </c>
    </row>
    <row r="46" spans="1:5">
      <c r="A46" s="68">
        <v>0.36734600000000001</v>
      </c>
      <c r="B46" s="68">
        <v>0.49981300000000001</v>
      </c>
      <c r="C46" s="68">
        <v>17.8735</v>
      </c>
      <c r="D46" s="68">
        <v>1</v>
      </c>
      <c r="E46" s="68" t="s">
        <v>453</v>
      </c>
    </row>
    <row r="47" spans="1:5">
      <c r="A47" s="68">
        <v>0.36685099999999998</v>
      </c>
      <c r="B47" s="68">
        <v>0.49804300000000001</v>
      </c>
      <c r="C47" s="68">
        <v>18.281099999999999</v>
      </c>
      <c r="D47" s="68">
        <v>1</v>
      </c>
      <c r="E47" s="68" t="s">
        <v>454</v>
      </c>
    </row>
    <row r="48" spans="1:5">
      <c r="A48" s="68">
        <v>0.36634100000000003</v>
      </c>
      <c r="B48" s="68">
        <v>0.49640099999999998</v>
      </c>
      <c r="C48" s="68">
        <v>18.687000000000001</v>
      </c>
      <c r="D48" s="68">
        <v>1</v>
      </c>
      <c r="E48" s="68" t="s">
        <v>455</v>
      </c>
    </row>
    <row r="49" spans="1:5">
      <c r="A49" s="68">
        <v>0.36568400000000001</v>
      </c>
      <c r="B49" s="68">
        <v>0.49407600000000002</v>
      </c>
      <c r="C49" s="68">
        <v>19.093</v>
      </c>
      <c r="D49" s="68">
        <v>1</v>
      </c>
      <c r="E49" s="68" t="s">
        <v>456</v>
      </c>
    </row>
    <row r="50" spans="1:5">
      <c r="A50" s="68">
        <v>0.36474200000000001</v>
      </c>
      <c r="B50" s="68">
        <v>0.49174800000000002</v>
      </c>
      <c r="C50" s="68">
        <v>19.497900000000001</v>
      </c>
      <c r="D50" s="68">
        <v>1</v>
      </c>
      <c r="E50" s="68" t="s">
        <v>457</v>
      </c>
    </row>
    <row r="51" spans="1:5">
      <c r="A51" s="68">
        <v>0.36352000000000001</v>
      </c>
      <c r="B51" s="68">
        <v>0.48979899999999998</v>
      </c>
      <c r="C51" s="68">
        <v>19.904900000000001</v>
      </c>
      <c r="D51" s="68">
        <v>1</v>
      </c>
      <c r="E51" s="68" t="s">
        <v>458</v>
      </c>
    </row>
    <row r="52" spans="1:5">
      <c r="A52" s="68">
        <v>0.36310900000000002</v>
      </c>
      <c r="B52" s="68">
        <v>0.48898900000000001</v>
      </c>
      <c r="C52" s="68">
        <v>20.309799999999999</v>
      </c>
      <c r="D52" s="68">
        <v>1</v>
      </c>
      <c r="E52" s="68" t="s">
        <v>459</v>
      </c>
    </row>
    <row r="53" spans="1:5">
      <c r="A53" s="68">
        <v>0.36130099999999998</v>
      </c>
      <c r="B53" s="68">
        <v>0.48623100000000002</v>
      </c>
      <c r="C53" s="68">
        <v>20.719899999999999</v>
      </c>
      <c r="D53" s="68">
        <v>1</v>
      </c>
      <c r="E53" s="68" t="s">
        <v>460</v>
      </c>
    </row>
    <row r="54" spans="1:5">
      <c r="A54" s="68">
        <v>0.35988700000000001</v>
      </c>
      <c r="B54" s="68">
        <v>0.484074</v>
      </c>
      <c r="C54" s="68">
        <v>21.125800000000002</v>
      </c>
      <c r="D54" s="68">
        <v>1</v>
      </c>
      <c r="E54" s="68" t="s">
        <v>461</v>
      </c>
    </row>
    <row r="55" spans="1:5">
      <c r="A55" s="68">
        <v>0.358317</v>
      </c>
      <c r="B55" s="68">
        <v>0.48191499999999998</v>
      </c>
      <c r="C55" s="68">
        <v>21.532599999999999</v>
      </c>
      <c r="D55" s="68">
        <v>1</v>
      </c>
      <c r="E55" s="68" t="s">
        <v>462</v>
      </c>
    </row>
    <row r="56" spans="1:5">
      <c r="A56" s="68">
        <v>0.356796</v>
      </c>
      <c r="B56" s="68">
        <v>0.48008099999999998</v>
      </c>
      <c r="C56" s="68">
        <v>21.938400000000001</v>
      </c>
      <c r="D56" s="68">
        <v>1</v>
      </c>
      <c r="E56" s="68" t="s">
        <v>463</v>
      </c>
    </row>
    <row r="57" spans="1:5">
      <c r="A57" s="68">
        <v>0.35505500000000001</v>
      </c>
      <c r="B57" s="68">
        <v>0.47861300000000001</v>
      </c>
      <c r="C57" s="68">
        <v>22.3416</v>
      </c>
      <c r="D57" s="68">
        <v>1</v>
      </c>
      <c r="E57" s="68" t="s">
        <v>464</v>
      </c>
    </row>
    <row r="58" spans="1:5">
      <c r="A58" s="68">
        <v>0.353072</v>
      </c>
      <c r="B58" s="68">
        <v>0.47732400000000003</v>
      </c>
      <c r="C58" s="68">
        <v>22.747199999999999</v>
      </c>
      <c r="D58" s="68">
        <v>1</v>
      </c>
      <c r="E58" s="68" t="s">
        <v>465</v>
      </c>
    </row>
    <row r="59" spans="1:5">
      <c r="A59" s="68">
        <v>0.35082000000000002</v>
      </c>
      <c r="B59" s="68">
        <v>0.47619</v>
      </c>
      <c r="C59" s="68">
        <v>23.1553</v>
      </c>
      <c r="D59" s="68">
        <v>1</v>
      </c>
      <c r="E59" s="68" t="s">
        <v>466</v>
      </c>
    </row>
    <row r="60" spans="1:5">
      <c r="A60" s="68">
        <v>0.34845999999999999</v>
      </c>
      <c r="B60" s="68">
        <v>0.474713</v>
      </c>
      <c r="C60" s="68">
        <v>23.561199999999999</v>
      </c>
      <c r="D60" s="68">
        <v>1</v>
      </c>
      <c r="E60" s="68" t="s">
        <v>467</v>
      </c>
    </row>
    <row r="61" spans="1:5">
      <c r="A61" s="68">
        <v>0.346024</v>
      </c>
      <c r="B61" s="68">
        <v>0.47361799999999998</v>
      </c>
      <c r="C61" s="68">
        <v>23.968</v>
      </c>
      <c r="D61" s="68">
        <v>1</v>
      </c>
      <c r="E61" s="68" t="s">
        <v>468</v>
      </c>
    </row>
    <row r="62" spans="1:5">
      <c r="A62" s="68">
        <v>0.34347</v>
      </c>
      <c r="B62" s="68">
        <v>0.47301700000000002</v>
      </c>
      <c r="C62" s="68">
        <v>24.375800000000002</v>
      </c>
      <c r="D62" s="68">
        <v>1</v>
      </c>
      <c r="E62" s="68" t="s">
        <v>469</v>
      </c>
    </row>
    <row r="63" spans="1:5">
      <c r="A63" s="68">
        <v>0.34057199999999999</v>
      </c>
      <c r="B63" s="68">
        <v>0.47225800000000001</v>
      </c>
      <c r="C63" s="68">
        <v>24.787800000000001</v>
      </c>
      <c r="D63" s="68">
        <v>1</v>
      </c>
      <c r="E63" s="68" t="s">
        <v>470</v>
      </c>
    </row>
    <row r="64" spans="1:5">
      <c r="A64" s="68">
        <v>0.33754099999999998</v>
      </c>
      <c r="B64" s="68">
        <v>0.472277</v>
      </c>
      <c r="C64" s="68">
        <v>25.1907</v>
      </c>
      <c r="D64" s="68">
        <v>1</v>
      </c>
      <c r="E64" s="68" t="s">
        <v>471</v>
      </c>
    </row>
    <row r="65" spans="1:5">
      <c r="A65" s="68">
        <v>0.33440700000000001</v>
      </c>
      <c r="B65" s="68">
        <v>0.47315400000000002</v>
      </c>
      <c r="C65" s="68">
        <v>25.5959</v>
      </c>
      <c r="D65" s="68">
        <v>1</v>
      </c>
      <c r="E65" s="68" t="s">
        <v>472</v>
      </c>
    </row>
    <row r="66" spans="1:5">
      <c r="A66" s="68">
        <v>0.33120500000000003</v>
      </c>
      <c r="B66" s="68">
        <v>0.47426600000000002</v>
      </c>
      <c r="C66" s="68">
        <v>25.999700000000001</v>
      </c>
      <c r="D66" s="68">
        <v>1</v>
      </c>
      <c r="E66" s="68" t="s">
        <v>473</v>
      </c>
    </row>
    <row r="67" spans="1:5">
      <c r="A67" s="68">
        <v>0.32780999999999999</v>
      </c>
      <c r="B67" s="68">
        <v>0.47615200000000002</v>
      </c>
      <c r="C67" s="68">
        <v>26.407699999999998</v>
      </c>
      <c r="D67" s="68">
        <v>1</v>
      </c>
      <c r="E67" s="68" t="s">
        <v>474</v>
      </c>
    </row>
    <row r="68" spans="1:5">
      <c r="A68" s="68">
        <v>0.32465300000000002</v>
      </c>
      <c r="B68" s="68">
        <v>0.47783100000000001</v>
      </c>
      <c r="C68" s="68">
        <v>26.8125</v>
      </c>
      <c r="D68" s="68">
        <v>1</v>
      </c>
      <c r="E68" s="68" t="s">
        <v>475</v>
      </c>
    </row>
    <row r="69" spans="1:5">
      <c r="A69" s="68">
        <v>0.321737</v>
      </c>
      <c r="B69" s="68">
        <v>0.47919200000000001</v>
      </c>
      <c r="C69" s="68">
        <v>27.218399999999999</v>
      </c>
      <c r="D69" s="68">
        <v>1</v>
      </c>
      <c r="E69" s="68" t="s">
        <v>476</v>
      </c>
    </row>
    <row r="70" spans="1:5">
      <c r="A70" s="68">
        <v>0.31905099999999997</v>
      </c>
      <c r="B70" s="68">
        <v>0.47998099999999999</v>
      </c>
      <c r="C70" s="68">
        <v>27.623100000000001</v>
      </c>
      <c r="D70" s="68">
        <v>1</v>
      </c>
      <c r="E70" s="68" t="s">
        <v>477</v>
      </c>
    </row>
    <row r="71" spans="1:5">
      <c r="A71" s="68">
        <v>0.31663799999999998</v>
      </c>
      <c r="B71" s="68">
        <v>0.480821</v>
      </c>
      <c r="C71" s="68">
        <v>28.038</v>
      </c>
      <c r="D71" s="68">
        <v>1</v>
      </c>
      <c r="E71" s="68" t="s">
        <v>478</v>
      </c>
    </row>
    <row r="72" spans="1:5">
      <c r="A72" s="68">
        <v>0.31407600000000002</v>
      </c>
      <c r="B72" s="68">
        <v>0.48227999999999999</v>
      </c>
      <c r="C72" s="68">
        <v>28.444199999999999</v>
      </c>
      <c r="D72" s="68">
        <v>1</v>
      </c>
      <c r="E72" s="68" t="s">
        <v>479</v>
      </c>
    </row>
    <row r="73" spans="1:5">
      <c r="A73" s="68">
        <v>0.31153199999999998</v>
      </c>
      <c r="B73" s="68">
        <v>0.484018</v>
      </c>
      <c r="C73" s="68">
        <v>28.852</v>
      </c>
      <c r="D73" s="68">
        <v>1</v>
      </c>
      <c r="E73" s="68" t="s">
        <v>480</v>
      </c>
    </row>
    <row r="74" spans="1:5">
      <c r="A74" s="68">
        <v>0.30933100000000002</v>
      </c>
      <c r="B74" s="68">
        <v>0.48546400000000001</v>
      </c>
      <c r="C74" s="68">
        <v>29.255800000000001</v>
      </c>
      <c r="D74" s="68">
        <v>1</v>
      </c>
      <c r="E74" s="68" t="s">
        <v>481</v>
      </c>
    </row>
    <row r="75" spans="1:5">
      <c r="A75" s="68">
        <v>0.30730299999999999</v>
      </c>
      <c r="B75" s="68">
        <v>0.48731099999999999</v>
      </c>
      <c r="C75" s="68">
        <v>29.662099999999999</v>
      </c>
      <c r="D75" s="68">
        <v>1</v>
      </c>
      <c r="E75" s="68" t="s">
        <v>482</v>
      </c>
    </row>
    <row r="76" spans="1:5">
      <c r="A76" s="68">
        <v>0.30432900000000002</v>
      </c>
      <c r="B76" s="68">
        <v>0.48958000000000002</v>
      </c>
      <c r="C76" s="68">
        <v>30.36</v>
      </c>
      <c r="D76" s="68">
        <v>2</v>
      </c>
      <c r="E76" s="68" t="s">
        <v>483</v>
      </c>
    </row>
    <row r="77" spans="1:5">
      <c r="A77" s="68">
        <v>0.30262</v>
      </c>
      <c r="B77" s="68">
        <v>0.491456</v>
      </c>
      <c r="C77" s="68">
        <v>30.702000000000002</v>
      </c>
      <c r="D77" s="68">
        <v>2</v>
      </c>
      <c r="E77" s="68" t="s">
        <v>484</v>
      </c>
    </row>
    <row r="78" spans="1:5">
      <c r="A78" s="68">
        <v>0.300929</v>
      </c>
      <c r="B78" s="68">
        <v>0.49232500000000001</v>
      </c>
      <c r="C78" s="68">
        <v>31.064</v>
      </c>
      <c r="D78" s="68">
        <v>2</v>
      </c>
      <c r="E78" s="68" t="s">
        <v>485</v>
      </c>
    </row>
    <row r="79" spans="1:5">
      <c r="A79" s="68">
        <v>0.29930800000000002</v>
      </c>
      <c r="B79" s="68">
        <v>0.492697</v>
      </c>
      <c r="C79" s="68">
        <v>31.439</v>
      </c>
      <c r="D79" s="68">
        <v>2</v>
      </c>
      <c r="E79" s="68" t="s">
        <v>486</v>
      </c>
    </row>
    <row r="80" spans="1:5">
      <c r="A80" s="68">
        <v>0.29783300000000001</v>
      </c>
      <c r="B80" s="68">
        <v>0.49265399999999998</v>
      </c>
      <c r="C80" s="68">
        <v>31.815000000000001</v>
      </c>
      <c r="D80" s="68">
        <v>2</v>
      </c>
      <c r="E80" s="68" t="s">
        <v>487</v>
      </c>
    </row>
    <row r="81" spans="1:5">
      <c r="A81" s="68">
        <v>0.29635899999999998</v>
      </c>
      <c r="B81" s="68">
        <v>0.49266700000000002</v>
      </c>
      <c r="C81" s="68">
        <v>32.2029</v>
      </c>
      <c r="D81" s="68">
        <v>2</v>
      </c>
      <c r="E81" s="68" t="s">
        <v>488</v>
      </c>
    </row>
    <row r="82" spans="1:5">
      <c r="A82" s="68">
        <v>0.295269</v>
      </c>
      <c r="B82" s="68">
        <v>0.492114</v>
      </c>
      <c r="C82" s="68">
        <v>32.622900000000001</v>
      </c>
      <c r="D82" s="68">
        <v>2</v>
      </c>
      <c r="E82" s="68" t="s">
        <v>489</v>
      </c>
    </row>
    <row r="83" spans="1:5">
      <c r="A83" s="68">
        <v>0.29475800000000002</v>
      </c>
      <c r="B83" s="68">
        <v>0.49057499999999998</v>
      </c>
      <c r="C83" s="68">
        <v>33.014400000000002</v>
      </c>
      <c r="D83" s="68">
        <v>2</v>
      </c>
      <c r="E83" s="68" t="s">
        <v>490</v>
      </c>
    </row>
    <row r="84" spans="1:5">
      <c r="A84" s="68">
        <v>0.29445100000000002</v>
      </c>
      <c r="B84" s="68">
        <v>0.48866500000000002</v>
      </c>
      <c r="C84" s="68">
        <v>33.423999999999999</v>
      </c>
      <c r="D84" s="68">
        <v>2</v>
      </c>
      <c r="E84" s="68" t="s">
        <v>491</v>
      </c>
    </row>
    <row r="85" spans="1:5">
      <c r="A85" s="68">
        <v>0.29411199999999998</v>
      </c>
      <c r="B85" s="68">
        <v>0.48688199999999998</v>
      </c>
      <c r="C85" s="68">
        <v>33.831200000000003</v>
      </c>
      <c r="D85" s="68">
        <v>2</v>
      </c>
      <c r="E85" s="68" t="s">
        <v>492</v>
      </c>
    </row>
    <row r="86" spans="1:5">
      <c r="A86" s="68">
        <v>0.29358899999999999</v>
      </c>
      <c r="B86" s="68">
        <v>0.48572399999999999</v>
      </c>
      <c r="C86" s="68">
        <v>34.233199999999997</v>
      </c>
      <c r="D86" s="68">
        <v>2</v>
      </c>
      <c r="E86" s="68" t="s">
        <v>493</v>
      </c>
    </row>
    <row r="87" spans="1:5">
      <c r="A87" s="68">
        <v>0.29304599999999997</v>
      </c>
      <c r="B87" s="68">
        <v>0.484153</v>
      </c>
      <c r="C87" s="68">
        <v>34.6432</v>
      </c>
      <c r="D87" s="68">
        <v>2</v>
      </c>
      <c r="E87" s="68" t="s">
        <v>494</v>
      </c>
    </row>
    <row r="88" spans="1:5">
      <c r="A88" s="68">
        <v>0.29286499999999999</v>
      </c>
      <c r="B88" s="68">
        <v>0.482904</v>
      </c>
      <c r="C88" s="68">
        <v>35.0501</v>
      </c>
      <c r="D88" s="68">
        <v>2</v>
      </c>
      <c r="E88" s="68" t="s">
        <v>495</v>
      </c>
    </row>
    <row r="89" spans="1:5">
      <c r="A89" s="68">
        <v>0.29263</v>
      </c>
      <c r="B89" s="68">
        <v>0.48222999999999999</v>
      </c>
      <c r="C89" s="68">
        <v>35.453000000000003</v>
      </c>
      <c r="D89" s="68">
        <v>2</v>
      </c>
      <c r="E89" s="68" t="s">
        <v>496</v>
      </c>
    </row>
    <row r="90" spans="1:5">
      <c r="A90" s="68">
        <v>0.29258899999999999</v>
      </c>
      <c r="B90" s="68">
        <v>0.48070499999999999</v>
      </c>
      <c r="C90" s="68">
        <v>35.8628</v>
      </c>
      <c r="D90" s="68">
        <v>2</v>
      </c>
      <c r="E90" s="68" t="s">
        <v>497</v>
      </c>
    </row>
    <row r="91" spans="1:5">
      <c r="A91" s="68">
        <v>0.29271999999999998</v>
      </c>
      <c r="B91" s="68">
        <v>0.479097</v>
      </c>
      <c r="C91" s="68">
        <v>36.266100000000002</v>
      </c>
      <c r="D91" s="68">
        <v>2</v>
      </c>
      <c r="E91" s="68" t="s">
        <v>498</v>
      </c>
    </row>
    <row r="92" spans="1:5">
      <c r="A92" s="68">
        <v>0.29268300000000003</v>
      </c>
      <c r="B92" s="68">
        <v>0.47801500000000002</v>
      </c>
      <c r="C92" s="68">
        <v>36.695999999999998</v>
      </c>
      <c r="D92" s="68">
        <v>2</v>
      </c>
      <c r="E92" s="68" t="s">
        <v>499</v>
      </c>
    </row>
    <row r="93" spans="1:5">
      <c r="A93" s="68">
        <v>0.29286600000000002</v>
      </c>
      <c r="B93" s="68">
        <v>0.47733500000000001</v>
      </c>
      <c r="C93" s="68">
        <v>37.078600000000002</v>
      </c>
      <c r="D93" s="68">
        <v>2</v>
      </c>
      <c r="E93" s="68" t="s">
        <v>500</v>
      </c>
    </row>
    <row r="94" spans="1:5">
      <c r="A94" s="68">
        <v>0.29326000000000002</v>
      </c>
      <c r="B94" s="68">
        <v>0.47656399999999999</v>
      </c>
      <c r="C94" s="68">
        <v>37.4895</v>
      </c>
      <c r="D94" s="68">
        <v>2</v>
      </c>
      <c r="E94" s="68" t="s">
        <v>501</v>
      </c>
    </row>
    <row r="95" spans="1:5">
      <c r="A95" s="68">
        <v>0.29384900000000003</v>
      </c>
      <c r="B95" s="68">
        <v>0.47627599999999998</v>
      </c>
      <c r="C95" s="68">
        <v>37.893300000000004</v>
      </c>
      <c r="D95" s="68">
        <v>2</v>
      </c>
      <c r="E95" s="68" t="s">
        <v>502</v>
      </c>
    </row>
    <row r="96" spans="1:5">
      <c r="A96" s="68">
        <v>0.29447200000000001</v>
      </c>
      <c r="B96" s="68">
        <v>0.47643200000000002</v>
      </c>
      <c r="C96" s="68">
        <v>38.298299999999998</v>
      </c>
      <c r="D96" s="68">
        <v>2</v>
      </c>
      <c r="E96" s="68" t="s">
        <v>503</v>
      </c>
    </row>
    <row r="97" spans="1:5">
      <c r="A97" s="68">
        <v>0.29520999999999997</v>
      </c>
      <c r="B97" s="68">
        <v>0.47697299999999998</v>
      </c>
      <c r="C97" s="68">
        <v>38.704300000000003</v>
      </c>
      <c r="D97" s="68">
        <v>2</v>
      </c>
      <c r="E97" s="68" t="s">
        <v>504</v>
      </c>
    </row>
    <row r="98" spans="1:5">
      <c r="A98" s="68">
        <v>0.29616799999999999</v>
      </c>
      <c r="B98" s="68">
        <v>0.47812700000000002</v>
      </c>
      <c r="C98" s="68">
        <v>39.118299999999998</v>
      </c>
      <c r="D98" s="68">
        <v>2</v>
      </c>
      <c r="E98" s="68" t="s">
        <v>505</v>
      </c>
    </row>
    <row r="99" spans="1:5">
      <c r="A99" s="68">
        <v>0.29745500000000002</v>
      </c>
      <c r="B99" s="68">
        <v>0.47939900000000002</v>
      </c>
      <c r="C99" s="68">
        <v>39.514099999999999</v>
      </c>
      <c r="D99" s="68">
        <v>2</v>
      </c>
      <c r="E99" s="68" t="s">
        <v>506</v>
      </c>
    </row>
    <row r="100" spans="1:5">
      <c r="A100" s="68">
        <v>0.29891400000000001</v>
      </c>
      <c r="B100" s="68">
        <v>0.48069099999999998</v>
      </c>
      <c r="C100" s="68">
        <v>39.9253</v>
      </c>
      <c r="D100" s="68">
        <v>2</v>
      </c>
      <c r="E100" s="68" t="s">
        <v>507</v>
      </c>
    </row>
    <row r="101" spans="1:5">
      <c r="A101" s="68">
        <v>0.30048399999999997</v>
      </c>
      <c r="B101" s="68">
        <v>0.48278500000000002</v>
      </c>
      <c r="C101" s="68">
        <v>40.332799999999999</v>
      </c>
      <c r="D101" s="68">
        <v>2</v>
      </c>
      <c r="E101" s="68" t="s">
        <v>508</v>
      </c>
    </row>
    <row r="102" spans="1:5">
      <c r="A102" s="68">
        <v>0.30219299999999999</v>
      </c>
      <c r="B102" s="68">
        <v>0.48486299999999999</v>
      </c>
      <c r="C102" s="68">
        <v>40.738</v>
      </c>
      <c r="D102" s="68">
        <v>2</v>
      </c>
      <c r="E102" s="68" t="s">
        <v>509</v>
      </c>
    </row>
    <row r="103" spans="1:5">
      <c r="A103" s="68">
        <v>0.30441299999999999</v>
      </c>
      <c r="B103" s="68">
        <v>0.48690600000000001</v>
      </c>
      <c r="C103" s="68">
        <v>41.165199999999999</v>
      </c>
      <c r="D103" s="68">
        <v>2</v>
      </c>
      <c r="E103" s="68" t="s">
        <v>510</v>
      </c>
    </row>
    <row r="104" spans="1:5">
      <c r="A104" s="68">
        <v>0.30730099999999999</v>
      </c>
      <c r="B104" s="68">
        <v>0.48879600000000001</v>
      </c>
      <c r="C104" s="68">
        <v>41.560699999999997</v>
      </c>
      <c r="D104" s="68">
        <v>2</v>
      </c>
      <c r="E104" s="68" t="s">
        <v>511</v>
      </c>
    </row>
    <row r="105" spans="1:5">
      <c r="A105" s="68">
        <v>0.31040699999999999</v>
      </c>
      <c r="B105" s="68">
        <v>0.49064200000000002</v>
      </c>
      <c r="C105" s="68">
        <v>41.971600000000002</v>
      </c>
      <c r="D105" s="68">
        <v>2</v>
      </c>
      <c r="E105" s="68" t="s">
        <v>512</v>
      </c>
    </row>
    <row r="106" spans="1:5">
      <c r="A106" s="68">
        <v>0.31373200000000001</v>
      </c>
      <c r="B106" s="68">
        <v>0.49220900000000001</v>
      </c>
      <c r="C106" s="68">
        <v>42.367400000000004</v>
      </c>
      <c r="D106" s="68">
        <v>2</v>
      </c>
      <c r="E106" s="68" t="s">
        <v>513</v>
      </c>
    </row>
    <row r="107" spans="1:5">
      <c r="A107" s="68">
        <v>0.31747199999999998</v>
      </c>
      <c r="B107" s="68">
        <v>0.492477</v>
      </c>
      <c r="C107" s="68">
        <v>42.768500000000003</v>
      </c>
      <c r="D107" s="68">
        <v>2</v>
      </c>
      <c r="E107" s="68" t="s">
        <v>514</v>
      </c>
    </row>
    <row r="108" spans="1:5">
      <c r="A108" s="68">
        <v>0.32121899999999998</v>
      </c>
      <c r="B108" s="68">
        <v>0.49359900000000001</v>
      </c>
      <c r="C108" s="68">
        <v>43.171300000000002</v>
      </c>
      <c r="D108" s="68">
        <v>2</v>
      </c>
      <c r="E108" s="68" t="s">
        <v>515</v>
      </c>
    </row>
    <row r="109" spans="1:5">
      <c r="A109" s="68">
        <v>0.32499499999999998</v>
      </c>
      <c r="B109" s="68">
        <v>0.49492599999999998</v>
      </c>
      <c r="C109" s="68">
        <v>43.577199999999998</v>
      </c>
      <c r="D109" s="68">
        <v>2</v>
      </c>
      <c r="E109" s="68" t="s">
        <v>516</v>
      </c>
    </row>
    <row r="110" spans="1:5">
      <c r="A110" s="68">
        <v>0.32913900000000001</v>
      </c>
      <c r="B110" s="68">
        <v>0.49615300000000001</v>
      </c>
      <c r="C110" s="68">
        <v>43.9833</v>
      </c>
      <c r="D110" s="68">
        <v>2</v>
      </c>
      <c r="E110" s="68" t="s">
        <v>517</v>
      </c>
    </row>
    <row r="111" spans="1:5">
      <c r="A111" s="68">
        <v>0.33384399999999997</v>
      </c>
      <c r="B111" s="68">
        <v>0.497087</v>
      </c>
      <c r="C111" s="68">
        <v>44.393000000000001</v>
      </c>
      <c r="D111" s="68">
        <v>2</v>
      </c>
      <c r="E111" s="68" t="s">
        <v>518</v>
      </c>
    </row>
    <row r="112" spans="1:5">
      <c r="A112" s="68">
        <v>0.33905099999999999</v>
      </c>
      <c r="B112" s="68">
        <v>0.49762499999999998</v>
      </c>
      <c r="C112" s="68">
        <v>44.797899999999998</v>
      </c>
      <c r="D112" s="68">
        <v>2</v>
      </c>
      <c r="E112" s="68" t="s">
        <v>519</v>
      </c>
    </row>
    <row r="113" spans="1:5">
      <c r="A113" s="68">
        <v>0.34419899999999998</v>
      </c>
      <c r="B113" s="68">
        <v>0.49836999999999998</v>
      </c>
      <c r="C113" s="68">
        <v>45.203899999999997</v>
      </c>
      <c r="D113" s="68">
        <v>2</v>
      </c>
      <c r="E113" s="68" t="s">
        <v>520</v>
      </c>
    </row>
    <row r="114" spans="1:5">
      <c r="A114" s="68">
        <v>0.34892200000000001</v>
      </c>
      <c r="B114" s="68">
        <v>0.50069799999999998</v>
      </c>
      <c r="C114" s="68">
        <v>45.6068</v>
      </c>
      <c r="D114" s="68">
        <v>2</v>
      </c>
      <c r="E114" s="68" t="s">
        <v>521</v>
      </c>
    </row>
    <row r="115" spans="1:5">
      <c r="A115" s="68">
        <v>0.35323199999999999</v>
      </c>
      <c r="B115" s="68">
        <v>0.50451100000000004</v>
      </c>
      <c r="C115" s="68">
        <v>46.017299999999999</v>
      </c>
      <c r="D115" s="68">
        <v>2</v>
      </c>
      <c r="E115" s="68" t="s">
        <v>522</v>
      </c>
    </row>
    <row r="116" spans="1:5">
      <c r="A116" s="68">
        <v>0.35719499999999998</v>
      </c>
      <c r="B116" s="68">
        <v>0.50944199999999995</v>
      </c>
      <c r="C116" s="68">
        <v>46.422600000000003</v>
      </c>
      <c r="D116" s="68">
        <v>2</v>
      </c>
      <c r="E116" s="68" t="s">
        <v>523</v>
      </c>
    </row>
    <row r="117" spans="1:5">
      <c r="A117" s="68">
        <v>0.36093999999999998</v>
      </c>
      <c r="B117" s="68">
        <v>0.51514199999999999</v>
      </c>
      <c r="C117" s="68">
        <v>46.828699999999998</v>
      </c>
      <c r="D117" s="68">
        <v>2</v>
      </c>
      <c r="E117" s="68" t="s">
        <v>524</v>
      </c>
    </row>
    <row r="118" spans="1:5">
      <c r="A118" s="68">
        <v>0.364506</v>
      </c>
      <c r="B118" s="68">
        <v>0.52081599999999995</v>
      </c>
      <c r="C118" s="68">
        <v>47.236499999999999</v>
      </c>
      <c r="D118" s="68">
        <v>2</v>
      </c>
      <c r="E118" s="68" t="s">
        <v>525</v>
      </c>
    </row>
    <row r="119" spans="1:5">
      <c r="A119" s="68">
        <v>0.36785800000000002</v>
      </c>
      <c r="B119" s="68">
        <v>0.52659299999999998</v>
      </c>
      <c r="C119" s="68">
        <v>47.6404</v>
      </c>
      <c r="D119" s="68">
        <v>2</v>
      </c>
      <c r="E119" s="68" t="s">
        <v>526</v>
      </c>
    </row>
    <row r="120" spans="1:5">
      <c r="A120" s="68">
        <v>0.370919</v>
      </c>
      <c r="B120" s="68">
        <v>0.53209399999999996</v>
      </c>
      <c r="C120" s="68">
        <v>48.049399999999999</v>
      </c>
      <c r="D120" s="68">
        <v>2</v>
      </c>
      <c r="E120" s="68" t="s">
        <v>527</v>
      </c>
    </row>
    <row r="121" spans="1:5">
      <c r="A121" s="68">
        <v>0.37386799999999998</v>
      </c>
      <c r="B121" s="68">
        <v>0.53735900000000003</v>
      </c>
      <c r="C121" s="68">
        <v>48.453200000000002</v>
      </c>
      <c r="D121" s="68">
        <v>2</v>
      </c>
      <c r="E121" s="68" t="s">
        <v>528</v>
      </c>
    </row>
    <row r="122" spans="1:5">
      <c r="A122" s="68">
        <v>0.37683899999999998</v>
      </c>
      <c r="B122" s="68">
        <v>0.54252800000000001</v>
      </c>
      <c r="C122" s="68">
        <v>48.857100000000003</v>
      </c>
      <c r="D122" s="68">
        <v>2</v>
      </c>
      <c r="E122" s="68" t="s">
        <v>529</v>
      </c>
    </row>
    <row r="123" spans="1:5">
      <c r="A123" s="68">
        <v>0.37995299999999999</v>
      </c>
      <c r="B123" s="68">
        <v>0.54712899999999998</v>
      </c>
      <c r="C123" s="68">
        <v>49.263100000000001</v>
      </c>
      <c r="D123" s="68">
        <v>2</v>
      </c>
      <c r="E123" s="68" t="s">
        <v>530</v>
      </c>
    </row>
    <row r="124" spans="1:5">
      <c r="A124" s="68">
        <v>0.38331199999999999</v>
      </c>
      <c r="B124" s="68">
        <v>0.55040599999999995</v>
      </c>
      <c r="C124" s="68">
        <v>49.673999999999999</v>
      </c>
      <c r="D124" s="68">
        <v>2</v>
      </c>
      <c r="E124" s="68" t="s">
        <v>531</v>
      </c>
    </row>
    <row r="125" spans="1:5">
      <c r="A125" s="68">
        <v>0.38610899999999998</v>
      </c>
      <c r="B125" s="68">
        <v>0.55386299999999999</v>
      </c>
      <c r="C125" s="68">
        <v>50.076900000000002</v>
      </c>
      <c r="D125" s="68">
        <v>2</v>
      </c>
      <c r="E125" s="68" t="s">
        <v>532</v>
      </c>
    </row>
    <row r="126" spans="1:5">
      <c r="A126" s="68">
        <v>0.38818599999999998</v>
      </c>
      <c r="B126" s="68">
        <v>0.55812399999999995</v>
      </c>
      <c r="C126" s="68">
        <v>50.484699999999997</v>
      </c>
      <c r="D126" s="68">
        <v>2</v>
      </c>
      <c r="E126" s="68" t="s">
        <v>533</v>
      </c>
    </row>
    <row r="127" spans="1:5">
      <c r="A127" s="68">
        <v>0.390293</v>
      </c>
      <c r="B127" s="68">
        <v>0.56264999999999998</v>
      </c>
      <c r="C127" s="68">
        <v>50.892499999999998</v>
      </c>
      <c r="D127" s="68">
        <v>2</v>
      </c>
      <c r="E127" s="68" t="s">
        <v>534</v>
      </c>
    </row>
    <row r="128" spans="1:5">
      <c r="A128" s="68">
        <v>0.39227099999999998</v>
      </c>
      <c r="B128" s="68">
        <v>0.56661300000000003</v>
      </c>
      <c r="C128" s="68">
        <v>51.294699999999999</v>
      </c>
      <c r="D128" s="68">
        <v>2</v>
      </c>
      <c r="E128" s="68" t="s">
        <v>535</v>
      </c>
    </row>
    <row r="129" spans="1:5">
      <c r="A129" s="68">
        <v>0.39400499999999999</v>
      </c>
      <c r="B129" s="68">
        <v>0.56958299999999995</v>
      </c>
      <c r="C129" s="68">
        <v>51.704599999999999</v>
      </c>
      <c r="D129" s="68">
        <v>2</v>
      </c>
      <c r="E129" s="68" t="s">
        <v>536</v>
      </c>
    </row>
    <row r="130" spans="1:5">
      <c r="A130" s="68">
        <v>0.39561299999999999</v>
      </c>
      <c r="B130" s="68">
        <v>0.57225499999999996</v>
      </c>
      <c r="C130" s="68">
        <v>52.116500000000002</v>
      </c>
      <c r="D130" s="68">
        <v>2</v>
      </c>
      <c r="E130" s="68" t="s">
        <v>537</v>
      </c>
    </row>
    <row r="131" spans="1:5">
      <c r="A131" s="68">
        <v>0.39719500000000002</v>
      </c>
      <c r="B131" s="68">
        <v>0.57509399999999999</v>
      </c>
      <c r="C131" s="68">
        <v>52.517499999999998</v>
      </c>
      <c r="D131" s="68">
        <v>2</v>
      </c>
      <c r="E131" s="68" t="s">
        <v>538</v>
      </c>
    </row>
    <row r="132" spans="1:5">
      <c r="A132" s="68">
        <v>0.39846999999999999</v>
      </c>
      <c r="B132" s="68">
        <v>0.57761799999999996</v>
      </c>
      <c r="C132" s="68">
        <v>52.921300000000002</v>
      </c>
      <c r="D132" s="68">
        <v>2</v>
      </c>
      <c r="E132" s="68" t="s">
        <v>539</v>
      </c>
    </row>
    <row r="133" spans="1:5">
      <c r="A133" s="68">
        <v>0.399671</v>
      </c>
      <c r="B133" s="68">
        <v>0.579183</v>
      </c>
      <c r="C133" s="68">
        <v>53.332099999999997</v>
      </c>
      <c r="D133" s="68">
        <v>2</v>
      </c>
      <c r="E133" s="68" t="s">
        <v>540</v>
      </c>
    </row>
    <row r="134" spans="1:5">
      <c r="A134" s="68">
        <v>0.40076499999999998</v>
      </c>
      <c r="B134" s="68">
        <v>0.58039300000000005</v>
      </c>
      <c r="C134" s="68">
        <v>53.735100000000003</v>
      </c>
      <c r="D134" s="68">
        <v>2</v>
      </c>
      <c r="E134" s="68" t="s">
        <v>541</v>
      </c>
    </row>
    <row r="135" spans="1:5">
      <c r="A135" s="68">
        <v>0.40155099999999999</v>
      </c>
      <c r="B135" s="68">
        <v>0.58069400000000004</v>
      </c>
      <c r="C135" s="68">
        <v>54.142600000000002</v>
      </c>
      <c r="D135" s="68">
        <v>2</v>
      </c>
      <c r="E135" s="68" t="s">
        <v>542</v>
      </c>
    </row>
    <row r="136" spans="1:5">
      <c r="A136" s="68">
        <v>0.40189900000000001</v>
      </c>
      <c r="B136" s="68">
        <v>0.58016299999999998</v>
      </c>
      <c r="C136" s="68">
        <v>54.551000000000002</v>
      </c>
      <c r="D136" s="68">
        <v>2</v>
      </c>
      <c r="E136" s="68" t="s">
        <v>543</v>
      </c>
    </row>
    <row r="137" spans="1:5">
      <c r="A137" s="68">
        <v>0.40167599999999998</v>
      </c>
      <c r="B137" s="68">
        <v>0.57991999999999999</v>
      </c>
      <c r="C137" s="68">
        <v>54.967199999999998</v>
      </c>
      <c r="D137" s="68">
        <v>2</v>
      </c>
      <c r="E137" s="68" t="s">
        <v>544</v>
      </c>
    </row>
    <row r="138" spans="1:5">
      <c r="A138" s="68">
        <v>0.40119500000000002</v>
      </c>
      <c r="B138" s="68">
        <v>0.58016599999999996</v>
      </c>
      <c r="C138" s="68">
        <v>55.361699999999999</v>
      </c>
      <c r="D138" s="68">
        <v>2</v>
      </c>
      <c r="E138" s="68" t="s">
        <v>545</v>
      </c>
    </row>
    <row r="139" spans="1:5">
      <c r="A139" s="68">
        <v>0.40090799999999999</v>
      </c>
      <c r="B139" s="68">
        <v>0.57991999999999999</v>
      </c>
      <c r="C139" s="68">
        <v>55.7667</v>
      </c>
      <c r="D139" s="68">
        <v>2</v>
      </c>
      <c r="E139" s="68" t="s">
        <v>546</v>
      </c>
    </row>
    <row r="140" spans="1:5">
      <c r="A140" s="68">
        <v>0.40081600000000001</v>
      </c>
      <c r="B140" s="68">
        <v>0.57956799999999997</v>
      </c>
      <c r="C140" s="68">
        <v>56.174900000000001</v>
      </c>
      <c r="D140" s="68">
        <v>2</v>
      </c>
      <c r="E140" s="68" t="s">
        <v>547</v>
      </c>
    </row>
    <row r="141" spans="1:5">
      <c r="A141" s="68">
        <v>0.40106599999999998</v>
      </c>
      <c r="B141" s="68">
        <v>0.57863299999999995</v>
      </c>
      <c r="C141" s="68">
        <v>56.578400000000002</v>
      </c>
      <c r="D141" s="68">
        <v>2</v>
      </c>
      <c r="E141" s="68" t="s">
        <v>548</v>
      </c>
    </row>
    <row r="142" spans="1:5">
      <c r="A142" s="68">
        <v>0.401644</v>
      </c>
      <c r="B142" s="68">
        <v>0.57726299999999997</v>
      </c>
      <c r="C142" s="68">
        <v>56.985399999999998</v>
      </c>
      <c r="D142" s="68">
        <v>2</v>
      </c>
      <c r="E142" s="68" t="s">
        <v>549</v>
      </c>
    </row>
    <row r="143" spans="1:5">
      <c r="A143" s="68">
        <v>0.40234700000000001</v>
      </c>
      <c r="B143" s="68">
        <v>0.57576899999999998</v>
      </c>
      <c r="C143" s="68">
        <v>57.396299999999997</v>
      </c>
      <c r="D143" s="68">
        <v>2</v>
      </c>
      <c r="E143" s="68" t="s">
        <v>550</v>
      </c>
    </row>
    <row r="144" spans="1:5">
      <c r="A144" s="68">
        <v>0.40329799999999999</v>
      </c>
      <c r="B144" s="68">
        <v>0.57391199999999998</v>
      </c>
      <c r="C144" s="68">
        <v>57.795200000000001</v>
      </c>
      <c r="D144" s="68">
        <v>2</v>
      </c>
      <c r="E144" s="68" t="s">
        <v>551</v>
      </c>
    </row>
    <row r="145" spans="1:5">
      <c r="A145" s="68">
        <v>0.40504699999999999</v>
      </c>
      <c r="B145" s="68">
        <v>0.57218000000000002</v>
      </c>
      <c r="C145" s="68">
        <v>58.204300000000003</v>
      </c>
      <c r="D145" s="68">
        <v>2</v>
      </c>
      <c r="E145" s="68" t="s">
        <v>552</v>
      </c>
    </row>
    <row r="146" spans="1:5">
      <c r="A146" s="68">
        <v>0.40759600000000001</v>
      </c>
      <c r="B146" s="68">
        <v>0.57040900000000005</v>
      </c>
      <c r="C146" s="68">
        <v>58.607100000000003</v>
      </c>
      <c r="D146" s="68">
        <v>2</v>
      </c>
      <c r="E146" s="68" t="s">
        <v>553</v>
      </c>
    </row>
    <row r="147" spans="1:5">
      <c r="A147" s="68">
        <v>0.41123399999999999</v>
      </c>
      <c r="B147" s="68">
        <v>0.56807799999999997</v>
      </c>
      <c r="C147" s="68">
        <v>59.014000000000003</v>
      </c>
      <c r="D147" s="68">
        <v>2</v>
      </c>
      <c r="E147" s="68" t="s">
        <v>554</v>
      </c>
    </row>
    <row r="148" spans="1:5">
      <c r="A148" s="68">
        <v>0.416107</v>
      </c>
      <c r="B148" s="68">
        <v>0.56470399999999998</v>
      </c>
      <c r="C148" s="68">
        <v>59.425199999999997</v>
      </c>
      <c r="D148" s="68">
        <v>2</v>
      </c>
      <c r="E148" s="68" t="s">
        <v>555</v>
      </c>
    </row>
    <row r="149" spans="1:5">
      <c r="A149" s="68">
        <v>0.42107600000000001</v>
      </c>
      <c r="B149" s="68">
        <v>0.56275600000000003</v>
      </c>
      <c r="C149" s="68">
        <v>59.830800000000004</v>
      </c>
      <c r="D149" s="68">
        <v>2</v>
      </c>
      <c r="E149" s="68" t="s">
        <v>556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406</v>
      </c>
      <c r="B1" s="66" t="s">
        <v>557</v>
      </c>
      <c r="C1" s="66" t="s">
        <v>559</v>
      </c>
      <c r="D1" s="66" t="s">
        <v>560</v>
      </c>
      <c r="E1" s="66" t="s">
        <v>561</v>
      </c>
      <c r="F1" s="66" t="s">
        <v>348</v>
      </c>
      <c r="G1" s="66" t="s">
        <v>349</v>
      </c>
      <c r="H1" s="66" t="s">
        <v>562</v>
      </c>
      <c r="I1" s="66" t="s">
        <v>563</v>
      </c>
      <c r="J1" s="66" t="s">
        <v>564</v>
      </c>
      <c r="K1" s="66" t="s">
        <v>565</v>
      </c>
      <c r="L1" s="66" t="s">
        <v>566</v>
      </c>
      <c r="M1" s="66" t="s">
        <v>567</v>
      </c>
      <c r="N1" s="66"/>
    </row>
    <row r="2" spans="1:14">
      <c r="A2" s="75">
        <v>43607.669756944444</v>
      </c>
      <c r="B2" s="66" t="s">
        <v>558</v>
      </c>
      <c r="C2" s="66"/>
      <c r="D2" s="66"/>
      <c r="E2" s="66">
        <v>4.9234099999999996</v>
      </c>
      <c r="F2" s="66">
        <v>1.6810799999999999</v>
      </c>
      <c r="G2" s="66">
        <v>0.51932900000000004</v>
      </c>
      <c r="H2" s="66">
        <v>0</v>
      </c>
      <c r="I2" s="66">
        <v>165921</v>
      </c>
      <c r="J2" s="66">
        <v>93</v>
      </c>
      <c r="K2" s="66">
        <v>93</v>
      </c>
      <c r="L2" s="66">
        <v>0</v>
      </c>
      <c r="M2" s="66" t="s">
        <v>568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2019-05-22T08:05:24Z</cp:lastPrinted>
  <dcterms:created xsi:type="dcterms:W3CDTF">2010-10-29T12:53:05Z</dcterms:created>
  <dcterms:modified xsi:type="dcterms:W3CDTF">2019-05-22T08:05:46Z</dcterms:modified>
</cp:coreProperties>
</file>