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<sst xmlns="http://schemas.openxmlformats.org/spreadsheetml/2006/main" count="702" uniqueCount="520">
  <si>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</si>
  <si>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</si>
  <si>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</si>
  <si>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</si>
  <si>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</si>
  <si>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</si>
  <si>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</si>
  <si>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</si>
  <si>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</si>
  <si>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</si>
  <si>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</si>
  <si>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</si>
  <si>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</si>
  <si>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</si>
  <si>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</si>
  <si>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</si>
  <si>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</si>
  <si>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</si>
  <si>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</si>
  <si>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</si>
  <si>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</si>
  <si>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</si>
  <si>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</si>
  <si>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</si>
  <si>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</si>
  <si>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</si>
  <si>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</si>
  <si>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</si>
  <si>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</si>
  <si>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</si>
  <si>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</si>
  <si>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</si>
  <si>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</si>
  <si>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</si>
  <si>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</si>
  <si>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</si>
  <si>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</si>
  <si>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</si>
  <si>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</si>
  <si>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</si>
  <si>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</si>
  <si>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</si>
  <si>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</si>
  <si>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</si>
  <si>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</si>
  <si>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</si>
  <si>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</si>
  <si>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</si>
  <si>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</si>
  <si>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</si>
  <si>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</si>
  <si>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</si>
  <si>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</si>
  <si>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</si>
  <si>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</si>
  <si>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</si>
  <si>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</si>
  <si>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</si>
  <si>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</si>
  <si>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</si>
  <si>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</si>
  <si>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</si>
  <si>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</si>
  <si>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</si>
  <si>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</si>
  <si>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</si>
  <si>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</si>
  <si>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</si>
  <si>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</si>
  <si>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</si>
  <si>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</si>
  <si>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</si>
  <si>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</si>
  <si>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</si>
  <si>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</si>
  <si>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</si>
  <si>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</si>
  <si>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</si>
  <si>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</si>
  <si>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</si>
  <si>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</si>
  <si>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</si>
  <si>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</si>
  <si>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</si>
  <si>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</si>
  <si>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</si>
  <si>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</si>
  <si>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</si>
  <si>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</si>
  <si>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</si>
  <si>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</si>
  <si>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</si>
  <si>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</si>
  <si>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</si>
  <si>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</si>
  <si>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</si>
  <si>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</si>
  <si>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</si>
  <si>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</si>
  <si>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</si>
  <si>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</si>
  <si>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</si>
  <si>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</si>
  <si>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</si>
  <si>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</si>
  <si>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</si>
  <si>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</si>
  <si>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</si>
  <si>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</si>
  <si>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</si>
  <si>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</si>
  <si>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</si>
  <si>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</si>
  <si>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</si>
  <si>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</si>
  <si>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</si>
  <si>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</si>
  <si>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</si>
  <si>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</si>
  <si>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</si>
  <si>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</si>
  <si>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</si>
  <si>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</si>
  <si>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</si>
  <si>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</si>
  <si>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</si>
  <si>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</si>
  <si>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</si>
  <si>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</si>
  <si>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</si>
  <si>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</si>
  <si>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</si>
  <si>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</si>
  <si>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</si>
  <si>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</si>
  <si>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</si>
  <si>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</si>
  <si>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</si>
  <si>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</si>
  <si>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</si>
  <si>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</si>
  <si>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</si>
  <si>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</si>
  <si>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</si>
  <si>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</si>
  <si>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</si>
  <si>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</si>
  <si>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</si>
  <si>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</si>
  <si>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</si>
  <si>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</si>
  <si>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</si>
  <si>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</si>
  <si>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</si>
  <si>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</si>
  <si>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</si>
  <si>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</si>
  <si>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</si>
  <si>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</si>
  <si>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</si>
  <si>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</si>
  <si>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</si>
  <si>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</si>
  <si>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</si>
  <si>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</si>
  <si>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</si>
  <si>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</si>
  <si>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</si>
  <si>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</si>
  <si>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</si>
  <si>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</si>
  <si>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</si>
  <si>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</si>
  <si>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</si>
  <si>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</si>
  <si>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</si>
  <si>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</si>
  <si>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</si>
  <si>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</si>
  <si>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</si>
  <si>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</si>
  <si>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</si>
  <si>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</si>
  <si>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</si>
  <si>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</si>
  <si>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</si>
  <si>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</si>
  <si>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</si>
  <si>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</si>
  <si>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</si>
  <si>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</si>
  <si>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</si>
  <si>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</si>
  <si>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</si>
  <si>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</si>
  <si>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</si>
  <si>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</si>
  <si>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</si>
  <si>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</si>
  <si>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</si>
  <si>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</si>
  <si>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</si>
  <si>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</si>
  <si>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</si>
  <si>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</si>
  <si>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</si>
  <si>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</si>
  <si>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</si>
  <si>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</si>
  <si>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</si>
  <si>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</si>
  <si>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</si>
  <si>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</si>
  <si>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</si>
  <si>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</si>
  <si>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</si>
  <si>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</si>
  <si>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</si>
  <si>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</si>
  <si>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</si>
  <si>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</si>
  <si>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</si>
  <si>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</si>
  <si>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</si>
  <si>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</si>
  <si>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</si>
  <si>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</si>
  <si>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</si>
  <si>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</si>
  <si>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</si>
  <si>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</si>
  <si>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</si>
  <si>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</si>
  <si>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</si>
  <si>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</si>
  <si>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</si>
  <si>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</si>
  <si>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</si>
  <si>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</si>
  <si>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</si>
  <si>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</si>
  <si>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</si>
  <si>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</si>
  <si>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</si>
  <si>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</si>
  <si>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</si>
  <si>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</si>
  <si>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</si>
  <si>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</si>
  <si>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</si>
  <si>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</si>
  <si>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</si>
  <si>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</si>
  <si>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</si>
  <si>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</si>
  <si>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</si>
  <si>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</si>
  <si>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</si>
  <si>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</si>
  <si>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</si>
  <si>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</si>
  <si>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</si>
  <si>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</si>
  <si>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</si>
  <si>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</si>
  <si>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</si>
  <si>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</si>
  <si>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</si>
  <si>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</si>
  <si>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</si>
  <si>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</si>
  <si>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</si>
  <si>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</si>
  <si>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</si>
  <si>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</si>
  <si>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</si>
  <si>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</si>
  <si>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</si>
  <si>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</si>
  <si>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</si>
  <si>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</si>
  <si>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</si>
  <si>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</si>
  <si>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</si>
  <si>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</si>
  <si>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</si>
  <si>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</si>
  <si>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</si>
  <si>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</si>
  <si>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</si>
  <si>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</si>
  <si>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</si>
  <si>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</si>
  <si>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</si>
  <si>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</si>
  <si>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</si>
  <si>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</si>
  <si>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</si>
  <si>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</si>
  <si>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</si>
  <si>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</si>
  <si>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</si>
  <si>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</si>
  <si>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</si>
  <si>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</si>
  <si>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</si>
  <si>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</si>
  <si>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</si>
  <si>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</si>
  <si>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</si>
  <si>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</si>
  <si>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</si>
  <si>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</si>
  <si>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</si>
  <si>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</si>
  <si>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</si>
  <si>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</si>
  <si>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</si>
  <si>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</si>
  <si>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</si>
  <si>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</si>
  <si>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</si>
  <si>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</si>
  <si>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</si>
  <si>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</si>
  <si>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</si>
  <si>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</si>
  <si>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</si>
  <si>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</si>
  <si>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</si>
  <si>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</si>
  <si>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</si>
  <si>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</si>
  <si>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</si>
  <si>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</si>
  <si>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</si>
  <si>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</si>
  <si>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</si>
  <si>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</si>
  <si>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</si>
  <si>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</si>
  <si>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</si>
  <si>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</si>
  <si>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</si>
  <si>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</si>
  <si>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</si>
  <si>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</si>
  <si>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</si>
  <si>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</si>
  <si>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</si>
  <si>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</si>
  <si>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</si>
  <si>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</si>
  <si>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</si>
  <si>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</si>
  <si>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</si>
  <si>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[0.383936]</t>
  </si>
  <si>
    <t>1 [0.794846]</t>
  </si>
  <si>
    <t>1 [1.204760]</t>
  </si>
  <si>
    <t>1 [1.609669]</t>
  </si>
  <si>
    <t>1 [2.013623]</t>
  </si>
  <si>
    <t>1 [2.418786]</t>
  </si>
  <si>
    <t>1 [2.820696]</t>
  </si>
  <si>
    <t>1 [3.234459]</t>
  </si>
  <si>
    <t>1 [3.639168]</t>
  </si>
  <si>
    <t>1 [4.044104]</t>
  </si>
  <si>
    <t>1 [4.450359]</t>
  </si>
  <si>
    <t>1 [4.857952]</t>
  </si>
  <si>
    <t>1 [5.266877]</t>
  </si>
  <si>
    <t>1 [5.665363]</t>
  </si>
  <si>
    <t>1 [6.076644]</t>
  </si>
  <si>
    <t>1 [6.480527]</t>
  </si>
  <si>
    <t>1 [6.894530]</t>
  </si>
  <si>
    <t>1 [7.296535]</t>
  </si>
  <si>
    <t>1 [7.705327]</t>
  </si>
  <si>
    <t>1 [8.106255]</t>
  </si>
  <si>
    <t>1 [8.512323]</t>
  </si>
  <si>
    <t>1 [8.918267]</t>
  </si>
  <si>
    <t>1 [9.321986]</t>
  </si>
  <si>
    <t>1 [9.731989]</t>
  </si>
  <si>
    <t>1 [10.135798]</t>
  </si>
  <si>
    <t>1 [10.541721]</t>
  </si>
  <si>
    <t>1 [10.946097]</t>
  </si>
  <si>
    <t>1 [11.357525]</t>
  </si>
  <si>
    <t>1 [11.760041]</t>
  </si>
  <si>
    <t>1 [12.167381]</t>
  </si>
  <si>
    <t>1 [12.572318]</t>
  </si>
  <si>
    <t>1 [12.976241]</t>
  </si>
  <si>
    <t>1 [13.386120]</t>
  </si>
  <si>
    <t>1 [13.796365]</t>
  </si>
  <si>
    <t>1 [14.198978]</t>
  </si>
  <si>
    <t>1 [14.604841]</t>
  </si>
  <si>
    <t>1 [15.010197]</t>
  </si>
  <si>
    <t>1 [15.414110]</t>
  </si>
  <si>
    <t>1 [15.825634]</t>
  </si>
  <si>
    <t>1 [16.232127]</t>
  </si>
  <si>
    <t>1 [16.637410]</t>
  </si>
  <si>
    <t>1 [17.043483]</t>
  </si>
  <si>
    <t>1 [17.445660]</t>
  </si>
  <si>
    <t>1 [17.854186]</t>
  </si>
  <si>
    <t>1 [18.262207]</t>
  </si>
  <si>
    <t>1 [18.668011]</t>
  </si>
  <si>
    <t>1 [19.074379]</t>
  </si>
  <si>
    <t>1 [19.481804]</t>
  </si>
  <si>
    <t>1 [19.888849]</t>
  </si>
  <si>
    <t>1 [20.296808]</t>
  </si>
  <si>
    <t>1 [20.698630]</t>
  </si>
  <si>
    <t>1 [21.102485]</t>
  </si>
  <si>
    <t>1 [21.510575]</t>
  </si>
  <si>
    <t>1 [21.920430]</t>
  </si>
  <si>
    <t>1 [22.324281]</t>
  </si>
  <si>
    <t>1 [22.732155]</t>
  </si>
  <si>
    <t>1 [23.135011]</t>
  </si>
  <si>
    <t>1 [23.543124]</t>
  </si>
  <si>
    <t>1 [23.950858]</t>
  </si>
  <si>
    <t>1 [24.357849]</t>
  </si>
  <si>
    <t>1 [24.760733]</t>
  </si>
  <si>
    <t>1 [25.165623]</t>
  </si>
  <si>
    <t>1 [25.573696]</t>
  </si>
  <si>
    <t>1 [25.979752]</t>
  </si>
  <si>
    <t>1 [26.387391]</t>
  </si>
  <si>
    <t>1 [26.794287]</t>
  </si>
  <si>
    <t>1 [27.199218]</t>
  </si>
  <si>
    <t>1 [27.607077]</t>
  </si>
  <si>
    <t>1 [28.009477]</t>
  </si>
  <si>
    <t>1 [28.416977]</t>
  </si>
  <si>
    <t>1 [28.826824]</t>
  </si>
  <si>
    <t>1 [29.229968]</t>
  </si>
  <si>
    <t>1 [29.632668]</t>
  </si>
  <si>
    <t>1 [30.044958]</t>
  </si>
  <si>
    <t>2 [30.623025]</t>
  </si>
  <si>
    <t>2 [30.997147]</t>
  </si>
  <si>
    <t>2 [31.371101]</t>
  </si>
  <si>
    <t>2 [31.747147]</t>
  </si>
  <si>
    <t>2 [32.117364]</t>
  </si>
  <si>
    <t>2 [32.529192]</t>
  </si>
  <si>
    <t>2 [32.935845]</t>
  </si>
  <si>
    <t>2 [33.340844]</t>
  </si>
  <si>
    <t>2 [33.744695]</t>
  </si>
  <si>
    <t>2 [34.152658]</t>
  </si>
  <si>
    <t>2 [34.562857]</t>
  </si>
  <si>
    <t>2 [34.966485]</t>
  </si>
  <si>
    <t>2 [35.371330]</t>
  </si>
  <si>
    <t>2 [35.776309]</t>
  </si>
  <si>
    <t>2 [36.185113]</t>
  </si>
  <si>
    <t>2 [36.589208]</t>
  </si>
  <si>
    <t>2 [36.997981]</t>
  </si>
  <si>
    <t>2 [37.403924]</t>
  </si>
  <si>
    <t>2 [37.806785]</t>
  </si>
  <si>
    <t>2 [38.214804]</t>
  </si>
  <si>
    <t>2 [38.621640]</t>
  </si>
  <si>
    <t>2 [39.031441]</t>
  </si>
  <si>
    <t>2 [39.433386]</t>
  </si>
  <si>
    <t>2 [39.838378]</t>
  </si>
  <si>
    <t>2 [40.249247]</t>
  </si>
  <si>
    <t>2 [40.648200]</t>
  </si>
  <si>
    <t>2 [41.060247]</t>
  </si>
  <si>
    <t>2 [41.464080]</t>
  </si>
  <si>
    <t>2 [41.870988]</t>
  </si>
  <si>
    <t>2 [42.277335]</t>
  </si>
  <si>
    <t>2 [42.686872]</t>
  </si>
  <si>
    <t>2 [43.087672]</t>
  </si>
  <si>
    <t>2 [43.497580]</t>
  </si>
  <si>
    <t>2 [43.898645]</t>
  </si>
  <si>
    <t>2 [44.307487]</t>
  </si>
  <si>
    <t>2 [44.718353]</t>
  </si>
  <si>
    <t>2 [45.122922]</t>
  </si>
  <si>
    <t>2 [45.526246]</t>
  </si>
  <si>
    <t>2 [45.934079]</t>
  </si>
  <si>
    <t>2 [46.339092]</t>
  </si>
  <si>
    <t>2 [46.746348]</t>
  </si>
  <si>
    <t>2 [47.152901]</t>
  </si>
  <si>
    <t>2 [47.559764]</t>
  </si>
  <si>
    <t>2 [47.963762]</t>
  </si>
  <si>
    <t>2 [48.369657]</t>
  </si>
  <si>
    <t>2 [48.777535]</t>
  </si>
  <si>
    <t>2 [49.185439]</t>
  </si>
  <si>
    <t>2 [49.592347]</t>
  </si>
  <si>
    <t>2 [49.995218]</t>
  </si>
  <si>
    <t>2 [50.403244]</t>
  </si>
  <si>
    <t>2 [50.810294]</t>
  </si>
  <si>
    <t>2 [51.217028]</t>
  </si>
  <si>
    <t>2 [51.621908]</t>
  </si>
  <si>
    <t>2 [52.025778]</t>
  </si>
  <si>
    <t>2 [52.428338]</t>
  </si>
  <si>
    <t>2 [52.837680]</t>
  </si>
  <si>
    <t>2 [53.248609]</t>
  </si>
  <si>
    <t>2 [53.656580]</t>
  </si>
  <si>
    <t>2 [54.059328]</t>
  </si>
  <si>
    <t>2 [54.464314]</t>
  </si>
  <si>
    <t>2 [54.869470]</t>
  </si>
  <si>
    <t>2 [55.280854]</t>
  </si>
  <si>
    <t>2 [55.685053]</t>
  </si>
  <si>
    <t>2 [56.091967]</t>
  </si>
  <si>
    <t>2 [56.496869]</t>
  </si>
  <si>
    <t>2 [56.901876]</t>
  </si>
  <si>
    <t>2 [57.310711]</t>
  </si>
  <si>
    <t>2 [57.716601]</t>
  </si>
  <si>
    <t>2 [58.122498]</t>
  </si>
  <si>
    <t>2 [58.527441]</t>
  </si>
  <si>
    <t>2 [58.929663]</t>
  </si>
  <si>
    <t>2 [59.342314]</t>
  </si>
  <si>
    <t>2 [59.746719]</t>
  </si>
  <si>
    <t>2 [60.152112]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</si>
  <si>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</si>
  <si>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</si>
  <si>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</si>
  <si>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</si>
  <si>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</si>
  <si>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</si>
  <si>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S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</si>
  <si>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</si>
  <si>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</si>
  <si>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</si>
  <si>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</si>
  <si>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</si>
  <si>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</si>
  <si>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</si>
  <si>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</si>
  <si>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焦永先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</si>
</sst>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38.941400000000002</c:v>
                </c:pt>
                <c:pt idx="1">
                  <c:v>27.2195</c:v>
                </c:pt>
                <c:pt idx="2">
                  <c:v>26.305900000000001</c:v>
                </c:pt>
                <c:pt idx="3">
                  <c:v>30.681999999999999</c:v>
                </c:pt>
                <c:pt idx="4">
                  <c:v>68.121600000000001</c:v>
                </c:pt>
                <c:pt idx="5">
                  <c:v>80.402100000000004</c:v>
                </c:pt>
                <c:pt idx="6">
                  <c:v>23.6252</c:v>
                </c:pt>
                <c:pt idx="7">
                  <c:v>74.028599999999997</c:v>
                </c:pt>
                <c:pt idx="8">
                  <c:v>19.706800000000001</c:v>
                </c:pt>
                <c:pt idx="9">
                  <c:v>37.434100000000001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0.5090433762379083</c:v>
                </c:pt>
                <c:pt idx="1">
                  <c:v>0.25464585890931107</c:v>
                </c:pt>
                <c:pt idx="2">
                  <c:v>0.23631076485278057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234</c:v>
                </c:pt>
                <c:pt idx="7">
                  <c:v>0</c:v>
                </c:pt>
                <c:pt idx="8">
                  <c:v>1346</c:v>
                </c:pt>
                <c:pt idx="9">
                  <c:v>0</c:v>
                </c:pt>
                <c:pt idx="10">
                  <c:v>0</c:v>
                </c:pt>
                <c:pt idx="11">
                  <c:v>2949</c:v>
                </c:pt>
                <c:pt idx="12">
                  <c:v>0</c:v>
                </c:pt>
                <c:pt idx="13">
                  <c:v>5003</c:v>
                </c:pt>
                <c:pt idx="14">
                  <c:v>0</c:v>
                </c:pt>
                <c:pt idx="15">
                  <c:v>0</c:v>
                </c:pt>
                <c:pt idx="16">
                  <c:v>11123</c:v>
                </c:pt>
                <c:pt idx="17">
                  <c:v>0</c:v>
                </c:pt>
                <c:pt idx="18">
                  <c:v>0</c:v>
                </c:pt>
                <c:pt idx="19">
                  <c:v>14573</c:v>
                </c:pt>
                <c:pt idx="20">
                  <c:v>0</c:v>
                </c:pt>
                <c:pt idx="21">
                  <c:v>23819</c:v>
                </c:pt>
                <c:pt idx="22">
                  <c:v>0</c:v>
                </c:pt>
                <c:pt idx="23">
                  <c:v>0</c:v>
                </c:pt>
                <c:pt idx="24">
                  <c:v>31690</c:v>
                </c:pt>
                <c:pt idx="25">
                  <c:v>0</c:v>
                </c:pt>
                <c:pt idx="26">
                  <c:v>45618</c:v>
                </c:pt>
                <c:pt idx="27">
                  <c:v>0</c:v>
                </c:pt>
                <c:pt idx="28">
                  <c:v>0</c:v>
                </c:pt>
                <c:pt idx="29">
                  <c:v>61759</c:v>
                </c:pt>
                <c:pt idx="30">
                  <c:v>0</c:v>
                </c:pt>
                <c:pt idx="31">
                  <c:v>74279</c:v>
                </c:pt>
                <c:pt idx="32">
                  <c:v>0</c:v>
                </c:pt>
                <c:pt idx="33">
                  <c:v>0</c:v>
                </c:pt>
                <c:pt idx="34">
                  <c:v>82352</c:v>
                </c:pt>
                <c:pt idx="35">
                  <c:v>0</c:v>
                </c:pt>
                <c:pt idx="36">
                  <c:v>0</c:v>
                </c:pt>
                <c:pt idx="37">
                  <c:v>81663</c:v>
                </c:pt>
                <c:pt idx="38">
                  <c:v>0</c:v>
                </c:pt>
                <c:pt idx="39">
                  <c:v>87236</c:v>
                </c:pt>
                <c:pt idx="40">
                  <c:v>0</c:v>
                </c:pt>
                <c:pt idx="41">
                  <c:v>0</c:v>
                </c:pt>
                <c:pt idx="42">
                  <c:v>89434</c:v>
                </c:pt>
                <c:pt idx="43">
                  <c:v>0</c:v>
                </c:pt>
                <c:pt idx="44">
                  <c:v>98633</c:v>
                </c:pt>
                <c:pt idx="45">
                  <c:v>0</c:v>
                </c:pt>
                <c:pt idx="46">
                  <c:v>0</c:v>
                </c:pt>
                <c:pt idx="47">
                  <c:v>101566</c:v>
                </c:pt>
                <c:pt idx="48">
                  <c:v>0</c:v>
                </c:pt>
                <c:pt idx="49">
                  <c:v>106720</c:v>
                </c:pt>
                <c:pt idx="50">
                  <c:v>0</c:v>
                </c:pt>
                <c:pt idx="51">
                  <c:v>0</c:v>
                </c:pt>
                <c:pt idx="52">
                  <c:v>111272</c:v>
                </c:pt>
                <c:pt idx="53">
                  <c:v>0</c:v>
                </c:pt>
                <c:pt idx="54">
                  <c:v>0</c:v>
                </c:pt>
                <c:pt idx="55">
                  <c:v>117253</c:v>
                </c:pt>
                <c:pt idx="56">
                  <c:v>0</c:v>
                </c:pt>
                <c:pt idx="57">
                  <c:v>125327</c:v>
                </c:pt>
                <c:pt idx="58">
                  <c:v>0</c:v>
                </c:pt>
                <c:pt idx="59">
                  <c:v>0</c:v>
                </c:pt>
                <c:pt idx="60">
                  <c:v>130761</c:v>
                </c:pt>
                <c:pt idx="61">
                  <c:v>0</c:v>
                </c:pt>
                <c:pt idx="62">
                  <c:v>136299</c:v>
                </c:pt>
                <c:pt idx="63">
                  <c:v>0</c:v>
                </c:pt>
                <c:pt idx="64">
                  <c:v>0</c:v>
                </c:pt>
                <c:pt idx="65">
                  <c:v>144647</c:v>
                </c:pt>
                <c:pt idx="66">
                  <c:v>0</c:v>
                </c:pt>
                <c:pt idx="67">
                  <c:v>147504</c:v>
                </c:pt>
                <c:pt idx="68">
                  <c:v>0</c:v>
                </c:pt>
                <c:pt idx="69">
                  <c:v>0</c:v>
                </c:pt>
                <c:pt idx="70">
                  <c:v>160959</c:v>
                </c:pt>
                <c:pt idx="71">
                  <c:v>0</c:v>
                </c:pt>
                <c:pt idx="72">
                  <c:v>0</c:v>
                </c:pt>
                <c:pt idx="73">
                  <c:v>152629</c:v>
                </c:pt>
                <c:pt idx="74">
                  <c:v>0</c:v>
                </c:pt>
                <c:pt idx="75">
                  <c:v>163511</c:v>
                </c:pt>
                <c:pt idx="76">
                  <c:v>0</c:v>
                </c:pt>
                <c:pt idx="77">
                  <c:v>0</c:v>
                </c:pt>
                <c:pt idx="78">
                  <c:v>149982</c:v>
                </c:pt>
                <c:pt idx="79">
                  <c:v>0</c:v>
                </c:pt>
                <c:pt idx="80">
                  <c:v>156650</c:v>
                </c:pt>
                <c:pt idx="81">
                  <c:v>0</c:v>
                </c:pt>
                <c:pt idx="82">
                  <c:v>0</c:v>
                </c:pt>
                <c:pt idx="83">
                  <c:v>156737</c:v>
                </c:pt>
                <c:pt idx="84">
                  <c:v>0</c:v>
                </c:pt>
                <c:pt idx="85">
                  <c:v>0</c:v>
                </c:pt>
                <c:pt idx="86">
                  <c:v>158973</c:v>
                </c:pt>
                <c:pt idx="87">
                  <c:v>0</c:v>
                </c:pt>
                <c:pt idx="88">
                  <c:v>154015</c:v>
                </c:pt>
                <c:pt idx="89">
                  <c:v>0</c:v>
                </c:pt>
                <c:pt idx="90">
                  <c:v>0</c:v>
                </c:pt>
                <c:pt idx="91">
                  <c:v>150482</c:v>
                </c:pt>
                <c:pt idx="92">
                  <c:v>0</c:v>
                </c:pt>
                <c:pt idx="93">
                  <c:v>144879</c:v>
                </c:pt>
                <c:pt idx="94">
                  <c:v>0</c:v>
                </c:pt>
                <c:pt idx="95">
                  <c:v>0</c:v>
                </c:pt>
                <c:pt idx="96">
                  <c:v>144844</c:v>
                </c:pt>
                <c:pt idx="97">
                  <c:v>0</c:v>
                </c:pt>
                <c:pt idx="98">
                  <c:v>146337</c:v>
                </c:pt>
                <c:pt idx="99">
                  <c:v>0</c:v>
                </c:pt>
                <c:pt idx="100">
                  <c:v>0</c:v>
                </c:pt>
                <c:pt idx="101">
                  <c:v>143969</c:v>
                </c:pt>
                <c:pt idx="102">
                  <c:v>0</c:v>
                </c:pt>
                <c:pt idx="103">
                  <c:v>0</c:v>
                </c:pt>
                <c:pt idx="104">
                  <c:v>132782</c:v>
                </c:pt>
                <c:pt idx="105">
                  <c:v>0</c:v>
                </c:pt>
                <c:pt idx="106">
                  <c:v>132374</c:v>
                </c:pt>
                <c:pt idx="107">
                  <c:v>0</c:v>
                </c:pt>
                <c:pt idx="108">
                  <c:v>0</c:v>
                </c:pt>
                <c:pt idx="109">
                  <c:v>131553</c:v>
                </c:pt>
                <c:pt idx="110">
                  <c:v>0</c:v>
                </c:pt>
                <c:pt idx="111">
                  <c:v>125010</c:v>
                </c:pt>
                <c:pt idx="112">
                  <c:v>0</c:v>
                </c:pt>
                <c:pt idx="113">
                  <c:v>0</c:v>
                </c:pt>
                <c:pt idx="114">
                  <c:v>122224</c:v>
                </c:pt>
                <c:pt idx="115">
                  <c:v>0</c:v>
                </c:pt>
                <c:pt idx="116">
                  <c:v>121351</c:v>
                </c:pt>
                <c:pt idx="117">
                  <c:v>0</c:v>
                </c:pt>
                <c:pt idx="118">
                  <c:v>0</c:v>
                </c:pt>
                <c:pt idx="119">
                  <c:v>112347</c:v>
                </c:pt>
                <c:pt idx="120">
                  <c:v>0</c:v>
                </c:pt>
                <c:pt idx="121">
                  <c:v>0</c:v>
                </c:pt>
                <c:pt idx="122">
                  <c:v>108106</c:v>
                </c:pt>
                <c:pt idx="123">
                  <c:v>0</c:v>
                </c:pt>
                <c:pt idx="124">
                  <c:v>105643</c:v>
                </c:pt>
                <c:pt idx="125">
                  <c:v>0</c:v>
                </c:pt>
                <c:pt idx="126">
                  <c:v>0</c:v>
                </c:pt>
                <c:pt idx="127">
                  <c:v>106878</c:v>
                </c:pt>
                <c:pt idx="128">
                  <c:v>0</c:v>
                </c:pt>
                <c:pt idx="129">
                  <c:v>92017</c:v>
                </c:pt>
                <c:pt idx="130">
                  <c:v>0</c:v>
                </c:pt>
                <c:pt idx="131">
                  <c:v>0</c:v>
                </c:pt>
                <c:pt idx="132">
                  <c:v>88938</c:v>
                </c:pt>
                <c:pt idx="133">
                  <c:v>0</c:v>
                </c:pt>
                <c:pt idx="134">
                  <c:v>80257</c:v>
                </c:pt>
                <c:pt idx="135">
                  <c:v>0</c:v>
                </c:pt>
                <c:pt idx="136">
                  <c:v>0</c:v>
                </c:pt>
                <c:pt idx="137">
                  <c:v>68542</c:v>
                </c:pt>
                <c:pt idx="138">
                  <c:v>0</c:v>
                </c:pt>
                <c:pt idx="139">
                  <c:v>0</c:v>
                </c:pt>
                <c:pt idx="140">
                  <c:v>63076</c:v>
                </c:pt>
                <c:pt idx="141">
                  <c:v>0</c:v>
                </c:pt>
                <c:pt idx="142">
                  <c:v>58085</c:v>
                </c:pt>
                <c:pt idx="143">
                  <c:v>0</c:v>
                </c:pt>
                <c:pt idx="144">
                  <c:v>0</c:v>
                </c:pt>
                <c:pt idx="145">
                  <c:v>49912</c:v>
                </c:pt>
                <c:pt idx="146">
                  <c:v>0</c:v>
                </c:pt>
                <c:pt idx="147">
                  <c:v>40513</c:v>
                </c:pt>
                <c:pt idx="148">
                  <c:v>0</c:v>
                </c:pt>
                <c:pt idx="149">
                  <c:v>0</c:v>
                </c:pt>
                <c:pt idx="150">
                  <c:v>34121</c:v>
                </c:pt>
                <c:pt idx="151">
                  <c:v>0</c:v>
                </c:pt>
                <c:pt idx="152">
                  <c:v>28033</c:v>
                </c:pt>
                <c:pt idx="153">
                  <c:v>0</c:v>
                </c:pt>
                <c:pt idx="154">
                  <c:v>0</c:v>
                </c:pt>
                <c:pt idx="155">
                  <c:v>24375</c:v>
                </c:pt>
                <c:pt idx="156">
                  <c:v>0</c:v>
                </c:pt>
                <c:pt idx="157">
                  <c:v>0</c:v>
                </c:pt>
                <c:pt idx="158">
                  <c:v>19962</c:v>
                </c:pt>
                <c:pt idx="159">
                  <c:v>0</c:v>
                </c:pt>
                <c:pt idx="160">
                  <c:v>12344</c:v>
                </c:pt>
                <c:pt idx="161">
                  <c:v>0</c:v>
                </c:pt>
                <c:pt idx="162">
                  <c:v>0</c:v>
                </c:pt>
                <c:pt idx="163">
                  <c:v>10467</c:v>
                </c:pt>
                <c:pt idx="164">
                  <c:v>0</c:v>
                </c:pt>
                <c:pt idx="165">
                  <c:v>6467</c:v>
                </c:pt>
                <c:pt idx="166">
                  <c:v>0</c:v>
                </c:pt>
                <c:pt idx="167">
                  <c:v>0</c:v>
                </c:pt>
                <c:pt idx="168">
                  <c:v>3435</c:v>
                </c:pt>
                <c:pt idx="169">
                  <c:v>0</c:v>
                </c:pt>
                <c:pt idx="170">
                  <c:v>0</c:v>
                </c:pt>
                <c:pt idx="171">
                  <c:v>4321</c:v>
                </c:pt>
                <c:pt idx="172">
                  <c:v>0</c:v>
                </c:pt>
                <c:pt idx="173">
                  <c:v>2754</c:v>
                </c:pt>
                <c:pt idx="174">
                  <c:v>0</c:v>
                </c:pt>
                <c:pt idx="175">
                  <c:v>0</c:v>
                </c:pt>
                <c:pt idx="176">
                  <c:v>2205</c:v>
                </c:pt>
                <c:pt idx="177">
                  <c:v>0</c:v>
                </c:pt>
                <c:pt idx="178">
                  <c:v>1602</c:v>
                </c:pt>
                <c:pt idx="179">
                  <c:v>0</c:v>
                </c:pt>
                <c:pt idx="180">
                  <c:v>0</c:v>
                </c:pt>
                <c:pt idx="181">
                  <c:v>350</c:v>
                </c:pt>
                <c:pt idx="182">
                  <c:v>0</c:v>
                </c:pt>
                <c:pt idx="183">
                  <c:v>53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1.8896999999999999</c:v>
                </c:pt>
                <c:pt idx="1">
                  <c:v>1.9351399999999999</c:v>
                </c:pt>
                <c:pt idx="2">
                  <c:v>1.9799900000000001</c:v>
                </c:pt>
                <c:pt idx="3">
                  <c:v>2.02433</c:v>
                </c:pt>
                <c:pt idx="4">
                  <c:v>2.0693000000000001</c:v>
                </c:pt>
                <c:pt idx="5">
                  <c:v>2.11334</c:v>
                </c:pt>
                <c:pt idx="6">
                  <c:v>2.15429</c:v>
                </c:pt>
                <c:pt idx="7">
                  <c:v>2.19286</c:v>
                </c:pt>
                <c:pt idx="8">
                  <c:v>2.2333099999999999</c:v>
                </c:pt>
                <c:pt idx="9">
                  <c:v>2.2766299999999999</c:v>
                </c:pt>
                <c:pt idx="10">
                  <c:v>2.32118</c:v>
                </c:pt>
                <c:pt idx="11">
                  <c:v>2.3679600000000001</c:v>
                </c:pt>
                <c:pt idx="12">
                  <c:v>2.4160900000000001</c:v>
                </c:pt>
                <c:pt idx="13">
                  <c:v>2.4649700000000001</c:v>
                </c:pt>
                <c:pt idx="14">
                  <c:v>2.5107499999999998</c:v>
                </c:pt>
                <c:pt idx="15">
                  <c:v>2.5567500000000001</c:v>
                </c:pt>
                <c:pt idx="16">
                  <c:v>2.6019300000000003</c:v>
                </c:pt>
                <c:pt idx="17">
                  <c:v>2.64642</c:v>
                </c:pt>
                <c:pt idx="18">
                  <c:v>2.6933400000000001</c:v>
                </c:pt>
                <c:pt idx="19">
                  <c:v>2.7417599999999998</c:v>
                </c:pt>
                <c:pt idx="20">
                  <c:v>2.78878</c:v>
                </c:pt>
                <c:pt idx="21">
                  <c:v>2.8349600000000001</c:v>
                </c:pt>
                <c:pt idx="22">
                  <c:v>2.8836499999999998</c:v>
                </c:pt>
                <c:pt idx="23">
                  <c:v>2.9310100000000001</c:v>
                </c:pt>
                <c:pt idx="24">
                  <c:v>2.9785599999999999</c:v>
                </c:pt>
                <c:pt idx="25">
                  <c:v>3.0240200000000002</c:v>
                </c:pt>
                <c:pt idx="26">
                  <c:v>3.0666500000000001</c:v>
                </c:pt>
                <c:pt idx="27">
                  <c:v>3.1071399999999998</c:v>
                </c:pt>
                <c:pt idx="28">
                  <c:v>3.1455499999999996</c:v>
                </c:pt>
                <c:pt idx="29">
                  <c:v>3.1829299999999998</c:v>
                </c:pt>
                <c:pt idx="30">
                  <c:v>3.2218499999999999</c:v>
                </c:pt>
                <c:pt idx="31">
                  <c:v>3.2609399999999997</c:v>
                </c:pt>
                <c:pt idx="32">
                  <c:v>3.29861</c:v>
                </c:pt>
                <c:pt idx="33">
                  <c:v>3.3339600000000003</c:v>
                </c:pt>
                <c:pt idx="34">
                  <c:v>3.3675500000000005</c:v>
                </c:pt>
                <c:pt idx="35">
                  <c:v>3.4001399999999999</c:v>
                </c:pt>
                <c:pt idx="36">
                  <c:v>3.43058</c:v>
                </c:pt>
                <c:pt idx="37">
                  <c:v>3.4592899999999998</c:v>
                </c:pt>
                <c:pt idx="38">
                  <c:v>3.4852799999999999</c:v>
                </c:pt>
                <c:pt idx="39">
                  <c:v>3.5080099999999996</c:v>
                </c:pt>
                <c:pt idx="40">
                  <c:v>3.5306100000000002</c:v>
                </c:pt>
                <c:pt idx="41">
                  <c:v>3.5529600000000001</c:v>
                </c:pt>
                <c:pt idx="42">
                  <c:v>3.5787999999999998</c:v>
                </c:pt>
                <c:pt idx="43">
                  <c:v>3.6052900000000001</c:v>
                </c:pt>
                <c:pt idx="44">
                  <c:v>3.63117</c:v>
                </c:pt>
                <c:pt idx="45">
                  <c:v>3.6567300000000005</c:v>
                </c:pt>
                <c:pt idx="46">
                  <c:v>3.6825000000000001</c:v>
                </c:pt>
                <c:pt idx="47">
                  <c:v>3.7055799999999999</c:v>
                </c:pt>
                <c:pt idx="48">
                  <c:v>3.72987</c:v>
                </c:pt>
                <c:pt idx="49">
                  <c:v>3.7532399999999999</c:v>
                </c:pt>
                <c:pt idx="50">
                  <c:v>3.7717700000000001</c:v>
                </c:pt>
                <c:pt idx="51">
                  <c:v>3.7996099999999999</c:v>
                </c:pt>
                <c:pt idx="52">
                  <c:v>3.82721</c:v>
                </c:pt>
                <c:pt idx="53">
                  <c:v>3.8528699999999998</c:v>
                </c:pt>
                <c:pt idx="54">
                  <c:v>3.8752399999999998</c:v>
                </c:pt>
                <c:pt idx="55">
                  <c:v>3.8970599999999997</c:v>
                </c:pt>
                <c:pt idx="56">
                  <c:v>3.9225900000000005</c:v>
                </c:pt>
                <c:pt idx="57">
                  <c:v>3.9416500000000001</c:v>
                </c:pt>
                <c:pt idx="58">
                  <c:v>3.9568199999999996</c:v>
                </c:pt>
                <c:pt idx="59">
                  <c:v>3.9683299999999999</c:v>
                </c:pt>
                <c:pt idx="60">
                  <c:v>3.97289</c:v>
                </c:pt>
                <c:pt idx="61">
                  <c:v>3.9803800000000003</c:v>
                </c:pt>
                <c:pt idx="62">
                  <c:v>3.9815699999999996</c:v>
                </c:pt>
                <c:pt idx="63">
                  <c:v>3.98123</c:v>
                </c:pt>
                <c:pt idx="64">
                  <c:v>3.9825700000000004</c:v>
                </c:pt>
                <c:pt idx="65">
                  <c:v>3.9808900000000005</c:v>
                </c:pt>
                <c:pt idx="66">
                  <c:v>3.9748999999999999</c:v>
                </c:pt>
                <c:pt idx="67">
                  <c:v>3.9506200000000002</c:v>
                </c:pt>
                <c:pt idx="68">
                  <c:v>3.9258900000000003</c:v>
                </c:pt>
                <c:pt idx="69">
                  <c:v>3.8995500000000001</c:v>
                </c:pt>
                <c:pt idx="70">
                  <c:v>3.8828499999999999</c:v>
                </c:pt>
                <c:pt idx="71">
                  <c:v>3.8437399999999999</c:v>
                </c:pt>
                <c:pt idx="72">
                  <c:v>3.8114500000000002</c:v>
                </c:pt>
                <c:pt idx="73">
                  <c:v>3.7877899999999998</c:v>
                </c:pt>
                <c:pt idx="74">
                  <c:v>3.7490800000000002</c:v>
                </c:pt>
                <c:pt idx="75">
                  <c:v>3.6950499999999997</c:v>
                </c:pt>
                <c:pt idx="76">
                  <c:v>3.6510100000000003</c:v>
                </c:pt>
                <c:pt idx="77">
                  <c:v>3.6090100000000005</c:v>
                </c:pt>
                <c:pt idx="78">
                  <c:v>3.5666399999999996</c:v>
                </c:pt>
                <c:pt idx="79">
                  <c:v>3.52569</c:v>
                </c:pt>
                <c:pt idx="80">
                  <c:v>3.4818799999999999</c:v>
                </c:pt>
                <c:pt idx="81">
                  <c:v>3.4389700000000003</c:v>
                </c:pt>
                <c:pt idx="82">
                  <c:v>3.4005700000000001</c:v>
                </c:pt>
                <c:pt idx="83">
                  <c:v>3.3691199999999997</c:v>
                </c:pt>
                <c:pt idx="84">
                  <c:v>3.3449299999999997</c:v>
                </c:pt>
                <c:pt idx="85">
                  <c:v>3.3231600000000001</c:v>
                </c:pt>
                <c:pt idx="86">
                  <c:v>3.3034599999999998</c:v>
                </c:pt>
                <c:pt idx="87">
                  <c:v>3.2877299999999998</c:v>
                </c:pt>
                <c:pt idx="88">
                  <c:v>3.2765499999999999</c:v>
                </c:pt>
                <c:pt idx="89">
                  <c:v>3.2710900000000001</c:v>
                </c:pt>
                <c:pt idx="90">
                  <c:v>3.2732299999999999</c:v>
                </c:pt>
                <c:pt idx="91">
                  <c:v>3.2781199999999999</c:v>
                </c:pt>
                <c:pt idx="92">
                  <c:v>3.2846399999999996</c:v>
                </c:pt>
                <c:pt idx="93">
                  <c:v>3.2898699999999996</c:v>
                </c:pt>
                <c:pt idx="94">
                  <c:v>3.2966099999999998</c:v>
                </c:pt>
                <c:pt idx="95">
                  <c:v>3.3079399999999999</c:v>
                </c:pt>
                <c:pt idx="96">
                  <c:v>3.32334</c:v>
                </c:pt>
                <c:pt idx="97">
                  <c:v>3.3431600000000001</c:v>
                </c:pt>
                <c:pt idx="98">
                  <c:v>3.3650899999999999</c:v>
                </c:pt>
                <c:pt idx="99">
                  <c:v>3.3896100000000002</c:v>
                </c:pt>
                <c:pt idx="100">
                  <c:v>3.4131099999999996</c:v>
                </c:pt>
                <c:pt idx="101">
                  <c:v>3.4412900000000004</c:v>
                </c:pt>
                <c:pt idx="102">
                  <c:v>3.47051</c:v>
                </c:pt>
                <c:pt idx="103">
                  <c:v>3.5043099999999998</c:v>
                </c:pt>
                <c:pt idx="104">
                  <c:v>3.5342000000000002</c:v>
                </c:pt>
                <c:pt idx="105">
                  <c:v>3.5610300000000001</c:v>
                </c:pt>
                <c:pt idx="106">
                  <c:v>3.5880200000000002</c:v>
                </c:pt>
                <c:pt idx="107">
                  <c:v>3.61355</c:v>
                </c:pt>
                <c:pt idx="108">
                  <c:v>3.6407099999999999</c:v>
                </c:pt>
                <c:pt idx="109">
                  <c:v>3.6628100000000003</c:v>
                </c:pt>
                <c:pt idx="110">
                  <c:v>3.6852</c:v>
                </c:pt>
                <c:pt idx="111">
                  <c:v>3.7057200000000003</c:v>
                </c:pt>
                <c:pt idx="112">
                  <c:v>3.72404</c:v>
                </c:pt>
                <c:pt idx="113">
                  <c:v>3.7398400000000001</c:v>
                </c:pt>
                <c:pt idx="114">
                  <c:v>3.7542499999999999</c:v>
                </c:pt>
                <c:pt idx="115">
                  <c:v>3.7685200000000001</c:v>
                </c:pt>
                <c:pt idx="116">
                  <c:v>3.78247</c:v>
                </c:pt>
                <c:pt idx="117">
                  <c:v>3.7994299999999996</c:v>
                </c:pt>
                <c:pt idx="118">
                  <c:v>3.8192599999999999</c:v>
                </c:pt>
                <c:pt idx="119">
                  <c:v>3.8375700000000004</c:v>
                </c:pt>
                <c:pt idx="120">
                  <c:v>3.8531</c:v>
                </c:pt>
                <c:pt idx="121">
                  <c:v>3.8689600000000004</c:v>
                </c:pt>
                <c:pt idx="122">
                  <c:v>3.8880500000000002</c:v>
                </c:pt>
                <c:pt idx="123">
                  <c:v>3.90984</c:v>
                </c:pt>
                <c:pt idx="124">
                  <c:v>3.9245200000000002</c:v>
                </c:pt>
                <c:pt idx="125">
                  <c:v>3.93452</c:v>
                </c:pt>
                <c:pt idx="126">
                  <c:v>3.9424100000000002</c:v>
                </c:pt>
                <c:pt idx="127">
                  <c:v>3.9502199999999998</c:v>
                </c:pt>
                <c:pt idx="128">
                  <c:v>3.9549499999999997</c:v>
                </c:pt>
                <c:pt idx="129">
                  <c:v>3.96258</c:v>
                </c:pt>
                <c:pt idx="130">
                  <c:v>3.97383</c:v>
                </c:pt>
                <c:pt idx="131">
                  <c:v>3.9842499999999998</c:v>
                </c:pt>
                <c:pt idx="132">
                  <c:v>3.9941300000000002</c:v>
                </c:pt>
                <c:pt idx="133">
                  <c:v>3.9985300000000001</c:v>
                </c:pt>
                <c:pt idx="134">
                  <c:v>4.0060099999999998</c:v>
                </c:pt>
                <c:pt idx="135">
                  <c:v>4.0143800000000001</c:v>
                </c:pt>
                <c:pt idx="136">
                  <c:v>4.0263999999999998</c:v>
                </c:pt>
                <c:pt idx="137">
                  <c:v>4.0421800000000001</c:v>
                </c:pt>
                <c:pt idx="138">
                  <c:v>4.0591799999999996</c:v>
                </c:pt>
                <c:pt idx="139">
                  <c:v>4.0738400000000006</c:v>
                </c:pt>
                <c:pt idx="140">
                  <c:v>4.08256</c:v>
                </c:pt>
                <c:pt idx="141">
                  <c:v>4.09307</c:v>
                </c:pt>
                <c:pt idx="142">
                  <c:v>4.0993899999999996</c:v>
                </c:pt>
                <c:pt idx="143">
                  <c:v>4.10297</c:v>
                </c:pt>
                <c:pt idx="144">
                  <c:v>4.1116599999999996</c:v>
                </c:pt>
                <c:pt idx="145">
                  <c:v>4.1308800000000003</c:v>
                </c:pt>
                <c:pt idx="146">
                  <c:v>4.1629899999999997</c:v>
                </c:pt>
                <c:pt idx="147">
                  <c:v>4.1841600000000003</c:v>
                </c:pt>
                <c:pt idx="148">
                  <c:v>4.1593400000000003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60.217100000000002</c:v>
                </c:pt>
                <c:pt idx="1">
                  <c:v>59.461399999999998</c:v>
                </c:pt>
                <c:pt idx="2">
                  <c:v>58.620700000000006</c:v>
                </c:pt>
                <c:pt idx="3">
                  <c:v>57.644600000000004</c:v>
                </c:pt>
                <c:pt idx="4">
                  <c:v>56.542800000000007</c:v>
                </c:pt>
                <c:pt idx="5">
                  <c:v>55.475499999999997</c:v>
                </c:pt>
                <c:pt idx="6">
                  <c:v>54.384900000000002</c:v>
                </c:pt>
                <c:pt idx="7">
                  <c:v>53.274900000000002</c:v>
                </c:pt>
                <c:pt idx="8">
                  <c:v>52.090299999999999</c:v>
                </c:pt>
                <c:pt idx="9">
                  <c:v>50.836199999999998</c:v>
                </c:pt>
                <c:pt idx="10">
                  <c:v>49.5184</c:v>
                </c:pt>
                <c:pt idx="11">
                  <c:v>48.176499999999997</c:v>
                </c:pt>
                <c:pt idx="12">
                  <c:v>46.813300000000005</c:v>
                </c:pt>
                <c:pt idx="13">
                  <c:v>45.518099999999997</c:v>
                </c:pt>
                <c:pt idx="14">
                  <c:v>44.293999999999997</c:v>
                </c:pt>
                <c:pt idx="15">
                  <c:v>43.133099999999999</c:v>
                </c:pt>
                <c:pt idx="16">
                  <c:v>42.072099999999999</c:v>
                </c:pt>
                <c:pt idx="17">
                  <c:v>41.136800000000001</c:v>
                </c:pt>
                <c:pt idx="18">
                  <c:v>40.2714</c:v>
                </c:pt>
                <c:pt idx="19">
                  <c:v>39.5062</c:v>
                </c:pt>
                <c:pt idx="20">
                  <c:v>38.917099999999998</c:v>
                </c:pt>
                <c:pt idx="21">
                  <c:v>38.415199999999999</c:v>
                </c:pt>
                <c:pt idx="22">
                  <c:v>37.913200000000003</c:v>
                </c:pt>
                <c:pt idx="23">
                  <c:v>37.489400000000003</c:v>
                </c:pt>
                <c:pt idx="24">
                  <c:v>37.081199999999995</c:v>
                </c:pt>
                <c:pt idx="25">
                  <c:v>36.790900000000001</c:v>
                </c:pt>
                <c:pt idx="26">
                  <c:v>36.618600000000001</c:v>
                </c:pt>
                <c:pt idx="27">
                  <c:v>36.522799999999997</c:v>
                </c:pt>
                <c:pt idx="28">
                  <c:v>36.4741</c:v>
                </c:pt>
                <c:pt idx="29">
                  <c:v>36.452100000000002</c:v>
                </c:pt>
                <c:pt idx="30">
                  <c:v>36.412800000000004</c:v>
                </c:pt>
                <c:pt idx="31">
                  <c:v>36.409999999999997</c:v>
                </c:pt>
                <c:pt idx="32">
                  <c:v>36.468499999999999</c:v>
                </c:pt>
                <c:pt idx="33">
                  <c:v>36.570700000000002</c:v>
                </c:pt>
                <c:pt idx="34">
                  <c:v>36.627900000000004</c:v>
                </c:pt>
                <c:pt idx="35">
                  <c:v>36.639699999999998</c:v>
                </c:pt>
                <c:pt idx="36">
                  <c:v>36.624400000000001</c:v>
                </c:pt>
                <c:pt idx="37">
                  <c:v>36.633900000000004</c:v>
                </c:pt>
                <c:pt idx="38">
                  <c:v>36.640499999999996</c:v>
                </c:pt>
                <c:pt idx="39">
                  <c:v>36.674599999999998</c:v>
                </c:pt>
                <c:pt idx="40">
                  <c:v>36.7316</c:v>
                </c:pt>
                <c:pt idx="41">
                  <c:v>36.781700000000001</c:v>
                </c:pt>
                <c:pt idx="42">
                  <c:v>36.7545</c:v>
                </c:pt>
                <c:pt idx="43">
                  <c:v>36.640900000000002</c:v>
                </c:pt>
                <c:pt idx="44">
                  <c:v>36.454799999999999</c:v>
                </c:pt>
                <c:pt idx="45">
                  <c:v>36.204599999999999</c:v>
                </c:pt>
                <c:pt idx="46">
                  <c:v>35.909500000000001</c:v>
                </c:pt>
                <c:pt idx="47">
                  <c:v>35.604599999999998</c:v>
                </c:pt>
                <c:pt idx="48">
                  <c:v>35.290999999999997</c:v>
                </c:pt>
                <c:pt idx="49">
                  <c:v>35.039000000000001</c:v>
                </c:pt>
                <c:pt idx="50">
                  <c:v>34.833599999999997</c:v>
                </c:pt>
                <c:pt idx="51">
                  <c:v>34.525399999999998</c:v>
                </c:pt>
                <c:pt idx="52">
                  <c:v>34.2515</c:v>
                </c:pt>
                <c:pt idx="53">
                  <c:v>34.027000000000001</c:v>
                </c:pt>
                <c:pt idx="54">
                  <c:v>33.842299999999994</c:v>
                </c:pt>
                <c:pt idx="55">
                  <c:v>33.607100000000003</c:v>
                </c:pt>
                <c:pt idx="56">
                  <c:v>33.369799999999998</c:v>
                </c:pt>
                <c:pt idx="57">
                  <c:v>33.250700000000002</c:v>
                </c:pt>
                <c:pt idx="58">
                  <c:v>33.169699999999999</c:v>
                </c:pt>
                <c:pt idx="59">
                  <c:v>33.187100000000001</c:v>
                </c:pt>
                <c:pt idx="60">
                  <c:v>33.289499999999997</c:v>
                </c:pt>
                <c:pt idx="61">
                  <c:v>33.337899999999998</c:v>
                </c:pt>
                <c:pt idx="62">
                  <c:v>33.472700000000003</c:v>
                </c:pt>
                <c:pt idx="63">
                  <c:v>33.610199999999999</c:v>
                </c:pt>
                <c:pt idx="64">
                  <c:v>33.776400000000002</c:v>
                </c:pt>
                <c:pt idx="65">
                  <c:v>33.910699999999999</c:v>
                </c:pt>
                <c:pt idx="66">
                  <c:v>34.042099999999998</c:v>
                </c:pt>
                <c:pt idx="67">
                  <c:v>34.244900000000001</c:v>
                </c:pt>
                <c:pt idx="68">
                  <c:v>34.364699999999999</c:v>
                </c:pt>
                <c:pt idx="69">
                  <c:v>34.491</c:v>
                </c:pt>
                <c:pt idx="70">
                  <c:v>34.591000000000001</c:v>
                </c:pt>
                <c:pt idx="71">
                  <c:v>34.769599999999997</c:v>
                </c:pt>
                <c:pt idx="72">
                  <c:v>34.900700000000001</c:v>
                </c:pt>
                <c:pt idx="73">
                  <c:v>35.069699999999997</c:v>
                </c:pt>
                <c:pt idx="74">
                  <c:v>35.269500000000001</c:v>
                </c:pt>
                <c:pt idx="75">
                  <c:v>35.688199999999995</c:v>
                </c:pt>
                <c:pt idx="76">
                  <c:v>36.163899999999998</c:v>
                </c:pt>
                <c:pt idx="77">
                  <c:v>36.663600000000002</c:v>
                </c:pt>
                <c:pt idx="78">
                  <c:v>37.243300000000005</c:v>
                </c:pt>
                <c:pt idx="79">
                  <c:v>37.967300000000002</c:v>
                </c:pt>
                <c:pt idx="80">
                  <c:v>38.876100000000001</c:v>
                </c:pt>
                <c:pt idx="81">
                  <c:v>39.903199999999998</c:v>
                </c:pt>
                <c:pt idx="82">
                  <c:v>40.965299999999999</c:v>
                </c:pt>
                <c:pt idx="83">
                  <c:v>41.966900000000003</c:v>
                </c:pt>
                <c:pt idx="84">
                  <c:v>42.912599999999998</c:v>
                </c:pt>
                <c:pt idx="85">
                  <c:v>43.8294</c:v>
                </c:pt>
                <c:pt idx="86">
                  <c:v>44.696999999999996</c:v>
                </c:pt>
                <c:pt idx="87">
                  <c:v>45.4831</c:v>
                </c:pt>
                <c:pt idx="88">
                  <c:v>46.216900000000003</c:v>
                </c:pt>
                <c:pt idx="89">
                  <c:v>46.872300000000003</c:v>
                </c:pt>
                <c:pt idx="90">
                  <c:v>47.3354</c:v>
                </c:pt>
                <c:pt idx="91">
                  <c:v>47.6907</c:v>
                </c:pt>
                <c:pt idx="92">
                  <c:v>47.989800000000002</c:v>
                </c:pt>
                <c:pt idx="93">
                  <c:v>48.282599999999995</c:v>
                </c:pt>
                <c:pt idx="94">
                  <c:v>48.588099999999997</c:v>
                </c:pt>
                <c:pt idx="95">
                  <c:v>48.898299999999999</c:v>
                </c:pt>
                <c:pt idx="96">
                  <c:v>49.238999999999997</c:v>
                </c:pt>
                <c:pt idx="97">
                  <c:v>49.502499999999998</c:v>
                </c:pt>
                <c:pt idx="98">
                  <c:v>49.7592</c:v>
                </c:pt>
                <c:pt idx="99">
                  <c:v>50.007000000000005</c:v>
                </c:pt>
                <c:pt idx="100">
                  <c:v>50.238499999999995</c:v>
                </c:pt>
                <c:pt idx="101">
                  <c:v>50.428600000000003</c:v>
                </c:pt>
                <c:pt idx="102">
                  <c:v>50.6374</c:v>
                </c:pt>
                <c:pt idx="103">
                  <c:v>50.739500000000007</c:v>
                </c:pt>
                <c:pt idx="104">
                  <c:v>50.853099999999998</c:v>
                </c:pt>
                <c:pt idx="105">
                  <c:v>50.998699999999999</c:v>
                </c:pt>
                <c:pt idx="106">
                  <c:v>51.072700000000005</c:v>
                </c:pt>
                <c:pt idx="107">
                  <c:v>51.09</c:v>
                </c:pt>
                <c:pt idx="108">
                  <c:v>50.973199999999999</c:v>
                </c:pt>
                <c:pt idx="109">
                  <c:v>50.888300000000001</c:v>
                </c:pt>
                <c:pt idx="110">
                  <c:v>50.7958</c:v>
                </c:pt>
                <c:pt idx="111">
                  <c:v>50.768899999999995</c:v>
                </c:pt>
                <c:pt idx="112">
                  <c:v>50.732900000000001</c:v>
                </c:pt>
                <c:pt idx="113">
                  <c:v>50.675400000000003</c:v>
                </c:pt>
                <c:pt idx="114">
                  <c:v>50.508299999999991</c:v>
                </c:pt>
                <c:pt idx="115">
                  <c:v>50.244</c:v>
                </c:pt>
                <c:pt idx="116">
                  <c:v>49.983600000000003</c:v>
                </c:pt>
                <c:pt idx="117">
                  <c:v>49.703399999999995</c:v>
                </c:pt>
                <c:pt idx="118">
                  <c:v>49.404199999999996</c:v>
                </c:pt>
                <c:pt idx="119">
                  <c:v>49.207299999999996</c:v>
                </c:pt>
                <c:pt idx="120">
                  <c:v>49.0212</c:v>
                </c:pt>
                <c:pt idx="121">
                  <c:v>48.835499999999996</c:v>
                </c:pt>
                <c:pt idx="122">
                  <c:v>48.616500000000002</c:v>
                </c:pt>
                <c:pt idx="123">
                  <c:v>48.353299999999997</c:v>
                </c:pt>
                <c:pt idx="124">
                  <c:v>48.214500000000001</c:v>
                </c:pt>
                <c:pt idx="125">
                  <c:v>48.136000000000003</c:v>
                </c:pt>
                <c:pt idx="126">
                  <c:v>48.036299999999997</c:v>
                </c:pt>
                <c:pt idx="127">
                  <c:v>47.903199999999998</c:v>
                </c:pt>
                <c:pt idx="128">
                  <c:v>47.779700000000005</c:v>
                </c:pt>
                <c:pt idx="129">
                  <c:v>47.680199999999999</c:v>
                </c:pt>
                <c:pt idx="130">
                  <c:v>47.5929</c:v>
                </c:pt>
                <c:pt idx="131">
                  <c:v>47.520099999999999</c:v>
                </c:pt>
                <c:pt idx="132">
                  <c:v>47.453400000000002</c:v>
                </c:pt>
                <c:pt idx="133">
                  <c:v>47.3949</c:v>
                </c:pt>
                <c:pt idx="134">
                  <c:v>47.297899999999998</c:v>
                </c:pt>
                <c:pt idx="135">
                  <c:v>47.204900000000002</c:v>
                </c:pt>
                <c:pt idx="136">
                  <c:v>47.0623</c:v>
                </c:pt>
                <c:pt idx="137">
                  <c:v>46.9542</c:v>
                </c:pt>
                <c:pt idx="138">
                  <c:v>46.854199999999999</c:v>
                </c:pt>
                <c:pt idx="139">
                  <c:v>46.835799999999999</c:v>
                </c:pt>
                <c:pt idx="140">
                  <c:v>46.877299999999998</c:v>
                </c:pt>
                <c:pt idx="141">
                  <c:v>46.940100000000001</c:v>
                </c:pt>
                <c:pt idx="142">
                  <c:v>47.006900000000002</c:v>
                </c:pt>
                <c:pt idx="143">
                  <c:v>47.236800000000002</c:v>
                </c:pt>
                <c:pt idx="144">
                  <c:v>47.292299999999997</c:v>
                </c:pt>
                <c:pt idx="145">
                  <c:v>47.238700000000001</c:v>
                </c:pt>
                <c:pt idx="146">
                  <c:v>47.103200000000001</c:v>
                </c:pt>
                <c:pt idx="147">
                  <c:v>47.027700000000003</c:v>
                </c:pt>
                <c:pt idx="148">
                  <c:v>47.6126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1.8896999999999999</c:v>
                </c:pt>
                <c:pt idx="1">
                  <c:v>1.9351399999999999</c:v>
                </c:pt>
                <c:pt idx="2">
                  <c:v>1.9799900000000001</c:v>
                </c:pt>
                <c:pt idx="3">
                  <c:v>2.02433</c:v>
                </c:pt>
                <c:pt idx="4">
                  <c:v>2.0693000000000001</c:v>
                </c:pt>
                <c:pt idx="5">
                  <c:v>2.11334</c:v>
                </c:pt>
                <c:pt idx="6">
                  <c:v>2.15429</c:v>
                </c:pt>
                <c:pt idx="7">
                  <c:v>2.19286</c:v>
                </c:pt>
                <c:pt idx="8">
                  <c:v>2.2333099999999999</c:v>
                </c:pt>
                <c:pt idx="9">
                  <c:v>2.2766299999999999</c:v>
                </c:pt>
                <c:pt idx="10">
                  <c:v>2.32118</c:v>
                </c:pt>
                <c:pt idx="11">
                  <c:v>2.3679600000000001</c:v>
                </c:pt>
                <c:pt idx="12">
                  <c:v>2.4160900000000001</c:v>
                </c:pt>
                <c:pt idx="13">
                  <c:v>2.4649700000000001</c:v>
                </c:pt>
                <c:pt idx="14">
                  <c:v>2.5107499999999998</c:v>
                </c:pt>
                <c:pt idx="15">
                  <c:v>2.5567500000000001</c:v>
                </c:pt>
                <c:pt idx="16">
                  <c:v>2.6019300000000003</c:v>
                </c:pt>
                <c:pt idx="17">
                  <c:v>2.64642</c:v>
                </c:pt>
                <c:pt idx="18">
                  <c:v>2.6933400000000001</c:v>
                </c:pt>
                <c:pt idx="19">
                  <c:v>2.7417599999999998</c:v>
                </c:pt>
                <c:pt idx="20">
                  <c:v>2.78878</c:v>
                </c:pt>
                <c:pt idx="21">
                  <c:v>2.8349600000000001</c:v>
                </c:pt>
                <c:pt idx="22">
                  <c:v>2.8836499999999998</c:v>
                </c:pt>
                <c:pt idx="23">
                  <c:v>2.9310100000000001</c:v>
                </c:pt>
                <c:pt idx="24">
                  <c:v>2.9785599999999999</c:v>
                </c:pt>
                <c:pt idx="25">
                  <c:v>3.0240200000000002</c:v>
                </c:pt>
                <c:pt idx="26">
                  <c:v>3.0666500000000001</c:v>
                </c:pt>
                <c:pt idx="27">
                  <c:v>3.1071399999999998</c:v>
                </c:pt>
                <c:pt idx="28">
                  <c:v>3.1455499999999996</c:v>
                </c:pt>
                <c:pt idx="29">
                  <c:v>3.1829299999999998</c:v>
                </c:pt>
                <c:pt idx="30">
                  <c:v>3.2218499999999999</c:v>
                </c:pt>
                <c:pt idx="31">
                  <c:v>3.2609399999999997</c:v>
                </c:pt>
                <c:pt idx="32">
                  <c:v>3.29861</c:v>
                </c:pt>
                <c:pt idx="33">
                  <c:v>3.3339600000000003</c:v>
                </c:pt>
                <c:pt idx="34">
                  <c:v>3.3675500000000005</c:v>
                </c:pt>
                <c:pt idx="35">
                  <c:v>3.4001399999999999</c:v>
                </c:pt>
                <c:pt idx="36">
                  <c:v>3.43058</c:v>
                </c:pt>
                <c:pt idx="37">
                  <c:v>3.4592899999999998</c:v>
                </c:pt>
                <c:pt idx="38">
                  <c:v>3.4852799999999999</c:v>
                </c:pt>
                <c:pt idx="39">
                  <c:v>3.5080099999999996</c:v>
                </c:pt>
                <c:pt idx="40">
                  <c:v>3.5306100000000002</c:v>
                </c:pt>
                <c:pt idx="41">
                  <c:v>3.5529600000000001</c:v>
                </c:pt>
                <c:pt idx="42">
                  <c:v>3.5787999999999998</c:v>
                </c:pt>
                <c:pt idx="43">
                  <c:v>3.6052900000000001</c:v>
                </c:pt>
                <c:pt idx="44">
                  <c:v>3.63117</c:v>
                </c:pt>
                <c:pt idx="45">
                  <c:v>3.6567300000000005</c:v>
                </c:pt>
                <c:pt idx="46">
                  <c:v>3.6825000000000001</c:v>
                </c:pt>
                <c:pt idx="47">
                  <c:v>3.7055799999999999</c:v>
                </c:pt>
                <c:pt idx="48">
                  <c:v>3.72987</c:v>
                </c:pt>
                <c:pt idx="49">
                  <c:v>3.7532399999999999</c:v>
                </c:pt>
                <c:pt idx="50">
                  <c:v>3.7717700000000001</c:v>
                </c:pt>
                <c:pt idx="51">
                  <c:v>3.7996099999999999</c:v>
                </c:pt>
                <c:pt idx="52">
                  <c:v>3.82721</c:v>
                </c:pt>
                <c:pt idx="53">
                  <c:v>3.8528699999999998</c:v>
                </c:pt>
                <c:pt idx="54">
                  <c:v>3.8752399999999998</c:v>
                </c:pt>
                <c:pt idx="55">
                  <c:v>3.8970599999999997</c:v>
                </c:pt>
                <c:pt idx="56">
                  <c:v>3.9225900000000005</c:v>
                </c:pt>
                <c:pt idx="57">
                  <c:v>3.9416500000000001</c:v>
                </c:pt>
                <c:pt idx="58">
                  <c:v>3.9568199999999996</c:v>
                </c:pt>
                <c:pt idx="59">
                  <c:v>3.9683299999999999</c:v>
                </c:pt>
                <c:pt idx="60">
                  <c:v>3.97289</c:v>
                </c:pt>
                <c:pt idx="61">
                  <c:v>3.9803800000000003</c:v>
                </c:pt>
                <c:pt idx="62">
                  <c:v>3.9815699999999996</c:v>
                </c:pt>
                <c:pt idx="63">
                  <c:v>3.98123</c:v>
                </c:pt>
                <c:pt idx="64">
                  <c:v>3.9825700000000004</c:v>
                </c:pt>
                <c:pt idx="65">
                  <c:v>3.9808900000000005</c:v>
                </c:pt>
                <c:pt idx="66">
                  <c:v>3.9748999999999999</c:v>
                </c:pt>
                <c:pt idx="67">
                  <c:v>3.9506200000000002</c:v>
                </c:pt>
                <c:pt idx="68">
                  <c:v>3.9258900000000003</c:v>
                </c:pt>
                <c:pt idx="69">
                  <c:v>3.8995500000000001</c:v>
                </c:pt>
                <c:pt idx="70">
                  <c:v>3.8828499999999999</c:v>
                </c:pt>
                <c:pt idx="71">
                  <c:v>3.8437399999999999</c:v>
                </c:pt>
                <c:pt idx="72">
                  <c:v>3.8114500000000002</c:v>
                </c:pt>
                <c:pt idx="73">
                  <c:v>3.7877899999999998</c:v>
                </c:pt>
                <c:pt idx="74">
                  <c:v>3.7490800000000002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60.217100000000002</c:v>
                </c:pt>
                <c:pt idx="1">
                  <c:v>59.461399999999998</c:v>
                </c:pt>
                <c:pt idx="2">
                  <c:v>58.620700000000006</c:v>
                </c:pt>
                <c:pt idx="3">
                  <c:v>57.644600000000004</c:v>
                </c:pt>
                <c:pt idx="4">
                  <c:v>56.542800000000007</c:v>
                </c:pt>
                <c:pt idx="5">
                  <c:v>55.475499999999997</c:v>
                </c:pt>
                <c:pt idx="6">
                  <c:v>54.384900000000002</c:v>
                </c:pt>
                <c:pt idx="7">
                  <c:v>53.274900000000002</c:v>
                </c:pt>
                <c:pt idx="8">
                  <c:v>52.090299999999999</c:v>
                </c:pt>
                <c:pt idx="9">
                  <c:v>50.836199999999998</c:v>
                </c:pt>
                <c:pt idx="10">
                  <c:v>49.5184</c:v>
                </c:pt>
                <c:pt idx="11">
                  <c:v>48.176499999999997</c:v>
                </c:pt>
                <c:pt idx="12">
                  <c:v>46.813300000000005</c:v>
                </c:pt>
                <c:pt idx="13">
                  <c:v>45.518099999999997</c:v>
                </c:pt>
                <c:pt idx="14">
                  <c:v>44.293999999999997</c:v>
                </c:pt>
                <c:pt idx="15">
                  <c:v>43.133099999999999</c:v>
                </c:pt>
                <c:pt idx="16">
                  <c:v>42.072099999999999</c:v>
                </c:pt>
                <c:pt idx="17">
                  <c:v>41.136800000000001</c:v>
                </c:pt>
                <c:pt idx="18">
                  <c:v>40.2714</c:v>
                </c:pt>
                <c:pt idx="19">
                  <c:v>39.5062</c:v>
                </c:pt>
                <c:pt idx="20">
                  <c:v>38.917099999999998</c:v>
                </c:pt>
                <c:pt idx="21">
                  <c:v>38.415199999999999</c:v>
                </c:pt>
                <c:pt idx="22">
                  <c:v>37.913200000000003</c:v>
                </c:pt>
                <c:pt idx="23">
                  <c:v>37.489400000000003</c:v>
                </c:pt>
                <c:pt idx="24">
                  <c:v>37.081199999999995</c:v>
                </c:pt>
                <c:pt idx="25">
                  <c:v>36.790900000000001</c:v>
                </c:pt>
                <c:pt idx="26">
                  <c:v>36.618600000000001</c:v>
                </c:pt>
                <c:pt idx="27">
                  <c:v>36.522799999999997</c:v>
                </c:pt>
                <c:pt idx="28">
                  <c:v>36.4741</c:v>
                </c:pt>
                <c:pt idx="29">
                  <c:v>36.452100000000002</c:v>
                </c:pt>
                <c:pt idx="30">
                  <c:v>36.412800000000004</c:v>
                </c:pt>
                <c:pt idx="31">
                  <c:v>36.409999999999997</c:v>
                </c:pt>
                <c:pt idx="32">
                  <c:v>36.468499999999999</c:v>
                </c:pt>
                <c:pt idx="33">
                  <c:v>36.570700000000002</c:v>
                </c:pt>
                <c:pt idx="34">
                  <c:v>36.627900000000004</c:v>
                </c:pt>
                <c:pt idx="35">
                  <c:v>36.639699999999998</c:v>
                </c:pt>
                <c:pt idx="36">
                  <c:v>36.624400000000001</c:v>
                </c:pt>
                <c:pt idx="37">
                  <c:v>36.633900000000004</c:v>
                </c:pt>
                <c:pt idx="38">
                  <c:v>36.640499999999996</c:v>
                </c:pt>
                <c:pt idx="39">
                  <c:v>36.674599999999998</c:v>
                </c:pt>
                <c:pt idx="40">
                  <c:v>36.7316</c:v>
                </c:pt>
                <c:pt idx="41">
                  <c:v>36.781700000000001</c:v>
                </c:pt>
                <c:pt idx="42">
                  <c:v>36.7545</c:v>
                </c:pt>
                <c:pt idx="43">
                  <c:v>36.640900000000002</c:v>
                </c:pt>
                <c:pt idx="44">
                  <c:v>36.454799999999999</c:v>
                </c:pt>
                <c:pt idx="45">
                  <c:v>36.204599999999999</c:v>
                </c:pt>
                <c:pt idx="46">
                  <c:v>35.909500000000001</c:v>
                </c:pt>
                <c:pt idx="47">
                  <c:v>35.604599999999998</c:v>
                </c:pt>
                <c:pt idx="48">
                  <c:v>35.290999999999997</c:v>
                </c:pt>
                <c:pt idx="49">
                  <c:v>35.039000000000001</c:v>
                </c:pt>
                <c:pt idx="50">
                  <c:v>34.833599999999997</c:v>
                </c:pt>
                <c:pt idx="51">
                  <c:v>34.525399999999998</c:v>
                </c:pt>
                <c:pt idx="52">
                  <c:v>34.2515</c:v>
                </c:pt>
                <c:pt idx="53">
                  <c:v>34.027000000000001</c:v>
                </c:pt>
                <c:pt idx="54">
                  <c:v>33.842299999999994</c:v>
                </c:pt>
                <c:pt idx="55">
                  <c:v>33.607100000000003</c:v>
                </c:pt>
                <c:pt idx="56">
                  <c:v>33.369799999999998</c:v>
                </c:pt>
                <c:pt idx="57">
                  <c:v>33.250700000000002</c:v>
                </c:pt>
                <c:pt idx="58">
                  <c:v>33.169699999999999</c:v>
                </c:pt>
                <c:pt idx="59">
                  <c:v>33.187100000000001</c:v>
                </c:pt>
                <c:pt idx="60">
                  <c:v>33.289499999999997</c:v>
                </c:pt>
                <c:pt idx="61">
                  <c:v>33.337899999999998</c:v>
                </c:pt>
                <c:pt idx="62">
                  <c:v>33.472700000000003</c:v>
                </c:pt>
                <c:pt idx="63">
                  <c:v>33.610199999999999</c:v>
                </c:pt>
                <c:pt idx="64">
                  <c:v>33.776400000000002</c:v>
                </c:pt>
                <c:pt idx="65">
                  <c:v>33.910699999999999</c:v>
                </c:pt>
                <c:pt idx="66">
                  <c:v>34.042099999999998</c:v>
                </c:pt>
                <c:pt idx="67">
                  <c:v>34.244900000000001</c:v>
                </c:pt>
                <c:pt idx="68">
                  <c:v>34.364699999999999</c:v>
                </c:pt>
                <c:pt idx="69">
                  <c:v>34.491</c:v>
                </c:pt>
                <c:pt idx="70">
                  <c:v>34.591000000000001</c:v>
                </c:pt>
                <c:pt idx="71">
                  <c:v>34.769599999999997</c:v>
                </c:pt>
                <c:pt idx="72">
                  <c:v>34.900700000000001</c:v>
                </c:pt>
                <c:pt idx="73">
                  <c:v>35.069699999999997</c:v>
                </c:pt>
                <c:pt idx="74">
                  <c:v>35.269500000000001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3.7490800000000002</c:v>
                </c:pt>
                <c:pt idx="1">
                  <c:v>3.6950499999999997</c:v>
                </c:pt>
                <c:pt idx="2">
                  <c:v>3.6510100000000003</c:v>
                </c:pt>
                <c:pt idx="3">
                  <c:v>3.6090100000000005</c:v>
                </c:pt>
                <c:pt idx="4">
                  <c:v>3.5666399999999996</c:v>
                </c:pt>
                <c:pt idx="5">
                  <c:v>3.52569</c:v>
                </c:pt>
                <c:pt idx="6">
                  <c:v>3.4818799999999999</c:v>
                </c:pt>
                <c:pt idx="7">
                  <c:v>3.4389700000000003</c:v>
                </c:pt>
                <c:pt idx="8">
                  <c:v>3.4005700000000001</c:v>
                </c:pt>
                <c:pt idx="9">
                  <c:v>3.3691199999999997</c:v>
                </c:pt>
                <c:pt idx="10">
                  <c:v>3.3449299999999997</c:v>
                </c:pt>
                <c:pt idx="11">
                  <c:v>3.3231600000000001</c:v>
                </c:pt>
                <c:pt idx="12">
                  <c:v>3.3034599999999998</c:v>
                </c:pt>
                <c:pt idx="13">
                  <c:v>3.2877299999999998</c:v>
                </c:pt>
                <c:pt idx="14">
                  <c:v>3.2765499999999999</c:v>
                </c:pt>
                <c:pt idx="15">
                  <c:v>3.2710900000000001</c:v>
                </c:pt>
                <c:pt idx="16">
                  <c:v>3.2732299999999999</c:v>
                </c:pt>
                <c:pt idx="17">
                  <c:v>3.2781199999999999</c:v>
                </c:pt>
                <c:pt idx="18">
                  <c:v>3.2846399999999996</c:v>
                </c:pt>
                <c:pt idx="19">
                  <c:v>3.2898699999999996</c:v>
                </c:pt>
                <c:pt idx="20">
                  <c:v>3.2966099999999998</c:v>
                </c:pt>
                <c:pt idx="21">
                  <c:v>3.3079399999999999</c:v>
                </c:pt>
                <c:pt idx="22">
                  <c:v>3.32334</c:v>
                </c:pt>
                <c:pt idx="23">
                  <c:v>3.3431600000000001</c:v>
                </c:pt>
                <c:pt idx="24">
                  <c:v>3.3650899999999999</c:v>
                </c:pt>
                <c:pt idx="25">
                  <c:v>3.3896100000000002</c:v>
                </c:pt>
                <c:pt idx="26">
                  <c:v>3.4131099999999996</c:v>
                </c:pt>
                <c:pt idx="27">
                  <c:v>3.4412900000000004</c:v>
                </c:pt>
                <c:pt idx="28">
                  <c:v>3.47051</c:v>
                </c:pt>
                <c:pt idx="29">
                  <c:v>3.5043099999999998</c:v>
                </c:pt>
                <c:pt idx="30">
                  <c:v>3.5342000000000002</c:v>
                </c:pt>
                <c:pt idx="31">
                  <c:v>3.5610300000000001</c:v>
                </c:pt>
                <c:pt idx="32">
                  <c:v>3.5880200000000002</c:v>
                </c:pt>
                <c:pt idx="33">
                  <c:v>3.61355</c:v>
                </c:pt>
                <c:pt idx="34">
                  <c:v>3.6407099999999999</c:v>
                </c:pt>
                <c:pt idx="35">
                  <c:v>3.6628100000000003</c:v>
                </c:pt>
                <c:pt idx="36">
                  <c:v>3.6852</c:v>
                </c:pt>
                <c:pt idx="37">
                  <c:v>3.7057200000000003</c:v>
                </c:pt>
                <c:pt idx="38">
                  <c:v>3.72404</c:v>
                </c:pt>
                <c:pt idx="39">
                  <c:v>3.7398400000000001</c:v>
                </c:pt>
                <c:pt idx="40">
                  <c:v>3.7542499999999999</c:v>
                </c:pt>
                <c:pt idx="41">
                  <c:v>3.7685200000000001</c:v>
                </c:pt>
                <c:pt idx="42">
                  <c:v>3.78247</c:v>
                </c:pt>
                <c:pt idx="43">
                  <c:v>3.7994299999999996</c:v>
                </c:pt>
                <c:pt idx="44">
                  <c:v>3.8192599999999999</c:v>
                </c:pt>
                <c:pt idx="45">
                  <c:v>3.8375700000000004</c:v>
                </c:pt>
                <c:pt idx="46">
                  <c:v>3.8531</c:v>
                </c:pt>
                <c:pt idx="47">
                  <c:v>3.8689600000000004</c:v>
                </c:pt>
                <c:pt idx="48">
                  <c:v>3.8880500000000002</c:v>
                </c:pt>
                <c:pt idx="49">
                  <c:v>3.90984</c:v>
                </c:pt>
                <c:pt idx="50">
                  <c:v>3.9245200000000002</c:v>
                </c:pt>
                <c:pt idx="51">
                  <c:v>3.93452</c:v>
                </c:pt>
                <c:pt idx="52">
                  <c:v>3.9424100000000002</c:v>
                </c:pt>
                <c:pt idx="53">
                  <c:v>3.9502199999999998</c:v>
                </c:pt>
                <c:pt idx="54">
                  <c:v>3.9549499999999997</c:v>
                </c:pt>
                <c:pt idx="55">
                  <c:v>3.96258</c:v>
                </c:pt>
                <c:pt idx="56">
                  <c:v>3.97383</c:v>
                </c:pt>
                <c:pt idx="57">
                  <c:v>3.9842499999999998</c:v>
                </c:pt>
                <c:pt idx="58">
                  <c:v>3.9941300000000002</c:v>
                </c:pt>
                <c:pt idx="59">
                  <c:v>3.9985300000000001</c:v>
                </c:pt>
                <c:pt idx="60">
                  <c:v>4.0060099999999998</c:v>
                </c:pt>
                <c:pt idx="61">
                  <c:v>4.0143800000000001</c:v>
                </c:pt>
                <c:pt idx="62">
                  <c:v>4.0263999999999998</c:v>
                </c:pt>
                <c:pt idx="63">
                  <c:v>4.0421800000000001</c:v>
                </c:pt>
                <c:pt idx="64">
                  <c:v>4.0591799999999996</c:v>
                </c:pt>
                <c:pt idx="65">
                  <c:v>4.0738400000000006</c:v>
                </c:pt>
                <c:pt idx="66">
                  <c:v>4.08256</c:v>
                </c:pt>
                <c:pt idx="67">
                  <c:v>4.09307</c:v>
                </c:pt>
                <c:pt idx="68">
                  <c:v>4.0993899999999996</c:v>
                </c:pt>
                <c:pt idx="69">
                  <c:v>4.10297</c:v>
                </c:pt>
                <c:pt idx="70">
                  <c:v>4.1116599999999996</c:v>
                </c:pt>
                <c:pt idx="71">
                  <c:v>4.1308800000000003</c:v>
                </c:pt>
                <c:pt idx="72">
                  <c:v>4.1629899999999997</c:v>
                </c:pt>
                <c:pt idx="73">
                  <c:v>4.1841600000000003</c:v>
                </c:pt>
                <c:pt idx="74">
                  <c:v>4.1593400000000003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35.269500000000001</c:v>
                </c:pt>
                <c:pt idx="1">
                  <c:v>35.688199999999995</c:v>
                </c:pt>
                <c:pt idx="2">
                  <c:v>36.163899999999998</c:v>
                </c:pt>
                <c:pt idx="3">
                  <c:v>36.663600000000002</c:v>
                </c:pt>
                <c:pt idx="4">
                  <c:v>37.243300000000005</c:v>
                </c:pt>
                <c:pt idx="5">
                  <c:v>37.967300000000002</c:v>
                </c:pt>
                <c:pt idx="6">
                  <c:v>38.876100000000001</c:v>
                </c:pt>
                <c:pt idx="7">
                  <c:v>39.903199999999998</c:v>
                </c:pt>
                <c:pt idx="8">
                  <c:v>40.965299999999999</c:v>
                </c:pt>
                <c:pt idx="9">
                  <c:v>41.966900000000003</c:v>
                </c:pt>
                <c:pt idx="10">
                  <c:v>42.912599999999998</c:v>
                </c:pt>
                <c:pt idx="11">
                  <c:v>43.8294</c:v>
                </c:pt>
                <c:pt idx="12">
                  <c:v>44.696999999999996</c:v>
                </c:pt>
                <c:pt idx="13">
                  <c:v>45.4831</c:v>
                </c:pt>
                <c:pt idx="14">
                  <c:v>46.216900000000003</c:v>
                </c:pt>
                <c:pt idx="15">
                  <c:v>46.872300000000003</c:v>
                </c:pt>
                <c:pt idx="16">
                  <c:v>47.3354</c:v>
                </c:pt>
                <c:pt idx="17">
                  <c:v>47.6907</c:v>
                </c:pt>
                <c:pt idx="18">
                  <c:v>47.989800000000002</c:v>
                </c:pt>
                <c:pt idx="19">
                  <c:v>48.282599999999995</c:v>
                </c:pt>
                <c:pt idx="20">
                  <c:v>48.588099999999997</c:v>
                </c:pt>
                <c:pt idx="21">
                  <c:v>48.898299999999999</c:v>
                </c:pt>
                <c:pt idx="22">
                  <c:v>49.238999999999997</c:v>
                </c:pt>
                <c:pt idx="23">
                  <c:v>49.502499999999998</c:v>
                </c:pt>
                <c:pt idx="24">
                  <c:v>49.7592</c:v>
                </c:pt>
                <c:pt idx="25">
                  <c:v>50.007000000000005</c:v>
                </c:pt>
                <c:pt idx="26">
                  <c:v>50.238499999999995</c:v>
                </c:pt>
                <c:pt idx="27">
                  <c:v>50.428600000000003</c:v>
                </c:pt>
                <c:pt idx="28">
                  <c:v>50.6374</c:v>
                </c:pt>
                <c:pt idx="29">
                  <c:v>50.739500000000007</c:v>
                </c:pt>
                <c:pt idx="30">
                  <c:v>50.853099999999998</c:v>
                </c:pt>
                <c:pt idx="31">
                  <c:v>50.998699999999999</c:v>
                </c:pt>
                <c:pt idx="32">
                  <c:v>51.072700000000005</c:v>
                </c:pt>
                <c:pt idx="33">
                  <c:v>51.09</c:v>
                </c:pt>
                <c:pt idx="34">
                  <c:v>50.973199999999999</c:v>
                </c:pt>
                <c:pt idx="35">
                  <c:v>50.888300000000001</c:v>
                </c:pt>
                <c:pt idx="36">
                  <c:v>50.7958</c:v>
                </c:pt>
                <c:pt idx="37">
                  <c:v>50.768899999999995</c:v>
                </c:pt>
                <c:pt idx="38">
                  <c:v>50.732900000000001</c:v>
                </c:pt>
                <c:pt idx="39">
                  <c:v>50.675400000000003</c:v>
                </c:pt>
                <c:pt idx="40">
                  <c:v>50.508299999999991</c:v>
                </c:pt>
                <c:pt idx="41">
                  <c:v>50.244</c:v>
                </c:pt>
                <c:pt idx="42">
                  <c:v>49.983600000000003</c:v>
                </c:pt>
                <c:pt idx="43">
                  <c:v>49.703399999999995</c:v>
                </c:pt>
                <c:pt idx="44">
                  <c:v>49.404199999999996</c:v>
                </c:pt>
                <c:pt idx="45">
                  <c:v>49.207299999999996</c:v>
                </c:pt>
                <c:pt idx="46">
                  <c:v>49.0212</c:v>
                </c:pt>
                <c:pt idx="47">
                  <c:v>48.835499999999996</c:v>
                </c:pt>
                <c:pt idx="48">
                  <c:v>48.616500000000002</c:v>
                </c:pt>
                <c:pt idx="49">
                  <c:v>48.353299999999997</c:v>
                </c:pt>
                <c:pt idx="50">
                  <c:v>48.214500000000001</c:v>
                </c:pt>
                <c:pt idx="51">
                  <c:v>48.136000000000003</c:v>
                </c:pt>
                <c:pt idx="52">
                  <c:v>48.036299999999997</c:v>
                </c:pt>
                <c:pt idx="53">
                  <c:v>47.903199999999998</c:v>
                </c:pt>
                <c:pt idx="54">
                  <c:v>47.779700000000005</c:v>
                </c:pt>
                <c:pt idx="55">
                  <c:v>47.680199999999999</c:v>
                </c:pt>
                <c:pt idx="56">
                  <c:v>47.5929</c:v>
                </c:pt>
                <c:pt idx="57">
                  <c:v>47.520099999999999</c:v>
                </c:pt>
                <c:pt idx="58">
                  <c:v>47.453400000000002</c:v>
                </c:pt>
                <c:pt idx="59">
                  <c:v>47.3949</c:v>
                </c:pt>
                <c:pt idx="60">
                  <c:v>47.297899999999998</c:v>
                </c:pt>
                <c:pt idx="61">
                  <c:v>47.204900000000002</c:v>
                </c:pt>
                <c:pt idx="62">
                  <c:v>47.0623</c:v>
                </c:pt>
                <c:pt idx="63">
                  <c:v>46.9542</c:v>
                </c:pt>
                <c:pt idx="64">
                  <c:v>46.854199999999999</c:v>
                </c:pt>
                <c:pt idx="65">
                  <c:v>46.835799999999999</c:v>
                </c:pt>
                <c:pt idx="66">
                  <c:v>46.877299999999998</c:v>
                </c:pt>
                <c:pt idx="67">
                  <c:v>46.940100000000001</c:v>
                </c:pt>
                <c:pt idx="68">
                  <c:v>47.006900000000002</c:v>
                </c:pt>
                <c:pt idx="69">
                  <c:v>47.236800000000002</c:v>
                </c:pt>
                <c:pt idx="70">
                  <c:v>47.292299999999997</c:v>
                </c:pt>
                <c:pt idx="71">
                  <c:v>47.238700000000001</c:v>
                </c:pt>
                <c:pt idx="72">
                  <c:v>47.103200000000001</c:v>
                </c:pt>
                <c:pt idx="73">
                  <c:v>47.027700000000003</c:v>
                </c:pt>
                <c:pt idx="74">
                  <c:v>47.6126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3.2445367567567573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39.388018918918903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3.7002831081081085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47.019256756756747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3.7002831081081085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47.019256756756747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0.19949471740996771</c:v>
                </c:pt>
                <c:pt idx="1">
                  <c:v>0.35731359578385297</c:v>
                </c:pt>
                <c:pt idx="2">
                  <c:v>0.44319168680617926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0.383936</c:v>
                </c:pt>
                <c:pt idx="2">
                  <c:v>0.79484600000000005</c:v>
                </c:pt>
                <c:pt idx="3">
                  <c:v>1.2047600000000001</c:v>
                </c:pt>
                <c:pt idx="4">
                  <c:v>1.6096699999999999</c:v>
                </c:pt>
                <c:pt idx="5">
                  <c:v>2.01362</c:v>
                </c:pt>
                <c:pt idx="6">
                  <c:v>2.41879</c:v>
                </c:pt>
                <c:pt idx="7">
                  <c:v>2.8207</c:v>
                </c:pt>
                <c:pt idx="8">
                  <c:v>3.2344599999999999</c:v>
                </c:pt>
                <c:pt idx="9">
                  <c:v>3.63917</c:v>
                </c:pt>
                <c:pt idx="10">
                  <c:v>4.0441000000000003</c:v>
                </c:pt>
                <c:pt idx="11">
                  <c:v>4.4503599999999999</c:v>
                </c:pt>
                <c:pt idx="12">
                  <c:v>4.8579499999999998</c:v>
                </c:pt>
                <c:pt idx="13">
                  <c:v>5.2668799999999996</c:v>
                </c:pt>
                <c:pt idx="14">
                  <c:v>5.6653599999999997</c:v>
                </c:pt>
                <c:pt idx="15">
                  <c:v>6.0766400000000003</c:v>
                </c:pt>
                <c:pt idx="16">
                  <c:v>6.4805299999999999</c:v>
                </c:pt>
                <c:pt idx="17">
                  <c:v>6.8945299999999996</c:v>
                </c:pt>
                <c:pt idx="18">
                  <c:v>7.2965400000000002</c:v>
                </c:pt>
                <c:pt idx="19">
                  <c:v>7.70533</c:v>
                </c:pt>
                <c:pt idx="20">
                  <c:v>8.1062499999999993</c:v>
                </c:pt>
                <c:pt idx="21">
                  <c:v>8.5123200000000008</c:v>
                </c:pt>
                <c:pt idx="22">
                  <c:v>8.9182699999999997</c:v>
                </c:pt>
                <c:pt idx="23">
                  <c:v>9.3219899999999996</c:v>
                </c:pt>
                <c:pt idx="24">
                  <c:v>9.7319899999999997</c:v>
                </c:pt>
                <c:pt idx="25">
                  <c:v>10.1358</c:v>
                </c:pt>
                <c:pt idx="26">
                  <c:v>10.541700000000001</c:v>
                </c:pt>
                <c:pt idx="27">
                  <c:v>10.946099999999999</c:v>
                </c:pt>
                <c:pt idx="28">
                  <c:v>11.3575</c:v>
                </c:pt>
                <c:pt idx="29">
                  <c:v>11.76</c:v>
                </c:pt>
                <c:pt idx="30">
                  <c:v>12.167400000000001</c:v>
                </c:pt>
                <c:pt idx="31">
                  <c:v>12.5723</c:v>
                </c:pt>
                <c:pt idx="32">
                  <c:v>12.9762</c:v>
                </c:pt>
                <c:pt idx="33">
                  <c:v>13.386100000000001</c:v>
                </c:pt>
                <c:pt idx="34">
                  <c:v>13.7964</c:v>
                </c:pt>
                <c:pt idx="35">
                  <c:v>14.199</c:v>
                </c:pt>
                <c:pt idx="36">
                  <c:v>14.604799999999999</c:v>
                </c:pt>
                <c:pt idx="37">
                  <c:v>15.010199999999999</c:v>
                </c:pt>
                <c:pt idx="38">
                  <c:v>15.414099999999999</c:v>
                </c:pt>
                <c:pt idx="39">
                  <c:v>15.8256</c:v>
                </c:pt>
                <c:pt idx="40">
                  <c:v>16.232099999999999</c:v>
                </c:pt>
                <c:pt idx="41">
                  <c:v>16.6374</c:v>
                </c:pt>
                <c:pt idx="42">
                  <c:v>17.043500000000002</c:v>
                </c:pt>
                <c:pt idx="43">
                  <c:v>17.445699999999999</c:v>
                </c:pt>
                <c:pt idx="44">
                  <c:v>17.854199999999999</c:v>
                </c:pt>
                <c:pt idx="45">
                  <c:v>18.2622</c:v>
                </c:pt>
                <c:pt idx="46">
                  <c:v>18.667999999999999</c:v>
                </c:pt>
                <c:pt idx="47">
                  <c:v>19.074400000000001</c:v>
                </c:pt>
                <c:pt idx="48">
                  <c:v>19.4818</c:v>
                </c:pt>
                <c:pt idx="49">
                  <c:v>19.8888</c:v>
                </c:pt>
                <c:pt idx="50">
                  <c:v>20.296800000000001</c:v>
                </c:pt>
                <c:pt idx="51">
                  <c:v>20.698599999999999</c:v>
                </c:pt>
                <c:pt idx="52">
                  <c:v>21.102499999999999</c:v>
                </c:pt>
                <c:pt idx="53">
                  <c:v>21.5106</c:v>
                </c:pt>
                <c:pt idx="54">
                  <c:v>21.920400000000001</c:v>
                </c:pt>
                <c:pt idx="55">
                  <c:v>22.324300000000001</c:v>
                </c:pt>
                <c:pt idx="56">
                  <c:v>22.732199999999999</c:v>
                </c:pt>
                <c:pt idx="57">
                  <c:v>23.135000000000002</c:v>
                </c:pt>
                <c:pt idx="58">
                  <c:v>23.543099999999999</c:v>
                </c:pt>
                <c:pt idx="59">
                  <c:v>23.950900000000001</c:v>
                </c:pt>
                <c:pt idx="60">
                  <c:v>24.357800000000001</c:v>
                </c:pt>
                <c:pt idx="61">
                  <c:v>24.7607</c:v>
                </c:pt>
                <c:pt idx="62">
                  <c:v>25.165600000000001</c:v>
                </c:pt>
                <c:pt idx="63">
                  <c:v>25.573699999999999</c:v>
                </c:pt>
                <c:pt idx="64">
                  <c:v>25.979800000000001</c:v>
                </c:pt>
                <c:pt idx="65">
                  <c:v>26.3874</c:v>
                </c:pt>
                <c:pt idx="66">
                  <c:v>26.7943</c:v>
                </c:pt>
                <c:pt idx="67">
                  <c:v>27.199200000000001</c:v>
                </c:pt>
                <c:pt idx="68">
                  <c:v>27.607099999999999</c:v>
                </c:pt>
                <c:pt idx="69">
                  <c:v>28.009499999999999</c:v>
                </c:pt>
                <c:pt idx="70">
                  <c:v>28.417000000000002</c:v>
                </c:pt>
                <c:pt idx="71">
                  <c:v>28.826799999999999</c:v>
                </c:pt>
                <c:pt idx="72">
                  <c:v>29.23</c:v>
                </c:pt>
                <c:pt idx="73">
                  <c:v>29.6327</c:v>
                </c:pt>
                <c:pt idx="74">
                  <c:v>30.045000000000002</c:v>
                </c:pt>
                <c:pt idx="75">
                  <c:v>30.623000000000001</c:v>
                </c:pt>
                <c:pt idx="76">
                  <c:v>30.9971</c:v>
                </c:pt>
                <c:pt idx="77">
                  <c:v>31.371099999999998</c:v>
                </c:pt>
                <c:pt idx="78">
                  <c:v>31.7471</c:v>
                </c:pt>
                <c:pt idx="79">
                  <c:v>32.117400000000004</c:v>
                </c:pt>
                <c:pt idx="80">
                  <c:v>32.529200000000003</c:v>
                </c:pt>
                <c:pt idx="81">
                  <c:v>32.9358</c:v>
                </c:pt>
                <c:pt idx="82">
                  <c:v>33.340800000000002</c:v>
                </c:pt>
                <c:pt idx="83">
                  <c:v>33.744700000000002</c:v>
                </c:pt>
                <c:pt idx="84">
                  <c:v>34.152700000000003</c:v>
                </c:pt>
                <c:pt idx="85">
                  <c:v>34.562899999999999</c:v>
                </c:pt>
                <c:pt idx="86">
                  <c:v>34.966500000000003</c:v>
                </c:pt>
                <c:pt idx="87">
                  <c:v>35.371299999999998</c:v>
                </c:pt>
                <c:pt idx="88">
                  <c:v>35.776299999999999</c:v>
                </c:pt>
                <c:pt idx="89">
                  <c:v>36.185099999999998</c:v>
                </c:pt>
                <c:pt idx="90">
                  <c:v>36.589199999999998</c:v>
                </c:pt>
                <c:pt idx="91">
                  <c:v>36.997999999999998</c:v>
                </c:pt>
                <c:pt idx="92">
                  <c:v>37.4039</c:v>
                </c:pt>
                <c:pt idx="93">
                  <c:v>37.806800000000003</c:v>
                </c:pt>
                <c:pt idx="94">
                  <c:v>38.214799999999997</c:v>
                </c:pt>
                <c:pt idx="95">
                  <c:v>38.621600000000001</c:v>
                </c:pt>
                <c:pt idx="96">
                  <c:v>39.031399999999998</c:v>
                </c:pt>
                <c:pt idx="97">
                  <c:v>39.433399999999999</c:v>
                </c:pt>
                <c:pt idx="98">
                  <c:v>39.8384</c:v>
                </c:pt>
                <c:pt idx="99">
                  <c:v>40.249200000000002</c:v>
                </c:pt>
                <c:pt idx="100">
                  <c:v>40.648200000000003</c:v>
                </c:pt>
                <c:pt idx="101">
                  <c:v>41.060200000000002</c:v>
                </c:pt>
                <c:pt idx="102">
                  <c:v>41.464100000000002</c:v>
                </c:pt>
                <c:pt idx="103">
                  <c:v>41.871000000000002</c:v>
                </c:pt>
                <c:pt idx="104">
                  <c:v>42.277299999999997</c:v>
                </c:pt>
                <c:pt idx="105">
                  <c:v>42.686900000000001</c:v>
                </c:pt>
                <c:pt idx="106">
                  <c:v>43.087699999999998</c:v>
                </c:pt>
                <c:pt idx="107">
                  <c:v>43.497599999999998</c:v>
                </c:pt>
                <c:pt idx="108">
                  <c:v>43.898600000000002</c:v>
                </c:pt>
                <c:pt idx="109">
                  <c:v>44.307499999999997</c:v>
                </c:pt>
                <c:pt idx="110">
                  <c:v>44.718400000000003</c:v>
                </c:pt>
                <c:pt idx="111">
                  <c:v>45.122900000000001</c:v>
                </c:pt>
                <c:pt idx="112">
                  <c:v>45.526200000000003</c:v>
                </c:pt>
                <c:pt idx="113">
                  <c:v>45.934100000000001</c:v>
                </c:pt>
                <c:pt idx="114">
                  <c:v>46.339100000000002</c:v>
                </c:pt>
                <c:pt idx="115">
                  <c:v>46.746299999999998</c:v>
                </c:pt>
                <c:pt idx="116">
                  <c:v>47.152900000000002</c:v>
                </c:pt>
                <c:pt idx="117">
                  <c:v>47.559800000000003</c:v>
                </c:pt>
                <c:pt idx="118">
                  <c:v>47.963799999999999</c:v>
                </c:pt>
                <c:pt idx="119">
                  <c:v>48.369700000000002</c:v>
                </c:pt>
                <c:pt idx="120">
                  <c:v>48.777500000000003</c:v>
                </c:pt>
                <c:pt idx="121">
                  <c:v>49.185400000000001</c:v>
                </c:pt>
                <c:pt idx="122">
                  <c:v>49.592300000000002</c:v>
                </c:pt>
                <c:pt idx="123">
                  <c:v>49.995199999999997</c:v>
                </c:pt>
                <c:pt idx="124">
                  <c:v>50.403199999999998</c:v>
                </c:pt>
                <c:pt idx="125">
                  <c:v>50.810299999999998</c:v>
                </c:pt>
                <c:pt idx="126">
                  <c:v>51.216999999999999</c:v>
                </c:pt>
                <c:pt idx="127">
                  <c:v>51.621899999999997</c:v>
                </c:pt>
                <c:pt idx="128">
                  <c:v>52.025799999999997</c:v>
                </c:pt>
                <c:pt idx="129">
                  <c:v>52.4283</c:v>
                </c:pt>
                <c:pt idx="130">
                  <c:v>52.837699999999998</c:v>
                </c:pt>
                <c:pt idx="131">
                  <c:v>53.248600000000003</c:v>
                </c:pt>
                <c:pt idx="132">
                  <c:v>53.656599999999997</c:v>
                </c:pt>
                <c:pt idx="133">
                  <c:v>54.0593</c:v>
                </c:pt>
                <c:pt idx="134">
                  <c:v>54.464300000000001</c:v>
                </c:pt>
                <c:pt idx="135">
                  <c:v>54.869500000000002</c:v>
                </c:pt>
                <c:pt idx="136">
                  <c:v>55.280900000000003</c:v>
                </c:pt>
                <c:pt idx="137">
                  <c:v>55.685099999999998</c:v>
                </c:pt>
                <c:pt idx="138">
                  <c:v>56.091999999999999</c:v>
                </c:pt>
                <c:pt idx="139">
                  <c:v>56.496899999999997</c:v>
                </c:pt>
                <c:pt idx="140">
                  <c:v>56.901899999999998</c:v>
                </c:pt>
                <c:pt idx="141">
                  <c:v>57.310699999999997</c:v>
                </c:pt>
                <c:pt idx="142">
                  <c:v>57.7166</c:v>
                </c:pt>
                <c:pt idx="143">
                  <c:v>58.122500000000002</c:v>
                </c:pt>
                <c:pt idx="144">
                  <c:v>58.5274</c:v>
                </c:pt>
                <c:pt idx="145">
                  <c:v>58.929699999999997</c:v>
                </c:pt>
                <c:pt idx="146">
                  <c:v>59.342300000000002</c:v>
                </c:pt>
                <c:pt idx="147">
                  <c:v>59.746699999999997</c:v>
                </c:pt>
                <c:pt idx="148">
                  <c:v>60.152099999999997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1.8896999999999999</c:v>
                </c:pt>
                <c:pt idx="1">
                  <c:v>1.9351399999999999</c:v>
                </c:pt>
                <c:pt idx="2">
                  <c:v>1.9799900000000001</c:v>
                </c:pt>
                <c:pt idx="3">
                  <c:v>2.02433</c:v>
                </c:pt>
                <c:pt idx="4">
                  <c:v>2.0693000000000001</c:v>
                </c:pt>
                <c:pt idx="5">
                  <c:v>2.11334</c:v>
                </c:pt>
                <c:pt idx="6">
                  <c:v>2.15429</c:v>
                </c:pt>
                <c:pt idx="7">
                  <c:v>2.19286</c:v>
                </c:pt>
                <c:pt idx="8">
                  <c:v>2.2333099999999999</c:v>
                </c:pt>
                <c:pt idx="9">
                  <c:v>2.2766299999999999</c:v>
                </c:pt>
                <c:pt idx="10">
                  <c:v>2.32118</c:v>
                </c:pt>
                <c:pt idx="11">
                  <c:v>2.3679600000000001</c:v>
                </c:pt>
                <c:pt idx="12">
                  <c:v>2.4160900000000001</c:v>
                </c:pt>
                <c:pt idx="13">
                  <c:v>2.4649700000000001</c:v>
                </c:pt>
                <c:pt idx="14">
                  <c:v>2.5107499999999998</c:v>
                </c:pt>
                <c:pt idx="15">
                  <c:v>2.5567500000000001</c:v>
                </c:pt>
                <c:pt idx="16">
                  <c:v>2.6019300000000003</c:v>
                </c:pt>
                <c:pt idx="17">
                  <c:v>2.64642</c:v>
                </c:pt>
                <c:pt idx="18">
                  <c:v>2.6933400000000001</c:v>
                </c:pt>
                <c:pt idx="19">
                  <c:v>2.7417599999999998</c:v>
                </c:pt>
                <c:pt idx="20">
                  <c:v>2.78878</c:v>
                </c:pt>
                <c:pt idx="21">
                  <c:v>2.8349600000000001</c:v>
                </c:pt>
                <c:pt idx="22">
                  <c:v>2.8836499999999998</c:v>
                </c:pt>
                <c:pt idx="23">
                  <c:v>2.9310100000000001</c:v>
                </c:pt>
                <c:pt idx="24">
                  <c:v>2.9785599999999999</c:v>
                </c:pt>
                <c:pt idx="25">
                  <c:v>3.0240200000000002</c:v>
                </c:pt>
                <c:pt idx="26">
                  <c:v>3.0666500000000001</c:v>
                </c:pt>
                <c:pt idx="27">
                  <c:v>3.1071399999999998</c:v>
                </c:pt>
                <c:pt idx="28">
                  <c:v>3.1455499999999996</c:v>
                </c:pt>
                <c:pt idx="29">
                  <c:v>3.1829299999999998</c:v>
                </c:pt>
                <c:pt idx="30">
                  <c:v>3.2218499999999999</c:v>
                </c:pt>
                <c:pt idx="31">
                  <c:v>3.2609399999999997</c:v>
                </c:pt>
                <c:pt idx="32">
                  <c:v>3.29861</c:v>
                </c:pt>
                <c:pt idx="33">
                  <c:v>3.3339600000000003</c:v>
                </c:pt>
                <c:pt idx="34">
                  <c:v>3.3675500000000005</c:v>
                </c:pt>
                <c:pt idx="35">
                  <c:v>3.4001399999999999</c:v>
                </c:pt>
                <c:pt idx="36">
                  <c:v>3.43058</c:v>
                </c:pt>
                <c:pt idx="37">
                  <c:v>3.4592899999999998</c:v>
                </c:pt>
                <c:pt idx="38">
                  <c:v>3.4852799999999999</c:v>
                </c:pt>
                <c:pt idx="39">
                  <c:v>3.5080099999999996</c:v>
                </c:pt>
                <c:pt idx="40">
                  <c:v>3.5306100000000002</c:v>
                </c:pt>
                <c:pt idx="41">
                  <c:v>3.5529600000000001</c:v>
                </c:pt>
                <c:pt idx="42">
                  <c:v>3.5787999999999998</c:v>
                </c:pt>
                <c:pt idx="43">
                  <c:v>3.6052900000000001</c:v>
                </c:pt>
                <c:pt idx="44">
                  <c:v>3.63117</c:v>
                </c:pt>
                <c:pt idx="45">
                  <c:v>3.6567300000000005</c:v>
                </c:pt>
                <c:pt idx="46">
                  <c:v>3.6825000000000001</c:v>
                </c:pt>
                <c:pt idx="47">
                  <c:v>3.7055799999999999</c:v>
                </c:pt>
                <c:pt idx="48">
                  <c:v>3.72987</c:v>
                </c:pt>
                <c:pt idx="49">
                  <c:v>3.7532399999999999</c:v>
                </c:pt>
                <c:pt idx="50">
                  <c:v>3.7717700000000001</c:v>
                </c:pt>
                <c:pt idx="51">
                  <c:v>3.7996099999999999</c:v>
                </c:pt>
                <c:pt idx="52">
                  <c:v>3.82721</c:v>
                </c:pt>
                <c:pt idx="53">
                  <c:v>3.8528699999999998</c:v>
                </c:pt>
                <c:pt idx="54">
                  <c:v>3.8752399999999998</c:v>
                </c:pt>
                <c:pt idx="55">
                  <c:v>3.8970599999999997</c:v>
                </c:pt>
                <c:pt idx="56">
                  <c:v>3.9225900000000005</c:v>
                </c:pt>
                <c:pt idx="57">
                  <c:v>3.9416500000000001</c:v>
                </c:pt>
                <c:pt idx="58">
                  <c:v>3.9568199999999996</c:v>
                </c:pt>
                <c:pt idx="59">
                  <c:v>3.9683299999999999</c:v>
                </c:pt>
                <c:pt idx="60">
                  <c:v>3.97289</c:v>
                </c:pt>
                <c:pt idx="61">
                  <c:v>3.9803800000000003</c:v>
                </c:pt>
                <c:pt idx="62">
                  <c:v>3.9815699999999996</c:v>
                </c:pt>
                <c:pt idx="63">
                  <c:v>3.98123</c:v>
                </c:pt>
                <c:pt idx="64">
                  <c:v>3.9825700000000004</c:v>
                </c:pt>
                <c:pt idx="65">
                  <c:v>3.9808900000000005</c:v>
                </c:pt>
                <c:pt idx="66">
                  <c:v>3.9748999999999999</c:v>
                </c:pt>
                <c:pt idx="67">
                  <c:v>3.9506200000000002</c:v>
                </c:pt>
                <c:pt idx="68">
                  <c:v>3.9258900000000003</c:v>
                </c:pt>
                <c:pt idx="69">
                  <c:v>3.8995500000000001</c:v>
                </c:pt>
                <c:pt idx="70">
                  <c:v>3.8828499999999999</c:v>
                </c:pt>
                <c:pt idx="71">
                  <c:v>3.8437399999999999</c:v>
                </c:pt>
                <c:pt idx="72">
                  <c:v>3.8114500000000002</c:v>
                </c:pt>
                <c:pt idx="73">
                  <c:v>3.7877899999999998</c:v>
                </c:pt>
                <c:pt idx="74">
                  <c:v>3.7490800000000002</c:v>
                </c:pt>
                <c:pt idx="75">
                  <c:v>3.6950499999999997</c:v>
                </c:pt>
                <c:pt idx="76">
                  <c:v>3.6510100000000003</c:v>
                </c:pt>
                <c:pt idx="77">
                  <c:v>3.6090100000000005</c:v>
                </c:pt>
                <c:pt idx="78">
                  <c:v>3.5666399999999996</c:v>
                </c:pt>
                <c:pt idx="79">
                  <c:v>3.52569</c:v>
                </c:pt>
                <c:pt idx="80">
                  <c:v>3.4818799999999999</c:v>
                </c:pt>
                <c:pt idx="81">
                  <c:v>3.4389700000000003</c:v>
                </c:pt>
                <c:pt idx="82">
                  <c:v>3.4005700000000001</c:v>
                </c:pt>
                <c:pt idx="83">
                  <c:v>3.3691199999999997</c:v>
                </c:pt>
                <c:pt idx="84">
                  <c:v>3.3449299999999997</c:v>
                </c:pt>
                <c:pt idx="85">
                  <c:v>3.3231600000000001</c:v>
                </c:pt>
                <c:pt idx="86">
                  <c:v>3.3034599999999998</c:v>
                </c:pt>
                <c:pt idx="87">
                  <c:v>3.2877299999999998</c:v>
                </c:pt>
                <c:pt idx="88">
                  <c:v>3.2765499999999999</c:v>
                </c:pt>
                <c:pt idx="89">
                  <c:v>3.2710900000000001</c:v>
                </c:pt>
                <c:pt idx="90">
                  <c:v>3.2732299999999999</c:v>
                </c:pt>
                <c:pt idx="91">
                  <c:v>3.2781199999999999</c:v>
                </c:pt>
                <c:pt idx="92">
                  <c:v>3.2846399999999996</c:v>
                </c:pt>
                <c:pt idx="93">
                  <c:v>3.2898699999999996</c:v>
                </c:pt>
                <c:pt idx="94">
                  <c:v>3.2966099999999998</c:v>
                </c:pt>
                <c:pt idx="95">
                  <c:v>3.3079399999999999</c:v>
                </c:pt>
                <c:pt idx="96">
                  <c:v>3.32334</c:v>
                </c:pt>
                <c:pt idx="97">
                  <c:v>3.3431600000000001</c:v>
                </c:pt>
                <c:pt idx="98">
                  <c:v>3.3650899999999999</c:v>
                </c:pt>
                <c:pt idx="99">
                  <c:v>3.3896100000000002</c:v>
                </c:pt>
                <c:pt idx="100">
                  <c:v>3.4131099999999996</c:v>
                </c:pt>
                <c:pt idx="101">
                  <c:v>3.4412900000000004</c:v>
                </c:pt>
                <c:pt idx="102">
                  <c:v>3.47051</c:v>
                </c:pt>
                <c:pt idx="103">
                  <c:v>3.5043099999999998</c:v>
                </c:pt>
                <c:pt idx="104">
                  <c:v>3.5342000000000002</c:v>
                </c:pt>
                <c:pt idx="105">
                  <c:v>3.5610300000000001</c:v>
                </c:pt>
                <c:pt idx="106">
                  <c:v>3.5880200000000002</c:v>
                </c:pt>
                <c:pt idx="107">
                  <c:v>3.61355</c:v>
                </c:pt>
                <c:pt idx="108">
                  <c:v>3.6407099999999999</c:v>
                </c:pt>
                <c:pt idx="109">
                  <c:v>3.6628100000000003</c:v>
                </c:pt>
                <c:pt idx="110">
                  <c:v>3.6852</c:v>
                </c:pt>
                <c:pt idx="111">
                  <c:v>3.7057200000000003</c:v>
                </c:pt>
                <c:pt idx="112">
                  <c:v>3.72404</c:v>
                </c:pt>
                <c:pt idx="113">
                  <c:v>3.7398400000000001</c:v>
                </c:pt>
                <c:pt idx="114">
                  <c:v>3.7542499999999999</c:v>
                </c:pt>
                <c:pt idx="115">
                  <c:v>3.7685200000000001</c:v>
                </c:pt>
                <c:pt idx="116">
                  <c:v>3.78247</c:v>
                </c:pt>
                <c:pt idx="117">
                  <c:v>3.7994299999999996</c:v>
                </c:pt>
                <c:pt idx="118">
                  <c:v>3.8192599999999999</c:v>
                </c:pt>
                <c:pt idx="119">
                  <c:v>3.8375700000000004</c:v>
                </c:pt>
                <c:pt idx="120">
                  <c:v>3.8531</c:v>
                </c:pt>
                <c:pt idx="121">
                  <c:v>3.8689600000000004</c:v>
                </c:pt>
                <c:pt idx="122">
                  <c:v>3.8880500000000002</c:v>
                </c:pt>
                <c:pt idx="123">
                  <c:v>3.90984</c:v>
                </c:pt>
                <c:pt idx="124">
                  <c:v>3.9245200000000002</c:v>
                </c:pt>
                <c:pt idx="125">
                  <c:v>3.93452</c:v>
                </c:pt>
                <c:pt idx="126">
                  <c:v>3.9424100000000002</c:v>
                </c:pt>
                <c:pt idx="127">
                  <c:v>3.9502199999999998</c:v>
                </c:pt>
                <c:pt idx="128">
                  <c:v>3.9549499999999997</c:v>
                </c:pt>
                <c:pt idx="129">
                  <c:v>3.96258</c:v>
                </c:pt>
                <c:pt idx="130">
                  <c:v>3.97383</c:v>
                </c:pt>
                <c:pt idx="131">
                  <c:v>3.9842499999999998</c:v>
                </c:pt>
                <c:pt idx="132">
                  <c:v>3.9941300000000002</c:v>
                </c:pt>
                <c:pt idx="133">
                  <c:v>3.9985300000000001</c:v>
                </c:pt>
                <c:pt idx="134">
                  <c:v>4.0060099999999998</c:v>
                </c:pt>
                <c:pt idx="135">
                  <c:v>4.0143800000000001</c:v>
                </c:pt>
                <c:pt idx="136">
                  <c:v>4.0263999999999998</c:v>
                </c:pt>
                <c:pt idx="137">
                  <c:v>4.0421800000000001</c:v>
                </c:pt>
                <c:pt idx="138">
                  <c:v>4.0591799999999996</c:v>
                </c:pt>
                <c:pt idx="139">
                  <c:v>4.0738400000000006</c:v>
                </c:pt>
                <c:pt idx="140">
                  <c:v>4.08256</c:v>
                </c:pt>
                <c:pt idx="141">
                  <c:v>4.09307</c:v>
                </c:pt>
                <c:pt idx="142">
                  <c:v>4.0993899999999996</c:v>
                </c:pt>
                <c:pt idx="143">
                  <c:v>4.10297</c:v>
                </c:pt>
                <c:pt idx="144">
                  <c:v>4.1116599999999996</c:v>
                </c:pt>
                <c:pt idx="145">
                  <c:v>4.1308800000000003</c:v>
                </c:pt>
                <c:pt idx="146">
                  <c:v>4.1629899999999997</c:v>
                </c:pt>
                <c:pt idx="147">
                  <c:v>4.1841600000000003</c:v>
                </c:pt>
                <c:pt idx="148">
                  <c:v>4.1593400000000003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0.383936</c:v>
                </c:pt>
                <c:pt idx="2">
                  <c:v>0.79484600000000005</c:v>
                </c:pt>
                <c:pt idx="3">
                  <c:v>1.2047600000000001</c:v>
                </c:pt>
                <c:pt idx="4">
                  <c:v>1.6096699999999999</c:v>
                </c:pt>
                <c:pt idx="5">
                  <c:v>2.01362</c:v>
                </c:pt>
                <c:pt idx="6">
                  <c:v>2.41879</c:v>
                </c:pt>
                <c:pt idx="7">
                  <c:v>2.8207</c:v>
                </c:pt>
                <c:pt idx="8">
                  <c:v>3.2344599999999999</c:v>
                </c:pt>
                <c:pt idx="9">
                  <c:v>3.63917</c:v>
                </c:pt>
                <c:pt idx="10">
                  <c:v>4.0441000000000003</c:v>
                </c:pt>
                <c:pt idx="11">
                  <c:v>4.4503599999999999</c:v>
                </c:pt>
                <c:pt idx="12">
                  <c:v>4.8579499999999998</c:v>
                </c:pt>
                <c:pt idx="13">
                  <c:v>5.2668799999999996</c:v>
                </c:pt>
                <c:pt idx="14">
                  <c:v>5.6653599999999997</c:v>
                </c:pt>
                <c:pt idx="15">
                  <c:v>6.0766400000000003</c:v>
                </c:pt>
                <c:pt idx="16">
                  <c:v>6.4805299999999999</c:v>
                </c:pt>
                <c:pt idx="17">
                  <c:v>6.8945299999999996</c:v>
                </c:pt>
                <c:pt idx="18">
                  <c:v>7.2965400000000002</c:v>
                </c:pt>
                <c:pt idx="19">
                  <c:v>7.70533</c:v>
                </c:pt>
                <c:pt idx="20">
                  <c:v>8.1062499999999993</c:v>
                </c:pt>
                <c:pt idx="21">
                  <c:v>8.5123200000000008</c:v>
                </c:pt>
                <c:pt idx="22">
                  <c:v>8.9182699999999997</c:v>
                </c:pt>
                <c:pt idx="23">
                  <c:v>9.3219899999999996</c:v>
                </c:pt>
                <c:pt idx="24">
                  <c:v>9.7319899999999997</c:v>
                </c:pt>
                <c:pt idx="25">
                  <c:v>10.1358</c:v>
                </c:pt>
                <c:pt idx="26">
                  <c:v>10.541700000000001</c:v>
                </c:pt>
                <c:pt idx="27">
                  <c:v>10.946099999999999</c:v>
                </c:pt>
                <c:pt idx="28">
                  <c:v>11.3575</c:v>
                </c:pt>
                <c:pt idx="29">
                  <c:v>11.76</c:v>
                </c:pt>
                <c:pt idx="30">
                  <c:v>12.167400000000001</c:v>
                </c:pt>
                <c:pt idx="31">
                  <c:v>12.5723</c:v>
                </c:pt>
                <c:pt idx="32">
                  <c:v>12.9762</c:v>
                </c:pt>
                <c:pt idx="33">
                  <c:v>13.386100000000001</c:v>
                </c:pt>
                <c:pt idx="34">
                  <c:v>13.7964</c:v>
                </c:pt>
                <c:pt idx="35">
                  <c:v>14.199</c:v>
                </c:pt>
                <c:pt idx="36">
                  <c:v>14.604799999999999</c:v>
                </c:pt>
                <c:pt idx="37">
                  <c:v>15.010199999999999</c:v>
                </c:pt>
                <c:pt idx="38">
                  <c:v>15.414099999999999</c:v>
                </c:pt>
                <c:pt idx="39">
                  <c:v>15.8256</c:v>
                </c:pt>
                <c:pt idx="40">
                  <c:v>16.232099999999999</c:v>
                </c:pt>
                <c:pt idx="41">
                  <c:v>16.6374</c:v>
                </c:pt>
                <c:pt idx="42">
                  <c:v>17.043500000000002</c:v>
                </c:pt>
                <c:pt idx="43">
                  <c:v>17.445699999999999</c:v>
                </c:pt>
                <c:pt idx="44">
                  <c:v>17.854199999999999</c:v>
                </c:pt>
                <c:pt idx="45">
                  <c:v>18.2622</c:v>
                </c:pt>
                <c:pt idx="46">
                  <c:v>18.667999999999999</c:v>
                </c:pt>
                <c:pt idx="47">
                  <c:v>19.074400000000001</c:v>
                </c:pt>
                <c:pt idx="48">
                  <c:v>19.4818</c:v>
                </c:pt>
                <c:pt idx="49">
                  <c:v>19.8888</c:v>
                </c:pt>
                <c:pt idx="50">
                  <c:v>20.296800000000001</c:v>
                </c:pt>
                <c:pt idx="51">
                  <c:v>20.698599999999999</c:v>
                </c:pt>
                <c:pt idx="52">
                  <c:v>21.102499999999999</c:v>
                </c:pt>
                <c:pt idx="53">
                  <c:v>21.5106</c:v>
                </c:pt>
                <c:pt idx="54">
                  <c:v>21.920400000000001</c:v>
                </c:pt>
                <c:pt idx="55">
                  <c:v>22.324300000000001</c:v>
                </c:pt>
                <c:pt idx="56">
                  <c:v>22.732199999999999</c:v>
                </c:pt>
                <c:pt idx="57">
                  <c:v>23.135000000000002</c:v>
                </c:pt>
                <c:pt idx="58">
                  <c:v>23.543099999999999</c:v>
                </c:pt>
                <c:pt idx="59">
                  <c:v>23.950900000000001</c:v>
                </c:pt>
                <c:pt idx="60">
                  <c:v>24.357800000000001</c:v>
                </c:pt>
                <c:pt idx="61">
                  <c:v>24.7607</c:v>
                </c:pt>
                <c:pt idx="62">
                  <c:v>25.165600000000001</c:v>
                </c:pt>
                <c:pt idx="63">
                  <c:v>25.573699999999999</c:v>
                </c:pt>
                <c:pt idx="64">
                  <c:v>25.979800000000001</c:v>
                </c:pt>
                <c:pt idx="65">
                  <c:v>26.3874</c:v>
                </c:pt>
                <c:pt idx="66">
                  <c:v>26.7943</c:v>
                </c:pt>
                <c:pt idx="67">
                  <c:v>27.199200000000001</c:v>
                </c:pt>
                <c:pt idx="68">
                  <c:v>27.607099999999999</c:v>
                </c:pt>
                <c:pt idx="69">
                  <c:v>28.009499999999999</c:v>
                </c:pt>
                <c:pt idx="70">
                  <c:v>28.417000000000002</c:v>
                </c:pt>
                <c:pt idx="71">
                  <c:v>28.826799999999999</c:v>
                </c:pt>
                <c:pt idx="72">
                  <c:v>29.23</c:v>
                </c:pt>
                <c:pt idx="73">
                  <c:v>29.6327</c:v>
                </c:pt>
                <c:pt idx="74">
                  <c:v>30.045000000000002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1.8896999999999999</c:v>
                </c:pt>
                <c:pt idx="1">
                  <c:v>1.9351399999999999</c:v>
                </c:pt>
                <c:pt idx="2">
                  <c:v>1.9799900000000001</c:v>
                </c:pt>
                <c:pt idx="3">
                  <c:v>2.02433</c:v>
                </c:pt>
                <c:pt idx="4">
                  <c:v>2.0693000000000001</c:v>
                </c:pt>
                <c:pt idx="5">
                  <c:v>2.11334</c:v>
                </c:pt>
                <c:pt idx="6">
                  <c:v>2.15429</c:v>
                </c:pt>
                <c:pt idx="7">
                  <c:v>2.19286</c:v>
                </c:pt>
                <c:pt idx="8">
                  <c:v>2.2333099999999999</c:v>
                </c:pt>
                <c:pt idx="9">
                  <c:v>2.2766299999999999</c:v>
                </c:pt>
                <c:pt idx="10">
                  <c:v>2.32118</c:v>
                </c:pt>
                <c:pt idx="11">
                  <c:v>2.3679600000000001</c:v>
                </c:pt>
                <c:pt idx="12">
                  <c:v>2.4160900000000001</c:v>
                </c:pt>
                <c:pt idx="13">
                  <c:v>2.4649700000000001</c:v>
                </c:pt>
                <c:pt idx="14">
                  <c:v>2.5107499999999998</c:v>
                </c:pt>
                <c:pt idx="15">
                  <c:v>2.5567500000000001</c:v>
                </c:pt>
                <c:pt idx="16">
                  <c:v>2.6019300000000003</c:v>
                </c:pt>
                <c:pt idx="17">
                  <c:v>2.64642</c:v>
                </c:pt>
                <c:pt idx="18">
                  <c:v>2.6933400000000001</c:v>
                </c:pt>
                <c:pt idx="19">
                  <c:v>2.7417599999999998</c:v>
                </c:pt>
                <c:pt idx="20">
                  <c:v>2.78878</c:v>
                </c:pt>
                <c:pt idx="21">
                  <c:v>2.8349600000000001</c:v>
                </c:pt>
                <c:pt idx="22">
                  <c:v>2.8836499999999998</c:v>
                </c:pt>
                <c:pt idx="23">
                  <c:v>2.9310100000000001</c:v>
                </c:pt>
                <c:pt idx="24">
                  <c:v>2.9785599999999999</c:v>
                </c:pt>
                <c:pt idx="25">
                  <c:v>3.0240200000000002</c:v>
                </c:pt>
                <c:pt idx="26">
                  <c:v>3.0666500000000001</c:v>
                </c:pt>
                <c:pt idx="27">
                  <c:v>3.1071399999999998</c:v>
                </c:pt>
                <c:pt idx="28">
                  <c:v>3.1455499999999996</c:v>
                </c:pt>
                <c:pt idx="29">
                  <c:v>3.1829299999999998</c:v>
                </c:pt>
                <c:pt idx="30">
                  <c:v>3.2218499999999999</c:v>
                </c:pt>
                <c:pt idx="31">
                  <c:v>3.2609399999999997</c:v>
                </c:pt>
                <c:pt idx="32">
                  <c:v>3.29861</c:v>
                </c:pt>
                <c:pt idx="33">
                  <c:v>3.3339600000000003</c:v>
                </c:pt>
                <c:pt idx="34">
                  <c:v>3.3675500000000005</c:v>
                </c:pt>
                <c:pt idx="35">
                  <c:v>3.4001399999999999</c:v>
                </c:pt>
                <c:pt idx="36">
                  <c:v>3.43058</c:v>
                </c:pt>
                <c:pt idx="37">
                  <c:v>3.4592899999999998</c:v>
                </c:pt>
                <c:pt idx="38">
                  <c:v>3.4852799999999999</c:v>
                </c:pt>
                <c:pt idx="39">
                  <c:v>3.5080099999999996</c:v>
                </c:pt>
                <c:pt idx="40">
                  <c:v>3.5306100000000002</c:v>
                </c:pt>
                <c:pt idx="41">
                  <c:v>3.5529600000000001</c:v>
                </c:pt>
                <c:pt idx="42">
                  <c:v>3.5787999999999998</c:v>
                </c:pt>
                <c:pt idx="43">
                  <c:v>3.6052900000000001</c:v>
                </c:pt>
                <c:pt idx="44">
                  <c:v>3.63117</c:v>
                </c:pt>
                <c:pt idx="45">
                  <c:v>3.6567300000000005</c:v>
                </c:pt>
                <c:pt idx="46">
                  <c:v>3.6825000000000001</c:v>
                </c:pt>
                <c:pt idx="47">
                  <c:v>3.7055799999999999</c:v>
                </c:pt>
                <c:pt idx="48">
                  <c:v>3.72987</c:v>
                </c:pt>
                <c:pt idx="49">
                  <c:v>3.7532399999999999</c:v>
                </c:pt>
                <c:pt idx="50">
                  <c:v>3.7717700000000001</c:v>
                </c:pt>
                <c:pt idx="51">
                  <c:v>3.7996099999999999</c:v>
                </c:pt>
                <c:pt idx="52">
                  <c:v>3.82721</c:v>
                </c:pt>
                <c:pt idx="53">
                  <c:v>3.8528699999999998</c:v>
                </c:pt>
                <c:pt idx="54">
                  <c:v>3.8752399999999998</c:v>
                </c:pt>
                <c:pt idx="55">
                  <c:v>3.8970599999999997</c:v>
                </c:pt>
                <c:pt idx="56">
                  <c:v>3.9225900000000005</c:v>
                </c:pt>
                <c:pt idx="57">
                  <c:v>3.9416500000000001</c:v>
                </c:pt>
                <c:pt idx="58">
                  <c:v>3.9568199999999996</c:v>
                </c:pt>
                <c:pt idx="59">
                  <c:v>3.9683299999999999</c:v>
                </c:pt>
                <c:pt idx="60">
                  <c:v>3.97289</c:v>
                </c:pt>
                <c:pt idx="61">
                  <c:v>3.9803800000000003</c:v>
                </c:pt>
                <c:pt idx="62">
                  <c:v>3.9815699999999996</c:v>
                </c:pt>
                <c:pt idx="63">
                  <c:v>3.98123</c:v>
                </c:pt>
                <c:pt idx="64">
                  <c:v>3.9825700000000004</c:v>
                </c:pt>
                <c:pt idx="65">
                  <c:v>3.9808900000000005</c:v>
                </c:pt>
                <c:pt idx="66">
                  <c:v>3.9748999999999999</c:v>
                </c:pt>
                <c:pt idx="67">
                  <c:v>3.9506200000000002</c:v>
                </c:pt>
                <c:pt idx="68">
                  <c:v>3.9258900000000003</c:v>
                </c:pt>
                <c:pt idx="69">
                  <c:v>3.8995500000000001</c:v>
                </c:pt>
                <c:pt idx="70">
                  <c:v>3.8828499999999999</c:v>
                </c:pt>
                <c:pt idx="71">
                  <c:v>3.8437399999999999</c:v>
                </c:pt>
                <c:pt idx="72">
                  <c:v>3.8114500000000002</c:v>
                </c:pt>
                <c:pt idx="73">
                  <c:v>3.7877899999999998</c:v>
                </c:pt>
                <c:pt idx="74">
                  <c:v>3.7490800000000002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30.045000000000002</c:v>
                </c:pt>
                <c:pt idx="1">
                  <c:v>30.623000000000001</c:v>
                </c:pt>
                <c:pt idx="2">
                  <c:v>30.9971</c:v>
                </c:pt>
                <c:pt idx="3">
                  <c:v>31.371099999999998</c:v>
                </c:pt>
                <c:pt idx="4">
                  <c:v>31.7471</c:v>
                </c:pt>
                <c:pt idx="5">
                  <c:v>32.117400000000004</c:v>
                </c:pt>
                <c:pt idx="6">
                  <c:v>32.529200000000003</c:v>
                </c:pt>
                <c:pt idx="7">
                  <c:v>32.9358</c:v>
                </c:pt>
                <c:pt idx="8">
                  <c:v>33.340800000000002</c:v>
                </c:pt>
                <c:pt idx="9">
                  <c:v>33.744700000000002</c:v>
                </c:pt>
                <c:pt idx="10">
                  <c:v>34.152700000000003</c:v>
                </c:pt>
                <c:pt idx="11">
                  <c:v>34.562899999999999</c:v>
                </c:pt>
                <c:pt idx="12">
                  <c:v>34.966500000000003</c:v>
                </c:pt>
                <c:pt idx="13">
                  <c:v>35.371299999999998</c:v>
                </c:pt>
                <c:pt idx="14">
                  <c:v>35.776299999999999</c:v>
                </c:pt>
                <c:pt idx="15">
                  <c:v>36.185099999999998</c:v>
                </c:pt>
                <c:pt idx="16">
                  <c:v>36.589199999999998</c:v>
                </c:pt>
                <c:pt idx="17">
                  <c:v>36.997999999999998</c:v>
                </c:pt>
                <c:pt idx="18">
                  <c:v>37.4039</c:v>
                </c:pt>
                <c:pt idx="19">
                  <c:v>37.806800000000003</c:v>
                </c:pt>
                <c:pt idx="20">
                  <c:v>38.214799999999997</c:v>
                </c:pt>
                <c:pt idx="21">
                  <c:v>38.621600000000001</c:v>
                </c:pt>
                <c:pt idx="22">
                  <c:v>39.031399999999998</c:v>
                </c:pt>
                <c:pt idx="23">
                  <c:v>39.433399999999999</c:v>
                </c:pt>
                <c:pt idx="24">
                  <c:v>39.8384</c:v>
                </c:pt>
                <c:pt idx="25">
                  <c:v>40.249200000000002</c:v>
                </c:pt>
                <c:pt idx="26">
                  <c:v>40.648200000000003</c:v>
                </c:pt>
                <c:pt idx="27">
                  <c:v>41.060200000000002</c:v>
                </c:pt>
                <c:pt idx="28">
                  <c:v>41.464100000000002</c:v>
                </c:pt>
                <c:pt idx="29">
                  <c:v>41.871000000000002</c:v>
                </c:pt>
                <c:pt idx="30">
                  <c:v>42.277299999999997</c:v>
                </c:pt>
                <c:pt idx="31">
                  <c:v>42.686900000000001</c:v>
                </c:pt>
                <c:pt idx="32">
                  <c:v>43.087699999999998</c:v>
                </c:pt>
                <c:pt idx="33">
                  <c:v>43.497599999999998</c:v>
                </c:pt>
                <c:pt idx="34">
                  <c:v>43.898600000000002</c:v>
                </c:pt>
                <c:pt idx="35">
                  <c:v>44.307499999999997</c:v>
                </c:pt>
                <c:pt idx="36">
                  <c:v>44.718400000000003</c:v>
                </c:pt>
                <c:pt idx="37">
                  <c:v>45.122900000000001</c:v>
                </c:pt>
                <c:pt idx="38">
                  <c:v>45.526200000000003</c:v>
                </c:pt>
                <c:pt idx="39">
                  <c:v>45.934100000000001</c:v>
                </c:pt>
                <c:pt idx="40">
                  <c:v>46.339100000000002</c:v>
                </c:pt>
                <c:pt idx="41">
                  <c:v>46.746299999999998</c:v>
                </c:pt>
                <c:pt idx="42">
                  <c:v>47.152900000000002</c:v>
                </c:pt>
                <c:pt idx="43">
                  <c:v>47.559800000000003</c:v>
                </c:pt>
                <c:pt idx="44">
                  <c:v>47.963799999999999</c:v>
                </c:pt>
                <c:pt idx="45">
                  <c:v>48.369700000000002</c:v>
                </c:pt>
                <c:pt idx="46">
                  <c:v>48.777500000000003</c:v>
                </c:pt>
                <c:pt idx="47">
                  <c:v>49.185400000000001</c:v>
                </c:pt>
                <c:pt idx="48">
                  <c:v>49.592300000000002</c:v>
                </c:pt>
                <c:pt idx="49">
                  <c:v>49.995199999999997</c:v>
                </c:pt>
                <c:pt idx="50">
                  <c:v>50.403199999999998</c:v>
                </c:pt>
                <c:pt idx="51">
                  <c:v>50.810299999999998</c:v>
                </c:pt>
                <c:pt idx="52">
                  <c:v>51.216999999999999</c:v>
                </c:pt>
                <c:pt idx="53">
                  <c:v>51.621899999999997</c:v>
                </c:pt>
                <c:pt idx="54">
                  <c:v>52.025799999999997</c:v>
                </c:pt>
                <c:pt idx="55">
                  <c:v>52.4283</c:v>
                </c:pt>
                <c:pt idx="56">
                  <c:v>52.837699999999998</c:v>
                </c:pt>
                <c:pt idx="57">
                  <c:v>53.248600000000003</c:v>
                </c:pt>
                <c:pt idx="58">
                  <c:v>53.656599999999997</c:v>
                </c:pt>
                <c:pt idx="59">
                  <c:v>54.0593</c:v>
                </c:pt>
                <c:pt idx="60">
                  <c:v>54.464300000000001</c:v>
                </c:pt>
                <c:pt idx="61">
                  <c:v>54.869500000000002</c:v>
                </c:pt>
                <c:pt idx="62">
                  <c:v>55.280900000000003</c:v>
                </c:pt>
                <c:pt idx="63">
                  <c:v>55.685099999999998</c:v>
                </c:pt>
                <c:pt idx="64">
                  <c:v>56.091999999999999</c:v>
                </c:pt>
                <c:pt idx="65">
                  <c:v>56.496899999999997</c:v>
                </c:pt>
                <c:pt idx="66">
                  <c:v>56.901899999999998</c:v>
                </c:pt>
                <c:pt idx="67">
                  <c:v>57.310699999999997</c:v>
                </c:pt>
                <c:pt idx="68">
                  <c:v>57.7166</c:v>
                </c:pt>
                <c:pt idx="69">
                  <c:v>58.122500000000002</c:v>
                </c:pt>
                <c:pt idx="70">
                  <c:v>58.5274</c:v>
                </c:pt>
                <c:pt idx="71">
                  <c:v>58.929699999999997</c:v>
                </c:pt>
                <c:pt idx="72">
                  <c:v>59.342300000000002</c:v>
                </c:pt>
                <c:pt idx="73">
                  <c:v>59.746699999999997</c:v>
                </c:pt>
                <c:pt idx="74">
                  <c:v>60.152099999999997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3.7490800000000002</c:v>
                </c:pt>
                <c:pt idx="1">
                  <c:v>3.6950499999999997</c:v>
                </c:pt>
                <c:pt idx="2">
                  <c:v>3.6510100000000003</c:v>
                </c:pt>
                <c:pt idx="3">
                  <c:v>3.6090100000000005</c:v>
                </c:pt>
                <c:pt idx="4">
                  <c:v>3.5666399999999996</c:v>
                </c:pt>
                <c:pt idx="5">
                  <c:v>3.52569</c:v>
                </c:pt>
                <c:pt idx="6">
                  <c:v>3.4818799999999999</c:v>
                </c:pt>
                <c:pt idx="7">
                  <c:v>3.4389700000000003</c:v>
                </c:pt>
                <c:pt idx="8">
                  <c:v>3.4005700000000001</c:v>
                </c:pt>
                <c:pt idx="9">
                  <c:v>3.3691199999999997</c:v>
                </c:pt>
                <c:pt idx="10">
                  <c:v>3.3449299999999997</c:v>
                </c:pt>
                <c:pt idx="11">
                  <c:v>3.3231600000000001</c:v>
                </c:pt>
                <c:pt idx="12">
                  <c:v>3.3034599999999998</c:v>
                </c:pt>
                <c:pt idx="13">
                  <c:v>3.2877299999999998</c:v>
                </c:pt>
                <c:pt idx="14">
                  <c:v>3.2765499999999999</c:v>
                </c:pt>
                <c:pt idx="15">
                  <c:v>3.2710900000000001</c:v>
                </c:pt>
                <c:pt idx="16">
                  <c:v>3.2732299999999999</c:v>
                </c:pt>
                <c:pt idx="17">
                  <c:v>3.2781199999999999</c:v>
                </c:pt>
                <c:pt idx="18">
                  <c:v>3.2846399999999996</c:v>
                </c:pt>
                <c:pt idx="19">
                  <c:v>3.2898699999999996</c:v>
                </c:pt>
                <c:pt idx="20">
                  <c:v>3.2966099999999998</c:v>
                </c:pt>
                <c:pt idx="21">
                  <c:v>3.3079399999999999</c:v>
                </c:pt>
                <c:pt idx="22">
                  <c:v>3.32334</c:v>
                </c:pt>
                <c:pt idx="23">
                  <c:v>3.3431600000000001</c:v>
                </c:pt>
                <c:pt idx="24">
                  <c:v>3.3650899999999999</c:v>
                </c:pt>
                <c:pt idx="25">
                  <c:v>3.3896100000000002</c:v>
                </c:pt>
                <c:pt idx="26">
                  <c:v>3.4131099999999996</c:v>
                </c:pt>
                <c:pt idx="27">
                  <c:v>3.4412900000000004</c:v>
                </c:pt>
                <c:pt idx="28">
                  <c:v>3.47051</c:v>
                </c:pt>
                <c:pt idx="29">
                  <c:v>3.5043099999999998</c:v>
                </c:pt>
                <c:pt idx="30">
                  <c:v>3.5342000000000002</c:v>
                </c:pt>
                <c:pt idx="31">
                  <c:v>3.5610300000000001</c:v>
                </c:pt>
                <c:pt idx="32">
                  <c:v>3.5880200000000002</c:v>
                </c:pt>
                <c:pt idx="33">
                  <c:v>3.61355</c:v>
                </c:pt>
                <c:pt idx="34">
                  <c:v>3.6407099999999999</c:v>
                </c:pt>
                <c:pt idx="35">
                  <c:v>3.6628100000000003</c:v>
                </c:pt>
                <c:pt idx="36">
                  <c:v>3.6852</c:v>
                </c:pt>
                <c:pt idx="37">
                  <c:v>3.7057200000000003</c:v>
                </c:pt>
                <c:pt idx="38">
                  <c:v>3.72404</c:v>
                </c:pt>
                <c:pt idx="39">
                  <c:v>3.7398400000000001</c:v>
                </c:pt>
                <c:pt idx="40">
                  <c:v>3.7542499999999999</c:v>
                </c:pt>
                <c:pt idx="41">
                  <c:v>3.7685200000000001</c:v>
                </c:pt>
                <c:pt idx="42">
                  <c:v>3.78247</c:v>
                </c:pt>
                <c:pt idx="43">
                  <c:v>3.7994299999999996</c:v>
                </c:pt>
                <c:pt idx="44">
                  <c:v>3.8192599999999999</c:v>
                </c:pt>
                <c:pt idx="45">
                  <c:v>3.8375700000000004</c:v>
                </c:pt>
                <c:pt idx="46">
                  <c:v>3.8531</c:v>
                </c:pt>
                <c:pt idx="47">
                  <c:v>3.8689600000000004</c:v>
                </c:pt>
                <c:pt idx="48">
                  <c:v>3.8880500000000002</c:v>
                </c:pt>
                <c:pt idx="49">
                  <c:v>3.90984</c:v>
                </c:pt>
                <c:pt idx="50">
                  <c:v>3.9245200000000002</c:v>
                </c:pt>
                <c:pt idx="51">
                  <c:v>3.93452</c:v>
                </c:pt>
                <c:pt idx="52">
                  <c:v>3.9424100000000002</c:v>
                </c:pt>
                <c:pt idx="53">
                  <c:v>3.9502199999999998</c:v>
                </c:pt>
                <c:pt idx="54">
                  <c:v>3.9549499999999997</c:v>
                </c:pt>
                <c:pt idx="55">
                  <c:v>3.96258</c:v>
                </c:pt>
                <c:pt idx="56">
                  <c:v>3.97383</c:v>
                </c:pt>
                <c:pt idx="57">
                  <c:v>3.9842499999999998</c:v>
                </c:pt>
                <c:pt idx="58">
                  <c:v>3.9941300000000002</c:v>
                </c:pt>
                <c:pt idx="59">
                  <c:v>3.9985300000000001</c:v>
                </c:pt>
                <c:pt idx="60">
                  <c:v>4.0060099999999998</c:v>
                </c:pt>
                <c:pt idx="61">
                  <c:v>4.0143800000000001</c:v>
                </c:pt>
                <c:pt idx="62">
                  <c:v>4.0263999999999998</c:v>
                </c:pt>
                <c:pt idx="63">
                  <c:v>4.0421800000000001</c:v>
                </c:pt>
                <c:pt idx="64">
                  <c:v>4.0591799999999996</c:v>
                </c:pt>
                <c:pt idx="65">
                  <c:v>4.0738400000000006</c:v>
                </c:pt>
                <c:pt idx="66">
                  <c:v>4.08256</c:v>
                </c:pt>
                <c:pt idx="67">
                  <c:v>4.09307</c:v>
                </c:pt>
                <c:pt idx="68">
                  <c:v>4.0993899999999996</c:v>
                </c:pt>
                <c:pt idx="69">
                  <c:v>4.10297</c:v>
                </c:pt>
                <c:pt idx="70">
                  <c:v>4.1116599999999996</c:v>
                </c:pt>
                <c:pt idx="71">
                  <c:v>4.1308800000000003</c:v>
                </c:pt>
                <c:pt idx="72">
                  <c:v>4.1629899999999997</c:v>
                </c:pt>
                <c:pt idx="73">
                  <c:v>4.1841600000000003</c:v>
                </c:pt>
                <c:pt idx="74">
                  <c:v>4.1593400000000003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15.038024999999999</c:v>
                </c:pt>
                <c:pt idx="1">
                  <c:v>45.114075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3.2445367567567573</c:v>
                </c:pt>
                <c:pt idx="1">
                  <c:v>3.7002831081081085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0.383936</c:v>
                </c:pt>
                <c:pt idx="2">
                  <c:v>0.79484600000000005</c:v>
                </c:pt>
                <c:pt idx="3">
                  <c:v>1.2047600000000001</c:v>
                </c:pt>
                <c:pt idx="4">
                  <c:v>1.6096699999999999</c:v>
                </c:pt>
                <c:pt idx="5">
                  <c:v>2.01362</c:v>
                </c:pt>
                <c:pt idx="6">
                  <c:v>2.41879</c:v>
                </c:pt>
                <c:pt idx="7">
                  <c:v>2.8207</c:v>
                </c:pt>
                <c:pt idx="8">
                  <c:v>3.2344599999999999</c:v>
                </c:pt>
                <c:pt idx="9">
                  <c:v>3.63917</c:v>
                </c:pt>
                <c:pt idx="10">
                  <c:v>4.0441000000000003</c:v>
                </c:pt>
                <c:pt idx="11">
                  <c:v>4.4503599999999999</c:v>
                </c:pt>
                <c:pt idx="12">
                  <c:v>4.8579499999999998</c:v>
                </c:pt>
                <c:pt idx="13">
                  <c:v>5.2668799999999996</c:v>
                </c:pt>
                <c:pt idx="14">
                  <c:v>5.6653599999999997</c:v>
                </c:pt>
                <c:pt idx="15">
                  <c:v>6.0766400000000003</c:v>
                </c:pt>
                <c:pt idx="16">
                  <c:v>6.4805299999999999</c:v>
                </c:pt>
                <c:pt idx="17">
                  <c:v>6.8945299999999996</c:v>
                </c:pt>
                <c:pt idx="18">
                  <c:v>7.2965400000000002</c:v>
                </c:pt>
                <c:pt idx="19">
                  <c:v>7.70533</c:v>
                </c:pt>
                <c:pt idx="20">
                  <c:v>8.1062499999999993</c:v>
                </c:pt>
                <c:pt idx="21">
                  <c:v>8.5123200000000008</c:v>
                </c:pt>
                <c:pt idx="22">
                  <c:v>8.9182699999999997</c:v>
                </c:pt>
                <c:pt idx="23">
                  <c:v>9.3219899999999996</c:v>
                </c:pt>
                <c:pt idx="24">
                  <c:v>9.7319899999999997</c:v>
                </c:pt>
                <c:pt idx="25">
                  <c:v>10.1358</c:v>
                </c:pt>
                <c:pt idx="26">
                  <c:v>10.541700000000001</c:v>
                </c:pt>
                <c:pt idx="27">
                  <c:v>10.946099999999999</c:v>
                </c:pt>
                <c:pt idx="28">
                  <c:v>11.3575</c:v>
                </c:pt>
                <c:pt idx="29">
                  <c:v>11.76</c:v>
                </c:pt>
                <c:pt idx="30">
                  <c:v>12.167400000000001</c:v>
                </c:pt>
                <c:pt idx="31">
                  <c:v>12.5723</c:v>
                </c:pt>
                <c:pt idx="32">
                  <c:v>12.9762</c:v>
                </c:pt>
                <c:pt idx="33">
                  <c:v>13.386100000000001</c:v>
                </c:pt>
                <c:pt idx="34">
                  <c:v>13.7964</c:v>
                </c:pt>
                <c:pt idx="35">
                  <c:v>14.199</c:v>
                </c:pt>
                <c:pt idx="36">
                  <c:v>14.604799999999999</c:v>
                </c:pt>
                <c:pt idx="37">
                  <c:v>15.010199999999999</c:v>
                </c:pt>
                <c:pt idx="38">
                  <c:v>15.414099999999999</c:v>
                </c:pt>
                <c:pt idx="39">
                  <c:v>15.8256</c:v>
                </c:pt>
                <c:pt idx="40">
                  <c:v>16.232099999999999</c:v>
                </c:pt>
                <c:pt idx="41">
                  <c:v>16.6374</c:v>
                </c:pt>
                <c:pt idx="42">
                  <c:v>17.043500000000002</c:v>
                </c:pt>
                <c:pt idx="43">
                  <c:v>17.445699999999999</c:v>
                </c:pt>
                <c:pt idx="44">
                  <c:v>17.854199999999999</c:v>
                </c:pt>
                <c:pt idx="45">
                  <c:v>18.2622</c:v>
                </c:pt>
                <c:pt idx="46">
                  <c:v>18.667999999999999</c:v>
                </c:pt>
                <c:pt idx="47">
                  <c:v>19.074400000000001</c:v>
                </c:pt>
                <c:pt idx="48">
                  <c:v>19.4818</c:v>
                </c:pt>
                <c:pt idx="49">
                  <c:v>19.8888</c:v>
                </c:pt>
                <c:pt idx="50">
                  <c:v>20.296800000000001</c:v>
                </c:pt>
                <c:pt idx="51">
                  <c:v>20.698599999999999</c:v>
                </c:pt>
                <c:pt idx="52">
                  <c:v>21.102499999999999</c:v>
                </c:pt>
                <c:pt idx="53">
                  <c:v>21.5106</c:v>
                </c:pt>
                <c:pt idx="54">
                  <c:v>21.920400000000001</c:v>
                </c:pt>
                <c:pt idx="55">
                  <c:v>22.324300000000001</c:v>
                </c:pt>
                <c:pt idx="56">
                  <c:v>22.732199999999999</c:v>
                </c:pt>
                <c:pt idx="57">
                  <c:v>23.135000000000002</c:v>
                </c:pt>
                <c:pt idx="58">
                  <c:v>23.543099999999999</c:v>
                </c:pt>
                <c:pt idx="59">
                  <c:v>23.950900000000001</c:v>
                </c:pt>
                <c:pt idx="60">
                  <c:v>24.357800000000001</c:v>
                </c:pt>
                <c:pt idx="61">
                  <c:v>24.7607</c:v>
                </c:pt>
                <c:pt idx="62">
                  <c:v>25.165600000000001</c:v>
                </c:pt>
                <c:pt idx="63">
                  <c:v>25.573699999999999</c:v>
                </c:pt>
                <c:pt idx="64">
                  <c:v>25.979800000000001</c:v>
                </c:pt>
                <c:pt idx="65">
                  <c:v>26.3874</c:v>
                </c:pt>
                <c:pt idx="66">
                  <c:v>26.7943</c:v>
                </c:pt>
                <c:pt idx="67">
                  <c:v>27.199200000000001</c:v>
                </c:pt>
                <c:pt idx="68">
                  <c:v>27.607099999999999</c:v>
                </c:pt>
                <c:pt idx="69">
                  <c:v>28.009499999999999</c:v>
                </c:pt>
                <c:pt idx="70">
                  <c:v>28.417000000000002</c:v>
                </c:pt>
                <c:pt idx="71">
                  <c:v>28.826799999999999</c:v>
                </c:pt>
                <c:pt idx="72">
                  <c:v>29.23</c:v>
                </c:pt>
                <c:pt idx="73">
                  <c:v>29.6327</c:v>
                </c:pt>
                <c:pt idx="74">
                  <c:v>30.045000000000002</c:v>
                </c:pt>
                <c:pt idx="75">
                  <c:v>30.623000000000001</c:v>
                </c:pt>
                <c:pt idx="76">
                  <c:v>30.9971</c:v>
                </c:pt>
                <c:pt idx="77">
                  <c:v>31.371099999999998</c:v>
                </c:pt>
                <c:pt idx="78">
                  <c:v>31.7471</c:v>
                </c:pt>
                <c:pt idx="79">
                  <c:v>32.117400000000004</c:v>
                </c:pt>
                <c:pt idx="80">
                  <c:v>32.529200000000003</c:v>
                </c:pt>
                <c:pt idx="81">
                  <c:v>32.9358</c:v>
                </c:pt>
                <c:pt idx="82">
                  <c:v>33.340800000000002</c:v>
                </c:pt>
                <c:pt idx="83">
                  <c:v>33.744700000000002</c:v>
                </c:pt>
                <c:pt idx="84">
                  <c:v>34.152700000000003</c:v>
                </c:pt>
                <c:pt idx="85">
                  <c:v>34.562899999999999</c:v>
                </c:pt>
                <c:pt idx="86">
                  <c:v>34.966500000000003</c:v>
                </c:pt>
                <c:pt idx="87">
                  <c:v>35.371299999999998</c:v>
                </c:pt>
                <c:pt idx="88">
                  <c:v>35.776299999999999</c:v>
                </c:pt>
                <c:pt idx="89">
                  <c:v>36.185099999999998</c:v>
                </c:pt>
                <c:pt idx="90">
                  <c:v>36.589199999999998</c:v>
                </c:pt>
                <c:pt idx="91">
                  <c:v>36.997999999999998</c:v>
                </c:pt>
                <c:pt idx="92">
                  <c:v>37.4039</c:v>
                </c:pt>
                <c:pt idx="93">
                  <c:v>37.806800000000003</c:v>
                </c:pt>
                <c:pt idx="94">
                  <c:v>38.214799999999997</c:v>
                </c:pt>
                <c:pt idx="95">
                  <c:v>38.621600000000001</c:v>
                </c:pt>
                <c:pt idx="96">
                  <c:v>39.031399999999998</c:v>
                </c:pt>
                <c:pt idx="97">
                  <c:v>39.433399999999999</c:v>
                </c:pt>
                <c:pt idx="98">
                  <c:v>39.8384</c:v>
                </c:pt>
                <c:pt idx="99">
                  <c:v>40.249200000000002</c:v>
                </c:pt>
                <c:pt idx="100">
                  <c:v>40.648200000000003</c:v>
                </c:pt>
                <c:pt idx="101">
                  <c:v>41.060200000000002</c:v>
                </c:pt>
                <c:pt idx="102">
                  <c:v>41.464100000000002</c:v>
                </c:pt>
                <c:pt idx="103">
                  <c:v>41.871000000000002</c:v>
                </c:pt>
                <c:pt idx="104">
                  <c:v>42.277299999999997</c:v>
                </c:pt>
                <c:pt idx="105">
                  <c:v>42.686900000000001</c:v>
                </c:pt>
                <c:pt idx="106">
                  <c:v>43.087699999999998</c:v>
                </c:pt>
                <c:pt idx="107">
                  <c:v>43.497599999999998</c:v>
                </c:pt>
                <c:pt idx="108">
                  <c:v>43.898600000000002</c:v>
                </c:pt>
                <c:pt idx="109">
                  <c:v>44.307499999999997</c:v>
                </c:pt>
                <c:pt idx="110">
                  <c:v>44.718400000000003</c:v>
                </c:pt>
                <c:pt idx="111">
                  <c:v>45.122900000000001</c:v>
                </c:pt>
                <c:pt idx="112">
                  <c:v>45.526200000000003</c:v>
                </c:pt>
                <c:pt idx="113">
                  <c:v>45.934100000000001</c:v>
                </c:pt>
                <c:pt idx="114">
                  <c:v>46.339100000000002</c:v>
                </c:pt>
                <c:pt idx="115">
                  <c:v>46.746299999999998</c:v>
                </c:pt>
                <c:pt idx="116">
                  <c:v>47.152900000000002</c:v>
                </c:pt>
                <c:pt idx="117">
                  <c:v>47.559800000000003</c:v>
                </c:pt>
                <c:pt idx="118">
                  <c:v>47.963799999999999</c:v>
                </c:pt>
                <c:pt idx="119">
                  <c:v>48.369700000000002</c:v>
                </c:pt>
                <c:pt idx="120">
                  <c:v>48.777500000000003</c:v>
                </c:pt>
                <c:pt idx="121">
                  <c:v>49.185400000000001</c:v>
                </c:pt>
                <c:pt idx="122">
                  <c:v>49.592300000000002</c:v>
                </c:pt>
                <c:pt idx="123">
                  <c:v>49.995199999999997</c:v>
                </c:pt>
                <c:pt idx="124">
                  <c:v>50.403199999999998</c:v>
                </c:pt>
                <c:pt idx="125">
                  <c:v>50.810299999999998</c:v>
                </c:pt>
                <c:pt idx="126">
                  <c:v>51.216999999999999</c:v>
                </c:pt>
                <c:pt idx="127">
                  <c:v>51.621899999999997</c:v>
                </c:pt>
                <c:pt idx="128">
                  <c:v>52.025799999999997</c:v>
                </c:pt>
                <c:pt idx="129">
                  <c:v>52.4283</c:v>
                </c:pt>
                <c:pt idx="130">
                  <c:v>52.837699999999998</c:v>
                </c:pt>
                <c:pt idx="131">
                  <c:v>53.248600000000003</c:v>
                </c:pt>
                <c:pt idx="132">
                  <c:v>53.656599999999997</c:v>
                </c:pt>
                <c:pt idx="133">
                  <c:v>54.0593</c:v>
                </c:pt>
                <c:pt idx="134">
                  <c:v>54.464300000000001</c:v>
                </c:pt>
                <c:pt idx="135">
                  <c:v>54.869500000000002</c:v>
                </c:pt>
                <c:pt idx="136">
                  <c:v>55.280900000000003</c:v>
                </c:pt>
                <c:pt idx="137">
                  <c:v>55.685099999999998</c:v>
                </c:pt>
                <c:pt idx="138">
                  <c:v>56.091999999999999</c:v>
                </c:pt>
                <c:pt idx="139">
                  <c:v>56.496899999999997</c:v>
                </c:pt>
                <c:pt idx="140">
                  <c:v>56.901899999999998</c:v>
                </c:pt>
                <c:pt idx="141">
                  <c:v>57.310699999999997</c:v>
                </c:pt>
                <c:pt idx="142">
                  <c:v>57.7166</c:v>
                </c:pt>
                <c:pt idx="143">
                  <c:v>58.122500000000002</c:v>
                </c:pt>
                <c:pt idx="144">
                  <c:v>58.5274</c:v>
                </c:pt>
                <c:pt idx="145">
                  <c:v>58.929699999999997</c:v>
                </c:pt>
                <c:pt idx="146">
                  <c:v>59.342300000000002</c:v>
                </c:pt>
                <c:pt idx="147">
                  <c:v>59.746699999999997</c:v>
                </c:pt>
                <c:pt idx="148">
                  <c:v>60.152099999999997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60.217100000000002</c:v>
                </c:pt>
                <c:pt idx="1">
                  <c:v>59.461399999999998</c:v>
                </c:pt>
                <c:pt idx="2">
                  <c:v>58.620700000000006</c:v>
                </c:pt>
                <c:pt idx="3">
                  <c:v>57.644600000000004</c:v>
                </c:pt>
                <c:pt idx="4">
                  <c:v>56.542800000000007</c:v>
                </c:pt>
                <c:pt idx="5">
                  <c:v>55.475499999999997</c:v>
                </c:pt>
                <c:pt idx="6">
                  <c:v>54.384900000000002</c:v>
                </c:pt>
                <c:pt idx="7">
                  <c:v>53.274900000000002</c:v>
                </c:pt>
                <c:pt idx="8">
                  <c:v>52.090299999999999</c:v>
                </c:pt>
                <c:pt idx="9">
                  <c:v>50.836199999999998</c:v>
                </c:pt>
                <c:pt idx="10">
                  <c:v>49.5184</c:v>
                </c:pt>
                <c:pt idx="11">
                  <c:v>48.176499999999997</c:v>
                </c:pt>
                <c:pt idx="12">
                  <c:v>46.813300000000005</c:v>
                </c:pt>
                <c:pt idx="13">
                  <c:v>45.518099999999997</c:v>
                </c:pt>
                <c:pt idx="14">
                  <c:v>44.293999999999997</c:v>
                </c:pt>
                <c:pt idx="15">
                  <c:v>43.133099999999999</c:v>
                </c:pt>
                <c:pt idx="16">
                  <c:v>42.072099999999999</c:v>
                </c:pt>
                <c:pt idx="17">
                  <c:v>41.136800000000001</c:v>
                </c:pt>
                <c:pt idx="18">
                  <c:v>40.2714</c:v>
                </c:pt>
                <c:pt idx="19">
                  <c:v>39.5062</c:v>
                </c:pt>
                <c:pt idx="20">
                  <c:v>38.917099999999998</c:v>
                </c:pt>
                <c:pt idx="21">
                  <c:v>38.415199999999999</c:v>
                </c:pt>
                <c:pt idx="22">
                  <c:v>37.913200000000003</c:v>
                </c:pt>
                <c:pt idx="23">
                  <c:v>37.489400000000003</c:v>
                </c:pt>
                <c:pt idx="24">
                  <c:v>37.081199999999995</c:v>
                </c:pt>
                <c:pt idx="25">
                  <c:v>36.790900000000001</c:v>
                </c:pt>
                <c:pt idx="26">
                  <c:v>36.618600000000001</c:v>
                </c:pt>
                <c:pt idx="27">
                  <c:v>36.522799999999997</c:v>
                </c:pt>
                <c:pt idx="28">
                  <c:v>36.4741</c:v>
                </c:pt>
                <c:pt idx="29">
                  <c:v>36.452100000000002</c:v>
                </c:pt>
                <c:pt idx="30">
                  <c:v>36.412800000000004</c:v>
                </c:pt>
                <c:pt idx="31">
                  <c:v>36.409999999999997</c:v>
                </c:pt>
                <c:pt idx="32">
                  <c:v>36.468499999999999</c:v>
                </c:pt>
                <c:pt idx="33">
                  <c:v>36.570700000000002</c:v>
                </c:pt>
                <c:pt idx="34">
                  <c:v>36.627900000000004</c:v>
                </c:pt>
                <c:pt idx="35">
                  <c:v>36.639699999999998</c:v>
                </c:pt>
                <c:pt idx="36">
                  <c:v>36.624400000000001</c:v>
                </c:pt>
                <c:pt idx="37">
                  <c:v>36.633900000000004</c:v>
                </c:pt>
                <c:pt idx="38">
                  <c:v>36.640499999999996</c:v>
                </c:pt>
                <c:pt idx="39">
                  <c:v>36.674599999999998</c:v>
                </c:pt>
                <c:pt idx="40">
                  <c:v>36.7316</c:v>
                </c:pt>
                <c:pt idx="41">
                  <c:v>36.781700000000001</c:v>
                </c:pt>
                <c:pt idx="42">
                  <c:v>36.7545</c:v>
                </c:pt>
                <c:pt idx="43">
                  <c:v>36.640900000000002</c:v>
                </c:pt>
                <c:pt idx="44">
                  <c:v>36.454799999999999</c:v>
                </c:pt>
                <c:pt idx="45">
                  <c:v>36.204599999999999</c:v>
                </c:pt>
                <c:pt idx="46">
                  <c:v>35.909500000000001</c:v>
                </c:pt>
                <c:pt idx="47">
                  <c:v>35.604599999999998</c:v>
                </c:pt>
                <c:pt idx="48">
                  <c:v>35.290999999999997</c:v>
                </c:pt>
                <c:pt idx="49">
                  <c:v>35.039000000000001</c:v>
                </c:pt>
                <c:pt idx="50">
                  <c:v>34.833599999999997</c:v>
                </c:pt>
                <c:pt idx="51">
                  <c:v>34.525399999999998</c:v>
                </c:pt>
                <c:pt idx="52">
                  <c:v>34.2515</c:v>
                </c:pt>
                <c:pt idx="53">
                  <c:v>34.027000000000001</c:v>
                </c:pt>
                <c:pt idx="54">
                  <c:v>33.842299999999994</c:v>
                </c:pt>
                <c:pt idx="55">
                  <c:v>33.607100000000003</c:v>
                </c:pt>
                <c:pt idx="56">
                  <c:v>33.369799999999998</c:v>
                </c:pt>
                <c:pt idx="57">
                  <c:v>33.250700000000002</c:v>
                </c:pt>
                <c:pt idx="58">
                  <c:v>33.169699999999999</c:v>
                </c:pt>
                <c:pt idx="59">
                  <c:v>33.187100000000001</c:v>
                </c:pt>
                <c:pt idx="60">
                  <c:v>33.289499999999997</c:v>
                </c:pt>
                <c:pt idx="61">
                  <c:v>33.337899999999998</c:v>
                </c:pt>
                <c:pt idx="62">
                  <c:v>33.472700000000003</c:v>
                </c:pt>
                <c:pt idx="63">
                  <c:v>33.610199999999999</c:v>
                </c:pt>
                <c:pt idx="64">
                  <c:v>33.776400000000002</c:v>
                </c:pt>
                <c:pt idx="65">
                  <c:v>33.910699999999999</c:v>
                </c:pt>
                <c:pt idx="66">
                  <c:v>34.042099999999998</c:v>
                </c:pt>
                <c:pt idx="67">
                  <c:v>34.244900000000001</c:v>
                </c:pt>
                <c:pt idx="68">
                  <c:v>34.364699999999999</c:v>
                </c:pt>
                <c:pt idx="69">
                  <c:v>34.491</c:v>
                </c:pt>
                <c:pt idx="70">
                  <c:v>34.591000000000001</c:v>
                </c:pt>
                <c:pt idx="71">
                  <c:v>34.769599999999997</c:v>
                </c:pt>
                <c:pt idx="72">
                  <c:v>34.900700000000001</c:v>
                </c:pt>
                <c:pt idx="73">
                  <c:v>35.069699999999997</c:v>
                </c:pt>
                <c:pt idx="74">
                  <c:v>35.269500000000001</c:v>
                </c:pt>
                <c:pt idx="75">
                  <c:v>35.688199999999995</c:v>
                </c:pt>
                <c:pt idx="76">
                  <c:v>36.163899999999998</c:v>
                </c:pt>
                <c:pt idx="77">
                  <c:v>36.663600000000002</c:v>
                </c:pt>
                <c:pt idx="78">
                  <c:v>37.243300000000005</c:v>
                </c:pt>
                <c:pt idx="79">
                  <c:v>37.967300000000002</c:v>
                </c:pt>
                <c:pt idx="80">
                  <c:v>38.876100000000001</c:v>
                </c:pt>
                <c:pt idx="81">
                  <c:v>39.903199999999998</c:v>
                </c:pt>
                <c:pt idx="82">
                  <c:v>40.965299999999999</c:v>
                </c:pt>
                <c:pt idx="83">
                  <c:v>41.966900000000003</c:v>
                </c:pt>
                <c:pt idx="84">
                  <c:v>42.912599999999998</c:v>
                </c:pt>
                <c:pt idx="85">
                  <c:v>43.8294</c:v>
                </c:pt>
                <c:pt idx="86">
                  <c:v>44.696999999999996</c:v>
                </c:pt>
                <c:pt idx="87">
                  <c:v>45.4831</c:v>
                </c:pt>
                <c:pt idx="88">
                  <c:v>46.216900000000003</c:v>
                </c:pt>
                <c:pt idx="89">
                  <c:v>46.872300000000003</c:v>
                </c:pt>
                <c:pt idx="90">
                  <c:v>47.3354</c:v>
                </c:pt>
                <c:pt idx="91">
                  <c:v>47.6907</c:v>
                </c:pt>
                <c:pt idx="92">
                  <c:v>47.989800000000002</c:v>
                </c:pt>
                <c:pt idx="93">
                  <c:v>48.282599999999995</c:v>
                </c:pt>
                <c:pt idx="94">
                  <c:v>48.588099999999997</c:v>
                </c:pt>
                <c:pt idx="95">
                  <c:v>48.898299999999999</c:v>
                </c:pt>
                <c:pt idx="96">
                  <c:v>49.238999999999997</c:v>
                </c:pt>
                <c:pt idx="97">
                  <c:v>49.502499999999998</c:v>
                </c:pt>
                <c:pt idx="98">
                  <c:v>49.7592</c:v>
                </c:pt>
                <c:pt idx="99">
                  <c:v>50.007000000000005</c:v>
                </c:pt>
                <c:pt idx="100">
                  <c:v>50.238499999999995</c:v>
                </c:pt>
                <c:pt idx="101">
                  <c:v>50.428600000000003</c:v>
                </c:pt>
                <c:pt idx="102">
                  <c:v>50.6374</c:v>
                </c:pt>
                <c:pt idx="103">
                  <c:v>50.739500000000007</c:v>
                </c:pt>
                <c:pt idx="104">
                  <c:v>50.853099999999998</c:v>
                </c:pt>
                <c:pt idx="105">
                  <c:v>50.998699999999999</c:v>
                </c:pt>
                <c:pt idx="106">
                  <c:v>51.072700000000005</c:v>
                </c:pt>
                <c:pt idx="107">
                  <c:v>51.09</c:v>
                </c:pt>
                <c:pt idx="108">
                  <c:v>50.973199999999999</c:v>
                </c:pt>
                <c:pt idx="109">
                  <c:v>50.888300000000001</c:v>
                </c:pt>
                <c:pt idx="110">
                  <c:v>50.7958</c:v>
                </c:pt>
                <c:pt idx="111">
                  <c:v>50.768899999999995</c:v>
                </c:pt>
                <c:pt idx="112">
                  <c:v>50.732900000000001</c:v>
                </c:pt>
                <c:pt idx="113">
                  <c:v>50.675400000000003</c:v>
                </c:pt>
                <c:pt idx="114">
                  <c:v>50.508299999999991</c:v>
                </c:pt>
                <c:pt idx="115">
                  <c:v>50.244</c:v>
                </c:pt>
                <c:pt idx="116">
                  <c:v>49.983600000000003</c:v>
                </c:pt>
                <c:pt idx="117">
                  <c:v>49.703399999999995</c:v>
                </c:pt>
                <c:pt idx="118">
                  <c:v>49.404199999999996</c:v>
                </c:pt>
                <c:pt idx="119">
                  <c:v>49.207299999999996</c:v>
                </c:pt>
                <c:pt idx="120">
                  <c:v>49.0212</c:v>
                </c:pt>
                <c:pt idx="121">
                  <c:v>48.835499999999996</c:v>
                </c:pt>
                <c:pt idx="122">
                  <c:v>48.616500000000002</c:v>
                </c:pt>
                <c:pt idx="123">
                  <c:v>48.353299999999997</c:v>
                </c:pt>
                <c:pt idx="124">
                  <c:v>48.214500000000001</c:v>
                </c:pt>
                <c:pt idx="125">
                  <c:v>48.136000000000003</c:v>
                </c:pt>
                <c:pt idx="126">
                  <c:v>48.036299999999997</c:v>
                </c:pt>
                <c:pt idx="127">
                  <c:v>47.903199999999998</c:v>
                </c:pt>
                <c:pt idx="128">
                  <c:v>47.779700000000005</c:v>
                </c:pt>
                <c:pt idx="129">
                  <c:v>47.680199999999999</c:v>
                </c:pt>
                <c:pt idx="130">
                  <c:v>47.5929</c:v>
                </c:pt>
                <c:pt idx="131">
                  <c:v>47.520099999999999</c:v>
                </c:pt>
                <c:pt idx="132">
                  <c:v>47.453400000000002</c:v>
                </c:pt>
                <c:pt idx="133">
                  <c:v>47.3949</c:v>
                </c:pt>
                <c:pt idx="134">
                  <c:v>47.297899999999998</c:v>
                </c:pt>
                <c:pt idx="135">
                  <c:v>47.204900000000002</c:v>
                </c:pt>
                <c:pt idx="136">
                  <c:v>47.0623</c:v>
                </c:pt>
                <c:pt idx="137">
                  <c:v>46.9542</c:v>
                </c:pt>
                <c:pt idx="138">
                  <c:v>46.854199999999999</c:v>
                </c:pt>
                <c:pt idx="139">
                  <c:v>46.835799999999999</c:v>
                </c:pt>
                <c:pt idx="140">
                  <c:v>46.877299999999998</c:v>
                </c:pt>
                <c:pt idx="141">
                  <c:v>46.940100000000001</c:v>
                </c:pt>
                <c:pt idx="142">
                  <c:v>47.006900000000002</c:v>
                </c:pt>
                <c:pt idx="143">
                  <c:v>47.236800000000002</c:v>
                </c:pt>
                <c:pt idx="144">
                  <c:v>47.292299999999997</c:v>
                </c:pt>
                <c:pt idx="145">
                  <c:v>47.238700000000001</c:v>
                </c:pt>
                <c:pt idx="146">
                  <c:v>47.103200000000001</c:v>
                </c:pt>
                <c:pt idx="147">
                  <c:v>47.027700000000003</c:v>
                </c:pt>
                <c:pt idx="148">
                  <c:v>47.6126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0.383936</c:v>
                </c:pt>
                <c:pt idx="2">
                  <c:v>0.79484600000000005</c:v>
                </c:pt>
                <c:pt idx="3">
                  <c:v>1.2047600000000001</c:v>
                </c:pt>
                <c:pt idx="4">
                  <c:v>1.6096699999999999</c:v>
                </c:pt>
                <c:pt idx="5">
                  <c:v>2.01362</c:v>
                </c:pt>
                <c:pt idx="6">
                  <c:v>2.41879</c:v>
                </c:pt>
                <c:pt idx="7">
                  <c:v>2.8207</c:v>
                </c:pt>
                <c:pt idx="8">
                  <c:v>3.2344599999999999</c:v>
                </c:pt>
                <c:pt idx="9">
                  <c:v>3.63917</c:v>
                </c:pt>
                <c:pt idx="10">
                  <c:v>4.0441000000000003</c:v>
                </c:pt>
                <c:pt idx="11">
                  <c:v>4.4503599999999999</c:v>
                </c:pt>
                <c:pt idx="12">
                  <c:v>4.8579499999999998</c:v>
                </c:pt>
                <c:pt idx="13">
                  <c:v>5.2668799999999996</c:v>
                </c:pt>
                <c:pt idx="14">
                  <c:v>5.6653599999999997</c:v>
                </c:pt>
                <c:pt idx="15">
                  <c:v>6.0766400000000003</c:v>
                </c:pt>
                <c:pt idx="16">
                  <c:v>6.4805299999999999</c:v>
                </c:pt>
                <c:pt idx="17">
                  <c:v>6.8945299999999996</c:v>
                </c:pt>
                <c:pt idx="18">
                  <c:v>7.2965400000000002</c:v>
                </c:pt>
                <c:pt idx="19">
                  <c:v>7.70533</c:v>
                </c:pt>
                <c:pt idx="20">
                  <c:v>8.1062499999999993</c:v>
                </c:pt>
                <c:pt idx="21">
                  <c:v>8.5123200000000008</c:v>
                </c:pt>
                <c:pt idx="22">
                  <c:v>8.9182699999999997</c:v>
                </c:pt>
                <c:pt idx="23">
                  <c:v>9.3219899999999996</c:v>
                </c:pt>
                <c:pt idx="24">
                  <c:v>9.7319899999999997</c:v>
                </c:pt>
                <c:pt idx="25">
                  <c:v>10.1358</c:v>
                </c:pt>
                <c:pt idx="26">
                  <c:v>10.541700000000001</c:v>
                </c:pt>
                <c:pt idx="27">
                  <c:v>10.946099999999999</c:v>
                </c:pt>
                <c:pt idx="28">
                  <c:v>11.3575</c:v>
                </c:pt>
                <c:pt idx="29">
                  <c:v>11.76</c:v>
                </c:pt>
                <c:pt idx="30">
                  <c:v>12.167400000000001</c:v>
                </c:pt>
                <c:pt idx="31">
                  <c:v>12.5723</c:v>
                </c:pt>
                <c:pt idx="32">
                  <c:v>12.9762</c:v>
                </c:pt>
                <c:pt idx="33">
                  <c:v>13.386100000000001</c:v>
                </c:pt>
                <c:pt idx="34">
                  <c:v>13.7964</c:v>
                </c:pt>
                <c:pt idx="35">
                  <c:v>14.199</c:v>
                </c:pt>
                <c:pt idx="36">
                  <c:v>14.604799999999999</c:v>
                </c:pt>
                <c:pt idx="37">
                  <c:v>15.010199999999999</c:v>
                </c:pt>
                <c:pt idx="38">
                  <c:v>15.414099999999999</c:v>
                </c:pt>
                <c:pt idx="39">
                  <c:v>15.8256</c:v>
                </c:pt>
                <c:pt idx="40">
                  <c:v>16.232099999999999</c:v>
                </c:pt>
                <c:pt idx="41">
                  <c:v>16.6374</c:v>
                </c:pt>
                <c:pt idx="42">
                  <c:v>17.043500000000002</c:v>
                </c:pt>
                <c:pt idx="43">
                  <c:v>17.445699999999999</c:v>
                </c:pt>
                <c:pt idx="44">
                  <c:v>17.854199999999999</c:v>
                </c:pt>
                <c:pt idx="45">
                  <c:v>18.2622</c:v>
                </c:pt>
                <c:pt idx="46">
                  <c:v>18.667999999999999</c:v>
                </c:pt>
                <c:pt idx="47">
                  <c:v>19.074400000000001</c:v>
                </c:pt>
                <c:pt idx="48">
                  <c:v>19.4818</c:v>
                </c:pt>
                <c:pt idx="49">
                  <c:v>19.8888</c:v>
                </c:pt>
                <c:pt idx="50">
                  <c:v>20.296800000000001</c:v>
                </c:pt>
                <c:pt idx="51">
                  <c:v>20.698599999999999</c:v>
                </c:pt>
                <c:pt idx="52">
                  <c:v>21.102499999999999</c:v>
                </c:pt>
                <c:pt idx="53">
                  <c:v>21.5106</c:v>
                </c:pt>
                <c:pt idx="54">
                  <c:v>21.920400000000001</c:v>
                </c:pt>
                <c:pt idx="55">
                  <c:v>22.324300000000001</c:v>
                </c:pt>
                <c:pt idx="56">
                  <c:v>22.732199999999999</c:v>
                </c:pt>
                <c:pt idx="57">
                  <c:v>23.135000000000002</c:v>
                </c:pt>
                <c:pt idx="58">
                  <c:v>23.543099999999999</c:v>
                </c:pt>
                <c:pt idx="59">
                  <c:v>23.950900000000001</c:v>
                </c:pt>
                <c:pt idx="60">
                  <c:v>24.357800000000001</c:v>
                </c:pt>
                <c:pt idx="61">
                  <c:v>24.7607</c:v>
                </c:pt>
                <c:pt idx="62">
                  <c:v>25.165600000000001</c:v>
                </c:pt>
                <c:pt idx="63">
                  <c:v>25.573699999999999</c:v>
                </c:pt>
                <c:pt idx="64">
                  <c:v>25.979800000000001</c:v>
                </c:pt>
                <c:pt idx="65">
                  <c:v>26.3874</c:v>
                </c:pt>
                <c:pt idx="66">
                  <c:v>26.7943</c:v>
                </c:pt>
                <c:pt idx="67">
                  <c:v>27.199200000000001</c:v>
                </c:pt>
                <c:pt idx="68">
                  <c:v>27.607099999999999</c:v>
                </c:pt>
                <c:pt idx="69">
                  <c:v>28.009499999999999</c:v>
                </c:pt>
                <c:pt idx="70">
                  <c:v>28.417000000000002</c:v>
                </c:pt>
                <c:pt idx="71">
                  <c:v>28.826799999999999</c:v>
                </c:pt>
                <c:pt idx="72">
                  <c:v>29.23</c:v>
                </c:pt>
                <c:pt idx="73">
                  <c:v>29.6327</c:v>
                </c:pt>
                <c:pt idx="74">
                  <c:v>30.045000000000002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60.217100000000002</c:v>
                </c:pt>
                <c:pt idx="1">
                  <c:v>59.461399999999998</c:v>
                </c:pt>
                <c:pt idx="2">
                  <c:v>58.620700000000006</c:v>
                </c:pt>
                <c:pt idx="3">
                  <c:v>57.644600000000004</c:v>
                </c:pt>
                <c:pt idx="4">
                  <c:v>56.542800000000007</c:v>
                </c:pt>
                <c:pt idx="5">
                  <c:v>55.475499999999997</c:v>
                </c:pt>
                <c:pt idx="6">
                  <c:v>54.384900000000002</c:v>
                </c:pt>
                <c:pt idx="7">
                  <c:v>53.274900000000002</c:v>
                </c:pt>
                <c:pt idx="8">
                  <c:v>52.090299999999999</c:v>
                </c:pt>
                <c:pt idx="9">
                  <c:v>50.836199999999998</c:v>
                </c:pt>
                <c:pt idx="10">
                  <c:v>49.5184</c:v>
                </c:pt>
                <c:pt idx="11">
                  <c:v>48.176499999999997</c:v>
                </c:pt>
                <c:pt idx="12">
                  <c:v>46.813300000000005</c:v>
                </c:pt>
                <c:pt idx="13">
                  <c:v>45.518099999999997</c:v>
                </c:pt>
                <c:pt idx="14">
                  <c:v>44.293999999999997</c:v>
                </c:pt>
                <c:pt idx="15">
                  <c:v>43.133099999999999</c:v>
                </c:pt>
                <c:pt idx="16">
                  <c:v>42.072099999999999</c:v>
                </c:pt>
                <c:pt idx="17">
                  <c:v>41.136800000000001</c:v>
                </c:pt>
                <c:pt idx="18">
                  <c:v>40.2714</c:v>
                </c:pt>
                <c:pt idx="19">
                  <c:v>39.5062</c:v>
                </c:pt>
                <c:pt idx="20">
                  <c:v>38.917099999999998</c:v>
                </c:pt>
                <c:pt idx="21">
                  <c:v>38.415199999999999</c:v>
                </c:pt>
                <c:pt idx="22">
                  <c:v>37.913200000000003</c:v>
                </c:pt>
                <c:pt idx="23">
                  <c:v>37.489400000000003</c:v>
                </c:pt>
                <c:pt idx="24">
                  <c:v>37.081199999999995</c:v>
                </c:pt>
                <c:pt idx="25">
                  <c:v>36.790900000000001</c:v>
                </c:pt>
                <c:pt idx="26">
                  <c:v>36.618600000000001</c:v>
                </c:pt>
                <c:pt idx="27">
                  <c:v>36.522799999999997</c:v>
                </c:pt>
                <c:pt idx="28">
                  <c:v>36.4741</c:v>
                </c:pt>
                <c:pt idx="29">
                  <c:v>36.452100000000002</c:v>
                </c:pt>
                <c:pt idx="30">
                  <c:v>36.412800000000004</c:v>
                </c:pt>
                <c:pt idx="31">
                  <c:v>36.409999999999997</c:v>
                </c:pt>
                <c:pt idx="32">
                  <c:v>36.468499999999999</c:v>
                </c:pt>
                <c:pt idx="33">
                  <c:v>36.570700000000002</c:v>
                </c:pt>
                <c:pt idx="34">
                  <c:v>36.627900000000004</c:v>
                </c:pt>
                <c:pt idx="35">
                  <c:v>36.639699999999998</c:v>
                </c:pt>
                <c:pt idx="36">
                  <c:v>36.624400000000001</c:v>
                </c:pt>
                <c:pt idx="37">
                  <c:v>36.633900000000004</c:v>
                </c:pt>
                <c:pt idx="38">
                  <c:v>36.640499999999996</c:v>
                </c:pt>
                <c:pt idx="39">
                  <c:v>36.674599999999998</c:v>
                </c:pt>
                <c:pt idx="40">
                  <c:v>36.7316</c:v>
                </c:pt>
                <c:pt idx="41">
                  <c:v>36.781700000000001</c:v>
                </c:pt>
                <c:pt idx="42">
                  <c:v>36.7545</c:v>
                </c:pt>
                <c:pt idx="43">
                  <c:v>36.640900000000002</c:v>
                </c:pt>
                <c:pt idx="44">
                  <c:v>36.454799999999999</c:v>
                </c:pt>
                <c:pt idx="45">
                  <c:v>36.204599999999999</c:v>
                </c:pt>
                <c:pt idx="46">
                  <c:v>35.909500000000001</c:v>
                </c:pt>
                <c:pt idx="47">
                  <c:v>35.604599999999998</c:v>
                </c:pt>
                <c:pt idx="48">
                  <c:v>35.290999999999997</c:v>
                </c:pt>
                <c:pt idx="49">
                  <c:v>35.039000000000001</c:v>
                </c:pt>
                <c:pt idx="50">
                  <c:v>34.833599999999997</c:v>
                </c:pt>
                <c:pt idx="51">
                  <c:v>34.525399999999998</c:v>
                </c:pt>
                <c:pt idx="52">
                  <c:v>34.2515</c:v>
                </c:pt>
                <c:pt idx="53">
                  <c:v>34.027000000000001</c:v>
                </c:pt>
                <c:pt idx="54">
                  <c:v>33.842299999999994</c:v>
                </c:pt>
                <c:pt idx="55">
                  <c:v>33.607100000000003</c:v>
                </c:pt>
                <c:pt idx="56">
                  <c:v>33.369799999999998</c:v>
                </c:pt>
                <c:pt idx="57">
                  <c:v>33.250700000000002</c:v>
                </c:pt>
                <c:pt idx="58">
                  <c:v>33.169699999999999</c:v>
                </c:pt>
                <c:pt idx="59">
                  <c:v>33.187100000000001</c:v>
                </c:pt>
                <c:pt idx="60">
                  <c:v>33.289499999999997</c:v>
                </c:pt>
                <c:pt idx="61">
                  <c:v>33.337899999999998</c:v>
                </c:pt>
                <c:pt idx="62">
                  <c:v>33.472700000000003</c:v>
                </c:pt>
                <c:pt idx="63">
                  <c:v>33.610199999999999</c:v>
                </c:pt>
                <c:pt idx="64">
                  <c:v>33.776400000000002</c:v>
                </c:pt>
                <c:pt idx="65">
                  <c:v>33.910699999999999</c:v>
                </c:pt>
                <c:pt idx="66">
                  <c:v>34.042099999999998</c:v>
                </c:pt>
                <c:pt idx="67">
                  <c:v>34.244900000000001</c:v>
                </c:pt>
                <c:pt idx="68">
                  <c:v>34.364699999999999</c:v>
                </c:pt>
                <c:pt idx="69">
                  <c:v>34.491</c:v>
                </c:pt>
                <c:pt idx="70">
                  <c:v>34.591000000000001</c:v>
                </c:pt>
                <c:pt idx="71">
                  <c:v>34.769599999999997</c:v>
                </c:pt>
                <c:pt idx="72">
                  <c:v>34.900700000000001</c:v>
                </c:pt>
                <c:pt idx="73">
                  <c:v>35.069699999999997</c:v>
                </c:pt>
                <c:pt idx="74">
                  <c:v>35.269500000000001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30.045000000000002</c:v>
                </c:pt>
                <c:pt idx="1">
                  <c:v>30.623000000000001</c:v>
                </c:pt>
                <c:pt idx="2">
                  <c:v>30.9971</c:v>
                </c:pt>
                <c:pt idx="3">
                  <c:v>31.371099999999998</c:v>
                </c:pt>
                <c:pt idx="4">
                  <c:v>31.7471</c:v>
                </c:pt>
                <c:pt idx="5">
                  <c:v>32.117400000000004</c:v>
                </c:pt>
                <c:pt idx="6">
                  <c:v>32.529200000000003</c:v>
                </c:pt>
                <c:pt idx="7">
                  <c:v>32.9358</c:v>
                </c:pt>
                <c:pt idx="8">
                  <c:v>33.340800000000002</c:v>
                </c:pt>
                <c:pt idx="9">
                  <c:v>33.744700000000002</c:v>
                </c:pt>
                <c:pt idx="10">
                  <c:v>34.152700000000003</c:v>
                </c:pt>
                <c:pt idx="11">
                  <c:v>34.562899999999999</c:v>
                </c:pt>
                <c:pt idx="12">
                  <c:v>34.966500000000003</c:v>
                </c:pt>
                <c:pt idx="13">
                  <c:v>35.371299999999998</c:v>
                </c:pt>
                <c:pt idx="14">
                  <c:v>35.776299999999999</c:v>
                </c:pt>
                <c:pt idx="15">
                  <c:v>36.185099999999998</c:v>
                </c:pt>
                <c:pt idx="16">
                  <c:v>36.589199999999998</c:v>
                </c:pt>
                <c:pt idx="17">
                  <c:v>36.997999999999998</c:v>
                </c:pt>
                <c:pt idx="18">
                  <c:v>37.4039</c:v>
                </c:pt>
                <c:pt idx="19">
                  <c:v>37.806800000000003</c:v>
                </c:pt>
                <c:pt idx="20">
                  <c:v>38.214799999999997</c:v>
                </c:pt>
                <c:pt idx="21">
                  <c:v>38.621600000000001</c:v>
                </c:pt>
                <c:pt idx="22">
                  <c:v>39.031399999999998</c:v>
                </c:pt>
                <c:pt idx="23">
                  <c:v>39.433399999999999</c:v>
                </c:pt>
                <c:pt idx="24">
                  <c:v>39.8384</c:v>
                </c:pt>
                <c:pt idx="25">
                  <c:v>40.249200000000002</c:v>
                </c:pt>
                <c:pt idx="26">
                  <c:v>40.648200000000003</c:v>
                </c:pt>
                <c:pt idx="27">
                  <c:v>41.060200000000002</c:v>
                </c:pt>
                <c:pt idx="28">
                  <c:v>41.464100000000002</c:v>
                </c:pt>
                <c:pt idx="29">
                  <c:v>41.871000000000002</c:v>
                </c:pt>
                <c:pt idx="30">
                  <c:v>42.277299999999997</c:v>
                </c:pt>
                <c:pt idx="31">
                  <c:v>42.686900000000001</c:v>
                </c:pt>
                <c:pt idx="32">
                  <c:v>43.087699999999998</c:v>
                </c:pt>
                <c:pt idx="33">
                  <c:v>43.497599999999998</c:v>
                </c:pt>
                <c:pt idx="34">
                  <c:v>43.898600000000002</c:v>
                </c:pt>
                <c:pt idx="35">
                  <c:v>44.307499999999997</c:v>
                </c:pt>
                <c:pt idx="36">
                  <c:v>44.718400000000003</c:v>
                </c:pt>
                <c:pt idx="37">
                  <c:v>45.122900000000001</c:v>
                </c:pt>
                <c:pt idx="38">
                  <c:v>45.526200000000003</c:v>
                </c:pt>
                <c:pt idx="39">
                  <c:v>45.934100000000001</c:v>
                </c:pt>
                <c:pt idx="40">
                  <c:v>46.339100000000002</c:v>
                </c:pt>
                <c:pt idx="41">
                  <c:v>46.746299999999998</c:v>
                </c:pt>
                <c:pt idx="42">
                  <c:v>47.152900000000002</c:v>
                </c:pt>
                <c:pt idx="43">
                  <c:v>47.559800000000003</c:v>
                </c:pt>
                <c:pt idx="44">
                  <c:v>47.963799999999999</c:v>
                </c:pt>
                <c:pt idx="45">
                  <c:v>48.369700000000002</c:v>
                </c:pt>
                <c:pt idx="46">
                  <c:v>48.777500000000003</c:v>
                </c:pt>
                <c:pt idx="47">
                  <c:v>49.185400000000001</c:v>
                </c:pt>
                <c:pt idx="48">
                  <c:v>49.592300000000002</c:v>
                </c:pt>
                <c:pt idx="49">
                  <c:v>49.995199999999997</c:v>
                </c:pt>
                <c:pt idx="50">
                  <c:v>50.403199999999998</c:v>
                </c:pt>
                <c:pt idx="51">
                  <c:v>50.810299999999998</c:v>
                </c:pt>
                <c:pt idx="52">
                  <c:v>51.216999999999999</c:v>
                </c:pt>
                <c:pt idx="53">
                  <c:v>51.621899999999997</c:v>
                </c:pt>
                <c:pt idx="54">
                  <c:v>52.025799999999997</c:v>
                </c:pt>
                <c:pt idx="55">
                  <c:v>52.4283</c:v>
                </c:pt>
                <c:pt idx="56">
                  <c:v>52.837699999999998</c:v>
                </c:pt>
                <c:pt idx="57">
                  <c:v>53.248600000000003</c:v>
                </c:pt>
                <c:pt idx="58">
                  <c:v>53.656599999999997</c:v>
                </c:pt>
                <c:pt idx="59">
                  <c:v>54.0593</c:v>
                </c:pt>
                <c:pt idx="60">
                  <c:v>54.464300000000001</c:v>
                </c:pt>
                <c:pt idx="61">
                  <c:v>54.869500000000002</c:v>
                </c:pt>
                <c:pt idx="62">
                  <c:v>55.280900000000003</c:v>
                </c:pt>
                <c:pt idx="63">
                  <c:v>55.685099999999998</c:v>
                </c:pt>
                <c:pt idx="64">
                  <c:v>56.091999999999999</c:v>
                </c:pt>
                <c:pt idx="65">
                  <c:v>56.496899999999997</c:v>
                </c:pt>
                <c:pt idx="66">
                  <c:v>56.901899999999998</c:v>
                </c:pt>
                <c:pt idx="67">
                  <c:v>57.310699999999997</c:v>
                </c:pt>
                <c:pt idx="68">
                  <c:v>57.7166</c:v>
                </c:pt>
                <c:pt idx="69">
                  <c:v>58.122500000000002</c:v>
                </c:pt>
                <c:pt idx="70">
                  <c:v>58.5274</c:v>
                </c:pt>
                <c:pt idx="71">
                  <c:v>58.929699999999997</c:v>
                </c:pt>
                <c:pt idx="72">
                  <c:v>59.342300000000002</c:v>
                </c:pt>
                <c:pt idx="73">
                  <c:v>59.746699999999997</c:v>
                </c:pt>
                <c:pt idx="74">
                  <c:v>60.152099999999997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35.269500000000001</c:v>
                </c:pt>
                <c:pt idx="1">
                  <c:v>35.688199999999995</c:v>
                </c:pt>
                <c:pt idx="2">
                  <c:v>36.163899999999998</c:v>
                </c:pt>
                <c:pt idx="3">
                  <c:v>36.663600000000002</c:v>
                </c:pt>
                <c:pt idx="4">
                  <c:v>37.243300000000005</c:v>
                </c:pt>
                <c:pt idx="5">
                  <c:v>37.967300000000002</c:v>
                </c:pt>
                <c:pt idx="6">
                  <c:v>38.876100000000001</c:v>
                </c:pt>
                <c:pt idx="7">
                  <c:v>39.903199999999998</c:v>
                </c:pt>
                <c:pt idx="8">
                  <c:v>40.965299999999999</c:v>
                </c:pt>
                <c:pt idx="9">
                  <c:v>41.966900000000003</c:v>
                </c:pt>
                <c:pt idx="10">
                  <c:v>42.912599999999998</c:v>
                </c:pt>
                <c:pt idx="11">
                  <c:v>43.8294</c:v>
                </c:pt>
                <c:pt idx="12">
                  <c:v>44.696999999999996</c:v>
                </c:pt>
                <c:pt idx="13">
                  <c:v>45.4831</c:v>
                </c:pt>
                <c:pt idx="14">
                  <c:v>46.216900000000003</c:v>
                </c:pt>
                <c:pt idx="15">
                  <c:v>46.872300000000003</c:v>
                </c:pt>
                <c:pt idx="16">
                  <c:v>47.3354</c:v>
                </c:pt>
                <c:pt idx="17">
                  <c:v>47.6907</c:v>
                </c:pt>
                <c:pt idx="18">
                  <c:v>47.989800000000002</c:v>
                </c:pt>
                <c:pt idx="19">
                  <c:v>48.282599999999995</c:v>
                </c:pt>
                <c:pt idx="20">
                  <c:v>48.588099999999997</c:v>
                </c:pt>
                <c:pt idx="21">
                  <c:v>48.898299999999999</c:v>
                </c:pt>
                <c:pt idx="22">
                  <c:v>49.238999999999997</c:v>
                </c:pt>
                <c:pt idx="23">
                  <c:v>49.502499999999998</c:v>
                </c:pt>
                <c:pt idx="24">
                  <c:v>49.7592</c:v>
                </c:pt>
                <c:pt idx="25">
                  <c:v>50.007000000000005</c:v>
                </c:pt>
                <c:pt idx="26">
                  <c:v>50.238499999999995</c:v>
                </c:pt>
                <c:pt idx="27">
                  <c:v>50.428600000000003</c:v>
                </c:pt>
                <c:pt idx="28">
                  <c:v>50.6374</c:v>
                </c:pt>
                <c:pt idx="29">
                  <c:v>50.739500000000007</c:v>
                </c:pt>
                <c:pt idx="30">
                  <c:v>50.853099999999998</c:v>
                </c:pt>
                <c:pt idx="31">
                  <c:v>50.998699999999999</c:v>
                </c:pt>
                <c:pt idx="32">
                  <c:v>51.072700000000005</c:v>
                </c:pt>
                <c:pt idx="33">
                  <c:v>51.09</c:v>
                </c:pt>
                <c:pt idx="34">
                  <c:v>50.973199999999999</c:v>
                </c:pt>
                <c:pt idx="35">
                  <c:v>50.888300000000001</c:v>
                </c:pt>
                <c:pt idx="36">
                  <c:v>50.7958</c:v>
                </c:pt>
                <c:pt idx="37">
                  <c:v>50.768899999999995</c:v>
                </c:pt>
                <c:pt idx="38">
                  <c:v>50.732900000000001</c:v>
                </c:pt>
                <c:pt idx="39">
                  <c:v>50.675400000000003</c:v>
                </c:pt>
                <c:pt idx="40">
                  <c:v>50.508299999999991</c:v>
                </c:pt>
                <c:pt idx="41">
                  <c:v>50.244</c:v>
                </c:pt>
                <c:pt idx="42">
                  <c:v>49.983600000000003</c:v>
                </c:pt>
                <c:pt idx="43">
                  <c:v>49.703399999999995</c:v>
                </c:pt>
                <c:pt idx="44">
                  <c:v>49.404199999999996</c:v>
                </c:pt>
                <c:pt idx="45">
                  <c:v>49.207299999999996</c:v>
                </c:pt>
                <c:pt idx="46">
                  <c:v>49.0212</c:v>
                </c:pt>
                <c:pt idx="47">
                  <c:v>48.835499999999996</c:v>
                </c:pt>
                <c:pt idx="48">
                  <c:v>48.616500000000002</c:v>
                </c:pt>
                <c:pt idx="49">
                  <c:v>48.353299999999997</c:v>
                </c:pt>
                <c:pt idx="50">
                  <c:v>48.214500000000001</c:v>
                </c:pt>
                <c:pt idx="51">
                  <c:v>48.136000000000003</c:v>
                </c:pt>
                <c:pt idx="52">
                  <c:v>48.036299999999997</c:v>
                </c:pt>
                <c:pt idx="53">
                  <c:v>47.903199999999998</c:v>
                </c:pt>
                <c:pt idx="54">
                  <c:v>47.779700000000005</c:v>
                </c:pt>
                <c:pt idx="55">
                  <c:v>47.680199999999999</c:v>
                </c:pt>
                <c:pt idx="56">
                  <c:v>47.5929</c:v>
                </c:pt>
                <c:pt idx="57">
                  <c:v>47.520099999999999</c:v>
                </c:pt>
                <c:pt idx="58">
                  <c:v>47.453400000000002</c:v>
                </c:pt>
                <c:pt idx="59">
                  <c:v>47.3949</c:v>
                </c:pt>
                <c:pt idx="60">
                  <c:v>47.297899999999998</c:v>
                </c:pt>
                <c:pt idx="61">
                  <c:v>47.204900000000002</c:v>
                </c:pt>
                <c:pt idx="62">
                  <c:v>47.0623</c:v>
                </c:pt>
                <c:pt idx="63">
                  <c:v>46.9542</c:v>
                </c:pt>
                <c:pt idx="64">
                  <c:v>46.854199999999999</c:v>
                </c:pt>
                <c:pt idx="65">
                  <c:v>46.835799999999999</c:v>
                </c:pt>
                <c:pt idx="66">
                  <c:v>46.877299999999998</c:v>
                </c:pt>
                <c:pt idx="67">
                  <c:v>46.940100000000001</c:v>
                </c:pt>
                <c:pt idx="68">
                  <c:v>47.006900000000002</c:v>
                </c:pt>
                <c:pt idx="69">
                  <c:v>47.236800000000002</c:v>
                </c:pt>
                <c:pt idx="70">
                  <c:v>47.292299999999997</c:v>
                </c:pt>
                <c:pt idx="71">
                  <c:v>47.238700000000001</c:v>
                </c:pt>
                <c:pt idx="72">
                  <c:v>47.103200000000001</c:v>
                </c:pt>
                <c:pt idx="73">
                  <c:v>47.027700000000003</c:v>
                </c:pt>
                <c:pt idx="74">
                  <c:v>47.6126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15.038024999999999</c:v>
                </c:pt>
                <c:pt idx="1">
                  <c:v>45.114075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39.388018918918903</c:v>
                </c:pt>
                <c:pt idx="1">
                  <c:v>47.019256756756747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39.292200000000001</c:v>
                </c:pt>
                <c:pt idx="1">
                  <c:v>28.1982</c:v>
                </c:pt>
                <c:pt idx="2">
                  <c:v>28.966699999999999</c:v>
                </c:pt>
                <c:pt idx="3">
                  <c:v>30.700600000000001</c:v>
                </c:pt>
                <c:pt idx="4">
                  <c:v>65.232299999999995</c:v>
                </c:pt>
                <c:pt idx="5">
                  <c:v>79.399000000000001</c:v>
                </c:pt>
                <c:pt idx="6">
                  <c:v>17.536200000000001</c:v>
                </c:pt>
                <c:pt idx="7">
                  <c:v>72.543000000000006</c:v>
                </c:pt>
                <c:pt idx="8">
                  <c:v>18.359100000000002</c:v>
                </c:pt>
                <c:pt idx="9">
                  <c:v>30.6281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38.686</c:v>
                </c:pt>
                <c:pt idx="1">
                  <c:v>26.642900000000001</c:v>
                </c:pt>
                <c:pt idx="2">
                  <c:v>24.759899999999998</c:v>
                </c:pt>
                <c:pt idx="3">
                  <c:v>30.690999999999999</c:v>
                </c:pt>
                <c:pt idx="4">
                  <c:v>70.402799999999999</c:v>
                </c:pt>
                <c:pt idx="5">
                  <c:v>80.752700000000004</c:v>
                </c:pt>
                <c:pt idx="6">
                  <c:v>26.8568</c:v>
                </c:pt>
                <c:pt idx="7">
                  <c:v>75.7517</c:v>
                </c:pt>
                <c:pt idx="8">
                  <c:v>20.9801</c:v>
                </c:pt>
                <c:pt idx="9">
                  <c:v>37.460299999999997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0.51041486804397862</c:v>
                </c:pt>
                <c:pt idx="1">
                  <c:v>0.27652440204539552</c:v>
                </c:pt>
                <c:pt idx="2">
                  <c:v>0.21306072991062594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181</c:v>
                </c:pt>
                <c:pt idx="7">
                  <c:v>0</c:v>
                </c:pt>
                <c:pt idx="8">
                  <c:v>443</c:v>
                </c:pt>
                <c:pt idx="9">
                  <c:v>0</c:v>
                </c:pt>
                <c:pt idx="10">
                  <c:v>0</c:v>
                </c:pt>
                <c:pt idx="11">
                  <c:v>1804</c:v>
                </c:pt>
                <c:pt idx="12">
                  <c:v>0</c:v>
                </c:pt>
                <c:pt idx="13">
                  <c:v>3878</c:v>
                </c:pt>
                <c:pt idx="14">
                  <c:v>0</c:v>
                </c:pt>
                <c:pt idx="15">
                  <c:v>0</c:v>
                </c:pt>
                <c:pt idx="16">
                  <c:v>7473</c:v>
                </c:pt>
                <c:pt idx="17">
                  <c:v>0</c:v>
                </c:pt>
                <c:pt idx="18">
                  <c:v>0</c:v>
                </c:pt>
                <c:pt idx="19">
                  <c:v>13613</c:v>
                </c:pt>
                <c:pt idx="20">
                  <c:v>0</c:v>
                </c:pt>
                <c:pt idx="21">
                  <c:v>22357</c:v>
                </c:pt>
                <c:pt idx="22">
                  <c:v>0</c:v>
                </c:pt>
                <c:pt idx="23">
                  <c:v>0</c:v>
                </c:pt>
                <c:pt idx="24">
                  <c:v>28170</c:v>
                </c:pt>
                <c:pt idx="25">
                  <c:v>0</c:v>
                </c:pt>
                <c:pt idx="26">
                  <c:v>40756</c:v>
                </c:pt>
                <c:pt idx="27">
                  <c:v>0</c:v>
                </c:pt>
                <c:pt idx="28">
                  <c:v>0</c:v>
                </c:pt>
                <c:pt idx="29">
                  <c:v>52675</c:v>
                </c:pt>
                <c:pt idx="30">
                  <c:v>0</c:v>
                </c:pt>
                <c:pt idx="31">
                  <c:v>64206</c:v>
                </c:pt>
                <c:pt idx="32">
                  <c:v>0</c:v>
                </c:pt>
                <c:pt idx="33">
                  <c:v>0</c:v>
                </c:pt>
                <c:pt idx="34">
                  <c:v>67820</c:v>
                </c:pt>
                <c:pt idx="35">
                  <c:v>0</c:v>
                </c:pt>
                <c:pt idx="36">
                  <c:v>0</c:v>
                </c:pt>
                <c:pt idx="37">
                  <c:v>67100</c:v>
                </c:pt>
                <c:pt idx="38">
                  <c:v>0</c:v>
                </c:pt>
                <c:pt idx="39">
                  <c:v>67006</c:v>
                </c:pt>
                <c:pt idx="40">
                  <c:v>0</c:v>
                </c:pt>
                <c:pt idx="41">
                  <c:v>0</c:v>
                </c:pt>
                <c:pt idx="42">
                  <c:v>68375</c:v>
                </c:pt>
                <c:pt idx="43">
                  <c:v>0</c:v>
                </c:pt>
                <c:pt idx="44">
                  <c:v>72251</c:v>
                </c:pt>
                <c:pt idx="45">
                  <c:v>0</c:v>
                </c:pt>
                <c:pt idx="46">
                  <c:v>0</c:v>
                </c:pt>
                <c:pt idx="47">
                  <c:v>70414</c:v>
                </c:pt>
                <c:pt idx="48">
                  <c:v>0</c:v>
                </c:pt>
                <c:pt idx="49">
                  <c:v>73994</c:v>
                </c:pt>
                <c:pt idx="50">
                  <c:v>0</c:v>
                </c:pt>
                <c:pt idx="51">
                  <c:v>0</c:v>
                </c:pt>
                <c:pt idx="52">
                  <c:v>72260</c:v>
                </c:pt>
                <c:pt idx="53">
                  <c:v>0</c:v>
                </c:pt>
                <c:pt idx="54">
                  <c:v>0</c:v>
                </c:pt>
                <c:pt idx="55">
                  <c:v>70148</c:v>
                </c:pt>
                <c:pt idx="56">
                  <c:v>0</c:v>
                </c:pt>
                <c:pt idx="57">
                  <c:v>68499</c:v>
                </c:pt>
                <c:pt idx="58">
                  <c:v>0</c:v>
                </c:pt>
                <c:pt idx="59">
                  <c:v>0</c:v>
                </c:pt>
                <c:pt idx="60">
                  <c:v>70936</c:v>
                </c:pt>
                <c:pt idx="61">
                  <c:v>0</c:v>
                </c:pt>
                <c:pt idx="62">
                  <c:v>67825</c:v>
                </c:pt>
                <c:pt idx="63">
                  <c:v>0</c:v>
                </c:pt>
                <c:pt idx="64">
                  <c:v>0</c:v>
                </c:pt>
                <c:pt idx="65">
                  <c:v>75846</c:v>
                </c:pt>
                <c:pt idx="66">
                  <c:v>0</c:v>
                </c:pt>
                <c:pt idx="67">
                  <c:v>69046</c:v>
                </c:pt>
                <c:pt idx="68">
                  <c:v>0</c:v>
                </c:pt>
                <c:pt idx="69">
                  <c:v>0</c:v>
                </c:pt>
                <c:pt idx="70">
                  <c:v>73918</c:v>
                </c:pt>
                <c:pt idx="71">
                  <c:v>0</c:v>
                </c:pt>
                <c:pt idx="72">
                  <c:v>0</c:v>
                </c:pt>
                <c:pt idx="73">
                  <c:v>65396</c:v>
                </c:pt>
                <c:pt idx="74">
                  <c:v>0</c:v>
                </c:pt>
                <c:pt idx="75">
                  <c:v>65272</c:v>
                </c:pt>
                <c:pt idx="76">
                  <c:v>0</c:v>
                </c:pt>
                <c:pt idx="77">
                  <c:v>0</c:v>
                </c:pt>
                <c:pt idx="78">
                  <c:v>54754</c:v>
                </c:pt>
                <c:pt idx="79">
                  <c:v>0</c:v>
                </c:pt>
                <c:pt idx="80">
                  <c:v>54370</c:v>
                </c:pt>
                <c:pt idx="81">
                  <c:v>0</c:v>
                </c:pt>
                <c:pt idx="82">
                  <c:v>0</c:v>
                </c:pt>
                <c:pt idx="83">
                  <c:v>50326</c:v>
                </c:pt>
                <c:pt idx="84">
                  <c:v>0</c:v>
                </c:pt>
                <c:pt idx="85">
                  <c:v>0</c:v>
                </c:pt>
                <c:pt idx="86">
                  <c:v>48080</c:v>
                </c:pt>
                <c:pt idx="87">
                  <c:v>0</c:v>
                </c:pt>
                <c:pt idx="88">
                  <c:v>48558</c:v>
                </c:pt>
                <c:pt idx="89">
                  <c:v>0</c:v>
                </c:pt>
                <c:pt idx="90">
                  <c:v>0</c:v>
                </c:pt>
                <c:pt idx="91">
                  <c:v>50734</c:v>
                </c:pt>
                <c:pt idx="92">
                  <c:v>0</c:v>
                </c:pt>
                <c:pt idx="93">
                  <c:v>50417</c:v>
                </c:pt>
                <c:pt idx="94">
                  <c:v>0</c:v>
                </c:pt>
                <c:pt idx="95">
                  <c:v>0</c:v>
                </c:pt>
                <c:pt idx="96">
                  <c:v>49164</c:v>
                </c:pt>
                <c:pt idx="97">
                  <c:v>0</c:v>
                </c:pt>
                <c:pt idx="98">
                  <c:v>48966</c:v>
                </c:pt>
                <c:pt idx="99">
                  <c:v>0</c:v>
                </c:pt>
                <c:pt idx="100">
                  <c:v>0</c:v>
                </c:pt>
                <c:pt idx="101">
                  <c:v>49247</c:v>
                </c:pt>
                <c:pt idx="102">
                  <c:v>0</c:v>
                </c:pt>
                <c:pt idx="103">
                  <c:v>0</c:v>
                </c:pt>
                <c:pt idx="104">
                  <c:v>44787</c:v>
                </c:pt>
                <c:pt idx="105">
                  <c:v>0</c:v>
                </c:pt>
                <c:pt idx="106">
                  <c:v>46973</c:v>
                </c:pt>
                <c:pt idx="107">
                  <c:v>0</c:v>
                </c:pt>
                <c:pt idx="108">
                  <c:v>0</c:v>
                </c:pt>
                <c:pt idx="109">
                  <c:v>46368</c:v>
                </c:pt>
                <c:pt idx="110">
                  <c:v>0</c:v>
                </c:pt>
                <c:pt idx="111">
                  <c:v>46287</c:v>
                </c:pt>
                <c:pt idx="112">
                  <c:v>0</c:v>
                </c:pt>
                <c:pt idx="113">
                  <c:v>0</c:v>
                </c:pt>
                <c:pt idx="114">
                  <c:v>44760</c:v>
                </c:pt>
                <c:pt idx="115">
                  <c:v>0</c:v>
                </c:pt>
                <c:pt idx="116">
                  <c:v>44448</c:v>
                </c:pt>
                <c:pt idx="117">
                  <c:v>0</c:v>
                </c:pt>
                <c:pt idx="118">
                  <c:v>0</c:v>
                </c:pt>
                <c:pt idx="119">
                  <c:v>38998</c:v>
                </c:pt>
                <c:pt idx="120">
                  <c:v>0</c:v>
                </c:pt>
                <c:pt idx="121">
                  <c:v>0</c:v>
                </c:pt>
                <c:pt idx="122">
                  <c:v>36157</c:v>
                </c:pt>
                <c:pt idx="123">
                  <c:v>0</c:v>
                </c:pt>
                <c:pt idx="124">
                  <c:v>31977</c:v>
                </c:pt>
                <c:pt idx="125">
                  <c:v>0</c:v>
                </c:pt>
                <c:pt idx="126">
                  <c:v>0</c:v>
                </c:pt>
                <c:pt idx="127">
                  <c:v>33194</c:v>
                </c:pt>
                <c:pt idx="128">
                  <c:v>0</c:v>
                </c:pt>
                <c:pt idx="129">
                  <c:v>26637</c:v>
                </c:pt>
                <c:pt idx="130">
                  <c:v>0</c:v>
                </c:pt>
                <c:pt idx="131">
                  <c:v>0</c:v>
                </c:pt>
                <c:pt idx="132">
                  <c:v>26655</c:v>
                </c:pt>
                <c:pt idx="133">
                  <c:v>0</c:v>
                </c:pt>
                <c:pt idx="134">
                  <c:v>28661</c:v>
                </c:pt>
                <c:pt idx="135">
                  <c:v>0</c:v>
                </c:pt>
                <c:pt idx="136">
                  <c:v>0</c:v>
                </c:pt>
                <c:pt idx="137">
                  <c:v>22089</c:v>
                </c:pt>
                <c:pt idx="138">
                  <c:v>0</c:v>
                </c:pt>
                <c:pt idx="139">
                  <c:v>0</c:v>
                </c:pt>
                <c:pt idx="140">
                  <c:v>21490</c:v>
                </c:pt>
                <c:pt idx="141">
                  <c:v>0</c:v>
                </c:pt>
                <c:pt idx="142">
                  <c:v>20923</c:v>
                </c:pt>
                <c:pt idx="143">
                  <c:v>0</c:v>
                </c:pt>
                <c:pt idx="144">
                  <c:v>0</c:v>
                </c:pt>
                <c:pt idx="145">
                  <c:v>21248</c:v>
                </c:pt>
                <c:pt idx="146">
                  <c:v>0</c:v>
                </c:pt>
                <c:pt idx="147">
                  <c:v>19332</c:v>
                </c:pt>
                <c:pt idx="148">
                  <c:v>0</c:v>
                </c:pt>
                <c:pt idx="149">
                  <c:v>0</c:v>
                </c:pt>
                <c:pt idx="150">
                  <c:v>16506</c:v>
                </c:pt>
                <c:pt idx="151">
                  <c:v>0</c:v>
                </c:pt>
                <c:pt idx="152">
                  <c:v>13621</c:v>
                </c:pt>
                <c:pt idx="153">
                  <c:v>0</c:v>
                </c:pt>
                <c:pt idx="154">
                  <c:v>0</c:v>
                </c:pt>
                <c:pt idx="155">
                  <c:v>10667</c:v>
                </c:pt>
                <c:pt idx="156">
                  <c:v>0</c:v>
                </c:pt>
                <c:pt idx="157">
                  <c:v>0</c:v>
                </c:pt>
                <c:pt idx="158">
                  <c:v>10378</c:v>
                </c:pt>
                <c:pt idx="159">
                  <c:v>0</c:v>
                </c:pt>
                <c:pt idx="160">
                  <c:v>6427</c:v>
                </c:pt>
                <c:pt idx="161">
                  <c:v>0</c:v>
                </c:pt>
                <c:pt idx="162">
                  <c:v>0</c:v>
                </c:pt>
                <c:pt idx="163">
                  <c:v>6812</c:v>
                </c:pt>
                <c:pt idx="164">
                  <c:v>0</c:v>
                </c:pt>
                <c:pt idx="165">
                  <c:v>3876</c:v>
                </c:pt>
                <c:pt idx="166">
                  <c:v>0</c:v>
                </c:pt>
                <c:pt idx="167">
                  <c:v>0</c:v>
                </c:pt>
                <c:pt idx="168">
                  <c:v>1613</c:v>
                </c:pt>
                <c:pt idx="169">
                  <c:v>0</c:v>
                </c:pt>
                <c:pt idx="170">
                  <c:v>0</c:v>
                </c:pt>
                <c:pt idx="171">
                  <c:v>2174</c:v>
                </c:pt>
                <c:pt idx="172">
                  <c:v>0</c:v>
                </c:pt>
                <c:pt idx="173">
                  <c:v>998</c:v>
                </c:pt>
                <c:pt idx="174">
                  <c:v>0</c:v>
                </c:pt>
                <c:pt idx="175">
                  <c:v>0</c:v>
                </c:pt>
                <c:pt idx="176">
                  <c:v>1215</c:v>
                </c:pt>
                <c:pt idx="177">
                  <c:v>0</c:v>
                </c:pt>
                <c:pt idx="178">
                  <c:v>751</c:v>
                </c:pt>
                <c:pt idx="179">
                  <c:v>0</c:v>
                </c:pt>
                <c:pt idx="180">
                  <c:v>0</c:v>
                </c:pt>
                <c:pt idx="181">
                  <c:v>250</c:v>
                </c:pt>
                <c:pt idx="182">
                  <c:v>0</c:v>
                </c:pt>
                <c:pt idx="183">
                  <c:v>53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53</c:v>
                </c:pt>
                <c:pt idx="7">
                  <c:v>0</c:v>
                </c:pt>
                <c:pt idx="8">
                  <c:v>917</c:v>
                </c:pt>
                <c:pt idx="9">
                  <c:v>0</c:v>
                </c:pt>
                <c:pt idx="10">
                  <c:v>0</c:v>
                </c:pt>
                <c:pt idx="11">
                  <c:v>1175</c:v>
                </c:pt>
                <c:pt idx="12">
                  <c:v>0</c:v>
                </c:pt>
                <c:pt idx="13">
                  <c:v>1146</c:v>
                </c:pt>
                <c:pt idx="14">
                  <c:v>0</c:v>
                </c:pt>
                <c:pt idx="15">
                  <c:v>0</c:v>
                </c:pt>
                <c:pt idx="16">
                  <c:v>3725</c:v>
                </c:pt>
                <c:pt idx="17">
                  <c:v>0</c:v>
                </c:pt>
                <c:pt idx="18">
                  <c:v>0</c:v>
                </c:pt>
                <c:pt idx="19">
                  <c:v>978</c:v>
                </c:pt>
                <c:pt idx="20">
                  <c:v>0</c:v>
                </c:pt>
                <c:pt idx="21">
                  <c:v>1506</c:v>
                </c:pt>
                <c:pt idx="22">
                  <c:v>0</c:v>
                </c:pt>
                <c:pt idx="23">
                  <c:v>0</c:v>
                </c:pt>
                <c:pt idx="24">
                  <c:v>3520</c:v>
                </c:pt>
                <c:pt idx="25">
                  <c:v>0</c:v>
                </c:pt>
                <c:pt idx="26">
                  <c:v>4936</c:v>
                </c:pt>
                <c:pt idx="27">
                  <c:v>0</c:v>
                </c:pt>
                <c:pt idx="28">
                  <c:v>0</c:v>
                </c:pt>
                <c:pt idx="29">
                  <c:v>9241</c:v>
                </c:pt>
                <c:pt idx="30">
                  <c:v>0</c:v>
                </c:pt>
                <c:pt idx="31">
                  <c:v>10167</c:v>
                </c:pt>
                <c:pt idx="32">
                  <c:v>0</c:v>
                </c:pt>
                <c:pt idx="33">
                  <c:v>0</c:v>
                </c:pt>
                <c:pt idx="34">
                  <c:v>14744</c:v>
                </c:pt>
                <c:pt idx="35">
                  <c:v>0</c:v>
                </c:pt>
                <c:pt idx="36">
                  <c:v>0</c:v>
                </c:pt>
                <c:pt idx="37">
                  <c:v>14685</c:v>
                </c:pt>
                <c:pt idx="38">
                  <c:v>0</c:v>
                </c:pt>
                <c:pt idx="39">
                  <c:v>20439</c:v>
                </c:pt>
                <c:pt idx="40">
                  <c:v>0</c:v>
                </c:pt>
                <c:pt idx="41">
                  <c:v>0</c:v>
                </c:pt>
                <c:pt idx="42">
                  <c:v>21358</c:v>
                </c:pt>
                <c:pt idx="43">
                  <c:v>0</c:v>
                </c:pt>
                <c:pt idx="44">
                  <c:v>26450</c:v>
                </c:pt>
                <c:pt idx="45">
                  <c:v>0</c:v>
                </c:pt>
                <c:pt idx="46">
                  <c:v>0</c:v>
                </c:pt>
                <c:pt idx="47">
                  <c:v>31523</c:v>
                </c:pt>
                <c:pt idx="48">
                  <c:v>0</c:v>
                </c:pt>
                <c:pt idx="49">
                  <c:v>33084</c:v>
                </c:pt>
                <c:pt idx="50">
                  <c:v>0</c:v>
                </c:pt>
                <c:pt idx="51">
                  <c:v>0</c:v>
                </c:pt>
                <c:pt idx="52">
                  <c:v>39411</c:v>
                </c:pt>
                <c:pt idx="53">
                  <c:v>0</c:v>
                </c:pt>
                <c:pt idx="54">
                  <c:v>0</c:v>
                </c:pt>
                <c:pt idx="55">
                  <c:v>47523</c:v>
                </c:pt>
                <c:pt idx="56">
                  <c:v>0</c:v>
                </c:pt>
                <c:pt idx="57">
                  <c:v>57328</c:v>
                </c:pt>
                <c:pt idx="58">
                  <c:v>0</c:v>
                </c:pt>
                <c:pt idx="59">
                  <c:v>0</c:v>
                </c:pt>
                <c:pt idx="60">
                  <c:v>60291</c:v>
                </c:pt>
                <c:pt idx="61">
                  <c:v>0</c:v>
                </c:pt>
                <c:pt idx="62">
                  <c:v>69138</c:v>
                </c:pt>
                <c:pt idx="63">
                  <c:v>0</c:v>
                </c:pt>
                <c:pt idx="64">
                  <c:v>0</c:v>
                </c:pt>
                <c:pt idx="65">
                  <c:v>69743</c:v>
                </c:pt>
                <c:pt idx="66">
                  <c:v>0</c:v>
                </c:pt>
                <c:pt idx="67">
                  <c:v>79384</c:v>
                </c:pt>
                <c:pt idx="68">
                  <c:v>0</c:v>
                </c:pt>
                <c:pt idx="69">
                  <c:v>0</c:v>
                </c:pt>
                <c:pt idx="70">
                  <c:v>87713</c:v>
                </c:pt>
                <c:pt idx="71">
                  <c:v>0</c:v>
                </c:pt>
                <c:pt idx="72">
                  <c:v>0</c:v>
                </c:pt>
                <c:pt idx="73">
                  <c:v>87996</c:v>
                </c:pt>
                <c:pt idx="74">
                  <c:v>0</c:v>
                </c:pt>
                <c:pt idx="75">
                  <c:v>99332</c:v>
                </c:pt>
                <c:pt idx="76">
                  <c:v>0</c:v>
                </c:pt>
                <c:pt idx="77">
                  <c:v>0</c:v>
                </c:pt>
                <c:pt idx="78">
                  <c:v>96030</c:v>
                </c:pt>
                <c:pt idx="79">
                  <c:v>0</c:v>
                </c:pt>
                <c:pt idx="80">
                  <c:v>102986</c:v>
                </c:pt>
                <c:pt idx="81">
                  <c:v>0</c:v>
                </c:pt>
                <c:pt idx="82">
                  <c:v>0</c:v>
                </c:pt>
                <c:pt idx="83">
                  <c:v>107367</c:v>
                </c:pt>
                <c:pt idx="84">
                  <c:v>0</c:v>
                </c:pt>
                <c:pt idx="85">
                  <c:v>0</c:v>
                </c:pt>
                <c:pt idx="86">
                  <c:v>111910</c:v>
                </c:pt>
                <c:pt idx="87">
                  <c:v>0</c:v>
                </c:pt>
                <c:pt idx="88">
                  <c:v>106218</c:v>
                </c:pt>
                <c:pt idx="89">
                  <c:v>0</c:v>
                </c:pt>
                <c:pt idx="90">
                  <c:v>0</c:v>
                </c:pt>
                <c:pt idx="91">
                  <c:v>100324</c:v>
                </c:pt>
                <c:pt idx="92">
                  <c:v>0</c:v>
                </c:pt>
                <c:pt idx="93">
                  <c:v>95364</c:v>
                </c:pt>
                <c:pt idx="94">
                  <c:v>0</c:v>
                </c:pt>
                <c:pt idx="95">
                  <c:v>0</c:v>
                </c:pt>
                <c:pt idx="96">
                  <c:v>96776</c:v>
                </c:pt>
                <c:pt idx="97">
                  <c:v>0</c:v>
                </c:pt>
                <c:pt idx="98">
                  <c:v>98447</c:v>
                </c:pt>
                <c:pt idx="99">
                  <c:v>0</c:v>
                </c:pt>
                <c:pt idx="100">
                  <c:v>0</c:v>
                </c:pt>
                <c:pt idx="101">
                  <c:v>95545</c:v>
                </c:pt>
                <c:pt idx="102">
                  <c:v>0</c:v>
                </c:pt>
                <c:pt idx="103">
                  <c:v>0</c:v>
                </c:pt>
                <c:pt idx="104">
                  <c:v>88794</c:v>
                </c:pt>
                <c:pt idx="105">
                  <c:v>0</c:v>
                </c:pt>
                <c:pt idx="106">
                  <c:v>86141</c:v>
                </c:pt>
                <c:pt idx="107">
                  <c:v>0</c:v>
                </c:pt>
                <c:pt idx="108">
                  <c:v>0</c:v>
                </c:pt>
                <c:pt idx="109">
                  <c:v>86221</c:v>
                </c:pt>
                <c:pt idx="110">
                  <c:v>0</c:v>
                </c:pt>
                <c:pt idx="111">
                  <c:v>79563</c:v>
                </c:pt>
                <c:pt idx="112">
                  <c:v>0</c:v>
                </c:pt>
                <c:pt idx="113">
                  <c:v>0</c:v>
                </c:pt>
                <c:pt idx="114">
                  <c:v>78647</c:v>
                </c:pt>
                <c:pt idx="115">
                  <c:v>0</c:v>
                </c:pt>
                <c:pt idx="116">
                  <c:v>78108</c:v>
                </c:pt>
                <c:pt idx="117">
                  <c:v>0</c:v>
                </c:pt>
                <c:pt idx="118">
                  <c:v>0</c:v>
                </c:pt>
                <c:pt idx="119">
                  <c:v>74126</c:v>
                </c:pt>
                <c:pt idx="120">
                  <c:v>0</c:v>
                </c:pt>
                <c:pt idx="121">
                  <c:v>0</c:v>
                </c:pt>
                <c:pt idx="122">
                  <c:v>72803</c:v>
                </c:pt>
                <c:pt idx="123">
                  <c:v>0</c:v>
                </c:pt>
                <c:pt idx="124">
                  <c:v>74669</c:v>
                </c:pt>
                <c:pt idx="125">
                  <c:v>0</c:v>
                </c:pt>
                <c:pt idx="126">
                  <c:v>0</c:v>
                </c:pt>
                <c:pt idx="127">
                  <c:v>74810</c:v>
                </c:pt>
                <c:pt idx="128">
                  <c:v>0</c:v>
                </c:pt>
                <c:pt idx="129">
                  <c:v>66487</c:v>
                </c:pt>
                <c:pt idx="130">
                  <c:v>0</c:v>
                </c:pt>
                <c:pt idx="131">
                  <c:v>0</c:v>
                </c:pt>
                <c:pt idx="132">
                  <c:v>63074</c:v>
                </c:pt>
                <c:pt idx="133">
                  <c:v>0</c:v>
                </c:pt>
                <c:pt idx="134">
                  <c:v>52604</c:v>
                </c:pt>
                <c:pt idx="135">
                  <c:v>0</c:v>
                </c:pt>
                <c:pt idx="136">
                  <c:v>0</c:v>
                </c:pt>
                <c:pt idx="137">
                  <c:v>47365</c:v>
                </c:pt>
                <c:pt idx="138">
                  <c:v>0</c:v>
                </c:pt>
                <c:pt idx="139">
                  <c:v>0</c:v>
                </c:pt>
                <c:pt idx="140">
                  <c:v>42700</c:v>
                </c:pt>
                <c:pt idx="141">
                  <c:v>0</c:v>
                </c:pt>
                <c:pt idx="142">
                  <c:v>38066</c:v>
                </c:pt>
                <c:pt idx="143">
                  <c:v>0</c:v>
                </c:pt>
                <c:pt idx="144">
                  <c:v>0</c:v>
                </c:pt>
                <c:pt idx="145">
                  <c:v>29778</c:v>
                </c:pt>
                <c:pt idx="146">
                  <c:v>0</c:v>
                </c:pt>
                <c:pt idx="147">
                  <c:v>22021</c:v>
                </c:pt>
                <c:pt idx="148">
                  <c:v>0</c:v>
                </c:pt>
                <c:pt idx="149">
                  <c:v>0</c:v>
                </c:pt>
                <c:pt idx="150">
                  <c:v>18410</c:v>
                </c:pt>
                <c:pt idx="151">
                  <c:v>0</c:v>
                </c:pt>
                <c:pt idx="152">
                  <c:v>14910</c:v>
                </c:pt>
                <c:pt idx="153">
                  <c:v>0</c:v>
                </c:pt>
                <c:pt idx="154">
                  <c:v>0</c:v>
                </c:pt>
                <c:pt idx="155">
                  <c:v>14359</c:v>
                </c:pt>
                <c:pt idx="156">
                  <c:v>0</c:v>
                </c:pt>
                <c:pt idx="157">
                  <c:v>0</c:v>
                </c:pt>
                <c:pt idx="158">
                  <c:v>10389</c:v>
                </c:pt>
                <c:pt idx="159">
                  <c:v>0</c:v>
                </c:pt>
                <c:pt idx="160">
                  <c:v>6376</c:v>
                </c:pt>
                <c:pt idx="161">
                  <c:v>0</c:v>
                </c:pt>
                <c:pt idx="162">
                  <c:v>0</c:v>
                </c:pt>
                <c:pt idx="163">
                  <c:v>3848</c:v>
                </c:pt>
                <c:pt idx="164">
                  <c:v>0</c:v>
                </c:pt>
                <c:pt idx="165">
                  <c:v>2749</c:v>
                </c:pt>
                <c:pt idx="166">
                  <c:v>0</c:v>
                </c:pt>
                <c:pt idx="167">
                  <c:v>0</c:v>
                </c:pt>
                <c:pt idx="168">
                  <c:v>1941</c:v>
                </c:pt>
                <c:pt idx="169">
                  <c:v>0</c:v>
                </c:pt>
                <c:pt idx="170">
                  <c:v>0</c:v>
                </c:pt>
                <c:pt idx="171">
                  <c:v>2245</c:v>
                </c:pt>
                <c:pt idx="172">
                  <c:v>0</c:v>
                </c:pt>
                <c:pt idx="173">
                  <c:v>1950</c:v>
                </c:pt>
                <c:pt idx="174">
                  <c:v>0</c:v>
                </c:pt>
                <c:pt idx="175">
                  <c:v>0</c:v>
                </c:pt>
                <c:pt idx="176">
                  <c:v>1108</c:v>
                </c:pt>
                <c:pt idx="177">
                  <c:v>0</c:v>
                </c:pt>
                <c:pt idx="178">
                  <c:v>851</c:v>
                </c:pt>
                <c:pt idx="179">
                  <c:v>0</c:v>
                </c:pt>
                <c:pt idx="180">
                  <c:v>0</c:v>
                </c:pt>
                <c:pt idx="181">
                  <c:v>208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0.22516038963437787</c:v>
                </c:pt>
                <c:pt idx="1">
                  <c:v>0.38850159112120908</c:v>
                </c:pt>
                <c:pt idx="2">
                  <c:v>0.38633801924441297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0.5163844056646737</c:v>
                </c:pt>
                <c:pt idx="1">
                  <c:v>0.24577483504081804</c:v>
                </c:pt>
                <c:pt idx="2">
                  <c:v>0.23784075929450821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6.1358525000000004</c:v>
                </c:pt>
                <c:pt idx="1">
                  <c:v>13.66066</c:v>
                </c:pt>
                <c:pt idx="2">
                  <c:v>22.841050000000003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0.383936</c:v>
                </c:pt>
                <c:pt idx="2">
                  <c:v>0.79484600000000005</c:v>
                </c:pt>
                <c:pt idx="3">
                  <c:v>1.2047600000000001</c:v>
                </c:pt>
                <c:pt idx="4">
                  <c:v>1.6096699999999999</c:v>
                </c:pt>
                <c:pt idx="5">
                  <c:v>2.01362</c:v>
                </c:pt>
                <c:pt idx="6">
                  <c:v>2.41879</c:v>
                </c:pt>
                <c:pt idx="7">
                  <c:v>2.8207</c:v>
                </c:pt>
                <c:pt idx="8">
                  <c:v>3.2344599999999999</c:v>
                </c:pt>
                <c:pt idx="9">
                  <c:v>3.63917</c:v>
                </c:pt>
                <c:pt idx="10">
                  <c:v>4.0441000000000003</c:v>
                </c:pt>
                <c:pt idx="11">
                  <c:v>4.4503599999999999</c:v>
                </c:pt>
                <c:pt idx="12">
                  <c:v>4.8579499999999998</c:v>
                </c:pt>
                <c:pt idx="13">
                  <c:v>5.2668799999999996</c:v>
                </c:pt>
                <c:pt idx="14">
                  <c:v>5.6653599999999997</c:v>
                </c:pt>
                <c:pt idx="15">
                  <c:v>6.0766400000000003</c:v>
                </c:pt>
                <c:pt idx="16">
                  <c:v>6.4805299999999999</c:v>
                </c:pt>
                <c:pt idx="17">
                  <c:v>6.8945299999999996</c:v>
                </c:pt>
                <c:pt idx="18">
                  <c:v>7.2965400000000002</c:v>
                </c:pt>
                <c:pt idx="19">
                  <c:v>7.70533</c:v>
                </c:pt>
                <c:pt idx="20">
                  <c:v>8.1062499999999993</c:v>
                </c:pt>
                <c:pt idx="21">
                  <c:v>8.5123200000000008</c:v>
                </c:pt>
                <c:pt idx="22">
                  <c:v>8.9182699999999997</c:v>
                </c:pt>
                <c:pt idx="23">
                  <c:v>9.3219899999999996</c:v>
                </c:pt>
                <c:pt idx="24">
                  <c:v>9.7319899999999997</c:v>
                </c:pt>
                <c:pt idx="25">
                  <c:v>10.1358</c:v>
                </c:pt>
                <c:pt idx="26">
                  <c:v>10.541700000000001</c:v>
                </c:pt>
                <c:pt idx="27">
                  <c:v>10.946099999999999</c:v>
                </c:pt>
                <c:pt idx="28">
                  <c:v>11.3575</c:v>
                </c:pt>
                <c:pt idx="29">
                  <c:v>11.76</c:v>
                </c:pt>
                <c:pt idx="30">
                  <c:v>12.167400000000001</c:v>
                </c:pt>
                <c:pt idx="31">
                  <c:v>12.5723</c:v>
                </c:pt>
                <c:pt idx="32">
                  <c:v>12.9762</c:v>
                </c:pt>
                <c:pt idx="33">
                  <c:v>13.386100000000001</c:v>
                </c:pt>
                <c:pt idx="34">
                  <c:v>13.7964</c:v>
                </c:pt>
                <c:pt idx="35">
                  <c:v>14.199</c:v>
                </c:pt>
                <c:pt idx="36">
                  <c:v>14.604799999999999</c:v>
                </c:pt>
                <c:pt idx="37">
                  <c:v>15.010199999999999</c:v>
                </c:pt>
                <c:pt idx="38">
                  <c:v>15.414099999999999</c:v>
                </c:pt>
                <c:pt idx="39">
                  <c:v>15.8256</c:v>
                </c:pt>
                <c:pt idx="40">
                  <c:v>16.232099999999999</c:v>
                </c:pt>
                <c:pt idx="41">
                  <c:v>16.6374</c:v>
                </c:pt>
                <c:pt idx="42">
                  <c:v>17.043500000000002</c:v>
                </c:pt>
                <c:pt idx="43">
                  <c:v>17.445699999999999</c:v>
                </c:pt>
                <c:pt idx="44">
                  <c:v>17.854199999999999</c:v>
                </c:pt>
                <c:pt idx="45">
                  <c:v>18.2622</c:v>
                </c:pt>
                <c:pt idx="46">
                  <c:v>18.667999999999999</c:v>
                </c:pt>
                <c:pt idx="47">
                  <c:v>19.074400000000001</c:v>
                </c:pt>
                <c:pt idx="48">
                  <c:v>19.4818</c:v>
                </c:pt>
                <c:pt idx="49">
                  <c:v>19.8888</c:v>
                </c:pt>
                <c:pt idx="50">
                  <c:v>20.296800000000001</c:v>
                </c:pt>
                <c:pt idx="51">
                  <c:v>20.698599999999999</c:v>
                </c:pt>
                <c:pt idx="52">
                  <c:v>21.102499999999999</c:v>
                </c:pt>
                <c:pt idx="53">
                  <c:v>21.5106</c:v>
                </c:pt>
                <c:pt idx="54">
                  <c:v>21.920400000000001</c:v>
                </c:pt>
                <c:pt idx="55">
                  <c:v>22.324300000000001</c:v>
                </c:pt>
                <c:pt idx="56">
                  <c:v>22.732199999999999</c:v>
                </c:pt>
                <c:pt idx="57">
                  <c:v>23.135000000000002</c:v>
                </c:pt>
                <c:pt idx="58">
                  <c:v>23.543099999999999</c:v>
                </c:pt>
                <c:pt idx="59">
                  <c:v>23.950900000000001</c:v>
                </c:pt>
                <c:pt idx="60">
                  <c:v>24.357800000000001</c:v>
                </c:pt>
                <c:pt idx="61">
                  <c:v>24.7607</c:v>
                </c:pt>
                <c:pt idx="62">
                  <c:v>25.165600000000001</c:v>
                </c:pt>
                <c:pt idx="63">
                  <c:v>25.573699999999999</c:v>
                </c:pt>
                <c:pt idx="64">
                  <c:v>25.979800000000001</c:v>
                </c:pt>
                <c:pt idx="65">
                  <c:v>26.3874</c:v>
                </c:pt>
                <c:pt idx="66">
                  <c:v>26.7943</c:v>
                </c:pt>
                <c:pt idx="67">
                  <c:v>27.199200000000001</c:v>
                </c:pt>
                <c:pt idx="68">
                  <c:v>27.607099999999999</c:v>
                </c:pt>
                <c:pt idx="69">
                  <c:v>28.009499999999999</c:v>
                </c:pt>
                <c:pt idx="70">
                  <c:v>28.417000000000002</c:v>
                </c:pt>
                <c:pt idx="71">
                  <c:v>28.826799999999999</c:v>
                </c:pt>
                <c:pt idx="72">
                  <c:v>29.23</c:v>
                </c:pt>
                <c:pt idx="73">
                  <c:v>29.6327</c:v>
                </c:pt>
                <c:pt idx="74">
                  <c:v>30.045000000000002</c:v>
                </c:pt>
                <c:pt idx="75">
                  <c:v>30.623000000000001</c:v>
                </c:pt>
                <c:pt idx="76">
                  <c:v>30.9971</c:v>
                </c:pt>
                <c:pt idx="77">
                  <c:v>31.371099999999998</c:v>
                </c:pt>
                <c:pt idx="78">
                  <c:v>31.7471</c:v>
                </c:pt>
                <c:pt idx="79">
                  <c:v>32.117400000000004</c:v>
                </c:pt>
                <c:pt idx="80">
                  <c:v>32.529200000000003</c:v>
                </c:pt>
                <c:pt idx="81">
                  <c:v>32.9358</c:v>
                </c:pt>
                <c:pt idx="82">
                  <c:v>33.340800000000002</c:v>
                </c:pt>
                <c:pt idx="83">
                  <c:v>33.744700000000002</c:v>
                </c:pt>
                <c:pt idx="84">
                  <c:v>34.152700000000003</c:v>
                </c:pt>
                <c:pt idx="85">
                  <c:v>34.562899999999999</c:v>
                </c:pt>
                <c:pt idx="86">
                  <c:v>34.966500000000003</c:v>
                </c:pt>
                <c:pt idx="87">
                  <c:v>35.371299999999998</c:v>
                </c:pt>
                <c:pt idx="88">
                  <c:v>35.776299999999999</c:v>
                </c:pt>
                <c:pt idx="89">
                  <c:v>36.185099999999998</c:v>
                </c:pt>
                <c:pt idx="90">
                  <c:v>36.589199999999998</c:v>
                </c:pt>
                <c:pt idx="91">
                  <c:v>36.997999999999998</c:v>
                </c:pt>
                <c:pt idx="92">
                  <c:v>37.4039</c:v>
                </c:pt>
                <c:pt idx="93">
                  <c:v>37.806800000000003</c:v>
                </c:pt>
                <c:pt idx="94">
                  <c:v>38.214799999999997</c:v>
                </c:pt>
                <c:pt idx="95">
                  <c:v>38.621600000000001</c:v>
                </c:pt>
                <c:pt idx="96">
                  <c:v>39.031399999999998</c:v>
                </c:pt>
                <c:pt idx="97">
                  <c:v>39.433399999999999</c:v>
                </c:pt>
                <c:pt idx="98">
                  <c:v>39.8384</c:v>
                </c:pt>
                <c:pt idx="99">
                  <c:v>40.249200000000002</c:v>
                </c:pt>
                <c:pt idx="100">
                  <c:v>40.648200000000003</c:v>
                </c:pt>
                <c:pt idx="101">
                  <c:v>41.060200000000002</c:v>
                </c:pt>
                <c:pt idx="102">
                  <c:v>41.464100000000002</c:v>
                </c:pt>
                <c:pt idx="103">
                  <c:v>41.871000000000002</c:v>
                </c:pt>
                <c:pt idx="104">
                  <c:v>42.277299999999997</c:v>
                </c:pt>
                <c:pt idx="105">
                  <c:v>42.686900000000001</c:v>
                </c:pt>
                <c:pt idx="106">
                  <c:v>43.087699999999998</c:v>
                </c:pt>
                <c:pt idx="107">
                  <c:v>43.497599999999998</c:v>
                </c:pt>
                <c:pt idx="108">
                  <c:v>43.898600000000002</c:v>
                </c:pt>
                <c:pt idx="109">
                  <c:v>44.307499999999997</c:v>
                </c:pt>
                <c:pt idx="110">
                  <c:v>44.718400000000003</c:v>
                </c:pt>
                <c:pt idx="111">
                  <c:v>45.122900000000001</c:v>
                </c:pt>
                <c:pt idx="112">
                  <c:v>45.526200000000003</c:v>
                </c:pt>
                <c:pt idx="113">
                  <c:v>45.934100000000001</c:v>
                </c:pt>
                <c:pt idx="114">
                  <c:v>46.339100000000002</c:v>
                </c:pt>
                <c:pt idx="115">
                  <c:v>46.746299999999998</c:v>
                </c:pt>
                <c:pt idx="116">
                  <c:v>47.152900000000002</c:v>
                </c:pt>
                <c:pt idx="117">
                  <c:v>47.559800000000003</c:v>
                </c:pt>
                <c:pt idx="118">
                  <c:v>47.963799999999999</c:v>
                </c:pt>
                <c:pt idx="119">
                  <c:v>48.369700000000002</c:v>
                </c:pt>
                <c:pt idx="120">
                  <c:v>48.777500000000003</c:v>
                </c:pt>
                <c:pt idx="121">
                  <c:v>49.185400000000001</c:v>
                </c:pt>
                <c:pt idx="122">
                  <c:v>49.592300000000002</c:v>
                </c:pt>
                <c:pt idx="123">
                  <c:v>49.995199999999997</c:v>
                </c:pt>
                <c:pt idx="124">
                  <c:v>50.403199999999998</c:v>
                </c:pt>
                <c:pt idx="125">
                  <c:v>50.810299999999998</c:v>
                </c:pt>
                <c:pt idx="126">
                  <c:v>51.216999999999999</c:v>
                </c:pt>
                <c:pt idx="127">
                  <c:v>51.621899999999997</c:v>
                </c:pt>
                <c:pt idx="128">
                  <c:v>52.025799999999997</c:v>
                </c:pt>
                <c:pt idx="129">
                  <c:v>52.4283</c:v>
                </c:pt>
                <c:pt idx="130">
                  <c:v>52.837699999999998</c:v>
                </c:pt>
                <c:pt idx="131">
                  <c:v>53.248600000000003</c:v>
                </c:pt>
                <c:pt idx="132">
                  <c:v>53.656599999999997</c:v>
                </c:pt>
                <c:pt idx="133">
                  <c:v>54.0593</c:v>
                </c:pt>
                <c:pt idx="134">
                  <c:v>54.464300000000001</c:v>
                </c:pt>
                <c:pt idx="135">
                  <c:v>54.869500000000002</c:v>
                </c:pt>
                <c:pt idx="136">
                  <c:v>55.280900000000003</c:v>
                </c:pt>
                <c:pt idx="137">
                  <c:v>55.685099999999998</c:v>
                </c:pt>
                <c:pt idx="138">
                  <c:v>56.091999999999999</c:v>
                </c:pt>
                <c:pt idx="139">
                  <c:v>56.496899999999997</c:v>
                </c:pt>
                <c:pt idx="140">
                  <c:v>56.901899999999998</c:v>
                </c:pt>
                <c:pt idx="141">
                  <c:v>57.310699999999997</c:v>
                </c:pt>
                <c:pt idx="142">
                  <c:v>57.7166</c:v>
                </c:pt>
                <c:pt idx="143">
                  <c:v>58.122500000000002</c:v>
                </c:pt>
                <c:pt idx="144">
                  <c:v>58.5274</c:v>
                </c:pt>
                <c:pt idx="145">
                  <c:v>58.929699999999997</c:v>
                </c:pt>
                <c:pt idx="146">
                  <c:v>59.342300000000002</c:v>
                </c:pt>
                <c:pt idx="147">
                  <c:v>59.746699999999997</c:v>
                </c:pt>
                <c:pt idx="148">
                  <c:v>60.152099999999997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1.8896999999999999</c:v>
                </c:pt>
                <c:pt idx="1">
                  <c:v>1.9351399999999999</c:v>
                </c:pt>
                <c:pt idx="2">
                  <c:v>1.9799900000000001</c:v>
                </c:pt>
                <c:pt idx="3">
                  <c:v>2.02433</c:v>
                </c:pt>
                <c:pt idx="4">
                  <c:v>2.0693000000000001</c:v>
                </c:pt>
                <c:pt idx="5">
                  <c:v>2.11334</c:v>
                </c:pt>
                <c:pt idx="6">
                  <c:v>2.15429</c:v>
                </c:pt>
                <c:pt idx="7">
                  <c:v>2.19286</c:v>
                </c:pt>
                <c:pt idx="8">
                  <c:v>2.2333099999999999</c:v>
                </c:pt>
                <c:pt idx="9">
                  <c:v>2.2766299999999999</c:v>
                </c:pt>
                <c:pt idx="10">
                  <c:v>2.32118</c:v>
                </c:pt>
                <c:pt idx="11">
                  <c:v>2.3679600000000001</c:v>
                </c:pt>
                <c:pt idx="12">
                  <c:v>2.4160900000000001</c:v>
                </c:pt>
                <c:pt idx="13">
                  <c:v>2.4649700000000001</c:v>
                </c:pt>
                <c:pt idx="14">
                  <c:v>2.5107499999999998</c:v>
                </c:pt>
                <c:pt idx="15">
                  <c:v>2.5567500000000001</c:v>
                </c:pt>
                <c:pt idx="16">
                  <c:v>2.6019300000000003</c:v>
                </c:pt>
                <c:pt idx="17">
                  <c:v>2.64642</c:v>
                </c:pt>
                <c:pt idx="18">
                  <c:v>2.6933400000000001</c:v>
                </c:pt>
                <c:pt idx="19">
                  <c:v>2.7417599999999998</c:v>
                </c:pt>
                <c:pt idx="20">
                  <c:v>2.78878</c:v>
                </c:pt>
                <c:pt idx="21">
                  <c:v>2.8349600000000001</c:v>
                </c:pt>
                <c:pt idx="22">
                  <c:v>2.8836499999999998</c:v>
                </c:pt>
                <c:pt idx="23">
                  <c:v>2.9310100000000001</c:v>
                </c:pt>
                <c:pt idx="24">
                  <c:v>2.9785599999999999</c:v>
                </c:pt>
                <c:pt idx="25">
                  <c:v>3.0240200000000002</c:v>
                </c:pt>
                <c:pt idx="26">
                  <c:v>3.0666500000000001</c:v>
                </c:pt>
                <c:pt idx="27">
                  <c:v>3.1071399999999998</c:v>
                </c:pt>
                <c:pt idx="28">
                  <c:v>3.1455499999999996</c:v>
                </c:pt>
                <c:pt idx="29">
                  <c:v>3.1829299999999998</c:v>
                </c:pt>
                <c:pt idx="30">
                  <c:v>3.2218499999999999</c:v>
                </c:pt>
                <c:pt idx="31">
                  <c:v>3.2609399999999997</c:v>
                </c:pt>
                <c:pt idx="32">
                  <c:v>3.29861</c:v>
                </c:pt>
                <c:pt idx="33">
                  <c:v>3.3339600000000003</c:v>
                </c:pt>
                <c:pt idx="34">
                  <c:v>3.3675500000000005</c:v>
                </c:pt>
                <c:pt idx="35">
                  <c:v>3.4001399999999999</c:v>
                </c:pt>
                <c:pt idx="36">
                  <c:v>3.43058</c:v>
                </c:pt>
                <c:pt idx="37">
                  <c:v>3.4592899999999998</c:v>
                </c:pt>
                <c:pt idx="38">
                  <c:v>3.4852799999999999</c:v>
                </c:pt>
                <c:pt idx="39">
                  <c:v>3.5080099999999996</c:v>
                </c:pt>
                <c:pt idx="40">
                  <c:v>3.5306100000000002</c:v>
                </c:pt>
                <c:pt idx="41">
                  <c:v>3.5529600000000001</c:v>
                </c:pt>
                <c:pt idx="42">
                  <c:v>3.5787999999999998</c:v>
                </c:pt>
                <c:pt idx="43">
                  <c:v>3.6052900000000001</c:v>
                </c:pt>
                <c:pt idx="44">
                  <c:v>3.63117</c:v>
                </c:pt>
                <c:pt idx="45">
                  <c:v>3.6567300000000005</c:v>
                </c:pt>
                <c:pt idx="46">
                  <c:v>3.6825000000000001</c:v>
                </c:pt>
                <c:pt idx="47">
                  <c:v>3.7055799999999999</c:v>
                </c:pt>
                <c:pt idx="48">
                  <c:v>3.72987</c:v>
                </c:pt>
                <c:pt idx="49">
                  <c:v>3.7532399999999999</c:v>
                </c:pt>
                <c:pt idx="50">
                  <c:v>3.7717700000000001</c:v>
                </c:pt>
                <c:pt idx="51">
                  <c:v>3.7996099999999999</c:v>
                </c:pt>
                <c:pt idx="52">
                  <c:v>3.82721</c:v>
                </c:pt>
                <c:pt idx="53">
                  <c:v>3.8528699999999998</c:v>
                </c:pt>
                <c:pt idx="54">
                  <c:v>3.8752399999999998</c:v>
                </c:pt>
                <c:pt idx="55">
                  <c:v>3.8970599999999997</c:v>
                </c:pt>
                <c:pt idx="56">
                  <c:v>3.9225900000000005</c:v>
                </c:pt>
                <c:pt idx="57">
                  <c:v>3.9416500000000001</c:v>
                </c:pt>
                <c:pt idx="58">
                  <c:v>3.9568199999999996</c:v>
                </c:pt>
                <c:pt idx="59">
                  <c:v>3.9683299999999999</c:v>
                </c:pt>
                <c:pt idx="60">
                  <c:v>3.97289</c:v>
                </c:pt>
                <c:pt idx="61">
                  <c:v>3.9803800000000003</c:v>
                </c:pt>
                <c:pt idx="62">
                  <c:v>3.9815699999999996</c:v>
                </c:pt>
                <c:pt idx="63">
                  <c:v>3.98123</c:v>
                </c:pt>
                <c:pt idx="64">
                  <c:v>3.9825700000000004</c:v>
                </c:pt>
                <c:pt idx="65">
                  <c:v>3.9808900000000005</c:v>
                </c:pt>
                <c:pt idx="66">
                  <c:v>3.9748999999999999</c:v>
                </c:pt>
                <c:pt idx="67">
                  <c:v>3.9506200000000002</c:v>
                </c:pt>
                <c:pt idx="68">
                  <c:v>3.9258900000000003</c:v>
                </c:pt>
                <c:pt idx="69">
                  <c:v>3.8995500000000001</c:v>
                </c:pt>
                <c:pt idx="70">
                  <c:v>3.8828499999999999</c:v>
                </c:pt>
                <c:pt idx="71">
                  <c:v>3.8437399999999999</c:v>
                </c:pt>
                <c:pt idx="72">
                  <c:v>3.8114500000000002</c:v>
                </c:pt>
                <c:pt idx="73">
                  <c:v>3.7877899999999998</c:v>
                </c:pt>
                <c:pt idx="74">
                  <c:v>3.7490800000000002</c:v>
                </c:pt>
                <c:pt idx="75">
                  <c:v>3.6950499999999997</c:v>
                </c:pt>
                <c:pt idx="76">
                  <c:v>3.6510100000000003</c:v>
                </c:pt>
                <c:pt idx="77">
                  <c:v>3.6090100000000005</c:v>
                </c:pt>
                <c:pt idx="78">
                  <c:v>3.5666399999999996</c:v>
                </c:pt>
                <c:pt idx="79">
                  <c:v>3.52569</c:v>
                </c:pt>
                <c:pt idx="80">
                  <c:v>3.4818799999999999</c:v>
                </c:pt>
                <c:pt idx="81">
                  <c:v>3.4389700000000003</c:v>
                </c:pt>
                <c:pt idx="82">
                  <c:v>3.4005700000000001</c:v>
                </c:pt>
                <c:pt idx="83">
                  <c:v>3.3691199999999997</c:v>
                </c:pt>
                <c:pt idx="84">
                  <c:v>3.3449299999999997</c:v>
                </c:pt>
                <c:pt idx="85">
                  <c:v>3.3231600000000001</c:v>
                </c:pt>
                <c:pt idx="86">
                  <c:v>3.3034599999999998</c:v>
                </c:pt>
                <c:pt idx="87">
                  <c:v>3.2877299999999998</c:v>
                </c:pt>
                <c:pt idx="88">
                  <c:v>3.2765499999999999</c:v>
                </c:pt>
                <c:pt idx="89">
                  <c:v>3.2710900000000001</c:v>
                </c:pt>
                <c:pt idx="90">
                  <c:v>3.2732299999999999</c:v>
                </c:pt>
                <c:pt idx="91">
                  <c:v>3.2781199999999999</c:v>
                </c:pt>
                <c:pt idx="92">
                  <c:v>3.2846399999999996</c:v>
                </c:pt>
                <c:pt idx="93">
                  <c:v>3.2898699999999996</c:v>
                </c:pt>
                <c:pt idx="94">
                  <c:v>3.2966099999999998</c:v>
                </c:pt>
                <c:pt idx="95">
                  <c:v>3.3079399999999999</c:v>
                </c:pt>
                <c:pt idx="96">
                  <c:v>3.32334</c:v>
                </c:pt>
                <c:pt idx="97">
                  <c:v>3.3431600000000001</c:v>
                </c:pt>
                <c:pt idx="98">
                  <c:v>3.3650899999999999</c:v>
                </c:pt>
                <c:pt idx="99">
                  <c:v>3.3896100000000002</c:v>
                </c:pt>
                <c:pt idx="100">
                  <c:v>3.4131099999999996</c:v>
                </c:pt>
                <c:pt idx="101">
                  <c:v>3.4412900000000004</c:v>
                </c:pt>
                <c:pt idx="102">
                  <c:v>3.47051</c:v>
                </c:pt>
                <c:pt idx="103">
                  <c:v>3.5043099999999998</c:v>
                </c:pt>
                <c:pt idx="104">
                  <c:v>3.5342000000000002</c:v>
                </c:pt>
                <c:pt idx="105">
                  <c:v>3.5610300000000001</c:v>
                </c:pt>
                <c:pt idx="106">
                  <c:v>3.5880200000000002</c:v>
                </c:pt>
                <c:pt idx="107">
                  <c:v>3.61355</c:v>
                </c:pt>
                <c:pt idx="108">
                  <c:v>3.6407099999999999</c:v>
                </c:pt>
                <c:pt idx="109">
                  <c:v>3.6628100000000003</c:v>
                </c:pt>
                <c:pt idx="110">
                  <c:v>3.6852</c:v>
                </c:pt>
                <c:pt idx="111">
                  <c:v>3.7057200000000003</c:v>
                </c:pt>
                <c:pt idx="112">
                  <c:v>3.72404</c:v>
                </c:pt>
                <c:pt idx="113">
                  <c:v>3.7398400000000001</c:v>
                </c:pt>
                <c:pt idx="114">
                  <c:v>3.7542499999999999</c:v>
                </c:pt>
                <c:pt idx="115">
                  <c:v>3.7685200000000001</c:v>
                </c:pt>
                <c:pt idx="116">
                  <c:v>3.78247</c:v>
                </c:pt>
                <c:pt idx="117">
                  <c:v>3.7994299999999996</c:v>
                </c:pt>
                <c:pt idx="118">
                  <c:v>3.8192599999999999</c:v>
                </c:pt>
                <c:pt idx="119">
                  <c:v>3.8375700000000004</c:v>
                </c:pt>
                <c:pt idx="120">
                  <c:v>3.8531</c:v>
                </c:pt>
                <c:pt idx="121">
                  <c:v>3.8689600000000004</c:v>
                </c:pt>
                <c:pt idx="122">
                  <c:v>3.8880500000000002</c:v>
                </c:pt>
                <c:pt idx="123">
                  <c:v>3.90984</c:v>
                </c:pt>
                <c:pt idx="124">
                  <c:v>3.9245200000000002</c:v>
                </c:pt>
                <c:pt idx="125">
                  <c:v>3.93452</c:v>
                </c:pt>
                <c:pt idx="126">
                  <c:v>3.9424100000000002</c:v>
                </c:pt>
                <c:pt idx="127">
                  <c:v>3.9502199999999998</c:v>
                </c:pt>
                <c:pt idx="128">
                  <c:v>3.9549499999999997</c:v>
                </c:pt>
                <c:pt idx="129">
                  <c:v>3.96258</c:v>
                </c:pt>
                <c:pt idx="130">
                  <c:v>3.97383</c:v>
                </c:pt>
                <c:pt idx="131">
                  <c:v>3.9842499999999998</c:v>
                </c:pt>
                <c:pt idx="132">
                  <c:v>3.9941300000000002</c:v>
                </c:pt>
                <c:pt idx="133">
                  <c:v>3.9985300000000001</c:v>
                </c:pt>
                <c:pt idx="134">
                  <c:v>4.0060099999999998</c:v>
                </c:pt>
                <c:pt idx="135">
                  <c:v>4.0143800000000001</c:v>
                </c:pt>
                <c:pt idx="136">
                  <c:v>4.0263999999999998</c:v>
                </c:pt>
                <c:pt idx="137">
                  <c:v>4.0421800000000001</c:v>
                </c:pt>
                <c:pt idx="138">
                  <c:v>4.0591799999999996</c:v>
                </c:pt>
                <c:pt idx="139">
                  <c:v>4.0738400000000006</c:v>
                </c:pt>
                <c:pt idx="140">
                  <c:v>4.08256</c:v>
                </c:pt>
                <c:pt idx="141">
                  <c:v>4.09307</c:v>
                </c:pt>
                <c:pt idx="142">
                  <c:v>4.0993899999999996</c:v>
                </c:pt>
                <c:pt idx="143">
                  <c:v>4.10297</c:v>
                </c:pt>
                <c:pt idx="144">
                  <c:v>4.1116599999999996</c:v>
                </c:pt>
                <c:pt idx="145">
                  <c:v>4.1308800000000003</c:v>
                </c:pt>
                <c:pt idx="146">
                  <c:v>4.1629899999999997</c:v>
                </c:pt>
                <c:pt idx="147">
                  <c:v>4.1841600000000003</c:v>
                </c:pt>
                <c:pt idx="148">
                  <c:v>4.1593400000000003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0.383936</c:v>
                </c:pt>
                <c:pt idx="2">
                  <c:v>0.79484600000000005</c:v>
                </c:pt>
                <c:pt idx="3">
                  <c:v>1.2047600000000001</c:v>
                </c:pt>
                <c:pt idx="4">
                  <c:v>1.6096699999999999</c:v>
                </c:pt>
                <c:pt idx="5">
                  <c:v>2.01362</c:v>
                </c:pt>
                <c:pt idx="6">
                  <c:v>2.41879</c:v>
                </c:pt>
                <c:pt idx="7">
                  <c:v>2.8207</c:v>
                </c:pt>
                <c:pt idx="8">
                  <c:v>3.2344599999999999</c:v>
                </c:pt>
                <c:pt idx="9">
                  <c:v>3.63917</c:v>
                </c:pt>
                <c:pt idx="10">
                  <c:v>4.0441000000000003</c:v>
                </c:pt>
                <c:pt idx="11">
                  <c:v>4.4503599999999999</c:v>
                </c:pt>
                <c:pt idx="12">
                  <c:v>4.8579499999999998</c:v>
                </c:pt>
                <c:pt idx="13">
                  <c:v>5.2668799999999996</c:v>
                </c:pt>
                <c:pt idx="14">
                  <c:v>5.6653599999999997</c:v>
                </c:pt>
                <c:pt idx="15">
                  <c:v>6.0766400000000003</c:v>
                </c:pt>
                <c:pt idx="16">
                  <c:v>6.4805299999999999</c:v>
                </c:pt>
                <c:pt idx="17">
                  <c:v>6.8945299999999996</c:v>
                </c:pt>
                <c:pt idx="18">
                  <c:v>7.2965400000000002</c:v>
                </c:pt>
                <c:pt idx="19">
                  <c:v>7.70533</c:v>
                </c:pt>
                <c:pt idx="20">
                  <c:v>8.1062499999999993</c:v>
                </c:pt>
                <c:pt idx="21">
                  <c:v>8.5123200000000008</c:v>
                </c:pt>
                <c:pt idx="22">
                  <c:v>8.9182699999999997</c:v>
                </c:pt>
                <c:pt idx="23">
                  <c:v>9.3219899999999996</c:v>
                </c:pt>
                <c:pt idx="24">
                  <c:v>9.7319899999999997</c:v>
                </c:pt>
                <c:pt idx="25">
                  <c:v>10.1358</c:v>
                </c:pt>
                <c:pt idx="26">
                  <c:v>10.541700000000001</c:v>
                </c:pt>
                <c:pt idx="27">
                  <c:v>10.946099999999999</c:v>
                </c:pt>
                <c:pt idx="28">
                  <c:v>11.3575</c:v>
                </c:pt>
                <c:pt idx="29">
                  <c:v>11.76</c:v>
                </c:pt>
                <c:pt idx="30">
                  <c:v>12.167400000000001</c:v>
                </c:pt>
                <c:pt idx="31">
                  <c:v>12.5723</c:v>
                </c:pt>
                <c:pt idx="32">
                  <c:v>12.9762</c:v>
                </c:pt>
                <c:pt idx="33">
                  <c:v>13.386100000000001</c:v>
                </c:pt>
                <c:pt idx="34">
                  <c:v>13.7964</c:v>
                </c:pt>
                <c:pt idx="35">
                  <c:v>14.199</c:v>
                </c:pt>
                <c:pt idx="36">
                  <c:v>14.604799999999999</c:v>
                </c:pt>
                <c:pt idx="37">
                  <c:v>15.010199999999999</c:v>
                </c:pt>
                <c:pt idx="38">
                  <c:v>15.414099999999999</c:v>
                </c:pt>
                <c:pt idx="39">
                  <c:v>15.8256</c:v>
                </c:pt>
                <c:pt idx="40">
                  <c:v>16.232099999999999</c:v>
                </c:pt>
                <c:pt idx="41">
                  <c:v>16.6374</c:v>
                </c:pt>
                <c:pt idx="42">
                  <c:v>17.043500000000002</c:v>
                </c:pt>
                <c:pt idx="43">
                  <c:v>17.445699999999999</c:v>
                </c:pt>
                <c:pt idx="44">
                  <c:v>17.854199999999999</c:v>
                </c:pt>
                <c:pt idx="45">
                  <c:v>18.2622</c:v>
                </c:pt>
                <c:pt idx="46">
                  <c:v>18.667999999999999</c:v>
                </c:pt>
                <c:pt idx="47">
                  <c:v>19.074400000000001</c:v>
                </c:pt>
                <c:pt idx="48">
                  <c:v>19.4818</c:v>
                </c:pt>
                <c:pt idx="49">
                  <c:v>19.8888</c:v>
                </c:pt>
                <c:pt idx="50">
                  <c:v>20.296800000000001</c:v>
                </c:pt>
                <c:pt idx="51">
                  <c:v>20.698599999999999</c:v>
                </c:pt>
                <c:pt idx="52">
                  <c:v>21.102499999999999</c:v>
                </c:pt>
                <c:pt idx="53">
                  <c:v>21.5106</c:v>
                </c:pt>
                <c:pt idx="54">
                  <c:v>21.920400000000001</c:v>
                </c:pt>
                <c:pt idx="55">
                  <c:v>22.324300000000001</c:v>
                </c:pt>
                <c:pt idx="56">
                  <c:v>22.732199999999999</c:v>
                </c:pt>
                <c:pt idx="57">
                  <c:v>23.135000000000002</c:v>
                </c:pt>
                <c:pt idx="58">
                  <c:v>23.543099999999999</c:v>
                </c:pt>
                <c:pt idx="59">
                  <c:v>23.950900000000001</c:v>
                </c:pt>
                <c:pt idx="60">
                  <c:v>24.357800000000001</c:v>
                </c:pt>
                <c:pt idx="61">
                  <c:v>24.7607</c:v>
                </c:pt>
                <c:pt idx="62">
                  <c:v>25.165600000000001</c:v>
                </c:pt>
                <c:pt idx="63">
                  <c:v>25.573699999999999</c:v>
                </c:pt>
                <c:pt idx="64">
                  <c:v>25.979800000000001</c:v>
                </c:pt>
                <c:pt idx="65">
                  <c:v>26.3874</c:v>
                </c:pt>
                <c:pt idx="66">
                  <c:v>26.7943</c:v>
                </c:pt>
                <c:pt idx="67">
                  <c:v>27.199200000000001</c:v>
                </c:pt>
                <c:pt idx="68">
                  <c:v>27.607099999999999</c:v>
                </c:pt>
                <c:pt idx="69">
                  <c:v>28.009499999999999</c:v>
                </c:pt>
                <c:pt idx="70">
                  <c:v>28.417000000000002</c:v>
                </c:pt>
                <c:pt idx="71">
                  <c:v>28.826799999999999</c:v>
                </c:pt>
                <c:pt idx="72">
                  <c:v>29.23</c:v>
                </c:pt>
                <c:pt idx="73">
                  <c:v>29.6327</c:v>
                </c:pt>
                <c:pt idx="74">
                  <c:v>30.045000000000002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1.8896999999999999</c:v>
                </c:pt>
                <c:pt idx="1">
                  <c:v>1.9351399999999999</c:v>
                </c:pt>
                <c:pt idx="2">
                  <c:v>1.9799900000000001</c:v>
                </c:pt>
                <c:pt idx="3">
                  <c:v>2.02433</c:v>
                </c:pt>
                <c:pt idx="4">
                  <c:v>2.0693000000000001</c:v>
                </c:pt>
                <c:pt idx="5">
                  <c:v>2.11334</c:v>
                </c:pt>
                <c:pt idx="6">
                  <c:v>2.15429</c:v>
                </c:pt>
                <c:pt idx="7">
                  <c:v>2.19286</c:v>
                </c:pt>
                <c:pt idx="8">
                  <c:v>2.2333099999999999</c:v>
                </c:pt>
                <c:pt idx="9">
                  <c:v>2.2766299999999999</c:v>
                </c:pt>
                <c:pt idx="10">
                  <c:v>2.32118</c:v>
                </c:pt>
                <c:pt idx="11">
                  <c:v>2.3679600000000001</c:v>
                </c:pt>
                <c:pt idx="12">
                  <c:v>2.4160900000000001</c:v>
                </c:pt>
                <c:pt idx="13">
                  <c:v>2.4649700000000001</c:v>
                </c:pt>
                <c:pt idx="14">
                  <c:v>2.5107499999999998</c:v>
                </c:pt>
                <c:pt idx="15">
                  <c:v>2.5567500000000001</c:v>
                </c:pt>
                <c:pt idx="16">
                  <c:v>2.6019300000000003</c:v>
                </c:pt>
                <c:pt idx="17">
                  <c:v>2.64642</c:v>
                </c:pt>
                <c:pt idx="18">
                  <c:v>2.6933400000000001</c:v>
                </c:pt>
                <c:pt idx="19">
                  <c:v>2.7417599999999998</c:v>
                </c:pt>
                <c:pt idx="20">
                  <c:v>2.78878</c:v>
                </c:pt>
                <c:pt idx="21">
                  <c:v>2.8349600000000001</c:v>
                </c:pt>
                <c:pt idx="22">
                  <c:v>2.8836499999999998</c:v>
                </c:pt>
                <c:pt idx="23">
                  <c:v>2.9310100000000001</c:v>
                </c:pt>
                <c:pt idx="24">
                  <c:v>2.9785599999999999</c:v>
                </c:pt>
                <c:pt idx="25">
                  <c:v>3.0240200000000002</c:v>
                </c:pt>
                <c:pt idx="26">
                  <c:v>3.0666500000000001</c:v>
                </c:pt>
                <c:pt idx="27">
                  <c:v>3.1071399999999998</c:v>
                </c:pt>
                <c:pt idx="28">
                  <c:v>3.1455499999999996</c:v>
                </c:pt>
                <c:pt idx="29">
                  <c:v>3.1829299999999998</c:v>
                </c:pt>
                <c:pt idx="30">
                  <c:v>3.2218499999999999</c:v>
                </c:pt>
                <c:pt idx="31">
                  <c:v>3.2609399999999997</c:v>
                </c:pt>
                <c:pt idx="32">
                  <c:v>3.29861</c:v>
                </c:pt>
                <c:pt idx="33">
                  <c:v>3.3339600000000003</c:v>
                </c:pt>
                <c:pt idx="34">
                  <c:v>3.3675500000000005</c:v>
                </c:pt>
                <c:pt idx="35">
                  <c:v>3.4001399999999999</c:v>
                </c:pt>
                <c:pt idx="36">
                  <c:v>3.43058</c:v>
                </c:pt>
                <c:pt idx="37">
                  <c:v>3.4592899999999998</c:v>
                </c:pt>
                <c:pt idx="38">
                  <c:v>3.4852799999999999</c:v>
                </c:pt>
                <c:pt idx="39">
                  <c:v>3.5080099999999996</c:v>
                </c:pt>
                <c:pt idx="40">
                  <c:v>3.5306100000000002</c:v>
                </c:pt>
                <c:pt idx="41">
                  <c:v>3.5529600000000001</c:v>
                </c:pt>
                <c:pt idx="42">
                  <c:v>3.5787999999999998</c:v>
                </c:pt>
                <c:pt idx="43">
                  <c:v>3.6052900000000001</c:v>
                </c:pt>
                <c:pt idx="44">
                  <c:v>3.63117</c:v>
                </c:pt>
                <c:pt idx="45">
                  <c:v>3.6567300000000005</c:v>
                </c:pt>
                <c:pt idx="46">
                  <c:v>3.6825000000000001</c:v>
                </c:pt>
                <c:pt idx="47">
                  <c:v>3.7055799999999999</c:v>
                </c:pt>
                <c:pt idx="48">
                  <c:v>3.72987</c:v>
                </c:pt>
                <c:pt idx="49">
                  <c:v>3.7532399999999999</c:v>
                </c:pt>
                <c:pt idx="50">
                  <c:v>3.7717700000000001</c:v>
                </c:pt>
                <c:pt idx="51">
                  <c:v>3.7996099999999999</c:v>
                </c:pt>
                <c:pt idx="52">
                  <c:v>3.82721</c:v>
                </c:pt>
                <c:pt idx="53">
                  <c:v>3.8528699999999998</c:v>
                </c:pt>
                <c:pt idx="54">
                  <c:v>3.8752399999999998</c:v>
                </c:pt>
                <c:pt idx="55">
                  <c:v>3.8970599999999997</c:v>
                </c:pt>
                <c:pt idx="56">
                  <c:v>3.9225900000000005</c:v>
                </c:pt>
                <c:pt idx="57">
                  <c:v>3.9416500000000001</c:v>
                </c:pt>
                <c:pt idx="58">
                  <c:v>3.9568199999999996</c:v>
                </c:pt>
                <c:pt idx="59">
                  <c:v>3.9683299999999999</c:v>
                </c:pt>
                <c:pt idx="60">
                  <c:v>3.97289</c:v>
                </c:pt>
                <c:pt idx="61">
                  <c:v>3.9803800000000003</c:v>
                </c:pt>
                <c:pt idx="62">
                  <c:v>3.9815699999999996</c:v>
                </c:pt>
                <c:pt idx="63">
                  <c:v>3.98123</c:v>
                </c:pt>
                <c:pt idx="64">
                  <c:v>3.9825700000000004</c:v>
                </c:pt>
                <c:pt idx="65">
                  <c:v>3.9808900000000005</c:v>
                </c:pt>
                <c:pt idx="66">
                  <c:v>3.9748999999999999</c:v>
                </c:pt>
                <c:pt idx="67">
                  <c:v>3.9506200000000002</c:v>
                </c:pt>
                <c:pt idx="68">
                  <c:v>3.9258900000000003</c:v>
                </c:pt>
                <c:pt idx="69">
                  <c:v>3.8995500000000001</c:v>
                </c:pt>
                <c:pt idx="70">
                  <c:v>3.8828499999999999</c:v>
                </c:pt>
                <c:pt idx="71">
                  <c:v>3.8437399999999999</c:v>
                </c:pt>
                <c:pt idx="72">
                  <c:v>3.8114500000000002</c:v>
                </c:pt>
                <c:pt idx="73">
                  <c:v>3.7877899999999998</c:v>
                </c:pt>
                <c:pt idx="74">
                  <c:v>3.7490800000000002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30.045000000000002</c:v>
                </c:pt>
                <c:pt idx="1">
                  <c:v>30.623000000000001</c:v>
                </c:pt>
                <c:pt idx="2">
                  <c:v>30.9971</c:v>
                </c:pt>
                <c:pt idx="3">
                  <c:v>31.371099999999998</c:v>
                </c:pt>
                <c:pt idx="4">
                  <c:v>31.7471</c:v>
                </c:pt>
                <c:pt idx="5">
                  <c:v>32.117400000000004</c:v>
                </c:pt>
                <c:pt idx="6">
                  <c:v>32.529200000000003</c:v>
                </c:pt>
                <c:pt idx="7">
                  <c:v>32.9358</c:v>
                </c:pt>
                <c:pt idx="8">
                  <c:v>33.340800000000002</c:v>
                </c:pt>
                <c:pt idx="9">
                  <c:v>33.744700000000002</c:v>
                </c:pt>
                <c:pt idx="10">
                  <c:v>34.152700000000003</c:v>
                </c:pt>
                <c:pt idx="11">
                  <c:v>34.562899999999999</c:v>
                </c:pt>
                <c:pt idx="12">
                  <c:v>34.966500000000003</c:v>
                </c:pt>
                <c:pt idx="13">
                  <c:v>35.371299999999998</c:v>
                </c:pt>
                <c:pt idx="14">
                  <c:v>35.776299999999999</c:v>
                </c:pt>
                <c:pt idx="15">
                  <c:v>36.185099999999998</c:v>
                </c:pt>
                <c:pt idx="16">
                  <c:v>36.589199999999998</c:v>
                </c:pt>
                <c:pt idx="17">
                  <c:v>36.997999999999998</c:v>
                </c:pt>
                <c:pt idx="18">
                  <c:v>37.4039</c:v>
                </c:pt>
                <c:pt idx="19">
                  <c:v>37.806800000000003</c:v>
                </c:pt>
                <c:pt idx="20">
                  <c:v>38.214799999999997</c:v>
                </c:pt>
                <c:pt idx="21">
                  <c:v>38.621600000000001</c:v>
                </c:pt>
                <c:pt idx="22">
                  <c:v>39.031399999999998</c:v>
                </c:pt>
                <c:pt idx="23">
                  <c:v>39.433399999999999</c:v>
                </c:pt>
                <c:pt idx="24">
                  <c:v>39.8384</c:v>
                </c:pt>
                <c:pt idx="25">
                  <c:v>40.249200000000002</c:v>
                </c:pt>
                <c:pt idx="26">
                  <c:v>40.648200000000003</c:v>
                </c:pt>
                <c:pt idx="27">
                  <c:v>41.060200000000002</c:v>
                </c:pt>
                <c:pt idx="28">
                  <c:v>41.464100000000002</c:v>
                </c:pt>
                <c:pt idx="29">
                  <c:v>41.871000000000002</c:v>
                </c:pt>
                <c:pt idx="30">
                  <c:v>42.277299999999997</c:v>
                </c:pt>
                <c:pt idx="31">
                  <c:v>42.686900000000001</c:v>
                </c:pt>
                <c:pt idx="32">
                  <c:v>43.087699999999998</c:v>
                </c:pt>
                <c:pt idx="33">
                  <c:v>43.497599999999998</c:v>
                </c:pt>
                <c:pt idx="34">
                  <c:v>43.898600000000002</c:v>
                </c:pt>
                <c:pt idx="35">
                  <c:v>44.307499999999997</c:v>
                </c:pt>
                <c:pt idx="36">
                  <c:v>44.718400000000003</c:v>
                </c:pt>
                <c:pt idx="37">
                  <c:v>45.122900000000001</c:v>
                </c:pt>
                <c:pt idx="38">
                  <c:v>45.526200000000003</c:v>
                </c:pt>
                <c:pt idx="39">
                  <c:v>45.934100000000001</c:v>
                </c:pt>
                <c:pt idx="40">
                  <c:v>46.339100000000002</c:v>
                </c:pt>
                <c:pt idx="41">
                  <c:v>46.746299999999998</c:v>
                </c:pt>
                <c:pt idx="42">
                  <c:v>47.152900000000002</c:v>
                </c:pt>
                <c:pt idx="43">
                  <c:v>47.559800000000003</c:v>
                </c:pt>
                <c:pt idx="44">
                  <c:v>47.963799999999999</c:v>
                </c:pt>
                <c:pt idx="45">
                  <c:v>48.369700000000002</c:v>
                </c:pt>
                <c:pt idx="46">
                  <c:v>48.777500000000003</c:v>
                </c:pt>
                <c:pt idx="47">
                  <c:v>49.185400000000001</c:v>
                </c:pt>
                <c:pt idx="48">
                  <c:v>49.592300000000002</c:v>
                </c:pt>
                <c:pt idx="49">
                  <c:v>49.995199999999997</c:v>
                </c:pt>
                <c:pt idx="50">
                  <c:v>50.403199999999998</c:v>
                </c:pt>
                <c:pt idx="51">
                  <c:v>50.810299999999998</c:v>
                </c:pt>
                <c:pt idx="52">
                  <c:v>51.216999999999999</c:v>
                </c:pt>
                <c:pt idx="53">
                  <c:v>51.621899999999997</c:v>
                </c:pt>
                <c:pt idx="54">
                  <c:v>52.025799999999997</c:v>
                </c:pt>
                <c:pt idx="55">
                  <c:v>52.4283</c:v>
                </c:pt>
                <c:pt idx="56">
                  <c:v>52.837699999999998</c:v>
                </c:pt>
                <c:pt idx="57">
                  <c:v>53.248600000000003</c:v>
                </c:pt>
                <c:pt idx="58">
                  <c:v>53.656599999999997</c:v>
                </c:pt>
                <c:pt idx="59">
                  <c:v>54.0593</c:v>
                </c:pt>
                <c:pt idx="60">
                  <c:v>54.464300000000001</c:v>
                </c:pt>
                <c:pt idx="61">
                  <c:v>54.869500000000002</c:v>
                </c:pt>
                <c:pt idx="62">
                  <c:v>55.280900000000003</c:v>
                </c:pt>
                <c:pt idx="63">
                  <c:v>55.685099999999998</c:v>
                </c:pt>
                <c:pt idx="64">
                  <c:v>56.091999999999999</c:v>
                </c:pt>
                <c:pt idx="65">
                  <c:v>56.496899999999997</c:v>
                </c:pt>
                <c:pt idx="66">
                  <c:v>56.901899999999998</c:v>
                </c:pt>
                <c:pt idx="67">
                  <c:v>57.310699999999997</c:v>
                </c:pt>
                <c:pt idx="68">
                  <c:v>57.7166</c:v>
                </c:pt>
                <c:pt idx="69">
                  <c:v>58.122500000000002</c:v>
                </c:pt>
                <c:pt idx="70">
                  <c:v>58.5274</c:v>
                </c:pt>
                <c:pt idx="71">
                  <c:v>58.929699999999997</c:v>
                </c:pt>
                <c:pt idx="72">
                  <c:v>59.342300000000002</c:v>
                </c:pt>
                <c:pt idx="73">
                  <c:v>59.746699999999997</c:v>
                </c:pt>
                <c:pt idx="74">
                  <c:v>60.152099999999997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3.7490800000000002</c:v>
                </c:pt>
                <c:pt idx="1">
                  <c:v>3.6950499999999997</c:v>
                </c:pt>
                <c:pt idx="2">
                  <c:v>3.6510100000000003</c:v>
                </c:pt>
                <c:pt idx="3">
                  <c:v>3.6090100000000005</c:v>
                </c:pt>
                <c:pt idx="4">
                  <c:v>3.5666399999999996</c:v>
                </c:pt>
                <c:pt idx="5">
                  <c:v>3.52569</c:v>
                </c:pt>
                <c:pt idx="6">
                  <c:v>3.4818799999999999</c:v>
                </c:pt>
                <c:pt idx="7">
                  <c:v>3.4389700000000003</c:v>
                </c:pt>
                <c:pt idx="8">
                  <c:v>3.4005700000000001</c:v>
                </c:pt>
                <c:pt idx="9">
                  <c:v>3.3691199999999997</c:v>
                </c:pt>
                <c:pt idx="10">
                  <c:v>3.3449299999999997</c:v>
                </c:pt>
                <c:pt idx="11">
                  <c:v>3.3231600000000001</c:v>
                </c:pt>
                <c:pt idx="12">
                  <c:v>3.3034599999999998</c:v>
                </c:pt>
                <c:pt idx="13">
                  <c:v>3.2877299999999998</c:v>
                </c:pt>
                <c:pt idx="14">
                  <c:v>3.2765499999999999</c:v>
                </c:pt>
                <c:pt idx="15">
                  <c:v>3.2710900000000001</c:v>
                </c:pt>
                <c:pt idx="16">
                  <c:v>3.2732299999999999</c:v>
                </c:pt>
                <c:pt idx="17">
                  <c:v>3.2781199999999999</c:v>
                </c:pt>
                <c:pt idx="18">
                  <c:v>3.2846399999999996</c:v>
                </c:pt>
                <c:pt idx="19">
                  <c:v>3.2898699999999996</c:v>
                </c:pt>
                <c:pt idx="20">
                  <c:v>3.2966099999999998</c:v>
                </c:pt>
                <c:pt idx="21">
                  <c:v>3.3079399999999999</c:v>
                </c:pt>
                <c:pt idx="22">
                  <c:v>3.32334</c:v>
                </c:pt>
                <c:pt idx="23">
                  <c:v>3.3431600000000001</c:v>
                </c:pt>
                <c:pt idx="24">
                  <c:v>3.3650899999999999</c:v>
                </c:pt>
                <c:pt idx="25">
                  <c:v>3.3896100000000002</c:v>
                </c:pt>
                <c:pt idx="26">
                  <c:v>3.4131099999999996</c:v>
                </c:pt>
                <c:pt idx="27">
                  <c:v>3.4412900000000004</c:v>
                </c:pt>
                <c:pt idx="28">
                  <c:v>3.47051</c:v>
                </c:pt>
                <c:pt idx="29">
                  <c:v>3.5043099999999998</c:v>
                </c:pt>
                <c:pt idx="30">
                  <c:v>3.5342000000000002</c:v>
                </c:pt>
                <c:pt idx="31">
                  <c:v>3.5610300000000001</c:v>
                </c:pt>
                <c:pt idx="32">
                  <c:v>3.5880200000000002</c:v>
                </c:pt>
                <c:pt idx="33">
                  <c:v>3.61355</c:v>
                </c:pt>
                <c:pt idx="34">
                  <c:v>3.6407099999999999</c:v>
                </c:pt>
                <c:pt idx="35">
                  <c:v>3.6628100000000003</c:v>
                </c:pt>
                <c:pt idx="36">
                  <c:v>3.6852</c:v>
                </c:pt>
                <c:pt idx="37">
                  <c:v>3.7057200000000003</c:v>
                </c:pt>
                <c:pt idx="38">
                  <c:v>3.72404</c:v>
                </c:pt>
                <c:pt idx="39">
                  <c:v>3.7398400000000001</c:v>
                </c:pt>
                <c:pt idx="40">
                  <c:v>3.7542499999999999</c:v>
                </c:pt>
                <c:pt idx="41">
                  <c:v>3.7685200000000001</c:v>
                </c:pt>
                <c:pt idx="42">
                  <c:v>3.78247</c:v>
                </c:pt>
                <c:pt idx="43">
                  <c:v>3.7994299999999996</c:v>
                </c:pt>
                <c:pt idx="44">
                  <c:v>3.8192599999999999</c:v>
                </c:pt>
                <c:pt idx="45">
                  <c:v>3.8375700000000004</c:v>
                </c:pt>
                <c:pt idx="46">
                  <c:v>3.8531</c:v>
                </c:pt>
                <c:pt idx="47">
                  <c:v>3.8689600000000004</c:v>
                </c:pt>
                <c:pt idx="48">
                  <c:v>3.8880500000000002</c:v>
                </c:pt>
                <c:pt idx="49">
                  <c:v>3.90984</c:v>
                </c:pt>
                <c:pt idx="50">
                  <c:v>3.9245200000000002</c:v>
                </c:pt>
                <c:pt idx="51">
                  <c:v>3.93452</c:v>
                </c:pt>
                <c:pt idx="52">
                  <c:v>3.9424100000000002</c:v>
                </c:pt>
                <c:pt idx="53">
                  <c:v>3.9502199999999998</c:v>
                </c:pt>
                <c:pt idx="54">
                  <c:v>3.9549499999999997</c:v>
                </c:pt>
                <c:pt idx="55">
                  <c:v>3.96258</c:v>
                </c:pt>
                <c:pt idx="56">
                  <c:v>3.97383</c:v>
                </c:pt>
                <c:pt idx="57">
                  <c:v>3.9842499999999998</c:v>
                </c:pt>
                <c:pt idx="58">
                  <c:v>3.9941300000000002</c:v>
                </c:pt>
                <c:pt idx="59">
                  <c:v>3.9985300000000001</c:v>
                </c:pt>
                <c:pt idx="60">
                  <c:v>4.0060099999999998</c:v>
                </c:pt>
                <c:pt idx="61">
                  <c:v>4.0143800000000001</c:v>
                </c:pt>
                <c:pt idx="62">
                  <c:v>4.0263999999999998</c:v>
                </c:pt>
                <c:pt idx="63">
                  <c:v>4.0421800000000001</c:v>
                </c:pt>
                <c:pt idx="64">
                  <c:v>4.0591799999999996</c:v>
                </c:pt>
                <c:pt idx="65">
                  <c:v>4.0738400000000006</c:v>
                </c:pt>
                <c:pt idx="66">
                  <c:v>4.08256</c:v>
                </c:pt>
                <c:pt idx="67">
                  <c:v>4.09307</c:v>
                </c:pt>
                <c:pt idx="68">
                  <c:v>4.0993899999999996</c:v>
                </c:pt>
                <c:pt idx="69">
                  <c:v>4.10297</c:v>
                </c:pt>
                <c:pt idx="70">
                  <c:v>4.1116599999999996</c:v>
                </c:pt>
                <c:pt idx="71">
                  <c:v>4.1308800000000003</c:v>
                </c:pt>
                <c:pt idx="72">
                  <c:v>4.1629899999999997</c:v>
                </c:pt>
                <c:pt idx="73">
                  <c:v>4.1841600000000003</c:v>
                </c:pt>
                <c:pt idx="74">
                  <c:v>4.1593400000000003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15.038024999999999</c:v>
                </c:pt>
                <c:pt idx="1">
                  <c:v>45.114075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3.2445367567567573</c:v>
                </c:pt>
                <c:pt idx="1">
                  <c:v>3.7002831081081085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0.383936</c:v>
                </c:pt>
                <c:pt idx="2">
                  <c:v>0.79484600000000005</c:v>
                </c:pt>
                <c:pt idx="3">
                  <c:v>1.2047600000000001</c:v>
                </c:pt>
                <c:pt idx="4">
                  <c:v>1.6096699999999999</c:v>
                </c:pt>
                <c:pt idx="5">
                  <c:v>2.01362</c:v>
                </c:pt>
                <c:pt idx="6">
                  <c:v>2.41879</c:v>
                </c:pt>
                <c:pt idx="7">
                  <c:v>2.8207</c:v>
                </c:pt>
                <c:pt idx="8">
                  <c:v>3.2344599999999999</c:v>
                </c:pt>
                <c:pt idx="9">
                  <c:v>3.63917</c:v>
                </c:pt>
                <c:pt idx="10">
                  <c:v>4.0441000000000003</c:v>
                </c:pt>
                <c:pt idx="11">
                  <c:v>4.4503599999999999</c:v>
                </c:pt>
                <c:pt idx="12">
                  <c:v>4.8579499999999998</c:v>
                </c:pt>
                <c:pt idx="13">
                  <c:v>5.2668799999999996</c:v>
                </c:pt>
                <c:pt idx="14">
                  <c:v>5.6653599999999997</c:v>
                </c:pt>
                <c:pt idx="15">
                  <c:v>6.0766400000000003</c:v>
                </c:pt>
                <c:pt idx="16">
                  <c:v>6.4805299999999999</c:v>
                </c:pt>
                <c:pt idx="17">
                  <c:v>6.8945299999999996</c:v>
                </c:pt>
                <c:pt idx="18">
                  <c:v>7.2965400000000002</c:v>
                </c:pt>
                <c:pt idx="19">
                  <c:v>7.70533</c:v>
                </c:pt>
                <c:pt idx="20">
                  <c:v>8.1062499999999993</c:v>
                </c:pt>
                <c:pt idx="21">
                  <c:v>8.5123200000000008</c:v>
                </c:pt>
                <c:pt idx="22">
                  <c:v>8.9182699999999997</c:v>
                </c:pt>
                <c:pt idx="23">
                  <c:v>9.3219899999999996</c:v>
                </c:pt>
                <c:pt idx="24">
                  <c:v>9.7319899999999997</c:v>
                </c:pt>
                <c:pt idx="25">
                  <c:v>10.1358</c:v>
                </c:pt>
                <c:pt idx="26">
                  <c:v>10.541700000000001</c:v>
                </c:pt>
                <c:pt idx="27">
                  <c:v>10.946099999999999</c:v>
                </c:pt>
                <c:pt idx="28">
                  <c:v>11.3575</c:v>
                </c:pt>
                <c:pt idx="29">
                  <c:v>11.76</c:v>
                </c:pt>
                <c:pt idx="30">
                  <c:v>12.167400000000001</c:v>
                </c:pt>
                <c:pt idx="31">
                  <c:v>12.5723</c:v>
                </c:pt>
                <c:pt idx="32">
                  <c:v>12.9762</c:v>
                </c:pt>
                <c:pt idx="33">
                  <c:v>13.386100000000001</c:v>
                </c:pt>
                <c:pt idx="34">
                  <c:v>13.7964</c:v>
                </c:pt>
                <c:pt idx="35">
                  <c:v>14.199</c:v>
                </c:pt>
                <c:pt idx="36">
                  <c:v>14.604799999999999</c:v>
                </c:pt>
                <c:pt idx="37">
                  <c:v>15.010199999999999</c:v>
                </c:pt>
                <c:pt idx="38">
                  <c:v>15.414099999999999</c:v>
                </c:pt>
                <c:pt idx="39">
                  <c:v>15.8256</c:v>
                </c:pt>
                <c:pt idx="40">
                  <c:v>16.232099999999999</c:v>
                </c:pt>
                <c:pt idx="41">
                  <c:v>16.6374</c:v>
                </c:pt>
                <c:pt idx="42">
                  <c:v>17.043500000000002</c:v>
                </c:pt>
                <c:pt idx="43">
                  <c:v>17.445699999999999</c:v>
                </c:pt>
                <c:pt idx="44">
                  <c:v>17.854199999999999</c:v>
                </c:pt>
                <c:pt idx="45">
                  <c:v>18.2622</c:v>
                </c:pt>
                <c:pt idx="46">
                  <c:v>18.667999999999999</c:v>
                </c:pt>
                <c:pt idx="47">
                  <c:v>19.074400000000001</c:v>
                </c:pt>
                <c:pt idx="48">
                  <c:v>19.4818</c:v>
                </c:pt>
                <c:pt idx="49">
                  <c:v>19.8888</c:v>
                </c:pt>
                <c:pt idx="50">
                  <c:v>20.296800000000001</c:v>
                </c:pt>
                <c:pt idx="51">
                  <c:v>20.698599999999999</c:v>
                </c:pt>
                <c:pt idx="52">
                  <c:v>21.102499999999999</c:v>
                </c:pt>
                <c:pt idx="53">
                  <c:v>21.5106</c:v>
                </c:pt>
                <c:pt idx="54">
                  <c:v>21.920400000000001</c:v>
                </c:pt>
                <c:pt idx="55">
                  <c:v>22.324300000000001</c:v>
                </c:pt>
                <c:pt idx="56">
                  <c:v>22.732199999999999</c:v>
                </c:pt>
                <c:pt idx="57">
                  <c:v>23.135000000000002</c:v>
                </c:pt>
                <c:pt idx="58">
                  <c:v>23.543099999999999</c:v>
                </c:pt>
                <c:pt idx="59">
                  <c:v>23.950900000000001</c:v>
                </c:pt>
                <c:pt idx="60">
                  <c:v>24.357800000000001</c:v>
                </c:pt>
                <c:pt idx="61">
                  <c:v>24.7607</c:v>
                </c:pt>
                <c:pt idx="62">
                  <c:v>25.165600000000001</c:v>
                </c:pt>
                <c:pt idx="63">
                  <c:v>25.573699999999999</c:v>
                </c:pt>
                <c:pt idx="64">
                  <c:v>25.979800000000001</c:v>
                </c:pt>
                <c:pt idx="65">
                  <c:v>26.3874</c:v>
                </c:pt>
                <c:pt idx="66">
                  <c:v>26.7943</c:v>
                </c:pt>
                <c:pt idx="67">
                  <c:v>27.199200000000001</c:v>
                </c:pt>
                <c:pt idx="68">
                  <c:v>27.607099999999999</c:v>
                </c:pt>
                <c:pt idx="69">
                  <c:v>28.009499999999999</c:v>
                </c:pt>
                <c:pt idx="70">
                  <c:v>28.417000000000002</c:v>
                </c:pt>
                <c:pt idx="71">
                  <c:v>28.826799999999999</c:v>
                </c:pt>
                <c:pt idx="72">
                  <c:v>29.23</c:v>
                </c:pt>
                <c:pt idx="73">
                  <c:v>29.6327</c:v>
                </c:pt>
                <c:pt idx="74">
                  <c:v>30.045000000000002</c:v>
                </c:pt>
                <c:pt idx="75">
                  <c:v>30.623000000000001</c:v>
                </c:pt>
                <c:pt idx="76">
                  <c:v>30.9971</c:v>
                </c:pt>
                <c:pt idx="77">
                  <c:v>31.371099999999998</c:v>
                </c:pt>
                <c:pt idx="78">
                  <c:v>31.7471</c:v>
                </c:pt>
                <c:pt idx="79">
                  <c:v>32.117400000000004</c:v>
                </c:pt>
                <c:pt idx="80">
                  <c:v>32.529200000000003</c:v>
                </c:pt>
                <c:pt idx="81">
                  <c:v>32.9358</c:v>
                </c:pt>
                <c:pt idx="82">
                  <c:v>33.340800000000002</c:v>
                </c:pt>
                <c:pt idx="83">
                  <c:v>33.744700000000002</c:v>
                </c:pt>
                <c:pt idx="84">
                  <c:v>34.152700000000003</c:v>
                </c:pt>
                <c:pt idx="85">
                  <c:v>34.562899999999999</c:v>
                </c:pt>
                <c:pt idx="86">
                  <c:v>34.966500000000003</c:v>
                </c:pt>
                <c:pt idx="87">
                  <c:v>35.371299999999998</c:v>
                </c:pt>
                <c:pt idx="88">
                  <c:v>35.776299999999999</c:v>
                </c:pt>
                <c:pt idx="89">
                  <c:v>36.185099999999998</c:v>
                </c:pt>
                <c:pt idx="90">
                  <c:v>36.589199999999998</c:v>
                </c:pt>
                <c:pt idx="91">
                  <c:v>36.997999999999998</c:v>
                </c:pt>
                <c:pt idx="92">
                  <c:v>37.4039</c:v>
                </c:pt>
                <c:pt idx="93">
                  <c:v>37.806800000000003</c:v>
                </c:pt>
                <c:pt idx="94">
                  <c:v>38.214799999999997</c:v>
                </c:pt>
                <c:pt idx="95">
                  <c:v>38.621600000000001</c:v>
                </c:pt>
                <c:pt idx="96">
                  <c:v>39.031399999999998</c:v>
                </c:pt>
                <c:pt idx="97">
                  <c:v>39.433399999999999</c:v>
                </c:pt>
                <c:pt idx="98">
                  <c:v>39.8384</c:v>
                </c:pt>
                <c:pt idx="99">
                  <c:v>40.249200000000002</c:v>
                </c:pt>
                <c:pt idx="100">
                  <c:v>40.648200000000003</c:v>
                </c:pt>
                <c:pt idx="101">
                  <c:v>41.060200000000002</c:v>
                </c:pt>
                <c:pt idx="102">
                  <c:v>41.464100000000002</c:v>
                </c:pt>
                <c:pt idx="103">
                  <c:v>41.871000000000002</c:v>
                </c:pt>
                <c:pt idx="104">
                  <c:v>42.277299999999997</c:v>
                </c:pt>
                <c:pt idx="105">
                  <c:v>42.686900000000001</c:v>
                </c:pt>
                <c:pt idx="106">
                  <c:v>43.087699999999998</c:v>
                </c:pt>
                <c:pt idx="107">
                  <c:v>43.497599999999998</c:v>
                </c:pt>
                <c:pt idx="108">
                  <c:v>43.898600000000002</c:v>
                </c:pt>
                <c:pt idx="109">
                  <c:v>44.307499999999997</c:v>
                </c:pt>
                <c:pt idx="110">
                  <c:v>44.718400000000003</c:v>
                </c:pt>
                <c:pt idx="111">
                  <c:v>45.122900000000001</c:v>
                </c:pt>
                <c:pt idx="112">
                  <c:v>45.526200000000003</c:v>
                </c:pt>
                <c:pt idx="113">
                  <c:v>45.934100000000001</c:v>
                </c:pt>
                <c:pt idx="114">
                  <c:v>46.339100000000002</c:v>
                </c:pt>
                <c:pt idx="115">
                  <c:v>46.746299999999998</c:v>
                </c:pt>
                <c:pt idx="116">
                  <c:v>47.152900000000002</c:v>
                </c:pt>
                <c:pt idx="117">
                  <c:v>47.559800000000003</c:v>
                </c:pt>
                <c:pt idx="118">
                  <c:v>47.963799999999999</c:v>
                </c:pt>
                <c:pt idx="119">
                  <c:v>48.369700000000002</c:v>
                </c:pt>
                <c:pt idx="120">
                  <c:v>48.777500000000003</c:v>
                </c:pt>
                <c:pt idx="121">
                  <c:v>49.185400000000001</c:v>
                </c:pt>
                <c:pt idx="122">
                  <c:v>49.592300000000002</c:v>
                </c:pt>
                <c:pt idx="123">
                  <c:v>49.995199999999997</c:v>
                </c:pt>
                <c:pt idx="124">
                  <c:v>50.403199999999998</c:v>
                </c:pt>
                <c:pt idx="125">
                  <c:v>50.810299999999998</c:v>
                </c:pt>
                <c:pt idx="126">
                  <c:v>51.216999999999999</c:v>
                </c:pt>
                <c:pt idx="127">
                  <c:v>51.621899999999997</c:v>
                </c:pt>
                <c:pt idx="128">
                  <c:v>52.025799999999997</c:v>
                </c:pt>
                <c:pt idx="129">
                  <c:v>52.4283</c:v>
                </c:pt>
                <c:pt idx="130">
                  <c:v>52.837699999999998</c:v>
                </c:pt>
                <c:pt idx="131">
                  <c:v>53.248600000000003</c:v>
                </c:pt>
                <c:pt idx="132">
                  <c:v>53.656599999999997</c:v>
                </c:pt>
                <c:pt idx="133">
                  <c:v>54.0593</c:v>
                </c:pt>
                <c:pt idx="134">
                  <c:v>54.464300000000001</c:v>
                </c:pt>
                <c:pt idx="135">
                  <c:v>54.869500000000002</c:v>
                </c:pt>
                <c:pt idx="136">
                  <c:v>55.280900000000003</c:v>
                </c:pt>
                <c:pt idx="137">
                  <c:v>55.685099999999998</c:v>
                </c:pt>
                <c:pt idx="138">
                  <c:v>56.091999999999999</c:v>
                </c:pt>
                <c:pt idx="139">
                  <c:v>56.496899999999997</c:v>
                </c:pt>
                <c:pt idx="140">
                  <c:v>56.901899999999998</c:v>
                </c:pt>
                <c:pt idx="141">
                  <c:v>57.310699999999997</c:v>
                </c:pt>
                <c:pt idx="142">
                  <c:v>57.7166</c:v>
                </c:pt>
                <c:pt idx="143">
                  <c:v>58.122500000000002</c:v>
                </c:pt>
                <c:pt idx="144">
                  <c:v>58.5274</c:v>
                </c:pt>
                <c:pt idx="145">
                  <c:v>58.929699999999997</c:v>
                </c:pt>
                <c:pt idx="146">
                  <c:v>59.342300000000002</c:v>
                </c:pt>
                <c:pt idx="147">
                  <c:v>59.746699999999997</c:v>
                </c:pt>
                <c:pt idx="148">
                  <c:v>60.152099999999997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60.217100000000002</c:v>
                </c:pt>
                <c:pt idx="1">
                  <c:v>59.461399999999998</c:v>
                </c:pt>
                <c:pt idx="2">
                  <c:v>58.620700000000006</c:v>
                </c:pt>
                <c:pt idx="3">
                  <c:v>57.644600000000004</c:v>
                </c:pt>
                <c:pt idx="4">
                  <c:v>56.542800000000007</c:v>
                </c:pt>
                <c:pt idx="5">
                  <c:v>55.475499999999997</c:v>
                </c:pt>
                <c:pt idx="6">
                  <c:v>54.384900000000002</c:v>
                </c:pt>
                <c:pt idx="7">
                  <c:v>53.274900000000002</c:v>
                </c:pt>
                <c:pt idx="8">
                  <c:v>52.090299999999999</c:v>
                </c:pt>
                <c:pt idx="9">
                  <c:v>50.836199999999998</c:v>
                </c:pt>
                <c:pt idx="10">
                  <c:v>49.5184</c:v>
                </c:pt>
                <c:pt idx="11">
                  <c:v>48.176499999999997</c:v>
                </c:pt>
                <c:pt idx="12">
                  <c:v>46.813300000000005</c:v>
                </c:pt>
                <c:pt idx="13">
                  <c:v>45.518099999999997</c:v>
                </c:pt>
                <c:pt idx="14">
                  <c:v>44.293999999999997</c:v>
                </c:pt>
                <c:pt idx="15">
                  <c:v>43.133099999999999</c:v>
                </c:pt>
                <c:pt idx="16">
                  <c:v>42.072099999999999</c:v>
                </c:pt>
                <c:pt idx="17">
                  <c:v>41.136800000000001</c:v>
                </c:pt>
                <c:pt idx="18">
                  <c:v>40.2714</c:v>
                </c:pt>
                <c:pt idx="19">
                  <c:v>39.5062</c:v>
                </c:pt>
                <c:pt idx="20">
                  <c:v>38.917099999999998</c:v>
                </c:pt>
                <c:pt idx="21">
                  <c:v>38.415199999999999</c:v>
                </c:pt>
                <c:pt idx="22">
                  <c:v>37.913200000000003</c:v>
                </c:pt>
                <c:pt idx="23">
                  <c:v>37.489400000000003</c:v>
                </c:pt>
                <c:pt idx="24">
                  <c:v>37.081199999999995</c:v>
                </c:pt>
                <c:pt idx="25">
                  <c:v>36.790900000000001</c:v>
                </c:pt>
                <c:pt idx="26">
                  <c:v>36.618600000000001</c:v>
                </c:pt>
                <c:pt idx="27">
                  <c:v>36.522799999999997</c:v>
                </c:pt>
                <c:pt idx="28">
                  <c:v>36.4741</c:v>
                </c:pt>
                <c:pt idx="29">
                  <c:v>36.452100000000002</c:v>
                </c:pt>
                <c:pt idx="30">
                  <c:v>36.412800000000004</c:v>
                </c:pt>
                <c:pt idx="31">
                  <c:v>36.409999999999997</c:v>
                </c:pt>
                <c:pt idx="32">
                  <c:v>36.468499999999999</c:v>
                </c:pt>
                <c:pt idx="33">
                  <c:v>36.570700000000002</c:v>
                </c:pt>
                <c:pt idx="34">
                  <c:v>36.627900000000004</c:v>
                </c:pt>
                <c:pt idx="35">
                  <c:v>36.639699999999998</c:v>
                </c:pt>
                <c:pt idx="36">
                  <c:v>36.624400000000001</c:v>
                </c:pt>
                <c:pt idx="37">
                  <c:v>36.633900000000004</c:v>
                </c:pt>
                <c:pt idx="38">
                  <c:v>36.640499999999996</c:v>
                </c:pt>
                <c:pt idx="39">
                  <c:v>36.674599999999998</c:v>
                </c:pt>
                <c:pt idx="40">
                  <c:v>36.7316</c:v>
                </c:pt>
                <c:pt idx="41">
                  <c:v>36.781700000000001</c:v>
                </c:pt>
                <c:pt idx="42">
                  <c:v>36.7545</c:v>
                </c:pt>
                <c:pt idx="43">
                  <c:v>36.640900000000002</c:v>
                </c:pt>
                <c:pt idx="44">
                  <c:v>36.454799999999999</c:v>
                </c:pt>
                <c:pt idx="45">
                  <c:v>36.204599999999999</c:v>
                </c:pt>
                <c:pt idx="46">
                  <c:v>35.909500000000001</c:v>
                </c:pt>
                <c:pt idx="47">
                  <c:v>35.604599999999998</c:v>
                </c:pt>
                <c:pt idx="48">
                  <c:v>35.290999999999997</c:v>
                </c:pt>
                <c:pt idx="49">
                  <c:v>35.039000000000001</c:v>
                </c:pt>
                <c:pt idx="50">
                  <c:v>34.833599999999997</c:v>
                </c:pt>
                <c:pt idx="51">
                  <c:v>34.525399999999998</c:v>
                </c:pt>
                <c:pt idx="52">
                  <c:v>34.2515</c:v>
                </c:pt>
                <c:pt idx="53">
                  <c:v>34.027000000000001</c:v>
                </c:pt>
                <c:pt idx="54">
                  <c:v>33.842299999999994</c:v>
                </c:pt>
                <c:pt idx="55">
                  <c:v>33.607100000000003</c:v>
                </c:pt>
                <c:pt idx="56">
                  <c:v>33.369799999999998</c:v>
                </c:pt>
                <c:pt idx="57">
                  <c:v>33.250700000000002</c:v>
                </c:pt>
                <c:pt idx="58">
                  <c:v>33.169699999999999</c:v>
                </c:pt>
                <c:pt idx="59">
                  <c:v>33.187100000000001</c:v>
                </c:pt>
                <c:pt idx="60">
                  <c:v>33.289499999999997</c:v>
                </c:pt>
                <c:pt idx="61">
                  <c:v>33.337899999999998</c:v>
                </c:pt>
                <c:pt idx="62">
                  <c:v>33.472700000000003</c:v>
                </c:pt>
                <c:pt idx="63">
                  <c:v>33.610199999999999</c:v>
                </c:pt>
                <c:pt idx="64">
                  <c:v>33.776400000000002</c:v>
                </c:pt>
                <c:pt idx="65">
                  <c:v>33.910699999999999</c:v>
                </c:pt>
                <c:pt idx="66">
                  <c:v>34.042099999999998</c:v>
                </c:pt>
                <c:pt idx="67">
                  <c:v>34.244900000000001</c:v>
                </c:pt>
                <c:pt idx="68">
                  <c:v>34.364699999999999</c:v>
                </c:pt>
                <c:pt idx="69">
                  <c:v>34.491</c:v>
                </c:pt>
                <c:pt idx="70">
                  <c:v>34.591000000000001</c:v>
                </c:pt>
                <c:pt idx="71">
                  <c:v>34.769599999999997</c:v>
                </c:pt>
                <c:pt idx="72">
                  <c:v>34.900700000000001</c:v>
                </c:pt>
                <c:pt idx="73">
                  <c:v>35.069699999999997</c:v>
                </c:pt>
                <c:pt idx="74">
                  <c:v>35.269500000000001</c:v>
                </c:pt>
                <c:pt idx="75">
                  <c:v>35.688199999999995</c:v>
                </c:pt>
                <c:pt idx="76">
                  <c:v>36.163899999999998</c:v>
                </c:pt>
                <c:pt idx="77">
                  <c:v>36.663600000000002</c:v>
                </c:pt>
                <c:pt idx="78">
                  <c:v>37.243300000000005</c:v>
                </c:pt>
                <c:pt idx="79">
                  <c:v>37.967300000000002</c:v>
                </c:pt>
                <c:pt idx="80">
                  <c:v>38.876100000000001</c:v>
                </c:pt>
                <c:pt idx="81">
                  <c:v>39.903199999999998</c:v>
                </c:pt>
                <c:pt idx="82">
                  <c:v>40.965299999999999</c:v>
                </c:pt>
                <c:pt idx="83">
                  <c:v>41.966900000000003</c:v>
                </c:pt>
                <c:pt idx="84">
                  <c:v>42.912599999999998</c:v>
                </c:pt>
                <c:pt idx="85">
                  <c:v>43.8294</c:v>
                </c:pt>
                <c:pt idx="86">
                  <c:v>44.696999999999996</c:v>
                </c:pt>
                <c:pt idx="87">
                  <c:v>45.4831</c:v>
                </c:pt>
                <c:pt idx="88">
                  <c:v>46.216900000000003</c:v>
                </c:pt>
                <c:pt idx="89">
                  <c:v>46.872300000000003</c:v>
                </c:pt>
                <c:pt idx="90">
                  <c:v>47.3354</c:v>
                </c:pt>
                <c:pt idx="91">
                  <c:v>47.6907</c:v>
                </c:pt>
                <c:pt idx="92">
                  <c:v>47.989800000000002</c:v>
                </c:pt>
                <c:pt idx="93">
                  <c:v>48.282599999999995</c:v>
                </c:pt>
                <c:pt idx="94">
                  <c:v>48.588099999999997</c:v>
                </c:pt>
                <c:pt idx="95">
                  <c:v>48.898299999999999</c:v>
                </c:pt>
                <c:pt idx="96">
                  <c:v>49.238999999999997</c:v>
                </c:pt>
                <c:pt idx="97">
                  <c:v>49.502499999999998</c:v>
                </c:pt>
                <c:pt idx="98">
                  <c:v>49.7592</c:v>
                </c:pt>
                <c:pt idx="99">
                  <c:v>50.007000000000005</c:v>
                </c:pt>
                <c:pt idx="100">
                  <c:v>50.238499999999995</c:v>
                </c:pt>
                <c:pt idx="101">
                  <c:v>50.428600000000003</c:v>
                </c:pt>
                <c:pt idx="102">
                  <c:v>50.6374</c:v>
                </c:pt>
                <c:pt idx="103">
                  <c:v>50.739500000000007</c:v>
                </c:pt>
                <c:pt idx="104">
                  <c:v>50.853099999999998</c:v>
                </c:pt>
                <c:pt idx="105">
                  <c:v>50.998699999999999</c:v>
                </c:pt>
                <c:pt idx="106">
                  <c:v>51.072700000000005</c:v>
                </c:pt>
                <c:pt idx="107">
                  <c:v>51.09</c:v>
                </c:pt>
                <c:pt idx="108">
                  <c:v>50.973199999999999</c:v>
                </c:pt>
                <c:pt idx="109">
                  <c:v>50.888300000000001</c:v>
                </c:pt>
                <c:pt idx="110">
                  <c:v>50.7958</c:v>
                </c:pt>
                <c:pt idx="111">
                  <c:v>50.768899999999995</c:v>
                </c:pt>
                <c:pt idx="112">
                  <c:v>50.732900000000001</c:v>
                </c:pt>
                <c:pt idx="113">
                  <c:v>50.675400000000003</c:v>
                </c:pt>
                <c:pt idx="114">
                  <c:v>50.508299999999991</c:v>
                </c:pt>
                <c:pt idx="115">
                  <c:v>50.244</c:v>
                </c:pt>
                <c:pt idx="116">
                  <c:v>49.983600000000003</c:v>
                </c:pt>
                <c:pt idx="117">
                  <c:v>49.703399999999995</c:v>
                </c:pt>
                <c:pt idx="118">
                  <c:v>49.404199999999996</c:v>
                </c:pt>
                <c:pt idx="119">
                  <c:v>49.207299999999996</c:v>
                </c:pt>
                <c:pt idx="120">
                  <c:v>49.0212</c:v>
                </c:pt>
                <c:pt idx="121">
                  <c:v>48.835499999999996</c:v>
                </c:pt>
                <c:pt idx="122">
                  <c:v>48.616500000000002</c:v>
                </c:pt>
                <c:pt idx="123">
                  <c:v>48.353299999999997</c:v>
                </c:pt>
                <c:pt idx="124">
                  <c:v>48.214500000000001</c:v>
                </c:pt>
                <c:pt idx="125">
                  <c:v>48.136000000000003</c:v>
                </c:pt>
                <c:pt idx="126">
                  <c:v>48.036299999999997</c:v>
                </c:pt>
                <c:pt idx="127">
                  <c:v>47.903199999999998</c:v>
                </c:pt>
                <c:pt idx="128">
                  <c:v>47.779700000000005</c:v>
                </c:pt>
                <c:pt idx="129">
                  <c:v>47.680199999999999</c:v>
                </c:pt>
                <c:pt idx="130">
                  <c:v>47.5929</c:v>
                </c:pt>
                <c:pt idx="131">
                  <c:v>47.520099999999999</c:v>
                </c:pt>
                <c:pt idx="132">
                  <c:v>47.453400000000002</c:v>
                </c:pt>
                <c:pt idx="133">
                  <c:v>47.3949</c:v>
                </c:pt>
                <c:pt idx="134">
                  <c:v>47.297899999999998</c:v>
                </c:pt>
                <c:pt idx="135">
                  <c:v>47.204900000000002</c:v>
                </c:pt>
                <c:pt idx="136">
                  <c:v>47.0623</c:v>
                </c:pt>
                <c:pt idx="137">
                  <c:v>46.9542</c:v>
                </c:pt>
                <c:pt idx="138">
                  <c:v>46.854199999999999</c:v>
                </c:pt>
                <c:pt idx="139">
                  <c:v>46.835799999999999</c:v>
                </c:pt>
                <c:pt idx="140">
                  <c:v>46.877299999999998</c:v>
                </c:pt>
                <c:pt idx="141">
                  <c:v>46.940100000000001</c:v>
                </c:pt>
                <c:pt idx="142">
                  <c:v>47.006900000000002</c:v>
                </c:pt>
                <c:pt idx="143">
                  <c:v>47.236800000000002</c:v>
                </c:pt>
                <c:pt idx="144">
                  <c:v>47.292299999999997</c:v>
                </c:pt>
                <c:pt idx="145">
                  <c:v>47.238700000000001</c:v>
                </c:pt>
                <c:pt idx="146">
                  <c:v>47.103200000000001</c:v>
                </c:pt>
                <c:pt idx="147">
                  <c:v>47.027700000000003</c:v>
                </c:pt>
                <c:pt idx="148">
                  <c:v>47.6126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0.383936</c:v>
                </c:pt>
                <c:pt idx="2">
                  <c:v>0.79484600000000005</c:v>
                </c:pt>
                <c:pt idx="3">
                  <c:v>1.2047600000000001</c:v>
                </c:pt>
                <c:pt idx="4">
                  <c:v>1.6096699999999999</c:v>
                </c:pt>
                <c:pt idx="5">
                  <c:v>2.01362</c:v>
                </c:pt>
                <c:pt idx="6">
                  <c:v>2.41879</c:v>
                </c:pt>
                <c:pt idx="7">
                  <c:v>2.8207</c:v>
                </c:pt>
                <c:pt idx="8">
                  <c:v>3.2344599999999999</c:v>
                </c:pt>
                <c:pt idx="9">
                  <c:v>3.63917</c:v>
                </c:pt>
                <c:pt idx="10">
                  <c:v>4.0441000000000003</c:v>
                </c:pt>
                <c:pt idx="11">
                  <c:v>4.4503599999999999</c:v>
                </c:pt>
                <c:pt idx="12">
                  <c:v>4.8579499999999998</c:v>
                </c:pt>
                <c:pt idx="13">
                  <c:v>5.2668799999999996</c:v>
                </c:pt>
                <c:pt idx="14">
                  <c:v>5.6653599999999997</c:v>
                </c:pt>
                <c:pt idx="15">
                  <c:v>6.0766400000000003</c:v>
                </c:pt>
                <c:pt idx="16">
                  <c:v>6.4805299999999999</c:v>
                </c:pt>
                <c:pt idx="17">
                  <c:v>6.8945299999999996</c:v>
                </c:pt>
                <c:pt idx="18">
                  <c:v>7.2965400000000002</c:v>
                </c:pt>
                <c:pt idx="19">
                  <c:v>7.70533</c:v>
                </c:pt>
                <c:pt idx="20">
                  <c:v>8.1062499999999993</c:v>
                </c:pt>
                <c:pt idx="21">
                  <c:v>8.5123200000000008</c:v>
                </c:pt>
                <c:pt idx="22">
                  <c:v>8.9182699999999997</c:v>
                </c:pt>
                <c:pt idx="23">
                  <c:v>9.3219899999999996</c:v>
                </c:pt>
                <c:pt idx="24">
                  <c:v>9.7319899999999997</c:v>
                </c:pt>
                <c:pt idx="25">
                  <c:v>10.1358</c:v>
                </c:pt>
                <c:pt idx="26">
                  <c:v>10.541700000000001</c:v>
                </c:pt>
                <c:pt idx="27">
                  <c:v>10.946099999999999</c:v>
                </c:pt>
                <c:pt idx="28">
                  <c:v>11.3575</c:v>
                </c:pt>
                <c:pt idx="29">
                  <c:v>11.76</c:v>
                </c:pt>
                <c:pt idx="30">
                  <c:v>12.167400000000001</c:v>
                </c:pt>
                <c:pt idx="31">
                  <c:v>12.5723</c:v>
                </c:pt>
                <c:pt idx="32">
                  <c:v>12.9762</c:v>
                </c:pt>
                <c:pt idx="33">
                  <c:v>13.386100000000001</c:v>
                </c:pt>
                <c:pt idx="34">
                  <c:v>13.7964</c:v>
                </c:pt>
                <c:pt idx="35">
                  <c:v>14.199</c:v>
                </c:pt>
                <c:pt idx="36">
                  <c:v>14.604799999999999</c:v>
                </c:pt>
                <c:pt idx="37">
                  <c:v>15.010199999999999</c:v>
                </c:pt>
                <c:pt idx="38">
                  <c:v>15.414099999999999</c:v>
                </c:pt>
                <c:pt idx="39">
                  <c:v>15.8256</c:v>
                </c:pt>
                <c:pt idx="40">
                  <c:v>16.232099999999999</c:v>
                </c:pt>
                <c:pt idx="41">
                  <c:v>16.6374</c:v>
                </c:pt>
                <c:pt idx="42">
                  <c:v>17.043500000000002</c:v>
                </c:pt>
                <c:pt idx="43">
                  <c:v>17.445699999999999</c:v>
                </c:pt>
                <c:pt idx="44">
                  <c:v>17.854199999999999</c:v>
                </c:pt>
                <c:pt idx="45">
                  <c:v>18.2622</c:v>
                </c:pt>
                <c:pt idx="46">
                  <c:v>18.667999999999999</c:v>
                </c:pt>
                <c:pt idx="47">
                  <c:v>19.074400000000001</c:v>
                </c:pt>
                <c:pt idx="48">
                  <c:v>19.4818</c:v>
                </c:pt>
                <c:pt idx="49">
                  <c:v>19.8888</c:v>
                </c:pt>
                <c:pt idx="50">
                  <c:v>20.296800000000001</c:v>
                </c:pt>
                <c:pt idx="51">
                  <c:v>20.698599999999999</c:v>
                </c:pt>
                <c:pt idx="52">
                  <c:v>21.102499999999999</c:v>
                </c:pt>
                <c:pt idx="53">
                  <c:v>21.5106</c:v>
                </c:pt>
                <c:pt idx="54">
                  <c:v>21.920400000000001</c:v>
                </c:pt>
                <c:pt idx="55">
                  <c:v>22.324300000000001</c:v>
                </c:pt>
                <c:pt idx="56">
                  <c:v>22.732199999999999</c:v>
                </c:pt>
                <c:pt idx="57">
                  <c:v>23.135000000000002</c:v>
                </c:pt>
                <c:pt idx="58">
                  <c:v>23.543099999999999</c:v>
                </c:pt>
                <c:pt idx="59">
                  <c:v>23.950900000000001</c:v>
                </c:pt>
                <c:pt idx="60">
                  <c:v>24.357800000000001</c:v>
                </c:pt>
                <c:pt idx="61">
                  <c:v>24.7607</c:v>
                </c:pt>
                <c:pt idx="62">
                  <c:v>25.165600000000001</c:v>
                </c:pt>
                <c:pt idx="63">
                  <c:v>25.573699999999999</c:v>
                </c:pt>
                <c:pt idx="64">
                  <c:v>25.979800000000001</c:v>
                </c:pt>
                <c:pt idx="65">
                  <c:v>26.3874</c:v>
                </c:pt>
                <c:pt idx="66">
                  <c:v>26.7943</c:v>
                </c:pt>
                <c:pt idx="67">
                  <c:v>27.199200000000001</c:v>
                </c:pt>
                <c:pt idx="68">
                  <c:v>27.607099999999999</c:v>
                </c:pt>
                <c:pt idx="69">
                  <c:v>28.009499999999999</c:v>
                </c:pt>
                <c:pt idx="70">
                  <c:v>28.417000000000002</c:v>
                </c:pt>
                <c:pt idx="71">
                  <c:v>28.826799999999999</c:v>
                </c:pt>
                <c:pt idx="72">
                  <c:v>29.23</c:v>
                </c:pt>
                <c:pt idx="73">
                  <c:v>29.6327</c:v>
                </c:pt>
                <c:pt idx="74">
                  <c:v>30.045000000000002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60.217100000000002</c:v>
                </c:pt>
                <c:pt idx="1">
                  <c:v>59.461399999999998</c:v>
                </c:pt>
                <c:pt idx="2">
                  <c:v>58.620700000000006</c:v>
                </c:pt>
                <c:pt idx="3">
                  <c:v>57.644600000000004</c:v>
                </c:pt>
                <c:pt idx="4">
                  <c:v>56.542800000000007</c:v>
                </c:pt>
                <c:pt idx="5">
                  <c:v>55.475499999999997</c:v>
                </c:pt>
                <c:pt idx="6">
                  <c:v>54.384900000000002</c:v>
                </c:pt>
                <c:pt idx="7">
                  <c:v>53.274900000000002</c:v>
                </c:pt>
                <c:pt idx="8">
                  <c:v>52.090299999999999</c:v>
                </c:pt>
                <c:pt idx="9">
                  <c:v>50.836199999999998</c:v>
                </c:pt>
                <c:pt idx="10">
                  <c:v>49.5184</c:v>
                </c:pt>
                <c:pt idx="11">
                  <c:v>48.176499999999997</c:v>
                </c:pt>
                <c:pt idx="12">
                  <c:v>46.813300000000005</c:v>
                </c:pt>
                <c:pt idx="13">
                  <c:v>45.518099999999997</c:v>
                </c:pt>
                <c:pt idx="14">
                  <c:v>44.293999999999997</c:v>
                </c:pt>
                <c:pt idx="15">
                  <c:v>43.133099999999999</c:v>
                </c:pt>
                <c:pt idx="16">
                  <c:v>42.072099999999999</c:v>
                </c:pt>
                <c:pt idx="17">
                  <c:v>41.136800000000001</c:v>
                </c:pt>
                <c:pt idx="18">
                  <c:v>40.2714</c:v>
                </c:pt>
                <c:pt idx="19">
                  <c:v>39.5062</c:v>
                </c:pt>
                <c:pt idx="20">
                  <c:v>38.917099999999998</c:v>
                </c:pt>
                <c:pt idx="21">
                  <c:v>38.415199999999999</c:v>
                </c:pt>
                <c:pt idx="22">
                  <c:v>37.913200000000003</c:v>
                </c:pt>
                <c:pt idx="23">
                  <c:v>37.489400000000003</c:v>
                </c:pt>
                <c:pt idx="24">
                  <c:v>37.081199999999995</c:v>
                </c:pt>
                <c:pt idx="25">
                  <c:v>36.790900000000001</c:v>
                </c:pt>
                <c:pt idx="26">
                  <c:v>36.618600000000001</c:v>
                </c:pt>
                <c:pt idx="27">
                  <c:v>36.522799999999997</c:v>
                </c:pt>
                <c:pt idx="28">
                  <c:v>36.4741</c:v>
                </c:pt>
                <c:pt idx="29">
                  <c:v>36.452100000000002</c:v>
                </c:pt>
                <c:pt idx="30">
                  <c:v>36.412800000000004</c:v>
                </c:pt>
                <c:pt idx="31">
                  <c:v>36.409999999999997</c:v>
                </c:pt>
                <c:pt idx="32">
                  <c:v>36.468499999999999</c:v>
                </c:pt>
                <c:pt idx="33">
                  <c:v>36.570700000000002</c:v>
                </c:pt>
                <c:pt idx="34">
                  <c:v>36.627900000000004</c:v>
                </c:pt>
                <c:pt idx="35">
                  <c:v>36.639699999999998</c:v>
                </c:pt>
                <c:pt idx="36">
                  <c:v>36.624400000000001</c:v>
                </c:pt>
                <c:pt idx="37">
                  <c:v>36.633900000000004</c:v>
                </c:pt>
                <c:pt idx="38">
                  <c:v>36.640499999999996</c:v>
                </c:pt>
                <c:pt idx="39">
                  <c:v>36.674599999999998</c:v>
                </c:pt>
                <c:pt idx="40">
                  <c:v>36.7316</c:v>
                </c:pt>
                <c:pt idx="41">
                  <c:v>36.781700000000001</c:v>
                </c:pt>
                <c:pt idx="42">
                  <c:v>36.7545</c:v>
                </c:pt>
                <c:pt idx="43">
                  <c:v>36.640900000000002</c:v>
                </c:pt>
                <c:pt idx="44">
                  <c:v>36.454799999999999</c:v>
                </c:pt>
                <c:pt idx="45">
                  <c:v>36.204599999999999</c:v>
                </c:pt>
                <c:pt idx="46">
                  <c:v>35.909500000000001</c:v>
                </c:pt>
                <c:pt idx="47">
                  <c:v>35.604599999999998</c:v>
                </c:pt>
                <c:pt idx="48">
                  <c:v>35.290999999999997</c:v>
                </c:pt>
                <c:pt idx="49">
                  <c:v>35.039000000000001</c:v>
                </c:pt>
                <c:pt idx="50">
                  <c:v>34.833599999999997</c:v>
                </c:pt>
                <c:pt idx="51">
                  <c:v>34.525399999999998</c:v>
                </c:pt>
                <c:pt idx="52">
                  <c:v>34.2515</c:v>
                </c:pt>
                <c:pt idx="53">
                  <c:v>34.027000000000001</c:v>
                </c:pt>
                <c:pt idx="54">
                  <c:v>33.842299999999994</c:v>
                </c:pt>
                <c:pt idx="55">
                  <c:v>33.607100000000003</c:v>
                </c:pt>
                <c:pt idx="56">
                  <c:v>33.369799999999998</c:v>
                </c:pt>
                <c:pt idx="57">
                  <c:v>33.250700000000002</c:v>
                </c:pt>
                <c:pt idx="58">
                  <c:v>33.169699999999999</c:v>
                </c:pt>
                <c:pt idx="59">
                  <c:v>33.187100000000001</c:v>
                </c:pt>
                <c:pt idx="60">
                  <c:v>33.289499999999997</c:v>
                </c:pt>
                <c:pt idx="61">
                  <c:v>33.337899999999998</c:v>
                </c:pt>
                <c:pt idx="62">
                  <c:v>33.472700000000003</c:v>
                </c:pt>
                <c:pt idx="63">
                  <c:v>33.610199999999999</c:v>
                </c:pt>
                <c:pt idx="64">
                  <c:v>33.776400000000002</c:v>
                </c:pt>
                <c:pt idx="65">
                  <c:v>33.910699999999999</c:v>
                </c:pt>
                <c:pt idx="66">
                  <c:v>34.042099999999998</c:v>
                </c:pt>
                <c:pt idx="67">
                  <c:v>34.244900000000001</c:v>
                </c:pt>
                <c:pt idx="68">
                  <c:v>34.364699999999999</c:v>
                </c:pt>
                <c:pt idx="69">
                  <c:v>34.491</c:v>
                </c:pt>
                <c:pt idx="70">
                  <c:v>34.591000000000001</c:v>
                </c:pt>
                <c:pt idx="71">
                  <c:v>34.769599999999997</c:v>
                </c:pt>
                <c:pt idx="72">
                  <c:v>34.900700000000001</c:v>
                </c:pt>
                <c:pt idx="73">
                  <c:v>35.069699999999997</c:v>
                </c:pt>
                <c:pt idx="74">
                  <c:v>35.269500000000001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30.045000000000002</c:v>
                </c:pt>
                <c:pt idx="1">
                  <c:v>30.623000000000001</c:v>
                </c:pt>
                <c:pt idx="2">
                  <c:v>30.9971</c:v>
                </c:pt>
                <c:pt idx="3">
                  <c:v>31.371099999999998</c:v>
                </c:pt>
                <c:pt idx="4">
                  <c:v>31.7471</c:v>
                </c:pt>
                <c:pt idx="5">
                  <c:v>32.117400000000004</c:v>
                </c:pt>
                <c:pt idx="6">
                  <c:v>32.529200000000003</c:v>
                </c:pt>
                <c:pt idx="7">
                  <c:v>32.9358</c:v>
                </c:pt>
                <c:pt idx="8">
                  <c:v>33.340800000000002</c:v>
                </c:pt>
                <c:pt idx="9">
                  <c:v>33.744700000000002</c:v>
                </c:pt>
                <c:pt idx="10">
                  <c:v>34.152700000000003</c:v>
                </c:pt>
                <c:pt idx="11">
                  <c:v>34.562899999999999</c:v>
                </c:pt>
                <c:pt idx="12">
                  <c:v>34.966500000000003</c:v>
                </c:pt>
                <c:pt idx="13">
                  <c:v>35.371299999999998</c:v>
                </c:pt>
                <c:pt idx="14">
                  <c:v>35.776299999999999</c:v>
                </c:pt>
                <c:pt idx="15">
                  <c:v>36.185099999999998</c:v>
                </c:pt>
                <c:pt idx="16">
                  <c:v>36.589199999999998</c:v>
                </c:pt>
                <c:pt idx="17">
                  <c:v>36.997999999999998</c:v>
                </c:pt>
                <c:pt idx="18">
                  <c:v>37.4039</c:v>
                </c:pt>
                <c:pt idx="19">
                  <c:v>37.806800000000003</c:v>
                </c:pt>
                <c:pt idx="20">
                  <c:v>38.214799999999997</c:v>
                </c:pt>
                <c:pt idx="21">
                  <c:v>38.621600000000001</c:v>
                </c:pt>
                <c:pt idx="22">
                  <c:v>39.031399999999998</c:v>
                </c:pt>
                <c:pt idx="23">
                  <c:v>39.433399999999999</c:v>
                </c:pt>
                <c:pt idx="24">
                  <c:v>39.8384</c:v>
                </c:pt>
                <c:pt idx="25">
                  <c:v>40.249200000000002</c:v>
                </c:pt>
                <c:pt idx="26">
                  <c:v>40.648200000000003</c:v>
                </c:pt>
                <c:pt idx="27">
                  <c:v>41.060200000000002</c:v>
                </c:pt>
                <c:pt idx="28">
                  <c:v>41.464100000000002</c:v>
                </c:pt>
                <c:pt idx="29">
                  <c:v>41.871000000000002</c:v>
                </c:pt>
                <c:pt idx="30">
                  <c:v>42.277299999999997</c:v>
                </c:pt>
                <c:pt idx="31">
                  <c:v>42.686900000000001</c:v>
                </c:pt>
                <c:pt idx="32">
                  <c:v>43.087699999999998</c:v>
                </c:pt>
                <c:pt idx="33">
                  <c:v>43.497599999999998</c:v>
                </c:pt>
                <c:pt idx="34">
                  <c:v>43.898600000000002</c:v>
                </c:pt>
                <c:pt idx="35">
                  <c:v>44.307499999999997</c:v>
                </c:pt>
                <c:pt idx="36">
                  <c:v>44.718400000000003</c:v>
                </c:pt>
                <c:pt idx="37">
                  <c:v>45.122900000000001</c:v>
                </c:pt>
                <c:pt idx="38">
                  <c:v>45.526200000000003</c:v>
                </c:pt>
                <c:pt idx="39">
                  <c:v>45.934100000000001</c:v>
                </c:pt>
                <c:pt idx="40">
                  <c:v>46.339100000000002</c:v>
                </c:pt>
                <c:pt idx="41">
                  <c:v>46.746299999999998</c:v>
                </c:pt>
                <c:pt idx="42">
                  <c:v>47.152900000000002</c:v>
                </c:pt>
                <c:pt idx="43">
                  <c:v>47.559800000000003</c:v>
                </c:pt>
                <c:pt idx="44">
                  <c:v>47.963799999999999</c:v>
                </c:pt>
                <c:pt idx="45">
                  <c:v>48.369700000000002</c:v>
                </c:pt>
                <c:pt idx="46">
                  <c:v>48.777500000000003</c:v>
                </c:pt>
                <c:pt idx="47">
                  <c:v>49.185400000000001</c:v>
                </c:pt>
                <c:pt idx="48">
                  <c:v>49.592300000000002</c:v>
                </c:pt>
                <c:pt idx="49">
                  <c:v>49.995199999999997</c:v>
                </c:pt>
                <c:pt idx="50">
                  <c:v>50.403199999999998</c:v>
                </c:pt>
                <c:pt idx="51">
                  <c:v>50.810299999999998</c:v>
                </c:pt>
                <c:pt idx="52">
                  <c:v>51.216999999999999</c:v>
                </c:pt>
                <c:pt idx="53">
                  <c:v>51.621899999999997</c:v>
                </c:pt>
                <c:pt idx="54">
                  <c:v>52.025799999999997</c:v>
                </c:pt>
                <c:pt idx="55">
                  <c:v>52.4283</c:v>
                </c:pt>
                <c:pt idx="56">
                  <c:v>52.837699999999998</c:v>
                </c:pt>
                <c:pt idx="57">
                  <c:v>53.248600000000003</c:v>
                </c:pt>
                <c:pt idx="58">
                  <c:v>53.656599999999997</c:v>
                </c:pt>
                <c:pt idx="59">
                  <c:v>54.0593</c:v>
                </c:pt>
                <c:pt idx="60">
                  <c:v>54.464300000000001</c:v>
                </c:pt>
                <c:pt idx="61">
                  <c:v>54.869500000000002</c:v>
                </c:pt>
                <c:pt idx="62">
                  <c:v>55.280900000000003</c:v>
                </c:pt>
                <c:pt idx="63">
                  <c:v>55.685099999999998</c:v>
                </c:pt>
                <c:pt idx="64">
                  <c:v>56.091999999999999</c:v>
                </c:pt>
                <c:pt idx="65">
                  <c:v>56.496899999999997</c:v>
                </c:pt>
                <c:pt idx="66">
                  <c:v>56.901899999999998</c:v>
                </c:pt>
                <c:pt idx="67">
                  <c:v>57.310699999999997</c:v>
                </c:pt>
                <c:pt idx="68">
                  <c:v>57.7166</c:v>
                </c:pt>
                <c:pt idx="69">
                  <c:v>58.122500000000002</c:v>
                </c:pt>
                <c:pt idx="70">
                  <c:v>58.5274</c:v>
                </c:pt>
                <c:pt idx="71">
                  <c:v>58.929699999999997</c:v>
                </c:pt>
                <c:pt idx="72">
                  <c:v>59.342300000000002</c:v>
                </c:pt>
                <c:pt idx="73">
                  <c:v>59.746699999999997</c:v>
                </c:pt>
                <c:pt idx="74">
                  <c:v>60.152099999999997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35.269500000000001</c:v>
                </c:pt>
                <c:pt idx="1">
                  <c:v>35.688199999999995</c:v>
                </c:pt>
                <c:pt idx="2">
                  <c:v>36.163899999999998</c:v>
                </c:pt>
                <c:pt idx="3">
                  <c:v>36.663600000000002</c:v>
                </c:pt>
                <c:pt idx="4">
                  <c:v>37.243300000000005</c:v>
                </c:pt>
                <c:pt idx="5">
                  <c:v>37.967300000000002</c:v>
                </c:pt>
                <c:pt idx="6">
                  <c:v>38.876100000000001</c:v>
                </c:pt>
                <c:pt idx="7">
                  <c:v>39.903199999999998</c:v>
                </c:pt>
                <c:pt idx="8">
                  <c:v>40.965299999999999</c:v>
                </c:pt>
                <c:pt idx="9">
                  <c:v>41.966900000000003</c:v>
                </c:pt>
                <c:pt idx="10">
                  <c:v>42.912599999999998</c:v>
                </c:pt>
                <c:pt idx="11">
                  <c:v>43.8294</c:v>
                </c:pt>
                <c:pt idx="12">
                  <c:v>44.696999999999996</c:v>
                </c:pt>
                <c:pt idx="13">
                  <c:v>45.4831</c:v>
                </c:pt>
                <c:pt idx="14">
                  <c:v>46.216900000000003</c:v>
                </c:pt>
                <c:pt idx="15">
                  <c:v>46.872300000000003</c:v>
                </c:pt>
                <c:pt idx="16">
                  <c:v>47.3354</c:v>
                </c:pt>
                <c:pt idx="17">
                  <c:v>47.6907</c:v>
                </c:pt>
                <c:pt idx="18">
                  <c:v>47.989800000000002</c:v>
                </c:pt>
                <c:pt idx="19">
                  <c:v>48.282599999999995</c:v>
                </c:pt>
                <c:pt idx="20">
                  <c:v>48.588099999999997</c:v>
                </c:pt>
                <c:pt idx="21">
                  <c:v>48.898299999999999</c:v>
                </c:pt>
                <c:pt idx="22">
                  <c:v>49.238999999999997</c:v>
                </c:pt>
                <c:pt idx="23">
                  <c:v>49.502499999999998</c:v>
                </c:pt>
                <c:pt idx="24">
                  <c:v>49.7592</c:v>
                </c:pt>
                <c:pt idx="25">
                  <c:v>50.007000000000005</c:v>
                </c:pt>
                <c:pt idx="26">
                  <c:v>50.238499999999995</c:v>
                </c:pt>
                <c:pt idx="27">
                  <c:v>50.428600000000003</c:v>
                </c:pt>
                <c:pt idx="28">
                  <c:v>50.6374</c:v>
                </c:pt>
                <c:pt idx="29">
                  <c:v>50.739500000000007</c:v>
                </c:pt>
                <c:pt idx="30">
                  <c:v>50.853099999999998</c:v>
                </c:pt>
                <c:pt idx="31">
                  <c:v>50.998699999999999</c:v>
                </c:pt>
                <c:pt idx="32">
                  <c:v>51.072700000000005</c:v>
                </c:pt>
                <c:pt idx="33">
                  <c:v>51.09</c:v>
                </c:pt>
                <c:pt idx="34">
                  <c:v>50.973199999999999</c:v>
                </c:pt>
                <c:pt idx="35">
                  <c:v>50.888300000000001</c:v>
                </c:pt>
                <c:pt idx="36">
                  <c:v>50.7958</c:v>
                </c:pt>
                <c:pt idx="37">
                  <c:v>50.768899999999995</c:v>
                </c:pt>
                <c:pt idx="38">
                  <c:v>50.732900000000001</c:v>
                </c:pt>
                <c:pt idx="39">
                  <c:v>50.675400000000003</c:v>
                </c:pt>
                <c:pt idx="40">
                  <c:v>50.508299999999991</c:v>
                </c:pt>
                <c:pt idx="41">
                  <c:v>50.244</c:v>
                </c:pt>
                <c:pt idx="42">
                  <c:v>49.983600000000003</c:v>
                </c:pt>
                <c:pt idx="43">
                  <c:v>49.703399999999995</c:v>
                </c:pt>
                <c:pt idx="44">
                  <c:v>49.404199999999996</c:v>
                </c:pt>
                <c:pt idx="45">
                  <c:v>49.207299999999996</c:v>
                </c:pt>
                <c:pt idx="46">
                  <c:v>49.0212</c:v>
                </c:pt>
                <c:pt idx="47">
                  <c:v>48.835499999999996</c:v>
                </c:pt>
                <c:pt idx="48">
                  <c:v>48.616500000000002</c:v>
                </c:pt>
                <c:pt idx="49">
                  <c:v>48.353299999999997</c:v>
                </c:pt>
                <c:pt idx="50">
                  <c:v>48.214500000000001</c:v>
                </c:pt>
                <c:pt idx="51">
                  <c:v>48.136000000000003</c:v>
                </c:pt>
                <c:pt idx="52">
                  <c:v>48.036299999999997</c:v>
                </c:pt>
                <c:pt idx="53">
                  <c:v>47.903199999999998</c:v>
                </c:pt>
                <c:pt idx="54">
                  <c:v>47.779700000000005</c:v>
                </c:pt>
                <c:pt idx="55">
                  <c:v>47.680199999999999</c:v>
                </c:pt>
                <c:pt idx="56">
                  <c:v>47.5929</c:v>
                </c:pt>
                <c:pt idx="57">
                  <c:v>47.520099999999999</c:v>
                </c:pt>
                <c:pt idx="58">
                  <c:v>47.453400000000002</c:v>
                </c:pt>
                <c:pt idx="59">
                  <c:v>47.3949</c:v>
                </c:pt>
                <c:pt idx="60">
                  <c:v>47.297899999999998</c:v>
                </c:pt>
                <c:pt idx="61">
                  <c:v>47.204900000000002</c:v>
                </c:pt>
                <c:pt idx="62">
                  <c:v>47.0623</c:v>
                </c:pt>
                <c:pt idx="63">
                  <c:v>46.9542</c:v>
                </c:pt>
                <c:pt idx="64">
                  <c:v>46.854199999999999</c:v>
                </c:pt>
                <c:pt idx="65">
                  <c:v>46.835799999999999</c:v>
                </c:pt>
                <c:pt idx="66">
                  <c:v>46.877299999999998</c:v>
                </c:pt>
                <c:pt idx="67">
                  <c:v>46.940100000000001</c:v>
                </c:pt>
                <c:pt idx="68">
                  <c:v>47.006900000000002</c:v>
                </c:pt>
                <c:pt idx="69">
                  <c:v>47.236800000000002</c:v>
                </c:pt>
                <c:pt idx="70">
                  <c:v>47.292299999999997</c:v>
                </c:pt>
                <c:pt idx="71">
                  <c:v>47.238700000000001</c:v>
                </c:pt>
                <c:pt idx="72">
                  <c:v>47.103200000000001</c:v>
                </c:pt>
                <c:pt idx="73">
                  <c:v>47.027700000000003</c:v>
                </c:pt>
                <c:pt idx="74">
                  <c:v>47.6126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15.038024999999999</c:v>
                </c:pt>
                <c:pt idx="1">
                  <c:v>45.114075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39.388018918918903</c:v>
                </c:pt>
                <c:pt idx="1">
                  <c:v>47.019256756756747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1.8896999999999999</c:v>
                </c:pt>
                <c:pt idx="1">
                  <c:v>1.9351399999999999</c:v>
                </c:pt>
                <c:pt idx="2">
                  <c:v>1.9799900000000001</c:v>
                </c:pt>
                <c:pt idx="3">
                  <c:v>2.02433</c:v>
                </c:pt>
                <c:pt idx="4">
                  <c:v>2.0693000000000001</c:v>
                </c:pt>
                <c:pt idx="5">
                  <c:v>2.11334</c:v>
                </c:pt>
                <c:pt idx="6">
                  <c:v>2.15429</c:v>
                </c:pt>
                <c:pt idx="7">
                  <c:v>2.19286</c:v>
                </c:pt>
                <c:pt idx="8">
                  <c:v>2.2333099999999999</c:v>
                </c:pt>
                <c:pt idx="9">
                  <c:v>2.2766299999999999</c:v>
                </c:pt>
                <c:pt idx="10">
                  <c:v>2.32118</c:v>
                </c:pt>
                <c:pt idx="11">
                  <c:v>2.3679600000000001</c:v>
                </c:pt>
                <c:pt idx="12">
                  <c:v>2.4160900000000001</c:v>
                </c:pt>
                <c:pt idx="13">
                  <c:v>2.4649700000000001</c:v>
                </c:pt>
                <c:pt idx="14">
                  <c:v>2.5107499999999998</c:v>
                </c:pt>
                <c:pt idx="15">
                  <c:v>2.5567500000000001</c:v>
                </c:pt>
                <c:pt idx="16">
                  <c:v>2.6019300000000003</c:v>
                </c:pt>
                <c:pt idx="17">
                  <c:v>2.64642</c:v>
                </c:pt>
                <c:pt idx="18">
                  <c:v>2.6933400000000001</c:v>
                </c:pt>
                <c:pt idx="19">
                  <c:v>2.7417599999999998</c:v>
                </c:pt>
                <c:pt idx="20">
                  <c:v>2.78878</c:v>
                </c:pt>
                <c:pt idx="21">
                  <c:v>2.8349600000000001</c:v>
                </c:pt>
                <c:pt idx="22">
                  <c:v>2.8836499999999998</c:v>
                </c:pt>
                <c:pt idx="23">
                  <c:v>2.9310100000000001</c:v>
                </c:pt>
                <c:pt idx="24">
                  <c:v>2.9785599999999999</c:v>
                </c:pt>
                <c:pt idx="25">
                  <c:v>3.0240200000000002</c:v>
                </c:pt>
                <c:pt idx="26">
                  <c:v>3.0666500000000001</c:v>
                </c:pt>
                <c:pt idx="27">
                  <c:v>3.1071399999999998</c:v>
                </c:pt>
                <c:pt idx="28">
                  <c:v>3.1455499999999996</c:v>
                </c:pt>
                <c:pt idx="29">
                  <c:v>3.1829299999999998</c:v>
                </c:pt>
                <c:pt idx="30">
                  <c:v>3.2218499999999999</c:v>
                </c:pt>
                <c:pt idx="31">
                  <c:v>3.2609399999999997</c:v>
                </c:pt>
                <c:pt idx="32">
                  <c:v>3.29861</c:v>
                </c:pt>
                <c:pt idx="33">
                  <c:v>3.3339600000000003</c:v>
                </c:pt>
                <c:pt idx="34">
                  <c:v>3.3675500000000005</c:v>
                </c:pt>
                <c:pt idx="35">
                  <c:v>3.4001399999999999</c:v>
                </c:pt>
                <c:pt idx="36">
                  <c:v>3.43058</c:v>
                </c:pt>
                <c:pt idx="37">
                  <c:v>3.4592899999999998</c:v>
                </c:pt>
                <c:pt idx="38">
                  <c:v>3.4852799999999999</c:v>
                </c:pt>
                <c:pt idx="39">
                  <c:v>3.5080099999999996</c:v>
                </c:pt>
                <c:pt idx="40">
                  <c:v>3.5306100000000002</c:v>
                </c:pt>
                <c:pt idx="41">
                  <c:v>3.5529600000000001</c:v>
                </c:pt>
                <c:pt idx="42">
                  <c:v>3.5787999999999998</c:v>
                </c:pt>
                <c:pt idx="43">
                  <c:v>3.6052900000000001</c:v>
                </c:pt>
                <c:pt idx="44">
                  <c:v>3.63117</c:v>
                </c:pt>
                <c:pt idx="45">
                  <c:v>3.6567300000000005</c:v>
                </c:pt>
                <c:pt idx="46">
                  <c:v>3.6825000000000001</c:v>
                </c:pt>
                <c:pt idx="47">
                  <c:v>3.7055799999999999</c:v>
                </c:pt>
                <c:pt idx="48">
                  <c:v>3.72987</c:v>
                </c:pt>
                <c:pt idx="49">
                  <c:v>3.7532399999999999</c:v>
                </c:pt>
                <c:pt idx="50">
                  <c:v>3.7717700000000001</c:v>
                </c:pt>
                <c:pt idx="51">
                  <c:v>3.7996099999999999</c:v>
                </c:pt>
                <c:pt idx="52">
                  <c:v>3.82721</c:v>
                </c:pt>
                <c:pt idx="53">
                  <c:v>3.8528699999999998</c:v>
                </c:pt>
                <c:pt idx="54">
                  <c:v>3.8752399999999998</c:v>
                </c:pt>
                <c:pt idx="55">
                  <c:v>3.8970599999999997</c:v>
                </c:pt>
                <c:pt idx="56">
                  <c:v>3.9225900000000005</c:v>
                </c:pt>
                <c:pt idx="57">
                  <c:v>3.9416500000000001</c:v>
                </c:pt>
                <c:pt idx="58">
                  <c:v>3.9568199999999996</c:v>
                </c:pt>
                <c:pt idx="59">
                  <c:v>3.9683299999999999</c:v>
                </c:pt>
                <c:pt idx="60">
                  <c:v>3.97289</c:v>
                </c:pt>
                <c:pt idx="61">
                  <c:v>3.9803800000000003</c:v>
                </c:pt>
                <c:pt idx="62">
                  <c:v>3.9815699999999996</c:v>
                </c:pt>
                <c:pt idx="63">
                  <c:v>3.98123</c:v>
                </c:pt>
                <c:pt idx="64">
                  <c:v>3.9825700000000004</c:v>
                </c:pt>
                <c:pt idx="65">
                  <c:v>3.9808900000000005</c:v>
                </c:pt>
                <c:pt idx="66">
                  <c:v>3.9748999999999999</c:v>
                </c:pt>
                <c:pt idx="67">
                  <c:v>3.9506200000000002</c:v>
                </c:pt>
                <c:pt idx="68">
                  <c:v>3.9258900000000003</c:v>
                </c:pt>
                <c:pt idx="69">
                  <c:v>3.8995500000000001</c:v>
                </c:pt>
                <c:pt idx="70">
                  <c:v>3.8828499999999999</c:v>
                </c:pt>
                <c:pt idx="71">
                  <c:v>3.8437399999999999</c:v>
                </c:pt>
                <c:pt idx="72">
                  <c:v>3.8114500000000002</c:v>
                </c:pt>
                <c:pt idx="73">
                  <c:v>3.7877899999999998</c:v>
                </c:pt>
                <c:pt idx="74">
                  <c:v>3.7490800000000002</c:v>
                </c:pt>
                <c:pt idx="75">
                  <c:v>3.6950499999999997</c:v>
                </c:pt>
                <c:pt idx="76">
                  <c:v>3.6510100000000003</c:v>
                </c:pt>
                <c:pt idx="77">
                  <c:v>3.6090100000000005</c:v>
                </c:pt>
                <c:pt idx="78">
                  <c:v>3.5666399999999996</c:v>
                </c:pt>
                <c:pt idx="79">
                  <c:v>3.52569</c:v>
                </c:pt>
                <c:pt idx="80">
                  <c:v>3.4818799999999999</c:v>
                </c:pt>
                <c:pt idx="81">
                  <c:v>3.4389700000000003</c:v>
                </c:pt>
                <c:pt idx="82">
                  <c:v>3.4005700000000001</c:v>
                </c:pt>
                <c:pt idx="83">
                  <c:v>3.3691199999999997</c:v>
                </c:pt>
                <c:pt idx="84">
                  <c:v>3.3449299999999997</c:v>
                </c:pt>
                <c:pt idx="85">
                  <c:v>3.3231600000000001</c:v>
                </c:pt>
                <c:pt idx="86">
                  <c:v>3.3034599999999998</c:v>
                </c:pt>
                <c:pt idx="87">
                  <c:v>3.2877299999999998</c:v>
                </c:pt>
                <c:pt idx="88">
                  <c:v>3.2765499999999999</c:v>
                </c:pt>
                <c:pt idx="89">
                  <c:v>3.2710900000000001</c:v>
                </c:pt>
                <c:pt idx="90">
                  <c:v>3.2732299999999999</c:v>
                </c:pt>
                <c:pt idx="91">
                  <c:v>3.2781199999999999</c:v>
                </c:pt>
                <c:pt idx="92">
                  <c:v>3.2846399999999996</c:v>
                </c:pt>
                <c:pt idx="93">
                  <c:v>3.2898699999999996</c:v>
                </c:pt>
                <c:pt idx="94">
                  <c:v>3.2966099999999998</c:v>
                </c:pt>
                <c:pt idx="95">
                  <c:v>3.3079399999999999</c:v>
                </c:pt>
                <c:pt idx="96">
                  <c:v>3.32334</c:v>
                </c:pt>
                <c:pt idx="97">
                  <c:v>3.3431600000000001</c:v>
                </c:pt>
                <c:pt idx="98">
                  <c:v>3.3650899999999999</c:v>
                </c:pt>
                <c:pt idx="99">
                  <c:v>3.3896100000000002</c:v>
                </c:pt>
                <c:pt idx="100">
                  <c:v>3.4131099999999996</c:v>
                </c:pt>
                <c:pt idx="101">
                  <c:v>3.4412900000000004</c:v>
                </c:pt>
                <c:pt idx="102">
                  <c:v>3.47051</c:v>
                </c:pt>
                <c:pt idx="103">
                  <c:v>3.5043099999999998</c:v>
                </c:pt>
                <c:pt idx="104">
                  <c:v>3.5342000000000002</c:v>
                </c:pt>
                <c:pt idx="105">
                  <c:v>3.5610300000000001</c:v>
                </c:pt>
                <c:pt idx="106">
                  <c:v>3.5880200000000002</c:v>
                </c:pt>
                <c:pt idx="107">
                  <c:v>3.61355</c:v>
                </c:pt>
                <c:pt idx="108">
                  <c:v>3.6407099999999999</c:v>
                </c:pt>
                <c:pt idx="109">
                  <c:v>3.6628100000000003</c:v>
                </c:pt>
                <c:pt idx="110">
                  <c:v>3.6852</c:v>
                </c:pt>
                <c:pt idx="111">
                  <c:v>3.7057200000000003</c:v>
                </c:pt>
                <c:pt idx="112">
                  <c:v>3.72404</c:v>
                </c:pt>
                <c:pt idx="113">
                  <c:v>3.7398400000000001</c:v>
                </c:pt>
                <c:pt idx="114">
                  <c:v>3.7542499999999999</c:v>
                </c:pt>
                <c:pt idx="115">
                  <c:v>3.7685200000000001</c:v>
                </c:pt>
                <c:pt idx="116">
                  <c:v>3.78247</c:v>
                </c:pt>
                <c:pt idx="117">
                  <c:v>3.7994299999999996</c:v>
                </c:pt>
                <c:pt idx="118">
                  <c:v>3.8192599999999999</c:v>
                </c:pt>
                <c:pt idx="119">
                  <c:v>3.8375700000000004</c:v>
                </c:pt>
                <c:pt idx="120">
                  <c:v>3.8531</c:v>
                </c:pt>
                <c:pt idx="121">
                  <c:v>3.8689600000000004</c:v>
                </c:pt>
                <c:pt idx="122">
                  <c:v>3.8880500000000002</c:v>
                </c:pt>
                <c:pt idx="123">
                  <c:v>3.90984</c:v>
                </c:pt>
                <c:pt idx="124">
                  <c:v>3.9245200000000002</c:v>
                </c:pt>
                <c:pt idx="125">
                  <c:v>3.93452</c:v>
                </c:pt>
                <c:pt idx="126">
                  <c:v>3.9424100000000002</c:v>
                </c:pt>
                <c:pt idx="127">
                  <c:v>3.9502199999999998</c:v>
                </c:pt>
                <c:pt idx="128">
                  <c:v>3.9549499999999997</c:v>
                </c:pt>
                <c:pt idx="129">
                  <c:v>3.96258</c:v>
                </c:pt>
                <c:pt idx="130">
                  <c:v>3.97383</c:v>
                </c:pt>
                <c:pt idx="131">
                  <c:v>3.9842499999999998</c:v>
                </c:pt>
                <c:pt idx="132">
                  <c:v>3.9941300000000002</c:v>
                </c:pt>
                <c:pt idx="133">
                  <c:v>3.9985300000000001</c:v>
                </c:pt>
                <c:pt idx="134">
                  <c:v>4.0060099999999998</c:v>
                </c:pt>
                <c:pt idx="135">
                  <c:v>4.0143800000000001</c:v>
                </c:pt>
                <c:pt idx="136">
                  <c:v>4.0263999999999998</c:v>
                </c:pt>
                <c:pt idx="137">
                  <c:v>4.0421800000000001</c:v>
                </c:pt>
                <c:pt idx="138">
                  <c:v>4.0591799999999996</c:v>
                </c:pt>
                <c:pt idx="139">
                  <c:v>4.0738400000000006</c:v>
                </c:pt>
                <c:pt idx="140">
                  <c:v>4.08256</c:v>
                </c:pt>
                <c:pt idx="141">
                  <c:v>4.09307</c:v>
                </c:pt>
                <c:pt idx="142">
                  <c:v>4.0993899999999996</c:v>
                </c:pt>
                <c:pt idx="143">
                  <c:v>4.10297</c:v>
                </c:pt>
                <c:pt idx="144">
                  <c:v>4.1116599999999996</c:v>
                </c:pt>
                <c:pt idx="145">
                  <c:v>4.1308800000000003</c:v>
                </c:pt>
                <c:pt idx="146">
                  <c:v>4.1629899999999997</c:v>
                </c:pt>
                <c:pt idx="147">
                  <c:v>4.1841600000000003</c:v>
                </c:pt>
                <c:pt idx="148">
                  <c:v>4.1593400000000003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60.217100000000002</c:v>
                </c:pt>
                <c:pt idx="1">
                  <c:v>59.461399999999998</c:v>
                </c:pt>
                <c:pt idx="2">
                  <c:v>58.620700000000006</c:v>
                </c:pt>
                <c:pt idx="3">
                  <c:v>57.644600000000004</c:v>
                </c:pt>
                <c:pt idx="4">
                  <c:v>56.542800000000007</c:v>
                </c:pt>
                <c:pt idx="5">
                  <c:v>55.475499999999997</c:v>
                </c:pt>
                <c:pt idx="6">
                  <c:v>54.384900000000002</c:v>
                </c:pt>
                <c:pt idx="7">
                  <c:v>53.274900000000002</c:v>
                </c:pt>
                <c:pt idx="8">
                  <c:v>52.090299999999999</c:v>
                </c:pt>
                <c:pt idx="9">
                  <c:v>50.836199999999998</c:v>
                </c:pt>
                <c:pt idx="10">
                  <c:v>49.5184</c:v>
                </c:pt>
                <c:pt idx="11">
                  <c:v>48.176499999999997</c:v>
                </c:pt>
                <c:pt idx="12">
                  <c:v>46.813300000000005</c:v>
                </c:pt>
                <c:pt idx="13">
                  <c:v>45.518099999999997</c:v>
                </c:pt>
                <c:pt idx="14">
                  <c:v>44.293999999999997</c:v>
                </c:pt>
                <c:pt idx="15">
                  <c:v>43.133099999999999</c:v>
                </c:pt>
                <c:pt idx="16">
                  <c:v>42.072099999999999</c:v>
                </c:pt>
                <c:pt idx="17">
                  <c:v>41.136800000000001</c:v>
                </c:pt>
                <c:pt idx="18">
                  <c:v>40.2714</c:v>
                </c:pt>
                <c:pt idx="19">
                  <c:v>39.5062</c:v>
                </c:pt>
                <c:pt idx="20">
                  <c:v>38.917099999999998</c:v>
                </c:pt>
                <c:pt idx="21">
                  <c:v>38.415199999999999</c:v>
                </c:pt>
                <c:pt idx="22">
                  <c:v>37.913200000000003</c:v>
                </c:pt>
                <c:pt idx="23">
                  <c:v>37.489400000000003</c:v>
                </c:pt>
                <c:pt idx="24">
                  <c:v>37.081199999999995</c:v>
                </c:pt>
                <c:pt idx="25">
                  <c:v>36.790900000000001</c:v>
                </c:pt>
                <c:pt idx="26">
                  <c:v>36.618600000000001</c:v>
                </c:pt>
                <c:pt idx="27">
                  <c:v>36.522799999999997</c:v>
                </c:pt>
                <c:pt idx="28">
                  <c:v>36.4741</c:v>
                </c:pt>
                <c:pt idx="29">
                  <c:v>36.452100000000002</c:v>
                </c:pt>
                <c:pt idx="30">
                  <c:v>36.412800000000004</c:v>
                </c:pt>
                <c:pt idx="31">
                  <c:v>36.409999999999997</c:v>
                </c:pt>
                <c:pt idx="32">
                  <c:v>36.468499999999999</c:v>
                </c:pt>
                <c:pt idx="33">
                  <c:v>36.570700000000002</c:v>
                </c:pt>
                <c:pt idx="34">
                  <c:v>36.627900000000004</c:v>
                </c:pt>
                <c:pt idx="35">
                  <c:v>36.639699999999998</c:v>
                </c:pt>
                <c:pt idx="36">
                  <c:v>36.624400000000001</c:v>
                </c:pt>
                <c:pt idx="37">
                  <c:v>36.633900000000004</c:v>
                </c:pt>
                <c:pt idx="38">
                  <c:v>36.640499999999996</c:v>
                </c:pt>
                <c:pt idx="39">
                  <c:v>36.674599999999998</c:v>
                </c:pt>
                <c:pt idx="40">
                  <c:v>36.7316</c:v>
                </c:pt>
                <c:pt idx="41">
                  <c:v>36.781700000000001</c:v>
                </c:pt>
                <c:pt idx="42">
                  <c:v>36.7545</c:v>
                </c:pt>
                <c:pt idx="43">
                  <c:v>36.640900000000002</c:v>
                </c:pt>
                <c:pt idx="44">
                  <c:v>36.454799999999999</c:v>
                </c:pt>
                <c:pt idx="45">
                  <c:v>36.204599999999999</c:v>
                </c:pt>
                <c:pt idx="46">
                  <c:v>35.909500000000001</c:v>
                </c:pt>
                <c:pt idx="47">
                  <c:v>35.604599999999998</c:v>
                </c:pt>
                <c:pt idx="48">
                  <c:v>35.290999999999997</c:v>
                </c:pt>
                <c:pt idx="49">
                  <c:v>35.039000000000001</c:v>
                </c:pt>
                <c:pt idx="50">
                  <c:v>34.833599999999997</c:v>
                </c:pt>
                <c:pt idx="51">
                  <c:v>34.525399999999998</c:v>
                </c:pt>
                <c:pt idx="52">
                  <c:v>34.2515</c:v>
                </c:pt>
                <c:pt idx="53">
                  <c:v>34.027000000000001</c:v>
                </c:pt>
                <c:pt idx="54">
                  <c:v>33.842299999999994</c:v>
                </c:pt>
                <c:pt idx="55">
                  <c:v>33.607100000000003</c:v>
                </c:pt>
                <c:pt idx="56">
                  <c:v>33.369799999999998</c:v>
                </c:pt>
                <c:pt idx="57">
                  <c:v>33.250700000000002</c:v>
                </c:pt>
                <c:pt idx="58">
                  <c:v>33.169699999999999</c:v>
                </c:pt>
                <c:pt idx="59">
                  <c:v>33.187100000000001</c:v>
                </c:pt>
                <c:pt idx="60">
                  <c:v>33.289499999999997</c:v>
                </c:pt>
                <c:pt idx="61">
                  <c:v>33.337899999999998</c:v>
                </c:pt>
                <c:pt idx="62">
                  <c:v>33.472700000000003</c:v>
                </c:pt>
                <c:pt idx="63">
                  <c:v>33.610199999999999</c:v>
                </c:pt>
                <c:pt idx="64">
                  <c:v>33.776400000000002</c:v>
                </c:pt>
                <c:pt idx="65">
                  <c:v>33.910699999999999</c:v>
                </c:pt>
                <c:pt idx="66">
                  <c:v>34.042099999999998</c:v>
                </c:pt>
                <c:pt idx="67">
                  <c:v>34.244900000000001</c:v>
                </c:pt>
                <c:pt idx="68">
                  <c:v>34.364699999999999</c:v>
                </c:pt>
                <c:pt idx="69">
                  <c:v>34.491</c:v>
                </c:pt>
                <c:pt idx="70">
                  <c:v>34.591000000000001</c:v>
                </c:pt>
                <c:pt idx="71">
                  <c:v>34.769599999999997</c:v>
                </c:pt>
                <c:pt idx="72">
                  <c:v>34.900700000000001</c:v>
                </c:pt>
                <c:pt idx="73">
                  <c:v>35.069699999999997</c:v>
                </c:pt>
                <c:pt idx="74">
                  <c:v>35.269500000000001</c:v>
                </c:pt>
                <c:pt idx="75">
                  <c:v>35.688199999999995</c:v>
                </c:pt>
                <c:pt idx="76">
                  <c:v>36.163899999999998</c:v>
                </c:pt>
                <c:pt idx="77">
                  <c:v>36.663600000000002</c:v>
                </c:pt>
                <c:pt idx="78">
                  <c:v>37.243300000000005</c:v>
                </c:pt>
                <c:pt idx="79">
                  <c:v>37.967300000000002</c:v>
                </c:pt>
                <c:pt idx="80">
                  <c:v>38.876100000000001</c:v>
                </c:pt>
                <c:pt idx="81">
                  <c:v>39.903199999999998</c:v>
                </c:pt>
                <c:pt idx="82">
                  <c:v>40.965299999999999</c:v>
                </c:pt>
                <c:pt idx="83">
                  <c:v>41.966900000000003</c:v>
                </c:pt>
                <c:pt idx="84">
                  <c:v>42.912599999999998</c:v>
                </c:pt>
                <c:pt idx="85">
                  <c:v>43.8294</c:v>
                </c:pt>
                <c:pt idx="86">
                  <c:v>44.696999999999996</c:v>
                </c:pt>
                <c:pt idx="87">
                  <c:v>45.4831</c:v>
                </c:pt>
                <c:pt idx="88">
                  <c:v>46.216900000000003</c:v>
                </c:pt>
                <c:pt idx="89">
                  <c:v>46.872300000000003</c:v>
                </c:pt>
                <c:pt idx="90">
                  <c:v>47.3354</c:v>
                </c:pt>
                <c:pt idx="91">
                  <c:v>47.6907</c:v>
                </c:pt>
                <c:pt idx="92">
                  <c:v>47.989800000000002</c:v>
                </c:pt>
                <c:pt idx="93">
                  <c:v>48.282599999999995</c:v>
                </c:pt>
                <c:pt idx="94">
                  <c:v>48.588099999999997</c:v>
                </c:pt>
                <c:pt idx="95">
                  <c:v>48.898299999999999</c:v>
                </c:pt>
                <c:pt idx="96">
                  <c:v>49.238999999999997</c:v>
                </c:pt>
                <c:pt idx="97">
                  <c:v>49.502499999999998</c:v>
                </c:pt>
                <c:pt idx="98">
                  <c:v>49.7592</c:v>
                </c:pt>
                <c:pt idx="99">
                  <c:v>50.007000000000005</c:v>
                </c:pt>
                <c:pt idx="100">
                  <c:v>50.238499999999995</c:v>
                </c:pt>
                <c:pt idx="101">
                  <c:v>50.428600000000003</c:v>
                </c:pt>
                <c:pt idx="102">
                  <c:v>50.6374</c:v>
                </c:pt>
                <c:pt idx="103">
                  <c:v>50.739500000000007</c:v>
                </c:pt>
                <c:pt idx="104">
                  <c:v>50.853099999999998</c:v>
                </c:pt>
                <c:pt idx="105">
                  <c:v>50.998699999999999</c:v>
                </c:pt>
                <c:pt idx="106">
                  <c:v>51.072700000000005</c:v>
                </c:pt>
                <c:pt idx="107">
                  <c:v>51.09</c:v>
                </c:pt>
                <c:pt idx="108">
                  <c:v>50.973199999999999</c:v>
                </c:pt>
                <c:pt idx="109">
                  <c:v>50.888300000000001</c:v>
                </c:pt>
                <c:pt idx="110">
                  <c:v>50.7958</c:v>
                </c:pt>
                <c:pt idx="111">
                  <c:v>50.768899999999995</c:v>
                </c:pt>
                <c:pt idx="112">
                  <c:v>50.732900000000001</c:v>
                </c:pt>
                <c:pt idx="113">
                  <c:v>50.675400000000003</c:v>
                </c:pt>
                <c:pt idx="114">
                  <c:v>50.508299999999991</c:v>
                </c:pt>
                <c:pt idx="115">
                  <c:v>50.244</c:v>
                </c:pt>
                <c:pt idx="116">
                  <c:v>49.983600000000003</c:v>
                </c:pt>
                <c:pt idx="117">
                  <c:v>49.703399999999995</c:v>
                </c:pt>
                <c:pt idx="118">
                  <c:v>49.404199999999996</c:v>
                </c:pt>
                <c:pt idx="119">
                  <c:v>49.207299999999996</c:v>
                </c:pt>
                <c:pt idx="120">
                  <c:v>49.0212</c:v>
                </c:pt>
                <c:pt idx="121">
                  <c:v>48.835499999999996</c:v>
                </c:pt>
                <c:pt idx="122">
                  <c:v>48.616500000000002</c:v>
                </c:pt>
                <c:pt idx="123">
                  <c:v>48.353299999999997</c:v>
                </c:pt>
                <c:pt idx="124">
                  <c:v>48.214500000000001</c:v>
                </c:pt>
                <c:pt idx="125">
                  <c:v>48.136000000000003</c:v>
                </c:pt>
                <c:pt idx="126">
                  <c:v>48.036299999999997</c:v>
                </c:pt>
                <c:pt idx="127">
                  <c:v>47.903199999999998</c:v>
                </c:pt>
                <c:pt idx="128">
                  <c:v>47.779700000000005</c:v>
                </c:pt>
                <c:pt idx="129">
                  <c:v>47.680199999999999</c:v>
                </c:pt>
                <c:pt idx="130">
                  <c:v>47.5929</c:v>
                </c:pt>
                <c:pt idx="131">
                  <c:v>47.520099999999999</c:v>
                </c:pt>
                <c:pt idx="132">
                  <c:v>47.453400000000002</c:v>
                </c:pt>
                <c:pt idx="133">
                  <c:v>47.3949</c:v>
                </c:pt>
                <c:pt idx="134">
                  <c:v>47.297899999999998</c:v>
                </c:pt>
                <c:pt idx="135">
                  <c:v>47.204900000000002</c:v>
                </c:pt>
                <c:pt idx="136">
                  <c:v>47.0623</c:v>
                </c:pt>
                <c:pt idx="137">
                  <c:v>46.9542</c:v>
                </c:pt>
                <c:pt idx="138">
                  <c:v>46.854199999999999</c:v>
                </c:pt>
                <c:pt idx="139">
                  <c:v>46.835799999999999</c:v>
                </c:pt>
                <c:pt idx="140">
                  <c:v>46.877299999999998</c:v>
                </c:pt>
                <c:pt idx="141">
                  <c:v>46.940100000000001</c:v>
                </c:pt>
                <c:pt idx="142">
                  <c:v>47.006900000000002</c:v>
                </c:pt>
                <c:pt idx="143">
                  <c:v>47.236800000000002</c:v>
                </c:pt>
                <c:pt idx="144">
                  <c:v>47.292299999999997</c:v>
                </c:pt>
                <c:pt idx="145">
                  <c:v>47.238700000000001</c:v>
                </c:pt>
                <c:pt idx="146">
                  <c:v>47.103200000000001</c:v>
                </c:pt>
                <c:pt idx="147">
                  <c:v>47.027700000000003</c:v>
                </c:pt>
                <c:pt idx="148">
                  <c:v>47.6126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1.8896999999999999</c:v>
                </c:pt>
                <c:pt idx="1">
                  <c:v>1.9351399999999999</c:v>
                </c:pt>
                <c:pt idx="2">
                  <c:v>1.9799900000000001</c:v>
                </c:pt>
                <c:pt idx="3">
                  <c:v>2.02433</c:v>
                </c:pt>
                <c:pt idx="4">
                  <c:v>2.0693000000000001</c:v>
                </c:pt>
                <c:pt idx="5">
                  <c:v>2.11334</c:v>
                </c:pt>
                <c:pt idx="6">
                  <c:v>2.15429</c:v>
                </c:pt>
                <c:pt idx="7">
                  <c:v>2.19286</c:v>
                </c:pt>
                <c:pt idx="8">
                  <c:v>2.2333099999999999</c:v>
                </c:pt>
                <c:pt idx="9">
                  <c:v>2.2766299999999999</c:v>
                </c:pt>
                <c:pt idx="10">
                  <c:v>2.32118</c:v>
                </c:pt>
                <c:pt idx="11">
                  <c:v>2.3679600000000001</c:v>
                </c:pt>
                <c:pt idx="12">
                  <c:v>2.4160900000000001</c:v>
                </c:pt>
                <c:pt idx="13">
                  <c:v>2.4649700000000001</c:v>
                </c:pt>
                <c:pt idx="14">
                  <c:v>2.5107499999999998</c:v>
                </c:pt>
                <c:pt idx="15">
                  <c:v>2.5567500000000001</c:v>
                </c:pt>
                <c:pt idx="16">
                  <c:v>2.6019300000000003</c:v>
                </c:pt>
                <c:pt idx="17">
                  <c:v>2.64642</c:v>
                </c:pt>
                <c:pt idx="18">
                  <c:v>2.6933400000000001</c:v>
                </c:pt>
                <c:pt idx="19">
                  <c:v>2.7417599999999998</c:v>
                </c:pt>
                <c:pt idx="20">
                  <c:v>2.78878</c:v>
                </c:pt>
                <c:pt idx="21">
                  <c:v>2.8349600000000001</c:v>
                </c:pt>
                <c:pt idx="22">
                  <c:v>2.8836499999999998</c:v>
                </c:pt>
                <c:pt idx="23">
                  <c:v>2.9310100000000001</c:v>
                </c:pt>
                <c:pt idx="24">
                  <c:v>2.9785599999999999</c:v>
                </c:pt>
                <c:pt idx="25">
                  <c:v>3.0240200000000002</c:v>
                </c:pt>
                <c:pt idx="26">
                  <c:v>3.0666500000000001</c:v>
                </c:pt>
                <c:pt idx="27">
                  <c:v>3.1071399999999998</c:v>
                </c:pt>
                <c:pt idx="28">
                  <c:v>3.1455499999999996</c:v>
                </c:pt>
                <c:pt idx="29">
                  <c:v>3.1829299999999998</c:v>
                </c:pt>
                <c:pt idx="30">
                  <c:v>3.2218499999999999</c:v>
                </c:pt>
                <c:pt idx="31">
                  <c:v>3.2609399999999997</c:v>
                </c:pt>
                <c:pt idx="32">
                  <c:v>3.29861</c:v>
                </c:pt>
                <c:pt idx="33">
                  <c:v>3.3339600000000003</c:v>
                </c:pt>
                <c:pt idx="34">
                  <c:v>3.3675500000000005</c:v>
                </c:pt>
                <c:pt idx="35">
                  <c:v>3.4001399999999999</c:v>
                </c:pt>
                <c:pt idx="36">
                  <c:v>3.43058</c:v>
                </c:pt>
                <c:pt idx="37">
                  <c:v>3.4592899999999998</c:v>
                </c:pt>
                <c:pt idx="38">
                  <c:v>3.4852799999999999</c:v>
                </c:pt>
                <c:pt idx="39">
                  <c:v>3.5080099999999996</c:v>
                </c:pt>
                <c:pt idx="40">
                  <c:v>3.5306100000000002</c:v>
                </c:pt>
                <c:pt idx="41">
                  <c:v>3.5529600000000001</c:v>
                </c:pt>
                <c:pt idx="42">
                  <c:v>3.5787999999999998</c:v>
                </c:pt>
                <c:pt idx="43">
                  <c:v>3.6052900000000001</c:v>
                </c:pt>
                <c:pt idx="44">
                  <c:v>3.63117</c:v>
                </c:pt>
                <c:pt idx="45">
                  <c:v>3.6567300000000005</c:v>
                </c:pt>
                <c:pt idx="46">
                  <c:v>3.6825000000000001</c:v>
                </c:pt>
                <c:pt idx="47">
                  <c:v>3.7055799999999999</c:v>
                </c:pt>
                <c:pt idx="48">
                  <c:v>3.72987</c:v>
                </c:pt>
                <c:pt idx="49">
                  <c:v>3.7532399999999999</c:v>
                </c:pt>
                <c:pt idx="50">
                  <c:v>3.7717700000000001</c:v>
                </c:pt>
                <c:pt idx="51">
                  <c:v>3.7996099999999999</c:v>
                </c:pt>
                <c:pt idx="52">
                  <c:v>3.82721</c:v>
                </c:pt>
                <c:pt idx="53">
                  <c:v>3.8528699999999998</c:v>
                </c:pt>
                <c:pt idx="54">
                  <c:v>3.8752399999999998</c:v>
                </c:pt>
                <c:pt idx="55">
                  <c:v>3.8970599999999997</c:v>
                </c:pt>
                <c:pt idx="56">
                  <c:v>3.9225900000000005</c:v>
                </c:pt>
                <c:pt idx="57">
                  <c:v>3.9416500000000001</c:v>
                </c:pt>
                <c:pt idx="58">
                  <c:v>3.9568199999999996</c:v>
                </c:pt>
                <c:pt idx="59">
                  <c:v>3.9683299999999999</c:v>
                </c:pt>
                <c:pt idx="60">
                  <c:v>3.97289</c:v>
                </c:pt>
                <c:pt idx="61">
                  <c:v>3.9803800000000003</c:v>
                </c:pt>
                <c:pt idx="62">
                  <c:v>3.9815699999999996</c:v>
                </c:pt>
                <c:pt idx="63">
                  <c:v>3.98123</c:v>
                </c:pt>
                <c:pt idx="64">
                  <c:v>3.9825700000000004</c:v>
                </c:pt>
                <c:pt idx="65">
                  <c:v>3.9808900000000005</c:v>
                </c:pt>
                <c:pt idx="66">
                  <c:v>3.9748999999999999</c:v>
                </c:pt>
                <c:pt idx="67">
                  <c:v>3.9506200000000002</c:v>
                </c:pt>
                <c:pt idx="68">
                  <c:v>3.9258900000000003</c:v>
                </c:pt>
                <c:pt idx="69">
                  <c:v>3.8995500000000001</c:v>
                </c:pt>
                <c:pt idx="70">
                  <c:v>3.8828499999999999</c:v>
                </c:pt>
                <c:pt idx="71">
                  <c:v>3.8437399999999999</c:v>
                </c:pt>
                <c:pt idx="72">
                  <c:v>3.8114500000000002</c:v>
                </c:pt>
                <c:pt idx="73">
                  <c:v>3.7877899999999998</c:v>
                </c:pt>
                <c:pt idx="74">
                  <c:v>3.7490800000000002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60.217100000000002</c:v>
                </c:pt>
                <c:pt idx="1">
                  <c:v>59.461399999999998</c:v>
                </c:pt>
                <c:pt idx="2">
                  <c:v>58.620700000000006</c:v>
                </c:pt>
                <c:pt idx="3">
                  <c:v>57.644600000000004</c:v>
                </c:pt>
                <c:pt idx="4">
                  <c:v>56.542800000000007</c:v>
                </c:pt>
                <c:pt idx="5">
                  <c:v>55.475499999999997</c:v>
                </c:pt>
                <c:pt idx="6">
                  <c:v>54.384900000000002</c:v>
                </c:pt>
                <c:pt idx="7">
                  <c:v>53.274900000000002</c:v>
                </c:pt>
                <c:pt idx="8">
                  <c:v>52.090299999999999</c:v>
                </c:pt>
                <c:pt idx="9">
                  <c:v>50.836199999999998</c:v>
                </c:pt>
                <c:pt idx="10">
                  <c:v>49.5184</c:v>
                </c:pt>
                <c:pt idx="11">
                  <c:v>48.176499999999997</c:v>
                </c:pt>
                <c:pt idx="12">
                  <c:v>46.813300000000005</c:v>
                </c:pt>
                <c:pt idx="13">
                  <c:v>45.518099999999997</c:v>
                </c:pt>
                <c:pt idx="14">
                  <c:v>44.293999999999997</c:v>
                </c:pt>
                <c:pt idx="15">
                  <c:v>43.133099999999999</c:v>
                </c:pt>
                <c:pt idx="16">
                  <c:v>42.072099999999999</c:v>
                </c:pt>
                <c:pt idx="17">
                  <c:v>41.136800000000001</c:v>
                </c:pt>
                <c:pt idx="18">
                  <c:v>40.2714</c:v>
                </c:pt>
                <c:pt idx="19">
                  <c:v>39.5062</c:v>
                </c:pt>
                <c:pt idx="20">
                  <c:v>38.917099999999998</c:v>
                </c:pt>
                <c:pt idx="21">
                  <c:v>38.415199999999999</c:v>
                </c:pt>
                <c:pt idx="22">
                  <c:v>37.913200000000003</c:v>
                </c:pt>
                <c:pt idx="23">
                  <c:v>37.489400000000003</c:v>
                </c:pt>
                <c:pt idx="24">
                  <c:v>37.081199999999995</c:v>
                </c:pt>
                <c:pt idx="25">
                  <c:v>36.790900000000001</c:v>
                </c:pt>
                <c:pt idx="26">
                  <c:v>36.618600000000001</c:v>
                </c:pt>
                <c:pt idx="27">
                  <c:v>36.522799999999997</c:v>
                </c:pt>
                <c:pt idx="28">
                  <c:v>36.4741</c:v>
                </c:pt>
                <c:pt idx="29">
                  <c:v>36.452100000000002</c:v>
                </c:pt>
                <c:pt idx="30">
                  <c:v>36.412800000000004</c:v>
                </c:pt>
                <c:pt idx="31">
                  <c:v>36.409999999999997</c:v>
                </c:pt>
                <c:pt idx="32">
                  <c:v>36.468499999999999</c:v>
                </c:pt>
                <c:pt idx="33">
                  <c:v>36.570700000000002</c:v>
                </c:pt>
                <c:pt idx="34">
                  <c:v>36.627900000000004</c:v>
                </c:pt>
                <c:pt idx="35">
                  <c:v>36.639699999999998</c:v>
                </c:pt>
                <c:pt idx="36">
                  <c:v>36.624400000000001</c:v>
                </c:pt>
                <c:pt idx="37">
                  <c:v>36.633900000000004</c:v>
                </c:pt>
                <c:pt idx="38">
                  <c:v>36.640499999999996</c:v>
                </c:pt>
                <c:pt idx="39">
                  <c:v>36.674599999999998</c:v>
                </c:pt>
                <c:pt idx="40">
                  <c:v>36.7316</c:v>
                </c:pt>
                <c:pt idx="41">
                  <c:v>36.781700000000001</c:v>
                </c:pt>
                <c:pt idx="42">
                  <c:v>36.7545</c:v>
                </c:pt>
                <c:pt idx="43">
                  <c:v>36.640900000000002</c:v>
                </c:pt>
                <c:pt idx="44">
                  <c:v>36.454799999999999</c:v>
                </c:pt>
                <c:pt idx="45">
                  <c:v>36.204599999999999</c:v>
                </c:pt>
                <c:pt idx="46">
                  <c:v>35.909500000000001</c:v>
                </c:pt>
                <c:pt idx="47">
                  <c:v>35.604599999999998</c:v>
                </c:pt>
                <c:pt idx="48">
                  <c:v>35.290999999999997</c:v>
                </c:pt>
                <c:pt idx="49">
                  <c:v>35.039000000000001</c:v>
                </c:pt>
                <c:pt idx="50">
                  <c:v>34.833599999999997</c:v>
                </c:pt>
                <c:pt idx="51">
                  <c:v>34.525399999999998</c:v>
                </c:pt>
                <c:pt idx="52">
                  <c:v>34.2515</c:v>
                </c:pt>
                <c:pt idx="53">
                  <c:v>34.027000000000001</c:v>
                </c:pt>
                <c:pt idx="54">
                  <c:v>33.842299999999994</c:v>
                </c:pt>
                <c:pt idx="55">
                  <c:v>33.607100000000003</c:v>
                </c:pt>
                <c:pt idx="56">
                  <c:v>33.369799999999998</c:v>
                </c:pt>
                <c:pt idx="57">
                  <c:v>33.250700000000002</c:v>
                </c:pt>
                <c:pt idx="58">
                  <c:v>33.169699999999999</c:v>
                </c:pt>
                <c:pt idx="59">
                  <c:v>33.187100000000001</c:v>
                </c:pt>
                <c:pt idx="60">
                  <c:v>33.289499999999997</c:v>
                </c:pt>
                <c:pt idx="61">
                  <c:v>33.337899999999998</c:v>
                </c:pt>
                <c:pt idx="62">
                  <c:v>33.472700000000003</c:v>
                </c:pt>
                <c:pt idx="63">
                  <c:v>33.610199999999999</c:v>
                </c:pt>
                <c:pt idx="64">
                  <c:v>33.776400000000002</c:v>
                </c:pt>
                <c:pt idx="65">
                  <c:v>33.910699999999999</c:v>
                </c:pt>
                <c:pt idx="66">
                  <c:v>34.042099999999998</c:v>
                </c:pt>
                <c:pt idx="67">
                  <c:v>34.244900000000001</c:v>
                </c:pt>
                <c:pt idx="68">
                  <c:v>34.364699999999999</c:v>
                </c:pt>
                <c:pt idx="69">
                  <c:v>34.491</c:v>
                </c:pt>
                <c:pt idx="70">
                  <c:v>34.591000000000001</c:v>
                </c:pt>
                <c:pt idx="71">
                  <c:v>34.769599999999997</c:v>
                </c:pt>
                <c:pt idx="72">
                  <c:v>34.900700000000001</c:v>
                </c:pt>
                <c:pt idx="73">
                  <c:v>35.069699999999997</c:v>
                </c:pt>
                <c:pt idx="74">
                  <c:v>35.269500000000001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3.7490800000000002</c:v>
                </c:pt>
                <c:pt idx="1">
                  <c:v>3.6950499999999997</c:v>
                </c:pt>
                <c:pt idx="2">
                  <c:v>3.6510100000000003</c:v>
                </c:pt>
                <c:pt idx="3">
                  <c:v>3.6090100000000005</c:v>
                </c:pt>
                <c:pt idx="4">
                  <c:v>3.5666399999999996</c:v>
                </c:pt>
                <c:pt idx="5">
                  <c:v>3.52569</c:v>
                </c:pt>
                <c:pt idx="6">
                  <c:v>3.4818799999999999</c:v>
                </c:pt>
                <c:pt idx="7">
                  <c:v>3.4389700000000003</c:v>
                </c:pt>
                <c:pt idx="8">
                  <c:v>3.4005700000000001</c:v>
                </c:pt>
                <c:pt idx="9">
                  <c:v>3.3691199999999997</c:v>
                </c:pt>
                <c:pt idx="10">
                  <c:v>3.3449299999999997</c:v>
                </c:pt>
                <c:pt idx="11">
                  <c:v>3.3231600000000001</c:v>
                </c:pt>
                <c:pt idx="12">
                  <c:v>3.3034599999999998</c:v>
                </c:pt>
                <c:pt idx="13">
                  <c:v>3.2877299999999998</c:v>
                </c:pt>
                <c:pt idx="14">
                  <c:v>3.2765499999999999</c:v>
                </c:pt>
                <c:pt idx="15">
                  <c:v>3.2710900000000001</c:v>
                </c:pt>
                <c:pt idx="16">
                  <c:v>3.2732299999999999</c:v>
                </c:pt>
                <c:pt idx="17">
                  <c:v>3.2781199999999999</c:v>
                </c:pt>
                <c:pt idx="18">
                  <c:v>3.2846399999999996</c:v>
                </c:pt>
                <c:pt idx="19">
                  <c:v>3.2898699999999996</c:v>
                </c:pt>
                <c:pt idx="20">
                  <c:v>3.2966099999999998</c:v>
                </c:pt>
                <c:pt idx="21">
                  <c:v>3.3079399999999999</c:v>
                </c:pt>
                <c:pt idx="22">
                  <c:v>3.32334</c:v>
                </c:pt>
                <c:pt idx="23">
                  <c:v>3.3431600000000001</c:v>
                </c:pt>
                <c:pt idx="24">
                  <c:v>3.3650899999999999</c:v>
                </c:pt>
                <c:pt idx="25">
                  <c:v>3.3896100000000002</c:v>
                </c:pt>
                <c:pt idx="26">
                  <c:v>3.4131099999999996</c:v>
                </c:pt>
                <c:pt idx="27">
                  <c:v>3.4412900000000004</c:v>
                </c:pt>
                <c:pt idx="28">
                  <c:v>3.47051</c:v>
                </c:pt>
                <c:pt idx="29">
                  <c:v>3.5043099999999998</c:v>
                </c:pt>
                <c:pt idx="30">
                  <c:v>3.5342000000000002</c:v>
                </c:pt>
                <c:pt idx="31">
                  <c:v>3.5610300000000001</c:v>
                </c:pt>
                <c:pt idx="32">
                  <c:v>3.5880200000000002</c:v>
                </c:pt>
                <c:pt idx="33">
                  <c:v>3.61355</c:v>
                </c:pt>
                <c:pt idx="34">
                  <c:v>3.6407099999999999</c:v>
                </c:pt>
                <c:pt idx="35">
                  <c:v>3.6628100000000003</c:v>
                </c:pt>
                <c:pt idx="36">
                  <c:v>3.6852</c:v>
                </c:pt>
                <c:pt idx="37">
                  <c:v>3.7057200000000003</c:v>
                </c:pt>
                <c:pt idx="38">
                  <c:v>3.72404</c:v>
                </c:pt>
                <c:pt idx="39">
                  <c:v>3.7398400000000001</c:v>
                </c:pt>
                <c:pt idx="40">
                  <c:v>3.7542499999999999</c:v>
                </c:pt>
                <c:pt idx="41">
                  <c:v>3.7685200000000001</c:v>
                </c:pt>
                <c:pt idx="42">
                  <c:v>3.78247</c:v>
                </c:pt>
                <c:pt idx="43">
                  <c:v>3.7994299999999996</c:v>
                </c:pt>
                <c:pt idx="44">
                  <c:v>3.8192599999999999</c:v>
                </c:pt>
                <c:pt idx="45">
                  <c:v>3.8375700000000004</c:v>
                </c:pt>
                <c:pt idx="46">
                  <c:v>3.8531</c:v>
                </c:pt>
                <c:pt idx="47">
                  <c:v>3.8689600000000004</c:v>
                </c:pt>
                <c:pt idx="48">
                  <c:v>3.8880500000000002</c:v>
                </c:pt>
                <c:pt idx="49">
                  <c:v>3.90984</c:v>
                </c:pt>
                <c:pt idx="50">
                  <c:v>3.9245200000000002</c:v>
                </c:pt>
                <c:pt idx="51">
                  <c:v>3.93452</c:v>
                </c:pt>
                <c:pt idx="52">
                  <c:v>3.9424100000000002</c:v>
                </c:pt>
                <c:pt idx="53">
                  <c:v>3.9502199999999998</c:v>
                </c:pt>
                <c:pt idx="54">
                  <c:v>3.9549499999999997</c:v>
                </c:pt>
                <c:pt idx="55">
                  <c:v>3.96258</c:v>
                </c:pt>
                <c:pt idx="56">
                  <c:v>3.97383</c:v>
                </c:pt>
                <c:pt idx="57">
                  <c:v>3.9842499999999998</c:v>
                </c:pt>
                <c:pt idx="58">
                  <c:v>3.9941300000000002</c:v>
                </c:pt>
                <c:pt idx="59">
                  <c:v>3.9985300000000001</c:v>
                </c:pt>
                <c:pt idx="60">
                  <c:v>4.0060099999999998</c:v>
                </c:pt>
                <c:pt idx="61">
                  <c:v>4.0143800000000001</c:v>
                </c:pt>
                <c:pt idx="62">
                  <c:v>4.0263999999999998</c:v>
                </c:pt>
                <c:pt idx="63">
                  <c:v>4.0421800000000001</c:v>
                </c:pt>
                <c:pt idx="64">
                  <c:v>4.0591799999999996</c:v>
                </c:pt>
                <c:pt idx="65">
                  <c:v>4.0738400000000006</c:v>
                </c:pt>
                <c:pt idx="66">
                  <c:v>4.08256</c:v>
                </c:pt>
                <c:pt idx="67">
                  <c:v>4.09307</c:v>
                </c:pt>
                <c:pt idx="68">
                  <c:v>4.0993899999999996</c:v>
                </c:pt>
                <c:pt idx="69">
                  <c:v>4.10297</c:v>
                </c:pt>
                <c:pt idx="70">
                  <c:v>4.1116599999999996</c:v>
                </c:pt>
                <c:pt idx="71">
                  <c:v>4.1308800000000003</c:v>
                </c:pt>
                <c:pt idx="72">
                  <c:v>4.1629899999999997</c:v>
                </c:pt>
                <c:pt idx="73">
                  <c:v>4.1841600000000003</c:v>
                </c:pt>
                <c:pt idx="74">
                  <c:v>4.1593400000000003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35.269500000000001</c:v>
                </c:pt>
                <c:pt idx="1">
                  <c:v>35.688199999999995</c:v>
                </c:pt>
                <c:pt idx="2">
                  <c:v>36.163899999999998</c:v>
                </c:pt>
                <c:pt idx="3">
                  <c:v>36.663600000000002</c:v>
                </c:pt>
                <c:pt idx="4">
                  <c:v>37.243300000000005</c:v>
                </c:pt>
                <c:pt idx="5">
                  <c:v>37.967300000000002</c:v>
                </c:pt>
                <c:pt idx="6">
                  <c:v>38.876100000000001</c:v>
                </c:pt>
                <c:pt idx="7">
                  <c:v>39.903199999999998</c:v>
                </c:pt>
                <c:pt idx="8">
                  <c:v>40.965299999999999</c:v>
                </c:pt>
                <c:pt idx="9">
                  <c:v>41.966900000000003</c:v>
                </c:pt>
                <c:pt idx="10">
                  <c:v>42.912599999999998</c:v>
                </c:pt>
                <c:pt idx="11">
                  <c:v>43.8294</c:v>
                </c:pt>
                <c:pt idx="12">
                  <c:v>44.696999999999996</c:v>
                </c:pt>
                <c:pt idx="13">
                  <c:v>45.4831</c:v>
                </c:pt>
                <c:pt idx="14">
                  <c:v>46.216900000000003</c:v>
                </c:pt>
                <c:pt idx="15">
                  <c:v>46.872300000000003</c:v>
                </c:pt>
                <c:pt idx="16">
                  <c:v>47.3354</c:v>
                </c:pt>
                <c:pt idx="17">
                  <c:v>47.6907</c:v>
                </c:pt>
                <c:pt idx="18">
                  <c:v>47.989800000000002</c:v>
                </c:pt>
                <c:pt idx="19">
                  <c:v>48.282599999999995</c:v>
                </c:pt>
                <c:pt idx="20">
                  <c:v>48.588099999999997</c:v>
                </c:pt>
                <c:pt idx="21">
                  <c:v>48.898299999999999</c:v>
                </c:pt>
                <c:pt idx="22">
                  <c:v>49.238999999999997</c:v>
                </c:pt>
                <c:pt idx="23">
                  <c:v>49.502499999999998</c:v>
                </c:pt>
                <c:pt idx="24">
                  <c:v>49.7592</c:v>
                </c:pt>
                <c:pt idx="25">
                  <c:v>50.007000000000005</c:v>
                </c:pt>
                <c:pt idx="26">
                  <c:v>50.238499999999995</c:v>
                </c:pt>
                <c:pt idx="27">
                  <c:v>50.428600000000003</c:v>
                </c:pt>
                <c:pt idx="28">
                  <c:v>50.6374</c:v>
                </c:pt>
                <c:pt idx="29">
                  <c:v>50.739500000000007</c:v>
                </c:pt>
                <c:pt idx="30">
                  <c:v>50.853099999999998</c:v>
                </c:pt>
                <c:pt idx="31">
                  <c:v>50.998699999999999</c:v>
                </c:pt>
                <c:pt idx="32">
                  <c:v>51.072700000000005</c:v>
                </c:pt>
                <c:pt idx="33">
                  <c:v>51.09</c:v>
                </c:pt>
                <c:pt idx="34">
                  <c:v>50.973199999999999</c:v>
                </c:pt>
                <c:pt idx="35">
                  <c:v>50.888300000000001</c:v>
                </c:pt>
                <c:pt idx="36">
                  <c:v>50.7958</c:v>
                </c:pt>
                <c:pt idx="37">
                  <c:v>50.768899999999995</c:v>
                </c:pt>
                <c:pt idx="38">
                  <c:v>50.732900000000001</c:v>
                </c:pt>
                <c:pt idx="39">
                  <c:v>50.675400000000003</c:v>
                </c:pt>
                <c:pt idx="40">
                  <c:v>50.508299999999991</c:v>
                </c:pt>
                <c:pt idx="41">
                  <c:v>50.244</c:v>
                </c:pt>
                <c:pt idx="42">
                  <c:v>49.983600000000003</c:v>
                </c:pt>
                <c:pt idx="43">
                  <c:v>49.703399999999995</c:v>
                </c:pt>
                <c:pt idx="44">
                  <c:v>49.404199999999996</c:v>
                </c:pt>
                <c:pt idx="45">
                  <c:v>49.207299999999996</c:v>
                </c:pt>
                <c:pt idx="46">
                  <c:v>49.0212</c:v>
                </c:pt>
                <c:pt idx="47">
                  <c:v>48.835499999999996</c:v>
                </c:pt>
                <c:pt idx="48">
                  <c:v>48.616500000000002</c:v>
                </c:pt>
                <c:pt idx="49">
                  <c:v>48.353299999999997</c:v>
                </c:pt>
                <c:pt idx="50">
                  <c:v>48.214500000000001</c:v>
                </c:pt>
                <c:pt idx="51">
                  <c:v>48.136000000000003</c:v>
                </c:pt>
                <c:pt idx="52">
                  <c:v>48.036299999999997</c:v>
                </c:pt>
                <c:pt idx="53">
                  <c:v>47.903199999999998</c:v>
                </c:pt>
                <c:pt idx="54">
                  <c:v>47.779700000000005</c:v>
                </c:pt>
                <c:pt idx="55">
                  <c:v>47.680199999999999</c:v>
                </c:pt>
                <c:pt idx="56">
                  <c:v>47.5929</c:v>
                </c:pt>
                <c:pt idx="57">
                  <c:v>47.520099999999999</c:v>
                </c:pt>
                <c:pt idx="58">
                  <c:v>47.453400000000002</c:v>
                </c:pt>
                <c:pt idx="59">
                  <c:v>47.3949</c:v>
                </c:pt>
                <c:pt idx="60">
                  <c:v>47.297899999999998</c:v>
                </c:pt>
                <c:pt idx="61">
                  <c:v>47.204900000000002</c:v>
                </c:pt>
                <c:pt idx="62">
                  <c:v>47.0623</c:v>
                </c:pt>
                <c:pt idx="63">
                  <c:v>46.9542</c:v>
                </c:pt>
                <c:pt idx="64">
                  <c:v>46.854199999999999</c:v>
                </c:pt>
                <c:pt idx="65">
                  <c:v>46.835799999999999</c:v>
                </c:pt>
                <c:pt idx="66">
                  <c:v>46.877299999999998</c:v>
                </c:pt>
                <c:pt idx="67">
                  <c:v>46.940100000000001</c:v>
                </c:pt>
                <c:pt idx="68">
                  <c:v>47.006900000000002</c:v>
                </c:pt>
                <c:pt idx="69">
                  <c:v>47.236800000000002</c:v>
                </c:pt>
                <c:pt idx="70">
                  <c:v>47.292299999999997</c:v>
                </c:pt>
                <c:pt idx="71">
                  <c:v>47.238700000000001</c:v>
                </c:pt>
                <c:pt idx="72">
                  <c:v>47.103200000000001</c:v>
                </c:pt>
                <c:pt idx="73">
                  <c:v>47.027700000000003</c:v>
                </c:pt>
                <c:pt idx="74">
                  <c:v>47.6126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1.8896999999999999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60.217100000000002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3.2445367567567573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39.388018918918903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3.7002831081081085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47.019256756756747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3.7002831081081085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47.019256756756747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519</v>
      </c>
      <c r="D5" s="151"/>
      <c r="E5" s="151"/>
      <c r="F5" s="152"/>
      <c r="G5" s="48" t="str">
        <f>lang!B27</f>
        <v>编号</v>
      </c>
      <c r="H5" s="150">
        <v>17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518</v>
      </c>
      <c r="D6" s="188"/>
      <c r="E6" s="188"/>
      <c r="F6" s="189"/>
      <c r="G6" s="49" t="str">
        <f>lang!B28</f>
        <v xml:space="preserve"> 日期</v>
      </c>
      <c r="H6" s="172">
        <f>FH_info!A2</f>
        <v>43607.42324074074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52</v>
      </c>
      <c r="D7" s="191"/>
      <c r="E7" s="191"/>
      <c r="F7" s="192"/>
      <c r="G7" s="50" t="str">
        <f>lang!B29</f>
        <v>误差率（%）</v>
      </c>
      <c r="H7" s="175">
        <f>M!B17*1</f>
        <v>15.685700000000001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38.941400000000002</v>
      </c>
      <c r="O8" s="59">
        <f>M!C5*1</f>
        <v>10.170500000000001</v>
      </c>
      <c r="P8" s="59">
        <f>M!D5*1</f>
        <v>26.1175</v>
      </c>
      <c r="Q8" s="59">
        <f>M!E5*1</f>
        <v>20</v>
      </c>
      <c r="R8" s="59">
        <f>M!F5*1</f>
        <v>10.0326</v>
      </c>
      <c r="S8" s="59">
        <f>M!G5*1</f>
        <v>50</v>
      </c>
      <c r="T8" s="59">
        <f>M!H5*1</f>
        <v>55.738599999999998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27.2195</v>
      </c>
      <c r="O9" s="59">
        <f>M!C6*1</f>
        <v>2.11755</v>
      </c>
      <c r="P9" s="59">
        <f>M!D6*1</f>
        <v>7.7795199999999998</v>
      </c>
      <c r="Q9" s="59">
        <f>M!E6*1</f>
        <v>20</v>
      </c>
      <c r="R9" s="59">
        <f>M!F6*1</f>
        <v>22.827400000000001</v>
      </c>
      <c r="S9" s="59">
        <f>M!G6*1</f>
        <v>40</v>
      </c>
      <c r="T9" s="59">
        <f>M!H6*1</f>
        <v>31.763100000000001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10.0326</v>
      </c>
      <c r="D10" s="99">
        <f>N8</f>
        <v>38.941400000000002</v>
      </c>
      <c r="E10" s="100">
        <f>T8</f>
        <v>55.738599999999998</v>
      </c>
      <c r="F10" s="91">
        <f>P8</f>
        <v>26.1175</v>
      </c>
      <c r="G10" s="81" t="str">
        <f>CONCATENATE(M9,"
(20 ~ 40)")</f>
        <v>压力
(20 ~ 40)</v>
      </c>
      <c r="H10" s="98">
        <f>R9</f>
        <v>22.827400000000001</v>
      </c>
      <c r="I10" s="108">
        <f>N9</f>
        <v>27.2195</v>
      </c>
      <c r="J10" s="98">
        <f>T9</f>
        <v>31.763100000000001</v>
      </c>
      <c r="K10" s="92">
        <f>P9</f>
        <v>7.7795199999999998</v>
      </c>
      <c r="L10" s="6"/>
      <c r="M10" s="27" t="str">
        <f>lang!B16</f>
        <v>焦虑</v>
      </c>
      <c r="N10" s="59">
        <f>M!B7*1</f>
        <v>26.305900000000001</v>
      </c>
      <c r="O10" s="59">
        <f>M!C7*1</f>
        <v>7.1162000000000001</v>
      </c>
      <c r="P10" s="59">
        <f>M!D7*1</f>
        <v>27.0518</v>
      </c>
      <c r="Q10" s="59">
        <f>M!E7*1</f>
        <v>15</v>
      </c>
      <c r="R10" s="59">
        <f>M!F7*1</f>
        <v>5.8123199999999997</v>
      </c>
      <c r="S10" s="59">
        <f>M!G7*1</f>
        <v>40</v>
      </c>
      <c r="T10" s="59">
        <f>M!H7*1</f>
        <v>44.276499999999999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5.8123199999999997</v>
      </c>
      <c r="D11" s="102">
        <f>N10</f>
        <v>26.305900000000001</v>
      </c>
      <c r="E11" s="103">
        <f>T10</f>
        <v>44.276499999999999</v>
      </c>
      <c r="F11" s="94">
        <f>P10</f>
        <v>27.0518</v>
      </c>
      <c r="G11" s="52" t="str">
        <f>CONCATENATE(M11,"
(20 ~ 50)")</f>
        <v>可疑
(20 ~ 50)</v>
      </c>
      <c r="H11" s="101">
        <f>R11</f>
        <v>20.046099999999999</v>
      </c>
      <c r="I11" s="104">
        <f>N11</f>
        <v>30.681999999999999</v>
      </c>
      <c r="J11" s="101">
        <f>T11</f>
        <v>37.6614</v>
      </c>
      <c r="K11" s="95">
        <f>P11</f>
        <v>11.053800000000001</v>
      </c>
      <c r="L11" s="4"/>
      <c r="M11" s="27" t="str">
        <f>lang!B17</f>
        <v>可疑</v>
      </c>
      <c r="N11" s="59">
        <f>M!B8*1</f>
        <v>30.681999999999999</v>
      </c>
      <c r="O11" s="59">
        <f>M!C8*1</f>
        <v>3.3915199999999999</v>
      </c>
      <c r="P11" s="59">
        <f>M!D8*1</f>
        <v>11.053800000000001</v>
      </c>
      <c r="Q11" s="59">
        <f>M!E8*1</f>
        <v>20</v>
      </c>
      <c r="R11" s="59">
        <f>M!F8*1</f>
        <v>20.046099999999999</v>
      </c>
      <c r="S11" s="59">
        <f>M!G8*1</f>
        <v>50</v>
      </c>
      <c r="T11" s="59">
        <f>M!H8*1</f>
        <v>37.6614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58.134799999999998</v>
      </c>
      <c r="D12" s="104">
        <f>N12</f>
        <v>68.121600000000001</v>
      </c>
      <c r="E12" s="101">
        <f>T12</f>
        <v>82.525499999999994</v>
      </c>
      <c r="F12" s="93">
        <f>P12</f>
        <v>7.8921700000000001</v>
      </c>
      <c r="G12" s="52" t="str">
        <f>CONCATENATE(M13,"
(40 ~ 100)")</f>
        <v>自信
(40 ~ 100)</v>
      </c>
      <c r="H12" s="101">
        <f>R13</f>
        <v>76.848200000000006</v>
      </c>
      <c r="I12" s="104">
        <f>N13</f>
        <v>80.402100000000004</v>
      </c>
      <c r="J12" s="101">
        <f>T13</f>
        <v>84.327799999999996</v>
      </c>
      <c r="K12" s="95">
        <f>P13</f>
        <v>2.2838400000000001</v>
      </c>
      <c r="L12" s="4"/>
      <c r="M12" s="27" t="str">
        <f>lang!B18</f>
        <v>平衡</v>
      </c>
      <c r="N12" s="59">
        <f>M!B9*1</f>
        <v>68.121600000000001</v>
      </c>
      <c r="O12" s="59">
        <f>M!C9*1</f>
        <v>5.3762699999999999</v>
      </c>
      <c r="P12" s="59">
        <f>M!D9*1</f>
        <v>7.8921700000000001</v>
      </c>
      <c r="Q12" s="59">
        <f>M!E9*1</f>
        <v>50</v>
      </c>
      <c r="R12" s="59">
        <f>M!F9*1</f>
        <v>58.134799999999998</v>
      </c>
      <c r="S12" s="59">
        <f>M!G9*1</f>
        <v>100</v>
      </c>
      <c r="T12" s="59">
        <f>M!H9*1</f>
        <v>82.525499999999994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7.7366200000000003</v>
      </c>
      <c r="D13" s="102">
        <f>N14</f>
        <v>23.6252</v>
      </c>
      <c r="E13" s="103">
        <f>T14</f>
        <v>31.409500000000001</v>
      </c>
      <c r="F13" s="94">
        <f>P14</f>
        <v>25.660399999999999</v>
      </c>
      <c r="G13" s="52" t="str">
        <f>CONCATENATE(M15,"
(50 ~ 100)")</f>
        <v>自我调节
(50 ~ 100)</v>
      </c>
      <c r="H13" s="101">
        <f>R15</f>
        <v>68.325500000000005</v>
      </c>
      <c r="I13" s="104">
        <f>N15</f>
        <v>74.028599999999997</v>
      </c>
      <c r="J13" s="101">
        <f>T15</f>
        <v>82.398499999999999</v>
      </c>
      <c r="K13" s="95">
        <f>P15</f>
        <v>4.3639700000000001</v>
      </c>
      <c r="L13" s="4"/>
      <c r="M13" s="27" t="str">
        <f>lang!B19</f>
        <v>自信</v>
      </c>
      <c r="N13" s="59">
        <f>M!B10*1</f>
        <v>80.402100000000004</v>
      </c>
      <c r="O13" s="59">
        <f>M!C10*1</f>
        <v>1.8362499999999999</v>
      </c>
      <c r="P13" s="59">
        <f>M!D10*1</f>
        <v>2.2838400000000001</v>
      </c>
      <c r="Q13" s="59">
        <f>M!E10*1</f>
        <v>40</v>
      </c>
      <c r="R13" s="59">
        <f>M!F10*1</f>
        <v>76.848200000000006</v>
      </c>
      <c r="S13" s="59">
        <f>M!G10*1</f>
        <v>100</v>
      </c>
      <c r="T13" s="59">
        <f>M!H10*1</f>
        <v>84.327799999999996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13.0235</v>
      </c>
      <c r="D14" s="106">
        <f>N16</f>
        <v>19.706800000000001</v>
      </c>
      <c r="E14" s="107">
        <f>T16</f>
        <v>35.2714</v>
      </c>
      <c r="F14" s="96">
        <f>P16</f>
        <v>18.9956</v>
      </c>
      <c r="G14" s="112" t="str">
        <f>CONCATENATE(M17,"
(10 ~ 50)")</f>
        <v>神经质
(10 ~ 50)</v>
      </c>
      <c r="H14" s="105">
        <f>R17</f>
        <v>3.5095999999999998</v>
      </c>
      <c r="I14" s="106">
        <f>N17</f>
        <v>37.434100000000001</v>
      </c>
      <c r="J14" s="107">
        <f>T17</f>
        <v>40.746299999999998</v>
      </c>
      <c r="K14" s="97">
        <f>P17</f>
        <v>25.6584</v>
      </c>
      <c r="M14" s="27" t="str">
        <f>lang!B20</f>
        <v>活力</v>
      </c>
      <c r="N14" s="59">
        <f>M!B11*1</f>
        <v>23.6252</v>
      </c>
      <c r="O14" s="59">
        <f>M!C11*1</f>
        <v>6.0623100000000001</v>
      </c>
      <c r="P14" s="59">
        <f>M!D11*1</f>
        <v>25.660399999999999</v>
      </c>
      <c r="Q14" s="59">
        <f>M!E11*1</f>
        <v>10</v>
      </c>
      <c r="R14" s="59">
        <f>M!F11*1</f>
        <v>7.7366200000000003</v>
      </c>
      <c r="S14" s="59">
        <f>M!G11*1</f>
        <v>50</v>
      </c>
      <c r="T14" s="59">
        <f>M!H11*1</f>
        <v>31.409500000000001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74.028599999999997</v>
      </c>
      <c r="O15" s="59">
        <f>M!C12*1</f>
        <v>3.2305899999999999</v>
      </c>
      <c r="P15" s="59">
        <f>M!D12*1</f>
        <v>4.3639700000000001</v>
      </c>
      <c r="Q15" s="59">
        <f>M!E12*1</f>
        <v>50</v>
      </c>
      <c r="R15" s="59">
        <f>M!F12*1</f>
        <v>68.325500000000005</v>
      </c>
      <c r="S15" s="59">
        <f>M!G12*1</f>
        <v>100</v>
      </c>
      <c r="T15" s="59">
        <f>M!H12*1</f>
        <v>82.398499999999999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19.706800000000001</v>
      </c>
      <c r="O16" s="59">
        <f>M!C13*1</f>
        <v>3.7434099999999999</v>
      </c>
      <c r="P16" s="59">
        <f>M!D13*1</f>
        <v>18.9956</v>
      </c>
      <c r="Q16" s="59">
        <f>M!E13*1</f>
        <v>10</v>
      </c>
      <c r="R16" s="59">
        <f>M!F13*1</f>
        <v>13.0235</v>
      </c>
      <c r="S16" s="59">
        <f>M!G13*1</f>
        <v>25</v>
      </c>
      <c r="T16" s="59">
        <f>M!H13*1</f>
        <v>35.2714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37.434100000000001</v>
      </c>
      <c r="O17" s="59">
        <f>M!C14*1</f>
        <v>9.6049900000000008</v>
      </c>
      <c r="P17" s="59">
        <f>M!D14*1</f>
        <v>25.6584</v>
      </c>
      <c r="Q17" s="59">
        <f>M!E14*1</f>
        <v>10</v>
      </c>
      <c r="R17" s="59">
        <f>M!F14*1</f>
        <v>3.5095999999999998</v>
      </c>
      <c r="S17" s="59">
        <f>M!G14*1</f>
        <v>50</v>
      </c>
      <c r="T17" s="59">
        <f>M!H14*1</f>
        <v>40.746299999999998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61.544375000000002</v>
      </c>
      <c r="O18" s="22">
        <f>N18/(N18+N19+N20)</f>
        <v>0.5090433762379083</v>
      </c>
      <c r="P18" s="65">
        <f>SUM(P12:P15)/4</f>
        <v>10.050095000000001</v>
      </c>
      <c r="Q18" s="22">
        <f>P18/(P18+P19+P20)</f>
        <v>0.19949471740996771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30.787200000000002</v>
      </c>
      <c r="O19" s="22">
        <f>N19/(N18+N19+N20)</f>
        <v>0.25464585890931107</v>
      </c>
      <c r="P19" s="18">
        <f>SUM(P8:P11)/4</f>
        <v>18.000654999999998</v>
      </c>
      <c r="Q19" s="22">
        <f>P19/(P18+P19+P20)</f>
        <v>0.35731359578385297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28.570450000000001</v>
      </c>
      <c r="O20" s="22">
        <f>N20/(N18+N19+N20)</f>
        <v>0.23631076485278057</v>
      </c>
      <c r="P20" s="18">
        <f>(P16+P17)/2</f>
        <v>22.326999999999998</v>
      </c>
      <c r="Q20" s="22">
        <f>P20/(P18+P19+P20)</f>
        <v>0.44319168680617926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3.0737743243243298E-2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1.6692019077326143</v>
      </c>
      <c r="D25" s="44" t="str">
        <f>lang!B11</f>
        <v>频率方差</v>
      </c>
      <c r="E25" s="142">
        <f ca="1">FH!L3</f>
        <v>0.64013797384396365</v>
      </c>
      <c r="F25" s="143"/>
      <c r="G25" s="134" t="str">
        <f>lang!B12</f>
        <v>生理变化率</v>
      </c>
      <c r="H25" s="135"/>
      <c r="I25" s="62" t="str">
        <f ca="1">CONCATENATE(info!M7,"-",info!M8)</f>
        <v>33.2-60.2</v>
      </c>
      <c r="J25" s="42" t="str">
        <f>lang!B13</f>
        <v>千卡l/分钟</v>
      </c>
      <c r="K25" s="41" t="str">
        <f ca="1">CONCATENATE(info!M5,"-",info!M6)</f>
        <v>1.9-4.2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43.588700000000003</v>
      </c>
      <c r="F28" s="164"/>
      <c r="G28" s="178" t="str">
        <f>lang!B33</f>
        <v>稳定性</v>
      </c>
      <c r="H28" s="179"/>
      <c r="I28" s="180"/>
      <c r="J28" s="181">
        <f>M!B19*100</f>
        <v>63.624000000000002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43607.42324074074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-0.60620000000000118</v>
      </c>
      <c r="O7" s="59">
        <f t="shared" ref="O7:T7" si="2">AG7-X7</f>
        <v>-6.6501800000000006</v>
      </c>
      <c r="P7" s="59">
        <f t="shared" si="2"/>
        <v>-16.689799999999998</v>
      </c>
      <c r="Q7" s="59">
        <f t="shared" si="2"/>
        <v>0</v>
      </c>
      <c r="R7" s="59">
        <f t="shared" si="2"/>
        <v>23.591000000000001</v>
      </c>
      <c r="S7" s="59">
        <f t="shared" si="2"/>
        <v>0</v>
      </c>
      <c r="T7" s="59">
        <f t="shared" si="2"/>
        <v>0.94440000000000168</v>
      </c>
      <c r="U7" s="14"/>
      <c r="V7" s="27" t="str">
        <f>M7</f>
        <v>攻击性</v>
      </c>
      <c r="W7" s="59">
        <f>'M1'!B5*1</f>
        <v>39.292200000000001</v>
      </c>
      <c r="X7" s="59">
        <f>'M1'!C5*1</f>
        <v>12.548400000000001</v>
      </c>
      <c r="Y7" s="59">
        <f>'M1'!D5*1</f>
        <v>31.936199999999999</v>
      </c>
      <c r="Z7" s="59">
        <f>'M1'!E5*1</f>
        <v>20</v>
      </c>
      <c r="AA7" s="59">
        <f>'M1'!F5*1</f>
        <v>10.0326</v>
      </c>
      <c r="AB7" s="59">
        <f>'M1'!G5*1</f>
        <v>50</v>
      </c>
      <c r="AC7" s="59">
        <f>'M1'!H5*1</f>
        <v>54.794199999999996</v>
      </c>
      <c r="AE7" s="27" t="str">
        <f>V7</f>
        <v>攻击性</v>
      </c>
      <c r="AF7" s="59">
        <f>'M2'!B5*1</f>
        <v>38.686</v>
      </c>
      <c r="AG7" s="59">
        <f>'M2'!C5*1</f>
        <v>5.8982200000000002</v>
      </c>
      <c r="AH7" s="59">
        <f>'M2'!D5*1</f>
        <v>15.2464</v>
      </c>
      <c r="AI7" s="59">
        <f>'M2'!E5*1</f>
        <v>20</v>
      </c>
      <c r="AJ7" s="59">
        <f>'M2'!F5*1</f>
        <v>33.623600000000003</v>
      </c>
      <c r="AK7" s="59">
        <f>'M2'!G5*1</f>
        <v>50</v>
      </c>
      <c r="AL7" s="59">
        <f>'M2'!H5*1</f>
        <v>55.738599999999998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-1.555299999999999</v>
      </c>
      <c r="O8" s="59">
        <f t="shared" ref="O8:O16" si="5">AG8-X8</f>
        <v>-0.26266999999999996</v>
      </c>
      <c r="P8" s="59">
        <f t="shared" ref="P8:P16" si="6">AH8-Y8</f>
        <v>-0.58827000000000051</v>
      </c>
      <c r="Q8" s="59">
        <f t="shared" ref="Q8:Q16" si="7">AI8-Z8</f>
        <v>0</v>
      </c>
      <c r="R8" s="59">
        <f t="shared" ref="R8:R16" si="8">AJ8-AA8</f>
        <v>-0.28579999999999828</v>
      </c>
      <c r="S8" s="59">
        <f t="shared" ref="S8:S16" si="9">AK8-AB8</f>
        <v>0</v>
      </c>
      <c r="T8" s="59">
        <f t="shared" ref="T8:T16" si="10">AL8-AC8</f>
        <v>-3.682500000000001</v>
      </c>
      <c r="U8" s="15"/>
      <c r="V8" s="27" t="str">
        <f t="shared" ref="V8:V16" si="11">M8</f>
        <v>压力</v>
      </c>
      <c r="W8" s="59">
        <f>'M1'!B6*1</f>
        <v>28.1982</v>
      </c>
      <c r="X8" s="59">
        <f>'M1'!C6*1</f>
        <v>1.9206300000000001</v>
      </c>
      <c r="Y8" s="59">
        <f>'M1'!D6*1</f>
        <v>6.8111800000000002</v>
      </c>
      <c r="Z8" s="59">
        <f>'M1'!E6*1</f>
        <v>20</v>
      </c>
      <c r="AA8" s="59">
        <f>'M1'!F6*1</f>
        <v>23.113199999999999</v>
      </c>
      <c r="AB8" s="59">
        <f>'M1'!G6*1</f>
        <v>40</v>
      </c>
      <c r="AC8" s="59">
        <f>'M1'!H6*1</f>
        <v>31.763100000000001</v>
      </c>
      <c r="AE8" s="27" t="str">
        <f t="shared" ref="AE8:AE16" si="12">V8</f>
        <v>压力</v>
      </c>
      <c r="AF8" s="59">
        <f>'M2'!B6*1</f>
        <v>26.642900000000001</v>
      </c>
      <c r="AG8" s="59">
        <f>'M2'!C6*1</f>
        <v>1.6579600000000001</v>
      </c>
      <c r="AH8" s="59">
        <f>'M2'!D6*1</f>
        <v>6.2229099999999997</v>
      </c>
      <c r="AI8" s="59">
        <f>'M2'!E6*1</f>
        <v>20</v>
      </c>
      <c r="AJ8" s="59">
        <f>'M2'!F6*1</f>
        <v>22.827400000000001</v>
      </c>
      <c r="AK8" s="59">
        <f>'M2'!G6*1</f>
        <v>40</v>
      </c>
      <c r="AL8" s="59">
        <f>'M2'!H6*1</f>
        <v>28.0806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23.591000000000001</v>
      </c>
      <c r="D9" s="78">
        <f>N7</f>
        <v>-0.60620000000000118</v>
      </c>
      <c r="E9" s="79">
        <f>T7</f>
        <v>0.94440000000000168</v>
      </c>
      <c r="F9" s="79">
        <f>P7</f>
        <v>-16.689799999999998</v>
      </c>
      <c r="G9" s="80" t="str">
        <f>CONCATENATE(M8,"
(20 ~ 40)")</f>
        <v>压力
(20 ~ 40)</v>
      </c>
      <c r="H9" s="77">
        <f>R8</f>
        <v>-0.28579999999999828</v>
      </c>
      <c r="I9" s="81">
        <f>N8</f>
        <v>-1.555299999999999</v>
      </c>
      <c r="J9" s="77">
        <f>T8</f>
        <v>-3.682500000000001</v>
      </c>
      <c r="K9" s="82">
        <f>P8</f>
        <v>-0.58827000000000051</v>
      </c>
      <c r="L9" s="6"/>
      <c r="M9" s="27" t="str">
        <f>lang!B16</f>
        <v>焦虑</v>
      </c>
      <c r="N9" s="59">
        <f t="shared" si="4"/>
        <v>-4.2068000000000012</v>
      </c>
      <c r="O9" s="59">
        <f t="shared" si="5"/>
        <v>-0.62936999999999976</v>
      </c>
      <c r="P9" s="59">
        <f t="shared" si="6"/>
        <v>1.7091999999999992</v>
      </c>
      <c r="Q9" s="59">
        <f t="shared" si="7"/>
        <v>0</v>
      </c>
      <c r="R9" s="59">
        <f t="shared" si="8"/>
        <v>-0.13981000000000066</v>
      </c>
      <c r="S9" s="59">
        <f t="shared" si="9"/>
        <v>0</v>
      </c>
      <c r="T9" s="59">
        <f t="shared" si="10"/>
        <v>1.1203999999999965</v>
      </c>
      <c r="U9" s="14"/>
      <c r="V9" s="27" t="str">
        <f t="shared" si="11"/>
        <v>焦虑</v>
      </c>
      <c r="W9" s="59">
        <f>'M1'!B7*1</f>
        <v>28.966699999999999</v>
      </c>
      <c r="X9" s="59">
        <f>'M1'!C7*1</f>
        <v>7.2477799999999997</v>
      </c>
      <c r="Y9" s="59">
        <f>'M1'!D7*1</f>
        <v>25.021100000000001</v>
      </c>
      <c r="Z9" s="59">
        <f>'M1'!E7*1</f>
        <v>15</v>
      </c>
      <c r="AA9" s="59">
        <f>'M1'!F7*1</f>
        <v>5.9521300000000004</v>
      </c>
      <c r="AB9" s="59">
        <f>'M1'!G7*1</f>
        <v>40</v>
      </c>
      <c r="AC9" s="59">
        <f>'M1'!H7*1</f>
        <v>43.156100000000002</v>
      </c>
      <c r="AE9" s="27" t="str">
        <f t="shared" si="12"/>
        <v>焦虑</v>
      </c>
      <c r="AF9" s="59">
        <f>'M2'!B7*1</f>
        <v>24.759899999999998</v>
      </c>
      <c r="AG9" s="59">
        <f>'M2'!C7*1</f>
        <v>6.6184099999999999</v>
      </c>
      <c r="AH9" s="59">
        <f>'M2'!D7*1</f>
        <v>26.7303</v>
      </c>
      <c r="AI9" s="59">
        <f>'M2'!E7*1</f>
        <v>15</v>
      </c>
      <c r="AJ9" s="59">
        <f>'M2'!F7*1</f>
        <v>5.8123199999999997</v>
      </c>
      <c r="AK9" s="59">
        <f>'M2'!G7*1</f>
        <v>40</v>
      </c>
      <c r="AL9" s="59">
        <f>'M2'!H7*1</f>
        <v>44.276499999999999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-0.13981000000000066</v>
      </c>
      <c r="D10" s="51">
        <f>N9</f>
        <v>-4.2068000000000012</v>
      </c>
      <c r="E10" s="53">
        <f>T9</f>
        <v>1.1203999999999965</v>
      </c>
      <c r="F10" s="53">
        <f>P9</f>
        <v>1.7091999999999992</v>
      </c>
      <c r="G10" s="73" t="str">
        <f>CONCATENATE(M10,"
(20 ~ 50)")</f>
        <v>可疑
(20 ~ 50)</v>
      </c>
      <c r="H10" s="24">
        <f>R10</f>
        <v>5.5772000000000013</v>
      </c>
      <c r="I10" s="52">
        <f>N10</f>
        <v>-9.6000000000024954E-3</v>
      </c>
      <c r="J10" s="24">
        <f>T10</f>
        <v>-2.9224000000000032</v>
      </c>
      <c r="K10" s="25">
        <f>P10</f>
        <v>-7.7160700000000002</v>
      </c>
      <c r="L10" s="4"/>
      <c r="M10" s="27" t="str">
        <f>lang!B17</f>
        <v>可疑</v>
      </c>
      <c r="N10" s="59">
        <f t="shared" si="4"/>
        <v>-9.6000000000024954E-3</v>
      </c>
      <c r="O10" s="59">
        <f t="shared" si="5"/>
        <v>-2.3694899999999999</v>
      </c>
      <c r="P10" s="59">
        <f t="shared" si="6"/>
        <v>-7.7160700000000002</v>
      </c>
      <c r="Q10" s="59">
        <f t="shared" si="7"/>
        <v>0</v>
      </c>
      <c r="R10" s="59">
        <f t="shared" si="8"/>
        <v>5.5772000000000013</v>
      </c>
      <c r="S10" s="59">
        <f t="shared" si="9"/>
        <v>0</v>
      </c>
      <c r="T10" s="59">
        <f t="shared" si="10"/>
        <v>-2.9224000000000032</v>
      </c>
      <c r="U10" s="14"/>
      <c r="V10" s="27" t="str">
        <f t="shared" si="11"/>
        <v>可疑</v>
      </c>
      <c r="W10" s="59">
        <f>'M1'!B8*1</f>
        <v>30.700600000000001</v>
      </c>
      <c r="X10" s="59">
        <f>'M1'!C8*1</f>
        <v>4.3469199999999999</v>
      </c>
      <c r="Y10" s="59">
        <f>'M1'!D8*1</f>
        <v>14.1591</v>
      </c>
      <c r="Z10" s="59">
        <f>'M1'!E8*1</f>
        <v>20</v>
      </c>
      <c r="AA10" s="59">
        <f>'M1'!F8*1</f>
        <v>20.046099999999999</v>
      </c>
      <c r="AB10" s="59">
        <f>'M1'!G8*1</f>
        <v>50</v>
      </c>
      <c r="AC10" s="59">
        <f>'M1'!H8*1</f>
        <v>37.6614</v>
      </c>
      <c r="AE10" s="27" t="str">
        <f t="shared" si="12"/>
        <v>可疑</v>
      </c>
      <c r="AF10" s="59">
        <f>'M2'!B8*1</f>
        <v>30.690999999999999</v>
      </c>
      <c r="AG10" s="59">
        <f>'M2'!C8*1</f>
        <v>1.97743</v>
      </c>
      <c r="AH10" s="59">
        <f>'M2'!D8*1</f>
        <v>6.4430300000000003</v>
      </c>
      <c r="AI10" s="59">
        <f>'M2'!E8*1</f>
        <v>20</v>
      </c>
      <c r="AJ10" s="59">
        <f>'M2'!F8*1</f>
        <v>25.6233</v>
      </c>
      <c r="AK10" s="59">
        <f>'M2'!G8*1</f>
        <v>50</v>
      </c>
      <c r="AL10" s="59">
        <f>'M2'!H8*1</f>
        <v>34.738999999999997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2.215600000000002</v>
      </c>
      <c r="D11" s="52">
        <f>N11</f>
        <v>5.1705000000000041</v>
      </c>
      <c r="E11" s="24">
        <f>T11</f>
        <v>4.3301999999999907</v>
      </c>
      <c r="F11" s="24">
        <f>P11</f>
        <v>0.77017000000000024</v>
      </c>
      <c r="G11" s="73" t="str">
        <f>CONCATENATE(M12,"
(40 ~ 100)")</f>
        <v>自信
(40 ~ 100)</v>
      </c>
      <c r="H11" s="24">
        <f>R12</f>
        <v>0.8335000000000008</v>
      </c>
      <c r="I11" s="52">
        <f>N12</f>
        <v>1.3537000000000035</v>
      </c>
      <c r="J11" s="24">
        <f>T12</f>
        <v>0.56189999999999429</v>
      </c>
      <c r="K11" s="25">
        <f>P12</f>
        <v>-0.30591999999999997</v>
      </c>
      <c r="L11" s="4"/>
      <c r="M11" s="27" t="str">
        <f>lang!B18</f>
        <v>平衡</v>
      </c>
      <c r="N11" s="59">
        <f t="shared" si="4"/>
        <v>5.1705000000000041</v>
      </c>
      <c r="O11" s="59">
        <f t="shared" si="5"/>
        <v>0.87192999999999987</v>
      </c>
      <c r="P11" s="59">
        <f t="shared" si="6"/>
        <v>0.77017000000000024</v>
      </c>
      <c r="Q11" s="59">
        <f t="shared" si="7"/>
        <v>0</v>
      </c>
      <c r="R11" s="59">
        <f t="shared" si="8"/>
        <v>2.215600000000002</v>
      </c>
      <c r="S11" s="59">
        <f t="shared" si="9"/>
        <v>0</v>
      </c>
      <c r="T11" s="59">
        <f t="shared" si="10"/>
        <v>4.3301999999999907</v>
      </c>
      <c r="U11" s="14"/>
      <c r="V11" s="27" t="str">
        <f t="shared" si="11"/>
        <v>平衡</v>
      </c>
      <c r="W11" s="59">
        <f>'M1'!B9*1</f>
        <v>65.232299999999995</v>
      </c>
      <c r="X11" s="59">
        <f>'M1'!C9*1</f>
        <v>4.1596599999999997</v>
      </c>
      <c r="Y11" s="59">
        <f>'M1'!D9*1</f>
        <v>6.37669</v>
      </c>
      <c r="Z11" s="59">
        <f>'M1'!E9*1</f>
        <v>50</v>
      </c>
      <c r="AA11" s="59">
        <f>'M1'!F9*1</f>
        <v>58.134799999999998</v>
      </c>
      <c r="AB11" s="59">
        <f>'M1'!G9*1</f>
        <v>100</v>
      </c>
      <c r="AC11" s="59">
        <f>'M1'!H9*1</f>
        <v>78.195300000000003</v>
      </c>
      <c r="AE11" s="27" t="str">
        <f t="shared" si="12"/>
        <v>平衡</v>
      </c>
      <c r="AF11" s="59">
        <f>'M2'!B9*1</f>
        <v>70.402799999999999</v>
      </c>
      <c r="AG11" s="59">
        <f>'M2'!C9*1</f>
        <v>5.0315899999999996</v>
      </c>
      <c r="AH11" s="59">
        <f>'M2'!D9*1</f>
        <v>7.1468600000000002</v>
      </c>
      <c r="AI11" s="59">
        <f>'M2'!E9*1</f>
        <v>50</v>
      </c>
      <c r="AJ11" s="59">
        <f>'M2'!F9*1</f>
        <v>60.3504</v>
      </c>
      <c r="AK11" s="59">
        <f>'M2'!G9*1</f>
        <v>100</v>
      </c>
      <c r="AL11" s="59">
        <f>'M2'!H9*1</f>
        <v>82.525499999999994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12.16278</v>
      </c>
      <c r="D12" s="51">
        <f>N13</f>
        <v>9.3205999999999989</v>
      </c>
      <c r="E12" s="53">
        <f>T13</f>
        <v>3.514400000000002</v>
      </c>
      <c r="F12" s="53">
        <f>P13</f>
        <v>-21.704199999999997</v>
      </c>
      <c r="G12" s="73" t="str">
        <f>CONCATENATE(M14,"
(50 ~ 100)")</f>
        <v>自我调节
(50 ~ 100)</v>
      </c>
      <c r="H12" s="24">
        <f>R14</f>
        <v>1.5043000000000006</v>
      </c>
      <c r="I12" s="52">
        <f>N14</f>
        <v>3.2086999999999932</v>
      </c>
      <c r="J12" s="24">
        <f>T14</f>
        <v>3.116100000000003</v>
      </c>
      <c r="K12" s="25">
        <f>P14</f>
        <v>0.6195700000000004</v>
      </c>
      <c r="L12" s="4"/>
      <c r="M12" s="27" t="str">
        <f>lang!B19</f>
        <v>自信</v>
      </c>
      <c r="N12" s="59">
        <f t="shared" si="4"/>
        <v>1.3537000000000035</v>
      </c>
      <c r="O12" s="59">
        <f t="shared" si="5"/>
        <v>-0.21579000000000015</v>
      </c>
      <c r="P12" s="59">
        <f t="shared" si="6"/>
        <v>-0.30591999999999997</v>
      </c>
      <c r="Q12" s="59">
        <f t="shared" si="7"/>
        <v>0</v>
      </c>
      <c r="R12" s="59">
        <f t="shared" si="8"/>
        <v>0.8335000000000008</v>
      </c>
      <c r="S12" s="59">
        <f t="shared" si="9"/>
        <v>0</v>
      </c>
      <c r="T12" s="59">
        <f t="shared" si="10"/>
        <v>0.56189999999999429</v>
      </c>
      <c r="U12" s="15"/>
      <c r="V12" s="27" t="str">
        <f t="shared" si="11"/>
        <v>自信</v>
      </c>
      <c r="W12" s="59">
        <f>'M1'!B10*1</f>
        <v>79.399000000000001</v>
      </c>
      <c r="X12" s="59">
        <f>'M1'!C10*1</f>
        <v>1.8330900000000001</v>
      </c>
      <c r="Y12" s="59">
        <f>'M1'!D10*1</f>
        <v>2.30871</v>
      </c>
      <c r="Z12" s="59">
        <f>'M1'!E10*1</f>
        <v>40</v>
      </c>
      <c r="AA12" s="59">
        <f>'M1'!F10*1</f>
        <v>76.848200000000006</v>
      </c>
      <c r="AB12" s="59">
        <f>'M1'!G10*1</f>
        <v>100</v>
      </c>
      <c r="AC12" s="59">
        <f>'M1'!H10*1</f>
        <v>83.765900000000002</v>
      </c>
      <c r="AE12" s="27" t="str">
        <f t="shared" si="12"/>
        <v>自信</v>
      </c>
      <c r="AF12" s="59">
        <f>'M2'!B10*1</f>
        <v>80.752700000000004</v>
      </c>
      <c r="AG12" s="59">
        <f>'M2'!C10*1</f>
        <v>1.6173</v>
      </c>
      <c r="AH12" s="59">
        <f>'M2'!D10*1</f>
        <v>2.0027900000000001</v>
      </c>
      <c r="AI12" s="59">
        <f>'M2'!E10*1</f>
        <v>40</v>
      </c>
      <c r="AJ12" s="59">
        <f>'M2'!F10*1</f>
        <v>77.681700000000006</v>
      </c>
      <c r="AK12" s="59">
        <f>'M2'!G10*1</f>
        <v>100</v>
      </c>
      <c r="AL12" s="59">
        <f>'M2'!H10*1</f>
        <v>84.327799999999996</v>
      </c>
    </row>
    <row r="13" spans="2:38" ht="25.5" customHeight="1" thickBot="1">
      <c r="B13" s="72" t="str">
        <f>CONCATENATE(M15,"
(10 ~ 25)")</f>
        <v>抑郁
(10 ~ 25)</v>
      </c>
      <c r="C13" s="54">
        <f>R15</f>
        <v>3.7782999999999998</v>
      </c>
      <c r="D13" s="55">
        <f>N15</f>
        <v>2.6209999999999987</v>
      </c>
      <c r="E13" s="56">
        <f>T15</f>
        <v>7.504999999999999</v>
      </c>
      <c r="F13" s="56">
        <f>P15</f>
        <v>1.1722999999999999</v>
      </c>
      <c r="G13" s="74" t="str">
        <f>CONCATENATE(M16,"
(10 ~ 50)")</f>
        <v>神经质
(10 ~ 50)</v>
      </c>
      <c r="H13" s="54">
        <f>R16</f>
        <v>0.99455999999999989</v>
      </c>
      <c r="I13" s="55">
        <f>N16</f>
        <v>6.8321999999999967</v>
      </c>
      <c r="J13" s="56">
        <f>T16</f>
        <v>10.118199999999998</v>
      </c>
      <c r="K13" s="57">
        <f>P16</f>
        <v>5.7630000000000017</v>
      </c>
      <c r="M13" s="27" t="str">
        <f>lang!B20</f>
        <v>活力</v>
      </c>
      <c r="N13" s="59">
        <f t="shared" si="4"/>
        <v>9.3205999999999989</v>
      </c>
      <c r="O13" s="59">
        <f t="shared" si="5"/>
        <v>-2.7438999999999996</v>
      </c>
      <c r="P13" s="59">
        <f t="shared" si="6"/>
        <v>-21.704199999999997</v>
      </c>
      <c r="Q13" s="59">
        <f t="shared" si="7"/>
        <v>0</v>
      </c>
      <c r="R13" s="59">
        <f t="shared" si="8"/>
        <v>12.16278</v>
      </c>
      <c r="S13" s="59">
        <f t="shared" si="9"/>
        <v>0</v>
      </c>
      <c r="T13" s="59">
        <f t="shared" si="10"/>
        <v>3.514400000000002</v>
      </c>
      <c r="U13" s="14"/>
      <c r="V13" s="27" t="str">
        <f t="shared" si="11"/>
        <v>活力</v>
      </c>
      <c r="W13" s="59">
        <f>'M1'!B11*1</f>
        <v>17.536200000000001</v>
      </c>
      <c r="X13" s="59">
        <f>'M1'!C11*1</f>
        <v>5.8045299999999997</v>
      </c>
      <c r="Y13" s="59">
        <f>'M1'!D11*1</f>
        <v>33.100299999999997</v>
      </c>
      <c r="Z13" s="59">
        <f>'M1'!E11*1</f>
        <v>10</v>
      </c>
      <c r="AA13" s="59">
        <f>'M1'!F11*1</f>
        <v>7.7366200000000003</v>
      </c>
      <c r="AB13" s="59">
        <f>'M1'!G11*1</f>
        <v>50</v>
      </c>
      <c r="AC13" s="59">
        <f>'M1'!H11*1</f>
        <v>27.895099999999999</v>
      </c>
      <c r="AE13" s="27" t="str">
        <f t="shared" si="12"/>
        <v>活力</v>
      </c>
      <c r="AF13" s="59">
        <f>'M2'!B11*1</f>
        <v>26.8568</v>
      </c>
      <c r="AG13" s="59">
        <f>'M2'!C11*1</f>
        <v>3.0606300000000002</v>
      </c>
      <c r="AH13" s="59">
        <f>'M2'!D11*1</f>
        <v>11.396100000000001</v>
      </c>
      <c r="AI13" s="59">
        <f>'M2'!E11*1</f>
        <v>10</v>
      </c>
      <c r="AJ13" s="59">
        <f>'M2'!F11*1</f>
        <v>19.8994</v>
      </c>
      <c r="AK13" s="59">
        <f>'M2'!G11*1</f>
        <v>50</v>
      </c>
      <c r="AL13" s="59">
        <f>'M2'!H11*1</f>
        <v>31.409500000000001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3.2086999999999932</v>
      </c>
      <c r="O14" s="59">
        <f t="shared" si="5"/>
        <v>0.5777300000000003</v>
      </c>
      <c r="P14" s="59">
        <f t="shared" si="6"/>
        <v>0.6195700000000004</v>
      </c>
      <c r="Q14" s="59">
        <f t="shared" si="7"/>
        <v>0</v>
      </c>
      <c r="R14" s="59">
        <f t="shared" si="8"/>
        <v>1.5043000000000006</v>
      </c>
      <c r="S14" s="59">
        <f t="shared" si="9"/>
        <v>0</v>
      </c>
      <c r="T14" s="59">
        <f t="shared" si="10"/>
        <v>3.116100000000003</v>
      </c>
      <c r="U14" s="14"/>
      <c r="V14" s="27" t="str">
        <f t="shared" si="11"/>
        <v>自我调节</v>
      </c>
      <c r="W14" s="59">
        <f>'M1'!B12*1</f>
        <v>72.543000000000006</v>
      </c>
      <c r="X14" s="59">
        <f>'M1'!C12*1</f>
        <v>2.4505699999999999</v>
      </c>
      <c r="Y14" s="59">
        <f>'M1'!D12*1</f>
        <v>3.3780899999999998</v>
      </c>
      <c r="Z14" s="59">
        <f>'M1'!E12*1</f>
        <v>50</v>
      </c>
      <c r="AA14" s="59">
        <f>'M1'!F12*1</f>
        <v>68.325500000000005</v>
      </c>
      <c r="AB14" s="59">
        <f>'M1'!G12*1</f>
        <v>100</v>
      </c>
      <c r="AC14" s="59">
        <f>'M1'!H12*1</f>
        <v>79.282399999999996</v>
      </c>
      <c r="AE14" s="27" t="str">
        <f t="shared" si="12"/>
        <v>自我调节</v>
      </c>
      <c r="AF14" s="59">
        <f>'M2'!B12*1</f>
        <v>75.7517</v>
      </c>
      <c r="AG14" s="59">
        <f>'M2'!C12*1</f>
        <v>3.0283000000000002</v>
      </c>
      <c r="AH14" s="59">
        <f>'M2'!D12*1</f>
        <v>3.9976600000000002</v>
      </c>
      <c r="AI14" s="59">
        <f>'M2'!E12*1</f>
        <v>50</v>
      </c>
      <c r="AJ14" s="59">
        <f>'M2'!F12*1</f>
        <v>69.829800000000006</v>
      </c>
      <c r="AK14" s="59">
        <f>'M2'!G12*1</f>
        <v>100</v>
      </c>
      <c r="AL14" s="59">
        <f>'M2'!H12*1</f>
        <v>82.398499999999999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2.6209999999999987</v>
      </c>
      <c r="O15" s="59">
        <f t="shared" si="5"/>
        <v>0.68322000000000038</v>
      </c>
      <c r="P15" s="59">
        <f t="shared" si="6"/>
        <v>1.1722999999999999</v>
      </c>
      <c r="Q15" s="59">
        <f t="shared" si="7"/>
        <v>0</v>
      </c>
      <c r="R15" s="59">
        <f t="shared" si="8"/>
        <v>3.7782999999999998</v>
      </c>
      <c r="S15" s="59">
        <f t="shared" si="9"/>
        <v>0</v>
      </c>
      <c r="T15" s="59">
        <f t="shared" si="10"/>
        <v>7.504999999999999</v>
      </c>
      <c r="U15" s="14"/>
      <c r="V15" s="27" t="str">
        <f t="shared" si="11"/>
        <v>抑郁</v>
      </c>
      <c r="W15" s="59">
        <f>'M1'!B13*1</f>
        <v>18.359100000000002</v>
      </c>
      <c r="X15" s="59">
        <f>'M1'!C13*1</f>
        <v>3.0628099999999998</v>
      </c>
      <c r="Y15" s="59">
        <f>'M1'!D13*1</f>
        <v>16.6828</v>
      </c>
      <c r="Z15" s="59">
        <f>'M1'!E13*1</f>
        <v>10</v>
      </c>
      <c r="AA15" s="59">
        <f>'M1'!F13*1</f>
        <v>13.0235</v>
      </c>
      <c r="AB15" s="59">
        <f>'M1'!G13*1</f>
        <v>25</v>
      </c>
      <c r="AC15" s="59">
        <f>'M1'!H13*1</f>
        <v>27.766400000000001</v>
      </c>
      <c r="AE15" s="27" t="str">
        <f t="shared" si="12"/>
        <v>抑郁</v>
      </c>
      <c r="AF15" s="59">
        <f>'M2'!B13*1</f>
        <v>20.9801</v>
      </c>
      <c r="AG15" s="59">
        <f>'M2'!C13*1</f>
        <v>3.7460300000000002</v>
      </c>
      <c r="AH15" s="59">
        <f>'M2'!D13*1</f>
        <v>17.8551</v>
      </c>
      <c r="AI15" s="59">
        <f>'M2'!E13*1</f>
        <v>10</v>
      </c>
      <c r="AJ15" s="59">
        <f>'M2'!F13*1</f>
        <v>16.8018</v>
      </c>
      <c r="AK15" s="59">
        <f>'M2'!G13*1</f>
        <v>25</v>
      </c>
      <c r="AL15" s="59">
        <f>'M2'!H13*1</f>
        <v>35.2714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6.8321999999999967</v>
      </c>
      <c r="O16" s="59">
        <f t="shared" si="5"/>
        <v>3.6662999999999997</v>
      </c>
      <c r="P16" s="59">
        <f t="shared" si="6"/>
        <v>5.7630000000000017</v>
      </c>
      <c r="Q16" s="59">
        <f t="shared" si="7"/>
        <v>0</v>
      </c>
      <c r="R16" s="59">
        <f t="shared" si="8"/>
        <v>0.99455999999999989</v>
      </c>
      <c r="S16" s="59">
        <f t="shared" si="9"/>
        <v>0</v>
      </c>
      <c r="T16" s="59">
        <f t="shared" si="10"/>
        <v>10.118199999999998</v>
      </c>
      <c r="U16" s="15"/>
      <c r="V16" s="27" t="str">
        <f t="shared" si="11"/>
        <v>神经质</v>
      </c>
      <c r="W16" s="59">
        <f>'M1'!B14*1</f>
        <v>30.6281</v>
      </c>
      <c r="X16" s="59">
        <f>'M1'!C14*1</f>
        <v>6.7577999999999996</v>
      </c>
      <c r="Y16" s="59">
        <f>'M1'!D14*1</f>
        <v>22.064</v>
      </c>
      <c r="Z16" s="59">
        <f>'M1'!E14*1</f>
        <v>10</v>
      </c>
      <c r="AA16" s="59">
        <f>'M1'!F14*1</f>
        <v>3.5095999999999998</v>
      </c>
      <c r="AB16" s="59">
        <f>'M1'!G14*1</f>
        <v>50</v>
      </c>
      <c r="AC16" s="59">
        <f>'M1'!H14*1</f>
        <v>30.6281</v>
      </c>
      <c r="AE16" s="27" t="str">
        <f t="shared" si="12"/>
        <v>神经质</v>
      </c>
      <c r="AF16" s="59">
        <f>'M2'!B14*1</f>
        <v>37.460299999999997</v>
      </c>
      <c r="AG16" s="59">
        <f>'M2'!C14*1</f>
        <v>10.424099999999999</v>
      </c>
      <c r="AH16" s="59">
        <f>'M2'!D14*1</f>
        <v>27.827000000000002</v>
      </c>
      <c r="AI16" s="59">
        <f>'M2'!E14*1</f>
        <v>10</v>
      </c>
      <c r="AJ16" s="59">
        <f>'M2'!F14*1</f>
        <v>4.5041599999999997</v>
      </c>
      <c r="AK16" s="59">
        <f>'M2'!G14*1</f>
        <v>50</v>
      </c>
      <c r="AL16" s="59">
        <f>'M2'!H14*1</f>
        <v>40.746299999999998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4.7633749999999999</v>
      </c>
      <c r="O17" s="22">
        <f>N17/(N17+N18+N19)</f>
        <v>0.60330251409030489</v>
      </c>
      <c r="P17" s="65">
        <f>SUM(P11:P14)/4</f>
        <v>-5.1550949999999993</v>
      </c>
      <c r="Q17" s="22">
        <f>P17/(P17+P18+P19)</f>
        <v>0.68655143114368977</v>
      </c>
      <c r="R17" s="14"/>
      <c r="S17" s="14"/>
      <c r="T17" s="14"/>
      <c r="U17" s="14"/>
      <c r="V17" s="21" t="str">
        <f>M17</f>
        <v>Positive</v>
      </c>
      <c r="W17" s="65">
        <f>SUM(W11:W14)/4</f>
        <v>58.677625000000006</v>
      </c>
      <c r="X17" s="22">
        <f>W17/(W17+W18+W19)</f>
        <v>0.51041486804397862</v>
      </c>
      <c r="Y17" s="65">
        <f>SUM(Y11:Y14)/4</f>
        <v>11.2909475</v>
      </c>
      <c r="Z17" s="22">
        <f>Y17/(Y17+Y18+Y19)</f>
        <v>0.22516038963437787</v>
      </c>
      <c r="AA17" s="14"/>
      <c r="AB17" s="14"/>
      <c r="AC17" s="14"/>
      <c r="AE17" s="21" t="str">
        <f>V17</f>
        <v>Positive</v>
      </c>
      <c r="AF17" s="65">
        <f>SUM(AF11:AF14)/4</f>
        <v>63.441000000000003</v>
      </c>
      <c r="AG17" s="22">
        <f>AF17/(AF17+AF18+AF19)</f>
        <v>0.5163844056646737</v>
      </c>
      <c r="AH17" s="65">
        <f>SUM(AH11:AH14)/4</f>
        <v>6.1358525000000004</v>
      </c>
      <c r="AI17" s="22">
        <f>AH17/(AH17+AH18+AH19)</f>
        <v>0.14390720623393985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-1.594475000000001</v>
      </c>
      <c r="O18" s="22">
        <f>N18/(N17+N18+N19)</f>
        <v>-0.20194731175986341</v>
      </c>
      <c r="P18" s="18">
        <f>SUM(P7:P10)/4</f>
        <v>-5.8212349999999997</v>
      </c>
      <c r="Q18" s="22">
        <f>P18/(P17+P18+P19)</f>
        <v>0.77526742383481528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31.789425000000001</v>
      </c>
      <c r="X18" s="22">
        <f>W18/(W17+W18+W19)</f>
        <v>0.27652440204539552</v>
      </c>
      <c r="Y18" s="18">
        <f>SUM(Y7:Y10)/4</f>
        <v>19.481894999999998</v>
      </c>
      <c r="Z18" s="22">
        <f>Y18/(Y17+Y18+Y19)</f>
        <v>0.38850159112120908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30.194950000000002</v>
      </c>
      <c r="AG18" s="22">
        <f>AF18/(AF17+AF18+AF19)</f>
        <v>0.24577483504081804</v>
      </c>
      <c r="AH18" s="18">
        <f>SUM(AH7:AH10)/4</f>
        <v>13.66066</v>
      </c>
      <c r="AI18" s="22">
        <f>AH18/(AH17+AH18+AH19)</f>
        <v>0.32039026621186423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4.7265999999999977</v>
      </c>
      <c r="O19" s="22">
        <f>N19/(N17+N18+N19)</f>
        <v>0.59864479766955858</v>
      </c>
      <c r="P19" s="18">
        <f>(P15+P16)/2</f>
        <v>3.4676500000000008</v>
      </c>
      <c r="Q19" s="22">
        <f>P19/(P17+P18+P19)</f>
        <v>-0.46181885497850511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24.493600000000001</v>
      </c>
      <c r="X19" s="22">
        <f>W19/(W17+W18+W19)</f>
        <v>0.21306072991062594</v>
      </c>
      <c r="Y19" s="18">
        <f>(Y15+Y16)/2</f>
        <v>19.3734</v>
      </c>
      <c r="Z19" s="22">
        <f>Y19/(Y17+Y18+Y19)</f>
        <v>0.38633801924441297</v>
      </c>
      <c r="AA19" s="14"/>
      <c r="AB19" s="14"/>
      <c r="AC19" s="14"/>
      <c r="AE19" s="21" t="str">
        <f t="shared" si="14"/>
        <v>Physiological</v>
      </c>
      <c r="AF19" s="18">
        <f>(AF15+AF16)/2</f>
        <v>29.220199999999998</v>
      </c>
      <c r="AG19" s="22">
        <f>AF19/(AF17+AF18+AF19)</f>
        <v>0.23784075929450821</v>
      </c>
      <c r="AH19" s="18">
        <f>(AH15+AH16)/2</f>
        <v>22.841050000000003</v>
      </c>
      <c r="AI19" s="22">
        <f>AH19/(AH17+AH18+AH19)</f>
        <v>0.53570252755419601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1.49/1.82</v>
      </c>
      <c r="D24" s="44" t="str">
        <f>lang!B11</f>
        <v>频率方差</v>
      </c>
      <c r="E24" s="142" t="str">
        <f ca="1">CONCATENATE(ROUND('FH1'!L3,2),"/",ROUND('FH2'!L3,2))</f>
        <v>0.68/0.56</v>
      </c>
      <c r="F24" s="143"/>
      <c r="G24" s="134" t="str">
        <f>lang!B12</f>
        <v>生理变化率</v>
      </c>
      <c r="H24" s="135"/>
      <c r="I24" s="62" t="str">
        <f ca="1">CONCATENATE(info!M7,"-",info!M8)</f>
        <v>33.2-60.2</v>
      </c>
      <c r="J24" s="42" t="str">
        <f>lang!B13</f>
        <v>千卡l/分钟</v>
      </c>
      <c r="K24" s="41" t="str">
        <f ca="1">CONCATENATE(info!M5,"-",info!M6)</f>
        <v>1.9-4.2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-15.090099999999996</v>
      </c>
      <c r="F27" s="164"/>
      <c r="G27" s="178" t="str">
        <f>lang!B33</f>
        <v>稳定性</v>
      </c>
      <c r="H27" s="179"/>
      <c r="I27" s="180"/>
      <c r="J27" s="181">
        <f>dM!B19*100</f>
        <v>9.9218000000000028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-0.91524909001999144</v>
      </c>
      <c r="C2">
        <f t="array" aca="1" ref="C2" ca="1">CORREL(FT_E02,FT_PH02)</f>
        <v>0.1024230955298526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1.8896999999999999</v>
      </c>
      <c r="G2" s="61">
        <f>IF(FT!B2&lt;&gt;"",FT!B2*100,"")</f>
        <v>60.217100000000002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1.9351399999999999</v>
      </c>
      <c r="G3" s="61">
        <f>IF(FT!B3&lt;&gt;"",FT!B3*100,"")</f>
        <v>59.461399999999998</v>
      </c>
      <c r="H3" s="61">
        <f t="shared" ref="H3:H66" si="1">(IF(F3&lt;&gt;"",1,""))</f>
        <v>1</v>
      </c>
      <c r="I3" t="str">
        <f>IF(FT!B3&lt;&gt;"",FT!E3,"")</f>
        <v>1 [0.383936]</v>
      </c>
      <c r="J3">
        <f>IF(FT!B3&lt;&gt;"",FT!C3,"")</f>
        <v>0.383936</v>
      </c>
      <c r="K3" t="s">
        <v>52</v>
      </c>
      <c r="L3">
        <f>SUM(H2:H2005)</f>
        <v>149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0.39388018918918904</v>
      </c>
      <c r="V3">
        <f ca="1">AVERAGE(OFFSET(FT!B2,info!$L$3/2,0,info!$L$3/2,1))</f>
        <v>0.47019256756756744</v>
      </c>
      <c r="W3">
        <f ca="1">AVERAGE(OFFSET(FT!A2,0,0,info!$L$3/2,1))</f>
        <v>0.32445367567567573</v>
      </c>
      <c r="X3">
        <f ca="1">AVERAGE(OFFSET(FT!A2,info!$L$3/2,0,info!$L$3/2,1))</f>
        <v>0.37002831081081083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1.9799900000000001</v>
      </c>
      <c r="G4" s="61">
        <f>IF(FT!B4&lt;&gt;"",FT!B4*100,"")</f>
        <v>58.620700000000006</v>
      </c>
      <c r="H4" s="61">
        <f t="shared" si="1"/>
        <v>1</v>
      </c>
      <c r="I4" t="str">
        <f>IF(FT!B4&lt;&gt;"",FT!E4,"")</f>
        <v>1 [0.794846]</v>
      </c>
      <c r="J4">
        <f>IF(FT!B4&lt;&gt;"",FT!C4,"")</f>
        <v>0.79484600000000005</v>
      </c>
      <c r="O4">
        <f>O3+1</f>
        <v>1</v>
      </c>
      <c r="P4">
        <v>0</v>
      </c>
      <c r="Q4">
        <f>IF(R4=1998,0,R4)</f>
        <v>74</v>
      </c>
      <c r="R4">
        <f t="array" ref="R4">MAX(IF(ft_nq=O4,row_n))</f>
        <v>74</v>
      </c>
      <c r="S4">
        <f>Q4-P4+1</f>
        <v>75</v>
      </c>
      <c r="U4">
        <f>MAX(FT!C2:C4000)/4</f>
        <v>15.038024999999999</v>
      </c>
      <c r="V4">
        <f>U4*3</f>
        <v>45.114075</v>
      </c>
      <c r="W4">
        <f>U4</f>
        <v>15.038024999999999</v>
      </c>
      <c r="X4">
        <f>V4</f>
        <v>45.114075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2.02433</v>
      </c>
      <c r="G5" s="61">
        <f>IF(FT!B5&lt;&gt;"",FT!B5*100,"")</f>
        <v>57.644600000000004</v>
      </c>
      <c r="H5" s="61">
        <f t="shared" si="1"/>
        <v>1</v>
      </c>
      <c r="I5" t="str">
        <f>IF(FT!B5&lt;&gt;"",FT!E5,"")</f>
        <v>1 [1.204760]</v>
      </c>
      <c r="J5">
        <f>IF(FT!B5&lt;&gt;"",FT!C5,"")</f>
        <v>1.2047600000000001</v>
      </c>
      <c r="K5" t="s">
        <v>53</v>
      </c>
      <c r="L5" s="63">
        <f ca="1">MIN(FT_E)</f>
        <v>1.8896999999999999</v>
      </c>
      <c r="M5" s="63">
        <f ca="1">ROUND(L5,1)</f>
        <v>1.9</v>
      </c>
      <c r="O5">
        <f t="shared" ref="O5:O27" si="4">O4+1</f>
        <v>2</v>
      </c>
      <c r="P5">
        <f>IF(OR(R5=1998,R5=0),0,Q4)</f>
        <v>74</v>
      </c>
      <c r="Q5">
        <f>IF(R5=1998,0,R5)</f>
        <v>148</v>
      </c>
      <c r="R5">
        <f t="array" ref="R5">MAX(IF(ft_nq=O5,row_n))</f>
        <v>148</v>
      </c>
      <c r="S5">
        <f t="shared" ref="S5:S27" si="5">Q5-P5+1</f>
        <v>75</v>
      </c>
      <c r="U5">
        <f ca="1">U3*100</f>
        <v>39.388018918918903</v>
      </c>
      <c r="V5">
        <f ca="1">V3*100</f>
        <v>47.019256756756747</v>
      </c>
      <c r="W5">
        <f ca="1">W3*10</f>
        <v>3.2445367567567573</v>
      </c>
      <c r="X5">
        <f ca="1">X3*10</f>
        <v>3.7002831081081085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2.0693000000000001</v>
      </c>
      <c r="G6" s="61">
        <f>IF(FT!B6&lt;&gt;"",FT!B6*100,"")</f>
        <v>56.542800000000007</v>
      </c>
      <c r="H6" s="61">
        <f t="shared" si="1"/>
        <v>1</v>
      </c>
      <c r="I6" t="str">
        <f>IF(FT!B6&lt;&gt;"",FT!E6,"")</f>
        <v>1 [1.609669]</v>
      </c>
      <c r="J6">
        <f>IF(FT!B6&lt;&gt;"",FT!C6,"")</f>
        <v>1.6096699999999999</v>
      </c>
      <c r="K6" t="s">
        <v>54</v>
      </c>
      <c r="L6" s="63">
        <f ca="1">MAX(FT_E)</f>
        <v>4.1841600000000003</v>
      </c>
      <c r="M6" s="63">
        <f ca="1">ROUND(L6,1)</f>
        <v>4.2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2.11334</v>
      </c>
      <c r="G7" s="61">
        <f>IF(FT!B7&lt;&gt;"",FT!B7*100,"")</f>
        <v>55.475499999999997</v>
      </c>
      <c r="H7" s="61">
        <f t="shared" si="1"/>
        <v>1</v>
      </c>
      <c r="I7" t="str">
        <f>IF(FT!B7&lt;&gt;"",FT!E7,"")</f>
        <v>1 [2.013623]</v>
      </c>
      <c r="J7">
        <f>IF(FT!B7&lt;&gt;"",FT!C7,"")</f>
        <v>2.01362</v>
      </c>
      <c r="K7" t="s">
        <v>55</v>
      </c>
      <c r="L7" s="63">
        <f ca="1">MIN(FT_PH)</f>
        <v>33.169699999999999</v>
      </c>
      <c r="M7" s="63">
        <f ca="1">ROUND(L7,1)</f>
        <v>33.200000000000003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234</v>
      </c>
      <c r="D8" s="61">
        <f>FH!B8*1</f>
        <v>234</v>
      </c>
      <c r="E8">
        <f t="shared" si="3"/>
        <v>6</v>
      </c>
      <c r="F8" s="61">
        <f>IF(FT!A8&lt;&gt;"",FT!A8*10,"")</f>
        <v>2.15429</v>
      </c>
      <c r="G8" s="61">
        <f>IF(FT!B8&lt;&gt;"",FT!B8*100,"")</f>
        <v>54.384900000000002</v>
      </c>
      <c r="H8" s="61">
        <f t="shared" si="1"/>
        <v>1</v>
      </c>
      <c r="I8" t="str">
        <f>IF(FT!B8&lt;&gt;"",FT!E8,"")</f>
        <v>1 [2.418786]</v>
      </c>
      <c r="J8">
        <f>IF(FT!B8&lt;&gt;"",FT!C8,"")</f>
        <v>2.41879</v>
      </c>
      <c r="K8" t="s">
        <v>56</v>
      </c>
      <c r="L8" s="63">
        <f ca="1">MAX(FT_PH)</f>
        <v>60.217100000000002</v>
      </c>
      <c r="M8" s="63">
        <f ca="1">ROUND(L8,1)</f>
        <v>60.2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2.19286</v>
      </c>
      <c r="G9" s="61">
        <f>IF(FT!B9&lt;&gt;"",FT!B9*100,"")</f>
        <v>53.274900000000002</v>
      </c>
      <c r="H9" s="61">
        <f t="shared" si="1"/>
        <v>1</v>
      </c>
      <c r="I9" t="str">
        <f>IF(FT!B9&lt;&gt;"",FT!E9,"")</f>
        <v>1 [2.820696]</v>
      </c>
      <c r="J9">
        <f>IF(FT!B9&lt;&gt;"",FT!C9,"")</f>
        <v>2.8207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1346</v>
      </c>
      <c r="D10" s="61">
        <f>FH!B10*1</f>
        <v>1346</v>
      </c>
      <c r="E10">
        <f t="shared" si="3"/>
        <v>8</v>
      </c>
      <c r="F10" s="61">
        <f>IF(FT!A10&lt;&gt;"",FT!A10*10,"")</f>
        <v>2.2333099999999999</v>
      </c>
      <c r="G10" s="61">
        <f>IF(FT!B10&lt;&gt;"",FT!B10*100,"")</f>
        <v>52.090299999999999</v>
      </c>
      <c r="H10" s="61">
        <f t="shared" si="1"/>
        <v>1</v>
      </c>
      <c r="I10" t="str">
        <f>IF(FT!B10&lt;&gt;"",FT!E10,"")</f>
        <v>1 [3.234459]</v>
      </c>
      <c r="J10">
        <f>IF(FT!B10&lt;&gt;"",FT!C10,"")</f>
        <v>3.2344599999999999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2.2766299999999999</v>
      </c>
      <c r="G11" s="61">
        <f>IF(FT!B11&lt;&gt;"",FT!B11*100,"")</f>
        <v>50.836199999999998</v>
      </c>
      <c r="H11" s="61">
        <f t="shared" si="1"/>
        <v>1</v>
      </c>
      <c r="I11" t="str">
        <f>IF(FT!B11&lt;&gt;"",FT!E11,"")</f>
        <v>1 [3.639168]</v>
      </c>
      <c r="J11">
        <f>IF(FT!B11&lt;&gt;"",FT!C11,"")</f>
        <v>3.63917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2.32118</v>
      </c>
      <c r="G12" s="61">
        <f>IF(FT!B12&lt;&gt;"",FT!B12*100,"")</f>
        <v>49.5184</v>
      </c>
      <c r="H12" s="61">
        <f t="shared" si="1"/>
        <v>1</v>
      </c>
      <c r="I12" t="str">
        <f>IF(FT!B12&lt;&gt;"",FT!E12,"")</f>
        <v>1 [4.044104]</v>
      </c>
      <c r="J12">
        <f>IF(FT!B12&lt;&gt;"",FT!C12,"")</f>
        <v>4.0441000000000003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2949</v>
      </c>
      <c r="D13" s="61">
        <f>FH!B13*1</f>
        <v>2949</v>
      </c>
      <c r="E13">
        <f t="shared" si="3"/>
        <v>11</v>
      </c>
      <c r="F13" s="61">
        <f>IF(FT!A13&lt;&gt;"",FT!A13*10,"")</f>
        <v>2.3679600000000001</v>
      </c>
      <c r="G13" s="61">
        <f>IF(FT!B13&lt;&gt;"",FT!B13*100,"")</f>
        <v>48.176499999999997</v>
      </c>
      <c r="H13" s="61">
        <f t="shared" si="1"/>
        <v>1</v>
      </c>
      <c r="I13" t="str">
        <f>IF(FT!B13&lt;&gt;"",FT!E13,"")</f>
        <v>1 [4.450359]</v>
      </c>
      <c r="J13">
        <f>IF(FT!B13&lt;&gt;"",FT!C13,"")</f>
        <v>4.4503599999999999</v>
      </c>
      <c r="L13" s="67">
        <f t="array" ref="L13">MAX(IF(ft_nq=2,row_n))</f>
        <v>148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2.4160900000000001</v>
      </c>
      <c r="G14" s="61">
        <f>IF(FT!B14&lt;&gt;"",FT!B14*100,"")</f>
        <v>46.813300000000005</v>
      </c>
      <c r="H14" s="61">
        <f t="shared" si="1"/>
        <v>1</v>
      </c>
      <c r="I14" t="str">
        <f>IF(FT!B14&lt;&gt;"",FT!E14,"")</f>
        <v>1 [4.857952]</v>
      </c>
      <c r="J14">
        <f>IF(FT!B14&lt;&gt;"",FT!C14,"")</f>
        <v>4.8579499999999998</v>
      </c>
      <c r="L14">
        <f>L13+1</f>
        <v>149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5003</v>
      </c>
      <c r="D15" s="61">
        <f>FH!B15*1</f>
        <v>5003</v>
      </c>
      <c r="E15">
        <f t="shared" si="3"/>
        <v>13</v>
      </c>
      <c r="F15" s="61">
        <f>IF(FT!A15&lt;&gt;"",FT!A15*10,"")</f>
        <v>2.4649700000000001</v>
      </c>
      <c r="G15" s="61">
        <f>IF(FT!B15&lt;&gt;"",FT!B15*100,"")</f>
        <v>45.518099999999997</v>
      </c>
      <c r="H15" s="61">
        <f t="shared" si="1"/>
        <v>1</v>
      </c>
      <c r="I15" t="str">
        <f>IF(FT!B15&lt;&gt;"",FT!E15,"")</f>
        <v>1 [5.266877]</v>
      </c>
      <c r="J15">
        <f>IF(FT!B15&lt;&gt;"",FT!C15,"")</f>
        <v>5.2668799999999996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2.5107499999999998</v>
      </c>
      <c r="G16" s="61">
        <f>IF(FT!B16&lt;&gt;"",FT!B16*100,"")</f>
        <v>44.293999999999997</v>
      </c>
      <c r="H16" s="61">
        <f t="shared" si="1"/>
        <v>1</v>
      </c>
      <c r="I16" t="str">
        <f>IF(FT!B16&lt;&gt;"",FT!E16,"")</f>
        <v>1 [5.665363]</v>
      </c>
      <c r="J16">
        <f>IF(FT!B16&lt;&gt;"",FT!C16,"")</f>
        <v>5.6653599999999997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2.5567500000000001</v>
      </c>
      <c r="G17" s="61">
        <f>IF(FT!B17&lt;&gt;"",FT!B17*100,"")</f>
        <v>43.133099999999999</v>
      </c>
      <c r="H17" s="61">
        <f t="shared" si="1"/>
        <v>1</v>
      </c>
      <c r="I17" t="str">
        <f>IF(FT!B17&lt;&gt;"",FT!E17,"")</f>
        <v>1 [6.076644]</v>
      </c>
      <c r="J17">
        <f>IF(FT!B17&lt;&gt;"",FT!C17,"")</f>
        <v>6.0766400000000003</v>
      </c>
      <c r="L17">
        <f>L3+1</f>
        <v>150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11123</v>
      </c>
      <c r="D18" s="61">
        <f>FH!B18*1</f>
        <v>11123</v>
      </c>
      <c r="E18">
        <f t="shared" si="3"/>
        <v>16</v>
      </c>
      <c r="F18" s="61">
        <f>IF(FT!A18&lt;&gt;"",FT!A18*10,"")</f>
        <v>2.6019300000000003</v>
      </c>
      <c r="G18" s="61">
        <f>IF(FT!B18&lt;&gt;"",FT!B18*100,"")</f>
        <v>42.072099999999999</v>
      </c>
      <c r="H18" s="61">
        <f t="shared" si="1"/>
        <v>1</v>
      </c>
      <c r="I18" t="str">
        <f>IF(FT!B18&lt;&gt;"",FT!E18,"")</f>
        <v>1 [6.480527]</v>
      </c>
      <c r="J18">
        <f>IF(FT!B18&lt;&gt;"",FT!C18,"")</f>
        <v>6.4805299999999999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2.64642</v>
      </c>
      <c r="G19" s="61">
        <f>IF(FT!B19&lt;&gt;"",FT!B19*100,"")</f>
        <v>41.136800000000001</v>
      </c>
      <c r="H19" s="61">
        <f t="shared" si="1"/>
        <v>1</v>
      </c>
      <c r="I19" t="str">
        <f>IF(FT!B19&lt;&gt;"",FT!E19,"")</f>
        <v>1 [6.894530]</v>
      </c>
      <c r="J19">
        <f>IF(FT!B19&lt;&gt;"",FT!C19,"")</f>
        <v>6.8945299999999996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2.6933400000000001</v>
      </c>
      <c r="G20" s="61">
        <f>IF(FT!B20&lt;&gt;"",FT!B20*100,"")</f>
        <v>40.2714</v>
      </c>
      <c r="H20" s="61">
        <f t="shared" si="1"/>
        <v>1</v>
      </c>
      <c r="I20" t="str">
        <f>IF(FT!B20&lt;&gt;"",FT!E20,"")</f>
        <v>1 [7.296535]</v>
      </c>
      <c r="J20">
        <f>IF(FT!B20&lt;&gt;"",FT!C20,"")</f>
        <v>7.2965400000000002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14573</v>
      </c>
      <c r="D21" s="61">
        <f>FH!B21*1</f>
        <v>14573</v>
      </c>
      <c r="E21">
        <f t="shared" si="3"/>
        <v>19</v>
      </c>
      <c r="F21" s="61">
        <f>IF(FT!A21&lt;&gt;"",FT!A21*10,"")</f>
        <v>2.7417599999999998</v>
      </c>
      <c r="G21" s="61">
        <f>IF(FT!B21&lt;&gt;"",FT!B21*100,"")</f>
        <v>39.5062</v>
      </c>
      <c r="H21" s="61">
        <f t="shared" si="1"/>
        <v>1</v>
      </c>
      <c r="I21" t="str">
        <f>IF(FT!B21&lt;&gt;"",FT!E21,"")</f>
        <v>1 [7.705327]</v>
      </c>
      <c r="J21">
        <f>IF(FT!B21&lt;&gt;"",FT!C21,"")</f>
        <v>7.70533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2.78878</v>
      </c>
      <c r="G22" s="61">
        <f>IF(FT!B22&lt;&gt;"",FT!B22*100,"")</f>
        <v>38.917099999999998</v>
      </c>
      <c r="H22" s="61">
        <f t="shared" si="1"/>
        <v>1</v>
      </c>
      <c r="I22" t="str">
        <f>IF(FT!B22&lt;&gt;"",FT!E22,"")</f>
        <v>1 [8.106255]</v>
      </c>
      <c r="J22">
        <f>IF(FT!B22&lt;&gt;"",FT!C22,"")</f>
        <v>8.1062499999999993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23819</v>
      </c>
      <c r="D23" s="61">
        <f>FH!B23*1</f>
        <v>23819</v>
      </c>
      <c r="E23">
        <f t="shared" si="3"/>
        <v>21</v>
      </c>
      <c r="F23" s="61">
        <f>IF(FT!A23&lt;&gt;"",FT!A23*10,"")</f>
        <v>2.8349600000000001</v>
      </c>
      <c r="G23" s="61">
        <f>IF(FT!B23&lt;&gt;"",FT!B23*100,"")</f>
        <v>38.415199999999999</v>
      </c>
      <c r="H23" s="61">
        <f t="shared" si="1"/>
        <v>1</v>
      </c>
      <c r="I23" t="str">
        <f>IF(FT!B23&lt;&gt;"",FT!E23,"")</f>
        <v>1 [8.512323]</v>
      </c>
      <c r="J23">
        <f>IF(FT!B23&lt;&gt;"",FT!C23,"")</f>
        <v>8.5123200000000008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2.8836499999999998</v>
      </c>
      <c r="G24" s="61">
        <f>IF(FT!B24&lt;&gt;"",FT!B24*100,"")</f>
        <v>37.913200000000003</v>
      </c>
      <c r="H24" s="61">
        <f t="shared" si="1"/>
        <v>1</v>
      </c>
      <c r="I24" t="str">
        <f>IF(FT!B24&lt;&gt;"",FT!E24,"")</f>
        <v>1 [8.918267]</v>
      </c>
      <c r="J24">
        <f>IF(FT!B24&lt;&gt;"",FT!C24,"")</f>
        <v>8.9182699999999997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2.9310100000000001</v>
      </c>
      <c r="G25" s="61">
        <f>IF(FT!B25&lt;&gt;"",FT!B25*100,"")</f>
        <v>37.489400000000003</v>
      </c>
      <c r="H25" s="61">
        <f t="shared" si="1"/>
        <v>1</v>
      </c>
      <c r="I25" t="str">
        <f>IF(FT!B25&lt;&gt;"",FT!E25,"")</f>
        <v>1 [9.321986]</v>
      </c>
      <c r="J25">
        <f>IF(FT!B25&lt;&gt;"",FT!C25,"")</f>
        <v>9.3219899999999996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31690</v>
      </c>
      <c r="D26" s="61">
        <f>FH!B26*1</f>
        <v>31690</v>
      </c>
      <c r="E26">
        <f t="shared" si="3"/>
        <v>24</v>
      </c>
      <c r="F26" s="61">
        <f>IF(FT!A26&lt;&gt;"",FT!A26*10,"")</f>
        <v>2.9785599999999999</v>
      </c>
      <c r="G26" s="61">
        <f>IF(FT!B26&lt;&gt;"",FT!B26*100,"")</f>
        <v>37.081199999999995</v>
      </c>
      <c r="H26" s="61">
        <f t="shared" si="1"/>
        <v>1</v>
      </c>
      <c r="I26" t="str">
        <f>IF(FT!B26&lt;&gt;"",FT!E26,"")</f>
        <v>1 [9.731989]</v>
      </c>
      <c r="J26">
        <f>IF(FT!B26&lt;&gt;"",FT!C26,"")</f>
        <v>9.7319899999999997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3.0240200000000002</v>
      </c>
      <c r="G27" s="61">
        <f>IF(FT!B27&lt;&gt;"",FT!B27*100,"")</f>
        <v>36.790900000000001</v>
      </c>
      <c r="H27" s="61">
        <f t="shared" si="1"/>
        <v>1</v>
      </c>
      <c r="I27" t="str">
        <f>IF(FT!B27&lt;&gt;"",FT!E27,"")</f>
        <v>1 [10.135798]</v>
      </c>
      <c r="J27">
        <f>IF(FT!B27&lt;&gt;"",FT!C27,"")</f>
        <v>10.1358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45618</v>
      </c>
      <c r="D28" s="61">
        <f>FH!B28*1</f>
        <v>45618</v>
      </c>
      <c r="E28">
        <f t="shared" si="3"/>
        <v>26</v>
      </c>
      <c r="F28" s="61">
        <f>IF(FT!A28&lt;&gt;"",FT!A28*10,"")</f>
        <v>3.0666500000000001</v>
      </c>
      <c r="G28" s="61">
        <f>IF(FT!B28&lt;&gt;"",FT!B28*100,"")</f>
        <v>36.618600000000001</v>
      </c>
      <c r="H28" s="61">
        <f t="shared" si="1"/>
        <v>1</v>
      </c>
      <c r="I28" t="str">
        <f>IF(FT!B28&lt;&gt;"",FT!E28,"")</f>
        <v>1 [10.541721]</v>
      </c>
      <c r="J28">
        <f>IF(FT!B28&lt;&gt;"",FT!C28,"")</f>
        <v>10.541700000000001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3.1071399999999998</v>
      </c>
      <c r="G29" s="61">
        <f>IF(FT!B29&lt;&gt;"",FT!B29*100,"")</f>
        <v>36.522799999999997</v>
      </c>
      <c r="H29" s="61">
        <f t="shared" si="1"/>
        <v>1</v>
      </c>
      <c r="I29" t="str">
        <f>IF(FT!B29&lt;&gt;"",FT!E29,"")</f>
        <v>1 [10.946097]</v>
      </c>
      <c r="J29">
        <f>IF(FT!B29&lt;&gt;"",FT!C29,"")</f>
        <v>10.946099999999999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3.1455499999999996</v>
      </c>
      <c r="G30" s="61">
        <f>IF(FT!B30&lt;&gt;"",FT!B30*100,"")</f>
        <v>36.4741</v>
      </c>
      <c r="H30" s="61">
        <f t="shared" si="1"/>
        <v>1</v>
      </c>
      <c r="I30" t="str">
        <f>IF(FT!B30&lt;&gt;"",FT!E30,"")</f>
        <v>1 [11.357525]</v>
      </c>
      <c r="J30">
        <f>IF(FT!B30&lt;&gt;"",FT!C30,"")</f>
        <v>11.3575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61759</v>
      </c>
      <c r="D31" s="61">
        <f>FH!B31*1</f>
        <v>61759</v>
      </c>
      <c r="E31">
        <f t="shared" si="3"/>
        <v>29</v>
      </c>
      <c r="F31" s="61">
        <f>IF(FT!A31&lt;&gt;"",FT!A31*10,"")</f>
        <v>3.1829299999999998</v>
      </c>
      <c r="G31" s="61">
        <f>IF(FT!B31&lt;&gt;"",FT!B31*100,"")</f>
        <v>36.452100000000002</v>
      </c>
      <c r="H31" s="61">
        <f t="shared" si="1"/>
        <v>1</v>
      </c>
      <c r="I31" t="str">
        <f>IF(FT!B31&lt;&gt;"",FT!E31,"")</f>
        <v>1 [11.760041]</v>
      </c>
      <c r="J31">
        <f>IF(FT!B31&lt;&gt;"",FT!C31,"")</f>
        <v>11.76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3.2218499999999999</v>
      </c>
      <c r="G32" s="61">
        <f>IF(FT!B32&lt;&gt;"",FT!B32*100,"")</f>
        <v>36.412800000000004</v>
      </c>
      <c r="H32" s="61">
        <f t="shared" si="1"/>
        <v>1</v>
      </c>
      <c r="I32" t="str">
        <f>IF(FT!B32&lt;&gt;"",FT!E32,"")</f>
        <v>1 [12.167381]</v>
      </c>
      <c r="J32">
        <f>IF(FT!B32&lt;&gt;"",FT!C32,"")</f>
        <v>12.167400000000001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74279</v>
      </c>
      <c r="D33" s="61">
        <f>FH!B33*1</f>
        <v>74279</v>
      </c>
      <c r="E33">
        <f t="shared" si="3"/>
        <v>31</v>
      </c>
      <c r="F33" s="61">
        <f>IF(FT!A33&lt;&gt;"",FT!A33*10,"")</f>
        <v>3.2609399999999997</v>
      </c>
      <c r="G33" s="61">
        <f>IF(FT!B33&lt;&gt;"",FT!B33*100,"")</f>
        <v>36.409999999999997</v>
      </c>
      <c r="H33" s="61">
        <f t="shared" si="1"/>
        <v>1</v>
      </c>
      <c r="I33" t="str">
        <f>IF(FT!B33&lt;&gt;"",FT!E33,"")</f>
        <v>1 [12.572318]</v>
      </c>
      <c r="J33">
        <f>IF(FT!B33&lt;&gt;"",FT!C33,"")</f>
        <v>12.5723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3.29861</v>
      </c>
      <c r="G34" s="61">
        <f>IF(FT!B34&lt;&gt;"",FT!B34*100,"")</f>
        <v>36.468499999999999</v>
      </c>
      <c r="H34" s="61">
        <f t="shared" si="1"/>
        <v>1</v>
      </c>
      <c r="I34" t="str">
        <f>IF(FT!B34&lt;&gt;"",FT!E34,"")</f>
        <v>1 [12.976241]</v>
      </c>
      <c r="J34">
        <f>IF(FT!B34&lt;&gt;"",FT!C34,"")</f>
        <v>12.9762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3.3339600000000003</v>
      </c>
      <c r="G35" s="61">
        <f>IF(FT!B35&lt;&gt;"",FT!B35*100,"")</f>
        <v>36.570700000000002</v>
      </c>
      <c r="H35" s="61">
        <f t="shared" si="1"/>
        <v>1</v>
      </c>
      <c r="I35" t="str">
        <f>IF(FT!B35&lt;&gt;"",FT!E35,"")</f>
        <v>1 [13.386120]</v>
      </c>
      <c r="J35">
        <f>IF(FT!B35&lt;&gt;"",FT!C35,"")</f>
        <v>13.386100000000001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82352</v>
      </c>
      <c r="D36" s="61">
        <f>FH!B36*1</f>
        <v>82352</v>
      </c>
      <c r="E36">
        <f t="shared" si="3"/>
        <v>34</v>
      </c>
      <c r="F36" s="61">
        <f>IF(FT!A36&lt;&gt;"",FT!A36*10,"")</f>
        <v>3.3675500000000005</v>
      </c>
      <c r="G36" s="61">
        <f>IF(FT!B36&lt;&gt;"",FT!B36*100,"")</f>
        <v>36.627900000000004</v>
      </c>
      <c r="H36" s="61">
        <f t="shared" si="1"/>
        <v>1</v>
      </c>
      <c r="I36" t="str">
        <f>IF(FT!B36&lt;&gt;"",FT!E36,"")</f>
        <v>1 [13.796365]</v>
      </c>
      <c r="J36">
        <f>IF(FT!B36&lt;&gt;"",FT!C36,"")</f>
        <v>13.7964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3.4001399999999999</v>
      </c>
      <c r="G37" s="61">
        <f>IF(FT!B37&lt;&gt;"",FT!B37*100,"")</f>
        <v>36.639699999999998</v>
      </c>
      <c r="H37" s="61">
        <f t="shared" si="1"/>
        <v>1</v>
      </c>
      <c r="I37" t="str">
        <f>IF(FT!B37&lt;&gt;"",FT!E37,"")</f>
        <v>1 [14.198978]</v>
      </c>
      <c r="J37">
        <f>IF(FT!B37&lt;&gt;"",FT!C37,"")</f>
        <v>14.199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3.43058</v>
      </c>
      <c r="G38" s="61">
        <f>IF(FT!B38&lt;&gt;"",FT!B38*100,"")</f>
        <v>36.624400000000001</v>
      </c>
      <c r="H38" s="61">
        <f t="shared" si="1"/>
        <v>1</v>
      </c>
      <c r="I38" t="str">
        <f>IF(FT!B38&lt;&gt;"",FT!E38,"")</f>
        <v>1 [14.604841]</v>
      </c>
      <c r="J38">
        <f>IF(FT!B38&lt;&gt;"",FT!C38,"")</f>
        <v>14.604799999999999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81663</v>
      </c>
      <c r="D39" s="61">
        <f>FH!B39*1</f>
        <v>81663</v>
      </c>
      <c r="E39">
        <f t="shared" si="3"/>
        <v>37</v>
      </c>
      <c r="F39" s="61">
        <f>IF(FT!A39&lt;&gt;"",FT!A39*10,"")</f>
        <v>3.4592899999999998</v>
      </c>
      <c r="G39" s="61">
        <f>IF(FT!B39&lt;&gt;"",FT!B39*100,"")</f>
        <v>36.633900000000004</v>
      </c>
      <c r="H39" s="61">
        <f t="shared" si="1"/>
        <v>1</v>
      </c>
      <c r="I39" t="str">
        <f>IF(FT!B39&lt;&gt;"",FT!E39,"")</f>
        <v>1 [15.010197]</v>
      </c>
      <c r="J39">
        <f>IF(FT!B39&lt;&gt;"",FT!C39,"")</f>
        <v>15.010199999999999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3.4852799999999999</v>
      </c>
      <c r="G40" s="61">
        <f>IF(FT!B40&lt;&gt;"",FT!B40*100,"")</f>
        <v>36.640499999999996</v>
      </c>
      <c r="H40" s="61">
        <f t="shared" si="1"/>
        <v>1</v>
      </c>
      <c r="I40" t="str">
        <f>IF(FT!B40&lt;&gt;"",FT!E40,"")</f>
        <v>1 [15.414110]</v>
      </c>
      <c r="J40">
        <f>IF(FT!B40&lt;&gt;"",FT!C40,"")</f>
        <v>15.414099999999999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87236</v>
      </c>
      <c r="D41" s="61">
        <f>FH!B41*1</f>
        <v>87236</v>
      </c>
      <c r="E41">
        <f t="shared" si="3"/>
        <v>39</v>
      </c>
      <c r="F41" s="61">
        <f>IF(FT!A41&lt;&gt;"",FT!A41*10,"")</f>
        <v>3.5080099999999996</v>
      </c>
      <c r="G41" s="61">
        <f>IF(FT!B41&lt;&gt;"",FT!B41*100,"")</f>
        <v>36.674599999999998</v>
      </c>
      <c r="H41" s="61">
        <f t="shared" si="1"/>
        <v>1</v>
      </c>
      <c r="I41" t="str">
        <f>IF(FT!B41&lt;&gt;"",FT!E41,"")</f>
        <v>1 [15.825634]</v>
      </c>
      <c r="J41">
        <f>IF(FT!B41&lt;&gt;"",FT!C41,"")</f>
        <v>15.8256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3.5306100000000002</v>
      </c>
      <c r="G42" s="61">
        <f>IF(FT!B42&lt;&gt;"",FT!B42*100,"")</f>
        <v>36.7316</v>
      </c>
      <c r="H42" s="61">
        <f t="shared" si="1"/>
        <v>1</v>
      </c>
      <c r="I42" t="str">
        <f>IF(FT!B42&lt;&gt;"",FT!E42,"")</f>
        <v>1 [16.232127]</v>
      </c>
      <c r="J42">
        <f>IF(FT!B42&lt;&gt;"",FT!C42,"")</f>
        <v>16.232099999999999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3.5529600000000001</v>
      </c>
      <c r="G43" s="61">
        <f>IF(FT!B43&lt;&gt;"",FT!B43*100,"")</f>
        <v>36.781700000000001</v>
      </c>
      <c r="H43" s="61">
        <f t="shared" si="1"/>
        <v>1</v>
      </c>
      <c r="I43" t="str">
        <f>IF(FT!B43&lt;&gt;"",FT!E43,"")</f>
        <v>1 [16.637410]</v>
      </c>
      <c r="J43">
        <f>IF(FT!B43&lt;&gt;"",FT!C43,"")</f>
        <v>16.6374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89434</v>
      </c>
      <c r="D44" s="61">
        <f>FH!B44*1</f>
        <v>89434</v>
      </c>
      <c r="E44">
        <f t="shared" si="3"/>
        <v>42</v>
      </c>
      <c r="F44" s="61">
        <f>IF(FT!A44&lt;&gt;"",FT!A44*10,"")</f>
        <v>3.5787999999999998</v>
      </c>
      <c r="G44" s="61">
        <f>IF(FT!B44&lt;&gt;"",FT!B44*100,"")</f>
        <v>36.7545</v>
      </c>
      <c r="H44" s="61">
        <f t="shared" si="1"/>
        <v>1</v>
      </c>
      <c r="I44" t="str">
        <f>IF(FT!B44&lt;&gt;"",FT!E44,"")</f>
        <v>1 [17.043483]</v>
      </c>
      <c r="J44">
        <f>IF(FT!B44&lt;&gt;"",FT!C44,"")</f>
        <v>17.043500000000002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3.6052900000000001</v>
      </c>
      <c r="G45" s="61">
        <f>IF(FT!B45&lt;&gt;"",FT!B45*100,"")</f>
        <v>36.640900000000002</v>
      </c>
      <c r="H45" s="61">
        <f t="shared" si="1"/>
        <v>1</v>
      </c>
      <c r="I45" t="str">
        <f>IF(FT!B45&lt;&gt;"",FT!E45,"")</f>
        <v>1 [17.445660]</v>
      </c>
      <c r="J45">
        <f>IF(FT!B45&lt;&gt;"",FT!C45,"")</f>
        <v>17.445699999999999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98633</v>
      </c>
      <c r="D46" s="61">
        <f>FH!B46*1</f>
        <v>98633</v>
      </c>
      <c r="E46">
        <f t="shared" si="3"/>
        <v>44</v>
      </c>
      <c r="F46" s="61">
        <f>IF(FT!A46&lt;&gt;"",FT!A46*10,"")</f>
        <v>3.63117</v>
      </c>
      <c r="G46" s="61">
        <f>IF(FT!B46&lt;&gt;"",FT!B46*100,"")</f>
        <v>36.454799999999999</v>
      </c>
      <c r="H46" s="61">
        <f t="shared" si="1"/>
        <v>1</v>
      </c>
      <c r="I46" t="str">
        <f>IF(FT!B46&lt;&gt;"",FT!E46,"")</f>
        <v>1 [17.854186]</v>
      </c>
      <c r="J46">
        <f>IF(FT!B46&lt;&gt;"",FT!C46,"")</f>
        <v>17.854199999999999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3.6567300000000005</v>
      </c>
      <c r="G47" s="61">
        <f>IF(FT!B47&lt;&gt;"",FT!B47*100,"")</f>
        <v>36.204599999999999</v>
      </c>
      <c r="H47" s="61">
        <f t="shared" si="1"/>
        <v>1</v>
      </c>
      <c r="I47" t="str">
        <f>IF(FT!B47&lt;&gt;"",FT!E47,"")</f>
        <v>1 [18.262207]</v>
      </c>
      <c r="J47">
        <f>IF(FT!B47&lt;&gt;"",FT!C47,"")</f>
        <v>18.2622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3.6825000000000001</v>
      </c>
      <c r="G48" s="61">
        <f>IF(FT!B48&lt;&gt;"",FT!B48*100,"")</f>
        <v>35.909500000000001</v>
      </c>
      <c r="H48" s="61">
        <f t="shared" si="1"/>
        <v>1</v>
      </c>
      <c r="I48" t="str">
        <f>IF(FT!B48&lt;&gt;"",FT!E48,"")</f>
        <v>1 [18.668011]</v>
      </c>
      <c r="J48">
        <f>IF(FT!B48&lt;&gt;"",FT!C48,"")</f>
        <v>18.667999999999999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101566</v>
      </c>
      <c r="D49" s="61">
        <f>FH!B49*1</f>
        <v>101566</v>
      </c>
      <c r="E49">
        <f t="shared" si="3"/>
        <v>47</v>
      </c>
      <c r="F49" s="61">
        <f>IF(FT!A49&lt;&gt;"",FT!A49*10,"")</f>
        <v>3.7055799999999999</v>
      </c>
      <c r="G49" s="61">
        <f>IF(FT!B49&lt;&gt;"",FT!B49*100,"")</f>
        <v>35.604599999999998</v>
      </c>
      <c r="H49" s="61">
        <f t="shared" si="1"/>
        <v>1</v>
      </c>
      <c r="I49" t="str">
        <f>IF(FT!B49&lt;&gt;"",FT!E49,"")</f>
        <v>1 [19.074379]</v>
      </c>
      <c r="J49">
        <f>IF(FT!B49&lt;&gt;"",FT!C49,"")</f>
        <v>19.074400000000001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3.72987</v>
      </c>
      <c r="G50" s="61">
        <f>IF(FT!B50&lt;&gt;"",FT!B50*100,"")</f>
        <v>35.290999999999997</v>
      </c>
      <c r="H50" s="61">
        <f t="shared" si="1"/>
        <v>1</v>
      </c>
      <c r="I50" t="str">
        <f>IF(FT!B50&lt;&gt;"",FT!E50,"")</f>
        <v>1 [19.481804]</v>
      </c>
      <c r="J50">
        <f>IF(FT!B50&lt;&gt;"",FT!C50,"")</f>
        <v>19.4818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106720</v>
      </c>
      <c r="D51" s="61">
        <f>FH!B51*1</f>
        <v>106720</v>
      </c>
      <c r="E51">
        <f t="shared" si="3"/>
        <v>49</v>
      </c>
      <c r="F51" s="61">
        <f>IF(FT!A51&lt;&gt;"",FT!A51*10,"")</f>
        <v>3.7532399999999999</v>
      </c>
      <c r="G51" s="61">
        <f>IF(FT!B51&lt;&gt;"",FT!B51*100,"")</f>
        <v>35.039000000000001</v>
      </c>
      <c r="H51" s="61">
        <f t="shared" si="1"/>
        <v>1</v>
      </c>
      <c r="I51" t="str">
        <f>IF(FT!B51&lt;&gt;"",FT!E51,"")</f>
        <v>1 [19.888849]</v>
      </c>
      <c r="J51">
        <f>IF(FT!B51&lt;&gt;"",FT!C51,"")</f>
        <v>19.8888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3.7717700000000001</v>
      </c>
      <c r="G52" s="61">
        <f>IF(FT!B52&lt;&gt;"",FT!B52*100,"")</f>
        <v>34.833599999999997</v>
      </c>
      <c r="H52" s="61">
        <f t="shared" si="1"/>
        <v>1</v>
      </c>
      <c r="I52" t="str">
        <f>IF(FT!B52&lt;&gt;"",FT!E52,"")</f>
        <v>1 [20.296808]</v>
      </c>
      <c r="J52">
        <f>IF(FT!B52&lt;&gt;"",FT!C52,"")</f>
        <v>20.296800000000001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3.7996099999999999</v>
      </c>
      <c r="G53" s="61">
        <f>IF(FT!B53&lt;&gt;"",FT!B53*100,"")</f>
        <v>34.525399999999998</v>
      </c>
      <c r="H53" s="61">
        <f t="shared" si="1"/>
        <v>1</v>
      </c>
      <c r="I53" t="str">
        <f>IF(FT!B53&lt;&gt;"",FT!E53,"")</f>
        <v>1 [20.698630]</v>
      </c>
      <c r="J53">
        <f>IF(FT!B53&lt;&gt;"",FT!C53,"")</f>
        <v>20.698599999999999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111272</v>
      </c>
      <c r="D54" s="61">
        <f>FH!B54*1</f>
        <v>111272</v>
      </c>
      <c r="E54">
        <f t="shared" si="3"/>
        <v>52</v>
      </c>
      <c r="F54" s="61">
        <f>IF(FT!A54&lt;&gt;"",FT!A54*10,"")</f>
        <v>3.82721</v>
      </c>
      <c r="G54" s="61">
        <f>IF(FT!B54&lt;&gt;"",FT!B54*100,"")</f>
        <v>34.2515</v>
      </c>
      <c r="H54" s="61">
        <f t="shared" si="1"/>
        <v>1</v>
      </c>
      <c r="I54" t="str">
        <f>IF(FT!B54&lt;&gt;"",FT!E54,"")</f>
        <v>1 [21.102485]</v>
      </c>
      <c r="J54">
        <f>IF(FT!B54&lt;&gt;"",FT!C54,"")</f>
        <v>21.102499999999999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3.8528699999999998</v>
      </c>
      <c r="G55" s="61">
        <f>IF(FT!B55&lt;&gt;"",FT!B55*100,"")</f>
        <v>34.027000000000001</v>
      </c>
      <c r="H55" s="61">
        <f t="shared" si="1"/>
        <v>1</v>
      </c>
      <c r="I55" t="str">
        <f>IF(FT!B55&lt;&gt;"",FT!E55,"")</f>
        <v>1 [21.510575]</v>
      </c>
      <c r="J55">
        <f>IF(FT!B55&lt;&gt;"",FT!C55,"")</f>
        <v>21.5106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3.8752399999999998</v>
      </c>
      <c r="G56" s="61">
        <f>IF(FT!B56&lt;&gt;"",FT!B56*100,"")</f>
        <v>33.842299999999994</v>
      </c>
      <c r="H56" s="61">
        <f t="shared" si="1"/>
        <v>1</v>
      </c>
      <c r="I56" t="str">
        <f>IF(FT!B56&lt;&gt;"",FT!E56,"")</f>
        <v>1 [21.920430]</v>
      </c>
      <c r="J56">
        <f>IF(FT!B56&lt;&gt;"",FT!C56,"")</f>
        <v>21.920400000000001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117253</v>
      </c>
      <c r="D57" s="61">
        <f>FH!B57*1</f>
        <v>117253</v>
      </c>
      <c r="E57">
        <f t="shared" si="3"/>
        <v>55</v>
      </c>
      <c r="F57" s="61">
        <f>IF(FT!A57&lt;&gt;"",FT!A57*10,"")</f>
        <v>3.8970599999999997</v>
      </c>
      <c r="G57" s="61">
        <f>IF(FT!B57&lt;&gt;"",FT!B57*100,"")</f>
        <v>33.607100000000003</v>
      </c>
      <c r="H57" s="61">
        <f t="shared" si="1"/>
        <v>1</v>
      </c>
      <c r="I57" t="str">
        <f>IF(FT!B57&lt;&gt;"",FT!E57,"")</f>
        <v>1 [22.324281]</v>
      </c>
      <c r="J57">
        <f>IF(FT!B57&lt;&gt;"",FT!C57,"")</f>
        <v>22.324300000000001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3.9225900000000005</v>
      </c>
      <c r="G58" s="61">
        <f>IF(FT!B58&lt;&gt;"",FT!B58*100,"")</f>
        <v>33.369799999999998</v>
      </c>
      <c r="H58" s="61">
        <f t="shared" si="1"/>
        <v>1</v>
      </c>
      <c r="I58" t="str">
        <f>IF(FT!B58&lt;&gt;"",FT!E58,"")</f>
        <v>1 [22.732155]</v>
      </c>
      <c r="J58">
        <f>IF(FT!B58&lt;&gt;"",FT!C58,"")</f>
        <v>22.732199999999999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125327</v>
      </c>
      <c r="D59" s="61">
        <f>FH!B59*1</f>
        <v>125327</v>
      </c>
      <c r="E59">
        <f t="shared" si="3"/>
        <v>57</v>
      </c>
      <c r="F59" s="61">
        <f>IF(FT!A59&lt;&gt;"",FT!A59*10,"")</f>
        <v>3.9416500000000001</v>
      </c>
      <c r="G59" s="61">
        <f>IF(FT!B59&lt;&gt;"",FT!B59*100,"")</f>
        <v>33.250700000000002</v>
      </c>
      <c r="H59" s="61">
        <f t="shared" si="1"/>
        <v>1</v>
      </c>
      <c r="I59" t="str">
        <f>IF(FT!B59&lt;&gt;"",FT!E59,"")</f>
        <v>1 [23.135011]</v>
      </c>
      <c r="J59">
        <f>IF(FT!B59&lt;&gt;"",FT!C59,"")</f>
        <v>23.135000000000002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3.9568199999999996</v>
      </c>
      <c r="G60" s="61">
        <f>IF(FT!B60&lt;&gt;"",FT!B60*100,"")</f>
        <v>33.169699999999999</v>
      </c>
      <c r="H60" s="61">
        <f t="shared" si="1"/>
        <v>1</v>
      </c>
      <c r="I60" t="str">
        <f>IF(FT!B60&lt;&gt;"",FT!E60,"")</f>
        <v>1 [23.543124]</v>
      </c>
      <c r="J60">
        <f>IF(FT!B60&lt;&gt;"",FT!C60,"")</f>
        <v>23.543099999999999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3.9683299999999999</v>
      </c>
      <c r="G61" s="61">
        <f>IF(FT!B61&lt;&gt;"",FT!B61*100,"")</f>
        <v>33.187100000000001</v>
      </c>
      <c r="H61" s="61">
        <f t="shared" si="1"/>
        <v>1</v>
      </c>
      <c r="I61" t="str">
        <f>IF(FT!B61&lt;&gt;"",FT!E61,"")</f>
        <v>1 [23.950858]</v>
      </c>
      <c r="J61">
        <f>IF(FT!B61&lt;&gt;"",FT!C61,"")</f>
        <v>23.950900000000001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130761</v>
      </c>
      <c r="D62" s="61">
        <f>FH!B62*1</f>
        <v>130761</v>
      </c>
      <c r="E62">
        <f t="shared" si="3"/>
        <v>60</v>
      </c>
      <c r="F62" s="61">
        <f>IF(FT!A62&lt;&gt;"",FT!A62*10,"")</f>
        <v>3.97289</v>
      </c>
      <c r="G62" s="61">
        <f>IF(FT!B62&lt;&gt;"",FT!B62*100,"")</f>
        <v>33.289499999999997</v>
      </c>
      <c r="H62" s="61">
        <f t="shared" si="1"/>
        <v>1</v>
      </c>
      <c r="I62" t="str">
        <f>IF(FT!B62&lt;&gt;"",FT!E62,"")</f>
        <v>1 [24.357849]</v>
      </c>
      <c r="J62">
        <f>IF(FT!B62&lt;&gt;"",FT!C62,"")</f>
        <v>24.357800000000001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3.9803800000000003</v>
      </c>
      <c r="G63" s="61">
        <f>IF(FT!B63&lt;&gt;"",FT!B63*100,"")</f>
        <v>33.337899999999998</v>
      </c>
      <c r="H63" s="61">
        <f t="shared" si="1"/>
        <v>1</v>
      </c>
      <c r="I63" t="str">
        <f>IF(FT!B63&lt;&gt;"",FT!E63,"")</f>
        <v>1 [24.760733]</v>
      </c>
      <c r="J63">
        <f>IF(FT!B63&lt;&gt;"",FT!C63,"")</f>
        <v>24.7607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136299</v>
      </c>
      <c r="D64" s="61">
        <f>FH!B64*1</f>
        <v>136299</v>
      </c>
      <c r="E64">
        <f t="shared" si="3"/>
        <v>62</v>
      </c>
      <c r="F64" s="61">
        <f>IF(FT!A64&lt;&gt;"",FT!A64*10,"")</f>
        <v>3.9815699999999996</v>
      </c>
      <c r="G64" s="61">
        <f>IF(FT!B64&lt;&gt;"",FT!B64*100,"")</f>
        <v>33.472700000000003</v>
      </c>
      <c r="H64" s="61">
        <f t="shared" si="1"/>
        <v>1</v>
      </c>
      <c r="I64" t="str">
        <f>IF(FT!B64&lt;&gt;"",FT!E64,"")</f>
        <v>1 [25.165623]</v>
      </c>
      <c r="J64">
        <f>IF(FT!B64&lt;&gt;"",FT!C64,"")</f>
        <v>25.165600000000001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3.98123</v>
      </c>
      <c r="G65" s="61">
        <f>IF(FT!B65&lt;&gt;"",FT!B65*100,"")</f>
        <v>33.610199999999999</v>
      </c>
      <c r="H65" s="61">
        <f t="shared" si="1"/>
        <v>1</v>
      </c>
      <c r="I65" t="str">
        <f>IF(FT!B65&lt;&gt;"",FT!E65,"")</f>
        <v>1 [25.573696]</v>
      </c>
      <c r="J65">
        <f>IF(FT!B65&lt;&gt;"",FT!C65,"")</f>
        <v>25.573699999999999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3.9825700000000004</v>
      </c>
      <c r="G66" s="61">
        <f>IF(FT!B66&lt;&gt;"",FT!B66*100,"")</f>
        <v>33.776400000000002</v>
      </c>
      <c r="H66" s="61">
        <f t="shared" si="1"/>
        <v>1</v>
      </c>
      <c r="I66" t="str">
        <f>IF(FT!B66&lt;&gt;"",FT!E66,"")</f>
        <v>1 [25.979752]</v>
      </c>
      <c r="J66">
        <f>IF(FT!B66&lt;&gt;"",FT!C66,"")</f>
        <v>25.979800000000001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144647</v>
      </c>
      <c r="D67" s="61">
        <f>FH!B67*1</f>
        <v>144647</v>
      </c>
      <c r="E67">
        <f t="shared" si="3"/>
        <v>65</v>
      </c>
      <c r="F67" s="61">
        <f>IF(FT!A67&lt;&gt;"",FT!A67*10,"")</f>
        <v>3.9808900000000005</v>
      </c>
      <c r="G67" s="61">
        <f>IF(FT!B67&lt;&gt;"",FT!B67*100,"")</f>
        <v>33.910699999999999</v>
      </c>
      <c r="H67" s="61">
        <f t="shared" ref="H67:H130" si="9">(IF(F67&lt;&gt;"",1,""))</f>
        <v>1</v>
      </c>
      <c r="I67" t="str">
        <f>IF(FT!B67&lt;&gt;"",FT!E67,"")</f>
        <v>1 [26.387391]</v>
      </c>
      <c r="J67">
        <f>IF(FT!B67&lt;&gt;"",FT!C67,"")</f>
        <v>26.3874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3.9748999999999999</v>
      </c>
      <c r="G68" s="61">
        <f>IF(FT!B68&lt;&gt;"",FT!B68*100,"")</f>
        <v>34.042099999999998</v>
      </c>
      <c r="H68" s="61">
        <f t="shared" si="9"/>
        <v>1</v>
      </c>
      <c r="I68" t="str">
        <f>IF(FT!B68&lt;&gt;"",FT!E68,"")</f>
        <v>1 [26.794287]</v>
      </c>
      <c r="J68">
        <f>IF(FT!B68&lt;&gt;"",FT!C68,"")</f>
        <v>26.7943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147504</v>
      </c>
      <c r="D69" s="61">
        <f>FH!B69*1</f>
        <v>147504</v>
      </c>
      <c r="E69">
        <f t="shared" si="11"/>
        <v>67</v>
      </c>
      <c r="F69" s="61">
        <f>IF(FT!A69&lt;&gt;"",FT!A69*10,"")</f>
        <v>3.9506200000000002</v>
      </c>
      <c r="G69" s="61">
        <f>IF(FT!B69&lt;&gt;"",FT!B69*100,"")</f>
        <v>34.244900000000001</v>
      </c>
      <c r="H69" s="61">
        <f t="shared" si="9"/>
        <v>1</v>
      </c>
      <c r="I69" t="str">
        <f>IF(FT!B69&lt;&gt;"",FT!E69,"")</f>
        <v>1 [27.199218]</v>
      </c>
      <c r="J69">
        <f>IF(FT!B69&lt;&gt;"",FT!C69,"")</f>
        <v>27.199200000000001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3.9258900000000003</v>
      </c>
      <c r="G70" s="61">
        <f>IF(FT!B70&lt;&gt;"",FT!B70*100,"")</f>
        <v>34.364699999999999</v>
      </c>
      <c r="H70" s="61">
        <f t="shared" si="9"/>
        <v>1</v>
      </c>
      <c r="I70" t="str">
        <f>IF(FT!B70&lt;&gt;"",FT!E70,"")</f>
        <v>1 [27.607077]</v>
      </c>
      <c r="J70">
        <f>IF(FT!B70&lt;&gt;"",FT!C70,"")</f>
        <v>27.607099999999999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3.8995500000000001</v>
      </c>
      <c r="G71" s="61">
        <f>IF(FT!B71&lt;&gt;"",FT!B71*100,"")</f>
        <v>34.491</v>
      </c>
      <c r="H71" s="61">
        <f t="shared" si="9"/>
        <v>1</v>
      </c>
      <c r="I71" t="str">
        <f>IF(FT!B71&lt;&gt;"",FT!E71,"")</f>
        <v>1 [28.009477]</v>
      </c>
      <c r="J71">
        <f>IF(FT!B71&lt;&gt;"",FT!C71,"")</f>
        <v>28.009499999999999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160959</v>
      </c>
      <c r="D72" s="61">
        <f>FH!B72*1</f>
        <v>160959</v>
      </c>
      <c r="E72">
        <f t="shared" si="11"/>
        <v>70</v>
      </c>
      <c r="F72" s="61">
        <f>IF(FT!A72&lt;&gt;"",FT!A72*10,"")</f>
        <v>3.8828499999999999</v>
      </c>
      <c r="G72" s="61">
        <f>IF(FT!B72&lt;&gt;"",FT!B72*100,"")</f>
        <v>34.591000000000001</v>
      </c>
      <c r="H72" s="61">
        <f t="shared" si="9"/>
        <v>1</v>
      </c>
      <c r="I72" t="str">
        <f>IF(FT!B72&lt;&gt;"",FT!E72,"")</f>
        <v>1 [28.416977]</v>
      </c>
      <c r="J72">
        <f>IF(FT!B72&lt;&gt;"",FT!C72,"")</f>
        <v>28.417000000000002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3.8437399999999999</v>
      </c>
      <c r="G73" s="61">
        <f>IF(FT!B73&lt;&gt;"",FT!B73*100,"")</f>
        <v>34.769599999999997</v>
      </c>
      <c r="H73" s="61">
        <f t="shared" si="9"/>
        <v>1</v>
      </c>
      <c r="I73" t="str">
        <f>IF(FT!B73&lt;&gt;"",FT!E73,"")</f>
        <v>1 [28.826824]</v>
      </c>
      <c r="J73">
        <f>IF(FT!B73&lt;&gt;"",FT!C73,"")</f>
        <v>28.826799999999999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3.8114500000000002</v>
      </c>
      <c r="G74" s="61">
        <f>IF(FT!B74&lt;&gt;"",FT!B74*100,"")</f>
        <v>34.900700000000001</v>
      </c>
      <c r="H74" s="61">
        <f t="shared" si="9"/>
        <v>1</v>
      </c>
      <c r="I74" t="str">
        <f>IF(FT!B74&lt;&gt;"",FT!E74,"")</f>
        <v>1 [29.229968]</v>
      </c>
      <c r="J74">
        <f>IF(FT!B74&lt;&gt;"",FT!C74,"")</f>
        <v>29.23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152629</v>
      </c>
      <c r="D75" s="61">
        <f>FH!B75*1</f>
        <v>152629</v>
      </c>
      <c r="E75">
        <f t="shared" si="11"/>
        <v>73</v>
      </c>
      <c r="F75" s="61">
        <f>IF(FT!A75&lt;&gt;"",FT!A75*10,"")</f>
        <v>3.7877899999999998</v>
      </c>
      <c r="G75" s="61">
        <f>IF(FT!B75&lt;&gt;"",FT!B75*100,"")</f>
        <v>35.069699999999997</v>
      </c>
      <c r="H75" s="61">
        <f t="shared" si="9"/>
        <v>1</v>
      </c>
      <c r="I75" t="str">
        <f>IF(FT!B75&lt;&gt;"",FT!E75,"")</f>
        <v>1 [29.632668]</v>
      </c>
      <c r="J75">
        <f>IF(FT!B75&lt;&gt;"",FT!C75,"")</f>
        <v>29.6327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3.7490800000000002</v>
      </c>
      <c r="G76" s="61">
        <f>IF(FT!B76&lt;&gt;"",FT!B76*100,"")</f>
        <v>35.269500000000001</v>
      </c>
      <c r="H76" s="61">
        <f t="shared" si="9"/>
        <v>1</v>
      </c>
      <c r="I76" t="str">
        <f>IF(FT!B76&lt;&gt;"",FT!E76,"")</f>
        <v>1 [30.044958]</v>
      </c>
      <c r="J76">
        <f>IF(FT!B76&lt;&gt;"",FT!C76,"")</f>
        <v>30.045000000000002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163511</v>
      </c>
      <c r="D77" s="61">
        <f>FH!B77*1</f>
        <v>163511</v>
      </c>
      <c r="E77">
        <f t="shared" si="11"/>
        <v>75</v>
      </c>
      <c r="F77" s="61">
        <f>IF(FT!A77&lt;&gt;"",FT!A77*10,"")</f>
        <v>3.6950499999999997</v>
      </c>
      <c r="G77" s="61">
        <f>IF(FT!B77&lt;&gt;"",FT!B77*100,"")</f>
        <v>35.688199999999995</v>
      </c>
      <c r="H77" s="61">
        <f t="shared" si="9"/>
        <v>1</v>
      </c>
      <c r="I77" t="str">
        <f>IF(FT!B77&lt;&gt;"",FT!E77,"")</f>
        <v>2 [30.623025]</v>
      </c>
      <c r="J77">
        <f>IF(FT!B77&lt;&gt;"",FT!C77,"")</f>
        <v>30.623000000000001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3.6510100000000003</v>
      </c>
      <c r="G78" s="61">
        <f>IF(FT!B78&lt;&gt;"",FT!B78*100,"")</f>
        <v>36.163899999999998</v>
      </c>
      <c r="H78" s="61">
        <f t="shared" si="9"/>
        <v>1</v>
      </c>
      <c r="I78" t="str">
        <f>IF(FT!B78&lt;&gt;"",FT!E78,"")</f>
        <v>2 [30.997147]</v>
      </c>
      <c r="J78">
        <f>IF(FT!B78&lt;&gt;"",FT!C78,"")</f>
        <v>30.9971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3.6090100000000005</v>
      </c>
      <c r="G79" s="61">
        <f>IF(FT!B79&lt;&gt;"",FT!B79*100,"")</f>
        <v>36.663600000000002</v>
      </c>
      <c r="H79" s="61">
        <f t="shared" si="9"/>
        <v>1</v>
      </c>
      <c r="I79" t="str">
        <f>IF(FT!B79&lt;&gt;"",FT!E79,"")</f>
        <v>2 [31.371101]</v>
      </c>
      <c r="J79">
        <f>IF(FT!B79&lt;&gt;"",FT!C79,"")</f>
        <v>31.371099999999998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149982</v>
      </c>
      <c r="D80" s="61">
        <f>FH!B80*1</f>
        <v>149982</v>
      </c>
      <c r="E80">
        <f t="shared" si="11"/>
        <v>78</v>
      </c>
      <c r="F80" s="61">
        <f>IF(FT!A80&lt;&gt;"",FT!A80*10,"")</f>
        <v>3.5666399999999996</v>
      </c>
      <c r="G80" s="61">
        <f>IF(FT!B80&lt;&gt;"",FT!B80*100,"")</f>
        <v>37.243300000000005</v>
      </c>
      <c r="H80" s="61">
        <f t="shared" si="9"/>
        <v>1</v>
      </c>
      <c r="I80" t="str">
        <f>IF(FT!B80&lt;&gt;"",FT!E80,"")</f>
        <v>2 [31.747147]</v>
      </c>
      <c r="J80">
        <f>IF(FT!B80&lt;&gt;"",FT!C80,"")</f>
        <v>31.7471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3.52569</v>
      </c>
      <c r="G81" s="61">
        <f>IF(FT!B81&lt;&gt;"",FT!B81*100,"")</f>
        <v>37.967300000000002</v>
      </c>
      <c r="H81" s="61">
        <f t="shared" si="9"/>
        <v>1</v>
      </c>
      <c r="I81" t="str">
        <f>IF(FT!B81&lt;&gt;"",FT!E81,"")</f>
        <v>2 [32.117364]</v>
      </c>
      <c r="J81">
        <f>IF(FT!B81&lt;&gt;"",FT!C81,"")</f>
        <v>32.117400000000004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156650</v>
      </c>
      <c r="D82" s="61">
        <f>FH!B82*1</f>
        <v>156650</v>
      </c>
      <c r="E82">
        <f t="shared" si="11"/>
        <v>80</v>
      </c>
      <c r="F82" s="61">
        <f>IF(FT!A82&lt;&gt;"",FT!A82*10,"")</f>
        <v>3.4818799999999999</v>
      </c>
      <c r="G82" s="61">
        <f>IF(FT!B82&lt;&gt;"",FT!B82*100,"")</f>
        <v>38.876100000000001</v>
      </c>
      <c r="H82" s="61">
        <f t="shared" si="9"/>
        <v>1</v>
      </c>
      <c r="I82" t="str">
        <f>IF(FT!B82&lt;&gt;"",FT!E82,"")</f>
        <v>2 [32.529192]</v>
      </c>
      <c r="J82">
        <f>IF(FT!B82&lt;&gt;"",FT!C82,"")</f>
        <v>32.529200000000003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3.4389700000000003</v>
      </c>
      <c r="G83" s="61">
        <f>IF(FT!B83&lt;&gt;"",FT!B83*100,"")</f>
        <v>39.903199999999998</v>
      </c>
      <c r="H83" s="61">
        <f t="shared" si="9"/>
        <v>1</v>
      </c>
      <c r="I83" t="str">
        <f>IF(FT!B83&lt;&gt;"",FT!E83,"")</f>
        <v>2 [32.935845]</v>
      </c>
      <c r="J83">
        <f>IF(FT!B83&lt;&gt;"",FT!C83,"")</f>
        <v>32.9358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3.4005700000000001</v>
      </c>
      <c r="G84" s="61">
        <f>IF(FT!B84&lt;&gt;"",FT!B84*100,"")</f>
        <v>40.965299999999999</v>
      </c>
      <c r="H84" s="61">
        <f t="shared" si="9"/>
        <v>1</v>
      </c>
      <c r="I84" t="str">
        <f>IF(FT!B84&lt;&gt;"",FT!E84,"")</f>
        <v>2 [33.340844]</v>
      </c>
      <c r="J84">
        <f>IF(FT!B84&lt;&gt;"",FT!C84,"")</f>
        <v>33.340800000000002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156737</v>
      </c>
      <c r="D85" s="61">
        <f>FH!B85*1</f>
        <v>156737</v>
      </c>
      <c r="E85">
        <f t="shared" si="11"/>
        <v>83</v>
      </c>
      <c r="F85" s="61">
        <f>IF(FT!A85&lt;&gt;"",FT!A85*10,"")</f>
        <v>3.3691199999999997</v>
      </c>
      <c r="G85" s="61">
        <f>IF(FT!B85&lt;&gt;"",FT!B85*100,"")</f>
        <v>41.966900000000003</v>
      </c>
      <c r="H85" s="61">
        <f t="shared" si="9"/>
        <v>1</v>
      </c>
      <c r="I85" t="str">
        <f>IF(FT!B85&lt;&gt;"",FT!E85,"")</f>
        <v>2 [33.744695]</v>
      </c>
      <c r="J85">
        <f>IF(FT!B85&lt;&gt;"",FT!C85,"")</f>
        <v>33.744700000000002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3.3449299999999997</v>
      </c>
      <c r="G86" s="61">
        <f>IF(FT!B86&lt;&gt;"",FT!B86*100,"")</f>
        <v>42.912599999999998</v>
      </c>
      <c r="H86" s="61">
        <f t="shared" si="9"/>
        <v>1</v>
      </c>
      <c r="I86" t="str">
        <f>IF(FT!B86&lt;&gt;"",FT!E86,"")</f>
        <v>2 [34.152658]</v>
      </c>
      <c r="J86">
        <f>IF(FT!B86&lt;&gt;"",FT!C86,"")</f>
        <v>34.152700000000003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3.3231600000000001</v>
      </c>
      <c r="G87" s="61">
        <f>IF(FT!B87&lt;&gt;"",FT!B87*100,"")</f>
        <v>43.8294</v>
      </c>
      <c r="H87" s="61">
        <f t="shared" si="9"/>
        <v>1</v>
      </c>
      <c r="I87" t="str">
        <f>IF(FT!B87&lt;&gt;"",FT!E87,"")</f>
        <v>2 [34.562857]</v>
      </c>
      <c r="J87">
        <f>IF(FT!B87&lt;&gt;"",FT!C87,"")</f>
        <v>34.562899999999999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158973</v>
      </c>
      <c r="D88" s="61">
        <f>FH!B88*1</f>
        <v>158973</v>
      </c>
      <c r="E88">
        <f t="shared" si="11"/>
        <v>86</v>
      </c>
      <c r="F88" s="61">
        <f>IF(FT!A88&lt;&gt;"",FT!A88*10,"")</f>
        <v>3.3034599999999998</v>
      </c>
      <c r="G88" s="61">
        <f>IF(FT!B88&lt;&gt;"",FT!B88*100,"")</f>
        <v>44.696999999999996</v>
      </c>
      <c r="H88" s="61">
        <f t="shared" si="9"/>
        <v>1</v>
      </c>
      <c r="I88" t="str">
        <f>IF(FT!B88&lt;&gt;"",FT!E88,"")</f>
        <v>2 [34.966485]</v>
      </c>
      <c r="J88">
        <f>IF(FT!B88&lt;&gt;"",FT!C88,"")</f>
        <v>34.966500000000003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3.2877299999999998</v>
      </c>
      <c r="G89" s="61">
        <f>IF(FT!B89&lt;&gt;"",FT!B89*100,"")</f>
        <v>45.4831</v>
      </c>
      <c r="H89" s="61">
        <f t="shared" si="9"/>
        <v>1</v>
      </c>
      <c r="I89" t="str">
        <f>IF(FT!B89&lt;&gt;"",FT!E89,"")</f>
        <v>2 [35.371330]</v>
      </c>
      <c r="J89">
        <f>IF(FT!B89&lt;&gt;"",FT!C89,"")</f>
        <v>35.371299999999998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154015</v>
      </c>
      <c r="D90" s="61">
        <f>FH!B90*1</f>
        <v>154015</v>
      </c>
      <c r="E90">
        <f t="shared" si="11"/>
        <v>88</v>
      </c>
      <c r="F90" s="61">
        <f>IF(FT!A90&lt;&gt;"",FT!A90*10,"")</f>
        <v>3.2765499999999999</v>
      </c>
      <c r="G90" s="61">
        <f>IF(FT!B90&lt;&gt;"",FT!B90*100,"")</f>
        <v>46.216900000000003</v>
      </c>
      <c r="H90" s="61">
        <f t="shared" si="9"/>
        <v>1</v>
      </c>
      <c r="I90" t="str">
        <f>IF(FT!B90&lt;&gt;"",FT!E90,"")</f>
        <v>2 [35.776309]</v>
      </c>
      <c r="J90">
        <f>IF(FT!B90&lt;&gt;"",FT!C90,"")</f>
        <v>35.776299999999999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3.2710900000000001</v>
      </c>
      <c r="G91" s="61">
        <f>IF(FT!B91&lt;&gt;"",FT!B91*100,"")</f>
        <v>46.872300000000003</v>
      </c>
      <c r="H91" s="61">
        <f t="shared" si="9"/>
        <v>1</v>
      </c>
      <c r="I91" t="str">
        <f>IF(FT!B91&lt;&gt;"",FT!E91,"")</f>
        <v>2 [36.185113]</v>
      </c>
      <c r="J91">
        <f>IF(FT!B91&lt;&gt;"",FT!C91,"")</f>
        <v>36.185099999999998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3.2732299999999999</v>
      </c>
      <c r="G92" s="61">
        <f>IF(FT!B92&lt;&gt;"",FT!B92*100,"")</f>
        <v>47.3354</v>
      </c>
      <c r="H92" s="61">
        <f t="shared" si="9"/>
        <v>1</v>
      </c>
      <c r="I92" t="str">
        <f>IF(FT!B92&lt;&gt;"",FT!E92,"")</f>
        <v>2 [36.589208]</v>
      </c>
      <c r="J92">
        <f>IF(FT!B92&lt;&gt;"",FT!C92,"")</f>
        <v>36.589199999999998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150482</v>
      </c>
      <c r="D93" s="61">
        <f>FH!B93*1</f>
        <v>150482</v>
      </c>
      <c r="E93">
        <f t="shared" si="11"/>
        <v>91</v>
      </c>
      <c r="F93" s="61">
        <f>IF(FT!A93&lt;&gt;"",FT!A93*10,"")</f>
        <v>3.2781199999999999</v>
      </c>
      <c r="G93" s="61">
        <f>IF(FT!B93&lt;&gt;"",FT!B93*100,"")</f>
        <v>47.6907</v>
      </c>
      <c r="H93" s="61">
        <f t="shared" si="9"/>
        <v>1</v>
      </c>
      <c r="I93" t="str">
        <f>IF(FT!B93&lt;&gt;"",FT!E93,"")</f>
        <v>2 [36.997981]</v>
      </c>
      <c r="J93">
        <f>IF(FT!B93&lt;&gt;"",FT!C93,"")</f>
        <v>36.997999999999998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3.2846399999999996</v>
      </c>
      <c r="G94" s="61">
        <f>IF(FT!B94&lt;&gt;"",FT!B94*100,"")</f>
        <v>47.989800000000002</v>
      </c>
      <c r="H94" s="61">
        <f t="shared" si="9"/>
        <v>1</v>
      </c>
      <c r="I94" t="str">
        <f>IF(FT!B94&lt;&gt;"",FT!E94,"")</f>
        <v>2 [37.403924]</v>
      </c>
      <c r="J94">
        <f>IF(FT!B94&lt;&gt;"",FT!C94,"")</f>
        <v>37.4039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144879</v>
      </c>
      <c r="D95" s="61">
        <f>FH!B95*1</f>
        <v>144879</v>
      </c>
      <c r="E95">
        <f t="shared" si="11"/>
        <v>93</v>
      </c>
      <c r="F95" s="61">
        <f>IF(FT!A95&lt;&gt;"",FT!A95*10,"")</f>
        <v>3.2898699999999996</v>
      </c>
      <c r="G95" s="61">
        <f>IF(FT!B95&lt;&gt;"",FT!B95*100,"")</f>
        <v>48.282599999999995</v>
      </c>
      <c r="H95" s="61">
        <f t="shared" si="9"/>
        <v>1</v>
      </c>
      <c r="I95" t="str">
        <f>IF(FT!B95&lt;&gt;"",FT!E95,"")</f>
        <v>2 [37.806785]</v>
      </c>
      <c r="J95">
        <f>IF(FT!B95&lt;&gt;"",FT!C95,"")</f>
        <v>37.806800000000003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3.2966099999999998</v>
      </c>
      <c r="G96" s="61">
        <f>IF(FT!B96&lt;&gt;"",FT!B96*100,"")</f>
        <v>48.588099999999997</v>
      </c>
      <c r="H96" s="61">
        <f t="shared" si="9"/>
        <v>1</v>
      </c>
      <c r="I96" t="str">
        <f>IF(FT!B96&lt;&gt;"",FT!E96,"")</f>
        <v>2 [38.214804]</v>
      </c>
      <c r="J96">
        <f>IF(FT!B96&lt;&gt;"",FT!C96,"")</f>
        <v>38.214799999999997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3.3079399999999999</v>
      </c>
      <c r="G97" s="61">
        <f>IF(FT!B97&lt;&gt;"",FT!B97*100,"")</f>
        <v>48.898299999999999</v>
      </c>
      <c r="H97" s="61">
        <f t="shared" si="9"/>
        <v>1</v>
      </c>
      <c r="I97" t="str">
        <f>IF(FT!B97&lt;&gt;"",FT!E97,"")</f>
        <v>2 [38.621640]</v>
      </c>
      <c r="J97">
        <f>IF(FT!B97&lt;&gt;"",FT!C97,"")</f>
        <v>38.621600000000001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144844</v>
      </c>
      <c r="D98" s="61">
        <f>FH!B98*1</f>
        <v>144844</v>
      </c>
      <c r="E98">
        <f t="shared" si="11"/>
        <v>96</v>
      </c>
      <c r="F98" s="61">
        <f>IF(FT!A98&lt;&gt;"",FT!A98*10,"")</f>
        <v>3.32334</v>
      </c>
      <c r="G98" s="61">
        <f>IF(FT!B98&lt;&gt;"",FT!B98*100,"")</f>
        <v>49.238999999999997</v>
      </c>
      <c r="H98" s="61">
        <f t="shared" si="9"/>
        <v>1</v>
      </c>
      <c r="I98" t="str">
        <f>IF(FT!B98&lt;&gt;"",FT!E98,"")</f>
        <v>2 [39.031441]</v>
      </c>
      <c r="J98">
        <f>IF(FT!B98&lt;&gt;"",FT!C98,"")</f>
        <v>39.031399999999998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3.3431600000000001</v>
      </c>
      <c r="G99" s="61">
        <f>IF(FT!B99&lt;&gt;"",FT!B99*100,"")</f>
        <v>49.502499999999998</v>
      </c>
      <c r="H99" s="61">
        <f t="shared" si="9"/>
        <v>1</v>
      </c>
      <c r="I99" t="str">
        <f>IF(FT!B99&lt;&gt;"",FT!E99,"")</f>
        <v>2 [39.433386]</v>
      </c>
      <c r="J99">
        <f>IF(FT!B99&lt;&gt;"",FT!C99,"")</f>
        <v>39.433399999999999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146337</v>
      </c>
      <c r="D100" s="61">
        <f>FH!B100*1</f>
        <v>146337</v>
      </c>
      <c r="E100">
        <f t="shared" si="11"/>
        <v>98</v>
      </c>
      <c r="F100" s="61">
        <f>IF(FT!A100&lt;&gt;"",FT!A100*10,"")</f>
        <v>3.3650899999999999</v>
      </c>
      <c r="G100" s="61">
        <f>IF(FT!B100&lt;&gt;"",FT!B100*100,"")</f>
        <v>49.7592</v>
      </c>
      <c r="H100" s="61">
        <f t="shared" si="9"/>
        <v>1</v>
      </c>
      <c r="I100" t="str">
        <f>IF(FT!B100&lt;&gt;"",FT!E100,"")</f>
        <v>2 [39.838378]</v>
      </c>
      <c r="J100">
        <f>IF(FT!B100&lt;&gt;"",FT!C100,"")</f>
        <v>39.8384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3.3896100000000002</v>
      </c>
      <c r="G101" s="61">
        <f>IF(FT!B101&lt;&gt;"",FT!B101*100,"")</f>
        <v>50.007000000000005</v>
      </c>
      <c r="H101" s="61">
        <f t="shared" si="9"/>
        <v>1</v>
      </c>
      <c r="I101" t="str">
        <f>IF(FT!B101&lt;&gt;"",FT!E101,"")</f>
        <v>2 [40.249247]</v>
      </c>
      <c r="J101">
        <f>IF(FT!B101&lt;&gt;"",FT!C101,"")</f>
        <v>40.249200000000002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3.4131099999999996</v>
      </c>
      <c r="G102" s="61">
        <f>IF(FT!B102&lt;&gt;"",FT!B102*100,"")</f>
        <v>50.238499999999995</v>
      </c>
      <c r="H102" s="61">
        <f t="shared" si="9"/>
        <v>1</v>
      </c>
      <c r="I102" t="str">
        <f>IF(FT!B102&lt;&gt;"",FT!E102,"")</f>
        <v>2 [40.648200]</v>
      </c>
      <c r="J102">
        <f>IF(FT!B102&lt;&gt;"",FT!C102,"")</f>
        <v>40.648200000000003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143969</v>
      </c>
      <c r="D103" s="61">
        <f>FH!B103*1</f>
        <v>143969</v>
      </c>
      <c r="E103">
        <f t="shared" si="11"/>
        <v>101</v>
      </c>
      <c r="F103" s="61">
        <f>IF(FT!A103&lt;&gt;"",FT!A103*10,"")</f>
        <v>3.4412900000000004</v>
      </c>
      <c r="G103" s="61">
        <f>IF(FT!B103&lt;&gt;"",FT!B103*100,"")</f>
        <v>50.428600000000003</v>
      </c>
      <c r="H103" s="61">
        <f t="shared" si="9"/>
        <v>1</v>
      </c>
      <c r="I103" t="str">
        <f>IF(FT!B103&lt;&gt;"",FT!E103,"")</f>
        <v>2 [41.060247]</v>
      </c>
      <c r="J103">
        <f>IF(FT!B103&lt;&gt;"",FT!C103,"")</f>
        <v>41.060200000000002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3.47051</v>
      </c>
      <c r="G104" s="61">
        <f>IF(FT!B104&lt;&gt;"",FT!B104*100,"")</f>
        <v>50.6374</v>
      </c>
      <c r="H104" s="61">
        <f t="shared" si="9"/>
        <v>1</v>
      </c>
      <c r="I104" t="str">
        <f>IF(FT!B104&lt;&gt;"",FT!E104,"")</f>
        <v>2 [41.464080]</v>
      </c>
      <c r="J104">
        <f>IF(FT!B104&lt;&gt;"",FT!C104,"")</f>
        <v>41.464100000000002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3.5043099999999998</v>
      </c>
      <c r="G105" s="61">
        <f>IF(FT!B105&lt;&gt;"",FT!B105*100,"")</f>
        <v>50.739500000000007</v>
      </c>
      <c r="H105" s="61">
        <f t="shared" si="9"/>
        <v>1</v>
      </c>
      <c r="I105" t="str">
        <f>IF(FT!B105&lt;&gt;"",FT!E105,"")</f>
        <v>2 [41.870988]</v>
      </c>
      <c r="J105">
        <f>IF(FT!B105&lt;&gt;"",FT!C105,"")</f>
        <v>41.871000000000002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132782</v>
      </c>
      <c r="D106" s="61">
        <f>FH!B106*1</f>
        <v>132782</v>
      </c>
      <c r="E106">
        <f t="shared" si="11"/>
        <v>104</v>
      </c>
      <c r="F106" s="61">
        <f>IF(FT!A106&lt;&gt;"",FT!A106*10,"")</f>
        <v>3.5342000000000002</v>
      </c>
      <c r="G106" s="61">
        <f>IF(FT!B106&lt;&gt;"",FT!B106*100,"")</f>
        <v>50.853099999999998</v>
      </c>
      <c r="H106" s="61">
        <f t="shared" si="9"/>
        <v>1</v>
      </c>
      <c r="I106" t="str">
        <f>IF(FT!B106&lt;&gt;"",FT!E106,"")</f>
        <v>2 [42.277335]</v>
      </c>
      <c r="J106">
        <f>IF(FT!B106&lt;&gt;"",FT!C106,"")</f>
        <v>42.277299999999997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3.5610300000000001</v>
      </c>
      <c r="G107" s="61">
        <f>IF(FT!B107&lt;&gt;"",FT!B107*100,"")</f>
        <v>50.998699999999999</v>
      </c>
      <c r="H107" s="61">
        <f t="shared" si="9"/>
        <v>1</v>
      </c>
      <c r="I107" t="str">
        <f>IF(FT!B107&lt;&gt;"",FT!E107,"")</f>
        <v>2 [42.686872]</v>
      </c>
      <c r="J107">
        <f>IF(FT!B107&lt;&gt;"",FT!C107,"")</f>
        <v>42.686900000000001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132374</v>
      </c>
      <c r="D108" s="61">
        <f>FH!B108*1</f>
        <v>132374</v>
      </c>
      <c r="E108">
        <f t="shared" si="11"/>
        <v>106</v>
      </c>
      <c r="F108" s="61">
        <f>IF(FT!A108&lt;&gt;"",FT!A108*10,"")</f>
        <v>3.5880200000000002</v>
      </c>
      <c r="G108" s="61">
        <f>IF(FT!B108&lt;&gt;"",FT!B108*100,"")</f>
        <v>51.072700000000005</v>
      </c>
      <c r="H108" s="61">
        <f t="shared" si="9"/>
        <v>1</v>
      </c>
      <c r="I108" t="str">
        <f>IF(FT!B108&lt;&gt;"",FT!E108,"")</f>
        <v>2 [43.087672]</v>
      </c>
      <c r="J108">
        <f>IF(FT!B108&lt;&gt;"",FT!C108,"")</f>
        <v>43.087699999999998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3.61355</v>
      </c>
      <c r="G109" s="61">
        <f>IF(FT!B109&lt;&gt;"",FT!B109*100,"")</f>
        <v>51.09</v>
      </c>
      <c r="H109" s="61">
        <f t="shared" si="9"/>
        <v>1</v>
      </c>
      <c r="I109" t="str">
        <f>IF(FT!B109&lt;&gt;"",FT!E109,"")</f>
        <v>2 [43.497580]</v>
      </c>
      <c r="J109">
        <f>IF(FT!B109&lt;&gt;"",FT!C109,"")</f>
        <v>43.497599999999998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3.6407099999999999</v>
      </c>
      <c r="G110" s="61">
        <f>IF(FT!B110&lt;&gt;"",FT!B110*100,"")</f>
        <v>50.973199999999999</v>
      </c>
      <c r="H110" s="61">
        <f t="shared" si="9"/>
        <v>1</v>
      </c>
      <c r="I110" t="str">
        <f>IF(FT!B110&lt;&gt;"",FT!E110,"")</f>
        <v>2 [43.898645]</v>
      </c>
      <c r="J110">
        <f>IF(FT!B110&lt;&gt;"",FT!C110,"")</f>
        <v>43.898600000000002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131553</v>
      </c>
      <c r="D111" s="61">
        <f>FH!B111*1</f>
        <v>131553</v>
      </c>
      <c r="E111">
        <f t="shared" si="11"/>
        <v>109</v>
      </c>
      <c r="F111" s="61">
        <f>IF(FT!A111&lt;&gt;"",FT!A111*10,"")</f>
        <v>3.6628100000000003</v>
      </c>
      <c r="G111" s="61">
        <f>IF(FT!B111&lt;&gt;"",FT!B111*100,"")</f>
        <v>50.888300000000001</v>
      </c>
      <c r="H111" s="61">
        <f t="shared" si="9"/>
        <v>1</v>
      </c>
      <c r="I111" t="str">
        <f>IF(FT!B111&lt;&gt;"",FT!E111,"")</f>
        <v>2 [44.307487]</v>
      </c>
      <c r="J111">
        <f>IF(FT!B111&lt;&gt;"",FT!C111,"")</f>
        <v>44.307499999999997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3.6852</v>
      </c>
      <c r="G112" s="61">
        <f>IF(FT!B112&lt;&gt;"",FT!B112*100,"")</f>
        <v>50.7958</v>
      </c>
      <c r="H112" s="61">
        <f t="shared" si="9"/>
        <v>1</v>
      </c>
      <c r="I112" t="str">
        <f>IF(FT!B112&lt;&gt;"",FT!E112,"")</f>
        <v>2 [44.718353]</v>
      </c>
      <c r="J112">
        <f>IF(FT!B112&lt;&gt;"",FT!C112,"")</f>
        <v>44.718400000000003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125010</v>
      </c>
      <c r="D113" s="61">
        <f>FH!B113*1</f>
        <v>125010</v>
      </c>
      <c r="E113">
        <f t="shared" si="11"/>
        <v>111</v>
      </c>
      <c r="F113" s="61">
        <f>IF(FT!A113&lt;&gt;"",FT!A113*10,"")</f>
        <v>3.7057200000000003</v>
      </c>
      <c r="G113" s="61">
        <f>IF(FT!B113&lt;&gt;"",FT!B113*100,"")</f>
        <v>50.768899999999995</v>
      </c>
      <c r="H113" s="61">
        <f t="shared" si="9"/>
        <v>1</v>
      </c>
      <c r="I113" t="str">
        <f>IF(FT!B113&lt;&gt;"",FT!E113,"")</f>
        <v>2 [45.122922]</v>
      </c>
      <c r="J113">
        <f>IF(FT!B113&lt;&gt;"",FT!C113,"")</f>
        <v>45.122900000000001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3.72404</v>
      </c>
      <c r="G114" s="61">
        <f>IF(FT!B114&lt;&gt;"",FT!B114*100,"")</f>
        <v>50.732900000000001</v>
      </c>
      <c r="H114" s="61">
        <f t="shared" si="9"/>
        <v>1</v>
      </c>
      <c r="I114" t="str">
        <f>IF(FT!B114&lt;&gt;"",FT!E114,"")</f>
        <v>2 [45.526246]</v>
      </c>
      <c r="J114">
        <f>IF(FT!B114&lt;&gt;"",FT!C114,"")</f>
        <v>45.526200000000003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3.7398400000000001</v>
      </c>
      <c r="G115" s="61">
        <f>IF(FT!B115&lt;&gt;"",FT!B115*100,"")</f>
        <v>50.675400000000003</v>
      </c>
      <c r="H115" s="61">
        <f t="shared" si="9"/>
        <v>1</v>
      </c>
      <c r="I115" t="str">
        <f>IF(FT!B115&lt;&gt;"",FT!E115,"")</f>
        <v>2 [45.934079]</v>
      </c>
      <c r="J115">
        <f>IF(FT!B115&lt;&gt;"",FT!C115,"")</f>
        <v>45.934100000000001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122224</v>
      </c>
      <c r="D116" s="61">
        <f>FH!B116*1</f>
        <v>122224</v>
      </c>
      <c r="E116">
        <f t="shared" si="11"/>
        <v>114</v>
      </c>
      <c r="F116" s="61">
        <f>IF(FT!A116&lt;&gt;"",FT!A116*10,"")</f>
        <v>3.7542499999999999</v>
      </c>
      <c r="G116" s="61">
        <f>IF(FT!B116&lt;&gt;"",FT!B116*100,"")</f>
        <v>50.508299999999991</v>
      </c>
      <c r="H116" s="61">
        <f t="shared" si="9"/>
        <v>1</v>
      </c>
      <c r="I116" t="str">
        <f>IF(FT!B116&lt;&gt;"",FT!E116,"")</f>
        <v>2 [46.339092]</v>
      </c>
      <c r="J116">
        <f>IF(FT!B116&lt;&gt;"",FT!C116,"")</f>
        <v>46.339100000000002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3.7685200000000001</v>
      </c>
      <c r="G117" s="61">
        <f>IF(FT!B117&lt;&gt;"",FT!B117*100,"")</f>
        <v>50.244</v>
      </c>
      <c r="H117" s="61">
        <f t="shared" si="9"/>
        <v>1</v>
      </c>
      <c r="I117" t="str">
        <f>IF(FT!B117&lt;&gt;"",FT!E117,"")</f>
        <v>2 [46.746348]</v>
      </c>
      <c r="J117">
        <f>IF(FT!B117&lt;&gt;"",FT!C117,"")</f>
        <v>46.746299999999998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121351</v>
      </c>
      <c r="D118" s="61">
        <f>FH!B118*1</f>
        <v>121351</v>
      </c>
      <c r="E118">
        <f t="shared" si="11"/>
        <v>116</v>
      </c>
      <c r="F118" s="61">
        <f>IF(FT!A118&lt;&gt;"",FT!A118*10,"")</f>
        <v>3.78247</v>
      </c>
      <c r="G118" s="61">
        <f>IF(FT!B118&lt;&gt;"",FT!B118*100,"")</f>
        <v>49.983600000000003</v>
      </c>
      <c r="H118" s="61">
        <f t="shared" si="9"/>
        <v>1</v>
      </c>
      <c r="I118" t="str">
        <f>IF(FT!B118&lt;&gt;"",FT!E118,"")</f>
        <v>2 [47.152901]</v>
      </c>
      <c r="J118">
        <f>IF(FT!B118&lt;&gt;"",FT!C118,"")</f>
        <v>47.152900000000002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3.7994299999999996</v>
      </c>
      <c r="G119" s="61">
        <f>IF(FT!B119&lt;&gt;"",FT!B119*100,"")</f>
        <v>49.703399999999995</v>
      </c>
      <c r="H119" s="61">
        <f t="shared" si="9"/>
        <v>1</v>
      </c>
      <c r="I119" t="str">
        <f>IF(FT!B119&lt;&gt;"",FT!E119,"")</f>
        <v>2 [47.559764]</v>
      </c>
      <c r="J119">
        <f>IF(FT!B119&lt;&gt;"",FT!C119,"")</f>
        <v>47.559800000000003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3.8192599999999999</v>
      </c>
      <c r="G120" s="61">
        <f>IF(FT!B120&lt;&gt;"",FT!B120*100,"")</f>
        <v>49.404199999999996</v>
      </c>
      <c r="H120" s="61">
        <f t="shared" si="9"/>
        <v>1</v>
      </c>
      <c r="I120" t="str">
        <f>IF(FT!B120&lt;&gt;"",FT!E120,"")</f>
        <v>2 [47.963762]</v>
      </c>
      <c r="J120">
        <f>IF(FT!B120&lt;&gt;"",FT!C120,"")</f>
        <v>47.963799999999999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112347</v>
      </c>
      <c r="D121" s="61">
        <f>FH!B121*1</f>
        <v>112347</v>
      </c>
      <c r="E121">
        <f t="shared" si="11"/>
        <v>119</v>
      </c>
      <c r="F121" s="61">
        <f>IF(FT!A121&lt;&gt;"",FT!A121*10,"")</f>
        <v>3.8375700000000004</v>
      </c>
      <c r="G121" s="61">
        <f>IF(FT!B121&lt;&gt;"",FT!B121*100,"")</f>
        <v>49.207299999999996</v>
      </c>
      <c r="H121" s="61">
        <f t="shared" si="9"/>
        <v>1</v>
      </c>
      <c r="I121" t="str">
        <f>IF(FT!B121&lt;&gt;"",FT!E121,"")</f>
        <v>2 [48.369657]</v>
      </c>
      <c r="J121">
        <f>IF(FT!B121&lt;&gt;"",FT!C121,"")</f>
        <v>48.369700000000002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3.8531</v>
      </c>
      <c r="G122" s="61">
        <f>IF(FT!B122&lt;&gt;"",FT!B122*100,"")</f>
        <v>49.0212</v>
      </c>
      <c r="H122" s="61">
        <f t="shared" si="9"/>
        <v>1</v>
      </c>
      <c r="I122" t="str">
        <f>IF(FT!B122&lt;&gt;"",FT!E122,"")</f>
        <v>2 [48.777535]</v>
      </c>
      <c r="J122">
        <f>IF(FT!B122&lt;&gt;"",FT!C122,"")</f>
        <v>48.777500000000003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3.8689600000000004</v>
      </c>
      <c r="G123" s="61">
        <f>IF(FT!B123&lt;&gt;"",FT!B123*100,"")</f>
        <v>48.835499999999996</v>
      </c>
      <c r="H123" s="61">
        <f t="shared" si="9"/>
        <v>1</v>
      </c>
      <c r="I123" t="str">
        <f>IF(FT!B123&lt;&gt;"",FT!E123,"")</f>
        <v>2 [49.185439]</v>
      </c>
      <c r="J123">
        <f>IF(FT!B123&lt;&gt;"",FT!C123,"")</f>
        <v>49.185400000000001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108106</v>
      </c>
      <c r="D124" s="61">
        <f>FH!B124*1</f>
        <v>108106</v>
      </c>
      <c r="E124">
        <f t="shared" si="11"/>
        <v>122</v>
      </c>
      <c r="F124" s="61">
        <f>IF(FT!A124&lt;&gt;"",FT!A124*10,"")</f>
        <v>3.8880500000000002</v>
      </c>
      <c r="G124" s="61">
        <f>IF(FT!B124&lt;&gt;"",FT!B124*100,"")</f>
        <v>48.616500000000002</v>
      </c>
      <c r="H124" s="61">
        <f t="shared" si="9"/>
        <v>1</v>
      </c>
      <c r="I124" t="str">
        <f>IF(FT!B124&lt;&gt;"",FT!E124,"")</f>
        <v>2 [49.592347]</v>
      </c>
      <c r="J124">
        <f>IF(FT!B124&lt;&gt;"",FT!C124,"")</f>
        <v>49.592300000000002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3.90984</v>
      </c>
      <c r="G125" s="61">
        <f>IF(FT!B125&lt;&gt;"",FT!B125*100,"")</f>
        <v>48.353299999999997</v>
      </c>
      <c r="H125" s="61">
        <f t="shared" si="9"/>
        <v>1</v>
      </c>
      <c r="I125" t="str">
        <f>IF(FT!B125&lt;&gt;"",FT!E125,"")</f>
        <v>2 [49.995218]</v>
      </c>
      <c r="J125">
        <f>IF(FT!B125&lt;&gt;"",FT!C125,"")</f>
        <v>49.995199999999997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105643</v>
      </c>
      <c r="D126" s="61">
        <f>FH!B126*1</f>
        <v>105643</v>
      </c>
      <c r="E126">
        <f t="shared" si="11"/>
        <v>124</v>
      </c>
      <c r="F126" s="61">
        <f>IF(FT!A126&lt;&gt;"",FT!A126*10,"")</f>
        <v>3.9245200000000002</v>
      </c>
      <c r="G126" s="61">
        <f>IF(FT!B126&lt;&gt;"",FT!B126*100,"")</f>
        <v>48.214500000000001</v>
      </c>
      <c r="H126" s="61">
        <f t="shared" si="9"/>
        <v>1</v>
      </c>
      <c r="I126" t="str">
        <f>IF(FT!B126&lt;&gt;"",FT!E126,"")</f>
        <v>2 [50.403244]</v>
      </c>
      <c r="J126">
        <f>IF(FT!B126&lt;&gt;"",FT!C126,"")</f>
        <v>50.403199999999998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3.93452</v>
      </c>
      <c r="G127" s="61">
        <f>IF(FT!B127&lt;&gt;"",FT!B127*100,"")</f>
        <v>48.136000000000003</v>
      </c>
      <c r="H127" s="61">
        <f t="shared" si="9"/>
        <v>1</v>
      </c>
      <c r="I127" t="str">
        <f>IF(FT!B127&lt;&gt;"",FT!E127,"")</f>
        <v>2 [50.810294]</v>
      </c>
      <c r="J127">
        <f>IF(FT!B127&lt;&gt;"",FT!C127,"")</f>
        <v>50.810299999999998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3.9424100000000002</v>
      </c>
      <c r="G128" s="61">
        <f>IF(FT!B128&lt;&gt;"",FT!B128*100,"")</f>
        <v>48.036299999999997</v>
      </c>
      <c r="H128" s="61">
        <f t="shared" si="9"/>
        <v>1</v>
      </c>
      <c r="I128" t="str">
        <f>IF(FT!B128&lt;&gt;"",FT!E128,"")</f>
        <v>2 [51.217028]</v>
      </c>
      <c r="J128">
        <f>IF(FT!B128&lt;&gt;"",FT!C128,"")</f>
        <v>51.216999999999999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106878</v>
      </c>
      <c r="D129" s="61">
        <f>FH!B129*1</f>
        <v>106878</v>
      </c>
      <c r="E129">
        <f t="shared" si="11"/>
        <v>127</v>
      </c>
      <c r="F129" s="61">
        <f>IF(FT!A129&lt;&gt;"",FT!A129*10,"")</f>
        <v>3.9502199999999998</v>
      </c>
      <c r="G129" s="61">
        <f>IF(FT!B129&lt;&gt;"",FT!B129*100,"")</f>
        <v>47.903199999999998</v>
      </c>
      <c r="H129" s="61">
        <f t="shared" si="9"/>
        <v>1</v>
      </c>
      <c r="I129" t="str">
        <f>IF(FT!B129&lt;&gt;"",FT!E129,"")</f>
        <v>2 [51.621908]</v>
      </c>
      <c r="J129">
        <f>IF(FT!B129&lt;&gt;"",FT!C129,"")</f>
        <v>51.621899999999997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3.9549499999999997</v>
      </c>
      <c r="G130" s="61">
        <f>IF(FT!B130&lt;&gt;"",FT!B130*100,"")</f>
        <v>47.779700000000005</v>
      </c>
      <c r="H130" s="61">
        <f t="shared" si="9"/>
        <v>1</v>
      </c>
      <c r="I130" t="str">
        <f>IF(FT!B130&lt;&gt;"",FT!E130,"")</f>
        <v>2 [52.025778]</v>
      </c>
      <c r="J130">
        <f>IF(FT!B130&lt;&gt;"",FT!C130,"")</f>
        <v>52.025799999999997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92017</v>
      </c>
      <c r="D131" s="61">
        <f>FH!B131*1</f>
        <v>92017</v>
      </c>
      <c r="E131">
        <f t="shared" si="11"/>
        <v>129</v>
      </c>
      <c r="F131" s="61">
        <f>IF(FT!A131&lt;&gt;"",FT!A131*10,"")</f>
        <v>3.96258</v>
      </c>
      <c r="G131" s="61">
        <f>IF(FT!B131&lt;&gt;"",FT!B131*100,"")</f>
        <v>47.680199999999999</v>
      </c>
      <c r="H131" s="61">
        <f t="shared" ref="H131:H194" si="13">(IF(F131&lt;&gt;"",1,""))</f>
        <v>1</v>
      </c>
      <c r="I131" t="str">
        <f>IF(FT!B131&lt;&gt;"",FT!E131,"")</f>
        <v>2 [52.428338]</v>
      </c>
      <c r="J131">
        <f>IF(FT!B131&lt;&gt;"",FT!C131,"")</f>
        <v>52.4283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3.97383</v>
      </c>
      <c r="G132" s="61">
        <f>IF(FT!B132&lt;&gt;"",FT!B132*100,"")</f>
        <v>47.5929</v>
      </c>
      <c r="H132" s="61">
        <f t="shared" si="13"/>
        <v>1</v>
      </c>
      <c r="I132" t="str">
        <f>IF(FT!B132&lt;&gt;"",FT!E132,"")</f>
        <v>2 [52.837680]</v>
      </c>
      <c r="J132">
        <f>IF(FT!B132&lt;&gt;"",FT!C132,"")</f>
        <v>52.837699999999998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3.9842499999999998</v>
      </c>
      <c r="G133" s="61">
        <f>IF(FT!B133&lt;&gt;"",FT!B133*100,"")</f>
        <v>47.520099999999999</v>
      </c>
      <c r="H133" s="61">
        <f t="shared" si="13"/>
        <v>1</v>
      </c>
      <c r="I133" t="str">
        <f>IF(FT!B133&lt;&gt;"",FT!E133,"")</f>
        <v>2 [53.248609]</v>
      </c>
      <c r="J133">
        <f>IF(FT!B133&lt;&gt;"",FT!C133,"")</f>
        <v>53.248600000000003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88938</v>
      </c>
      <c r="D134" s="61">
        <f>FH!B134*1</f>
        <v>88938</v>
      </c>
      <c r="E134">
        <f t="shared" si="15"/>
        <v>132</v>
      </c>
      <c r="F134" s="61">
        <f>IF(FT!A134&lt;&gt;"",FT!A134*10,"")</f>
        <v>3.9941300000000002</v>
      </c>
      <c r="G134" s="61">
        <f>IF(FT!B134&lt;&gt;"",FT!B134*100,"")</f>
        <v>47.453400000000002</v>
      </c>
      <c r="H134" s="61">
        <f t="shared" si="13"/>
        <v>1</v>
      </c>
      <c r="I134" t="str">
        <f>IF(FT!B134&lt;&gt;"",FT!E134,"")</f>
        <v>2 [53.656580]</v>
      </c>
      <c r="J134">
        <f>IF(FT!B134&lt;&gt;"",FT!C134,"")</f>
        <v>53.656599999999997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3.9985300000000001</v>
      </c>
      <c r="G135" s="61">
        <f>IF(FT!B135&lt;&gt;"",FT!B135*100,"")</f>
        <v>47.3949</v>
      </c>
      <c r="H135" s="61">
        <f t="shared" si="13"/>
        <v>1</v>
      </c>
      <c r="I135" t="str">
        <f>IF(FT!B135&lt;&gt;"",FT!E135,"")</f>
        <v>2 [54.059328]</v>
      </c>
      <c r="J135">
        <f>IF(FT!B135&lt;&gt;"",FT!C135,"")</f>
        <v>54.0593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80257</v>
      </c>
      <c r="D136" s="61">
        <f>FH!B136*1</f>
        <v>80257</v>
      </c>
      <c r="E136">
        <f t="shared" si="15"/>
        <v>134</v>
      </c>
      <c r="F136" s="61">
        <f>IF(FT!A136&lt;&gt;"",FT!A136*10,"")</f>
        <v>4.0060099999999998</v>
      </c>
      <c r="G136" s="61">
        <f>IF(FT!B136&lt;&gt;"",FT!B136*100,"")</f>
        <v>47.297899999999998</v>
      </c>
      <c r="H136" s="61">
        <f t="shared" si="13"/>
        <v>1</v>
      </c>
      <c r="I136" t="str">
        <f>IF(FT!B136&lt;&gt;"",FT!E136,"")</f>
        <v>2 [54.464314]</v>
      </c>
      <c r="J136">
        <f>IF(FT!B136&lt;&gt;"",FT!C136,"")</f>
        <v>54.464300000000001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4.0143800000000001</v>
      </c>
      <c r="G137" s="61">
        <f>IF(FT!B137&lt;&gt;"",FT!B137*100,"")</f>
        <v>47.204900000000002</v>
      </c>
      <c r="H137" s="61">
        <f t="shared" si="13"/>
        <v>1</v>
      </c>
      <c r="I137" t="str">
        <f>IF(FT!B137&lt;&gt;"",FT!E137,"")</f>
        <v>2 [54.869470]</v>
      </c>
      <c r="J137">
        <f>IF(FT!B137&lt;&gt;"",FT!C137,"")</f>
        <v>54.869500000000002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4.0263999999999998</v>
      </c>
      <c r="G138" s="61">
        <f>IF(FT!B138&lt;&gt;"",FT!B138*100,"")</f>
        <v>47.0623</v>
      </c>
      <c r="H138" s="61">
        <f t="shared" si="13"/>
        <v>1</v>
      </c>
      <c r="I138" t="str">
        <f>IF(FT!B138&lt;&gt;"",FT!E138,"")</f>
        <v>2 [55.280854]</v>
      </c>
      <c r="J138">
        <f>IF(FT!B138&lt;&gt;"",FT!C138,"")</f>
        <v>55.280900000000003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68542</v>
      </c>
      <c r="D139" s="61">
        <f>FH!B139*1</f>
        <v>68542</v>
      </c>
      <c r="E139">
        <f t="shared" si="15"/>
        <v>137</v>
      </c>
      <c r="F139" s="61">
        <f>IF(FT!A139&lt;&gt;"",FT!A139*10,"")</f>
        <v>4.0421800000000001</v>
      </c>
      <c r="G139" s="61">
        <f>IF(FT!B139&lt;&gt;"",FT!B139*100,"")</f>
        <v>46.9542</v>
      </c>
      <c r="H139" s="61">
        <f t="shared" si="13"/>
        <v>1</v>
      </c>
      <c r="I139" t="str">
        <f>IF(FT!B139&lt;&gt;"",FT!E139,"")</f>
        <v>2 [55.685053]</v>
      </c>
      <c r="J139">
        <f>IF(FT!B139&lt;&gt;"",FT!C139,"")</f>
        <v>55.685099999999998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4.0591799999999996</v>
      </c>
      <c r="G140" s="61">
        <f>IF(FT!B140&lt;&gt;"",FT!B140*100,"")</f>
        <v>46.854199999999999</v>
      </c>
      <c r="H140" s="61">
        <f t="shared" si="13"/>
        <v>1</v>
      </c>
      <c r="I140" t="str">
        <f>IF(FT!B140&lt;&gt;"",FT!E140,"")</f>
        <v>2 [56.091967]</v>
      </c>
      <c r="J140">
        <f>IF(FT!B140&lt;&gt;"",FT!C140,"")</f>
        <v>56.091999999999999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4.0738400000000006</v>
      </c>
      <c r="G141" s="61">
        <f>IF(FT!B141&lt;&gt;"",FT!B141*100,"")</f>
        <v>46.835799999999999</v>
      </c>
      <c r="H141" s="61">
        <f t="shared" si="13"/>
        <v>1</v>
      </c>
      <c r="I141" t="str">
        <f>IF(FT!B141&lt;&gt;"",FT!E141,"")</f>
        <v>2 [56.496869]</v>
      </c>
      <c r="J141">
        <f>IF(FT!B141&lt;&gt;"",FT!C141,"")</f>
        <v>56.496899999999997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63076</v>
      </c>
      <c r="D142" s="61">
        <f>FH!B142*1</f>
        <v>63076</v>
      </c>
      <c r="E142">
        <f t="shared" si="15"/>
        <v>140</v>
      </c>
      <c r="F142" s="61">
        <f>IF(FT!A142&lt;&gt;"",FT!A142*10,"")</f>
        <v>4.08256</v>
      </c>
      <c r="G142" s="61">
        <f>IF(FT!B142&lt;&gt;"",FT!B142*100,"")</f>
        <v>46.877299999999998</v>
      </c>
      <c r="H142" s="61">
        <f t="shared" si="13"/>
        <v>1</v>
      </c>
      <c r="I142" t="str">
        <f>IF(FT!B142&lt;&gt;"",FT!E142,"")</f>
        <v>2 [56.901876]</v>
      </c>
      <c r="J142">
        <f>IF(FT!B142&lt;&gt;"",FT!C142,"")</f>
        <v>56.901899999999998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4.09307</v>
      </c>
      <c r="G143" s="61">
        <f>IF(FT!B143&lt;&gt;"",FT!B143*100,"")</f>
        <v>46.940100000000001</v>
      </c>
      <c r="H143" s="61">
        <f t="shared" si="13"/>
        <v>1</v>
      </c>
      <c r="I143" t="str">
        <f>IF(FT!B143&lt;&gt;"",FT!E143,"")</f>
        <v>2 [57.310711]</v>
      </c>
      <c r="J143">
        <f>IF(FT!B143&lt;&gt;"",FT!C143,"")</f>
        <v>57.310699999999997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58085</v>
      </c>
      <c r="D144" s="61">
        <f>FH!B144*1</f>
        <v>58085</v>
      </c>
      <c r="E144">
        <f t="shared" si="15"/>
        <v>142</v>
      </c>
      <c r="F144" s="61">
        <f>IF(FT!A144&lt;&gt;"",FT!A144*10,"")</f>
        <v>4.0993899999999996</v>
      </c>
      <c r="G144" s="61">
        <f>IF(FT!B144&lt;&gt;"",FT!B144*100,"")</f>
        <v>47.006900000000002</v>
      </c>
      <c r="H144" s="61">
        <f t="shared" si="13"/>
        <v>1</v>
      </c>
      <c r="I144" t="str">
        <f>IF(FT!B144&lt;&gt;"",FT!E144,"")</f>
        <v>2 [57.716601]</v>
      </c>
      <c r="J144">
        <f>IF(FT!B144&lt;&gt;"",FT!C144,"")</f>
        <v>57.7166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4.10297</v>
      </c>
      <c r="G145" s="61">
        <f>IF(FT!B145&lt;&gt;"",FT!B145*100,"")</f>
        <v>47.236800000000002</v>
      </c>
      <c r="H145" s="61">
        <f t="shared" si="13"/>
        <v>1</v>
      </c>
      <c r="I145" t="str">
        <f>IF(FT!B145&lt;&gt;"",FT!E145,"")</f>
        <v>2 [58.122498]</v>
      </c>
      <c r="J145">
        <f>IF(FT!B145&lt;&gt;"",FT!C145,"")</f>
        <v>58.122500000000002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4.1116599999999996</v>
      </c>
      <c r="G146" s="61">
        <f>IF(FT!B146&lt;&gt;"",FT!B146*100,"")</f>
        <v>47.292299999999997</v>
      </c>
      <c r="H146" s="61">
        <f t="shared" si="13"/>
        <v>1</v>
      </c>
      <c r="I146" t="str">
        <f>IF(FT!B146&lt;&gt;"",FT!E146,"")</f>
        <v>2 [58.527441]</v>
      </c>
      <c r="J146">
        <f>IF(FT!B146&lt;&gt;"",FT!C146,"")</f>
        <v>58.5274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49912</v>
      </c>
      <c r="D147" s="61">
        <f>FH!B147*1</f>
        <v>49912</v>
      </c>
      <c r="E147">
        <f t="shared" si="15"/>
        <v>145</v>
      </c>
      <c r="F147" s="61">
        <f>IF(FT!A147&lt;&gt;"",FT!A147*10,"")</f>
        <v>4.1308800000000003</v>
      </c>
      <c r="G147" s="61">
        <f>IF(FT!B147&lt;&gt;"",FT!B147*100,"")</f>
        <v>47.238700000000001</v>
      </c>
      <c r="H147" s="61">
        <f t="shared" si="13"/>
        <v>1</v>
      </c>
      <c r="I147" t="str">
        <f>IF(FT!B147&lt;&gt;"",FT!E147,"")</f>
        <v>2 [58.929663]</v>
      </c>
      <c r="J147">
        <f>IF(FT!B147&lt;&gt;"",FT!C147,"")</f>
        <v>58.929699999999997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4.1629899999999997</v>
      </c>
      <c r="G148" s="61">
        <f>IF(FT!B148&lt;&gt;"",FT!B148*100,"")</f>
        <v>47.103200000000001</v>
      </c>
      <c r="H148" s="61">
        <f t="shared" si="13"/>
        <v>1</v>
      </c>
      <c r="I148" t="str">
        <f>IF(FT!B148&lt;&gt;"",FT!E148,"")</f>
        <v>2 [59.342314]</v>
      </c>
      <c r="J148">
        <f>IF(FT!B148&lt;&gt;"",FT!C148,"")</f>
        <v>59.342300000000002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40513</v>
      </c>
      <c r="D149" s="61">
        <f>FH!B149*1</f>
        <v>40513</v>
      </c>
      <c r="E149">
        <f t="shared" si="15"/>
        <v>147</v>
      </c>
      <c r="F149" s="61">
        <f>IF(FT!A149&lt;&gt;"",FT!A149*10,"")</f>
        <v>4.1841600000000003</v>
      </c>
      <c r="G149" s="61">
        <f>IF(FT!B149&lt;&gt;"",FT!B149*100,"")</f>
        <v>47.027700000000003</v>
      </c>
      <c r="H149" s="61">
        <f t="shared" si="13"/>
        <v>1</v>
      </c>
      <c r="I149" t="str">
        <f>IF(FT!B149&lt;&gt;"",FT!E149,"")</f>
        <v>2 [59.746719]</v>
      </c>
      <c r="J149">
        <f>IF(FT!B149&lt;&gt;"",FT!C149,"")</f>
        <v>59.746699999999997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>
        <f>IF(FT!A150&lt;&gt;"",FT!A150*10,"")</f>
        <v>4.1593400000000003</v>
      </c>
      <c r="G150" s="61">
        <f>IF(FT!B150&lt;&gt;"",FT!B150*100,"")</f>
        <v>47.6126</v>
      </c>
      <c r="H150" s="61">
        <f t="shared" si="13"/>
        <v>1</v>
      </c>
      <c r="I150" t="str">
        <f>IF(FT!B150&lt;&gt;"",FT!E150,"")</f>
        <v>2 [60.152112]</v>
      </c>
      <c r="J150">
        <f>IF(FT!B150&lt;&gt;"",FT!C150,"")</f>
        <v>60.152099999999997</v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34121</v>
      </c>
      <c r="D152" s="61">
        <f>FH!B152*1</f>
        <v>34121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28033</v>
      </c>
      <c r="D154" s="61">
        <f>FH!B154*1</f>
        <v>28033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24375</v>
      </c>
      <c r="D157" s="61">
        <f>FH!B157*1</f>
        <v>24375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19962</v>
      </c>
      <c r="D160" s="61">
        <f>FH!B160*1</f>
        <v>19962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12344</v>
      </c>
      <c r="D162" s="61">
        <f>FH!B162*1</f>
        <v>12344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10467</v>
      </c>
      <c r="D165" s="61">
        <f>FH!B165*1</f>
        <v>10467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6467</v>
      </c>
      <c r="D167" s="61">
        <f>FH!B167*1</f>
        <v>6467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3435</v>
      </c>
      <c r="D170" s="61">
        <f>FH!B170*1</f>
        <v>3435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4321</v>
      </c>
      <c r="D173" s="61">
        <f>FH!B173*1</f>
        <v>4321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2754</v>
      </c>
      <c r="D175" s="61">
        <f>FH!B175*1</f>
        <v>2754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2205</v>
      </c>
      <c r="D178" s="61">
        <f>FH!B178*1</f>
        <v>2205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1602</v>
      </c>
      <c r="D180" s="61">
        <f>FH!B180*1</f>
        <v>1602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350</v>
      </c>
      <c r="D183" s="61">
        <f>FH!B183*1</f>
        <v>350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53</v>
      </c>
      <c r="D185" s="61">
        <f>FH!B185*1</f>
        <v>53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38.941400000000002</v>
      </c>
      <c r="C5" s="66">
        <v>10.170500000000001</v>
      </c>
      <c r="D5" s="66">
        <v>26.1175</v>
      </c>
      <c r="E5" s="66">
        <v>20</v>
      </c>
      <c r="F5" s="66">
        <v>10.0326</v>
      </c>
      <c r="G5" s="66">
        <v>50</v>
      </c>
      <c r="H5" s="66">
        <v>55.738599999999998</v>
      </c>
    </row>
    <row r="6" spans="1:8">
      <c r="A6" s="58" t="s">
        <v>303</v>
      </c>
      <c r="B6" s="66">
        <v>27.2195</v>
      </c>
      <c r="C6" s="66">
        <v>2.11755</v>
      </c>
      <c r="D6" s="66">
        <v>7.7795199999999998</v>
      </c>
      <c r="E6" s="66">
        <v>20</v>
      </c>
      <c r="F6" s="66">
        <v>22.827400000000001</v>
      </c>
      <c r="G6" s="66">
        <v>40</v>
      </c>
      <c r="H6" s="66">
        <v>31.763100000000001</v>
      </c>
    </row>
    <row r="7" spans="1:8">
      <c r="A7" s="58" t="s">
        <v>304</v>
      </c>
      <c r="B7" s="66">
        <v>26.305900000000001</v>
      </c>
      <c r="C7" s="66">
        <v>7.1162000000000001</v>
      </c>
      <c r="D7" s="66">
        <v>27.0518</v>
      </c>
      <c r="E7" s="66">
        <v>15</v>
      </c>
      <c r="F7" s="66">
        <v>5.8123199999999997</v>
      </c>
      <c r="G7" s="66">
        <v>40</v>
      </c>
      <c r="H7" s="66">
        <v>44.276499999999999</v>
      </c>
    </row>
    <row r="8" spans="1:8">
      <c r="A8" s="58" t="s">
        <v>305</v>
      </c>
      <c r="B8" s="66">
        <v>30.681999999999999</v>
      </c>
      <c r="C8" s="66">
        <v>3.3915199999999999</v>
      </c>
      <c r="D8" s="66">
        <v>11.053800000000001</v>
      </c>
      <c r="E8" s="66">
        <v>20</v>
      </c>
      <c r="F8" s="66">
        <v>20.046099999999999</v>
      </c>
      <c r="G8" s="66">
        <v>50</v>
      </c>
      <c r="H8" s="66">
        <v>37.6614</v>
      </c>
    </row>
    <row r="9" spans="1:8">
      <c r="A9" s="58" t="s">
        <v>306</v>
      </c>
      <c r="B9" s="66">
        <v>68.121600000000001</v>
      </c>
      <c r="C9" s="66">
        <v>5.3762699999999999</v>
      </c>
      <c r="D9" s="66">
        <v>7.8921700000000001</v>
      </c>
      <c r="E9" s="66">
        <v>50</v>
      </c>
      <c r="F9" s="66">
        <v>58.134799999999998</v>
      </c>
      <c r="G9" s="66">
        <v>100</v>
      </c>
      <c r="H9" s="66">
        <v>82.525499999999994</v>
      </c>
    </row>
    <row r="10" spans="1:8">
      <c r="A10" s="58" t="s">
        <v>307</v>
      </c>
      <c r="B10" s="66">
        <v>80.402100000000004</v>
      </c>
      <c r="C10" s="66">
        <v>1.8362499999999999</v>
      </c>
      <c r="D10" s="66">
        <v>2.2838400000000001</v>
      </c>
      <c r="E10" s="66">
        <v>40</v>
      </c>
      <c r="F10" s="66">
        <v>76.848200000000006</v>
      </c>
      <c r="G10" s="66">
        <v>100</v>
      </c>
      <c r="H10" s="66">
        <v>84.327799999999996</v>
      </c>
    </row>
    <row r="11" spans="1:8">
      <c r="A11" s="58" t="s">
        <v>308</v>
      </c>
      <c r="B11" s="66">
        <v>23.6252</v>
      </c>
      <c r="C11" s="66">
        <v>6.0623100000000001</v>
      </c>
      <c r="D11" s="66">
        <v>25.660399999999999</v>
      </c>
      <c r="E11" s="66">
        <v>10</v>
      </c>
      <c r="F11" s="66">
        <v>7.7366200000000003</v>
      </c>
      <c r="G11" s="66">
        <v>50</v>
      </c>
      <c r="H11" s="66">
        <v>31.409500000000001</v>
      </c>
    </row>
    <row r="12" spans="1:8">
      <c r="A12" s="58" t="s">
        <v>309</v>
      </c>
      <c r="B12" s="66">
        <v>74.028599999999997</v>
      </c>
      <c r="C12" s="66">
        <v>3.2305899999999999</v>
      </c>
      <c r="D12" s="66">
        <v>4.3639700000000001</v>
      </c>
      <c r="E12" s="66">
        <v>50</v>
      </c>
      <c r="F12" s="66">
        <v>68.325500000000005</v>
      </c>
      <c r="G12" s="66">
        <v>100</v>
      </c>
      <c r="H12" s="66">
        <v>82.398499999999999</v>
      </c>
    </row>
    <row r="13" spans="1:8">
      <c r="A13" s="58" t="s">
        <v>310</v>
      </c>
      <c r="B13" s="66">
        <v>19.706800000000001</v>
      </c>
      <c r="C13" s="66">
        <v>3.7434099999999999</v>
      </c>
      <c r="D13" s="66">
        <v>18.9956</v>
      </c>
      <c r="E13" s="66">
        <v>10</v>
      </c>
      <c r="F13" s="66">
        <v>13.0235</v>
      </c>
      <c r="G13" s="66">
        <v>25</v>
      </c>
      <c r="H13" s="66">
        <v>35.2714</v>
      </c>
    </row>
    <row r="14" spans="1:8">
      <c r="A14" s="58" t="s">
        <v>311</v>
      </c>
      <c r="B14" s="66">
        <v>37.434100000000001</v>
      </c>
      <c r="C14" s="66">
        <v>9.6049900000000008</v>
      </c>
      <c r="D14" s="66">
        <v>25.6584</v>
      </c>
      <c r="E14" s="66">
        <v>10</v>
      </c>
      <c r="F14" s="66">
        <v>3.5095999999999998</v>
      </c>
      <c r="G14" s="66">
        <v>50</v>
      </c>
      <c r="H14" s="66">
        <v>40.746299999999998</v>
      </c>
    </row>
    <row r="15" spans="1:8">
      <c r="A15" s="58" t="s">
        <v>312</v>
      </c>
      <c r="B15" s="66">
        <v>5.9751800000000001E-2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4.4393200000000001E-2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15.685700000000001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0.43588700000000002</v>
      </c>
      <c r="C18" s="66">
        <v>5.4732700000000002E-2</v>
      </c>
      <c r="D18" s="66">
        <v>0.12556600000000001</v>
      </c>
      <c r="E18" s="66">
        <v>0</v>
      </c>
      <c r="F18" s="66">
        <v>0.38115399999999999</v>
      </c>
      <c r="G18" s="66">
        <v>0</v>
      </c>
      <c r="H18" s="66">
        <v>0.49061900000000003</v>
      </c>
    </row>
    <row r="19" spans="1:8">
      <c r="A19" s="58" t="s">
        <v>316</v>
      </c>
      <c r="B19" s="66">
        <v>0.63624000000000003</v>
      </c>
      <c r="C19" s="66">
        <v>4.5132199999999997E-2</v>
      </c>
      <c r="D19" s="66">
        <v>7.0935700000000004E-2</v>
      </c>
      <c r="E19" s="66">
        <v>0</v>
      </c>
      <c r="F19" s="66">
        <v>0.59110799999999997</v>
      </c>
      <c r="G19" s="66">
        <v>0</v>
      </c>
      <c r="H19" s="66">
        <v>0.68137300000000001</v>
      </c>
    </row>
    <row r="20" spans="1:8">
      <c r="A20" s="58" t="s">
        <v>317</v>
      </c>
      <c r="B20" s="66">
        <v>1.5428099999999999E-3</v>
      </c>
      <c r="C20" s="66">
        <v>1.68075E-2</v>
      </c>
      <c r="D20" s="66">
        <v>10.8941</v>
      </c>
      <c r="E20" s="66">
        <v>0</v>
      </c>
      <c r="F20" s="66">
        <v>2.3615100000000001E-4</v>
      </c>
      <c r="G20" s="66">
        <v>0</v>
      </c>
      <c r="H20" s="66">
        <v>0.21036199999999999</v>
      </c>
    </row>
    <row r="21" spans="1:8">
      <c r="A21" s="58" t="s">
        <v>318</v>
      </c>
      <c r="B21" s="66">
        <v>7.8957700000000006E-2</v>
      </c>
      <c r="C21" s="66">
        <v>0.29084100000000002</v>
      </c>
      <c r="D21" s="66">
        <v>3.6835100000000001</v>
      </c>
      <c r="E21" s="66">
        <v>0</v>
      </c>
      <c r="F21" s="66">
        <v>8.5716700000000004E-4</v>
      </c>
      <c r="G21" s="66">
        <v>0</v>
      </c>
      <c r="H21" s="66">
        <v>3.3184300000000002</v>
      </c>
    </row>
    <row r="22" spans="1:8">
      <c r="A22" s="58" t="s">
        <v>319</v>
      </c>
      <c r="B22" s="66">
        <v>32.779800000000002</v>
      </c>
      <c r="C22" s="66">
        <v>9.5450199999999992</v>
      </c>
      <c r="D22" s="66">
        <v>0.291186</v>
      </c>
      <c r="E22" s="66">
        <v>0</v>
      </c>
      <c r="F22" s="66">
        <v>17.986999999999998</v>
      </c>
      <c r="G22" s="66">
        <v>0</v>
      </c>
      <c r="H22" s="66">
        <v>74.585300000000004</v>
      </c>
    </row>
    <row r="23" spans="1:8">
      <c r="A23" s="58" t="s">
        <v>320</v>
      </c>
      <c r="B23" s="66">
        <v>14.7049</v>
      </c>
      <c r="C23" s="66">
        <v>2.01051</v>
      </c>
      <c r="D23" s="66">
        <v>0.13672400000000001</v>
      </c>
      <c r="E23" s="66">
        <v>0</v>
      </c>
      <c r="F23" s="66">
        <v>8.1177700000000002</v>
      </c>
      <c r="G23" s="66">
        <v>0</v>
      </c>
      <c r="H23" s="66">
        <v>17.404399999999999</v>
      </c>
    </row>
    <row r="24" spans="1:8">
      <c r="A24" s="58" t="s">
        <v>321</v>
      </c>
      <c r="B24" s="66">
        <v>1.9062599999999999E-3</v>
      </c>
      <c r="C24" s="66">
        <v>1.2663499999999999E-2</v>
      </c>
      <c r="D24" s="66">
        <v>6.6431300000000002</v>
      </c>
      <c r="E24" s="66">
        <v>0</v>
      </c>
      <c r="F24" s="66">
        <v>6.0193300000000003E-4</v>
      </c>
      <c r="G24" s="66">
        <v>0</v>
      </c>
      <c r="H24" s="66">
        <v>0.14010600000000001</v>
      </c>
    </row>
    <row r="25" spans="1:8">
      <c r="A25" s="58" t="s">
        <v>322</v>
      </c>
      <c r="B25" s="66">
        <v>0.118418</v>
      </c>
      <c r="C25" s="66">
        <v>0.17910000000000001</v>
      </c>
      <c r="D25" s="66">
        <v>1.5124500000000001</v>
      </c>
      <c r="E25" s="66">
        <v>0</v>
      </c>
      <c r="F25" s="66">
        <v>2.6625099999999999E-2</v>
      </c>
      <c r="G25" s="66">
        <v>0</v>
      </c>
      <c r="H25" s="66">
        <v>1.2727999999999999</v>
      </c>
    </row>
    <row r="26" spans="1:8">
      <c r="A26" s="58" t="s">
        <v>323</v>
      </c>
      <c r="B26" s="66">
        <v>4.1031999999999999E-4</v>
      </c>
      <c r="C26" s="66">
        <v>2.3276199999999999E-3</v>
      </c>
      <c r="D26" s="66">
        <v>5.6726999999999999</v>
      </c>
      <c r="E26" s="66">
        <v>0</v>
      </c>
      <c r="F26" s="196">
        <v>6.8933800000000001E-5</v>
      </c>
      <c r="G26" s="66">
        <v>0</v>
      </c>
      <c r="H26" s="66">
        <v>3.1998400000000003E-2</v>
      </c>
    </row>
    <row r="27" spans="1:8">
      <c r="A27" s="58" t="s">
        <v>324</v>
      </c>
      <c r="B27" s="196">
        <v>-6.5651299999999996E-6</v>
      </c>
      <c r="C27" s="66">
        <v>8.0057000000000001E-4</v>
      </c>
      <c r="D27" s="66">
        <v>-121.943</v>
      </c>
      <c r="E27" s="66">
        <v>0</v>
      </c>
      <c r="F27" s="66">
        <v>-7.9897600000000003E-3</v>
      </c>
      <c r="G27" s="66">
        <v>0</v>
      </c>
      <c r="H27" s="66">
        <v>6.12198E-3</v>
      </c>
    </row>
    <row r="28" spans="1:8">
      <c r="A28" s="58" t="s">
        <v>325</v>
      </c>
      <c r="B28" s="66">
        <v>1.2994800000000001E-2</v>
      </c>
      <c r="C28" s="66">
        <v>2.4079799999999998E-2</v>
      </c>
      <c r="D28" s="66">
        <v>1.85303</v>
      </c>
      <c r="E28" s="66">
        <v>0</v>
      </c>
      <c r="F28" s="66">
        <v>1.69271E-4</v>
      </c>
      <c r="G28" s="66">
        <v>0</v>
      </c>
      <c r="H28" s="66">
        <v>0.19581999999999999</v>
      </c>
    </row>
    <row r="29" spans="1:8">
      <c r="A29" s="58" t="s">
        <v>326</v>
      </c>
      <c r="B29" s="66">
        <v>71.492000000000004</v>
      </c>
      <c r="C29" s="66">
        <v>8.9475999999999996</v>
      </c>
      <c r="D29" s="66">
        <v>0.12515499999999999</v>
      </c>
      <c r="E29" s="66">
        <v>0</v>
      </c>
      <c r="F29" s="66">
        <v>51.059899999999999</v>
      </c>
      <c r="G29" s="66">
        <v>0</v>
      </c>
      <c r="H29" s="66">
        <v>96.370999999999995</v>
      </c>
    </row>
    <row r="30" spans="1:8">
      <c r="A30" s="58" t="s">
        <v>327</v>
      </c>
      <c r="B30" s="66">
        <v>22.9375</v>
      </c>
      <c r="C30" s="66">
        <v>4.1650099999999997</v>
      </c>
      <c r="D30" s="66">
        <v>0.18158099999999999</v>
      </c>
      <c r="E30" s="66">
        <v>0</v>
      </c>
      <c r="F30" s="66">
        <v>11.2828</v>
      </c>
      <c r="G30" s="66">
        <v>0</v>
      </c>
      <c r="H30" s="66">
        <v>31.973800000000001</v>
      </c>
    </row>
    <row r="31" spans="1:8">
      <c r="A31" s="58" t="s">
        <v>328</v>
      </c>
      <c r="B31" s="66">
        <v>138.958</v>
      </c>
      <c r="C31" s="66">
        <v>23.0899</v>
      </c>
      <c r="D31" s="66">
        <v>0.16616500000000001</v>
      </c>
      <c r="E31" s="66">
        <v>0</v>
      </c>
      <c r="F31" s="66">
        <v>55.713799999999999</v>
      </c>
      <c r="G31" s="66">
        <v>0</v>
      </c>
      <c r="H31" s="66">
        <v>189.261</v>
      </c>
    </row>
    <row r="32" spans="1:8">
      <c r="A32" s="58" t="s">
        <v>329</v>
      </c>
      <c r="B32" s="66">
        <v>0.26305899999999999</v>
      </c>
      <c r="C32" s="66">
        <v>7.1162000000000003E-2</v>
      </c>
      <c r="D32" s="66">
        <v>0.27051799999999998</v>
      </c>
      <c r="E32" s="66">
        <v>0.15</v>
      </c>
      <c r="F32" s="66">
        <v>5.81232E-2</v>
      </c>
      <c r="G32" s="66">
        <v>0.4</v>
      </c>
      <c r="H32" s="66">
        <v>0.44276500000000002</v>
      </c>
    </row>
    <row r="33" spans="1:8">
      <c r="A33" s="58" t="s">
        <v>330</v>
      </c>
      <c r="B33" s="66">
        <v>0.38948199999999999</v>
      </c>
      <c r="C33" s="66">
        <v>9.0337100000000004E-2</v>
      </c>
      <c r="D33" s="66">
        <v>0.23194200000000001</v>
      </c>
      <c r="E33" s="66">
        <v>0</v>
      </c>
      <c r="F33" s="66">
        <v>0.21865200000000001</v>
      </c>
      <c r="G33" s="66">
        <v>0</v>
      </c>
      <c r="H33" s="66">
        <v>0.46573900000000001</v>
      </c>
    </row>
    <row r="34" spans="1:8">
      <c r="A34" s="58" t="s">
        <v>331</v>
      </c>
      <c r="B34" s="66">
        <v>0.19706799999999999</v>
      </c>
      <c r="C34" s="66">
        <v>3.7434099999999998E-2</v>
      </c>
      <c r="D34" s="66">
        <v>0.18995600000000001</v>
      </c>
      <c r="E34" s="66">
        <v>0.1</v>
      </c>
      <c r="F34" s="66">
        <v>0.13023499999999999</v>
      </c>
      <c r="G34" s="66">
        <v>0.25</v>
      </c>
      <c r="H34" s="66">
        <v>0.35271400000000003</v>
      </c>
    </row>
    <row r="35" spans="1:8">
      <c r="A35" s="58" t="s">
        <v>332</v>
      </c>
      <c r="B35" s="66">
        <v>8.8110300000000003E-2</v>
      </c>
      <c r="C35" s="66">
        <v>3.2075199999999998E-2</v>
      </c>
      <c r="D35" s="66">
        <v>0.364035</v>
      </c>
      <c r="E35" s="66">
        <v>0</v>
      </c>
      <c r="F35" s="66">
        <v>3.3695799999999998E-2</v>
      </c>
      <c r="G35" s="66">
        <v>0</v>
      </c>
      <c r="H35" s="66">
        <v>0.19447400000000001</v>
      </c>
    </row>
    <row r="36" spans="1:8">
      <c r="A36" s="58" t="s">
        <v>333</v>
      </c>
      <c r="B36" s="66">
        <v>0.17765</v>
      </c>
      <c r="C36" s="66">
        <v>0.10392800000000001</v>
      </c>
      <c r="D36" s="66">
        <v>0.58501499999999995</v>
      </c>
      <c r="E36" s="66">
        <v>0</v>
      </c>
      <c r="F36" s="66">
        <v>3.6259899999999998E-2</v>
      </c>
      <c r="G36" s="66">
        <v>0</v>
      </c>
      <c r="H36" s="66">
        <v>0.60701499999999997</v>
      </c>
    </row>
    <row r="37" spans="1:8">
      <c r="A37" s="58" t="s">
        <v>334</v>
      </c>
      <c r="B37" s="66">
        <v>0.37434099999999998</v>
      </c>
      <c r="C37" s="66">
        <v>9.6049899999999994E-2</v>
      </c>
      <c r="D37" s="66">
        <v>0.25658399999999998</v>
      </c>
      <c r="E37" s="66">
        <v>0.1</v>
      </c>
      <c r="F37" s="66">
        <v>3.5096000000000002E-2</v>
      </c>
      <c r="G37" s="66">
        <v>0.5</v>
      </c>
      <c r="H37" s="66">
        <v>0.40746300000000002</v>
      </c>
    </row>
    <row r="38" spans="1:8">
      <c r="A38" s="58" t="s">
        <v>335</v>
      </c>
      <c r="B38" s="66">
        <v>-8.0824300000000004</v>
      </c>
      <c r="C38" s="66">
        <v>45.572899999999997</v>
      </c>
      <c r="D38" s="66">
        <v>-5.6385100000000001</v>
      </c>
      <c r="E38" s="66">
        <v>0</v>
      </c>
      <c r="F38" s="66">
        <v>-224.304</v>
      </c>
      <c r="G38" s="66">
        <v>0</v>
      </c>
      <c r="H38" s="66">
        <v>255.03200000000001</v>
      </c>
    </row>
    <row r="39" spans="1:8">
      <c r="A39" s="58" t="s">
        <v>336</v>
      </c>
      <c r="B39" s="66">
        <v>-0.53025699999999998</v>
      </c>
      <c r="C39" s="66">
        <v>4.2502800000000001</v>
      </c>
      <c r="D39" s="66">
        <v>-8.0154999999999994</v>
      </c>
      <c r="E39" s="66">
        <v>0</v>
      </c>
      <c r="F39" s="66">
        <v>-20.196200000000001</v>
      </c>
      <c r="G39" s="66">
        <v>0</v>
      </c>
      <c r="H39" s="66">
        <v>8.2980400000000003</v>
      </c>
    </row>
    <row r="40" spans="1:8">
      <c r="A40" s="58" t="s">
        <v>337</v>
      </c>
      <c r="B40" s="66">
        <v>-0.43511899999999998</v>
      </c>
      <c r="C40" s="66">
        <v>0.87821300000000002</v>
      </c>
      <c r="D40" s="66">
        <v>-2.0183300000000002</v>
      </c>
      <c r="E40" s="66">
        <v>0</v>
      </c>
      <c r="F40" s="66">
        <v>-1.87323</v>
      </c>
      <c r="G40" s="66">
        <v>0</v>
      </c>
      <c r="H40" s="66">
        <v>1.1919900000000001</v>
      </c>
    </row>
    <row r="41" spans="1:8">
      <c r="A41" s="58" t="s">
        <v>338</v>
      </c>
      <c r="B41" s="66">
        <v>-8.8158200000000006E-2</v>
      </c>
      <c r="C41" s="66">
        <v>0.29921500000000001</v>
      </c>
      <c r="D41" s="66">
        <v>-3.3940700000000001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-3.01815E-2</v>
      </c>
      <c r="C42" s="66">
        <v>7.9718600000000001E-2</v>
      </c>
      <c r="D42" s="66">
        <v>-2.6413099999999998</v>
      </c>
      <c r="E42" s="66">
        <v>0</v>
      </c>
      <c r="F42" s="66">
        <v>-0.381774</v>
      </c>
      <c r="G42" s="66">
        <v>0</v>
      </c>
      <c r="H42" s="66">
        <v>0.15214900000000001</v>
      </c>
    </row>
    <row r="43" spans="1:8">
      <c r="A43" s="58" t="s">
        <v>340</v>
      </c>
      <c r="B43" s="66">
        <v>-7.02546E-2</v>
      </c>
      <c r="C43" s="66">
        <v>7.2363800000000006E-2</v>
      </c>
      <c r="D43" s="66">
        <v>-1.0300199999999999</v>
      </c>
      <c r="E43" s="66">
        <v>0</v>
      </c>
      <c r="F43" s="66">
        <v>-0.190549</v>
      </c>
      <c r="G43" s="66">
        <v>0</v>
      </c>
      <c r="H43" s="66">
        <v>0.14179800000000001</v>
      </c>
    </row>
    <row r="44" spans="1:8">
      <c r="A44" s="58" t="s">
        <v>341</v>
      </c>
      <c r="B44" s="66">
        <v>-22.4666</v>
      </c>
      <c r="C44" s="66">
        <v>10.9702</v>
      </c>
      <c r="D44" s="66">
        <v>-0.48829099999999998</v>
      </c>
      <c r="E44" s="66">
        <v>0</v>
      </c>
      <c r="F44" s="66">
        <v>-46.539700000000003</v>
      </c>
      <c r="G44" s="66">
        <v>0</v>
      </c>
      <c r="H44" s="66">
        <v>-2.96929</v>
      </c>
    </row>
    <row r="45" spans="1:8">
      <c r="A45" s="58" t="s">
        <v>342</v>
      </c>
      <c r="B45" s="66">
        <v>46.003</v>
      </c>
      <c r="C45" s="66">
        <v>8.4252599999999997</v>
      </c>
      <c r="D45" s="66">
        <v>0.183146</v>
      </c>
      <c r="E45" s="66">
        <v>0</v>
      </c>
      <c r="F45" s="66">
        <v>26.558499999999999</v>
      </c>
      <c r="G45" s="66">
        <v>0</v>
      </c>
      <c r="H45" s="66">
        <v>66.037899999999993</v>
      </c>
    </row>
    <row r="46" spans="1:8">
      <c r="A46" s="58" t="s">
        <v>343</v>
      </c>
      <c r="B46" s="66">
        <v>27.845300000000002</v>
      </c>
      <c r="C46" s="66">
        <v>6.04054</v>
      </c>
      <c r="D46" s="66">
        <v>0.21693200000000001</v>
      </c>
      <c r="E46" s="66">
        <v>0</v>
      </c>
      <c r="F46" s="66">
        <v>7.2763999999999998</v>
      </c>
      <c r="G46" s="66">
        <v>0</v>
      </c>
      <c r="H46" s="66">
        <v>35.331800000000001</v>
      </c>
    </row>
    <row r="47" spans="1:8">
      <c r="A47" s="58" t="s">
        <v>344</v>
      </c>
      <c r="B47" s="66">
        <v>1.11757</v>
      </c>
      <c r="C47" s="66">
        <v>0.55228100000000002</v>
      </c>
      <c r="D47" s="66">
        <v>0.49418099999999998</v>
      </c>
      <c r="E47" s="66">
        <v>0</v>
      </c>
      <c r="F47" s="66">
        <v>0.36735099999999998</v>
      </c>
      <c r="G47" s="66">
        <v>0</v>
      </c>
      <c r="H47" s="66">
        <v>3.5059900000000002</v>
      </c>
    </row>
    <row r="48" spans="1:8">
      <c r="A48" s="58" t="s">
        <v>345</v>
      </c>
      <c r="B48" s="66">
        <v>0.94153900000000001</v>
      </c>
      <c r="C48" s="66">
        <v>0.27113300000000001</v>
      </c>
      <c r="D48" s="66">
        <v>0.287968</v>
      </c>
      <c r="E48" s="66">
        <v>0</v>
      </c>
      <c r="F48" s="66">
        <v>0.57197100000000001</v>
      </c>
      <c r="G48" s="66">
        <v>0</v>
      </c>
      <c r="H48" s="66">
        <v>1.6005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-0.60620000000000118</v>
      </c>
      <c r="C5" s="66">
        <f>'M2'!C5-'M1'!C5</f>
        <v>-6.6501800000000006</v>
      </c>
      <c r="D5" s="66">
        <f>'M2'!D5-'M1'!D5</f>
        <v>-16.689799999999998</v>
      </c>
      <c r="E5" s="66">
        <f>'M2'!E5-'M1'!E5</f>
        <v>0</v>
      </c>
      <c r="F5" s="66">
        <f>'M2'!F5-'M1'!F5</f>
        <v>23.591000000000001</v>
      </c>
      <c r="G5" s="66">
        <f>'M2'!G5-'M1'!G5</f>
        <v>0</v>
      </c>
      <c r="H5" s="66">
        <f>'M2'!H5-'M1'!H5</f>
        <v>0.94440000000000168</v>
      </c>
    </row>
    <row r="6" spans="1:8">
      <c r="A6" s="66" t="s">
        <v>244</v>
      </c>
      <c r="B6" s="66">
        <f>'M2'!B6-'M1'!B6</f>
        <v>-1.555299999999999</v>
      </c>
      <c r="C6" s="66">
        <f>'M2'!C6-'M1'!C6</f>
        <v>-0.26266999999999996</v>
      </c>
      <c r="D6" s="66">
        <f>'M2'!D6-'M1'!D6</f>
        <v>-0.58827000000000051</v>
      </c>
      <c r="E6" s="66">
        <f>'M2'!E6-'M1'!E6</f>
        <v>0</v>
      </c>
      <c r="F6" s="66">
        <f>'M2'!F6-'M1'!F6</f>
        <v>-0.28579999999999828</v>
      </c>
      <c r="G6" s="66">
        <f>'M2'!G6-'M1'!G6</f>
        <v>0</v>
      </c>
      <c r="H6" s="66">
        <f>'M2'!H6-'M1'!H6</f>
        <v>-3.682500000000001</v>
      </c>
    </row>
    <row r="7" spans="1:8">
      <c r="A7" s="66" t="s">
        <v>245</v>
      </c>
      <c r="B7" s="66">
        <f>'M2'!B7-'M1'!B7</f>
        <v>-4.2068000000000012</v>
      </c>
      <c r="C7" s="66">
        <f>'M2'!C7-'M1'!C7</f>
        <v>-0.62936999999999976</v>
      </c>
      <c r="D7" s="66">
        <f>'M2'!D7-'M1'!D7</f>
        <v>1.7091999999999992</v>
      </c>
      <c r="E7" s="66">
        <f>'M2'!E7-'M1'!E7</f>
        <v>0</v>
      </c>
      <c r="F7" s="66">
        <f>'M2'!F7-'M1'!F7</f>
        <v>-0.13981000000000066</v>
      </c>
      <c r="G7" s="66">
        <f>'M2'!G7-'M1'!G7</f>
        <v>0</v>
      </c>
      <c r="H7" s="66">
        <f>'M2'!H7-'M1'!H7</f>
        <v>1.1203999999999965</v>
      </c>
    </row>
    <row r="8" spans="1:8">
      <c r="A8" s="66" t="s">
        <v>246</v>
      </c>
      <c r="B8" s="66">
        <f>'M2'!B8-'M1'!B8</f>
        <v>-9.6000000000024954E-3</v>
      </c>
      <c r="C8" s="66">
        <f>'M2'!C8-'M1'!C8</f>
        <v>-2.3694899999999999</v>
      </c>
      <c r="D8" s="66">
        <f>'M2'!D8-'M1'!D8</f>
        <v>-7.7160700000000002</v>
      </c>
      <c r="E8" s="66">
        <f>'M2'!E8-'M1'!E8</f>
        <v>0</v>
      </c>
      <c r="F8" s="66">
        <f>'M2'!F8-'M1'!F8</f>
        <v>5.5772000000000013</v>
      </c>
      <c r="G8" s="66">
        <f>'M2'!G8-'M1'!G8</f>
        <v>0</v>
      </c>
      <c r="H8" s="66">
        <f>'M2'!H8-'M1'!H8</f>
        <v>-2.9224000000000032</v>
      </c>
    </row>
    <row r="9" spans="1:8">
      <c r="A9" s="66" t="s">
        <v>247</v>
      </c>
      <c r="B9" s="66">
        <f>'M2'!B9-'M1'!B9</f>
        <v>5.1705000000000041</v>
      </c>
      <c r="C9" s="66">
        <f>'M2'!C9-'M1'!C9</f>
        <v>0.87192999999999987</v>
      </c>
      <c r="D9" s="66">
        <f>'M2'!D9-'M1'!D9</f>
        <v>0.77017000000000024</v>
      </c>
      <c r="E9" s="66">
        <f>'M2'!E9-'M1'!E9</f>
        <v>0</v>
      </c>
      <c r="F9" s="66">
        <f>'M2'!F9-'M1'!F9</f>
        <v>2.215600000000002</v>
      </c>
      <c r="G9" s="66">
        <f>'M2'!G9-'M1'!G9</f>
        <v>0</v>
      </c>
      <c r="H9" s="66">
        <f>'M2'!H9-'M1'!H9</f>
        <v>4.3301999999999907</v>
      </c>
    </row>
    <row r="10" spans="1:8">
      <c r="A10" s="66" t="s">
        <v>248</v>
      </c>
      <c r="B10" s="66">
        <f>'M2'!B10-'M1'!B10</f>
        <v>1.3537000000000035</v>
      </c>
      <c r="C10" s="66">
        <f>'M2'!C10-'M1'!C10</f>
        <v>-0.21579000000000015</v>
      </c>
      <c r="D10" s="66">
        <f>'M2'!D10-'M1'!D10</f>
        <v>-0.30591999999999997</v>
      </c>
      <c r="E10" s="66">
        <f>'M2'!E10-'M1'!E10</f>
        <v>0</v>
      </c>
      <c r="F10" s="66">
        <f>'M2'!F10-'M1'!F10</f>
        <v>0.8335000000000008</v>
      </c>
      <c r="G10" s="66">
        <f>'M2'!G10-'M1'!G10</f>
        <v>0</v>
      </c>
      <c r="H10" s="66">
        <f>'M2'!H10-'M1'!H10</f>
        <v>0.56189999999999429</v>
      </c>
    </row>
    <row r="11" spans="1:8">
      <c r="A11" s="66" t="s">
        <v>249</v>
      </c>
      <c r="B11" s="66">
        <f>'M2'!B11-'M1'!B11</f>
        <v>9.3205999999999989</v>
      </c>
      <c r="C11" s="66">
        <f>'M2'!C11-'M1'!C11</f>
        <v>-2.7438999999999996</v>
      </c>
      <c r="D11" s="66">
        <f>'M2'!D11-'M1'!D11</f>
        <v>-21.704199999999997</v>
      </c>
      <c r="E11" s="66">
        <f>'M2'!E11-'M1'!E11</f>
        <v>0</v>
      </c>
      <c r="F11" s="66">
        <f>'M2'!F11-'M1'!F11</f>
        <v>12.16278</v>
      </c>
      <c r="G11" s="66">
        <f>'M2'!G11-'M1'!G11</f>
        <v>0</v>
      </c>
      <c r="H11" s="66">
        <f>'M2'!H11-'M1'!H11</f>
        <v>3.514400000000002</v>
      </c>
    </row>
    <row r="12" spans="1:8">
      <c r="A12" s="66" t="s">
        <v>250</v>
      </c>
      <c r="B12" s="66">
        <f>'M2'!B12-'M1'!B12</f>
        <v>3.2086999999999932</v>
      </c>
      <c r="C12" s="66">
        <f>'M2'!C12-'M1'!C12</f>
        <v>0.5777300000000003</v>
      </c>
      <c r="D12" s="66">
        <f>'M2'!D12-'M1'!D12</f>
        <v>0.6195700000000004</v>
      </c>
      <c r="E12" s="66">
        <f>'M2'!E12-'M1'!E12</f>
        <v>0</v>
      </c>
      <c r="F12" s="66">
        <f>'M2'!F12-'M1'!F12</f>
        <v>1.5043000000000006</v>
      </c>
      <c r="G12" s="66">
        <f>'M2'!G12-'M1'!G12</f>
        <v>0</v>
      </c>
      <c r="H12" s="66">
        <f>'M2'!H12-'M1'!H12</f>
        <v>3.116100000000003</v>
      </c>
    </row>
    <row r="13" spans="1:8">
      <c r="A13" s="66" t="s">
        <v>251</v>
      </c>
      <c r="B13" s="66">
        <f>'M2'!B13-'M1'!B13</f>
        <v>2.6209999999999987</v>
      </c>
      <c r="C13" s="66">
        <f>'M2'!C13-'M1'!C13</f>
        <v>0.68322000000000038</v>
      </c>
      <c r="D13" s="66">
        <f>'M2'!D13-'M1'!D13</f>
        <v>1.1722999999999999</v>
      </c>
      <c r="E13" s="66">
        <f>'M2'!E13-'M1'!E13</f>
        <v>0</v>
      </c>
      <c r="F13" s="66">
        <f>'M2'!F13-'M1'!F13</f>
        <v>3.7782999999999998</v>
      </c>
      <c r="G13" s="66">
        <f>'M2'!G13-'M1'!G13</f>
        <v>0</v>
      </c>
      <c r="H13" s="66">
        <f>'M2'!H13-'M1'!H13</f>
        <v>7.504999999999999</v>
      </c>
    </row>
    <row r="14" spans="1:8">
      <c r="A14" s="66" t="s">
        <v>252</v>
      </c>
      <c r="B14" s="66">
        <f>'M2'!B14-'M1'!B14</f>
        <v>6.8321999999999967</v>
      </c>
      <c r="C14" s="66">
        <f>'M2'!C14-'M1'!C14</f>
        <v>3.6662999999999997</v>
      </c>
      <c r="D14" s="66">
        <f>'M2'!D14-'M1'!D14</f>
        <v>5.7630000000000017</v>
      </c>
      <c r="E14" s="66">
        <f>'M2'!E14-'M1'!E14</f>
        <v>0</v>
      </c>
      <c r="F14" s="66">
        <f>'M2'!F14-'M1'!F14</f>
        <v>0.99455999999999989</v>
      </c>
      <c r="G14" s="66">
        <f>'M2'!G14-'M1'!G14</f>
        <v>0</v>
      </c>
      <c r="H14" s="66">
        <f>'M2'!H14-'M1'!H14</f>
        <v>10.118199999999998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-0.15090099999999995</v>
      </c>
      <c r="C18" s="66">
        <f>'M2'!C18-'M1'!C18</f>
        <v>5.4732700000000002E-2</v>
      </c>
      <c r="D18" s="66">
        <f>'M2'!D18-'M1'!D18</f>
        <v>0.12556600000000001</v>
      </c>
      <c r="E18" s="66">
        <f>'M2'!E18-'M1'!E18</f>
        <v>0</v>
      </c>
      <c r="F18" s="66">
        <f>'M2'!F18-'M1'!F18</f>
        <v>0.38115399999999999</v>
      </c>
      <c r="G18" s="66">
        <f>'M2'!G18-'M1'!G18</f>
        <v>0</v>
      </c>
      <c r="H18" s="66">
        <f>'M2'!H18-'M1'!H18</f>
        <v>0.49061900000000003</v>
      </c>
    </row>
    <row r="19" spans="1:8">
      <c r="A19" s="66" t="s">
        <v>256</v>
      </c>
      <c r="B19" s="66">
        <f>'M2'!B19-'M1'!B19</f>
        <v>9.9218000000000028E-2</v>
      </c>
      <c r="C19" s="66">
        <f>'M2'!C19-'M1'!C19</f>
        <v>4.5132199999999997E-2</v>
      </c>
      <c r="D19" s="66">
        <f>'M2'!D19-'M1'!D19</f>
        <v>7.0935700000000004E-2</v>
      </c>
      <c r="E19" s="66">
        <f>'M2'!E19-'M1'!E19</f>
        <v>0</v>
      </c>
      <c r="F19" s="66">
        <f>'M2'!F19-'M1'!F19</f>
        <v>0.59110799999999997</v>
      </c>
      <c r="G19" s="66">
        <f>'M2'!G19-'M1'!G19</f>
        <v>0</v>
      </c>
      <c r="H19" s="66">
        <f>'M2'!H19-'M1'!H19</f>
        <v>0.68137300000000001</v>
      </c>
    </row>
    <row r="20" spans="1:8">
      <c r="A20" s="66" t="s">
        <v>63</v>
      </c>
      <c r="B20" s="66">
        <f>'M2'!B20-'M1'!B20</f>
        <v>-1.2924000000000008E-4</v>
      </c>
      <c r="C20" s="66">
        <f>'M2'!C20-'M1'!C20</f>
        <v>-8.5314999999999992E-3</v>
      </c>
      <c r="D20" s="66">
        <f>'M2'!D20-'M1'!D20</f>
        <v>-4.6548800000000004</v>
      </c>
      <c r="E20" s="66">
        <f>'M2'!E20-'M1'!E20</f>
        <v>0</v>
      </c>
      <c r="F20" s="66">
        <f>'M2'!F20-'M1'!F20</f>
        <v>-4.6535999999999989E-5</v>
      </c>
      <c r="G20" s="66">
        <f>'M2'!G20-'M1'!G20</f>
        <v>0</v>
      </c>
      <c r="H20" s="66">
        <f>'M2'!H20-'M1'!H20</f>
        <v>-5.1874000000000003E-2</v>
      </c>
    </row>
    <row r="21" spans="1:8">
      <c r="A21" s="66" t="s">
        <v>64</v>
      </c>
      <c r="B21" s="66">
        <f>'M2'!B21-'M1'!B21</f>
        <v>-8.7244999999999961E-3</v>
      </c>
      <c r="C21" s="66">
        <f>'M2'!C21-'M1'!C21</f>
        <v>-0.20472300000000002</v>
      </c>
      <c r="D21" s="66">
        <f>'M2'!D21-'M1'!D21</f>
        <v>-2.2773399999999997</v>
      </c>
      <c r="E21" s="66">
        <f>'M2'!E21-'M1'!E21</f>
        <v>0</v>
      </c>
      <c r="F21" s="66">
        <f>'M2'!F21-'M1'!F21</f>
        <v>-3.1970299999999996E-4</v>
      </c>
      <c r="G21" s="66">
        <f>'M2'!G21-'M1'!G21</f>
        <v>0</v>
      </c>
      <c r="H21" s="66">
        <f>'M2'!H21-'M1'!H21</f>
        <v>-2.4872890000000001</v>
      </c>
    </row>
    <row r="22" spans="1:8">
      <c r="A22" s="66" t="s">
        <v>65</v>
      </c>
      <c r="B22" s="66">
        <f>'M2'!B22-'M1'!B22</f>
        <v>-0.40630000000000166</v>
      </c>
      <c r="C22" s="66">
        <f>'M2'!C22-'M1'!C22</f>
        <v>-4.0900300000000005</v>
      </c>
      <c r="D22" s="66">
        <f>'M2'!D22-'M1'!D22</f>
        <v>-0.12124499999999999</v>
      </c>
      <c r="E22" s="66">
        <f>'M2'!E22-'M1'!E22</f>
        <v>0</v>
      </c>
      <c r="F22" s="66">
        <f>'M2'!F22-'M1'!F22</f>
        <v>-2.2584000000000017</v>
      </c>
      <c r="G22" s="66">
        <f>'M2'!G22-'M1'!G22</f>
        <v>0</v>
      </c>
      <c r="H22" s="66">
        <f>'M2'!H22-'M1'!H22</f>
        <v>-15.033700000000003</v>
      </c>
    </row>
    <row r="23" spans="1:8">
      <c r="A23" s="66" t="s">
        <v>66</v>
      </c>
      <c r="B23" s="66">
        <f>'M2'!B23-'M1'!B23</f>
        <v>2.156600000000001</v>
      </c>
      <c r="C23" s="66">
        <f>'M2'!C23-'M1'!C23</f>
        <v>-0.99558899999999995</v>
      </c>
      <c r="D23" s="66">
        <f>'M2'!D23-'M1'!D23</f>
        <v>-8.2282799999999989E-2</v>
      </c>
      <c r="E23" s="66">
        <f>'M2'!E23-'M1'!E23</f>
        <v>0</v>
      </c>
      <c r="F23" s="66">
        <f>'M2'!F23-'M1'!F23</f>
        <v>5.4991299999999992</v>
      </c>
      <c r="G23" s="66">
        <f>'M2'!G23-'M1'!G23</f>
        <v>0</v>
      </c>
      <c r="H23" s="66">
        <f>'M2'!H23-'M1'!H23</f>
        <v>2.1846999999999994</v>
      </c>
    </row>
    <row r="24" spans="1:8">
      <c r="A24" s="66" t="s">
        <v>67</v>
      </c>
      <c r="B24" s="66">
        <f>'M2'!B24-'M1'!B24</f>
        <v>-9.6539999999999994E-5</v>
      </c>
      <c r="C24" s="66">
        <f>'M2'!C24-'M1'!C24</f>
        <v>-9.5873800000000012E-3</v>
      </c>
      <c r="D24" s="66">
        <f>'M2'!D24-'M1'!D24</f>
        <v>-4.7350199999999987</v>
      </c>
      <c r="E24" s="66">
        <f>'M2'!E24-'M1'!E24</f>
        <v>0</v>
      </c>
      <c r="F24" s="66">
        <f>'M2'!F24-'M1'!F24</f>
        <v>-1.8451999999999965E-5</v>
      </c>
      <c r="G24" s="66">
        <f>'M2'!G24-'M1'!G24</f>
        <v>0</v>
      </c>
      <c r="H24" s="66">
        <f>'M2'!H24-'M1'!H24</f>
        <v>-0.10088470000000001</v>
      </c>
    </row>
    <row r="25" spans="1:8">
      <c r="A25" s="66" t="s">
        <v>68</v>
      </c>
      <c r="B25" s="66">
        <f>'M2'!B25-'M1'!B25</f>
        <v>2.9698000000000002E-2</v>
      </c>
      <c r="C25" s="66">
        <f>'M2'!C25-'M1'!C25</f>
        <v>-0.16392329999999999</v>
      </c>
      <c r="D25" s="66">
        <f>'M2'!D25-'M1'!D25</f>
        <v>-1.7419899999999999</v>
      </c>
      <c r="E25" s="66">
        <f>'M2'!E25-'M1'!E25</f>
        <v>0</v>
      </c>
      <c r="F25" s="66">
        <f>'M2'!F25-'M1'!F25</f>
        <v>2.1222200000000004E-2</v>
      </c>
      <c r="G25" s="66">
        <f>'M2'!G25-'M1'!G25</f>
        <v>0</v>
      </c>
      <c r="H25" s="66">
        <f>'M2'!H25-'M1'!H25</f>
        <v>-0.64737699999999998</v>
      </c>
    </row>
    <row r="26" spans="1:8">
      <c r="A26" s="66" t="s">
        <v>69</v>
      </c>
      <c r="B26" s="66">
        <f>'M2'!B26-'M1'!B26</f>
        <v>-5.0880000000000001E-5</v>
      </c>
      <c r="C26" s="66">
        <f>'M2'!C26-'M1'!C26</f>
        <v>-2.0000699999999996E-3</v>
      </c>
      <c r="D26" s="66">
        <f>'M2'!D26-'M1'!D26</f>
        <v>-4.2961299999999998</v>
      </c>
      <c r="E26" s="66">
        <f>'M2'!E26-'M1'!E26</f>
        <v>0</v>
      </c>
      <c r="F26" s="66">
        <f>'M2'!F26-'M1'!F26</f>
        <v>-3.2826000000000014E-6</v>
      </c>
      <c r="G26" s="66">
        <f>'M2'!G26-'M1'!G26</f>
        <v>0</v>
      </c>
      <c r="H26" s="66">
        <f>'M2'!H26-'M1'!H26</f>
        <v>-2.2748140000000003E-2</v>
      </c>
    </row>
    <row r="27" spans="1:8">
      <c r="A27" s="66" t="s">
        <v>70</v>
      </c>
      <c r="B27" s="66">
        <f>'M2'!B27-'M1'!B27</f>
        <v>0</v>
      </c>
      <c r="C27" s="66">
        <f>'M2'!C27-'M1'!C27</f>
        <v>-1.9820100000000006E-4</v>
      </c>
      <c r="D27" s="66">
        <f>'M2'!D27-'M1'!D27</f>
        <v>30.189999999999998</v>
      </c>
      <c r="E27" s="66">
        <f>'M2'!E27-'M1'!E27</f>
        <v>0</v>
      </c>
      <c r="F27" s="66">
        <f>'M2'!F27-'M1'!F27</f>
        <v>-1.5854800000000002E-3</v>
      </c>
      <c r="G27" s="66">
        <f>'M2'!G27-'M1'!G27</f>
        <v>0</v>
      </c>
      <c r="H27" s="66">
        <f>'M2'!H27-'M1'!H27</f>
        <v>-7.0903000000000025E-4</v>
      </c>
    </row>
    <row r="28" spans="1:8">
      <c r="A28" s="66" t="s">
        <v>71</v>
      </c>
      <c r="B28" s="66">
        <f>'M2'!B28-'M1'!B28</f>
        <v>-4.1829999999999992E-4</v>
      </c>
      <c r="C28" s="66">
        <f>'M2'!C28-'M1'!C28</f>
        <v>-8.612100000000001E-3</v>
      </c>
      <c r="D28" s="66">
        <f>'M2'!D28-'M1'!D28</f>
        <v>-0.59670000000000023</v>
      </c>
      <c r="E28" s="66">
        <f>'M2'!E28-'M1'!E28</f>
        <v>0</v>
      </c>
      <c r="F28" s="66">
        <f>'M2'!F28-'M1'!F28</f>
        <v>-1.7903600000000001E-4</v>
      </c>
      <c r="G28" s="66">
        <f>'M2'!G28-'M1'!G28</f>
        <v>0</v>
      </c>
      <c r="H28" s="66">
        <f>'M2'!H28-'M1'!H28</f>
        <v>-0.10901659999999999</v>
      </c>
    </row>
    <row r="29" spans="1:8">
      <c r="A29" s="66" t="s">
        <v>72</v>
      </c>
      <c r="B29" s="66">
        <f>'M2'!B29-'M1'!B29</f>
        <v>-4.0508999999999986</v>
      </c>
      <c r="C29" s="66">
        <f>'M2'!C29-'M1'!C29</f>
        <v>-0.28115000000000023</v>
      </c>
      <c r="D29" s="66">
        <f>'M2'!D29-'M1'!D29</f>
        <v>2.924999999999997E-3</v>
      </c>
      <c r="E29" s="66">
        <f>'M2'!E29-'M1'!E29</f>
        <v>0</v>
      </c>
      <c r="F29" s="66">
        <f>'M2'!F29-'M1'!F29</f>
        <v>-7.9878</v>
      </c>
      <c r="G29" s="66">
        <f>'M2'!G29-'M1'!G29</f>
        <v>0</v>
      </c>
      <c r="H29" s="66">
        <f>'M2'!H29-'M1'!H29</f>
        <v>-4.4021999999999935</v>
      </c>
    </row>
    <row r="30" spans="1:8">
      <c r="A30" s="66" t="s">
        <v>73</v>
      </c>
      <c r="B30" s="66">
        <f>'M2'!B30-'M1'!B30</f>
        <v>0.60919999999999774</v>
      </c>
      <c r="C30" s="66">
        <f>'M2'!C30-'M1'!C30</f>
        <v>-1.1370999999999998</v>
      </c>
      <c r="D30" s="66">
        <f>'M2'!D30-'M1'!D30</f>
        <v>-5.4713000000000012E-2</v>
      </c>
      <c r="E30" s="66">
        <f>'M2'!E30-'M1'!E30</f>
        <v>0</v>
      </c>
      <c r="F30" s="66">
        <f>'M2'!F30-'M1'!F30</f>
        <v>9.9174999999999986</v>
      </c>
      <c r="G30" s="66">
        <f>'M2'!G30-'M1'!G30</f>
        <v>0</v>
      </c>
      <c r="H30" s="66">
        <f>'M2'!H30-'M1'!H30</f>
        <v>3.839100000000002</v>
      </c>
    </row>
    <row r="31" spans="1:8">
      <c r="A31" s="66" t="s">
        <v>74</v>
      </c>
      <c r="B31" s="66">
        <f>'M2'!B31-'M1'!B31</f>
        <v>25.537999999999997</v>
      </c>
      <c r="C31" s="66">
        <f>'M2'!C31-'M1'!C31</f>
        <v>-2.5101000000000013</v>
      </c>
      <c r="D31" s="66">
        <f>'M2'!D31-'M1'!D31</f>
        <v>-4.7099999999999975E-2</v>
      </c>
      <c r="E31" s="66">
        <f>'M2'!E31-'M1'!E31</f>
        <v>0</v>
      </c>
      <c r="F31" s="66">
        <f>'M2'!F31-'M1'!F31</f>
        <v>41.691300000000005</v>
      </c>
      <c r="G31" s="66">
        <f>'M2'!G31-'M1'!G31</f>
        <v>0</v>
      </c>
      <c r="H31" s="66">
        <f>'M2'!H31-'M1'!H31</f>
        <v>13.157999999999987</v>
      </c>
    </row>
    <row r="32" spans="1:8">
      <c r="A32" s="66" t="s">
        <v>75</v>
      </c>
      <c r="B32" s="66">
        <f>'M2'!B32-'M1'!B32</f>
        <v>-4.2067999999999994E-2</v>
      </c>
      <c r="C32" s="66">
        <f>'M2'!C32-'M1'!C32</f>
        <v>-6.2936999999999993E-3</v>
      </c>
      <c r="D32" s="66">
        <f>'M2'!D32-'M1'!D32</f>
        <v>1.7091999999999996E-2</v>
      </c>
      <c r="E32" s="66">
        <f>'M2'!E32-'M1'!E32</f>
        <v>0</v>
      </c>
      <c r="F32" s="66">
        <f>'M2'!F32-'M1'!F32</f>
        <v>-1.3980999999999993E-3</v>
      </c>
      <c r="G32" s="66">
        <f>'M2'!G32-'M1'!G32</f>
        <v>0</v>
      </c>
      <c r="H32" s="66">
        <f>'M2'!H32-'M1'!H32</f>
        <v>1.1204000000000047E-2</v>
      </c>
    </row>
    <row r="33" spans="1:8">
      <c r="A33" s="66" t="s">
        <v>76</v>
      </c>
      <c r="B33" s="66">
        <f>'M2'!B33-'M1'!B33</f>
        <v>-0.17134799999999997</v>
      </c>
      <c r="C33" s="66">
        <f>'M2'!C33-'M1'!C33</f>
        <v>1.4642700000000008E-2</v>
      </c>
      <c r="D33" s="66">
        <f>'M2'!D33-'M1'!D33</f>
        <v>0.15192899999999998</v>
      </c>
      <c r="E33" s="66">
        <f>'M2'!E33-'M1'!E33</f>
        <v>0</v>
      </c>
      <c r="F33" s="66">
        <f>'M2'!F33-'M1'!F33</f>
        <v>-1.0068999999999995E-2</v>
      </c>
      <c r="G33" s="66">
        <f>'M2'!G33-'M1'!G33</f>
        <v>0</v>
      </c>
      <c r="H33" s="66">
        <f>'M2'!H33-'M1'!H33</f>
        <v>-3.2328999999999997E-2</v>
      </c>
    </row>
    <row r="34" spans="1:8">
      <c r="A34" s="66" t="s">
        <v>77</v>
      </c>
      <c r="B34" s="66">
        <f>'M2'!B34-'M1'!B34</f>
        <v>2.6209999999999983E-2</v>
      </c>
      <c r="C34" s="66">
        <f>'M2'!C34-'M1'!C34</f>
        <v>6.8322000000000035E-3</v>
      </c>
      <c r="D34" s="66">
        <f>'M2'!D34-'M1'!D34</f>
        <v>1.1722999999999983E-2</v>
      </c>
      <c r="E34" s="66">
        <f>'M2'!E34-'M1'!E34</f>
        <v>0</v>
      </c>
      <c r="F34" s="66">
        <f>'M2'!F34-'M1'!F34</f>
        <v>3.7783000000000011E-2</v>
      </c>
      <c r="G34" s="66">
        <f>'M2'!G34-'M1'!G34</f>
        <v>0</v>
      </c>
      <c r="H34" s="66">
        <f>'M2'!H34-'M1'!H34</f>
        <v>7.5050000000000006E-2</v>
      </c>
    </row>
    <row r="35" spans="1:8">
      <c r="A35" s="66" t="s">
        <v>78</v>
      </c>
      <c r="B35" s="66">
        <f>'M2'!B35-'M1'!B35</f>
        <v>2.0571099999999995E-2</v>
      </c>
      <c r="C35" s="66">
        <f>'M2'!C35-'M1'!C35</f>
        <v>1.1404000000000001E-2</v>
      </c>
      <c r="D35" s="66">
        <f>'M2'!D35-'M1'!D35</f>
        <v>5.3401000000000032E-2</v>
      </c>
      <c r="E35" s="66">
        <f>'M2'!E35-'M1'!E35</f>
        <v>0</v>
      </c>
      <c r="F35" s="66">
        <f>'M2'!F35-'M1'!F35</f>
        <v>1.63728E-2</v>
      </c>
      <c r="G35" s="66">
        <f>'M2'!G35-'M1'!G35</f>
        <v>0</v>
      </c>
      <c r="H35" s="66">
        <f>'M2'!H35-'M1'!H35</f>
        <v>5.2544000000000007E-2</v>
      </c>
    </row>
    <row r="36" spans="1:8">
      <c r="A36" s="66" t="s">
        <v>79</v>
      </c>
      <c r="B36" s="66">
        <f>'M2'!B36-'M1'!B36</f>
        <v>2.5225999999999998E-2</v>
      </c>
      <c r="C36" s="66">
        <f>'M2'!C36-'M1'!C36</f>
        <v>2.5271199999999994E-2</v>
      </c>
      <c r="D36" s="66">
        <f>'M2'!D36-'M1'!D36</f>
        <v>6.0452000000000061E-2</v>
      </c>
      <c r="E36" s="66">
        <f>'M2'!E36-'M1'!E36</f>
        <v>0</v>
      </c>
      <c r="F36" s="66">
        <f>'M2'!F36-'M1'!F36</f>
        <v>-1.690000000000004E-3</v>
      </c>
      <c r="G36" s="66">
        <f>'M2'!G36-'M1'!G36</f>
        <v>0</v>
      </c>
      <c r="H36" s="66">
        <f>'M2'!H36-'M1'!H36</f>
        <v>3.204499999999999E-2</v>
      </c>
    </row>
    <row r="37" spans="1:8">
      <c r="A37" s="66" t="s">
        <v>80</v>
      </c>
      <c r="B37" s="66">
        <f>'M2'!B37-'M1'!B37</f>
        <v>6.8321999999999994E-2</v>
      </c>
      <c r="C37" s="66">
        <f>'M2'!C37-'M1'!C37</f>
        <v>3.6663000000000001E-2</v>
      </c>
      <c r="D37" s="66">
        <f>'M2'!D37-'M1'!D37</f>
        <v>5.7630000000000015E-2</v>
      </c>
      <c r="E37" s="66">
        <f>'M2'!E37-'M1'!E37</f>
        <v>0</v>
      </c>
      <c r="F37" s="66">
        <f>'M2'!F37-'M1'!F37</f>
        <v>9.9455999999999989E-3</v>
      </c>
      <c r="G37" s="66">
        <f>'M2'!G37-'M1'!G37</f>
        <v>0</v>
      </c>
      <c r="H37" s="66">
        <f>'M2'!H37-'M1'!H37</f>
        <v>0.10118199999999999</v>
      </c>
    </row>
    <row r="38" spans="1:8">
      <c r="A38" s="66" t="s">
        <v>81</v>
      </c>
      <c r="B38" s="66">
        <f>'M2'!B38-'M1'!B38</f>
        <v>5.3911199999999999</v>
      </c>
      <c r="C38" s="66">
        <f>'M2'!C38-'M1'!C38</f>
        <v>-3.1924999999999955</v>
      </c>
      <c r="D38" s="66">
        <f>'M2'!D38-'M1'!D38</f>
        <v>-3.5152299999999999</v>
      </c>
      <c r="E38" s="66">
        <f>'M2'!E38-'M1'!E38</f>
        <v>0</v>
      </c>
      <c r="F38" s="66">
        <f>'M2'!F38-'M1'!F38</f>
        <v>-96.552000000000007</v>
      </c>
      <c r="G38" s="66">
        <f>'M2'!G38-'M1'!G38</f>
        <v>0</v>
      </c>
      <c r="H38" s="66">
        <f>'M2'!H38-'M1'!H38</f>
        <v>-18.642000000000024</v>
      </c>
    </row>
    <row r="39" spans="1:8">
      <c r="A39" s="66" t="s">
        <v>82</v>
      </c>
      <c r="B39" s="66">
        <f>'M2'!B39-'M1'!B39</f>
        <v>1.547558</v>
      </c>
      <c r="C39" s="66">
        <f>'M2'!C39-'M1'!C39</f>
        <v>-1.2118300000000004</v>
      </c>
      <c r="D39" s="66">
        <f>'M2'!D39-'M1'!D39</f>
        <v>14.809889999999999</v>
      </c>
      <c r="E39" s="66">
        <f>'M2'!E39-'M1'!E39</f>
        <v>0</v>
      </c>
      <c r="F39" s="66">
        <f>'M2'!F39-'M1'!F39</f>
        <v>1.3053000000000026</v>
      </c>
      <c r="G39" s="66">
        <f>'M2'!G39-'M1'!G39</f>
        <v>0</v>
      </c>
      <c r="H39" s="66">
        <f>'M2'!H39-'M1'!H39</f>
        <v>0.16389000000000031</v>
      </c>
    </row>
    <row r="40" spans="1:8">
      <c r="A40" s="66" t="s">
        <v>83</v>
      </c>
      <c r="B40" s="66">
        <f>'M2'!B40-'M1'!B40</f>
        <v>-1.0969820000000001</v>
      </c>
      <c r="C40" s="66">
        <f>'M2'!C40-'M1'!C40</f>
        <v>0.55051200000000011</v>
      </c>
      <c r="D40" s="66">
        <f>'M2'!D40-'M1'!D40</f>
        <v>2.7864469999999999</v>
      </c>
      <c r="E40" s="66">
        <f>'M2'!E40-'M1'!E40</f>
        <v>0</v>
      </c>
      <c r="F40" s="66">
        <f>'M2'!F40-'M1'!F40</f>
        <v>3.4319999999999906E-2</v>
      </c>
      <c r="G40" s="66">
        <f>'M2'!G40-'M1'!G40</f>
        <v>0</v>
      </c>
      <c r="H40" s="66">
        <f>'M2'!H40-'M1'!H40</f>
        <v>0.88595200000000007</v>
      </c>
    </row>
    <row r="41" spans="1:8">
      <c r="A41" s="66" t="s">
        <v>84</v>
      </c>
      <c r="B41" s="66">
        <f>'M2'!B41-'M1'!B41</f>
        <v>3.8053100000000006E-2</v>
      </c>
      <c r="C41" s="66">
        <f>'M2'!C41-'M1'!C41</f>
        <v>2.7295000000000014E-2</v>
      </c>
      <c r="D41" s="66">
        <f>'M2'!D41-'M1'!D41</f>
        <v>-1.6488500000000004</v>
      </c>
      <c r="E41" s="66">
        <f>'M2'!E41-'M1'!E41</f>
        <v>0</v>
      </c>
      <c r="F41" s="66">
        <f>'M2'!F41-'M1'!F41</f>
        <v>-0.33070900000000003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3.2148399999999994E-2</v>
      </c>
      <c r="C42" s="66">
        <f>'M2'!C42-'M1'!C42</f>
        <v>7.5379999999999892E-4</v>
      </c>
      <c r="D42" s="66">
        <f>'M2'!D42-'M1'!D42</f>
        <v>-3.3093199999999996</v>
      </c>
      <c r="E42" s="66">
        <f>'M2'!E42-'M1'!E42</f>
        <v>0</v>
      </c>
      <c r="F42" s="66">
        <f>'M2'!F42-'M1'!F42</f>
        <v>-9.5270000000000021E-2</v>
      </c>
      <c r="G42" s="66">
        <f>'M2'!G42-'M1'!G42</f>
        <v>0</v>
      </c>
      <c r="H42" s="66">
        <f>'M2'!H42-'M1'!H42</f>
        <v>-5.7939999999999936E-3</v>
      </c>
    </row>
    <row r="43" spans="1:8">
      <c r="A43" s="66" t="s">
        <v>86</v>
      </c>
      <c r="B43" s="66">
        <f>'M2'!B43-'M1'!B43</f>
        <v>3.6146999999999985E-3</v>
      </c>
      <c r="C43" s="66">
        <f>'M2'!C43-'M1'!C43</f>
        <v>4.4620100000000003E-2</v>
      </c>
      <c r="D43" s="66">
        <f>'M2'!D43-'M1'!D43</f>
        <v>-0.66958799999999996</v>
      </c>
      <c r="E43" s="66">
        <f>'M2'!E43-'M1'!E43</f>
        <v>0</v>
      </c>
      <c r="F43" s="66">
        <f>'M2'!F43-'M1'!F43</f>
        <v>7.1465000000000001E-2</v>
      </c>
      <c r="G43" s="66">
        <f>'M2'!G43-'M1'!G43</f>
        <v>0</v>
      </c>
      <c r="H43" s="66">
        <f>'M2'!H43-'M1'!H43</f>
        <v>0.16663440000000002</v>
      </c>
    </row>
    <row r="44" spans="1:8">
      <c r="A44" s="66" t="s">
        <v>87</v>
      </c>
      <c r="B44" s="66">
        <f>'M2'!B44-'M1'!B44</f>
        <v>-7.3360999999999983</v>
      </c>
      <c r="C44" s="66">
        <f>'M2'!C44-'M1'!C44</f>
        <v>1.1512999999999991</v>
      </c>
      <c r="D44" s="66">
        <f>'M2'!D44-'M1'!D44</f>
        <v>8.6989999999999956E-2</v>
      </c>
      <c r="E44" s="66">
        <f>'M2'!E44-'M1'!E44</f>
        <v>0</v>
      </c>
      <c r="F44" s="66">
        <f>'M2'!F44-'M1'!F44</f>
        <v>-8.0877000000000052</v>
      </c>
      <c r="G44" s="66">
        <f>'M2'!G44-'M1'!G44</f>
        <v>0</v>
      </c>
      <c r="H44" s="66">
        <f>'M2'!H44-'M1'!H44</f>
        <v>-4.0106299999999999</v>
      </c>
    </row>
    <row r="45" spans="1:8">
      <c r="A45" s="66" t="s">
        <v>88</v>
      </c>
      <c r="B45" s="66">
        <f>'M2'!B45-'M1'!B45</f>
        <v>-6.6776999999999944</v>
      </c>
      <c r="C45" s="66">
        <f>'M2'!C45-'M1'!C45</f>
        <v>-2.7298299999999989</v>
      </c>
      <c r="D45" s="66">
        <f>'M2'!D45-'M1'!D45</f>
        <v>-3.4771999999999997E-2</v>
      </c>
      <c r="E45" s="66">
        <f>'M2'!E45-'M1'!E45</f>
        <v>0</v>
      </c>
      <c r="F45" s="66">
        <f>'M2'!F45-'M1'!F45</f>
        <v>2.2982000000000014</v>
      </c>
      <c r="G45" s="66">
        <f>'M2'!G45-'M1'!G45</f>
        <v>0</v>
      </c>
      <c r="H45" s="66">
        <f>'M2'!H45-'M1'!H45</f>
        <v>-4.3064999999999927</v>
      </c>
    </row>
    <row r="46" spans="1:8">
      <c r="A46" s="66" t="s">
        <v>89</v>
      </c>
      <c r="B46" s="66">
        <f>'M2'!B46-'M1'!B46</f>
        <v>-2.6356000000000002</v>
      </c>
      <c r="C46" s="66">
        <f>'M2'!C46-'M1'!C46</f>
        <v>-4.9120799999999996</v>
      </c>
      <c r="D46" s="66">
        <f>'M2'!D46-'M1'!D46</f>
        <v>-0.15284</v>
      </c>
      <c r="E46" s="66">
        <f>'M2'!E46-'M1'!E46</f>
        <v>0</v>
      </c>
      <c r="F46" s="66">
        <f>'M2'!F46-'M1'!F46</f>
        <v>16.702300000000001</v>
      </c>
      <c r="G46" s="66">
        <f>'M2'!G46-'M1'!G46</f>
        <v>0</v>
      </c>
      <c r="H46" s="66">
        <f>'M2'!H46-'M1'!H46</f>
        <v>-0.15330000000000155</v>
      </c>
    </row>
    <row r="47" spans="1:8">
      <c r="A47" s="66" t="s">
        <v>90</v>
      </c>
      <c r="B47" s="66">
        <f>'M2'!B47-'M1'!B47</f>
        <v>2.0469999999999988E-2</v>
      </c>
      <c r="C47" s="66">
        <f>'M2'!C47-'M1'!C47</f>
        <v>2.3001000000000049E-2</v>
      </c>
      <c r="D47" s="66">
        <f>'M2'!D47-'M1'!D47</f>
        <v>1.1527999999999983E-2</v>
      </c>
      <c r="E47" s="66">
        <f>'M2'!E47-'M1'!E47</f>
        <v>0</v>
      </c>
      <c r="F47" s="66">
        <f>'M2'!F47-'M1'!F47</f>
        <v>3.9693000000000034E-2</v>
      </c>
      <c r="G47" s="66">
        <f>'M2'!G47-'M1'!G47</f>
        <v>0</v>
      </c>
      <c r="H47" s="66">
        <f>'M2'!H47-'M1'!H47</f>
        <v>5.7650000000000201E-2</v>
      </c>
    </row>
    <row r="48" spans="1:8">
      <c r="A48" s="66" t="s">
        <v>91</v>
      </c>
      <c r="B48" s="66">
        <f>'M2'!B48-'M1'!B48</f>
        <v>0.21136700000000008</v>
      </c>
      <c r="C48" s="66">
        <f>'M2'!C48-'M1'!C48</f>
        <v>8.6368999999999974E-2</v>
      </c>
      <c r="D48" s="66">
        <f>'M2'!D48-'M1'!D48</f>
        <v>3.5376999999999992E-2</v>
      </c>
      <c r="E48" s="66">
        <f>'M2'!E48-'M1'!E48</f>
        <v>0</v>
      </c>
      <c r="F48" s="66">
        <f>'M2'!F48-'M1'!F48</f>
        <v>3.8344000000000045E-2</v>
      </c>
      <c r="G48" s="66">
        <f>'M2'!G48-'M1'!G48</f>
        <v>0</v>
      </c>
      <c r="H48" s="66">
        <f>'M2'!H48-'M1'!H48</f>
        <v>0.18690999999999991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39.292200000000001</v>
      </c>
      <c r="C5" s="66">
        <v>12.548400000000001</v>
      </c>
      <c r="D5" s="66">
        <v>31.936199999999999</v>
      </c>
      <c r="E5" s="66">
        <v>20</v>
      </c>
      <c r="F5" s="66">
        <v>10.0326</v>
      </c>
      <c r="G5" s="66">
        <v>50</v>
      </c>
      <c r="H5" s="66">
        <v>54.794199999999996</v>
      </c>
    </row>
    <row r="6" spans="1:8">
      <c r="A6" s="66" t="s">
        <v>303</v>
      </c>
      <c r="B6" s="66">
        <v>28.1982</v>
      </c>
      <c r="C6" s="66">
        <v>1.9206300000000001</v>
      </c>
      <c r="D6" s="66">
        <v>6.8111800000000002</v>
      </c>
      <c r="E6" s="66">
        <v>20</v>
      </c>
      <c r="F6" s="66">
        <v>23.113199999999999</v>
      </c>
      <c r="G6" s="66">
        <v>40</v>
      </c>
      <c r="H6" s="66">
        <v>31.763100000000001</v>
      </c>
    </row>
    <row r="7" spans="1:8">
      <c r="A7" s="66" t="s">
        <v>304</v>
      </c>
      <c r="B7" s="66">
        <v>28.966699999999999</v>
      </c>
      <c r="C7" s="66">
        <v>7.2477799999999997</v>
      </c>
      <c r="D7" s="66">
        <v>25.021100000000001</v>
      </c>
      <c r="E7" s="66">
        <v>15</v>
      </c>
      <c r="F7" s="66">
        <v>5.9521300000000004</v>
      </c>
      <c r="G7" s="66">
        <v>40</v>
      </c>
      <c r="H7" s="66">
        <v>43.156100000000002</v>
      </c>
    </row>
    <row r="8" spans="1:8">
      <c r="A8" s="66" t="s">
        <v>305</v>
      </c>
      <c r="B8" s="66">
        <v>30.700600000000001</v>
      </c>
      <c r="C8" s="66">
        <v>4.3469199999999999</v>
      </c>
      <c r="D8" s="66">
        <v>14.1591</v>
      </c>
      <c r="E8" s="66">
        <v>20</v>
      </c>
      <c r="F8" s="66">
        <v>20.046099999999999</v>
      </c>
      <c r="G8" s="66">
        <v>50</v>
      </c>
      <c r="H8" s="66">
        <v>37.6614</v>
      </c>
    </row>
    <row r="9" spans="1:8">
      <c r="A9" s="66" t="s">
        <v>306</v>
      </c>
      <c r="B9" s="66">
        <v>65.232299999999995</v>
      </c>
      <c r="C9" s="66">
        <v>4.1596599999999997</v>
      </c>
      <c r="D9" s="66">
        <v>6.37669</v>
      </c>
      <c r="E9" s="66">
        <v>50</v>
      </c>
      <c r="F9" s="66">
        <v>58.134799999999998</v>
      </c>
      <c r="G9" s="66">
        <v>100</v>
      </c>
      <c r="H9" s="66">
        <v>78.195300000000003</v>
      </c>
    </row>
    <row r="10" spans="1:8">
      <c r="A10" s="66" t="s">
        <v>307</v>
      </c>
      <c r="B10" s="66">
        <v>79.399000000000001</v>
      </c>
      <c r="C10" s="66">
        <v>1.8330900000000001</v>
      </c>
      <c r="D10" s="66">
        <v>2.30871</v>
      </c>
      <c r="E10" s="66">
        <v>40</v>
      </c>
      <c r="F10" s="66">
        <v>76.848200000000006</v>
      </c>
      <c r="G10" s="66">
        <v>100</v>
      </c>
      <c r="H10" s="66">
        <v>83.765900000000002</v>
      </c>
    </row>
    <row r="11" spans="1:8">
      <c r="A11" s="66" t="s">
        <v>308</v>
      </c>
      <c r="B11" s="66">
        <v>17.536200000000001</v>
      </c>
      <c r="C11" s="66">
        <v>5.8045299999999997</v>
      </c>
      <c r="D11" s="66">
        <v>33.100299999999997</v>
      </c>
      <c r="E11" s="66">
        <v>10</v>
      </c>
      <c r="F11" s="66">
        <v>7.7366200000000003</v>
      </c>
      <c r="G11" s="66">
        <v>50</v>
      </c>
      <c r="H11" s="66">
        <v>27.895099999999999</v>
      </c>
    </row>
    <row r="12" spans="1:8">
      <c r="A12" s="66" t="s">
        <v>309</v>
      </c>
      <c r="B12" s="66">
        <v>72.543000000000006</v>
      </c>
      <c r="C12" s="66">
        <v>2.4505699999999999</v>
      </c>
      <c r="D12" s="66">
        <v>3.3780899999999998</v>
      </c>
      <c r="E12" s="66">
        <v>50</v>
      </c>
      <c r="F12" s="66">
        <v>68.325500000000005</v>
      </c>
      <c r="G12" s="66">
        <v>100</v>
      </c>
      <c r="H12" s="66">
        <v>79.282399999999996</v>
      </c>
    </row>
    <row r="13" spans="1:8">
      <c r="A13" s="66" t="s">
        <v>310</v>
      </c>
      <c r="B13" s="66">
        <v>18.359100000000002</v>
      </c>
      <c r="C13" s="66">
        <v>3.0628099999999998</v>
      </c>
      <c r="D13" s="66">
        <v>16.6828</v>
      </c>
      <c r="E13" s="66">
        <v>10</v>
      </c>
      <c r="F13" s="66">
        <v>13.0235</v>
      </c>
      <c r="G13" s="66">
        <v>25</v>
      </c>
      <c r="H13" s="66">
        <v>27.766400000000001</v>
      </c>
    </row>
    <row r="14" spans="1:8">
      <c r="A14" s="66" t="s">
        <v>311</v>
      </c>
      <c r="B14" s="66">
        <v>30.6281</v>
      </c>
      <c r="C14" s="66">
        <v>6.7577999999999996</v>
      </c>
      <c r="D14" s="66">
        <v>22.064</v>
      </c>
      <c r="E14" s="66">
        <v>10</v>
      </c>
      <c r="F14" s="66">
        <v>3.5095999999999998</v>
      </c>
      <c r="G14" s="66">
        <v>50</v>
      </c>
      <c r="H14" s="66">
        <v>30.6281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0.58678799999999998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0.537022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1.6087600000000001E-3</v>
      </c>
      <c r="C20" s="66">
        <v>2.0471E-2</v>
      </c>
      <c r="D20" s="66">
        <v>12.7247</v>
      </c>
      <c r="E20" s="66">
        <v>0</v>
      </c>
      <c r="F20" s="66">
        <v>2.82687E-4</v>
      </c>
      <c r="G20" s="66">
        <v>0</v>
      </c>
      <c r="H20" s="66">
        <v>0.21036199999999999</v>
      </c>
    </row>
    <row r="21" spans="1:8">
      <c r="A21" s="66" t="s">
        <v>318</v>
      </c>
      <c r="B21" s="66">
        <v>8.0910099999999999E-2</v>
      </c>
      <c r="C21" s="66">
        <v>0.37403900000000001</v>
      </c>
      <c r="D21" s="66">
        <v>4.6228999999999996</v>
      </c>
      <c r="E21" s="66">
        <v>0</v>
      </c>
      <c r="F21" s="66">
        <v>1.17687E-3</v>
      </c>
      <c r="G21" s="66">
        <v>0</v>
      </c>
      <c r="H21" s="66">
        <v>3.3184300000000002</v>
      </c>
    </row>
    <row r="22" spans="1:8">
      <c r="A22" s="66" t="s">
        <v>319</v>
      </c>
      <c r="B22" s="66">
        <v>32.994100000000003</v>
      </c>
      <c r="C22" s="66">
        <v>11.2865</v>
      </c>
      <c r="D22" s="66">
        <v>0.34207799999999999</v>
      </c>
      <c r="E22" s="66">
        <v>0</v>
      </c>
      <c r="F22" s="66">
        <v>20.2454</v>
      </c>
      <c r="G22" s="66">
        <v>0</v>
      </c>
      <c r="H22" s="66">
        <v>74.585300000000004</v>
      </c>
    </row>
    <row r="23" spans="1:8">
      <c r="A23" s="66" t="s">
        <v>320</v>
      </c>
      <c r="B23" s="66">
        <v>13.2136</v>
      </c>
      <c r="C23" s="66">
        <v>1.6489199999999999</v>
      </c>
      <c r="D23" s="66">
        <v>0.124789</v>
      </c>
      <c r="E23" s="66">
        <v>0</v>
      </c>
      <c r="F23" s="66">
        <v>8.1177700000000002</v>
      </c>
      <c r="G23" s="66">
        <v>0</v>
      </c>
      <c r="H23" s="66">
        <v>15.2197</v>
      </c>
    </row>
    <row r="24" spans="1:8">
      <c r="A24" s="66" t="s">
        <v>321</v>
      </c>
      <c r="B24" s="66">
        <v>1.94973E-3</v>
      </c>
      <c r="C24" s="66">
        <v>1.6408200000000001E-2</v>
      </c>
      <c r="D24" s="66">
        <v>8.4156099999999991</v>
      </c>
      <c r="E24" s="66">
        <v>0</v>
      </c>
      <c r="F24" s="66">
        <v>6.2038499999999999E-4</v>
      </c>
      <c r="G24" s="66">
        <v>0</v>
      </c>
      <c r="H24" s="66">
        <v>0.14010600000000001</v>
      </c>
    </row>
    <row r="25" spans="1:8">
      <c r="A25" s="66" t="s">
        <v>322</v>
      </c>
      <c r="B25" s="66">
        <v>0.103903</v>
      </c>
      <c r="C25" s="66">
        <v>0.240733</v>
      </c>
      <c r="D25" s="66">
        <v>2.31691</v>
      </c>
      <c r="E25" s="66">
        <v>0</v>
      </c>
      <c r="F25" s="66">
        <v>2.6625099999999999E-2</v>
      </c>
      <c r="G25" s="66">
        <v>0</v>
      </c>
      <c r="H25" s="66">
        <v>1.2727999999999999</v>
      </c>
    </row>
    <row r="26" spans="1:8">
      <c r="A26" s="66" t="s">
        <v>323</v>
      </c>
      <c r="B26" s="66">
        <v>4.31657E-4</v>
      </c>
      <c r="C26" s="66">
        <v>3.0898499999999999E-3</v>
      </c>
      <c r="D26" s="66">
        <v>7.1581099999999998</v>
      </c>
      <c r="E26" s="66">
        <v>0</v>
      </c>
      <c r="F26" s="196">
        <v>7.2216400000000002E-5</v>
      </c>
      <c r="G26" s="66">
        <v>0</v>
      </c>
      <c r="H26" s="66">
        <v>3.1998400000000003E-2</v>
      </c>
    </row>
    <row r="27" spans="1:8">
      <c r="A27" s="66" t="s">
        <v>324</v>
      </c>
      <c r="B27" s="196">
        <v>-6.5651299999999996E-6</v>
      </c>
      <c r="C27" s="66">
        <v>8.9434300000000003E-4</v>
      </c>
      <c r="D27" s="66">
        <v>-136.226</v>
      </c>
      <c r="E27" s="66">
        <v>0</v>
      </c>
      <c r="F27" s="66">
        <v>-6.40428E-3</v>
      </c>
      <c r="G27" s="66">
        <v>0</v>
      </c>
      <c r="H27" s="66">
        <v>6.12198E-3</v>
      </c>
    </row>
    <row r="28" spans="1:8">
      <c r="A28" s="66" t="s">
        <v>325</v>
      </c>
      <c r="B28" s="66">
        <v>1.33854E-2</v>
      </c>
      <c r="C28" s="66">
        <v>2.7988800000000001E-2</v>
      </c>
      <c r="D28" s="66">
        <v>2.0909900000000001</v>
      </c>
      <c r="E28" s="66">
        <v>0</v>
      </c>
      <c r="F28" s="66">
        <v>3.4830700000000001E-4</v>
      </c>
      <c r="G28" s="66">
        <v>0</v>
      </c>
      <c r="H28" s="66">
        <v>0.19581999999999999</v>
      </c>
    </row>
    <row r="29" spans="1:8">
      <c r="A29" s="66" t="s">
        <v>326</v>
      </c>
      <c r="B29" s="66">
        <v>73.285600000000002</v>
      </c>
      <c r="C29" s="66">
        <v>8.7497299999999996</v>
      </c>
      <c r="D29" s="66">
        <v>0.119392</v>
      </c>
      <c r="E29" s="66">
        <v>0</v>
      </c>
      <c r="F29" s="66">
        <v>59.047699999999999</v>
      </c>
      <c r="G29" s="66">
        <v>0</v>
      </c>
      <c r="H29" s="66">
        <v>96.370999999999995</v>
      </c>
    </row>
    <row r="30" spans="1:8">
      <c r="A30" s="66" t="s">
        <v>327</v>
      </c>
      <c r="B30" s="66">
        <v>22.364100000000001</v>
      </c>
      <c r="C30" s="66">
        <v>4.3994299999999997</v>
      </c>
      <c r="D30" s="66">
        <v>0.196718</v>
      </c>
      <c r="E30" s="66">
        <v>0</v>
      </c>
      <c r="F30" s="66">
        <v>11.2828</v>
      </c>
      <c r="G30" s="66">
        <v>0</v>
      </c>
      <c r="H30" s="66">
        <v>28.134699999999999</v>
      </c>
    </row>
    <row r="31" spans="1:8">
      <c r="A31" s="66" t="s">
        <v>328</v>
      </c>
      <c r="B31" s="66">
        <v>125.241</v>
      </c>
      <c r="C31" s="66">
        <v>22.5184</v>
      </c>
      <c r="D31" s="66">
        <v>0.17979999999999999</v>
      </c>
      <c r="E31" s="66">
        <v>0</v>
      </c>
      <c r="F31" s="66">
        <v>55.713799999999999</v>
      </c>
      <c r="G31" s="66">
        <v>0</v>
      </c>
      <c r="H31" s="66">
        <v>176.10300000000001</v>
      </c>
    </row>
    <row r="32" spans="1:8">
      <c r="A32" s="66" t="s">
        <v>329</v>
      </c>
      <c r="B32" s="66">
        <v>0.28966700000000001</v>
      </c>
      <c r="C32" s="66">
        <v>7.2477799999999995E-2</v>
      </c>
      <c r="D32" s="66">
        <v>0.25021100000000002</v>
      </c>
      <c r="E32" s="66">
        <v>0.15</v>
      </c>
      <c r="F32" s="66">
        <v>5.9521299999999999E-2</v>
      </c>
      <c r="G32" s="66">
        <v>0.4</v>
      </c>
      <c r="H32" s="66">
        <v>0.43156099999999997</v>
      </c>
    </row>
    <row r="33" spans="1:8">
      <c r="A33" s="66" t="s">
        <v>330</v>
      </c>
      <c r="B33" s="66">
        <v>0.41461599999999998</v>
      </c>
      <c r="C33" s="66">
        <v>5.4000199999999998E-2</v>
      </c>
      <c r="D33" s="66">
        <v>0.130241</v>
      </c>
      <c r="E33" s="66">
        <v>0</v>
      </c>
      <c r="F33" s="66">
        <v>0.22872100000000001</v>
      </c>
      <c r="G33" s="66">
        <v>0</v>
      </c>
      <c r="H33" s="66">
        <v>0.46573900000000001</v>
      </c>
    </row>
    <row r="34" spans="1:8">
      <c r="A34" s="66" t="s">
        <v>331</v>
      </c>
      <c r="B34" s="66">
        <v>0.183591</v>
      </c>
      <c r="C34" s="66">
        <v>3.0628099999999998E-2</v>
      </c>
      <c r="D34" s="66">
        <v>0.166828</v>
      </c>
      <c r="E34" s="66">
        <v>0.1</v>
      </c>
      <c r="F34" s="66">
        <v>0.13023499999999999</v>
      </c>
      <c r="G34" s="66">
        <v>0.25</v>
      </c>
      <c r="H34" s="66">
        <v>0.27766400000000002</v>
      </c>
    </row>
    <row r="35" spans="1:8">
      <c r="A35" s="66" t="s">
        <v>332</v>
      </c>
      <c r="B35" s="66">
        <v>8.2169900000000004E-2</v>
      </c>
      <c r="C35" s="66">
        <v>2.36362E-2</v>
      </c>
      <c r="D35" s="66">
        <v>0.28765099999999999</v>
      </c>
      <c r="E35" s="66">
        <v>0</v>
      </c>
      <c r="F35" s="66">
        <v>3.3695799999999998E-2</v>
      </c>
      <c r="G35" s="66">
        <v>0</v>
      </c>
      <c r="H35" s="66">
        <v>0.14193</v>
      </c>
    </row>
    <row r="36" spans="1:8">
      <c r="A36" s="66" t="s">
        <v>333</v>
      </c>
      <c r="B36" s="66">
        <v>0.168021</v>
      </c>
      <c r="C36" s="66">
        <v>9.0510800000000002E-2</v>
      </c>
      <c r="D36" s="66">
        <v>0.53868799999999994</v>
      </c>
      <c r="E36" s="66">
        <v>0</v>
      </c>
      <c r="F36" s="66">
        <v>3.7949900000000002E-2</v>
      </c>
      <c r="G36" s="66">
        <v>0</v>
      </c>
      <c r="H36" s="66">
        <v>0.57496999999999998</v>
      </c>
    </row>
    <row r="37" spans="1:8">
      <c r="A37" s="66" t="s">
        <v>334</v>
      </c>
      <c r="B37" s="66">
        <v>0.30628100000000003</v>
      </c>
      <c r="C37" s="66">
        <v>6.7577999999999999E-2</v>
      </c>
      <c r="D37" s="66">
        <v>0.22064</v>
      </c>
      <c r="E37" s="66">
        <v>0.1</v>
      </c>
      <c r="F37" s="66">
        <v>3.5096000000000002E-2</v>
      </c>
      <c r="G37" s="66">
        <v>0.5</v>
      </c>
      <c r="H37" s="66">
        <v>0.30628100000000003</v>
      </c>
    </row>
    <row r="38" spans="1:8">
      <c r="A38" s="66" t="s">
        <v>335</v>
      </c>
      <c r="B38" s="66">
        <v>-11.0296</v>
      </c>
      <c r="C38" s="66">
        <v>47.081899999999997</v>
      </c>
      <c r="D38" s="66">
        <v>-4.2686799999999998</v>
      </c>
      <c r="E38" s="66">
        <v>0</v>
      </c>
      <c r="F38" s="66">
        <v>-127.752</v>
      </c>
      <c r="G38" s="66">
        <v>0</v>
      </c>
      <c r="H38" s="66">
        <v>255.03200000000001</v>
      </c>
    </row>
    <row r="39" spans="1:8">
      <c r="A39" s="66" t="s">
        <v>336</v>
      </c>
      <c r="B39" s="66">
        <v>-1.2350099999999999</v>
      </c>
      <c r="C39" s="66">
        <v>4.6610500000000004</v>
      </c>
      <c r="D39" s="66">
        <v>-3.7740900000000002</v>
      </c>
      <c r="E39" s="66">
        <v>0</v>
      </c>
      <c r="F39" s="66">
        <v>-20.196200000000001</v>
      </c>
      <c r="G39" s="66">
        <v>0</v>
      </c>
      <c r="H39" s="66">
        <v>8.13415</v>
      </c>
    </row>
    <row r="40" spans="1:8">
      <c r="A40" s="66" t="s">
        <v>337</v>
      </c>
      <c r="B40" s="66">
        <v>-0.15129799999999999</v>
      </c>
      <c r="C40" s="66">
        <v>0.55565799999999999</v>
      </c>
      <c r="D40" s="66">
        <v>-3.6726000000000001</v>
      </c>
      <c r="E40" s="66">
        <v>0</v>
      </c>
      <c r="F40" s="66">
        <v>-1.87323</v>
      </c>
      <c r="G40" s="66">
        <v>0</v>
      </c>
      <c r="H40" s="66">
        <v>0.30603799999999998</v>
      </c>
    </row>
    <row r="41" spans="1:8">
      <c r="A41" s="66" t="s">
        <v>338</v>
      </c>
      <c r="B41" s="66">
        <v>-0.112888</v>
      </c>
      <c r="C41" s="66">
        <v>0.285082</v>
      </c>
      <c r="D41" s="66">
        <v>-2.52536</v>
      </c>
      <c r="E41" s="66">
        <v>0</v>
      </c>
      <c r="F41" s="66">
        <v>-0.66929099999999997</v>
      </c>
      <c r="G41" s="66">
        <v>0</v>
      </c>
      <c r="H41" s="66">
        <v>1</v>
      </c>
    </row>
    <row r="42" spans="1:8">
      <c r="A42" s="66" t="s">
        <v>339</v>
      </c>
      <c r="B42" s="66">
        <v>-4.7913499999999998E-2</v>
      </c>
      <c r="C42" s="66">
        <v>7.6632699999999998E-2</v>
      </c>
      <c r="D42" s="66">
        <v>-1.5993999999999999</v>
      </c>
      <c r="E42" s="66">
        <v>0</v>
      </c>
      <c r="F42" s="66">
        <v>-0.28650399999999998</v>
      </c>
      <c r="G42" s="66">
        <v>0</v>
      </c>
      <c r="H42" s="66">
        <v>0.15214900000000001</v>
      </c>
    </row>
    <row r="43" spans="1:8">
      <c r="A43" s="66" t="s">
        <v>340</v>
      </c>
      <c r="B43" s="66">
        <v>-7.2986099999999998E-2</v>
      </c>
      <c r="C43" s="66">
        <v>3.69465E-2</v>
      </c>
      <c r="D43" s="66">
        <v>-0.506212</v>
      </c>
      <c r="E43" s="66">
        <v>0</v>
      </c>
      <c r="F43" s="66">
        <v>-0.190549</v>
      </c>
      <c r="G43" s="66">
        <v>0</v>
      </c>
      <c r="H43" s="66">
        <v>-2.4836400000000002E-2</v>
      </c>
    </row>
    <row r="44" spans="1:8">
      <c r="A44" s="66" t="s">
        <v>341</v>
      </c>
      <c r="B44" s="66">
        <v>-20.6707</v>
      </c>
      <c r="C44" s="66">
        <v>10.1088</v>
      </c>
      <c r="D44" s="66">
        <v>-0.48903799999999997</v>
      </c>
      <c r="E44" s="66">
        <v>0</v>
      </c>
      <c r="F44" s="66">
        <v>-38.451999999999998</v>
      </c>
      <c r="G44" s="66">
        <v>0</v>
      </c>
      <c r="H44" s="66">
        <v>-2.96929</v>
      </c>
    </row>
    <row r="45" spans="1:8">
      <c r="A45" s="66" t="s">
        <v>342</v>
      </c>
      <c r="B45" s="66">
        <v>49.229799999999997</v>
      </c>
      <c r="C45" s="66">
        <v>9.2171299999999992</v>
      </c>
      <c r="D45" s="66">
        <v>0.187227</v>
      </c>
      <c r="E45" s="66">
        <v>0</v>
      </c>
      <c r="F45" s="66">
        <v>26.558499999999999</v>
      </c>
      <c r="G45" s="66">
        <v>0</v>
      </c>
      <c r="H45" s="66">
        <v>66.037899999999993</v>
      </c>
    </row>
    <row r="46" spans="1:8">
      <c r="A46" s="66" t="s">
        <v>343</v>
      </c>
      <c r="B46" s="66">
        <v>30.262</v>
      </c>
      <c r="C46" s="66">
        <v>7.91838</v>
      </c>
      <c r="D46" s="66">
        <v>0.26166</v>
      </c>
      <c r="E46" s="66">
        <v>0</v>
      </c>
      <c r="F46" s="66">
        <v>7.2763999999999998</v>
      </c>
      <c r="G46" s="66">
        <v>0</v>
      </c>
      <c r="H46" s="66">
        <v>35.331800000000001</v>
      </c>
    </row>
    <row r="47" spans="1:8">
      <c r="A47" s="66" t="s">
        <v>344</v>
      </c>
      <c r="B47" s="66">
        <v>1.1102300000000001</v>
      </c>
      <c r="C47" s="66">
        <v>0.54072399999999998</v>
      </c>
      <c r="D47" s="66">
        <v>0.48703600000000002</v>
      </c>
      <c r="E47" s="66">
        <v>0</v>
      </c>
      <c r="F47" s="66">
        <v>0.36735099999999998</v>
      </c>
      <c r="G47" s="66">
        <v>0</v>
      </c>
      <c r="H47" s="66">
        <v>3.44834</v>
      </c>
    </row>
    <row r="48" spans="1:8">
      <c r="A48" s="66" t="s">
        <v>345</v>
      </c>
      <c r="B48" s="66">
        <v>0.86121300000000001</v>
      </c>
      <c r="C48" s="66">
        <v>0.19730500000000001</v>
      </c>
      <c r="D48" s="66">
        <v>0.229101</v>
      </c>
      <c r="E48" s="66">
        <v>0</v>
      </c>
      <c r="F48" s="66">
        <v>0.57197100000000001</v>
      </c>
      <c r="G48" s="66">
        <v>0</v>
      </c>
      <c r="H48" s="66">
        <v>1.41171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38.686</v>
      </c>
      <c r="C5" s="66">
        <v>5.8982200000000002</v>
      </c>
      <c r="D5" s="66">
        <v>15.2464</v>
      </c>
      <c r="E5" s="66">
        <v>20</v>
      </c>
      <c r="F5" s="66">
        <v>33.623600000000003</v>
      </c>
      <c r="G5" s="66">
        <v>50</v>
      </c>
      <c r="H5" s="66">
        <v>55.738599999999998</v>
      </c>
    </row>
    <row r="6" spans="1:8">
      <c r="A6" s="66" t="s">
        <v>303</v>
      </c>
      <c r="B6" s="66">
        <v>26.642900000000001</v>
      </c>
      <c r="C6" s="66">
        <v>1.6579600000000001</v>
      </c>
      <c r="D6" s="66">
        <v>6.2229099999999997</v>
      </c>
      <c r="E6" s="66">
        <v>20</v>
      </c>
      <c r="F6" s="66">
        <v>22.827400000000001</v>
      </c>
      <c r="G6" s="66">
        <v>40</v>
      </c>
      <c r="H6" s="66">
        <v>28.0806</v>
      </c>
    </row>
    <row r="7" spans="1:8">
      <c r="A7" s="66" t="s">
        <v>304</v>
      </c>
      <c r="B7" s="66">
        <v>24.759899999999998</v>
      </c>
      <c r="C7" s="66">
        <v>6.6184099999999999</v>
      </c>
      <c r="D7" s="66">
        <v>26.7303</v>
      </c>
      <c r="E7" s="66">
        <v>15</v>
      </c>
      <c r="F7" s="66">
        <v>5.8123199999999997</v>
      </c>
      <c r="G7" s="66">
        <v>40</v>
      </c>
      <c r="H7" s="66">
        <v>44.276499999999999</v>
      </c>
    </row>
    <row r="8" spans="1:8">
      <c r="A8" s="66" t="s">
        <v>305</v>
      </c>
      <c r="B8" s="66">
        <v>30.690999999999999</v>
      </c>
      <c r="C8" s="66">
        <v>1.97743</v>
      </c>
      <c r="D8" s="66">
        <v>6.4430300000000003</v>
      </c>
      <c r="E8" s="66">
        <v>20</v>
      </c>
      <c r="F8" s="66">
        <v>25.6233</v>
      </c>
      <c r="G8" s="66">
        <v>50</v>
      </c>
      <c r="H8" s="66">
        <v>34.738999999999997</v>
      </c>
    </row>
    <row r="9" spans="1:8">
      <c r="A9" s="66" t="s">
        <v>306</v>
      </c>
      <c r="B9" s="66">
        <v>70.402799999999999</v>
      </c>
      <c r="C9" s="66">
        <v>5.0315899999999996</v>
      </c>
      <c r="D9" s="66">
        <v>7.1468600000000002</v>
      </c>
      <c r="E9" s="66">
        <v>50</v>
      </c>
      <c r="F9" s="66">
        <v>60.3504</v>
      </c>
      <c r="G9" s="66">
        <v>100</v>
      </c>
      <c r="H9" s="66">
        <v>82.525499999999994</v>
      </c>
    </row>
    <row r="10" spans="1:8">
      <c r="A10" s="66" t="s">
        <v>307</v>
      </c>
      <c r="B10" s="66">
        <v>80.752700000000004</v>
      </c>
      <c r="C10" s="66">
        <v>1.6173</v>
      </c>
      <c r="D10" s="66">
        <v>2.0027900000000001</v>
      </c>
      <c r="E10" s="66">
        <v>40</v>
      </c>
      <c r="F10" s="66">
        <v>77.681700000000006</v>
      </c>
      <c r="G10" s="66">
        <v>100</v>
      </c>
      <c r="H10" s="66">
        <v>84.327799999999996</v>
      </c>
    </row>
    <row r="11" spans="1:8">
      <c r="A11" s="66" t="s">
        <v>308</v>
      </c>
      <c r="B11" s="66">
        <v>26.8568</v>
      </c>
      <c r="C11" s="66">
        <v>3.0606300000000002</v>
      </c>
      <c r="D11" s="66">
        <v>11.396100000000001</v>
      </c>
      <c r="E11" s="66">
        <v>10</v>
      </c>
      <c r="F11" s="66">
        <v>19.8994</v>
      </c>
      <c r="G11" s="66">
        <v>50</v>
      </c>
      <c r="H11" s="66">
        <v>31.409500000000001</v>
      </c>
    </row>
    <row r="12" spans="1:8">
      <c r="A12" s="66" t="s">
        <v>309</v>
      </c>
      <c r="B12" s="66">
        <v>75.7517</v>
      </c>
      <c r="C12" s="66">
        <v>3.0283000000000002</v>
      </c>
      <c r="D12" s="66">
        <v>3.9976600000000002</v>
      </c>
      <c r="E12" s="66">
        <v>50</v>
      </c>
      <c r="F12" s="66">
        <v>69.829800000000006</v>
      </c>
      <c r="G12" s="66">
        <v>100</v>
      </c>
      <c r="H12" s="66">
        <v>82.398499999999999</v>
      </c>
    </row>
    <row r="13" spans="1:8">
      <c r="A13" s="66" t="s">
        <v>310</v>
      </c>
      <c r="B13" s="66">
        <v>20.9801</v>
      </c>
      <c r="C13" s="66">
        <v>3.7460300000000002</v>
      </c>
      <c r="D13" s="66">
        <v>17.8551</v>
      </c>
      <c r="E13" s="66">
        <v>10</v>
      </c>
      <c r="F13" s="66">
        <v>16.8018</v>
      </c>
      <c r="G13" s="66">
        <v>25</v>
      </c>
      <c r="H13" s="66">
        <v>35.2714</v>
      </c>
    </row>
    <row r="14" spans="1:8">
      <c r="A14" s="66" t="s">
        <v>311</v>
      </c>
      <c r="B14" s="66">
        <v>37.460299999999997</v>
      </c>
      <c r="C14" s="66">
        <v>10.424099999999999</v>
      </c>
      <c r="D14" s="66">
        <v>27.827000000000002</v>
      </c>
      <c r="E14" s="66">
        <v>10</v>
      </c>
      <c r="F14" s="66">
        <v>4.5041599999999997</v>
      </c>
      <c r="G14" s="66">
        <v>50</v>
      </c>
      <c r="H14" s="66">
        <v>40.746299999999998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0.43588700000000002</v>
      </c>
      <c r="C18" s="66">
        <v>5.4732700000000002E-2</v>
      </c>
      <c r="D18" s="66">
        <v>0.12556600000000001</v>
      </c>
      <c r="E18" s="66">
        <v>0</v>
      </c>
      <c r="F18" s="66">
        <v>0.38115399999999999</v>
      </c>
      <c r="G18" s="66">
        <v>0</v>
      </c>
      <c r="H18" s="66">
        <v>0.49061900000000003</v>
      </c>
    </row>
    <row r="19" spans="1:8">
      <c r="A19" s="66" t="s">
        <v>316</v>
      </c>
      <c r="B19" s="66">
        <v>0.63624000000000003</v>
      </c>
      <c r="C19" s="66">
        <v>4.5132199999999997E-2</v>
      </c>
      <c r="D19" s="66">
        <v>7.0935700000000004E-2</v>
      </c>
      <c r="E19" s="66">
        <v>0</v>
      </c>
      <c r="F19" s="66">
        <v>0.59110799999999997</v>
      </c>
      <c r="G19" s="66">
        <v>0</v>
      </c>
      <c r="H19" s="66">
        <v>0.68137300000000001</v>
      </c>
    </row>
    <row r="20" spans="1:8">
      <c r="A20" s="66" t="s">
        <v>317</v>
      </c>
      <c r="B20" s="66">
        <v>1.47952E-3</v>
      </c>
      <c r="C20" s="66">
        <v>1.19395E-2</v>
      </c>
      <c r="D20" s="66">
        <v>8.06982</v>
      </c>
      <c r="E20" s="66">
        <v>0</v>
      </c>
      <c r="F20" s="66">
        <v>2.3615100000000001E-4</v>
      </c>
      <c r="G20" s="66">
        <v>0</v>
      </c>
      <c r="H20" s="66">
        <v>0.15848799999999999</v>
      </c>
    </row>
    <row r="21" spans="1:8">
      <c r="A21" s="66" t="s">
        <v>318</v>
      </c>
      <c r="B21" s="66">
        <v>7.2185600000000003E-2</v>
      </c>
      <c r="C21" s="66">
        <v>0.16931599999999999</v>
      </c>
      <c r="D21" s="66">
        <v>2.3455599999999999</v>
      </c>
      <c r="E21" s="66">
        <v>0</v>
      </c>
      <c r="F21" s="66">
        <v>8.5716700000000004E-4</v>
      </c>
      <c r="G21" s="66">
        <v>0</v>
      </c>
      <c r="H21" s="66">
        <v>0.83114100000000002</v>
      </c>
    </row>
    <row r="22" spans="1:8">
      <c r="A22" s="66" t="s">
        <v>319</v>
      </c>
      <c r="B22" s="66">
        <v>32.587800000000001</v>
      </c>
      <c r="C22" s="66">
        <v>7.1964699999999997</v>
      </c>
      <c r="D22" s="66">
        <v>0.220833</v>
      </c>
      <c r="E22" s="66">
        <v>0</v>
      </c>
      <c r="F22" s="66">
        <v>17.986999999999998</v>
      </c>
      <c r="G22" s="66">
        <v>0</v>
      </c>
      <c r="H22" s="66">
        <v>59.551600000000001</v>
      </c>
    </row>
    <row r="23" spans="1:8">
      <c r="A23" s="66" t="s">
        <v>320</v>
      </c>
      <c r="B23" s="66">
        <v>15.370200000000001</v>
      </c>
      <c r="C23" s="66">
        <v>0.653331</v>
      </c>
      <c r="D23" s="66">
        <v>4.2506200000000001E-2</v>
      </c>
      <c r="E23" s="66">
        <v>0</v>
      </c>
      <c r="F23" s="66">
        <v>13.616899999999999</v>
      </c>
      <c r="G23" s="66">
        <v>0</v>
      </c>
      <c r="H23" s="66">
        <v>17.404399999999999</v>
      </c>
    </row>
    <row r="24" spans="1:8">
      <c r="A24" s="66" t="s">
        <v>321</v>
      </c>
      <c r="B24" s="66">
        <v>1.85319E-3</v>
      </c>
      <c r="C24" s="66">
        <v>6.82082E-3</v>
      </c>
      <c r="D24" s="66">
        <v>3.68059</v>
      </c>
      <c r="E24" s="66">
        <v>0</v>
      </c>
      <c r="F24" s="66">
        <v>6.0193300000000003E-4</v>
      </c>
      <c r="G24" s="66">
        <v>0</v>
      </c>
      <c r="H24" s="66">
        <v>3.9221300000000001E-2</v>
      </c>
    </row>
    <row r="25" spans="1:8">
      <c r="A25" s="66" t="s">
        <v>322</v>
      </c>
      <c r="B25" s="66">
        <v>0.133601</v>
      </c>
      <c r="C25" s="66">
        <v>7.6809699999999995E-2</v>
      </c>
      <c r="D25" s="66">
        <v>0.57491999999999999</v>
      </c>
      <c r="E25" s="66">
        <v>0</v>
      </c>
      <c r="F25" s="66">
        <v>4.7847300000000002E-2</v>
      </c>
      <c r="G25" s="66">
        <v>0</v>
      </c>
      <c r="H25" s="66">
        <v>0.62542299999999995</v>
      </c>
    </row>
    <row r="26" spans="1:8">
      <c r="A26" s="66" t="s">
        <v>323</v>
      </c>
      <c r="B26" s="66">
        <v>3.80777E-4</v>
      </c>
      <c r="C26" s="66">
        <v>1.08978E-3</v>
      </c>
      <c r="D26" s="66">
        <v>2.86198</v>
      </c>
      <c r="E26" s="66">
        <v>0</v>
      </c>
      <c r="F26" s="196">
        <v>6.8933800000000001E-5</v>
      </c>
      <c r="G26" s="66">
        <v>0</v>
      </c>
      <c r="H26" s="66">
        <v>9.2502599999999997E-3</v>
      </c>
    </row>
    <row r="27" spans="1:8">
      <c r="A27" s="66" t="s">
        <v>324</v>
      </c>
      <c r="B27" s="196">
        <v>-6.5651299999999996E-6</v>
      </c>
      <c r="C27" s="66">
        <v>6.9614199999999996E-4</v>
      </c>
      <c r="D27" s="66">
        <v>-106.036</v>
      </c>
      <c r="E27" s="66">
        <v>0</v>
      </c>
      <c r="F27" s="66">
        <v>-7.9897600000000003E-3</v>
      </c>
      <c r="G27" s="66">
        <v>0</v>
      </c>
      <c r="H27" s="66">
        <v>5.4129499999999997E-3</v>
      </c>
    </row>
    <row r="28" spans="1:8">
      <c r="A28" s="66" t="s">
        <v>325</v>
      </c>
      <c r="B28" s="66">
        <v>1.2967100000000001E-2</v>
      </c>
      <c r="C28" s="66">
        <v>1.93767E-2</v>
      </c>
      <c r="D28" s="66">
        <v>1.4942899999999999</v>
      </c>
      <c r="E28" s="66">
        <v>0</v>
      </c>
      <c r="F28" s="66">
        <v>1.69271E-4</v>
      </c>
      <c r="G28" s="66">
        <v>0</v>
      </c>
      <c r="H28" s="66">
        <v>8.6803400000000003E-2</v>
      </c>
    </row>
    <row r="29" spans="1:8">
      <c r="A29" s="66" t="s">
        <v>326</v>
      </c>
      <c r="B29" s="66">
        <v>69.234700000000004</v>
      </c>
      <c r="C29" s="66">
        <v>8.4685799999999993</v>
      </c>
      <c r="D29" s="66">
        <v>0.122317</v>
      </c>
      <c r="E29" s="66">
        <v>0</v>
      </c>
      <c r="F29" s="66">
        <v>51.059899999999999</v>
      </c>
      <c r="G29" s="66">
        <v>0</v>
      </c>
      <c r="H29" s="66">
        <v>91.968800000000002</v>
      </c>
    </row>
    <row r="30" spans="1:8">
      <c r="A30" s="66" t="s">
        <v>327</v>
      </c>
      <c r="B30" s="66">
        <v>22.973299999999998</v>
      </c>
      <c r="C30" s="66">
        <v>3.26233</v>
      </c>
      <c r="D30" s="66">
        <v>0.14200499999999999</v>
      </c>
      <c r="E30" s="66">
        <v>0</v>
      </c>
      <c r="F30" s="66">
        <v>21.200299999999999</v>
      </c>
      <c r="G30" s="66">
        <v>0</v>
      </c>
      <c r="H30" s="66">
        <v>31.973800000000001</v>
      </c>
    </row>
    <row r="31" spans="1:8">
      <c r="A31" s="66" t="s">
        <v>328</v>
      </c>
      <c r="B31" s="66">
        <v>150.779</v>
      </c>
      <c r="C31" s="66">
        <v>20.008299999999998</v>
      </c>
      <c r="D31" s="66">
        <v>0.13270000000000001</v>
      </c>
      <c r="E31" s="66">
        <v>0</v>
      </c>
      <c r="F31" s="66">
        <v>97.405100000000004</v>
      </c>
      <c r="G31" s="66">
        <v>0</v>
      </c>
      <c r="H31" s="66">
        <v>189.261</v>
      </c>
    </row>
    <row r="32" spans="1:8">
      <c r="A32" s="66" t="s">
        <v>329</v>
      </c>
      <c r="B32" s="66">
        <v>0.24759900000000001</v>
      </c>
      <c r="C32" s="66">
        <v>6.6184099999999996E-2</v>
      </c>
      <c r="D32" s="66">
        <v>0.26730300000000001</v>
      </c>
      <c r="E32" s="66">
        <v>0.15</v>
      </c>
      <c r="F32" s="66">
        <v>5.81232E-2</v>
      </c>
      <c r="G32" s="66">
        <v>0.4</v>
      </c>
      <c r="H32" s="66">
        <v>0.44276500000000002</v>
      </c>
    </row>
    <row r="33" spans="1:8">
      <c r="A33" s="66" t="s">
        <v>330</v>
      </c>
      <c r="B33" s="66">
        <v>0.24326800000000001</v>
      </c>
      <c r="C33" s="66">
        <v>6.8642900000000007E-2</v>
      </c>
      <c r="D33" s="66">
        <v>0.28216999999999998</v>
      </c>
      <c r="E33" s="66">
        <v>0</v>
      </c>
      <c r="F33" s="66">
        <v>0.21865200000000001</v>
      </c>
      <c r="G33" s="66">
        <v>0</v>
      </c>
      <c r="H33" s="66">
        <v>0.43341000000000002</v>
      </c>
    </row>
    <row r="34" spans="1:8">
      <c r="A34" s="66" t="s">
        <v>331</v>
      </c>
      <c r="B34" s="66">
        <v>0.20980099999999999</v>
      </c>
      <c r="C34" s="66">
        <v>3.7460300000000002E-2</v>
      </c>
      <c r="D34" s="66">
        <v>0.17855099999999999</v>
      </c>
      <c r="E34" s="66">
        <v>0.1</v>
      </c>
      <c r="F34" s="66">
        <v>0.168018</v>
      </c>
      <c r="G34" s="66">
        <v>0.25</v>
      </c>
      <c r="H34" s="66">
        <v>0.35271400000000003</v>
      </c>
    </row>
    <row r="35" spans="1:8">
      <c r="A35" s="66" t="s">
        <v>332</v>
      </c>
      <c r="B35" s="66">
        <v>0.102741</v>
      </c>
      <c r="C35" s="66">
        <v>3.5040200000000001E-2</v>
      </c>
      <c r="D35" s="66">
        <v>0.34105200000000002</v>
      </c>
      <c r="E35" s="66">
        <v>0</v>
      </c>
      <c r="F35" s="66">
        <v>5.0068599999999998E-2</v>
      </c>
      <c r="G35" s="66">
        <v>0</v>
      </c>
      <c r="H35" s="66">
        <v>0.19447400000000001</v>
      </c>
    </row>
    <row r="36" spans="1:8">
      <c r="A36" s="66" t="s">
        <v>333</v>
      </c>
      <c r="B36" s="66">
        <v>0.193247</v>
      </c>
      <c r="C36" s="66">
        <v>0.115782</v>
      </c>
      <c r="D36" s="66">
        <v>0.59914000000000001</v>
      </c>
      <c r="E36" s="66">
        <v>0</v>
      </c>
      <c r="F36" s="66">
        <v>3.6259899999999998E-2</v>
      </c>
      <c r="G36" s="66">
        <v>0</v>
      </c>
      <c r="H36" s="66">
        <v>0.60701499999999997</v>
      </c>
    </row>
    <row r="37" spans="1:8">
      <c r="A37" s="66" t="s">
        <v>334</v>
      </c>
      <c r="B37" s="66">
        <v>0.37460300000000002</v>
      </c>
      <c r="C37" s="66">
        <v>0.104241</v>
      </c>
      <c r="D37" s="66">
        <v>0.27827000000000002</v>
      </c>
      <c r="E37" s="66">
        <v>0.1</v>
      </c>
      <c r="F37" s="66">
        <v>4.5041600000000001E-2</v>
      </c>
      <c r="G37" s="66">
        <v>0.5</v>
      </c>
      <c r="H37" s="66">
        <v>0.40746300000000002</v>
      </c>
    </row>
    <row r="38" spans="1:8">
      <c r="A38" s="66" t="s">
        <v>335</v>
      </c>
      <c r="B38" s="66">
        <v>-5.6384800000000004</v>
      </c>
      <c r="C38" s="66">
        <v>43.889400000000002</v>
      </c>
      <c r="D38" s="66">
        <v>-7.7839099999999997</v>
      </c>
      <c r="E38" s="66">
        <v>0</v>
      </c>
      <c r="F38" s="66">
        <v>-224.304</v>
      </c>
      <c r="G38" s="66">
        <v>0</v>
      </c>
      <c r="H38" s="66">
        <v>236.39</v>
      </c>
    </row>
    <row r="39" spans="1:8">
      <c r="A39" s="66" t="s">
        <v>336</v>
      </c>
      <c r="B39" s="66">
        <v>0.31254799999999999</v>
      </c>
      <c r="C39" s="66">
        <v>3.44922</v>
      </c>
      <c r="D39" s="66">
        <v>11.0358</v>
      </c>
      <c r="E39" s="66">
        <v>0</v>
      </c>
      <c r="F39" s="66">
        <v>-18.890899999999998</v>
      </c>
      <c r="G39" s="66">
        <v>0</v>
      </c>
      <c r="H39" s="66">
        <v>8.2980400000000003</v>
      </c>
    </row>
    <row r="40" spans="1:8">
      <c r="A40" s="66" t="s">
        <v>337</v>
      </c>
      <c r="B40" s="66">
        <v>-1.2482800000000001</v>
      </c>
      <c r="C40" s="66">
        <v>1.1061700000000001</v>
      </c>
      <c r="D40" s="66">
        <v>-0.88615299999999997</v>
      </c>
      <c r="E40" s="66">
        <v>0</v>
      </c>
      <c r="F40" s="66">
        <v>-1.83891</v>
      </c>
      <c r="G40" s="66">
        <v>0</v>
      </c>
      <c r="H40" s="66">
        <v>1.1919900000000001</v>
      </c>
    </row>
    <row r="41" spans="1:8">
      <c r="A41" s="66" t="s">
        <v>338</v>
      </c>
      <c r="B41" s="66">
        <v>-7.4834899999999996E-2</v>
      </c>
      <c r="C41" s="66">
        <v>0.31237700000000002</v>
      </c>
      <c r="D41" s="66">
        <v>-4.1742100000000004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-1.5765100000000001E-2</v>
      </c>
      <c r="C42" s="66">
        <v>7.7386499999999997E-2</v>
      </c>
      <c r="D42" s="66">
        <v>-4.9087199999999998</v>
      </c>
      <c r="E42" s="66">
        <v>0</v>
      </c>
      <c r="F42" s="66">
        <v>-0.381774</v>
      </c>
      <c r="G42" s="66">
        <v>0</v>
      </c>
      <c r="H42" s="66">
        <v>0.14635500000000001</v>
      </c>
    </row>
    <row r="43" spans="1:8">
      <c r="A43" s="66" t="s">
        <v>340</v>
      </c>
      <c r="B43" s="66">
        <v>-6.93714E-2</v>
      </c>
      <c r="C43" s="66">
        <v>8.1566600000000003E-2</v>
      </c>
      <c r="D43" s="66">
        <v>-1.1758</v>
      </c>
      <c r="E43" s="66">
        <v>0</v>
      </c>
      <c r="F43" s="66">
        <v>-0.119084</v>
      </c>
      <c r="G43" s="66">
        <v>0</v>
      </c>
      <c r="H43" s="66">
        <v>0.14179800000000001</v>
      </c>
    </row>
    <row r="44" spans="1:8">
      <c r="A44" s="66" t="s">
        <v>341</v>
      </c>
      <c r="B44" s="66">
        <v>-28.006799999999998</v>
      </c>
      <c r="C44" s="66">
        <v>11.2601</v>
      </c>
      <c r="D44" s="66">
        <v>-0.40204800000000002</v>
      </c>
      <c r="E44" s="66">
        <v>0</v>
      </c>
      <c r="F44" s="66">
        <v>-46.539700000000003</v>
      </c>
      <c r="G44" s="66">
        <v>0</v>
      </c>
      <c r="H44" s="66">
        <v>-6.9799199999999999</v>
      </c>
    </row>
    <row r="45" spans="1:8">
      <c r="A45" s="66" t="s">
        <v>342</v>
      </c>
      <c r="B45" s="66">
        <v>42.552100000000003</v>
      </c>
      <c r="C45" s="66">
        <v>6.4873000000000003</v>
      </c>
      <c r="D45" s="66">
        <v>0.15245500000000001</v>
      </c>
      <c r="E45" s="66">
        <v>0</v>
      </c>
      <c r="F45" s="66">
        <v>28.8567</v>
      </c>
      <c r="G45" s="66">
        <v>0</v>
      </c>
      <c r="H45" s="66">
        <v>61.731400000000001</v>
      </c>
    </row>
    <row r="46" spans="1:8">
      <c r="A46" s="66" t="s">
        <v>343</v>
      </c>
      <c r="B46" s="66">
        <v>27.6264</v>
      </c>
      <c r="C46" s="66">
        <v>3.0063</v>
      </c>
      <c r="D46" s="66">
        <v>0.10882</v>
      </c>
      <c r="E46" s="66">
        <v>0</v>
      </c>
      <c r="F46" s="66">
        <v>23.9787</v>
      </c>
      <c r="G46" s="66">
        <v>0</v>
      </c>
      <c r="H46" s="66">
        <v>35.1785</v>
      </c>
    </row>
    <row r="47" spans="1:8">
      <c r="A47" s="66" t="s">
        <v>344</v>
      </c>
      <c r="B47" s="66">
        <v>1.1307</v>
      </c>
      <c r="C47" s="66">
        <v>0.56372500000000003</v>
      </c>
      <c r="D47" s="66">
        <v>0.49856400000000001</v>
      </c>
      <c r="E47" s="66">
        <v>0</v>
      </c>
      <c r="F47" s="66">
        <v>0.40704400000000002</v>
      </c>
      <c r="G47" s="66">
        <v>0</v>
      </c>
      <c r="H47" s="66">
        <v>3.5059900000000002</v>
      </c>
    </row>
    <row r="48" spans="1:8">
      <c r="A48" s="66" t="s">
        <v>345</v>
      </c>
      <c r="B48" s="66">
        <v>1.0725800000000001</v>
      </c>
      <c r="C48" s="66">
        <v>0.28367399999999998</v>
      </c>
      <c r="D48" s="66">
        <v>0.26447799999999999</v>
      </c>
      <c r="E48" s="66">
        <v>0</v>
      </c>
      <c r="F48" s="66">
        <v>0.61031500000000005</v>
      </c>
      <c r="G48" s="66">
        <v>0</v>
      </c>
      <c r="H48" s="66">
        <v>1.5986199999999999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346</v>
      </c>
      <c r="B1" s="60" t="s">
        <v>347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86.453593438656682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1.6692019077326143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0.64013797384396365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234</v>
      </c>
      <c r="B8" s="66">
        <v>234</v>
      </c>
      <c r="D8">
        <f t="shared" si="0"/>
        <v>1.4310963788368978E-3</v>
      </c>
      <c r="E8">
        <f t="shared" si="0"/>
        <v>1.4310963788368978E-3</v>
      </c>
      <c r="G8">
        <f t="shared" ca="1" si="1"/>
        <v>6</v>
      </c>
      <c r="H8">
        <f t="shared" ca="1" si="2"/>
        <v>8.5865782730213877E-3</v>
      </c>
      <c r="I8">
        <f t="shared" ca="1" si="3"/>
        <v>9.2631730167577881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1346</v>
      </c>
      <c r="B10" s="66">
        <v>1346</v>
      </c>
      <c r="D10">
        <f t="shared" si="0"/>
        <v>8.2318620765575411E-3</v>
      </c>
      <c r="E10">
        <f t="shared" si="0"/>
        <v>8.2318620765575411E-3</v>
      </c>
      <c r="G10">
        <f t="shared" ca="1" si="1"/>
        <v>8</v>
      </c>
      <c r="H10">
        <f t="shared" ca="1" si="2"/>
        <v>6.5854896612460329E-2</v>
      </c>
      <c r="I10">
        <f t="shared" ca="1" si="3"/>
        <v>50.666833860398356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2949</v>
      </c>
      <c r="B13" s="66">
        <v>2949</v>
      </c>
      <c r="D13">
        <f t="shared" si="0"/>
        <v>1.8035483851239365E-2</v>
      </c>
      <c r="E13">
        <f t="shared" si="0"/>
        <v>1.8035483851239365E-2</v>
      </c>
      <c r="G13">
        <f t="shared" ca="1" si="1"/>
        <v>11</v>
      </c>
      <c r="H13">
        <f t="shared" ca="1" si="2"/>
        <v>0.19839032236363302</v>
      </c>
      <c r="I13">
        <f t="shared" ca="1" si="3"/>
        <v>102.6804239807424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5003</v>
      </c>
      <c r="B15" s="66">
        <v>5003</v>
      </c>
      <c r="D15">
        <f t="shared" si="0"/>
        <v>3.0597329843252134E-2</v>
      </c>
      <c r="E15">
        <f t="shared" si="0"/>
        <v>3.0597329843252134E-2</v>
      </c>
      <c r="G15">
        <f t="shared" ca="1" si="1"/>
        <v>13</v>
      </c>
      <c r="H15">
        <f t="shared" ca="1" si="2"/>
        <v>0.39776528796227772</v>
      </c>
      <c r="I15">
        <f t="shared" ca="1" si="3"/>
        <v>165.08576326011396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11123</v>
      </c>
      <c r="B18" s="66">
        <v>11123</v>
      </c>
      <c r="D18">
        <f t="shared" si="0"/>
        <v>6.8026004366678688E-2</v>
      </c>
      <c r="E18">
        <f t="shared" si="0"/>
        <v>6.8026004366678688E-2</v>
      </c>
      <c r="G18">
        <f t="shared" ca="1" si="1"/>
        <v>16</v>
      </c>
      <c r="H18">
        <f t="shared" ca="1" si="2"/>
        <v>1.088416069866859</v>
      </c>
      <c r="I18">
        <f t="shared" ca="1" si="3"/>
        <v>337.66127843698837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14573</v>
      </c>
      <c r="B21" s="66">
        <v>14573</v>
      </c>
      <c r="D21">
        <f t="shared" si="0"/>
        <v>8.9125502259786799E-2</v>
      </c>
      <c r="E21">
        <f t="shared" si="0"/>
        <v>8.9125502259786799E-2</v>
      </c>
      <c r="G21">
        <f t="shared" ca="1" si="1"/>
        <v>19</v>
      </c>
      <c r="H21">
        <f t="shared" ca="1" si="2"/>
        <v>1.6933845429359491</v>
      </c>
      <c r="I21">
        <f t="shared" ca="1" si="3"/>
        <v>405.51990051720378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23819</v>
      </c>
      <c r="B23" s="66">
        <v>23819</v>
      </c>
      <c r="D23">
        <f t="shared" si="0"/>
        <v>0.14567215661331653</v>
      </c>
      <c r="E23">
        <f t="shared" si="0"/>
        <v>0.14567215661331653</v>
      </c>
      <c r="G23">
        <f t="shared" ca="1" si="1"/>
        <v>21</v>
      </c>
      <c r="H23">
        <f t="shared" ca="1" si="2"/>
        <v>3.0591152888796471</v>
      </c>
      <c r="I23">
        <f t="shared" ca="1" si="3"/>
        <v>624.0847047780951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31690</v>
      </c>
      <c r="B26" s="66">
        <v>31690</v>
      </c>
      <c r="D26">
        <f t="shared" si="0"/>
        <v>0.19380959079205681</v>
      </c>
      <c r="E26">
        <f t="shared" si="0"/>
        <v>0.19380959079205681</v>
      </c>
      <c r="G26">
        <f t="shared" ca="1" si="1"/>
        <v>24</v>
      </c>
      <c r="H26">
        <f t="shared" ca="1" si="2"/>
        <v>4.6514301790093633</v>
      </c>
      <c r="I26">
        <f t="shared" ca="1" si="3"/>
        <v>755.94487683078432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45618</v>
      </c>
      <c r="B28" s="66">
        <v>45618</v>
      </c>
      <c r="D28">
        <f t="shared" si="0"/>
        <v>0.27899040431530603</v>
      </c>
      <c r="E28">
        <f t="shared" si="0"/>
        <v>0.27899040431530603</v>
      </c>
      <c r="G28">
        <f t="shared" ca="1" si="1"/>
        <v>26</v>
      </c>
      <c r="H28">
        <f t="shared" ca="1" si="2"/>
        <v>7.2537505121979571</v>
      </c>
      <c r="I28">
        <f t="shared" ca="1" si="3"/>
        <v>1019.6086429974083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61759</v>
      </c>
      <c r="B31" s="66">
        <v>61759</v>
      </c>
      <c r="D31">
        <f t="shared" si="0"/>
        <v>0.3777054754725982</v>
      </c>
      <c r="E31">
        <f t="shared" si="0"/>
        <v>0.3777054754725982</v>
      </c>
      <c r="G31">
        <f t="shared" ca="1" si="1"/>
        <v>29</v>
      </c>
      <c r="H31">
        <f t="shared" ca="1" si="2"/>
        <v>10.953458788705348</v>
      </c>
      <c r="I31">
        <f t="shared" ca="1" si="3"/>
        <v>1246.7738202795756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74279</v>
      </c>
      <c r="B33" s="66">
        <v>74279</v>
      </c>
      <c r="D33">
        <f t="shared" si="0"/>
        <v>0.45427524753686294</v>
      </c>
      <c r="E33">
        <f t="shared" si="0"/>
        <v>0.45427524753686294</v>
      </c>
      <c r="G33">
        <f t="shared" ca="1" si="1"/>
        <v>31</v>
      </c>
      <c r="H33">
        <f t="shared" ca="1" si="2"/>
        <v>14.082532673642751</v>
      </c>
      <c r="I33">
        <f t="shared" ca="1" si="3"/>
        <v>1396.9422794507691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82352</v>
      </c>
      <c r="B36" s="66">
        <v>82352</v>
      </c>
      <c r="D36">
        <f t="shared" si="0"/>
        <v>0.50364807260673594</v>
      </c>
      <c r="E36">
        <f t="shared" si="0"/>
        <v>0.50364807260673594</v>
      </c>
      <c r="G36">
        <f t="shared" ca="1" si="1"/>
        <v>34</v>
      </c>
      <c r="H36">
        <f t="shared" ca="1" si="2"/>
        <v>17.124034468629024</v>
      </c>
      <c r="I36">
        <f t="shared" ca="1" si="3"/>
        <v>1385.7269643695886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81663</v>
      </c>
      <c r="B39" s="66">
        <v>81663</v>
      </c>
      <c r="D39">
        <f t="shared" si="0"/>
        <v>0.49943428882460505</v>
      </c>
      <c r="E39">
        <f t="shared" si="0"/>
        <v>0.49943428882460505</v>
      </c>
      <c r="G39">
        <f t="shared" ca="1" si="1"/>
        <v>37</v>
      </c>
      <c r="H39">
        <f t="shared" ca="1" si="2"/>
        <v>18.479068686510388</v>
      </c>
      <c r="I39">
        <f t="shared" ca="1" si="3"/>
        <v>1221.4454159904903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87236</v>
      </c>
      <c r="B41" s="66">
        <v>87236</v>
      </c>
      <c r="D41">
        <f t="shared" si="0"/>
        <v>0.53351762266758807</v>
      </c>
      <c r="E41">
        <f t="shared" si="0"/>
        <v>0.53351762266758807</v>
      </c>
      <c r="G41">
        <f t="shared" ca="1" si="1"/>
        <v>39</v>
      </c>
      <c r="H41">
        <f t="shared" ca="1" si="2"/>
        <v>20.807187284035933</v>
      </c>
      <c r="I41">
        <f t="shared" ca="1" si="3"/>
        <v>1201.3982068737382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89434</v>
      </c>
      <c r="B44" s="66">
        <v>89434</v>
      </c>
      <c r="D44">
        <f t="shared" si="0"/>
        <v>0.54696014335426979</v>
      </c>
      <c r="E44">
        <f t="shared" si="0"/>
        <v>0.54696014335426979</v>
      </c>
      <c r="G44">
        <f t="shared" ca="1" si="1"/>
        <v>42</v>
      </c>
      <c r="H44">
        <f t="shared" ca="1" si="2"/>
        <v>22.972326020879333</v>
      </c>
      <c r="I44">
        <f t="shared" ca="1" si="3"/>
        <v>1080.8599557830687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98633</v>
      </c>
      <c r="B46" s="66">
        <v>98633</v>
      </c>
      <c r="D46">
        <f t="shared" si="0"/>
        <v>0.60321935527273396</v>
      </c>
      <c r="E46">
        <f t="shared" si="0"/>
        <v>0.60321935527273396</v>
      </c>
      <c r="G46">
        <f t="shared" ca="1" si="1"/>
        <v>44</v>
      </c>
      <c r="H46">
        <f t="shared" ca="1" si="2"/>
        <v>26.541651632000296</v>
      </c>
      <c r="I46">
        <f t="shared" ca="1" si="3"/>
        <v>1087.1868259746557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101566</v>
      </c>
      <c r="B49" s="66">
        <v>101566</v>
      </c>
      <c r="D49">
        <f t="shared" si="0"/>
        <v>0.62115698638012118</v>
      </c>
      <c r="E49">
        <f t="shared" si="0"/>
        <v>0.62115698638012118</v>
      </c>
      <c r="G49">
        <f t="shared" ca="1" si="1"/>
        <v>47</v>
      </c>
      <c r="H49">
        <f t="shared" ca="1" si="2"/>
        <v>29.194378359865695</v>
      </c>
      <c r="I49">
        <f t="shared" ca="1" si="3"/>
        <v>966.88429068038397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106720</v>
      </c>
      <c r="B51" s="66">
        <v>106720</v>
      </c>
      <c r="D51">
        <f t="shared" si="0"/>
        <v>0.65267780149347754</v>
      </c>
      <c r="E51">
        <f t="shared" si="0"/>
        <v>0.65267780149347754</v>
      </c>
      <c r="G51">
        <f t="shared" ca="1" si="1"/>
        <v>49</v>
      </c>
      <c r="H51">
        <f t="shared" ca="1" si="2"/>
        <v>31.9812122731804</v>
      </c>
      <c r="I51">
        <f t="shared" ca="1" si="3"/>
        <v>915.55792400440896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111272</v>
      </c>
      <c r="B54" s="66">
        <v>111272</v>
      </c>
      <c r="D54">
        <f t="shared" si="0"/>
        <v>0.68051690711939872</v>
      </c>
      <c r="E54">
        <f t="shared" si="0"/>
        <v>0.68051690711939872</v>
      </c>
      <c r="G54">
        <f t="shared" ca="1" si="1"/>
        <v>52</v>
      </c>
      <c r="H54">
        <f t="shared" ca="1" si="2"/>
        <v>35.386879170208736</v>
      </c>
      <c r="I54">
        <f t="shared" ca="1" si="3"/>
        <v>807.80766321685314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117253</v>
      </c>
      <c r="B57" s="66">
        <v>117253</v>
      </c>
      <c r="D57">
        <f t="shared" si="0"/>
        <v>0.71709548593061012</v>
      </c>
      <c r="E57">
        <f t="shared" si="0"/>
        <v>0.71709548593061012</v>
      </c>
      <c r="G57">
        <f t="shared" ca="1" si="1"/>
        <v>55</v>
      </c>
      <c r="H57">
        <f t="shared" ca="1" si="2"/>
        <v>39.440251726183554</v>
      </c>
      <c r="I57">
        <f t="shared" ca="1" si="3"/>
        <v>709.44303028282843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125327</v>
      </c>
      <c r="B59" s="66">
        <v>125327</v>
      </c>
      <c r="D59">
        <f t="shared" si="0"/>
        <v>0.76647442679697386</v>
      </c>
      <c r="E59">
        <f t="shared" si="0"/>
        <v>0.76647442679697386</v>
      </c>
      <c r="G59">
        <f t="shared" ca="1" si="1"/>
        <v>57</v>
      </c>
      <c r="H59">
        <f t="shared" ca="1" si="2"/>
        <v>43.689042327427508</v>
      </c>
      <c r="I59">
        <f t="shared" ca="1" si="3"/>
        <v>664.927423467773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130761</v>
      </c>
      <c r="B62" s="66">
        <v>130761</v>
      </c>
      <c r="D62">
        <f t="shared" si="0"/>
        <v>0.79970766492774181</v>
      </c>
      <c r="E62">
        <f t="shared" si="0"/>
        <v>0.79970766492774181</v>
      </c>
      <c r="G62">
        <f t="shared" ca="1" si="1"/>
        <v>60</v>
      </c>
      <c r="H62">
        <f t="shared" ca="1" si="2"/>
        <v>47.982459895664512</v>
      </c>
      <c r="I62">
        <f t="shared" ca="1" si="3"/>
        <v>559.62951073220438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136299</v>
      </c>
      <c r="B64" s="66">
        <v>136299</v>
      </c>
      <c r="D64">
        <f t="shared" si="0"/>
        <v>0.83357694589354847</v>
      </c>
      <c r="E64">
        <f t="shared" si="0"/>
        <v>0.83357694589354847</v>
      </c>
      <c r="G64">
        <f t="shared" ca="1" si="1"/>
        <v>62</v>
      </c>
      <c r="H64">
        <f t="shared" ca="1" si="2"/>
        <v>51.681770645400007</v>
      </c>
      <c r="I64">
        <f t="shared" ca="1" si="3"/>
        <v>498.46086839399345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144647</v>
      </c>
      <c r="B67" s="66">
        <v>144647</v>
      </c>
      <c r="D67">
        <f t="shared" ref="D67:E130" si="4">IFERROR( A67/MAX(A$2:A$257), 0 )</f>
        <v>0.88463161499837928</v>
      </c>
      <c r="E67">
        <f t="shared" si="4"/>
        <v>0.88463161499837928</v>
      </c>
      <c r="G67">
        <f t="shared" ref="G67:G130" ca="1" si="5">CELL("row",D67)-2</f>
        <v>65</v>
      </c>
      <c r="H67">
        <f t="shared" ref="H67:H130" ca="1" si="6">D67*G67</f>
        <v>57.50105497489465</v>
      </c>
      <c r="I67">
        <f t="shared" ref="I67:I130" ca="1" si="7">D67*((G67-$L$1)^2)</f>
        <v>407.15760256193704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147504</v>
      </c>
      <c r="B69" s="66">
        <v>147504</v>
      </c>
      <c r="D69">
        <f t="shared" si="4"/>
        <v>0.90210444557246916</v>
      </c>
      <c r="E69">
        <f t="shared" si="4"/>
        <v>0.90210444557246916</v>
      </c>
      <c r="G69">
        <f t="shared" ca="1" si="5"/>
        <v>67</v>
      </c>
      <c r="H69">
        <f t="shared" ca="1" si="6"/>
        <v>60.440997853355434</v>
      </c>
      <c r="I69">
        <f t="shared" ca="1" si="7"/>
        <v>341.39447912667214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160959</v>
      </c>
      <c r="B72" s="66">
        <v>160959</v>
      </c>
      <c r="D72">
        <f t="shared" si="4"/>
        <v>0.98439248735559071</v>
      </c>
      <c r="E72">
        <f t="shared" si="4"/>
        <v>0.98439248735559071</v>
      </c>
      <c r="G72">
        <f t="shared" ca="1" si="5"/>
        <v>70</v>
      </c>
      <c r="H72">
        <f t="shared" ca="1" si="6"/>
        <v>68.907474114891343</v>
      </c>
      <c r="I72">
        <f t="shared" ca="1" si="7"/>
        <v>266.49545971807873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152629</v>
      </c>
      <c r="B75" s="66">
        <v>152629</v>
      </c>
      <c r="D75">
        <f t="shared" si="4"/>
        <v>0.93344790258759347</v>
      </c>
      <c r="E75">
        <f t="shared" si="4"/>
        <v>0.93344790258759347</v>
      </c>
      <c r="G75">
        <f t="shared" ca="1" si="5"/>
        <v>73</v>
      </c>
      <c r="H75">
        <f t="shared" ca="1" si="6"/>
        <v>68.14169688889433</v>
      </c>
      <c r="I75">
        <f t="shared" ca="1" si="7"/>
        <v>168.95330159248505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163511</v>
      </c>
      <c r="B77" s="66">
        <v>163511</v>
      </c>
      <c r="D77">
        <f t="shared" si="4"/>
        <v>1</v>
      </c>
      <c r="E77">
        <f t="shared" si="4"/>
        <v>1</v>
      </c>
      <c r="G77">
        <f t="shared" ca="1" si="5"/>
        <v>75</v>
      </c>
      <c r="H77">
        <f t="shared" ca="1" si="6"/>
        <v>75</v>
      </c>
      <c r="I77">
        <f t="shared" ca="1" si="7"/>
        <v>131.18480265803942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149982</v>
      </c>
      <c r="B80" s="66">
        <v>149982</v>
      </c>
      <c r="D80">
        <f t="shared" si="4"/>
        <v>0.91725938927656248</v>
      </c>
      <c r="E80">
        <f t="shared" si="4"/>
        <v>0.91725938927656248</v>
      </c>
      <c r="G80">
        <f t="shared" ca="1" si="5"/>
        <v>78</v>
      </c>
      <c r="H80">
        <f t="shared" ca="1" si="6"/>
        <v>71.546232363571875</v>
      </c>
      <c r="I80">
        <f t="shared" ca="1" si="7"/>
        <v>65.550329736583024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156650</v>
      </c>
      <c r="B82" s="66">
        <v>156650</v>
      </c>
      <c r="D82">
        <f t="shared" si="4"/>
        <v>0.9580395202769233</v>
      </c>
      <c r="E82">
        <f t="shared" si="4"/>
        <v>0.9580395202769233</v>
      </c>
      <c r="G82">
        <f t="shared" ca="1" si="5"/>
        <v>80</v>
      </c>
      <c r="H82">
        <f t="shared" ca="1" si="6"/>
        <v>76.643161622153869</v>
      </c>
      <c r="I82">
        <f t="shared" ca="1" si="7"/>
        <v>39.901261778878364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156737</v>
      </c>
      <c r="B85" s="66">
        <v>156737</v>
      </c>
      <c r="D85">
        <f t="shared" si="4"/>
        <v>0.958571594571619</v>
      </c>
      <c r="E85">
        <f t="shared" si="4"/>
        <v>0.958571594571619</v>
      </c>
      <c r="G85">
        <f t="shared" ca="1" si="5"/>
        <v>83</v>
      </c>
      <c r="H85">
        <f t="shared" ca="1" si="6"/>
        <v>79.561442349444377</v>
      </c>
      <c r="I85">
        <f t="shared" ca="1" si="7"/>
        <v>11.433178302972909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158973</v>
      </c>
      <c r="B88" s="66">
        <v>158973</v>
      </c>
      <c r="D88">
        <f t="shared" si="4"/>
        <v>0.97224651552494934</v>
      </c>
      <c r="E88">
        <f t="shared" si="4"/>
        <v>0.97224651552494934</v>
      </c>
      <c r="G88">
        <f t="shared" ca="1" si="5"/>
        <v>86</v>
      </c>
      <c r="H88">
        <f t="shared" ca="1" si="6"/>
        <v>83.613200335145649</v>
      </c>
      <c r="I88">
        <f t="shared" ca="1" si="7"/>
        <v>0.20003681121138972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154015</v>
      </c>
      <c r="B90" s="66">
        <v>154015</v>
      </c>
      <c r="D90">
        <f t="shared" si="4"/>
        <v>0.94192439652378124</v>
      </c>
      <c r="E90">
        <f t="shared" si="4"/>
        <v>0.94192439652378124</v>
      </c>
      <c r="G90">
        <f t="shared" ca="1" si="5"/>
        <v>88</v>
      </c>
      <c r="H90">
        <f t="shared" ca="1" si="6"/>
        <v>82.889346894092753</v>
      </c>
      <c r="I90">
        <f t="shared" ca="1" si="7"/>
        <v>2.2524928081627951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150482</v>
      </c>
      <c r="B93" s="66">
        <v>150482</v>
      </c>
      <c r="D93">
        <f t="shared" si="4"/>
        <v>0.92031728752194042</v>
      </c>
      <c r="E93">
        <f t="shared" si="4"/>
        <v>0.92031728752194042</v>
      </c>
      <c r="G93">
        <f t="shared" ca="1" si="5"/>
        <v>91</v>
      </c>
      <c r="H93">
        <f t="shared" ca="1" si="6"/>
        <v>83.748873164496572</v>
      </c>
      <c r="I93">
        <f t="shared" ca="1" si="7"/>
        <v>19.022785884969021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144879</v>
      </c>
      <c r="B95" s="66">
        <v>144879</v>
      </c>
      <c r="D95">
        <f t="shared" si="4"/>
        <v>0.88605047978423468</v>
      </c>
      <c r="E95">
        <f t="shared" si="4"/>
        <v>0.88605047978423468</v>
      </c>
      <c r="G95">
        <f t="shared" ca="1" si="5"/>
        <v>93</v>
      </c>
      <c r="H95">
        <f t="shared" ca="1" si="6"/>
        <v>82.402694619933825</v>
      </c>
      <c r="I95">
        <f t="shared" ca="1" si="7"/>
        <v>37.97208216893663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144844</v>
      </c>
      <c r="B98" s="66">
        <v>144844</v>
      </c>
      <c r="D98">
        <f t="shared" si="4"/>
        <v>0.88583642690705822</v>
      </c>
      <c r="E98">
        <f t="shared" si="4"/>
        <v>0.88583642690705822</v>
      </c>
      <c r="G98">
        <f t="shared" ca="1" si="5"/>
        <v>96</v>
      </c>
      <c r="H98">
        <f t="shared" ca="1" si="6"/>
        <v>85.040296983077582</v>
      </c>
      <c r="I98">
        <f t="shared" ca="1" si="7"/>
        <v>80.729709065395866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146337</v>
      </c>
      <c r="B100" s="66">
        <v>146337</v>
      </c>
      <c r="D100">
        <f t="shared" si="4"/>
        <v>0.89496731106775695</v>
      </c>
      <c r="E100">
        <f t="shared" si="4"/>
        <v>0.89496731106775695</v>
      </c>
      <c r="G100">
        <f t="shared" ca="1" si="5"/>
        <v>98</v>
      </c>
      <c r="H100">
        <f t="shared" ca="1" si="6"/>
        <v>87.706796484640179</v>
      </c>
      <c r="I100">
        <f t="shared" ca="1" si="7"/>
        <v>119.31659843720105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143969</v>
      </c>
      <c r="B103" s="66">
        <v>143969</v>
      </c>
      <c r="D103">
        <f t="shared" si="4"/>
        <v>0.88048510497764676</v>
      </c>
      <c r="E103">
        <f t="shared" si="4"/>
        <v>0.88048510497764676</v>
      </c>
      <c r="G103">
        <f t="shared" ca="1" si="5"/>
        <v>101</v>
      </c>
      <c r="H103">
        <f t="shared" ca="1" si="6"/>
        <v>88.928995602742319</v>
      </c>
      <c r="I103">
        <f t="shared" ca="1" si="7"/>
        <v>186.30883780196535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132782</v>
      </c>
      <c r="B106" s="66">
        <v>132782</v>
      </c>
      <c r="D106">
        <f t="shared" si="4"/>
        <v>0.81206768963555964</v>
      </c>
      <c r="E106">
        <f t="shared" si="4"/>
        <v>0.81206768963555964</v>
      </c>
      <c r="G106">
        <f t="shared" ca="1" si="5"/>
        <v>104</v>
      </c>
      <c r="H106">
        <f t="shared" ca="1" si="6"/>
        <v>84.455039722098206</v>
      </c>
      <c r="I106">
        <f t="shared" ca="1" si="7"/>
        <v>250.01646321153018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132374</v>
      </c>
      <c r="B108" s="66">
        <v>132374</v>
      </c>
      <c r="D108">
        <f t="shared" si="4"/>
        <v>0.80957244466733125</v>
      </c>
      <c r="E108">
        <f t="shared" si="4"/>
        <v>0.80957244466733125</v>
      </c>
      <c r="G108">
        <f t="shared" ca="1" si="5"/>
        <v>106</v>
      </c>
      <c r="H108">
        <f t="shared" ca="1" si="6"/>
        <v>85.814679134737119</v>
      </c>
      <c r="I108">
        <f t="shared" ca="1" si="7"/>
        <v>309.30687501411802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131553</v>
      </c>
      <c r="B111" s="66">
        <v>131553</v>
      </c>
      <c r="D111">
        <f t="shared" si="4"/>
        <v>0.80455137574842062</v>
      </c>
      <c r="E111">
        <f t="shared" si="4"/>
        <v>0.80455137574842062</v>
      </c>
      <c r="G111">
        <f t="shared" ca="1" si="5"/>
        <v>109</v>
      </c>
      <c r="H111">
        <f t="shared" ca="1" si="6"/>
        <v>87.696099956577854</v>
      </c>
      <c r="I111">
        <f t="shared" ca="1" si="7"/>
        <v>408.98600745425131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125010</v>
      </c>
      <c r="B113" s="66">
        <v>125010</v>
      </c>
      <c r="D113">
        <f t="shared" si="4"/>
        <v>0.76453571930940423</v>
      </c>
      <c r="E113">
        <f t="shared" si="4"/>
        <v>0.76453571930940423</v>
      </c>
      <c r="G113">
        <f t="shared" ca="1" si="5"/>
        <v>111</v>
      </c>
      <c r="H113">
        <f t="shared" ca="1" si="6"/>
        <v>84.863464843343863</v>
      </c>
      <c r="I113">
        <f t="shared" ca="1" si="7"/>
        <v>460.65270620995244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122224</v>
      </c>
      <c r="B116" s="66">
        <v>122224</v>
      </c>
      <c r="D116">
        <f t="shared" si="4"/>
        <v>0.74749711028615817</v>
      </c>
      <c r="E116">
        <f t="shared" si="4"/>
        <v>0.74749711028615817</v>
      </c>
      <c r="G116">
        <f t="shared" ca="1" si="5"/>
        <v>114</v>
      </c>
      <c r="H116">
        <f t="shared" ca="1" si="6"/>
        <v>85.214670572622026</v>
      </c>
      <c r="I116">
        <f t="shared" ca="1" si="7"/>
        <v>567.20418181809805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121351</v>
      </c>
      <c r="B118" s="66">
        <v>121351</v>
      </c>
      <c r="D118">
        <f t="shared" si="4"/>
        <v>0.74215801994972819</v>
      </c>
      <c r="E118">
        <f t="shared" si="4"/>
        <v>0.74215801994972819</v>
      </c>
      <c r="G118">
        <f t="shared" ca="1" si="5"/>
        <v>116</v>
      </c>
      <c r="H118">
        <f t="shared" ca="1" si="6"/>
        <v>86.090330314168469</v>
      </c>
      <c r="I118">
        <f t="shared" ca="1" si="7"/>
        <v>647.89663424878279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112347</v>
      </c>
      <c r="B121" s="66">
        <v>112347</v>
      </c>
      <c r="D121">
        <f t="shared" si="4"/>
        <v>0.68709138834696137</v>
      </c>
      <c r="E121">
        <f t="shared" si="4"/>
        <v>0.68709138834696137</v>
      </c>
      <c r="G121">
        <f t="shared" ca="1" si="5"/>
        <v>119</v>
      </c>
      <c r="H121">
        <f t="shared" ca="1" si="6"/>
        <v>81.763875213288401</v>
      </c>
      <c r="I121">
        <f t="shared" ca="1" si="7"/>
        <v>727.8143193031641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108106</v>
      </c>
      <c r="B124" s="66">
        <v>108106</v>
      </c>
      <c r="D124">
        <f t="shared" si="4"/>
        <v>0.66115429542966531</v>
      </c>
      <c r="E124">
        <f t="shared" si="4"/>
        <v>0.66115429542966531</v>
      </c>
      <c r="G124">
        <f t="shared" ca="1" si="5"/>
        <v>122</v>
      </c>
      <c r="H124">
        <f t="shared" ca="1" si="6"/>
        <v>80.660824042419165</v>
      </c>
      <c r="I124">
        <f t="shared" ca="1" si="7"/>
        <v>835.39953936973404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105643</v>
      </c>
      <c r="B126" s="66">
        <v>105643</v>
      </c>
      <c r="D126">
        <f t="shared" si="4"/>
        <v>0.6460910886729333</v>
      </c>
      <c r="E126">
        <f t="shared" si="4"/>
        <v>0.6460910886729333</v>
      </c>
      <c r="G126">
        <f t="shared" ca="1" si="5"/>
        <v>124</v>
      </c>
      <c r="H126">
        <f t="shared" ca="1" si="6"/>
        <v>80.115294995443733</v>
      </c>
      <c r="I126">
        <f t="shared" ca="1" si="7"/>
        <v>910.81569977850108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106878</v>
      </c>
      <c r="B129" s="66">
        <v>106878</v>
      </c>
      <c r="D129">
        <f t="shared" si="4"/>
        <v>0.65364409733901696</v>
      </c>
      <c r="E129">
        <f t="shared" si="4"/>
        <v>0.65364409733901696</v>
      </c>
      <c r="G129">
        <f t="shared" ca="1" si="5"/>
        <v>127</v>
      </c>
      <c r="H129">
        <f t="shared" ca="1" si="6"/>
        <v>83.01280036205516</v>
      </c>
      <c r="I129">
        <f t="shared" ca="1" si="7"/>
        <v>1074.5981416948343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92017</v>
      </c>
      <c r="B131" s="66">
        <v>92017</v>
      </c>
      <c r="D131">
        <f t="shared" ref="D131:E194" si="8">IFERROR( A131/MAX(A$2:A$257), 0 )</f>
        <v>0.56275724568989238</v>
      </c>
      <c r="E131">
        <f t="shared" si="8"/>
        <v>0.56275724568989238</v>
      </c>
      <c r="G131">
        <f t="shared" ref="G131:G194" ca="1" si="9">CELL("row",D131)-2</f>
        <v>129</v>
      </c>
      <c r="H131">
        <f t="shared" ref="H131:H194" ca="1" si="10">D131*G131</f>
        <v>72.59568469399612</v>
      </c>
      <c r="I131">
        <f t="shared" ref="I131:I194" ca="1" si="11">D131*((G131-$L$1)^2)</f>
        <v>1018.7013153985887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88938</v>
      </c>
      <c r="B134" s="66">
        <v>88938</v>
      </c>
      <c r="D134">
        <f t="shared" si="8"/>
        <v>0.54392670829485479</v>
      </c>
      <c r="E134">
        <f t="shared" si="8"/>
        <v>0.54392670829485479</v>
      </c>
      <c r="G134">
        <f t="shared" ca="1" si="9"/>
        <v>132</v>
      </c>
      <c r="H134">
        <f t="shared" ca="1" si="10"/>
        <v>71.798325494920832</v>
      </c>
      <c r="I134">
        <f t="shared" ca="1" si="11"/>
        <v>1128.3624401331679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80257</v>
      </c>
      <c r="B136" s="66">
        <v>80257</v>
      </c>
      <c r="D136">
        <f t="shared" si="8"/>
        <v>0.49083547895860219</v>
      </c>
      <c r="E136">
        <f t="shared" si="8"/>
        <v>0.49083547895860219</v>
      </c>
      <c r="G136">
        <f t="shared" ca="1" si="9"/>
        <v>134</v>
      </c>
      <c r="H136">
        <f t="shared" ca="1" si="10"/>
        <v>65.771954180452695</v>
      </c>
      <c r="I136">
        <f t="shared" ca="1" si="11"/>
        <v>1109.6125151909444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68542</v>
      </c>
      <c r="B139" s="66">
        <v>68542</v>
      </c>
      <c r="D139">
        <f t="shared" si="8"/>
        <v>0.41918892306939592</v>
      </c>
      <c r="E139">
        <f t="shared" si="8"/>
        <v>0.41918892306939592</v>
      </c>
      <c r="G139">
        <f t="shared" ca="1" si="9"/>
        <v>137</v>
      </c>
      <c r="H139">
        <f t="shared" ca="1" si="10"/>
        <v>57.428882460507239</v>
      </c>
      <c r="I139">
        <f t="shared" ca="1" si="11"/>
        <v>1071.0022185737287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63076</v>
      </c>
      <c r="B142" s="66">
        <v>63076</v>
      </c>
      <c r="D142">
        <f t="shared" si="8"/>
        <v>0.38575997945092377</v>
      </c>
      <c r="E142">
        <f t="shared" si="8"/>
        <v>0.38575997945092377</v>
      </c>
      <c r="G142">
        <f t="shared" ca="1" si="9"/>
        <v>140</v>
      </c>
      <c r="H142">
        <f t="shared" ca="1" si="10"/>
        <v>54.006397123129325</v>
      </c>
      <c r="I142">
        <f t="shared" ca="1" si="11"/>
        <v>1106.057823918185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58085</v>
      </c>
      <c r="B144" s="66">
        <v>58085</v>
      </c>
      <c r="D144">
        <f t="shared" si="8"/>
        <v>0.35523603916556074</v>
      </c>
      <c r="E144">
        <f t="shared" si="8"/>
        <v>0.35523603916556074</v>
      </c>
      <c r="G144">
        <f t="shared" ca="1" si="9"/>
        <v>142</v>
      </c>
      <c r="H144">
        <f t="shared" ca="1" si="10"/>
        <v>50.443517561509623</v>
      </c>
      <c r="I144">
        <f t="shared" ca="1" si="11"/>
        <v>1096.0464410827783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49912</v>
      </c>
      <c r="B147" s="66">
        <v>49912</v>
      </c>
      <c r="D147">
        <f t="shared" si="8"/>
        <v>0.30525163444661213</v>
      </c>
      <c r="E147">
        <f t="shared" si="8"/>
        <v>0.30525163444661213</v>
      </c>
      <c r="G147">
        <f t="shared" ca="1" si="9"/>
        <v>145</v>
      </c>
      <c r="H147">
        <f t="shared" ca="1" si="10"/>
        <v>44.261486994758762</v>
      </c>
      <c r="I147">
        <f t="shared" ca="1" si="11"/>
        <v>1046.3054477731498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40513</v>
      </c>
      <c r="B149" s="66">
        <v>40513</v>
      </c>
      <c r="D149">
        <f t="shared" si="8"/>
        <v>0.24776926322999676</v>
      </c>
      <c r="E149">
        <f t="shared" si="8"/>
        <v>0.24776926322999676</v>
      </c>
      <c r="G149">
        <f t="shared" ca="1" si="9"/>
        <v>147</v>
      </c>
      <c r="H149">
        <f t="shared" ca="1" si="10"/>
        <v>36.422081694809521</v>
      </c>
      <c r="I149">
        <f t="shared" ca="1" si="11"/>
        <v>908.28925178686586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34121</v>
      </c>
      <c r="B152" s="66">
        <v>34121</v>
      </c>
      <c r="D152">
        <f t="shared" si="8"/>
        <v>0.20867709206108456</v>
      </c>
      <c r="E152">
        <f t="shared" si="8"/>
        <v>0.20867709206108456</v>
      </c>
      <c r="G152">
        <f t="shared" ca="1" si="9"/>
        <v>150</v>
      </c>
      <c r="H152">
        <f t="shared" ca="1" si="10"/>
        <v>31.301563809162683</v>
      </c>
      <c r="I152">
        <f t="shared" ca="1" si="11"/>
        <v>842.66852012056836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28033</v>
      </c>
      <c r="B154" s="66">
        <v>28033</v>
      </c>
      <c r="D154">
        <f t="shared" si="8"/>
        <v>0.17144412302536222</v>
      </c>
      <c r="E154">
        <f t="shared" si="8"/>
        <v>0.17144412302536222</v>
      </c>
      <c r="G154">
        <f t="shared" ca="1" si="9"/>
        <v>152</v>
      </c>
      <c r="H154">
        <f t="shared" ca="1" si="10"/>
        <v>26.059506699855056</v>
      </c>
      <c r="I154">
        <f t="shared" ca="1" si="11"/>
        <v>736.58077134608652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24375</v>
      </c>
      <c r="B157" s="66">
        <v>24375</v>
      </c>
      <c r="D157">
        <f t="shared" si="8"/>
        <v>0.14907253946217686</v>
      </c>
      <c r="E157">
        <f t="shared" si="8"/>
        <v>0.14907253946217686</v>
      </c>
      <c r="G157">
        <f t="shared" ca="1" si="9"/>
        <v>155</v>
      </c>
      <c r="H157">
        <f t="shared" ca="1" si="10"/>
        <v>23.106243616637414</v>
      </c>
      <c r="I157">
        <f t="shared" ca="1" si="11"/>
        <v>700.43370265014983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19962</v>
      </c>
      <c r="B160" s="66">
        <v>19962</v>
      </c>
      <c r="D160">
        <f t="shared" si="8"/>
        <v>0.12208352954847075</v>
      </c>
      <c r="E160">
        <f t="shared" si="8"/>
        <v>0.12208352954847075</v>
      </c>
      <c r="G160">
        <f t="shared" ca="1" si="9"/>
        <v>158</v>
      </c>
      <c r="H160">
        <f t="shared" ca="1" si="10"/>
        <v>19.289197668658378</v>
      </c>
      <c r="I160">
        <f t="shared" ca="1" si="11"/>
        <v>624.93195003229539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12344</v>
      </c>
      <c r="B162" s="66">
        <v>12344</v>
      </c>
      <c r="D162">
        <f t="shared" si="8"/>
        <v>7.5493391881891733E-2</v>
      </c>
      <c r="E162">
        <f t="shared" si="8"/>
        <v>7.5493391881891733E-2</v>
      </c>
      <c r="G162">
        <f t="shared" ca="1" si="9"/>
        <v>160</v>
      </c>
      <c r="H162">
        <f t="shared" ca="1" si="10"/>
        <v>12.078942701102678</v>
      </c>
      <c r="I162">
        <f t="shared" ca="1" si="11"/>
        <v>408.34933701621645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10467</v>
      </c>
      <c r="B165" s="66">
        <v>10467</v>
      </c>
      <c r="D165">
        <f t="shared" si="8"/>
        <v>6.401404186874278E-2</v>
      </c>
      <c r="E165">
        <f t="shared" si="8"/>
        <v>6.401404186874278E-2</v>
      </c>
      <c r="G165">
        <f t="shared" ca="1" si="9"/>
        <v>163</v>
      </c>
      <c r="H165">
        <f t="shared" ca="1" si="10"/>
        <v>10.434288824605073</v>
      </c>
      <c r="I165">
        <f t="shared" ca="1" si="11"/>
        <v>375.08082713380674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6467</v>
      </c>
      <c r="B167" s="66">
        <v>6467</v>
      </c>
      <c r="D167">
        <f t="shared" si="8"/>
        <v>3.9550855905718885E-2</v>
      </c>
      <c r="E167">
        <f t="shared" si="8"/>
        <v>3.9550855905718885E-2</v>
      </c>
      <c r="G167">
        <f t="shared" ca="1" si="9"/>
        <v>165</v>
      </c>
      <c r="H167">
        <f t="shared" ca="1" si="10"/>
        <v>6.5258912244436162</v>
      </c>
      <c r="I167">
        <f t="shared" ca="1" si="11"/>
        <v>244.01050779817166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3435</v>
      </c>
      <c r="B170" s="66">
        <v>3435</v>
      </c>
      <c r="D170">
        <f t="shared" si="8"/>
        <v>2.1007760945746769E-2</v>
      </c>
      <c r="E170">
        <f t="shared" si="8"/>
        <v>2.1007760945746769E-2</v>
      </c>
      <c r="G170">
        <f t="shared" ca="1" si="9"/>
        <v>168</v>
      </c>
      <c r="H170">
        <f t="shared" ca="1" si="10"/>
        <v>3.5293038388854572</v>
      </c>
      <c r="I170">
        <f t="shared" ca="1" si="11"/>
        <v>139.69775374891123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4321</v>
      </c>
      <c r="B173" s="66">
        <v>4321</v>
      </c>
      <c r="D173">
        <f t="shared" si="8"/>
        <v>2.6426356636556562E-2</v>
      </c>
      <c r="E173">
        <f t="shared" si="8"/>
        <v>2.6426356636556562E-2</v>
      </c>
      <c r="G173">
        <f t="shared" ca="1" si="9"/>
        <v>171</v>
      </c>
      <c r="H173">
        <f t="shared" ca="1" si="10"/>
        <v>4.5189069848511725</v>
      </c>
      <c r="I173">
        <f t="shared" ca="1" si="11"/>
        <v>188.8981041066703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2754</v>
      </c>
      <c r="B175" s="66">
        <v>2754</v>
      </c>
      <c r="D175">
        <f t="shared" si="8"/>
        <v>1.684290353554195E-2</v>
      </c>
      <c r="E175">
        <f t="shared" si="8"/>
        <v>1.684290353554195E-2</v>
      </c>
      <c r="G175">
        <f t="shared" ca="1" si="9"/>
        <v>173</v>
      </c>
      <c r="H175">
        <f t="shared" ca="1" si="10"/>
        <v>2.9138223116487576</v>
      </c>
      <c r="I175">
        <f t="shared" ca="1" si="11"/>
        <v>126.15807172501167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2205</v>
      </c>
      <c r="B178" s="66">
        <v>2205</v>
      </c>
      <c r="D178">
        <f t="shared" si="8"/>
        <v>1.3485331262116922E-2</v>
      </c>
      <c r="E178">
        <f t="shared" si="8"/>
        <v>1.3485331262116922E-2</v>
      </c>
      <c r="G178">
        <f t="shared" ca="1" si="9"/>
        <v>176</v>
      </c>
      <c r="H178">
        <f t="shared" ca="1" si="10"/>
        <v>2.3734183021325781</v>
      </c>
      <c r="I178">
        <f t="shared" ca="1" si="11"/>
        <v>108.13292338955118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1602</v>
      </c>
      <c r="B180" s="66">
        <v>1602</v>
      </c>
      <c r="D180">
        <f t="shared" si="8"/>
        <v>9.7975059781910696E-3</v>
      </c>
      <c r="E180">
        <f t="shared" si="8"/>
        <v>9.7975059781910696E-3</v>
      </c>
      <c r="G180">
        <f t="shared" ca="1" si="9"/>
        <v>178</v>
      </c>
      <c r="H180">
        <f t="shared" ca="1" si="10"/>
        <v>1.7439560641180103</v>
      </c>
      <c r="I180">
        <f t="shared" ca="1" si="11"/>
        <v>82.11039487239519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350</v>
      </c>
      <c r="B183" s="66">
        <v>350</v>
      </c>
      <c r="D183">
        <f t="shared" si="8"/>
        <v>2.1405287717645907E-3</v>
      </c>
      <c r="E183">
        <f t="shared" si="8"/>
        <v>2.1405287717645907E-3</v>
      </c>
      <c r="G183">
        <f t="shared" ca="1" si="9"/>
        <v>181</v>
      </c>
      <c r="H183">
        <f t="shared" ca="1" si="10"/>
        <v>0.3874357076893909</v>
      </c>
      <c r="I183">
        <f t="shared" ca="1" si="11"/>
        <v>19.134235909400516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53</v>
      </c>
      <c r="B185" s="66">
        <v>53</v>
      </c>
      <c r="D185">
        <f t="shared" si="8"/>
        <v>3.2413721401006662E-4</v>
      </c>
      <c r="E185">
        <f t="shared" si="8"/>
        <v>3.2413721401006662E-4</v>
      </c>
      <c r="G185">
        <f t="shared" ca="1" si="9"/>
        <v>183</v>
      </c>
      <c r="H185">
        <f t="shared" ca="1" si="10"/>
        <v>5.9317110163842189E-2</v>
      </c>
      <c r="I185">
        <f t="shared" ca="1" si="11"/>
        <v>3.0213505932636608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346</v>
      </c>
      <c r="B1" s="66" t="s">
        <v>347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77.164316263371688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1.4898492797421443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0.68441100610642525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181</v>
      </c>
      <c r="B8" s="66">
        <v>181</v>
      </c>
      <c r="D8">
        <f t="shared" si="0"/>
        <v>0.23864145769058356</v>
      </c>
      <c r="E8">
        <f t="shared" si="1"/>
        <v>0.23864145769058356</v>
      </c>
      <c r="G8">
        <f t="shared" ca="1" si="2"/>
        <v>6</v>
      </c>
      <c r="H8">
        <f t="shared" ca="1" si="3"/>
        <v>1.4318487461435014</v>
      </c>
      <c r="I8">
        <f t="shared" ca="1" si="4"/>
        <v>1208.5662310091593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443</v>
      </c>
      <c r="B10" s="66">
        <v>443</v>
      </c>
      <c r="D10">
        <f t="shared" si="0"/>
        <v>0.58407826385043382</v>
      </c>
      <c r="E10">
        <f t="shared" si="1"/>
        <v>0.58407826385043382</v>
      </c>
      <c r="G10">
        <f t="shared" ca="1" si="2"/>
        <v>8</v>
      </c>
      <c r="H10">
        <f t="shared" ca="1" si="3"/>
        <v>4.6726261108034706</v>
      </c>
      <c r="I10">
        <f t="shared" ca="1" si="4"/>
        <v>2794.0567351892096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1804</v>
      </c>
      <c r="B13" s="66">
        <v>1804</v>
      </c>
      <c r="D13">
        <f t="shared" si="0"/>
        <v>2.3785038103525564</v>
      </c>
      <c r="E13">
        <f t="shared" si="1"/>
        <v>2.3785038103525564</v>
      </c>
      <c r="G13">
        <f t="shared" ca="1" si="2"/>
        <v>11</v>
      </c>
      <c r="H13">
        <f t="shared" ca="1" si="3"/>
        <v>26.16354191387812</v>
      </c>
      <c r="I13">
        <f t="shared" ca="1" si="4"/>
        <v>10412.41596243104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3878</v>
      </c>
      <c r="B15" s="66">
        <v>3878</v>
      </c>
      <c r="D15">
        <f t="shared" si="0"/>
        <v>5.112992115602669</v>
      </c>
      <c r="E15">
        <f t="shared" si="1"/>
        <v>5.112992115602669</v>
      </c>
      <c r="G15">
        <f t="shared" ca="1" si="2"/>
        <v>13</v>
      </c>
      <c r="H15">
        <f t="shared" ca="1" si="3"/>
        <v>66.468897502834693</v>
      </c>
      <c r="I15">
        <f t="shared" ca="1" si="4"/>
        <v>21050.492668611831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7473</v>
      </c>
      <c r="B18" s="66">
        <v>7473</v>
      </c>
      <c r="D18">
        <f t="shared" si="0"/>
        <v>9.8528597421090112</v>
      </c>
      <c r="E18">
        <f t="shared" si="1"/>
        <v>9.8528597421090112</v>
      </c>
      <c r="G18">
        <f t="shared" ca="1" si="2"/>
        <v>16</v>
      </c>
      <c r="H18">
        <f t="shared" ca="1" si="3"/>
        <v>157.64575587374418</v>
      </c>
      <c r="I18">
        <f t="shared" ca="1" si="4"/>
        <v>36860.273307723655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13613</v>
      </c>
      <c r="B21" s="66">
        <v>13613</v>
      </c>
      <c r="D21">
        <f t="shared" si="0"/>
        <v>17.948210848297865</v>
      </c>
      <c r="E21">
        <f t="shared" si="1"/>
        <v>17.948210848297865</v>
      </c>
      <c r="G21">
        <f t="shared" ca="1" si="2"/>
        <v>19</v>
      </c>
      <c r="H21">
        <f t="shared" ca="1" si="3"/>
        <v>341.01600611765946</v>
      </c>
      <c r="I21">
        <f t="shared" ca="1" si="4"/>
        <v>60720.371113527588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22357</v>
      </c>
      <c r="B23" s="66">
        <v>22357</v>
      </c>
      <c r="D23">
        <f t="shared" si="0"/>
        <v>29.476834638609816</v>
      </c>
      <c r="E23">
        <f t="shared" si="1"/>
        <v>29.476834638609816</v>
      </c>
      <c r="G23">
        <f t="shared" ca="1" si="2"/>
        <v>21</v>
      </c>
      <c r="H23">
        <f t="shared" ca="1" si="3"/>
        <v>619.01352741080609</v>
      </c>
      <c r="I23">
        <f t="shared" ca="1" si="4"/>
        <v>92982.623908604757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28170</v>
      </c>
      <c r="B26" s="66">
        <v>28170</v>
      </c>
      <c r="D26">
        <f t="shared" si="0"/>
        <v>37.141048967644963</v>
      </c>
      <c r="E26">
        <f t="shared" si="1"/>
        <v>37.141048967644963</v>
      </c>
      <c r="G26">
        <f t="shared" ca="1" si="2"/>
        <v>24</v>
      </c>
      <c r="H26">
        <f t="shared" ca="1" si="3"/>
        <v>891.38517522347911</v>
      </c>
      <c r="I26">
        <f t="shared" ca="1" si="4"/>
        <v>104977.11446099784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40756</v>
      </c>
      <c r="B28" s="66">
        <v>40756</v>
      </c>
      <c r="D28">
        <f t="shared" si="0"/>
        <v>53.735200274239908</v>
      </c>
      <c r="E28">
        <f t="shared" si="1"/>
        <v>53.735200274239908</v>
      </c>
      <c r="G28">
        <f t="shared" ca="1" si="2"/>
        <v>26</v>
      </c>
      <c r="H28">
        <f t="shared" ca="1" si="3"/>
        <v>1397.1152071302376</v>
      </c>
      <c r="I28">
        <f t="shared" ca="1" si="4"/>
        <v>140667.32262150774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52675</v>
      </c>
      <c r="B31" s="66">
        <v>52675</v>
      </c>
      <c r="D31">
        <f t="shared" si="0"/>
        <v>69.44993803232866</v>
      </c>
      <c r="E31">
        <f t="shared" si="1"/>
        <v>69.44993803232866</v>
      </c>
      <c r="G31">
        <f t="shared" ca="1" si="2"/>
        <v>29</v>
      </c>
      <c r="H31">
        <f t="shared" ca="1" si="3"/>
        <v>2014.0482029375312</v>
      </c>
      <c r="I31">
        <f t="shared" ca="1" si="4"/>
        <v>161110.06077696307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64206</v>
      </c>
      <c r="B33" s="66">
        <v>64206</v>
      </c>
      <c r="D33">
        <f t="shared" si="0"/>
        <v>84.653112886638709</v>
      </c>
      <c r="E33">
        <f t="shared" si="1"/>
        <v>84.653112886638709</v>
      </c>
      <c r="G33">
        <f t="shared" ca="1" si="2"/>
        <v>31</v>
      </c>
      <c r="H33">
        <f t="shared" ca="1" si="3"/>
        <v>2624.2464994858001</v>
      </c>
      <c r="I33">
        <f t="shared" ca="1" si="4"/>
        <v>180407.9817418505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67820</v>
      </c>
      <c r="B36" s="66">
        <v>67820</v>
      </c>
      <c r="D36">
        <f t="shared" si="0"/>
        <v>89.418031273897114</v>
      </c>
      <c r="E36">
        <f t="shared" si="1"/>
        <v>89.418031273897114</v>
      </c>
      <c r="G36">
        <f t="shared" ca="1" si="2"/>
        <v>34</v>
      </c>
      <c r="H36">
        <f t="shared" ca="1" si="3"/>
        <v>3040.2130633125021</v>
      </c>
      <c r="I36">
        <f t="shared" ca="1" si="4"/>
        <v>166599.93806029353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67100</v>
      </c>
      <c r="B39" s="66">
        <v>67100</v>
      </c>
      <c r="D39">
        <f t="shared" si="0"/>
        <v>88.468739287503624</v>
      </c>
      <c r="E39">
        <f t="shared" si="1"/>
        <v>88.468739287503624</v>
      </c>
      <c r="G39">
        <f t="shared" ca="1" si="2"/>
        <v>37</v>
      </c>
      <c r="H39">
        <f t="shared" ca="1" si="3"/>
        <v>3273.3433536376342</v>
      </c>
      <c r="I39">
        <f t="shared" ca="1" si="4"/>
        <v>142715.31971451102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67006</v>
      </c>
      <c r="B41" s="66">
        <v>67006</v>
      </c>
      <c r="D41">
        <f t="shared" si="0"/>
        <v>88.34480394483559</v>
      </c>
      <c r="E41">
        <f t="shared" si="1"/>
        <v>88.34480394483559</v>
      </c>
      <c r="G41">
        <f t="shared" ca="1" si="2"/>
        <v>39</v>
      </c>
      <c r="H41">
        <f t="shared" ca="1" si="3"/>
        <v>3445.4473538485881</v>
      </c>
      <c r="I41">
        <f t="shared" ca="1" si="4"/>
        <v>128675.53528493144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68375</v>
      </c>
      <c r="B44" s="66">
        <v>68375</v>
      </c>
      <c r="D44">
        <f t="shared" si="0"/>
        <v>90.149777180075418</v>
      </c>
      <c r="E44">
        <f t="shared" si="1"/>
        <v>90.149777180075418</v>
      </c>
      <c r="G44">
        <f t="shared" ca="1" si="2"/>
        <v>42</v>
      </c>
      <c r="H44">
        <f t="shared" ca="1" si="3"/>
        <v>3786.2906415631674</v>
      </c>
      <c r="I44">
        <f t="shared" ca="1" si="4"/>
        <v>111472.82629174962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72251</v>
      </c>
      <c r="B46" s="66">
        <v>72251</v>
      </c>
      <c r="D46">
        <f t="shared" si="0"/>
        <v>95.260132373493661</v>
      </c>
      <c r="E46">
        <f t="shared" si="1"/>
        <v>95.260132373493661</v>
      </c>
      <c r="G46">
        <f t="shared" ca="1" si="2"/>
        <v>44</v>
      </c>
      <c r="H46">
        <f t="shared" ca="1" si="3"/>
        <v>4191.4458244337211</v>
      </c>
      <c r="I46">
        <f t="shared" ca="1" si="4"/>
        <v>104773.94023652813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70414</v>
      </c>
      <c r="B49" s="66">
        <v>70414</v>
      </c>
      <c r="D49">
        <f t="shared" si="0"/>
        <v>92.838119347098072</v>
      </c>
      <c r="E49">
        <f t="shared" si="1"/>
        <v>92.838119347098072</v>
      </c>
      <c r="G49">
        <f t="shared" ca="1" si="2"/>
        <v>47</v>
      </c>
      <c r="H49">
        <f t="shared" ca="1" si="3"/>
        <v>4363.3916093136095</v>
      </c>
      <c r="I49">
        <f t="shared" ca="1" si="4"/>
        <v>84472.102798411623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73994</v>
      </c>
      <c r="B51" s="66">
        <v>73994</v>
      </c>
      <c r="D51">
        <f t="shared" si="0"/>
        <v>97.558210057221217</v>
      </c>
      <c r="E51">
        <f t="shared" si="1"/>
        <v>97.558210057221217</v>
      </c>
      <c r="G51">
        <f t="shared" ca="1" si="2"/>
        <v>49</v>
      </c>
      <c r="H51">
        <f t="shared" ca="1" si="3"/>
        <v>4780.3522928038392</v>
      </c>
      <c r="I51">
        <f t="shared" ca="1" si="4"/>
        <v>77385.9731704968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72260</v>
      </c>
      <c r="B54" s="66">
        <v>72260</v>
      </c>
      <c r="D54">
        <f t="shared" si="0"/>
        <v>95.271998523323575</v>
      </c>
      <c r="E54">
        <f t="shared" si="1"/>
        <v>95.271998523323575</v>
      </c>
      <c r="G54">
        <f t="shared" ca="1" si="2"/>
        <v>52</v>
      </c>
      <c r="H54">
        <f t="shared" ca="1" si="3"/>
        <v>4954.1439232128259</v>
      </c>
      <c r="I54">
        <f t="shared" ca="1" si="4"/>
        <v>60330.308345326404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70148</v>
      </c>
      <c r="B57" s="66">
        <v>70148</v>
      </c>
      <c r="D57">
        <f t="shared" si="0"/>
        <v>92.487408696569361</v>
      </c>
      <c r="E57">
        <f t="shared" si="1"/>
        <v>92.487408696569361</v>
      </c>
      <c r="G57">
        <f t="shared" ca="1" si="2"/>
        <v>55</v>
      </c>
      <c r="H57">
        <f t="shared" ca="1" si="3"/>
        <v>5086.8074783113152</v>
      </c>
      <c r="I57">
        <f t="shared" ca="1" si="4"/>
        <v>45435.079111721068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68499</v>
      </c>
      <c r="B59" s="66">
        <v>68499</v>
      </c>
      <c r="D59">
        <f t="shared" si="0"/>
        <v>90.313266355509853</v>
      </c>
      <c r="E59">
        <f t="shared" si="1"/>
        <v>90.313266355509853</v>
      </c>
      <c r="G59">
        <f t="shared" ca="1" si="2"/>
        <v>57</v>
      </c>
      <c r="H59">
        <f t="shared" ca="1" si="3"/>
        <v>5147.8561822640613</v>
      </c>
      <c r="I59">
        <f t="shared" ca="1" si="4"/>
        <v>36721.342523857602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70936</v>
      </c>
      <c r="B62" s="66">
        <v>70936</v>
      </c>
      <c r="D62">
        <f t="shared" si="0"/>
        <v>93.526356037233342</v>
      </c>
      <c r="E62">
        <f t="shared" si="1"/>
        <v>93.526356037233342</v>
      </c>
      <c r="G62">
        <f t="shared" ca="1" si="2"/>
        <v>60</v>
      </c>
      <c r="H62">
        <f t="shared" ca="1" si="3"/>
        <v>5611.5813622340002</v>
      </c>
      <c r="I62">
        <f t="shared" ca="1" si="4"/>
        <v>27554.15073681375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67825</v>
      </c>
      <c r="B64" s="66">
        <v>67825</v>
      </c>
      <c r="D64">
        <f t="shared" si="0"/>
        <v>89.424623579358169</v>
      </c>
      <c r="E64">
        <f t="shared" si="1"/>
        <v>89.424623579358169</v>
      </c>
      <c r="G64">
        <f t="shared" ca="1" si="2"/>
        <v>62</v>
      </c>
      <c r="H64">
        <f t="shared" ca="1" si="3"/>
        <v>5544.3266619202068</v>
      </c>
      <c r="I64">
        <f t="shared" ca="1" si="4"/>
        <v>20563.772355383666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75846</v>
      </c>
      <c r="B67" s="66">
        <v>75846</v>
      </c>
      <c r="D67">
        <f t="shared" ref="D67:D130" si="5">IFERROR( 100*A67/MAX(A$2:A$257), 0 )</f>
        <v>100</v>
      </c>
      <c r="E67">
        <f t="shared" ref="E67:E130" si="6">IFERROR( 100*B67/MAX(B$2:B$257), 0 )</f>
        <v>100</v>
      </c>
      <c r="G67">
        <f t="shared" ref="G67:G130" ca="1" si="7">CELL("row",D67)-2</f>
        <v>65</v>
      </c>
      <c r="H67">
        <f t="shared" ref="H67:H130" ca="1" si="8">D67*G67</f>
        <v>6500</v>
      </c>
      <c r="I67">
        <f t="shared" ref="I67:I130" ca="1" si="9">D67*((G67-$L$1)^2)</f>
        <v>14797.059015532896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69046</v>
      </c>
      <c r="B69" s="66">
        <v>69046</v>
      </c>
      <c r="D69">
        <f t="shared" si="5"/>
        <v>91.034464572950455</v>
      </c>
      <c r="E69">
        <f t="shared" si="6"/>
        <v>91.034464572950455</v>
      </c>
      <c r="G69">
        <f t="shared" ca="1" si="7"/>
        <v>67</v>
      </c>
      <c r="H69">
        <f t="shared" ca="1" si="8"/>
        <v>6099.3091263876804</v>
      </c>
      <c r="I69">
        <f t="shared" ca="1" si="9"/>
        <v>9405.0732338973667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73918</v>
      </c>
      <c r="B72" s="66">
        <v>73918</v>
      </c>
      <c r="D72">
        <f t="shared" si="5"/>
        <v>97.45800701421301</v>
      </c>
      <c r="E72">
        <f t="shared" si="6"/>
        <v>97.45800701421301</v>
      </c>
      <c r="G72">
        <f t="shared" ca="1" si="7"/>
        <v>70</v>
      </c>
      <c r="H72">
        <f t="shared" ca="1" si="8"/>
        <v>6822.0604909949107</v>
      </c>
      <c r="I72">
        <f t="shared" ca="1" si="9"/>
        <v>5002.268791422779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65396</v>
      </c>
      <c r="B75" s="66">
        <v>65396</v>
      </c>
      <c r="D75">
        <f t="shared" si="5"/>
        <v>86.222081586372383</v>
      </c>
      <c r="E75">
        <f t="shared" si="6"/>
        <v>86.222081586372383</v>
      </c>
      <c r="G75">
        <f t="shared" ca="1" si="7"/>
        <v>73</v>
      </c>
      <c r="H75">
        <f t="shared" ca="1" si="8"/>
        <v>6294.2119558051836</v>
      </c>
      <c r="I75">
        <f t="shared" ca="1" si="9"/>
        <v>1495.2228094383534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65272</v>
      </c>
      <c r="B77" s="66">
        <v>65272</v>
      </c>
      <c r="D77">
        <f t="shared" si="5"/>
        <v>86.058592410937948</v>
      </c>
      <c r="E77">
        <f t="shared" si="6"/>
        <v>86.058592410937948</v>
      </c>
      <c r="G77">
        <f t="shared" ca="1" si="7"/>
        <v>75</v>
      </c>
      <c r="H77">
        <f t="shared" ca="1" si="8"/>
        <v>6454.3944308203463</v>
      </c>
      <c r="I77">
        <f t="shared" ca="1" si="9"/>
        <v>403.12124273223986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54754</v>
      </c>
      <c r="B80" s="66">
        <v>54754</v>
      </c>
      <c r="D80">
        <f t="shared" si="5"/>
        <v>72.19101864303984</v>
      </c>
      <c r="E80">
        <f t="shared" si="6"/>
        <v>72.19101864303984</v>
      </c>
      <c r="G80">
        <f t="shared" ca="1" si="7"/>
        <v>78</v>
      </c>
      <c r="H80">
        <f t="shared" ca="1" si="8"/>
        <v>5630.8994541571074</v>
      </c>
      <c r="I80">
        <f t="shared" ca="1" si="9"/>
        <v>50.415847327337687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54370</v>
      </c>
      <c r="B82" s="66">
        <v>54370</v>
      </c>
      <c r="D82">
        <f t="shared" si="5"/>
        <v>71.684729583629988</v>
      </c>
      <c r="E82">
        <f t="shared" si="6"/>
        <v>71.684729583629988</v>
      </c>
      <c r="G82">
        <f t="shared" ca="1" si="7"/>
        <v>80</v>
      </c>
      <c r="H82">
        <f t="shared" ca="1" si="8"/>
        <v>5734.7783666903988</v>
      </c>
      <c r="I82">
        <f t="shared" ca="1" si="9"/>
        <v>576.42424064508918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50326</v>
      </c>
      <c r="B85" s="66">
        <v>50326</v>
      </c>
      <c r="D85">
        <f t="shared" si="5"/>
        <v>66.35287292671994</v>
      </c>
      <c r="E85">
        <f t="shared" si="6"/>
        <v>66.35287292671994</v>
      </c>
      <c r="G85">
        <f t="shared" ca="1" si="7"/>
        <v>83</v>
      </c>
      <c r="H85">
        <f t="shared" ca="1" si="8"/>
        <v>5507.2884529177554</v>
      </c>
      <c r="I85">
        <f t="shared" ca="1" si="9"/>
        <v>2259.6606682239221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48080</v>
      </c>
      <c r="B88" s="66">
        <v>48080</v>
      </c>
      <c r="D88">
        <f t="shared" si="5"/>
        <v>63.391609313609152</v>
      </c>
      <c r="E88">
        <f t="shared" si="6"/>
        <v>63.391609313609152</v>
      </c>
      <c r="G88">
        <f t="shared" ca="1" si="7"/>
        <v>86</v>
      </c>
      <c r="H88">
        <f t="shared" ca="1" si="8"/>
        <v>5451.678400970387</v>
      </c>
      <c r="I88">
        <f t="shared" ca="1" si="9"/>
        <v>4948.9390146691494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48558</v>
      </c>
      <c r="B90" s="66">
        <v>48558</v>
      </c>
      <c r="D90">
        <f t="shared" si="5"/>
        <v>64.021833715687052</v>
      </c>
      <c r="E90">
        <f t="shared" si="6"/>
        <v>64.021833715687052</v>
      </c>
      <c r="G90">
        <f t="shared" ca="1" si="7"/>
        <v>88</v>
      </c>
      <c r="H90">
        <f t="shared" ca="1" si="8"/>
        <v>5633.9213669804603</v>
      </c>
      <c r="I90">
        <f t="shared" ca="1" si="9"/>
        <v>7516.9342317189448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50734</v>
      </c>
      <c r="B93" s="66">
        <v>50734</v>
      </c>
      <c r="D93">
        <f t="shared" si="5"/>
        <v>66.890805052342898</v>
      </c>
      <c r="E93">
        <f t="shared" si="6"/>
        <v>66.890805052342898</v>
      </c>
      <c r="G93">
        <f t="shared" ca="1" si="7"/>
        <v>91</v>
      </c>
      <c r="H93">
        <f t="shared" ca="1" si="8"/>
        <v>6087.0632597632039</v>
      </c>
      <c r="I93">
        <f t="shared" ca="1" si="9"/>
        <v>12804.648910995567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50417</v>
      </c>
      <c r="B95" s="66">
        <v>50417</v>
      </c>
      <c r="D95">
        <f t="shared" si="5"/>
        <v>66.472852886111326</v>
      </c>
      <c r="E95">
        <f t="shared" si="6"/>
        <v>66.472852886111326</v>
      </c>
      <c r="G95">
        <f t="shared" ca="1" si="7"/>
        <v>93</v>
      </c>
      <c r="H95">
        <f t="shared" ca="1" si="8"/>
        <v>6181.9753184083529</v>
      </c>
      <c r="I95">
        <f t="shared" ca="1" si="9"/>
        <v>16669.322829204222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49164</v>
      </c>
      <c r="B98" s="66">
        <v>49164</v>
      </c>
      <c r="D98">
        <f t="shared" si="5"/>
        <v>64.820821137568231</v>
      </c>
      <c r="E98">
        <f t="shared" si="6"/>
        <v>64.820821137568231</v>
      </c>
      <c r="G98">
        <f t="shared" ca="1" si="7"/>
        <v>96</v>
      </c>
      <c r="H98">
        <f t="shared" ca="1" si="8"/>
        <v>6222.7988292065502</v>
      </c>
      <c r="I98">
        <f t="shared" ca="1" si="9"/>
        <v>22997.324207614696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48966</v>
      </c>
      <c r="B100" s="66">
        <v>48966</v>
      </c>
      <c r="D100">
        <f t="shared" si="5"/>
        <v>64.559765841310025</v>
      </c>
      <c r="E100">
        <f t="shared" si="6"/>
        <v>64.559765841310025</v>
      </c>
      <c r="G100">
        <f t="shared" ca="1" si="7"/>
        <v>98</v>
      </c>
      <c r="H100">
        <f t="shared" ca="1" si="8"/>
        <v>6326.8570524483821</v>
      </c>
      <c r="I100">
        <f t="shared" ca="1" si="9"/>
        <v>28027.054620542687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49247</v>
      </c>
      <c r="B103" s="66">
        <v>49247</v>
      </c>
      <c r="D103">
        <f t="shared" si="5"/>
        <v>64.93025340822193</v>
      </c>
      <c r="E103">
        <f t="shared" si="6"/>
        <v>64.93025340822193</v>
      </c>
      <c r="G103">
        <f t="shared" ca="1" si="7"/>
        <v>101</v>
      </c>
      <c r="H103">
        <f t="shared" ca="1" si="8"/>
        <v>6557.955594230415</v>
      </c>
      <c r="I103">
        <f t="shared" ca="1" si="9"/>
        <v>36889.462431474793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44787</v>
      </c>
      <c r="B106" s="66">
        <v>44787</v>
      </c>
      <c r="D106">
        <f t="shared" si="5"/>
        <v>59.049916936951192</v>
      </c>
      <c r="E106">
        <f t="shared" si="6"/>
        <v>59.049916936951192</v>
      </c>
      <c r="G106">
        <f t="shared" ca="1" si="7"/>
        <v>104</v>
      </c>
      <c r="H106">
        <f t="shared" ca="1" si="8"/>
        <v>6141.1913614429241</v>
      </c>
      <c r="I106">
        <f t="shared" ca="1" si="9"/>
        <v>42525.029253028173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46973</v>
      </c>
      <c r="B108" s="66">
        <v>46973</v>
      </c>
      <c r="D108">
        <f t="shared" si="5"/>
        <v>61.932072884529177</v>
      </c>
      <c r="E108">
        <f t="shared" si="6"/>
        <v>61.932072884529177</v>
      </c>
      <c r="G108">
        <f t="shared" ca="1" si="7"/>
        <v>106</v>
      </c>
      <c r="H108">
        <f t="shared" ca="1" si="8"/>
        <v>6564.7997257600928</v>
      </c>
      <c r="I108">
        <f t="shared" ca="1" si="9"/>
        <v>51496.311537245056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46368</v>
      </c>
      <c r="B111" s="66">
        <v>46368</v>
      </c>
      <c r="D111">
        <f t="shared" si="5"/>
        <v>61.134403923740209</v>
      </c>
      <c r="E111">
        <f t="shared" si="6"/>
        <v>61.134403923740209</v>
      </c>
      <c r="G111">
        <f t="shared" ca="1" si="7"/>
        <v>109</v>
      </c>
      <c r="H111">
        <f t="shared" ca="1" si="8"/>
        <v>6663.6500276876832</v>
      </c>
      <c r="I111">
        <f t="shared" ca="1" si="9"/>
        <v>61960.37612045549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46287</v>
      </c>
      <c r="B113" s="66">
        <v>46287</v>
      </c>
      <c r="D113">
        <f t="shared" si="5"/>
        <v>61.027608575270946</v>
      </c>
      <c r="E113">
        <f t="shared" si="6"/>
        <v>61.027608575270946</v>
      </c>
      <c r="G113">
        <f t="shared" ca="1" si="7"/>
        <v>111</v>
      </c>
      <c r="H113">
        <f t="shared" ca="1" si="8"/>
        <v>6774.0645518550755</v>
      </c>
      <c r="I113">
        <f t="shared" ca="1" si="9"/>
        <v>69867.670903294376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44760</v>
      </c>
      <c r="B116" s="66">
        <v>44760</v>
      </c>
      <c r="D116">
        <f t="shared" si="5"/>
        <v>59.014318487461438</v>
      </c>
      <c r="E116">
        <f t="shared" si="6"/>
        <v>59.014318487461438</v>
      </c>
      <c r="G116">
        <f t="shared" ca="1" si="7"/>
        <v>114</v>
      </c>
      <c r="H116">
        <f t="shared" ca="1" si="8"/>
        <v>6727.6323075706041</v>
      </c>
      <c r="I116">
        <f t="shared" ca="1" si="9"/>
        <v>80074.616476014402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44448</v>
      </c>
      <c r="B118" s="66">
        <v>44448</v>
      </c>
      <c r="D118">
        <f t="shared" si="5"/>
        <v>58.602958626690928</v>
      </c>
      <c r="E118">
        <f t="shared" si="6"/>
        <v>58.602958626690928</v>
      </c>
      <c r="G118">
        <f t="shared" ca="1" si="7"/>
        <v>116</v>
      </c>
      <c r="H118">
        <f t="shared" ca="1" si="8"/>
        <v>6797.9432006961479</v>
      </c>
      <c r="I118">
        <f t="shared" ca="1" si="9"/>
        <v>88385.587645018706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38998</v>
      </c>
      <c r="B121" s="66">
        <v>38998</v>
      </c>
      <c r="D121">
        <f t="shared" si="5"/>
        <v>51.417345674129159</v>
      </c>
      <c r="E121">
        <f t="shared" si="6"/>
        <v>51.417345674129159</v>
      </c>
      <c r="G121">
        <f t="shared" ca="1" si="7"/>
        <v>119</v>
      </c>
      <c r="H121">
        <f t="shared" ca="1" si="8"/>
        <v>6118.6641352213701</v>
      </c>
      <c r="I121">
        <f t="shared" ca="1" si="9"/>
        <v>89991.894715435032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36157</v>
      </c>
      <c r="B124" s="66">
        <v>36157</v>
      </c>
      <c r="D124">
        <f t="shared" si="5"/>
        <v>47.671597711151541</v>
      </c>
      <c r="E124">
        <f t="shared" si="6"/>
        <v>47.671597711151541</v>
      </c>
      <c r="G124">
        <f t="shared" ca="1" si="7"/>
        <v>122</v>
      </c>
      <c r="H124">
        <f t="shared" ca="1" si="8"/>
        <v>5815.9349207604882</v>
      </c>
      <c r="I124">
        <f t="shared" ca="1" si="9"/>
        <v>95831.282797889129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31977</v>
      </c>
      <c r="B126" s="66">
        <v>31977</v>
      </c>
      <c r="D126">
        <f t="shared" si="5"/>
        <v>42.160430345700497</v>
      </c>
      <c r="E126">
        <f t="shared" si="6"/>
        <v>42.160430345700497</v>
      </c>
      <c r="G126">
        <f t="shared" ca="1" si="7"/>
        <v>124</v>
      </c>
      <c r="H126">
        <f t="shared" ca="1" si="8"/>
        <v>5227.8933628668619</v>
      </c>
      <c r="I126">
        <f t="shared" ca="1" si="9"/>
        <v>92482.330386894828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33194</v>
      </c>
      <c r="B129" s="66">
        <v>33194</v>
      </c>
      <c r="D129">
        <f t="shared" si="5"/>
        <v>43.764997494923925</v>
      </c>
      <c r="E129">
        <f t="shared" si="6"/>
        <v>43.764997494923925</v>
      </c>
      <c r="G129">
        <f t="shared" ca="1" si="7"/>
        <v>127</v>
      </c>
      <c r="H129">
        <f t="shared" ca="1" si="8"/>
        <v>5558.1546818553388</v>
      </c>
      <c r="I129">
        <f t="shared" ca="1" si="9"/>
        <v>108694.54529951133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26637</v>
      </c>
      <c r="B131" s="66">
        <v>26637</v>
      </c>
      <c r="D131">
        <f t="shared" ref="D131:D194" si="10">IFERROR( 100*A131/MAX(A$2:A$257), 0 )</f>
        <v>35.119848113282174</v>
      </c>
      <c r="E131">
        <f t="shared" ref="E131:E194" si="11">IFERROR( 100*B131/MAX(B$2:B$257), 0 )</f>
        <v>35.119848113282174</v>
      </c>
      <c r="G131">
        <f t="shared" ref="G131:G194" ca="1" si="12">CELL("row",D131)-2</f>
        <v>129</v>
      </c>
      <c r="H131">
        <f t="shared" ref="H131:H194" ca="1" si="13">D131*G131</f>
        <v>4530.4604066134007</v>
      </c>
      <c r="I131">
        <f t="shared" ref="I131:I194" ca="1" si="14">D131*((G131-$L$1)^2)</f>
        <v>94364.858258334309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26655</v>
      </c>
      <c r="B134" s="66">
        <v>26655</v>
      </c>
      <c r="D134">
        <f t="shared" si="10"/>
        <v>35.143580412942015</v>
      </c>
      <c r="E134">
        <f t="shared" si="11"/>
        <v>35.143580412942015</v>
      </c>
      <c r="G134">
        <f t="shared" ca="1" si="12"/>
        <v>132</v>
      </c>
      <c r="H134">
        <f t="shared" ca="1" si="13"/>
        <v>4638.9526145083455</v>
      </c>
      <c r="I134">
        <f t="shared" ca="1" si="14"/>
        <v>105675.06682035599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28661</v>
      </c>
      <c r="B136" s="66">
        <v>28661</v>
      </c>
      <c r="D136">
        <f t="shared" si="10"/>
        <v>37.788413363921627</v>
      </c>
      <c r="E136">
        <f t="shared" si="11"/>
        <v>37.788413363921627</v>
      </c>
      <c r="G136">
        <f t="shared" ca="1" si="12"/>
        <v>134</v>
      </c>
      <c r="H136">
        <f t="shared" ca="1" si="13"/>
        <v>5063.6473907654981</v>
      </c>
      <c r="I136">
        <f t="shared" ca="1" si="14"/>
        <v>122067.72069965646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22089</v>
      </c>
      <c r="B139" s="66">
        <v>22089</v>
      </c>
      <c r="D139">
        <f t="shared" si="10"/>
        <v>29.123487065896686</v>
      </c>
      <c r="E139">
        <f t="shared" si="11"/>
        <v>29.123487065896686</v>
      </c>
      <c r="G139">
        <f t="shared" ca="1" si="12"/>
        <v>137</v>
      </c>
      <c r="H139">
        <f t="shared" ca="1" si="13"/>
        <v>3989.9177280278459</v>
      </c>
      <c r="I139">
        <f t="shared" ca="1" si="14"/>
        <v>104271.08425803362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21490</v>
      </c>
      <c r="B142" s="66">
        <v>21490</v>
      </c>
      <c r="D142">
        <f t="shared" si="10"/>
        <v>28.333728871660998</v>
      </c>
      <c r="E142">
        <f t="shared" si="11"/>
        <v>28.333728871660998</v>
      </c>
      <c r="G142">
        <f t="shared" ca="1" si="12"/>
        <v>140</v>
      </c>
      <c r="H142">
        <f t="shared" ca="1" si="13"/>
        <v>3966.7220420325398</v>
      </c>
      <c r="I142">
        <f t="shared" ca="1" si="14"/>
        <v>111870.7176482074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20923</v>
      </c>
      <c r="B144" s="66">
        <v>20923</v>
      </c>
      <c r="D144">
        <f t="shared" si="10"/>
        <v>27.58616143237613</v>
      </c>
      <c r="E144">
        <f t="shared" si="11"/>
        <v>27.58616143237613</v>
      </c>
      <c r="G144">
        <f t="shared" ca="1" si="12"/>
        <v>142</v>
      </c>
      <c r="H144">
        <f t="shared" ca="1" si="13"/>
        <v>3917.2349233974105</v>
      </c>
      <c r="I144">
        <f t="shared" ca="1" si="14"/>
        <v>115963.00572782606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21248</v>
      </c>
      <c r="B147" s="66">
        <v>21248</v>
      </c>
      <c r="D147">
        <f t="shared" si="10"/>
        <v>28.014661287345412</v>
      </c>
      <c r="E147">
        <f t="shared" si="11"/>
        <v>28.014661287345412</v>
      </c>
      <c r="G147">
        <f t="shared" ca="1" si="12"/>
        <v>145</v>
      </c>
      <c r="H147">
        <f t="shared" ca="1" si="13"/>
        <v>4062.1258866650846</v>
      </c>
      <c r="I147">
        <f t="shared" ca="1" si="14"/>
        <v>128914.50621701998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19332</v>
      </c>
      <c r="B149" s="66">
        <v>19332</v>
      </c>
      <c r="D149">
        <f t="shared" si="10"/>
        <v>25.488489834664978</v>
      </c>
      <c r="E149">
        <f t="shared" si="11"/>
        <v>25.488489834664978</v>
      </c>
      <c r="G149">
        <f t="shared" ca="1" si="12"/>
        <v>147</v>
      </c>
      <c r="H149">
        <f t="shared" ca="1" si="13"/>
        <v>3746.8080056957519</v>
      </c>
      <c r="I149">
        <f t="shared" ca="1" si="14"/>
        <v>124307.94409765654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16506</v>
      </c>
      <c r="B152" s="66">
        <v>16506</v>
      </c>
      <c r="D152">
        <f t="shared" si="10"/>
        <v>21.762518788070565</v>
      </c>
      <c r="E152">
        <f t="shared" si="11"/>
        <v>21.762518788070565</v>
      </c>
      <c r="G152">
        <f t="shared" ca="1" si="12"/>
        <v>150</v>
      </c>
      <c r="H152">
        <f t="shared" ca="1" si="13"/>
        <v>3264.3778182105848</v>
      </c>
      <c r="I152">
        <f t="shared" ca="1" si="14"/>
        <v>115450.96358378508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13621</v>
      </c>
      <c r="B154" s="66">
        <v>13621</v>
      </c>
      <c r="D154">
        <f t="shared" si="10"/>
        <v>17.958758537035571</v>
      </c>
      <c r="E154">
        <f t="shared" si="11"/>
        <v>17.958758537035571</v>
      </c>
      <c r="G154">
        <f t="shared" ca="1" si="12"/>
        <v>152</v>
      </c>
      <c r="H154">
        <f t="shared" ca="1" si="13"/>
        <v>2729.731297629407</v>
      </c>
      <c r="I154">
        <f t="shared" ca="1" si="14"/>
        <v>100575.86423969176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10667</v>
      </c>
      <c r="B157" s="66">
        <v>10667</v>
      </c>
      <c r="D157">
        <f t="shared" si="10"/>
        <v>14.064024470637872</v>
      </c>
      <c r="E157">
        <f t="shared" si="11"/>
        <v>14.064024470637872</v>
      </c>
      <c r="G157">
        <f t="shared" ca="1" si="12"/>
        <v>155</v>
      </c>
      <c r="H157">
        <f t="shared" ca="1" si="13"/>
        <v>2179.92379294887</v>
      </c>
      <c r="I157">
        <f t="shared" ca="1" si="14"/>
        <v>85205.396725651255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10378</v>
      </c>
      <c r="B160" s="66">
        <v>10378</v>
      </c>
      <c r="D160">
        <f t="shared" si="10"/>
        <v>13.682989214988266</v>
      </c>
      <c r="E160">
        <f t="shared" si="11"/>
        <v>13.682989214988266</v>
      </c>
      <c r="G160">
        <f t="shared" ca="1" si="12"/>
        <v>158</v>
      </c>
      <c r="H160">
        <f t="shared" ca="1" si="13"/>
        <v>2161.9122959681463</v>
      </c>
      <c r="I160">
        <f t="shared" ca="1" si="14"/>
        <v>89410.230977131985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6427</v>
      </c>
      <c r="B162" s="66">
        <v>6427</v>
      </c>
      <c r="D162">
        <f t="shared" si="10"/>
        <v>8.4737494396540356</v>
      </c>
      <c r="E162">
        <f t="shared" si="11"/>
        <v>8.4737494396540356</v>
      </c>
      <c r="G162">
        <f t="shared" ca="1" si="12"/>
        <v>160</v>
      </c>
      <c r="H162">
        <f t="shared" ca="1" si="13"/>
        <v>1355.7999103446457</v>
      </c>
      <c r="I162">
        <f t="shared" ca="1" si="14"/>
        <v>58144.754455392809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6812</v>
      </c>
      <c r="B165" s="66">
        <v>6812</v>
      </c>
      <c r="D165">
        <f t="shared" si="10"/>
        <v>8.9813569601561056</v>
      </c>
      <c r="E165">
        <f t="shared" si="11"/>
        <v>8.9813569601561056</v>
      </c>
      <c r="G165">
        <f t="shared" ca="1" si="12"/>
        <v>163</v>
      </c>
      <c r="H165">
        <f t="shared" ca="1" si="13"/>
        <v>1463.9611845054453</v>
      </c>
      <c r="I165">
        <f t="shared" ca="1" si="14"/>
        <v>66172.523893764825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3876</v>
      </c>
      <c r="B167" s="66">
        <v>3876</v>
      </c>
      <c r="D167">
        <f t="shared" si="10"/>
        <v>5.1103551934182425</v>
      </c>
      <c r="E167">
        <f t="shared" si="11"/>
        <v>5.1103551934182425</v>
      </c>
      <c r="G167">
        <f t="shared" ca="1" si="12"/>
        <v>165</v>
      </c>
      <c r="H167">
        <f t="shared" ca="1" si="13"/>
        <v>843.20860691401003</v>
      </c>
      <c r="I167">
        <f t="shared" ca="1" si="14"/>
        <v>39426.938849875172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1613</v>
      </c>
      <c r="B170" s="66">
        <v>1613</v>
      </c>
      <c r="D170">
        <f t="shared" si="10"/>
        <v>2.1266777417398415</v>
      </c>
      <c r="E170">
        <f t="shared" si="11"/>
        <v>2.1266777417398415</v>
      </c>
      <c r="G170">
        <f t="shared" ca="1" si="12"/>
        <v>168</v>
      </c>
      <c r="H170">
        <f t="shared" ca="1" si="13"/>
        <v>357.28186061229337</v>
      </c>
      <c r="I170">
        <f t="shared" ca="1" si="14"/>
        <v>17547.476310629339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2174</v>
      </c>
      <c r="B173" s="66">
        <v>2174</v>
      </c>
      <c r="D173">
        <f t="shared" si="10"/>
        <v>2.8663344144714289</v>
      </c>
      <c r="E173">
        <f t="shared" si="11"/>
        <v>2.8663344144714289</v>
      </c>
      <c r="G173">
        <f t="shared" ca="1" si="12"/>
        <v>171</v>
      </c>
      <c r="H173">
        <f t="shared" ca="1" si="13"/>
        <v>490.14318487461435</v>
      </c>
      <c r="I173">
        <f t="shared" ca="1" si="14"/>
        <v>25238.463029038889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998</v>
      </c>
      <c r="B175" s="66">
        <v>998</v>
      </c>
      <c r="D175">
        <f t="shared" si="10"/>
        <v>1.3158241700287425</v>
      </c>
      <c r="E175">
        <f t="shared" si="11"/>
        <v>1.3158241700287425</v>
      </c>
      <c r="G175">
        <f t="shared" ca="1" si="12"/>
        <v>173</v>
      </c>
      <c r="H175">
        <f t="shared" ca="1" si="13"/>
        <v>227.63758141497246</v>
      </c>
      <c r="I175">
        <f t="shared" ca="1" si="14"/>
        <v>12085.158506331923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1215</v>
      </c>
      <c r="B178" s="66">
        <v>1215</v>
      </c>
      <c r="D178">
        <f t="shared" si="10"/>
        <v>1.6019302270390001</v>
      </c>
      <c r="E178">
        <f t="shared" si="11"/>
        <v>1.6019302270390001</v>
      </c>
      <c r="G178">
        <f t="shared" ca="1" si="12"/>
        <v>176</v>
      </c>
      <c r="H178">
        <f t="shared" ca="1" si="13"/>
        <v>281.93971995886403</v>
      </c>
      <c r="I178">
        <f t="shared" ca="1" si="14"/>
        <v>15648.44321562044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751</v>
      </c>
      <c r="B180" s="66">
        <v>751</v>
      </c>
      <c r="D180">
        <f t="shared" si="10"/>
        <v>0.9901642802520898</v>
      </c>
      <c r="E180">
        <f t="shared" si="11"/>
        <v>0.9901642802520898</v>
      </c>
      <c r="G180">
        <f t="shared" ca="1" si="12"/>
        <v>178</v>
      </c>
      <c r="H180">
        <f t="shared" ca="1" si="13"/>
        <v>176.24924188487199</v>
      </c>
      <c r="I180">
        <f t="shared" ca="1" si="14"/>
        <v>10067.827138002835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250</v>
      </c>
      <c r="B183" s="66">
        <v>250</v>
      </c>
      <c r="D183">
        <f t="shared" si="10"/>
        <v>0.32961527305329219</v>
      </c>
      <c r="E183">
        <f t="shared" si="11"/>
        <v>0.32961527305329219</v>
      </c>
      <c r="G183">
        <f t="shared" ca="1" si="12"/>
        <v>181</v>
      </c>
      <c r="H183">
        <f t="shared" ca="1" si="13"/>
        <v>59.660364422645884</v>
      </c>
      <c r="I183">
        <f t="shared" ca="1" si="14"/>
        <v>3553.8621736983814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53</v>
      </c>
      <c r="B185" s="66">
        <v>53</v>
      </c>
      <c r="D185">
        <f t="shared" si="10"/>
        <v>6.9878437887297945E-2</v>
      </c>
      <c r="E185">
        <f t="shared" si="11"/>
        <v>6.9878437887297945E-2</v>
      </c>
      <c r="G185">
        <f t="shared" ca="1" si="12"/>
        <v>183</v>
      </c>
      <c r="H185">
        <f t="shared" ca="1" si="13"/>
        <v>12.787754133375524</v>
      </c>
      <c r="I185">
        <f t="shared" ca="1" si="14"/>
        <v>782.72179608150634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348</v>
      </c>
      <c r="B1" s="66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94.387895644561937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1.8223933697858536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0.55967180513668757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53</v>
      </c>
      <c r="B8" s="66">
        <v>53</v>
      </c>
      <c r="D8">
        <f t="shared" si="0"/>
        <v>4.7359485300688051E-2</v>
      </c>
      <c r="E8">
        <f t="shared" si="1"/>
        <v>4.7359485300688051E-2</v>
      </c>
      <c r="G8">
        <f t="shared" ca="1" si="2"/>
        <v>6</v>
      </c>
      <c r="H8">
        <f t="shared" ca="1" si="3"/>
        <v>0.28415691180412828</v>
      </c>
      <c r="I8">
        <f t="shared" ca="1" si="4"/>
        <v>369.99219472175895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917</v>
      </c>
      <c r="B10" s="66">
        <v>917</v>
      </c>
      <c r="D10">
        <f t="shared" si="0"/>
        <v>0.8194084532213386</v>
      </c>
      <c r="E10">
        <f t="shared" si="1"/>
        <v>0.8194084532213386</v>
      </c>
      <c r="G10">
        <f t="shared" ca="1" si="2"/>
        <v>8</v>
      </c>
      <c r="H10">
        <f t="shared" ca="1" si="3"/>
        <v>6.5552676257707088</v>
      </c>
      <c r="I10">
        <f t="shared" ca="1" si="4"/>
        <v>6115.1375455655243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1175</v>
      </c>
      <c r="B13" s="66">
        <v>1175</v>
      </c>
      <c r="D13">
        <f t="shared" si="0"/>
        <v>1.0499508533643107</v>
      </c>
      <c r="E13">
        <f t="shared" si="1"/>
        <v>1.0499508533643107</v>
      </c>
      <c r="G13">
        <f t="shared" ca="1" si="2"/>
        <v>11</v>
      </c>
      <c r="H13">
        <f t="shared" ca="1" si="3"/>
        <v>11.549459387007417</v>
      </c>
      <c r="I13">
        <f t="shared" ca="1" si="4"/>
        <v>7300.87645387661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1146</v>
      </c>
      <c r="B15" s="66">
        <v>1146</v>
      </c>
      <c r="D15">
        <f t="shared" si="0"/>
        <v>1.024037172728085</v>
      </c>
      <c r="E15">
        <f t="shared" si="1"/>
        <v>1.024037172728085</v>
      </c>
      <c r="G15">
        <f t="shared" ca="1" si="2"/>
        <v>13</v>
      </c>
      <c r="H15">
        <f t="shared" ca="1" si="3"/>
        <v>13.312483245465106</v>
      </c>
      <c r="I15">
        <f t="shared" ca="1" si="4"/>
        <v>6783.211538591564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3725</v>
      </c>
      <c r="B18" s="66">
        <v>3725</v>
      </c>
      <c r="D18">
        <f t="shared" si="0"/>
        <v>3.3285675989634527</v>
      </c>
      <c r="E18">
        <f t="shared" si="1"/>
        <v>3.3285675989634527</v>
      </c>
      <c r="G18">
        <f t="shared" ca="1" si="2"/>
        <v>16</v>
      </c>
      <c r="H18">
        <f t="shared" ca="1" si="3"/>
        <v>53.257081583415243</v>
      </c>
      <c r="I18">
        <f t="shared" ca="1" si="4"/>
        <v>20452.923450849499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978</v>
      </c>
      <c r="B21" s="66">
        <v>978</v>
      </c>
      <c r="D21">
        <f t="shared" si="0"/>
        <v>0.87391654007684749</v>
      </c>
      <c r="E21">
        <f t="shared" si="1"/>
        <v>0.87391654007684749</v>
      </c>
      <c r="G21">
        <f t="shared" ca="1" si="2"/>
        <v>19</v>
      </c>
      <c r="H21">
        <f t="shared" ca="1" si="3"/>
        <v>16.604414261460104</v>
      </c>
      <c r="I21">
        <f t="shared" ca="1" si="4"/>
        <v>4966.760293004756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1506</v>
      </c>
      <c r="B23" s="66">
        <v>1506</v>
      </c>
      <c r="D23">
        <f t="shared" si="0"/>
        <v>1.3457242426950229</v>
      </c>
      <c r="E23">
        <f t="shared" si="1"/>
        <v>1.3457242426950229</v>
      </c>
      <c r="G23">
        <f t="shared" ca="1" si="2"/>
        <v>21</v>
      </c>
      <c r="H23">
        <f t="shared" ca="1" si="3"/>
        <v>28.260209096595482</v>
      </c>
      <c r="I23">
        <f t="shared" ca="1" si="4"/>
        <v>7247.7790546586475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3520</v>
      </c>
      <c r="B26" s="66">
        <v>3520</v>
      </c>
      <c r="D26">
        <f t="shared" si="0"/>
        <v>3.145384684121169</v>
      </c>
      <c r="E26">
        <f t="shared" si="1"/>
        <v>3.145384684121169</v>
      </c>
      <c r="G26">
        <f t="shared" ca="1" si="2"/>
        <v>24</v>
      </c>
      <c r="H26">
        <f t="shared" ca="1" si="3"/>
        <v>75.48923241890806</v>
      </c>
      <c r="I26">
        <f t="shared" ca="1" si="4"/>
        <v>15583.669559029122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4936</v>
      </c>
      <c r="B28" s="66">
        <v>4936</v>
      </c>
      <c r="D28">
        <f t="shared" si="0"/>
        <v>4.410687159324457</v>
      </c>
      <c r="E28">
        <f t="shared" si="1"/>
        <v>4.410687159324457</v>
      </c>
      <c r="G28">
        <f t="shared" ca="1" si="2"/>
        <v>26</v>
      </c>
      <c r="H28">
        <f t="shared" ca="1" si="3"/>
        <v>114.67786614243587</v>
      </c>
      <c r="I28">
        <f t="shared" ca="1" si="4"/>
        <v>20628.361612128683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9241</v>
      </c>
      <c r="B31" s="66">
        <v>9241</v>
      </c>
      <c r="D31">
        <f t="shared" si="0"/>
        <v>8.2575283710124214</v>
      </c>
      <c r="E31">
        <f t="shared" si="1"/>
        <v>8.2575283710124214</v>
      </c>
      <c r="G31">
        <f t="shared" ca="1" si="2"/>
        <v>29</v>
      </c>
      <c r="H31">
        <f t="shared" ca="1" si="3"/>
        <v>239.46832275936023</v>
      </c>
      <c r="I31">
        <f t="shared" ca="1" si="4"/>
        <v>35305.697527970435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10167</v>
      </c>
      <c r="B33" s="66">
        <v>10167</v>
      </c>
      <c r="D33">
        <f t="shared" si="0"/>
        <v>9.0849790009829334</v>
      </c>
      <c r="E33">
        <f t="shared" si="1"/>
        <v>9.0849790009829334</v>
      </c>
      <c r="G33">
        <f t="shared" ca="1" si="2"/>
        <v>31</v>
      </c>
      <c r="H33">
        <f t="shared" ca="1" si="3"/>
        <v>281.63434903047096</v>
      </c>
      <c r="I33">
        <f t="shared" ca="1" si="4"/>
        <v>36503.675605341617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14744</v>
      </c>
      <c r="B36" s="66">
        <v>14744</v>
      </c>
      <c r="D36">
        <f t="shared" si="0"/>
        <v>13.174872665534805</v>
      </c>
      <c r="E36">
        <f t="shared" si="1"/>
        <v>13.174872665534805</v>
      </c>
      <c r="G36">
        <f t="shared" ca="1" si="2"/>
        <v>34</v>
      </c>
      <c r="H36">
        <f t="shared" ca="1" si="3"/>
        <v>447.94567062818334</v>
      </c>
      <c r="I36">
        <f t="shared" ca="1" si="4"/>
        <v>48044.781014154803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14685</v>
      </c>
      <c r="B39" s="66">
        <v>14685</v>
      </c>
      <c r="D39">
        <f t="shared" si="0"/>
        <v>13.122151729068001</v>
      </c>
      <c r="E39">
        <f t="shared" si="1"/>
        <v>13.122151729068001</v>
      </c>
      <c r="G39">
        <f t="shared" ca="1" si="2"/>
        <v>37</v>
      </c>
      <c r="H39">
        <f t="shared" ca="1" si="3"/>
        <v>485.51961397551605</v>
      </c>
      <c r="I39">
        <f t="shared" ca="1" si="4"/>
        <v>43216.108273805701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20439</v>
      </c>
      <c r="B41" s="66">
        <v>20439</v>
      </c>
      <c r="D41">
        <f t="shared" si="0"/>
        <v>18.26378339737289</v>
      </c>
      <c r="E41">
        <f t="shared" si="1"/>
        <v>18.26378339737289</v>
      </c>
      <c r="G41">
        <f t="shared" ca="1" si="2"/>
        <v>39</v>
      </c>
      <c r="H41">
        <f t="shared" ca="1" si="3"/>
        <v>712.28755249754272</v>
      </c>
      <c r="I41">
        <f t="shared" ca="1" si="4"/>
        <v>56029.981424898753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21358</v>
      </c>
      <c r="B44" s="66">
        <v>21358</v>
      </c>
      <c r="D44">
        <f t="shared" si="0"/>
        <v>19.084979000982933</v>
      </c>
      <c r="E44">
        <f t="shared" si="1"/>
        <v>19.084979000982933</v>
      </c>
      <c r="G44">
        <f t="shared" ca="1" si="2"/>
        <v>42</v>
      </c>
      <c r="H44">
        <f t="shared" ca="1" si="3"/>
        <v>801.56911804128322</v>
      </c>
      <c r="I44">
        <f t="shared" ca="1" si="4"/>
        <v>52378.564746474127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26450</v>
      </c>
      <c r="B46" s="66">
        <v>26450</v>
      </c>
      <c r="D46">
        <f t="shared" si="0"/>
        <v>23.635063890626395</v>
      </c>
      <c r="E46">
        <f t="shared" si="1"/>
        <v>23.635063890626395</v>
      </c>
      <c r="G46">
        <f t="shared" ca="1" si="2"/>
        <v>44</v>
      </c>
      <c r="H46">
        <f t="shared" ca="1" si="3"/>
        <v>1039.9428111875613</v>
      </c>
      <c r="I46">
        <f t="shared" ca="1" si="4"/>
        <v>60008.009764130213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31523</v>
      </c>
      <c r="B49" s="66">
        <v>31523</v>
      </c>
      <c r="D49">
        <f t="shared" si="0"/>
        <v>28.168170851577159</v>
      </c>
      <c r="E49">
        <f t="shared" si="1"/>
        <v>28.168170851577159</v>
      </c>
      <c r="G49">
        <f t="shared" ca="1" si="2"/>
        <v>47</v>
      </c>
      <c r="H49">
        <f t="shared" ca="1" si="3"/>
        <v>1323.9040300241265</v>
      </c>
      <c r="I49">
        <f t="shared" ca="1" si="4"/>
        <v>63254.800893628679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33084</v>
      </c>
      <c r="B51" s="66">
        <v>33084</v>
      </c>
      <c r="D51">
        <f t="shared" si="0"/>
        <v>29.563041729961576</v>
      </c>
      <c r="E51">
        <f t="shared" si="1"/>
        <v>29.563041729961576</v>
      </c>
      <c r="G51">
        <f t="shared" ca="1" si="2"/>
        <v>49</v>
      </c>
      <c r="H51">
        <f t="shared" ca="1" si="3"/>
        <v>1448.5890447681172</v>
      </c>
      <c r="I51">
        <f t="shared" ca="1" si="4"/>
        <v>60901.671409473471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39411</v>
      </c>
      <c r="B54" s="66">
        <v>39411</v>
      </c>
      <c r="D54">
        <f t="shared" si="0"/>
        <v>35.216691984630508</v>
      </c>
      <c r="E54">
        <f t="shared" si="1"/>
        <v>35.216691984630508</v>
      </c>
      <c r="G54">
        <f t="shared" ca="1" si="2"/>
        <v>52</v>
      </c>
      <c r="H54">
        <f t="shared" ca="1" si="3"/>
        <v>1831.2679832007864</v>
      </c>
      <c r="I54">
        <f t="shared" ca="1" si="4"/>
        <v>63275.017191792751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47523</v>
      </c>
      <c r="B57" s="66">
        <v>47523</v>
      </c>
      <c r="D57">
        <f t="shared" si="0"/>
        <v>42.465373961218837</v>
      </c>
      <c r="E57">
        <f t="shared" si="1"/>
        <v>42.465373961218837</v>
      </c>
      <c r="G57">
        <f t="shared" ca="1" si="2"/>
        <v>55</v>
      </c>
      <c r="H57">
        <f t="shared" ca="1" si="3"/>
        <v>2335.5955678670362</v>
      </c>
      <c r="I57">
        <f t="shared" ca="1" si="4"/>
        <v>65881.04968502713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57328</v>
      </c>
      <c r="B59" s="66">
        <v>57328</v>
      </c>
      <c r="D59">
        <f t="shared" si="0"/>
        <v>51.226878741846129</v>
      </c>
      <c r="E59">
        <f t="shared" si="1"/>
        <v>51.226878741846129</v>
      </c>
      <c r="G59">
        <f t="shared" ca="1" si="2"/>
        <v>57</v>
      </c>
      <c r="H59">
        <f t="shared" ca="1" si="3"/>
        <v>2919.9320882852294</v>
      </c>
      <c r="I59">
        <f t="shared" ca="1" si="4"/>
        <v>71607.735302021494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60291</v>
      </c>
      <c r="B62" s="66">
        <v>60291</v>
      </c>
      <c r="D62">
        <f t="shared" si="0"/>
        <v>53.874542042712896</v>
      </c>
      <c r="E62">
        <f t="shared" si="1"/>
        <v>53.874542042712896</v>
      </c>
      <c r="G62">
        <f t="shared" ca="1" si="2"/>
        <v>60</v>
      </c>
      <c r="H62">
        <f t="shared" ca="1" si="3"/>
        <v>3232.472522562774</v>
      </c>
      <c r="I62">
        <f t="shared" ca="1" si="4"/>
        <v>63708.120342626702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69138</v>
      </c>
      <c r="B64" s="66">
        <v>69138</v>
      </c>
      <c r="D64">
        <f t="shared" si="0"/>
        <v>61.78000178715039</v>
      </c>
      <c r="E64">
        <f t="shared" si="1"/>
        <v>61.78000178715039</v>
      </c>
      <c r="G64">
        <f t="shared" ca="1" si="2"/>
        <v>62</v>
      </c>
      <c r="H64">
        <f t="shared" ca="1" si="3"/>
        <v>3830.360110803324</v>
      </c>
      <c r="I64">
        <f t="shared" ca="1" si="4"/>
        <v>64805.725827683324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69743</v>
      </c>
      <c r="B67" s="66">
        <v>69743</v>
      </c>
      <c r="D67">
        <f t="shared" ref="D67:D130" si="5">IFERROR(100*A67/MAX(A$2:A$257), 0 )</f>
        <v>62.320614779733717</v>
      </c>
      <c r="E67">
        <f t="shared" ref="E67:E130" si="6">IFERROR(100*B67/MAX(B$2:B$257), 0 )</f>
        <v>62.320614779733717</v>
      </c>
      <c r="G67">
        <f t="shared" ref="G67:G130" ca="1" si="7">CELL("row",D67)-2</f>
        <v>65</v>
      </c>
      <c r="H67">
        <f t="shared" ref="H67:H130" ca="1" si="8">D67*G67</f>
        <v>4050.8399606826915</v>
      </c>
      <c r="I67">
        <f t="shared" ref="I67:I130" ca="1" si="9">D67*((G67-$L$1)^2)</f>
        <v>53823.099890643862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79384</v>
      </c>
      <c r="B69" s="66">
        <v>79384</v>
      </c>
      <c r="D69">
        <f t="shared" si="5"/>
        <v>70.935573228487172</v>
      </c>
      <c r="E69">
        <f t="shared" si="6"/>
        <v>70.935573228487172</v>
      </c>
      <c r="G69">
        <f t="shared" ca="1" si="7"/>
        <v>67</v>
      </c>
      <c r="H69">
        <f t="shared" ca="1" si="8"/>
        <v>4752.6834063086408</v>
      </c>
      <c r="I69">
        <f t="shared" ca="1" si="9"/>
        <v>53208.548459516867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87713</v>
      </c>
      <c r="B72" s="66">
        <v>87713</v>
      </c>
      <c r="D72">
        <f t="shared" si="5"/>
        <v>78.378161022250026</v>
      </c>
      <c r="E72">
        <f t="shared" si="6"/>
        <v>78.378161022250026</v>
      </c>
      <c r="G72">
        <f t="shared" ca="1" si="7"/>
        <v>70</v>
      </c>
      <c r="H72">
        <f t="shared" ca="1" si="8"/>
        <v>5486.4712715575015</v>
      </c>
      <c r="I72">
        <f t="shared" ca="1" si="9"/>
        <v>46616.93603437976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87996</v>
      </c>
      <c r="B75" s="66">
        <v>87996</v>
      </c>
      <c r="D75">
        <f t="shared" si="5"/>
        <v>78.631042802251812</v>
      </c>
      <c r="E75">
        <f t="shared" si="6"/>
        <v>78.631042802251812</v>
      </c>
      <c r="G75">
        <f t="shared" ca="1" si="7"/>
        <v>73</v>
      </c>
      <c r="H75">
        <f t="shared" ca="1" si="8"/>
        <v>5740.0661245643823</v>
      </c>
      <c r="I75">
        <f t="shared" ca="1" si="9"/>
        <v>35969.147780104264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99332</v>
      </c>
      <c r="B77" s="66">
        <v>99332</v>
      </c>
      <c r="D77">
        <f t="shared" si="5"/>
        <v>88.760611205432937</v>
      </c>
      <c r="E77">
        <f t="shared" si="6"/>
        <v>88.760611205432937</v>
      </c>
      <c r="G77">
        <f t="shared" ca="1" si="7"/>
        <v>75</v>
      </c>
      <c r="H77">
        <f t="shared" ca="1" si="8"/>
        <v>6657.0458404074707</v>
      </c>
      <c r="I77">
        <f t="shared" ca="1" si="9"/>
        <v>33364.270306582126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96030</v>
      </c>
      <c r="B80" s="66">
        <v>96030</v>
      </c>
      <c r="D80">
        <f t="shared" si="5"/>
        <v>85.810025913680633</v>
      </c>
      <c r="E80">
        <f t="shared" si="6"/>
        <v>85.810025913680633</v>
      </c>
      <c r="G80">
        <f t="shared" ca="1" si="7"/>
        <v>78</v>
      </c>
      <c r="H80">
        <f t="shared" ca="1" si="8"/>
        <v>6693.1820212670891</v>
      </c>
      <c r="I80">
        <f t="shared" ca="1" si="9"/>
        <v>23045.408600470655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102986</v>
      </c>
      <c r="B82" s="66">
        <v>102986</v>
      </c>
      <c r="D82">
        <f t="shared" si="5"/>
        <v>92.025734965597351</v>
      </c>
      <c r="E82">
        <f t="shared" si="6"/>
        <v>92.025734965597351</v>
      </c>
      <c r="G82">
        <f t="shared" ca="1" si="7"/>
        <v>80</v>
      </c>
      <c r="H82">
        <f t="shared" ca="1" si="8"/>
        <v>7362.0587972477879</v>
      </c>
      <c r="I82">
        <f t="shared" ca="1" si="9"/>
        <v>19050.389214137918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107367</v>
      </c>
      <c r="B85" s="66">
        <v>107367</v>
      </c>
      <c r="D85">
        <f t="shared" si="5"/>
        <v>95.940487892056112</v>
      </c>
      <c r="E85">
        <f t="shared" si="6"/>
        <v>95.940487892056112</v>
      </c>
      <c r="G85">
        <f t="shared" ca="1" si="7"/>
        <v>83</v>
      </c>
      <c r="H85">
        <f t="shared" ca="1" si="8"/>
        <v>7963.0604950406569</v>
      </c>
      <c r="I85">
        <f t="shared" ca="1" si="9"/>
        <v>12441.962274139843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111910</v>
      </c>
      <c r="B88" s="66">
        <v>111910</v>
      </c>
      <c r="D88">
        <f t="shared" si="5"/>
        <v>100</v>
      </c>
      <c r="E88">
        <f t="shared" si="6"/>
        <v>100</v>
      </c>
      <c r="G88">
        <f t="shared" ca="1" si="7"/>
        <v>86</v>
      </c>
      <c r="H88">
        <f t="shared" ca="1" si="8"/>
        <v>8600</v>
      </c>
      <c r="I88">
        <f t="shared" ca="1" si="9"/>
        <v>7035.6793344061107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106218</v>
      </c>
      <c r="B90" s="66">
        <v>106218</v>
      </c>
      <c r="D90">
        <f t="shared" si="5"/>
        <v>94.913769993744978</v>
      </c>
      <c r="E90">
        <f t="shared" si="6"/>
        <v>94.913769993744978</v>
      </c>
      <c r="G90">
        <f t="shared" ca="1" si="7"/>
        <v>88</v>
      </c>
      <c r="H90">
        <f t="shared" ca="1" si="8"/>
        <v>8352.4117594495583</v>
      </c>
      <c r="I90">
        <f t="shared" ca="1" si="9"/>
        <v>3872.9763891726952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100324</v>
      </c>
      <c r="B93" s="66">
        <v>100324</v>
      </c>
      <c r="D93">
        <f t="shared" si="5"/>
        <v>89.647037798230727</v>
      </c>
      <c r="E93">
        <f t="shared" si="6"/>
        <v>89.647037798230727</v>
      </c>
      <c r="G93">
        <f t="shared" ca="1" si="7"/>
        <v>91</v>
      </c>
      <c r="H93">
        <f t="shared" ca="1" si="8"/>
        <v>8157.880439638996</v>
      </c>
      <c r="I93">
        <f t="shared" ca="1" si="9"/>
        <v>1028.9540782765341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95364</v>
      </c>
      <c r="B95" s="66">
        <v>95364</v>
      </c>
      <c r="D95">
        <f t="shared" si="5"/>
        <v>85.214904834241807</v>
      </c>
      <c r="E95">
        <f t="shared" si="6"/>
        <v>85.214904834241807</v>
      </c>
      <c r="G95">
        <f t="shared" ca="1" si="7"/>
        <v>93</v>
      </c>
      <c r="H95">
        <f t="shared" ca="1" si="8"/>
        <v>7924.986149584488</v>
      </c>
      <c r="I95">
        <f t="shared" ca="1" si="9"/>
        <v>164.14557858187831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96776</v>
      </c>
      <c r="B98" s="66">
        <v>96776</v>
      </c>
      <c r="D98">
        <f t="shared" si="5"/>
        <v>86.476633008667676</v>
      </c>
      <c r="E98">
        <f t="shared" si="6"/>
        <v>86.476633008667676</v>
      </c>
      <c r="G98">
        <f t="shared" ca="1" si="7"/>
        <v>96</v>
      </c>
      <c r="H98">
        <f t="shared" ca="1" si="8"/>
        <v>8301.756768832096</v>
      </c>
      <c r="I98">
        <f t="shared" ca="1" si="9"/>
        <v>224.74243115212047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98447</v>
      </c>
      <c r="B100" s="66">
        <v>98447</v>
      </c>
      <c r="D100">
        <f t="shared" si="5"/>
        <v>87.969797158430879</v>
      </c>
      <c r="E100">
        <f t="shared" si="6"/>
        <v>87.969797158430879</v>
      </c>
      <c r="G100">
        <f t="shared" ca="1" si="7"/>
        <v>98</v>
      </c>
      <c r="H100">
        <f t="shared" ca="1" si="8"/>
        <v>8621.0401215262264</v>
      </c>
      <c r="I100">
        <f t="shared" ca="1" si="9"/>
        <v>1147.7681474919564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95545</v>
      </c>
      <c r="B103" s="66">
        <v>95545</v>
      </c>
      <c r="D103">
        <f t="shared" si="5"/>
        <v>85.376641944419617</v>
      </c>
      <c r="E103">
        <f t="shared" si="6"/>
        <v>85.376641944419617</v>
      </c>
      <c r="G103">
        <f t="shared" ca="1" si="7"/>
        <v>101</v>
      </c>
      <c r="H103">
        <f t="shared" ca="1" si="8"/>
        <v>8623.0408363863808</v>
      </c>
      <c r="I103">
        <f t="shared" ca="1" si="9"/>
        <v>3732.6602978002061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88794</v>
      </c>
      <c r="B106" s="66">
        <v>88794</v>
      </c>
      <c r="D106">
        <f t="shared" si="5"/>
        <v>79.34411580734519</v>
      </c>
      <c r="E106">
        <f t="shared" si="6"/>
        <v>79.34411580734519</v>
      </c>
      <c r="G106">
        <f t="shared" ca="1" si="7"/>
        <v>104</v>
      </c>
      <c r="H106">
        <f t="shared" ca="1" si="8"/>
        <v>8251.7880439638993</v>
      </c>
      <c r="I106">
        <f t="shared" ca="1" si="9"/>
        <v>7330.8051980307282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86141</v>
      </c>
      <c r="B108" s="66">
        <v>86141</v>
      </c>
      <c r="D108">
        <f t="shared" si="5"/>
        <v>76.973460816727723</v>
      </c>
      <c r="E108">
        <f t="shared" si="6"/>
        <v>76.973460816727723</v>
      </c>
      <c r="G108">
        <f t="shared" ca="1" si="7"/>
        <v>106</v>
      </c>
      <c r="H108">
        <f t="shared" ca="1" si="8"/>
        <v>8159.1868465731386</v>
      </c>
      <c r="I108">
        <f t="shared" ca="1" si="9"/>
        <v>10379.175933091214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86221</v>
      </c>
      <c r="B111" s="66">
        <v>86221</v>
      </c>
      <c r="D111">
        <f t="shared" si="5"/>
        <v>77.04494683227594</v>
      </c>
      <c r="E111">
        <f t="shared" si="6"/>
        <v>77.04494683227594</v>
      </c>
      <c r="G111">
        <f t="shared" ca="1" si="7"/>
        <v>109</v>
      </c>
      <c r="H111">
        <f t="shared" ca="1" si="8"/>
        <v>8397.8992047180782</v>
      </c>
      <c r="I111">
        <f t="shared" ca="1" si="9"/>
        <v>16450.143474138735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79563</v>
      </c>
      <c r="B113" s="66">
        <v>79563</v>
      </c>
      <c r="D113">
        <f t="shared" si="5"/>
        <v>71.095523188276289</v>
      </c>
      <c r="E113">
        <f t="shared" si="6"/>
        <v>71.095523188276289</v>
      </c>
      <c r="G113">
        <f t="shared" ca="1" si="7"/>
        <v>111</v>
      </c>
      <c r="H113">
        <f t="shared" ca="1" si="8"/>
        <v>7891.6030738986683</v>
      </c>
      <c r="I113">
        <f t="shared" ca="1" si="9"/>
        <v>19619.663560378398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78647</v>
      </c>
      <c r="B116" s="66">
        <v>78647</v>
      </c>
      <c r="D116">
        <f t="shared" si="5"/>
        <v>70.2770083102493</v>
      </c>
      <c r="E116">
        <f t="shared" si="6"/>
        <v>70.2770083102493</v>
      </c>
      <c r="G116">
        <f t="shared" ca="1" si="7"/>
        <v>114</v>
      </c>
      <c r="H116">
        <f t="shared" ca="1" si="8"/>
        <v>8011.5789473684199</v>
      </c>
      <c r="I116">
        <f t="shared" ca="1" si="9"/>
        <v>27030.97159832907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78108</v>
      </c>
      <c r="B118" s="66">
        <v>78108</v>
      </c>
      <c r="D118">
        <f t="shared" si="5"/>
        <v>69.795371280493256</v>
      </c>
      <c r="E118">
        <f t="shared" si="6"/>
        <v>69.795371280493256</v>
      </c>
      <c r="G118">
        <f t="shared" ca="1" si="7"/>
        <v>116</v>
      </c>
      <c r="H118">
        <f t="shared" ca="1" si="8"/>
        <v>8096.2630685372178</v>
      </c>
      <c r="I118">
        <f t="shared" ca="1" si="9"/>
        <v>32600.235219543651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74126</v>
      </c>
      <c r="B121" s="66">
        <v>74126</v>
      </c>
      <c r="D121">
        <f t="shared" si="5"/>
        <v>66.237154856581185</v>
      </c>
      <c r="E121">
        <f t="shared" si="6"/>
        <v>66.237154856581185</v>
      </c>
      <c r="G121">
        <f t="shared" ca="1" si="7"/>
        <v>119</v>
      </c>
      <c r="H121">
        <f t="shared" ca="1" si="8"/>
        <v>7882.2214279331611</v>
      </c>
      <c r="I121">
        <f t="shared" ca="1" si="9"/>
        <v>40123.532834600308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72803</v>
      </c>
      <c r="B124" s="66">
        <v>72803</v>
      </c>
      <c r="D124">
        <f t="shared" si="5"/>
        <v>65.05495487445269</v>
      </c>
      <c r="E124">
        <f t="shared" si="6"/>
        <v>65.05495487445269</v>
      </c>
      <c r="G124">
        <f t="shared" ca="1" si="7"/>
        <v>122</v>
      </c>
      <c r="H124">
        <f t="shared" ca="1" si="8"/>
        <v>7936.7044946832284</v>
      </c>
      <c r="I124">
        <f t="shared" ca="1" si="9"/>
        <v>49599.739102700929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74669</v>
      </c>
      <c r="B126" s="66">
        <v>74669</v>
      </c>
      <c r="D126">
        <f t="shared" si="5"/>
        <v>66.722366187114645</v>
      </c>
      <c r="E126">
        <f t="shared" si="6"/>
        <v>66.722366187114645</v>
      </c>
      <c r="G126">
        <f t="shared" ca="1" si="7"/>
        <v>124</v>
      </c>
      <c r="H126">
        <f t="shared" ca="1" si="8"/>
        <v>8273.5734072022151</v>
      </c>
      <c r="I126">
        <f t="shared" ca="1" si="9"/>
        <v>58507.289903528959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74810</v>
      </c>
      <c r="B129" s="66">
        <v>74810</v>
      </c>
      <c r="D129">
        <f t="shared" si="5"/>
        <v>66.848360289518368</v>
      </c>
      <c r="E129">
        <f t="shared" si="6"/>
        <v>66.848360289518368</v>
      </c>
      <c r="G129">
        <f t="shared" ca="1" si="7"/>
        <v>127</v>
      </c>
      <c r="H129">
        <f t="shared" ca="1" si="8"/>
        <v>8489.7417567688335</v>
      </c>
      <c r="I129">
        <f t="shared" ca="1" si="9"/>
        <v>71096.530167237594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66487</v>
      </c>
      <c r="B131" s="66">
        <v>66487</v>
      </c>
      <c r="D131">
        <f t="shared" ref="D131:D194" si="10">IFERROR(100*A131/MAX(A$2:A$257), 0 )</f>
        <v>59.41113394692163</v>
      </c>
      <c r="E131">
        <f t="shared" ref="E131:E194" si="11">IFERROR(100*B131/MAX(B$2:B$257), 0 )</f>
        <v>59.41113394692163</v>
      </c>
      <c r="G131">
        <f t="shared" ref="G131:G194" ca="1" si="12">CELL("row",D131)-2</f>
        <v>129</v>
      </c>
      <c r="H131">
        <f t="shared" ref="H131:H194" ca="1" si="13">D131*G131</f>
        <v>7664.0362791528905</v>
      </c>
      <c r="I131">
        <f t="shared" ref="I131:I194" ca="1" si="14">D131*((G131-$L$1)^2)</f>
        <v>71174.405857517195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63074</v>
      </c>
      <c r="B134" s="66">
        <v>63074</v>
      </c>
      <c r="D134">
        <f t="shared" si="10"/>
        <v>56.361361808596193</v>
      </c>
      <c r="E134">
        <f t="shared" si="11"/>
        <v>56.361361808596193</v>
      </c>
      <c r="G134">
        <f t="shared" ca="1" si="12"/>
        <v>132</v>
      </c>
      <c r="H134">
        <f t="shared" ca="1" si="13"/>
        <v>7439.6997587346978</v>
      </c>
      <c r="I134">
        <f t="shared" ca="1" si="14"/>
        <v>79732.749918643676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52604</v>
      </c>
      <c r="B136" s="66">
        <v>52604</v>
      </c>
      <c r="D136">
        <f t="shared" si="10"/>
        <v>47.005629523724423</v>
      </c>
      <c r="E136">
        <f t="shared" si="11"/>
        <v>47.005629523724423</v>
      </c>
      <c r="G136">
        <f t="shared" ca="1" si="12"/>
        <v>134</v>
      </c>
      <c r="H136">
        <f t="shared" ca="1" si="13"/>
        <v>6298.7543561790726</v>
      </c>
      <c r="I136">
        <f t="shared" ca="1" si="14"/>
        <v>73757.417530482999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47365</v>
      </c>
      <c r="B139" s="66">
        <v>47365</v>
      </c>
      <c r="D139">
        <f t="shared" si="10"/>
        <v>42.324189080511125</v>
      </c>
      <c r="E139">
        <f t="shared" si="11"/>
        <v>42.324189080511125</v>
      </c>
      <c r="G139">
        <f t="shared" ca="1" si="12"/>
        <v>137</v>
      </c>
      <c r="H139">
        <f t="shared" ca="1" si="13"/>
        <v>5798.4139040300242</v>
      </c>
      <c r="I139">
        <f t="shared" ca="1" si="14"/>
        <v>76851.900135702337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42700</v>
      </c>
      <c r="B142" s="66">
        <v>42700</v>
      </c>
      <c r="D142">
        <f t="shared" si="10"/>
        <v>38.155660798856225</v>
      </c>
      <c r="E142">
        <f t="shared" si="11"/>
        <v>38.155660798856225</v>
      </c>
      <c r="G142">
        <f t="shared" ca="1" si="12"/>
        <v>140</v>
      </c>
      <c r="H142">
        <f t="shared" ca="1" si="13"/>
        <v>5341.7925118398716</v>
      </c>
      <c r="I142">
        <f t="shared" ca="1" si="14"/>
        <v>79381.481119944219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38066</v>
      </c>
      <c r="B144" s="66">
        <v>38066</v>
      </c>
      <c r="D144">
        <f t="shared" si="10"/>
        <v>34.014833348226254</v>
      </c>
      <c r="E144">
        <f t="shared" si="11"/>
        <v>34.014833348226254</v>
      </c>
      <c r="G144">
        <f t="shared" ca="1" si="12"/>
        <v>142</v>
      </c>
      <c r="H144">
        <f t="shared" ca="1" si="13"/>
        <v>4830.1063354481284</v>
      </c>
      <c r="I144">
        <f t="shared" ca="1" si="14"/>
        <v>77108.650261437608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29778</v>
      </c>
      <c r="B147" s="66">
        <v>29778</v>
      </c>
      <c r="D147">
        <f t="shared" si="10"/>
        <v>26.608882137431866</v>
      </c>
      <c r="E147">
        <f t="shared" si="11"/>
        <v>26.608882137431866</v>
      </c>
      <c r="G147">
        <f t="shared" ca="1" si="12"/>
        <v>145</v>
      </c>
      <c r="H147">
        <f t="shared" ca="1" si="13"/>
        <v>3858.2879099276206</v>
      </c>
      <c r="I147">
        <f t="shared" ca="1" si="14"/>
        <v>68160.91620476736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22021</v>
      </c>
      <c r="B149" s="66">
        <v>22021</v>
      </c>
      <c r="D149">
        <f t="shared" si="10"/>
        <v>19.677419354838708</v>
      </c>
      <c r="E149">
        <f t="shared" si="11"/>
        <v>19.677419354838708</v>
      </c>
      <c r="G149">
        <f t="shared" ca="1" si="12"/>
        <v>147</v>
      </c>
      <c r="H149">
        <f t="shared" ca="1" si="13"/>
        <v>2892.5806451612902</v>
      </c>
      <c r="I149">
        <f t="shared" ca="1" si="14"/>
        <v>54467.756453921866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18410</v>
      </c>
      <c r="B152" s="66">
        <v>18410</v>
      </c>
      <c r="D152">
        <f t="shared" si="10"/>
        <v>16.450719328031454</v>
      </c>
      <c r="E152">
        <f t="shared" si="11"/>
        <v>16.450719328031454</v>
      </c>
      <c r="G152">
        <f t="shared" ca="1" si="12"/>
        <v>150</v>
      </c>
      <c r="H152">
        <f t="shared" ca="1" si="13"/>
        <v>2467.6078992047183</v>
      </c>
      <c r="I152">
        <f t="shared" ca="1" si="14"/>
        <v>50877.240851547547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14910</v>
      </c>
      <c r="B154" s="66">
        <v>14910</v>
      </c>
      <c r="D154">
        <f t="shared" si="10"/>
        <v>13.323206147797338</v>
      </c>
      <c r="E154">
        <f t="shared" si="11"/>
        <v>13.323206147797338</v>
      </c>
      <c r="G154">
        <f t="shared" ca="1" si="12"/>
        <v>152</v>
      </c>
      <c r="H154">
        <f t="shared" ca="1" si="13"/>
        <v>2025.1273344651954</v>
      </c>
      <c r="I154">
        <f t="shared" ca="1" si="14"/>
        <v>44221.780549356372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14359</v>
      </c>
      <c r="B157" s="66">
        <v>14359</v>
      </c>
      <c r="D157">
        <f t="shared" si="10"/>
        <v>12.830846215709052</v>
      </c>
      <c r="E157">
        <f t="shared" si="11"/>
        <v>12.830846215709052</v>
      </c>
      <c r="G157">
        <f t="shared" ca="1" si="12"/>
        <v>155</v>
      </c>
      <c r="H157">
        <f t="shared" ca="1" si="13"/>
        <v>1988.781163434903</v>
      </c>
      <c r="I157">
        <f t="shared" ca="1" si="14"/>
        <v>47138.311754365852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10389</v>
      </c>
      <c r="B160" s="66">
        <v>10389</v>
      </c>
      <c r="D160">
        <f t="shared" si="10"/>
        <v>9.2833526941292117</v>
      </c>
      <c r="E160">
        <f t="shared" si="11"/>
        <v>9.2833526941292117</v>
      </c>
      <c r="G160">
        <f t="shared" ca="1" si="12"/>
        <v>158</v>
      </c>
      <c r="H160">
        <f t="shared" ca="1" si="13"/>
        <v>1466.7697256724155</v>
      </c>
      <c r="I160">
        <f t="shared" ca="1" si="14"/>
        <v>37565.085010684015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6376</v>
      </c>
      <c r="B162" s="66">
        <v>6376</v>
      </c>
      <c r="D162">
        <f t="shared" si="10"/>
        <v>5.6974354391922084</v>
      </c>
      <c r="E162">
        <f t="shared" si="11"/>
        <v>5.6974354391922084</v>
      </c>
      <c r="G162">
        <f t="shared" ca="1" si="12"/>
        <v>160</v>
      </c>
      <c r="H162">
        <f t="shared" ca="1" si="13"/>
        <v>911.58967027075334</v>
      </c>
      <c r="I162">
        <f t="shared" ca="1" si="14"/>
        <v>24527.164654778084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3848</v>
      </c>
      <c r="B165" s="66">
        <v>3848</v>
      </c>
      <c r="D165">
        <f t="shared" si="10"/>
        <v>3.4384773478688233</v>
      </c>
      <c r="E165">
        <f t="shared" si="11"/>
        <v>3.4384773478688233</v>
      </c>
      <c r="G165">
        <f t="shared" ca="1" si="12"/>
        <v>163</v>
      </c>
      <c r="H165">
        <f t="shared" ca="1" si="13"/>
        <v>560.47180770261821</v>
      </c>
      <c r="I165">
        <f t="shared" ca="1" si="14"/>
        <v>16187.047703498973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2749</v>
      </c>
      <c r="B167" s="66">
        <v>2749</v>
      </c>
      <c r="D167">
        <f t="shared" si="10"/>
        <v>2.4564382092753103</v>
      </c>
      <c r="E167">
        <f t="shared" si="11"/>
        <v>2.4564382092753103</v>
      </c>
      <c r="G167">
        <f t="shared" ca="1" si="12"/>
        <v>165</v>
      </c>
      <c r="H167">
        <f t="shared" ca="1" si="13"/>
        <v>405.31230453042622</v>
      </c>
      <c r="I167">
        <f t="shared" ca="1" si="14"/>
        <v>12247.971097178539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1941</v>
      </c>
      <c r="B170" s="66">
        <v>1941</v>
      </c>
      <c r="D170">
        <f t="shared" si="10"/>
        <v>1.7344294522384058</v>
      </c>
      <c r="E170">
        <f t="shared" si="11"/>
        <v>1.7344294522384058</v>
      </c>
      <c r="G170">
        <f t="shared" ca="1" si="12"/>
        <v>168</v>
      </c>
      <c r="H170">
        <f t="shared" ca="1" si="13"/>
        <v>291.38414797605219</v>
      </c>
      <c r="I170">
        <f t="shared" ca="1" si="14"/>
        <v>9398.4255586822346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2245</v>
      </c>
      <c r="B173" s="66">
        <v>2245</v>
      </c>
      <c r="D173">
        <f t="shared" si="10"/>
        <v>2.0060763113215976</v>
      </c>
      <c r="E173">
        <f t="shared" si="11"/>
        <v>2.0060763113215976</v>
      </c>
      <c r="G173">
        <f t="shared" ca="1" si="12"/>
        <v>171</v>
      </c>
      <c r="H173">
        <f t="shared" ca="1" si="13"/>
        <v>343.03904923599316</v>
      </c>
      <c r="I173">
        <f t="shared" ca="1" si="14"/>
        <v>11774.493457519751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1950</v>
      </c>
      <c r="B175" s="66">
        <v>1950</v>
      </c>
      <c r="D175">
        <f t="shared" si="10"/>
        <v>1.7424716289875792</v>
      </c>
      <c r="E175">
        <f t="shared" si="11"/>
        <v>1.7424716289875792</v>
      </c>
      <c r="G175">
        <f t="shared" ca="1" si="12"/>
        <v>173</v>
      </c>
      <c r="H175">
        <f t="shared" ca="1" si="13"/>
        <v>301.44759181485119</v>
      </c>
      <c r="I175">
        <f t="shared" ca="1" si="14"/>
        <v>10768.235863480524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1108</v>
      </c>
      <c r="B178" s="66">
        <v>1108</v>
      </c>
      <c r="D178">
        <f t="shared" si="10"/>
        <v>0.99008131534268606</v>
      </c>
      <c r="E178">
        <f t="shared" si="11"/>
        <v>0.99008131534268606</v>
      </c>
      <c r="G178">
        <f t="shared" ca="1" si="12"/>
        <v>176</v>
      </c>
      <c r="H178">
        <f t="shared" ca="1" si="13"/>
        <v>174.25431150031275</v>
      </c>
      <c r="I178">
        <f t="shared" ca="1" si="14"/>
        <v>6594.471825282626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851</v>
      </c>
      <c r="B180" s="66">
        <v>851</v>
      </c>
      <c r="D180">
        <f t="shared" si="10"/>
        <v>0.76043249039406668</v>
      </c>
      <c r="E180">
        <f t="shared" si="11"/>
        <v>0.76043249039406668</v>
      </c>
      <c r="G180">
        <f t="shared" ca="1" si="12"/>
        <v>178</v>
      </c>
      <c r="H180">
        <f t="shared" ca="1" si="13"/>
        <v>135.35698329014386</v>
      </c>
      <c r="I180">
        <f t="shared" ca="1" si="14"/>
        <v>5316.1713694287464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208</v>
      </c>
      <c r="B183" s="66">
        <v>208</v>
      </c>
      <c r="D183">
        <f t="shared" si="10"/>
        <v>0.18586364042534179</v>
      </c>
      <c r="E183">
        <f t="shared" si="11"/>
        <v>0.18586364042534179</v>
      </c>
      <c r="G183">
        <f t="shared" ca="1" si="12"/>
        <v>181</v>
      </c>
      <c r="H183">
        <f t="shared" ca="1" si="13"/>
        <v>33.641318916986862</v>
      </c>
      <c r="I183">
        <f t="shared" ca="1" si="14"/>
        <v>1394.2852087771216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350</v>
      </c>
      <c r="B1" s="68" t="s">
        <v>351</v>
      </c>
      <c r="C1" s="32" t="s">
        <v>352</v>
      </c>
      <c r="D1" s="32" t="s">
        <v>353</v>
      </c>
      <c r="E1" s="32" t="s">
        <v>354</v>
      </c>
    </row>
    <row r="2" spans="1:5">
      <c r="A2" s="68">
        <v>0.18897</v>
      </c>
      <c r="B2" s="68">
        <v>0.60217100000000001</v>
      </c>
      <c r="C2" s="68">
        <v>0</v>
      </c>
      <c r="D2" s="68">
        <v>1</v>
      </c>
      <c r="E2" s="68" t="s">
        <v>355</v>
      </c>
    </row>
    <row r="3" spans="1:5">
      <c r="A3" s="68">
        <v>0.19351399999999999</v>
      </c>
      <c r="B3" s="68">
        <v>0.59461399999999998</v>
      </c>
      <c r="C3" s="68">
        <v>0.383936</v>
      </c>
      <c r="D3" s="89">
        <v>1</v>
      </c>
      <c r="E3" s="68" t="s">
        <v>356</v>
      </c>
    </row>
    <row r="4" spans="1:5">
      <c r="A4" s="68">
        <v>0.19799900000000001</v>
      </c>
      <c r="B4" s="68">
        <v>0.58620700000000003</v>
      </c>
      <c r="C4" s="68">
        <v>0.79484600000000005</v>
      </c>
      <c r="D4" s="89">
        <v>1</v>
      </c>
      <c r="E4" s="68" t="s">
        <v>357</v>
      </c>
    </row>
    <row r="5" spans="1:5">
      <c r="A5" s="89">
        <v>0.202433</v>
      </c>
      <c r="B5" s="89">
        <v>0.57644600000000001</v>
      </c>
      <c r="C5" s="89">
        <v>1.2047600000000001</v>
      </c>
      <c r="D5" s="89">
        <v>1</v>
      </c>
      <c r="E5" s="68" t="s">
        <v>358</v>
      </c>
    </row>
    <row r="6" spans="1:5">
      <c r="A6" s="68">
        <v>0.20693</v>
      </c>
      <c r="B6" s="68">
        <v>0.56542800000000004</v>
      </c>
      <c r="C6" s="68">
        <v>1.6096699999999999</v>
      </c>
      <c r="D6" s="68">
        <v>1</v>
      </c>
      <c r="E6" s="68" t="s">
        <v>359</v>
      </c>
    </row>
    <row r="7" spans="1:5">
      <c r="A7" s="68">
        <v>0.21133399999999999</v>
      </c>
      <c r="B7" s="68">
        <v>0.554755</v>
      </c>
      <c r="C7" s="68">
        <v>2.01362</v>
      </c>
      <c r="D7" s="68">
        <v>1</v>
      </c>
      <c r="E7" s="68" t="s">
        <v>360</v>
      </c>
    </row>
    <row r="8" spans="1:5">
      <c r="A8" s="68">
        <v>0.21542900000000001</v>
      </c>
      <c r="B8" s="68">
        <v>0.54384900000000003</v>
      </c>
      <c r="C8" s="68">
        <v>2.41879</v>
      </c>
      <c r="D8" s="68">
        <v>1</v>
      </c>
      <c r="E8" s="68" t="s">
        <v>361</v>
      </c>
    </row>
    <row r="9" spans="1:5">
      <c r="A9" s="68">
        <v>0.21928600000000001</v>
      </c>
      <c r="B9" s="68">
        <v>0.53274900000000003</v>
      </c>
      <c r="C9" s="68">
        <v>2.8207</v>
      </c>
      <c r="D9" s="68">
        <v>1</v>
      </c>
      <c r="E9" s="68" t="s">
        <v>362</v>
      </c>
    </row>
    <row r="10" spans="1:5">
      <c r="A10" s="68">
        <v>0.223331</v>
      </c>
      <c r="B10" s="68">
        <v>0.520903</v>
      </c>
      <c r="C10" s="68">
        <v>3.2344599999999999</v>
      </c>
      <c r="D10" s="68">
        <v>1</v>
      </c>
      <c r="E10" s="68" t="s">
        <v>363</v>
      </c>
    </row>
    <row r="11" spans="1:5">
      <c r="A11" s="68">
        <v>0.227663</v>
      </c>
      <c r="B11" s="68">
        <v>0.50836199999999998</v>
      </c>
      <c r="C11" s="68">
        <v>3.63917</v>
      </c>
      <c r="D11" s="68">
        <v>1</v>
      </c>
      <c r="E11" s="68" t="s">
        <v>364</v>
      </c>
    </row>
    <row r="12" spans="1:5">
      <c r="A12" s="68">
        <v>0.23211799999999999</v>
      </c>
      <c r="B12" s="68">
        <v>0.49518400000000001</v>
      </c>
      <c r="C12" s="68">
        <v>4.0441000000000003</v>
      </c>
      <c r="D12" s="68">
        <v>1</v>
      </c>
      <c r="E12" s="68" t="s">
        <v>365</v>
      </c>
    </row>
    <row r="13" spans="1:5">
      <c r="A13" s="68">
        <v>0.23679600000000001</v>
      </c>
      <c r="B13" s="68">
        <v>0.481765</v>
      </c>
      <c r="C13" s="68">
        <v>4.4503599999999999</v>
      </c>
      <c r="D13" s="68">
        <v>1</v>
      </c>
      <c r="E13" s="68" t="s">
        <v>366</v>
      </c>
    </row>
    <row r="14" spans="1:5">
      <c r="A14" s="68">
        <v>0.24160899999999999</v>
      </c>
      <c r="B14" s="68">
        <v>0.46813300000000002</v>
      </c>
      <c r="C14" s="68">
        <v>4.8579499999999998</v>
      </c>
      <c r="D14" s="68">
        <v>1</v>
      </c>
      <c r="E14" s="68" t="s">
        <v>367</v>
      </c>
    </row>
    <row r="15" spans="1:5">
      <c r="A15" s="68">
        <v>0.24649699999999999</v>
      </c>
      <c r="B15" s="68">
        <v>0.455181</v>
      </c>
      <c r="C15" s="68">
        <v>5.2668799999999996</v>
      </c>
      <c r="D15" s="68">
        <v>1</v>
      </c>
      <c r="E15" s="68" t="s">
        <v>368</v>
      </c>
    </row>
    <row r="16" spans="1:5">
      <c r="A16" s="68">
        <v>0.25107499999999999</v>
      </c>
      <c r="B16" s="68">
        <v>0.44294</v>
      </c>
      <c r="C16" s="68">
        <v>5.6653599999999997</v>
      </c>
      <c r="D16" s="68">
        <v>1</v>
      </c>
      <c r="E16" s="68" t="s">
        <v>369</v>
      </c>
    </row>
    <row r="17" spans="1:5">
      <c r="A17" s="68">
        <v>0.25567499999999999</v>
      </c>
      <c r="B17" s="68">
        <v>0.43133100000000002</v>
      </c>
      <c r="C17" s="68">
        <v>6.0766400000000003</v>
      </c>
      <c r="D17" s="68">
        <v>1</v>
      </c>
      <c r="E17" s="68" t="s">
        <v>370</v>
      </c>
    </row>
    <row r="18" spans="1:5">
      <c r="A18" s="68">
        <v>0.26019300000000001</v>
      </c>
      <c r="B18" s="68">
        <v>0.42072100000000001</v>
      </c>
      <c r="C18" s="68">
        <v>6.4805299999999999</v>
      </c>
      <c r="D18" s="68">
        <v>1</v>
      </c>
      <c r="E18" s="68" t="s">
        <v>371</v>
      </c>
    </row>
    <row r="19" spans="1:5">
      <c r="A19" s="68">
        <v>0.26464199999999999</v>
      </c>
      <c r="B19" s="68">
        <v>0.41136800000000001</v>
      </c>
      <c r="C19" s="68">
        <v>6.8945299999999996</v>
      </c>
      <c r="D19" s="68">
        <v>1</v>
      </c>
      <c r="E19" s="68" t="s">
        <v>372</v>
      </c>
    </row>
    <row r="20" spans="1:5">
      <c r="A20" s="68">
        <v>0.26933400000000002</v>
      </c>
      <c r="B20" s="68">
        <v>0.40271400000000002</v>
      </c>
      <c r="C20" s="68">
        <v>7.2965400000000002</v>
      </c>
      <c r="D20" s="68">
        <v>1</v>
      </c>
      <c r="E20" s="68" t="s">
        <v>373</v>
      </c>
    </row>
    <row r="21" spans="1:5">
      <c r="A21" s="68">
        <v>0.27417599999999998</v>
      </c>
      <c r="B21" s="68">
        <v>0.39506200000000002</v>
      </c>
      <c r="C21" s="68">
        <v>7.70533</v>
      </c>
      <c r="D21" s="68">
        <v>1</v>
      </c>
      <c r="E21" s="68" t="s">
        <v>374</v>
      </c>
    </row>
    <row r="22" spans="1:5">
      <c r="A22" s="68">
        <v>0.27887800000000001</v>
      </c>
      <c r="B22" s="68">
        <v>0.38917099999999999</v>
      </c>
      <c r="C22" s="68">
        <v>8.1062499999999993</v>
      </c>
      <c r="D22" s="68">
        <v>1</v>
      </c>
      <c r="E22" s="68" t="s">
        <v>375</v>
      </c>
    </row>
    <row r="23" spans="1:5">
      <c r="A23" s="68">
        <v>0.28349600000000003</v>
      </c>
      <c r="B23" s="68">
        <v>0.38415199999999999</v>
      </c>
      <c r="C23" s="68">
        <v>8.5123200000000008</v>
      </c>
      <c r="D23" s="68">
        <v>1</v>
      </c>
      <c r="E23" s="68" t="s">
        <v>376</v>
      </c>
    </row>
    <row r="24" spans="1:5">
      <c r="A24" s="68">
        <v>0.28836499999999998</v>
      </c>
      <c r="B24" s="68">
        <v>0.37913200000000002</v>
      </c>
      <c r="C24" s="68">
        <v>8.9182699999999997</v>
      </c>
      <c r="D24" s="68">
        <v>1</v>
      </c>
      <c r="E24" s="68" t="s">
        <v>377</v>
      </c>
    </row>
    <row r="25" spans="1:5">
      <c r="A25" s="68">
        <v>0.293101</v>
      </c>
      <c r="B25" s="68">
        <v>0.37489400000000001</v>
      </c>
      <c r="C25" s="68">
        <v>9.3219899999999996</v>
      </c>
      <c r="D25" s="68">
        <v>1</v>
      </c>
      <c r="E25" s="68" t="s">
        <v>378</v>
      </c>
    </row>
    <row r="26" spans="1:5">
      <c r="A26" s="68">
        <v>0.29785600000000001</v>
      </c>
      <c r="B26" s="68">
        <v>0.37081199999999997</v>
      </c>
      <c r="C26" s="68">
        <v>9.7319899999999997</v>
      </c>
      <c r="D26" s="68">
        <v>1</v>
      </c>
      <c r="E26" s="68" t="s">
        <v>379</v>
      </c>
    </row>
    <row r="27" spans="1:5">
      <c r="A27" s="68">
        <v>0.302402</v>
      </c>
      <c r="B27" s="68">
        <v>0.36790899999999999</v>
      </c>
      <c r="C27" s="68">
        <v>10.1358</v>
      </c>
      <c r="D27" s="68">
        <v>1</v>
      </c>
      <c r="E27" s="68" t="s">
        <v>380</v>
      </c>
    </row>
    <row r="28" spans="1:5">
      <c r="A28" s="68">
        <v>0.30666500000000002</v>
      </c>
      <c r="B28" s="68">
        <v>0.36618600000000001</v>
      </c>
      <c r="C28" s="68">
        <v>10.541700000000001</v>
      </c>
      <c r="D28" s="68">
        <v>1</v>
      </c>
      <c r="E28" s="68" t="s">
        <v>381</v>
      </c>
    </row>
    <row r="29" spans="1:5">
      <c r="A29" s="68">
        <v>0.31071399999999999</v>
      </c>
      <c r="B29" s="68">
        <v>0.365228</v>
      </c>
      <c r="C29" s="68">
        <v>10.946099999999999</v>
      </c>
      <c r="D29" s="68">
        <v>1</v>
      </c>
      <c r="E29" s="68" t="s">
        <v>382</v>
      </c>
    </row>
    <row r="30" spans="1:5">
      <c r="A30" s="68">
        <v>0.31455499999999997</v>
      </c>
      <c r="B30" s="68">
        <v>0.36474099999999998</v>
      </c>
      <c r="C30" s="68">
        <v>11.3575</v>
      </c>
      <c r="D30" s="68">
        <v>1</v>
      </c>
      <c r="E30" s="68" t="s">
        <v>383</v>
      </c>
    </row>
    <row r="31" spans="1:5">
      <c r="A31" s="68">
        <v>0.31829299999999999</v>
      </c>
      <c r="B31" s="68">
        <v>0.36452099999999998</v>
      </c>
      <c r="C31" s="68">
        <v>11.76</v>
      </c>
      <c r="D31" s="68">
        <v>1</v>
      </c>
      <c r="E31" s="68" t="s">
        <v>384</v>
      </c>
    </row>
    <row r="32" spans="1:5">
      <c r="A32" s="68">
        <v>0.322185</v>
      </c>
      <c r="B32" s="68">
        <v>0.36412800000000001</v>
      </c>
      <c r="C32" s="68">
        <v>12.167400000000001</v>
      </c>
      <c r="D32" s="68">
        <v>1</v>
      </c>
      <c r="E32" s="68" t="s">
        <v>385</v>
      </c>
    </row>
    <row r="33" spans="1:5">
      <c r="A33" s="68">
        <v>0.32609399999999999</v>
      </c>
      <c r="B33" s="68">
        <v>0.36409999999999998</v>
      </c>
      <c r="C33" s="68">
        <v>12.5723</v>
      </c>
      <c r="D33" s="68">
        <v>1</v>
      </c>
      <c r="E33" s="68" t="s">
        <v>386</v>
      </c>
    </row>
    <row r="34" spans="1:5">
      <c r="A34" s="68">
        <v>0.32986100000000002</v>
      </c>
      <c r="B34" s="68">
        <v>0.36468499999999998</v>
      </c>
      <c r="C34" s="68">
        <v>12.9762</v>
      </c>
      <c r="D34" s="68">
        <v>1</v>
      </c>
      <c r="E34" s="68" t="s">
        <v>387</v>
      </c>
    </row>
    <row r="35" spans="1:5">
      <c r="A35" s="68">
        <v>0.33339600000000003</v>
      </c>
      <c r="B35" s="68">
        <v>0.365707</v>
      </c>
      <c r="C35" s="68">
        <v>13.386100000000001</v>
      </c>
      <c r="D35" s="68">
        <v>1</v>
      </c>
      <c r="E35" s="68" t="s">
        <v>388</v>
      </c>
    </row>
    <row r="36" spans="1:5">
      <c r="A36" s="68">
        <v>0.33675500000000003</v>
      </c>
      <c r="B36" s="68">
        <v>0.36627900000000002</v>
      </c>
      <c r="C36" s="68">
        <v>13.7964</v>
      </c>
      <c r="D36" s="68">
        <v>1</v>
      </c>
      <c r="E36" s="68" t="s">
        <v>389</v>
      </c>
    </row>
    <row r="37" spans="1:5">
      <c r="A37" s="68">
        <v>0.34001399999999998</v>
      </c>
      <c r="B37" s="68">
        <v>0.36639699999999997</v>
      </c>
      <c r="C37" s="68">
        <v>14.199</v>
      </c>
      <c r="D37" s="68">
        <v>1</v>
      </c>
      <c r="E37" s="68" t="s">
        <v>390</v>
      </c>
    </row>
    <row r="38" spans="1:5">
      <c r="A38" s="68">
        <v>0.34305799999999997</v>
      </c>
      <c r="B38" s="68">
        <v>0.36624400000000001</v>
      </c>
      <c r="C38" s="68">
        <v>14.604799999999999</v>
      </c>
      <c r="D38" s="68">
        <v>1</v>
      </c>
      <c r="E38" s="68" t="s">
        <v>391</v>
      </c>
    </row>
    <row r="39" spans="1:5">
      <c r="A39" s="68">
        <v>0.34592899999999999</v>
      </c>
      <c r="B39" s="68">
        <v>0.36633900000000003</v>
      </c>
      <c r="C39" s="68">
        <v>15.010199999999999</v>
      </c>
      <c r="D39" s="68">
        <v>1</v>
      </c>
      <c r="E39" s="68" t="s">
        <v>392</v>
      </c>
    </row>
    <row r="40" spans="1:5">
      <c r="A40" s="68">
        <v>0.348528</v>
      </c>
      <c r="B40" s="68">
        <v>0.36640499999999998</v>
      </c>
      <c r="C40" s="68">
        <v>15.414099999999999</v>
      </c>
      <c r="D40" s="68">
        <v>1</v>
      </c>
      <c r="E40" s="68" t="s">
        <v>393</v>
      </c>
    </row>
    <row r="41" spans="1:5">
      <c r="A41" s="68">
        <v>0.35080099999999997</v>
      </c>
      <c r="B41" s="68">
        <v>0.36674600000000002</v>
      </c>
      <c r="C41" s="68">
        <v>15.8256</v>
      </c>
      <c r="D41" s="68">
        <v>1</v>
      </c>
      <c r="E41" s="68" t="s">
        <v>394</v>
      </c>
    </row>
    <row r="42" spans="1:5">
      <c r="A42" s="68">
        <v>0.35306100000000001</v>
      </c>
      <c r="B42" s="68">
        <v>0.36731599999999998</v>
      </c>
      <c r="C42" s="68">
        <v>16.232099999999999</v>
      </c>
      <c r="D42" s="68">
        <v>1</v>
      </c>
      <c r="E42" s="68" t="s">
        <v>395</v>
      </c>
    </row>
    <row r="43" spans="1:5">
      <c r="A43" s="68">
        <v>0.355296</v>
      </c>
      <c r="B43" s="68">
        <v>0.36781700000000001</v>
      </c>
      <c r="C43" s="68">
        <v>16.6374</v>
      </c>
      <c r="D43" s="68">
        <v>1</v>
      </c>
      <c r="E43" s="68" t="s">
        <v>396</v>
      </c>
    </row>
    <row r="44" spans="1:5">
      <c r="A44" s="68">
        <v>0.35787999999999998</v>
      </c>
      <c r="B44" s="68">
        <v>0.36754500000000001</v>
      </c>
      <c r="C44" s="68">
        <v>17.043500000000002</v>
      </c>
      <c r="D44" s="68">
        <v>1</v>
      </c>
      <c r="E44" s="68" t="s">
        <v>397</v>
      </c>
    </row>
    <row r="45" spans="1:5">
      <c r="A45" s="68">
        <v>0.36052899999999999</v>
      </c>
      <c r="B45" s="68">
        <v>0.36640899999999998</v>
      </c>
      <c r="C45" s="68">
        <v>17.445699999999999</v>
      </c>
      <c r="D45" s="68">
        <v>1</v>
      </c>
      <c r="E45" s="68" t="s">
        <v>398</v>
      </c>
    </row>
    <row r="46" spans="1:5">
      <c r="A46" s="68">
        <v>0.36311700000000002</v>
      </c>
      <c r="B46" s="68">
        <v>0.36454799999999998</v>
      </c>
      <c r="C46" s="68">
        <v>17.854199999999999</v>
      </c>
      <c r="D46" s="68">
        <v>1</v>
      </c>
      <c r="E46" s="68" t="s">
        <v>399</v>
      </c>
    </row>
    <row r="47" spans="1:5">
      <c r="A47" s="68">
        <v>0.36567300000000003</v>
      </c>
      <c r="B47" s="68">
        <v>0.36204599999999998</v>
      </c>
      <c r="C47" s="68">
        <v>18.2622</v>
      </c>
      <c r="D47" s="68">
        <v>1</v>
      </c>
      <c r="E47" s="68" t="s">
        <v>400</v>
      </c>
    </row>
    <row r="48" spans="1:5">
      <c r="A48" s="68">
        <v>0.36825000000000002</v>
      </c>
      <c r="B48" s="68">
        <v>0.359095</v>
      </c>
      <c r="C48" s="68">
        <v>18.667999999999999</v>
      </c>
      <c r="D48" s="68">
        <v>1</v>
      </c>
      <c r="E48" s="68" t="s">
        <v>401</v>
      </c>
    </row>
    <row r="49" spans="1:5">
      <c r="A49" s="68">
        <v>0.370558</v>
      </c>
      <c r="B49" s="68">
        <v>0.35604599999999997</v>
      </c>
      <c r="C49" s="68">
        <v>19.074400000000001</v>
      </c>
      <c r="D49" s="68">
        <v>1</v>
      </c>
      <c r="E49" s="68" t="s">
        <v>402</v>
      </c>
    </row>
    <row r="50" spans="1:5">
      <c r="A50" s="68">
        <v>0.37298700000000001</v>
      </c>
      <c r="B50" s="68">
        <v>0.35291</v>
      </c>
      <c r="C50" s="68">
        <v>19.4818</v>
      </c>
      <c r="D50" s="68">
        <v>1</v>
      </c>
      <c r="E50" s="68" t="s">
        <v>403</v>
      </c>
    </row>
    <row r="51" spans="1:5">
      <c r="A51" s="68">
        <v>0.37532399999999999</v>
      </c>
      <c r="B51" s="68">
        <v>0.35038999999999998</v>
      </c>
      <c r="C51" s="68">
        <v>19.8888</v>
      </c>
      <c r="D51" s="68">
        <v>1</v>
      </c>
      <c r="E51" s="68" t="s">
        <v>404</v>
      </c>
    </row>
    <row r="52" spans="1:5">
      <c r="A52" s="68">
        <v>0.37717699999999998</v>
      </c>
      <c r="B52" s="68">
        <v>0.34833599999999998</v>
      </c>
      <c r="C52" s="68">
        <v>20.296800000000001</v>
      </c>
      <c r="D52" s="68">
        <v>1</v>
      </c>
      <c r="E52" s="68" t="s">
        <v>405</v>
      </c>
    </row>
    <row r="53" spans="1:5">
      <c r="A53" s="68">
        <v>0.37996099999999999</v>
      </c>
      <c r="B53" s="68">
        <v>0.34525400000000001</v>
      </c>
      <c r="C53" s="68">
        <v>20.698599999999999</v>
      </c>
      <c r="D53" s="68">
        <v>1</v>
      </c>
      <c r="E53" s="68" t="s">
        <v>406</v>
      </c>
    </row>
    <row r="54" spans="1:5">
      <c r="A54" s="68">
        <v>0.38272099999999998</v>
      </c>
      <c r="B54" s="68">
        <v>0.34251500000000001</v>
      </c>
      <c r="C54" s="68">
        <v>21.102499999999999</v>
      </c>
      <c r="D54" s="68">
        <v>1</v>
      </c>
      <c r="E54" s="68" t="s">
        <v>407</v>
      </c>
    </row>
    <row r="55" spans="1:5">
      <c r="A55" s="68">
        <v>0.38528699999999999</v>
      </c>
      <c r="B55" s="68">
        <v>0.34027000000000002</v>
      </c>
      <c r="C55" s="68">
        <v>21.5106</v>
      </c>
      <c r="D55" s="68">
        <v>1</v>
      </c>
      <c r="E55" s="68" t="s">
        <v>408</v>
      </c>
    </row>
    <row r="56" spans="1:5">
      <c r="A56" s="68">
        <v>0.38752399999999998</v>
      </c>
      <c r="B56" s="68">
        <v>0.33842299999999997</v>
      </c>
      <c r="C56" s="68">
        <v>21.920400000000001</v>
      </c>
      <c r="D56" s="68">
        <v>1</v>
      </c>
      <c r="E56" s="68" t="s">
        <v>409</v>
      </c>
    </row>
    <row r="57" spans="1:5">
      <c r="A57" s="68">
        <v>0.389706</v>
      </c>
      <c r="B57" s="68">
        <v>0.33607100000000001</v>
      </c>
      <c r="C57" s="68">
        <v>22.324300000000001</v>
      </c>
      <c r="D57" s="68">
        <v>1</v>
      </c>
      <c r="E57" s="68" t="s">
        <v>410</v>
      </c>
    </row>
    <row r="58" spans="1:5">
      <c r="A58" s="68">
        <v>0.39225900000000002</v>
      </c>
      <c r="B58" s="68">
        <v>0.33369799999999999</v>
      </c>
      <c r="C58" s="68">
        <v>22.732199999999999</v>
      </c>
      <c r="D58" s="68">
        <v>1</v>
      </c>
      <c r="E58" s="68" t="s">
        <v>411</v>
      </c>
    </row>
    <row r="59" spans="1:5">
      <c r="A59" s="68">
        <v>0.39416499999999999</v>
      </c>
      <c r="B59" s="68">
        <v>0.332507</v>
      </c>
      <c r="C59" s="68">
        <v>23.135000000000002</v>
      </c>
      <c r="D59" s="68">
        <v>1</v>
      </c>
      <c r="E59" s="68" t="s">
        <v>412</v>
      </c>
    </row>
    <row r="60" spans="1:5">
      <c r="A60" s="68">
        <v>0.39568199999999998</v>
      </c>
      <c r="B60" s="68">
        <v>0.33169700000000002</v>
      </c>
      <c r="C60" s="68">
        <v>23.543099999999999</v>
      </c>
      <c r="D60" s="68">
        <v>1</v>
      </c>
      <c r="E60" s="68" t="s">
        <v>413</v>
      </c>
    </row>
    <row r="61" spans="1:5">
      <c r="A61" s="68">
        <v>0.39683299999999999</v>
      </c>
      <c r="B61" s="68">
        <v>0.33187100000000003</v>
      </c>
      <c r="C61" s="68">
        <v>23.950900000000001</v>
      </c>
      <c r="D61" s="68">
        <v>1</v>
      </c>
      <c r="E61" s="68" t="s">
        <v>414</v>
      </c>
    </row>
    <row r="62" spans="1:5">
      <c r="A62" s="68">
        <v>0.397289</v>
      </c>
      <c r="B62" s="68">
        <v>0.332895</v>
      </c>
      <c r="C62" s="68">
        <v>24.357800000000001</v>
      </c>
      <c r="D62" s="68">
        <v>1</v>
      </c>
      <c r="E62" s="68" t="s">
        <v>415</v>
      </c>
    </row>
    <row r="63" spans="1:5">
      <c r="A63" s="68">
        <v>0.398038</v>
      </c>
      <c r="B63" s="68">
        <v>0.33337899999999998</v>
      </c>
      <c r="C63" s="68">
        <v>24.7607</v>
      </c>
      <c r="D63" s="68">
        <v>1</v>
      </c>
      <c r="E63" s="68" t="s">
        <v>416</v>
      </c>
    </row>
    <row r="64" spans="1:5">
      <c r="A64" s="68">
        <v>0.39815699999999998</v>
      </c>
      <c r="B64" s="68">
        <v>0.334727</v>
      </c>
      <c r="C64" s="68">
        <v>25.165600000000001</v>
      </c>
      <c r="D64" s="68">
        <v>1</v>
      </c>
      <c r="E64" s="68" t="s">
        <v>417</v>
      </c>
    </row>
    <row r="65" spans="1:5">
      <c r="A65" s="68">
        <v>0.398123</v>
      </c>
      <c r="B65" s="68">
        <v>0.33610200000000001</v>
      </c>
      <c r="C65" s="68">
        <v>25.573699999999999</v>
      </c>
      <c r="D65" s="68">
        <v>1</v>
      </c>
      <c r="E65" s="68" t="s">
        <v>418</v>
      </c>
    </row>
    <row r="66" spans="1:5">
      <c r="A66" s="68">
        <v>0.39825700000000003</v>
      </c>
      <c r="B66" s="68">
        <v>0.33776400000000001</v>
      </c>
      <c r="C66" s="68">
        <v>25.979800000000001</v>
      </c>
      <c r="D66" s="68">
        <v>1</v>
      </c>
      <c r="E66" s="68" t="s">
        <v>419</v>
      </c>
    </row>
    <row r="67" spans="1:5">
      <c r="A67" s="68">
        <v>0.39808900000000003</v>
      </c>
      <c r="B67" s="68">
        <v>0.33910699999999999</v>
      </c>
      <c r="C67" s="68">
        <v>26.3874</v>
      </c>
      <c r="D67" s="68">
        <v>1</v>
      </c>
      <c r="E67" s="68" t="s">
        <v>420</v>
      </c>
    </row>
    <row r="68" spans="1:5">
      <c r="A68" s="68">
        <v>0.39749000000000001</v>
      </c>
      <c r="B68" s="68">
        <v>0.34042099999999997</v>
      </c>
      <c r="C68" s="68">
        <v>26.7943</v>
      </c>
      <c r="D68" s="68">
        <v>1</v>
      </c>
      <c r="E68" s="68" t="s">
        <v>421</v>
      </c>
    </row>
    <row r="69" spans="1:5">
      <c r="A69" s="68">
        <v>0.39506200000000002</v>
      </c>
      <c r="B69" s="68">
        <v>0.342449</v>
      </c>
      <c r="C69" s="68">
        <v>27.199200000000001</v>
      </c>
      <c r="D69" s="68">
        <v>1</v>
      </c>
      <c r="E69" s="68" t="s">
        <v>422</v>
      </c>
    </row>
    <row r="70" spans="1:5">
      <c r="A70" s="68">
        <v>0.39258900000000002</v>
      </c>
      <c r="B70" s="68">
        <v>0.34364699999999998</v>
      </c>
      <c r="C70" s="68">
        <v>27.607099999999999</v>
      </c>
      <c r="D70" s="68">
        <v>1</v>
      </c>
      <c r="E70" s="68" t="s">
        <v>423</v>
      </c>
    </row>
    <row r="71" spans="1:5">
      <c r="A71" s="68">
        <v>0.389955</v>
      </c>
      <c r="B71" s="68">
        <v>0.34490999999999999</v>
      </c>
      <c r="C71" s="68">
        <v>28.009499999999999</v>
      </c>
      <c r="D71" s="68">
        <v>1</v>
      </c>
      <c r="E71" s="68" t="s">
        <v>424</v>
      </c>
    </row>
    <row r="72" spans="1:5">
      <c r="A72" s="68">
        <v>0.38828499999999999</v>
      </c>
      <c r="B72" s="68">
        <v>0.34591</v>
      </c>
      <c r="C72" s="68">
        <v>28.417000000000002</v>
      </c>
      <c r="D72" s="68">
        <v>1</v>
      </c>
      <c r="E72" s="68" t="s">
        <v>425</v>
      </c>
    </row>
    <row r="73" spans="1:5">
      <c r="A73" s="68">
        <v>0.38437399999999999</v>
      </c>
      <c r="B73" s="68">
        <v>0.34769600000000001</v>
      </c>
      <c r="C73" s="68">
        <v>28.826799999999999</v>
      </c>
      <c r="D73" s="68">
        <v>1</v>
      </c>
      <c r="E73" s="68" t="s">
        <v>426</v>
      </c>
    </row>
    <row r="74" spans="1:5">
      <c r="A74" s="68">
        <v>0.38114500000000001</v>
      </c>
      <c r="B74" s="68">
        <v>0.34900700000000001</v>
      </c>
      <c r="C74" s="68">
        <v>29.23</v>
      </c>
      <c r="D74" s="68">
        <v>1</v>
      </c>
      <c r="E74" s="68" t="s">
        <v>427</v>
      </c>
    </row>
    <row r="75" spans="1:5">
      <c r="A75" s="68">
        <v>0.37877899999999998</v>
      </c>
      <c r="B75" s="68">
        <v>0.35069699999999998</v>
      </c>
      <c r="C75" s="68">
        <v>29.6327</v>
      </c>
      <c r="D75" s="68">
        <v>1</v>
      </c>
      <c r="E75" s="68" t="s">
        <v>428</v>
      </c>
    </row>
    <row r="76" spans="1:5">
      <c r="A76" s="68">
        <v>0.37490800000000002</v>
      </c>
      <c r="B76" s="68">
        <v>0.35269499999999998</v>
      </c>
      <c r="C76" s="68">
        <v>30.045000000000002</v>
      </c>
      <c r="D76" s="68">
        <v>1</v>
      </c>
      <c r="E76" s="68" t="s">
        <v>429</v>
      </c>
    </row>
    <row r="77" spans="1:5">
      <c r="A77" s="68">
        <v>0.36950499999999997</v>
      </c>
      <c r="B77" s="68">
        <v>0.35688199999999998</v>
      </c>
      <c r="C77" s="68">
        <v>30.623000000000001</v>
      </c>
      <c r="D77" s="68">
        <v>2</v>
      </c>
      <c r="E77" s="68" t="s">
        <v>430</v>
      </c>
    </row>
    <row r="78" spans="1:5">
      <c r="A78" s="68">
        <v>0.36510100000000001</v>
      </c>
      <c r="B78" s="68">
        <v>0.36163899999999999</v>
      </c>
      <c r="C78" s="68">
        <v>30.9971</v>
      </c>
      <c r="D78" s="68">
        <v>2</v>
      </c>
      <c r="E78" s="68" t="s">
        <v>431</v>
      </c>
    </row>
    <row r="79" spans="1:5">
      <c r="A79" s="68">
        <v>0.36090100000000003</v>
      </c>
      <c r="B79" s="68">
        <v>0.36663600000000002</v>
      </c>
      <c r="C79" s="68">
        <v>31.371099999999998</v>
      </c>
      <c r="D79" s="68">
        <v>2</v>
      </c>
      <c r="E79" s="68" t="s">
        <v>432</v>
      </c>
    </row>
    <row r="80" spans="1:5">
      <c r="A80" s="68">
        <v>0.35666399999999998</v>
      </c>
      <c r="B80" s="68">
        <v>0.37243300000000001</v>
      </c>
      <c r="C80" s="68">
        <v>31.7471</v>
      </c>
      <c r="D80" s="68">
        <v>2</v>
      </c>
      <c r="E80" s="68" t="s">
        <v>433</v>
      </c>
    </row>
    <row r="81" spans="1:5">
      <c r="A81" s="68">
        <v>0.35256900000000002</v>
      </c>
      <c r="B81" s="68">
        <v>0.37967299999999998</v>
      </c>
      <c r="C81" s="68">
        <v>32.117400000000004</v>
      </c>
      <c r="D81" s="68">
        <v>2</v>
      </c>
      <c r="E81" s="68" t="s">
        <v>434</v>
      </c>
    </row>
    <row r="82" spans="1:5">
      <c r="A82" s="68">
        <v>0.348188</v>
      </c>
      <c r="B82" s="68">
        <v>0.38876100000000002</v>
      </c>
      <c r="C82" s="68">
        <v>32.529200000000003</v>
      </c>
      <c r="D82" s="68">
        <v>2</v>
      </c>
      <c r="E82" s="68" t="s">
        <v>435</v>
      </c>
    </row>
    <row r="83" spans="1:5">
      <c r="A83" s="68">
        <v>0.34389700000000001</v>
      </c>
      <c r="B83" s="68">
        <v>0.399032</v>
      </c>
      <c r="C83" s="68">
        <v>32.9358</v>
      </c>
      <c r="D83" s="68">
        <v>2</v>
      </c>
      <c r="E83" s="68" t="s">
        <v>436</v>
      </c>
    </row>
    <row r="84" spans="1:5">
      <c r="A84" s="68">
        <v>0.340057</v>
      </c>
      <c r="B84" s="68">
        <v>0.40965299999999999</v>
      </c>
      <c r="C84" s="68">
        <v>33.340800000000002</v>
      </c>
      <c r="D84" s="68">
        <v>2</v>
      </c>
      <c r="E84" s="68" t="s">
        <v>437</v>
      </c>
    </row>
    <row r="85" spans="1:5">
      <c r="A85" s="68">
        <v>0.33691199999999999</v>
      </c>
      <c r="B85" s="68">
        <v>0.41966900000000001</v>
      </c>
      <c r="C85" s="68">
        <v>33.744700000000002</v>
      </c>
      <c r="D85" s="68">
        <v>2</v>
      </c>
      <c r="E85" s="68" t="s">
        <v>438</v>
      </c>
    </row>
    <row r="86" spans="1:5">
      <c r="A86" s="68">
        <v>0.33449299999999998</v>
      </c>
      <c r="B86" s="68">
        <v>0.42912600000000001</v>
      </c>
      <c r="C86" s="68">
        <v>34.152700000000003</v>
      </c>
      <c r="D86" s="68">
        <v>2</v>
      </c>
      <c r="E86" s="68" t="s">
        <v>439</v>
      </c>
    </row>
    <row r="87" spans="1:5">
      <c r="A87" s="68">
        <v>0.332316</v>
      </c>
      <c r="B87" s="68">
        <v>0.43829400000000002</v>
      </c>
      <c r="C87" s="68">
        <v>34.562899999999999</v>
      </c>
      <c r="D87" s="68">
        <v>2</v>
      </c>
      <c r="E87" s="68" t="s">
        <v>440</v>
      </c>
    </row>
    <row r="88" spans="1:5">
      <c r="A88" s="68">
        <v>0.33034599999999997</v>
      </c>
      <c r="B88" s="68">
        <v>0.44696999999999998</v>
      </c>
      <c r="C88" s="68">
        <v>34.966500000000003</v>
      </c>
      <c r="D88" s="68">
        <v>2</v>
      </c>
      <c r="E88" s="68" t="s">
        <v>441</v>
      </c>
    </row>
    <row r="89" spans="1:5">
      <c r="A89" s="68">
        <v>0.32877299999999998</v>
      </c>
      <c r="B89" s="68">
        <v>0.45483099999999999</v>
      </c>
      <c r="C89" s="68">
        <v>35.371299999999998</v>
      </c>
      <c r="D89" s="68">
        <v>2</v>
      </c>
      <c r="E89" s="68" t="s">
        <v>442</v>
      </c>
    </row>
    <row r="90" spans="1:5">
      <c r="A90" s="68">
        <v>0.32765499999999997</v>
      </c>
      <c r="B90" s="68">
        <v>0.462169</v>
      </c>
      <c r="C90" s="68">
        <v>35.776299999999999</v>
      </c>
      <c r="D90" s="68">
        <v>2</v>
      </c>
      <c r="E90" s="68" t="s">
        <v>443</v>
      </c>
    </row>
    <row r="91" spans="1:5">
      <c r="A91" s="68">
        <v>0.32710899999999998</v>
      </c>
      <c r="B91" s="68">
        <v>0.468723</v>
      </c>
      <c r="C91" s="68">
        <v>36.185099999999998</v>
      </c>
      <c r="D91" s="68">
        <v>2</v>
      </c>
      <c r="E91" s="68" t="s">
        <v>444</v>
      </c>
    </row>
    <row r="92" spans="1:5">
      <c r="A92" s="68">
        <v>0.32732299999999998</v>
      </c>
      <c r="B92" s="68">
        <v>0.473354</v>
      </c>
      <c r="C92" s="68">
        <v>36.589199999999998</v>
      </c>
      <c r="D92" s="68">
        <v>2</v>
      </c>
      <c r="E92" s="68" t="s">
        <v>445</v>
      </c>
    </row>
    <row r="93" spans="1:5">
      <c r="A93" s="68">
        <v>0.32781199999999999</v>
      </c>
      <c r="B93" s="68">
        <v>0.47690700000000003</v>
      </c>
      <c r="C93" s="68">
        <v>36.997999999999998</v>
      </c>
      <c r="D93" s="68">
        <v>2</v>
      </c>
      <c r="E93" s="68" t="s">
        <v>446</v>
      </c>
    </row>
    <row r="94" spans="1:5">
      <c r="A94" s="68">
        <v>0.32846399999999998</v>
      </c>
      <c r="B94" s="68">
        <v>0.47989799999999999</v>
      </c>
      <c r="C94" s="68">
        <v>37.4039</v>
      </c>
      <c r="D94" s="68">
        <v>2</v>
      </c>
      <c r="E94" s="68" t="s">
        <v>447</v>
      </c>
    </row>
    <row r="95" spans="1:5">
      <c r="A95" s="68">
        <v>0.32898699999999997</v>
      </c>
      <c r="B95" s="68">
        <v>0.48282599999999998</v>
      </c>
      <c r="C95" s="68">
        <v>37.806800000000003</v>
      </c>
      <c r="D95" s="68">
        <v>2</v>
      </c>
      <c r="E95" s="68" t="s">
        <v>448</v>
      </c>
    </row>
    <row r="96" spans="1:5">
      <c r="A96" s="68">
        <v>0.32966099999999998</v>
      </c>
      <c r="B96" s="68">
        <v>0.48588100000000001</v>
      </c>
      <c r="C96" s="68">
        <v>38.214799999999997</v>
      </c>
      <c r="D96" s="68">
        <v>2</v>
      </c>
      <c r="E96" s="68" t="s">
        <v>449</v>
      </c>
    </row>
    <row r="97" spans="1:5">
      <c r="A97" s="68">
        <v>0.33079399999999998</v>
      </c>
      <c r="B97" s="68">
        <v>0.488983</v>
      </c>
      <c r="C97" s="68">
        <v>38.621600000000001</v>
      </c>
      <c r="D97" s="68">
        <v>2</v>
      </c>
      <c r="E97" s="68" t="s">
        <v>450</v>
      </c>
    </row>
    <row r="98" spans="1:5">
      <c r="A98" s="68">
        <v>0.33233400000000002</v>
      </c>
      <c r="B98" s="68">
        <v>0.49238999999999999</v>
      </c>
      <c r="C98" s="68">
        <v>39.031399999999998</v>
      </c>
      <c r="D98" s="68">
        <v>2</v>
      </c>
      <c r="E98" s="68" t="s">
        <v>451</v>
      </c>
    </row>
    <row r="99" spans="1:5">
      <c r="A99" s="68">
        <v>0.334316</v>
      </c>
      <c r="B99" s="68">
        <v>0.49502499999999999</v>
      </c>
      <c r="C99" s="68">
        <v>39.433399999999999</v>
      </c>
      <c r="D99" s="68">
        <v>2</v>
      </c>
      <c r="E99" s="68" t="s">
        <v>452</v>
      </c>
    </row>
    <row r="100" spans="1:5">
      <c r="A100" s="68">
        <v>0.336509</v>
      </c>
      <c r="B100" s="68">
        <v>0.49759199999999998</v>
      </c>
      <c r="C100" s="68">
        <v>39.8384</v>
      </c>
      <c r="D100" s="68">
        <v>2</v>
      </c>
      <c r="E100" s="68" t="s">
        <v>453</v>
      </c>
    </row>
    <row r="101" spans="1:5">
      <c r="A101" s="68">
        <v>0.33896100000000001</v>
      </c>
      <c r="B101" s="68">
        <v>0.50007000000000001</v>
      </c>
      <c r="C101" s="68">
        <v>40.249200000000002</v>
      </c>
      <c r="D101" s="68">
        <v>2</v>
      </c>
      <c r="E101" s="68" t="s">
        <v>454</v>
      </c>
    </row>
    <row r="102" spans="1:5">
      <c r="A102" s="68">
        <v>0.34131099999999998</v>
      </c>
      <c r="B102" s="68">
        <v>0.50238499999999997</v>
      </c>
      <c r="C102" s="68">
        <v>40.648200000000003</v>
      </c>
      <c r="D102" s="68">
        <v>2</v>
      </c>
      <c r="E102" s="68" t="s">
        <v>455</v>
      </c>
    </row>
    <row r="103" spans="1:5">
      <c r="A103" s="68">
        <v>0.34412900000000002</v>
      </c>
      <c r="B103" s="68">
        <v>0.50428600000000001</v>
      </c>
      <c r="C103" s="68">
        <v>41.060200000000002</v>
      </c>
      <c r="D103" s="68">
        <v>2</v>
      </c>
      <c r="E103" s="68" t="s">
        <v>456</v>
      </c>
    </row>
    <row r="104" spans="1:5">
      <c r="A104" s="68">
        <v>0.347051</v>
      </c>
      <c r="B104" s="68">
        <v>0.50637399999999999</v>
      </c>
      <c r="C104" s="68">
        <v>41.464100000000002</v>
      </c>
      <c r="D104" s="68">
        <v>2</v>
      </c>
      <c r="E104" s="68" t="s">
        <v>457</v>
      </c>
    </row>
    <row r="105" spans="1:5">
      <c r="A105" s="68">
        <v>0.35043099999999999</v>
      </c>
      <c r="B105" s="68">
        <v>0.50739500000000004</v>
      </c>
      <c r="C105" s="68">
        <v>41.871000000000002</v>
      </c>
      <c r="D105" s="68">
        <v>2</v>
      </c>
      <c r="E105" s="68" t="s">
        <v>458</v>
      </c>
    </row>
    <row r="106" spans="1:5">
      <c r="A106" s="68">
        <v>0.35342000000000001</v>
      </c>
      <c r="B106" s="68">
        <v>0.50853099999999996</v>
      </c>
      <c r="C106" s="68">
        <v>42.277299999999997</v>
      </c>
      <c r="D106" s="68">
        <v>2</v>
      </c>
      <c r="E106" s="68" t="s">
        <v>459</v>
      </c>
    </row>
    <row r="107" spans="1:5">
      <c r="A107" s="68">
        <v>0.356103</v>
      </c>
      <c r="B107" s="68">
        <v>0.50998699999999997</v>
      </c>
      <c r="C107" s="68">
        <v>42.686900000000001</v>
      </c>
      <c r="D107" s="68">
        <v>2</v>
      </c>
      <c r="E107" s="68" t="s">
        <v>460</v>
      </c>
    </row>
    <row r="108" spans="1:5">
      <c r="A108" s="68">
        <v>0.35880200000000001</v>
      </c>
      <c r="B108" s="68">
        <v>0.51072700000000004</v>
      </c>
      <c r="C108" s="68">
        <v>43.087699999999998</v>
      </c>
      <c r="D108" s="68">
        <v>2</v>
      </c>
      <c r="E108" s="68" t="s">
        <v>461</v>
      </c>
    </row>
    <row r="109" spans="1:5">
      <c r="A109" s="68">
        <v>0.36135499999999998</v>
      </c>
      <c r="B109" s="68">
        <v>0.51090000000000002</v>
      </c>
      <c r="C109" s="68">
        <v>43.497599999999998</v>
      </c>
      <c r="D109" s="68">
        <v>2</v>
      </c>
      <c r="E109" s="68" t="s">
        <v>462</v>
      </c>
    </row>
    <row r="110" spans="1:5">
      <c r="A110" s="68">
        <v>0.36407099999999998</v>
      </c>
      <c r="B110" s="68">
        <v>0.50973199999999996</v>
      </c>
      <c r="C110" s="68">
        <v>43.898600000000002</v>
      </c>
      <c r="D110" s="68">
        <v>2</v>
      </c>
      <c r="E110" s="68" t="s">
        <v>463</v>
      </c>
    </row>
    <row r="111" spans="1:5">
      <c r="A111" s="68">
        <v>0.36628100000000002</v>
      </c>
      <c r="B111" s="68">
        <v>0.50888299999999997</v>
      </c>
      <c r="C111" s="68">
        <v>44.307499999999997</v>
      </c>
      <c r="D111" s="68">
        <v>2</v>
      </c>
      <c r="E111" s="68" t="s">
        <v>464</v>
      </c>
    </row>
    <row r="112" spans="1:5">
      <c r="A112" s="68">
        <v>0.36852000000000001</v>
      </c>
      <c r="B112" s="68">
        <v>0.50795800000000002</v>
      </c>
      <c r="C112" s="68">
        <v>44.718400000000003</v>
      </c>
      <c r="D112" s="68">
        <v>2</v>
      </c>
      <c r="E112" s="68" t="s">
        <v>465</v>
      </c>
    </row>
    <row r="113" spans="1:5">
      <c r="A113" s="68">
        <v>0.37057200000000001</v>
      </c>
      <c r="B113" s="68">
        <v>0.50768899999999995</v>
      </c>
      <c r="C113" s="68">
        <v>45.122900000000001</v>
      </c>
      <c r="D113" s="68">
        <v>2</v>
      </c>
      <c r="E113" s="68" t="s">
        <v>466</v>
      </c>
    </row>
    <row r="114" spans="1:5">
      <c r="A114" s="68">
        <v>0.37240400000000001</v>
      </c>
      <c r="B114" s="68">
        <v>0.50732900000000003</v>
      </c>
      <c r="C114" s="68">
        <v>45.526200000000003</v>
      </c>
      <c r="D114" s="68">
        <v>2</v>
      </c>
      <c r="E114" s="68" t="s">
        <v>467</v>
      </c>
    </row>
    <row r="115" spans="1:5">
      <c r="A115" s="68">
        <v>0.37398399999999998</v>
      </c>
      <c r="B115" s="68">
        <v>0.50675400000000004</v>
      </c>
      <c r="C115" s="68">
        <v>45.934100000000001</v>
      </c>
      <c r="D115" s="68">
        <v>2</v>
      </c>
      <c r="E115" s="68" t="s">
        <v>468</v>
      </c>
    </row>
    <row r="116" spans="1:5">
      <c r="A116" s="68">
        <v>0.37542500000000001</v>
      </c>
      <c r="B116" s="68">
        <v>0.50508299999999995</v>
      </c>
      <c r="C116" s="68">
        <v>46.339100000000002</v>
      </c>
      <c r="D116" s="68">
        <v>2</v>
      </c>
      <c r="E116" s="68" t="s">
        <v>469</v>
      </c>
    </row>
    <row r="117" spans="1:5">
      <c r="A117" s="68">
        <v>0.37685200000000002</v>
      </c>
      <c r="B117" s="68">
        <v>0.50244</v>
      </c>
      <c r="C117" s="68">
        <v>46.746299999999998</v>
      </c>
      <c r="D117" s="68">
        <v>2</v>
      </c>
      <c r="E117" s="68" t="s">
        <v>470</v>
      </c>
    </row>
    <row r="118" spans="1:5">
      <c r="A118" s="68">
        <v>0.378247</v>
      </c>
      <c r="B118" s="68">
        <v>0.499836</v>
      </c>
      <c r="C118" s="68">
        <v>47.152900000000002</v>
      </c>
      <c r="D118" s="68">
        <v>2</v>
      </c>
      <c r="E118" s="68" t="s">
        <v>471</v>
      </c>
    </row>
    <row r="119" spans="1:5">
      <c r="A119" s="68">
        <v>0.37994299999999998</v>
      </c>
      <c r="B119" s="68">
        <v>0.49703399999999998</v>
      </c>
      <c r="C119" s="68">
        <v>47.559800000000003</v>
      </c>
      <c r="D119" s="68">
        <v>2</v>
      </c>
      <c r="E119" s="68" t="s">
        <v>472</v>
      </c>
    </row>
    <row r="120" spans="1:5">
      <c r="A120" s="68">
        <v>0.38192599999999999</v>
      </c>
      <c r="B120" s="68">
        <v>0.49404199999999998</v>
      </c>
      <c r="C120" s="68">
        <v>47.963799999999999</v>
      </c>
      <c r="D120" s="68">
        <v>2</v>
      </c>
      <c r="E120" s="68" t="s">
        <v>473</v>
      </c>
    </row>
    <row r="121" spans="1:5">
      <c r="A121" s="68">
        <v>0.38375700000000001</v>
      </c>
      <c r="B121" s="68">
        <v>0.49207299999999998</v>
      </c>
      <c r="C121" s="68">
        <v>48.369700000000002</v>
      </c>
      <c r="D121" s="68">
        <v>2</v>
      </c>
      <c r="E121" s="68" t="s">
        <v>474</v>
      </c>
    </row>
    <row r="122" spans="1:5">
      <c r="A122" s="68">
        <v>0.38530999999999999</v>
      </c>
      <c r="B122" s="68">
        <v>0.49021199999999998</v>
      </c>
      <c r="C122" s="68">
        <v>48.777500000000003</v>
      </c>
      <c r="D122" s="68">
        <v>2</v>
      </c>
      <c r="E122" s="68" t="s">
        <v>475</v>
      </c>
    </row>
    <row r="123" spans="1:5">
      <c r="A123" s="68">
        <v>0.38689600000000002</v>
      </c>
      <c r="B123" s="68">
        <v>0.48835499999999998</v>
      </c>
      <c r="C123" s="68">
        <v>49.185400000000001</v>
      </c>
      <c r="D123" s="68">
        <v>2</v>
      </c>
      <c r="E123" s="68" t="s">
        <v>476</v>
      </c>
    </row>
    <row r="124" spans="1:5">
      <c r="A124" s="68">
        <v>0.38880500000000001</v>
      </c>
      <c r="B124" s="68">
        <v>0.48616500000000001</v>
      </c>
      <c r="C124" s="68">
        <v>49.592300000000002</v>
      </c>
      <c r="D124" s="68">
        <v>2</v>
      </c>
      <c r="E124" s="68" t="s">
        <v>477</v>
      </c>
    </row>
    <row r="125" spans="1:5">
      <c r="A125" s="68">
        <v>0.390984</v>
      </c>
      <c r="B125" s="68">
        <v>0.48353299999999999</v>
      </c>
      <c r="C125" s="68">
        <v>49.995199999999997</v>
      </c>
      <c r="D125" s="68">
        <v>2</v>
      </c>
      <c r="E125" s="68" t="s">
        <v>478</v>
      </c>
    </row>
    <row r="126" spans="1:5">
      <c r="A126" s="68">
        <v>0.39245200000000002</v>
      </c>
      <c r="B126" s="68">
        <v>0.48214499999999999</v>
      </c>
      <c r="C126" s="68">
        <v>50.403199999999998</v>
      </c>
      <c r="D126" s="68">
        <v>2</v>
      </c>
      <c r="E126" s="68" t="s">
        <v>479</v>
      </c>
    </row>
    <row r="127" spans="1:5">
      <c r="A127" s="68">
        <v>0.39345200000000002</v>
      </c>
      <c r="B127" s="68">
        <v>0.48136000000000001</v>
      </c>
      <c r="C127" s="68">
        <v>50.810299999999998</v>
      </c>
      <c r="D127" s="68">
        <v>2</v>
      </c>
      <c r="E127" s="68" t="s">
        <v>480</v>
      </c>
    </row>
    <row r="128" spans="1:5">
      <c r="A128" s="68">
        <v>0.39424100000000001</v>
      </c>
      <c r="B128" s="68">
        <v>0.48036299999999998</v>
      </c>
      <c r="C128" s="68">
        <v>51.216999999999999</v>
      </c>
      <c r="D128" s="68">
        <v>2</v>
      </c>
      <c r="E128" s="68" t="s">
        <v>481</v>
      </c>
    </row>
    <row r="129" spans="1:5">
      <c r="A129" s="68">
        <v>0.39502199999999998</v>
      </c>
      <c r="B129" s="68">
        <v>0.47903200000000001</v>
      </c>
      <c r="C129" s="68">
        <v>51.621899999999997</v>
      </c>
      <c r="D129" s="68">
        <v>2</v>
      </c>
      <c r="E129" s="68" t="s">
        <v>482</v>
      </c>
    </row>
    <row r="130" spans="1:5">
      <c r="A130" s="68">
        <v>0.39549499999999999</v>
      </c>
      <c r="B130" s="68">
        <v>0.47779700000000003</v>
      </c>
      <c r="C130" s="68">
        <v>52.025799999999997</v>
      </c>
      <c r="D130" s="68">
        <v>2</v>
      </c>
      <c r="E130" s="68" t="s">
        <v>483</v>
      </c>
    </row>
    <row r="131" spans="1:5">
      <c r="A131" s="68">
        <v>0.396258</v>
      </c>
      <c r="B131" s="68">
        <v>0.476802</v>
      </c>
      <c r="C131" s="68">
        <v>52.4283</v>
      </c>
      <c r="D131" s="68">
        <v>2</v>
      </c>
      <c r="E131" s="68" t="s">
        <v>484</v>
      </c>
    </row>
    <row r="132" spans="1:5">
      <c r="A132" s="68">
        <v>0.39738299999999999</v>
      </c>
      <c r="B132" s="68">
        <v>0.47592899999999999</v>
      </c>
      <c r="C132" s="68">
        <v>52.837699999999998</v>
      </c>
      <c r="D132" s="68">
        <v>2</v>
      </c>
      <c r="E132" s="68" t="s">
        <v>485</v>
      </c>
    </row>
    <row r="133" spans="1:5">
      <c r="A133" s="68">
        <v>0.39842499999999997</v>
      </c>
      <c r="B133" s="68">
        <v>0.47520099999999998</v>
      </c>
      <c r="C133" s="68">
        <v>53.248600000000003</v>
      </c>
      <c r="D133" s="68">
        <v>2</v>
      </c>
      <c r="E133" s="68" t="s">
        <v>486</v>
      </c>
    </row>
    <row r="134" spans="1:5">
      <c r="A134" s="68">
        <v>0.39941300000000002</v>
      </c>
      <c r="B134" s="68">
        <v>0.47453400000000001</v>
      </c>
      <c r="C134" s="68">
        <v>53.656599999999997</v>
      </c>
      <c r="D134" s="68">
        <v>2</v>
      </c>
      <c r="E134" s="68" t="s">
        <v>487</v>
      </c>
    </row>
    <row r="135" spans="1:5">
      <c r="A135" s="68">
        <v>0.39985300000000001</v>
      </c>
      <c r="B135" s="68">
        <v>0.47394900000000001</v>
      </c>
      <c r="C135" s="68">
        <v>54.0593</v>
      </c>
      <c r="D135" s="68">
        <v>2</v>
      </c>
      <c r="E135" s="68" t="s">
        <v>488</v>
      </c>
    </row>
    <row r="136" spans="1:5">
      <c r="A136" s="68">
        <v>0.40060099999999998</v>
      </c>
      <c r="B136" s="68">
        <v>0.47297899999999998</v>
      </c>
      <c r="C136" s="68">
        <v>54.464300000000001</v>
      </c>
      <c r="D136" s="68">
        <v>2</v>
      </c>
      <c r="E136" s="68" t="s">
        <v>489</v>
      </c>
    </row>
    <row r="137" spans="1:5">
      <c r="A137" s="68">
        <v>0.40143800000000002</v>
      </c>
      <c r="B137" s="68">
        <v>0.472049</v>
      </c>
      <c r="C137" s="68">
        <v>54.869500000000002</v>
      </c>
      <c r="D137" s="68">
        <v>2</v>
      </c>
      <c r="E137" s="68" t="s">
        <v>490</v>
      </c>
    </row>
    <row r="138" spans="1:5">
      <c r="A138" s="68">
        <v>0.40264</v>
      </c>
      <c r="B138" s="68">
        <v>0.47062300000000001</v>
      </c>
      <c r="C138" s="68">
        <v>55.280900000000003</v>
      </c>
      <c r="D138" s="68">
        <v>2</v>
      </c>
      <c r="E138" s="68" t="s">
        <v>491</v>
      </c>
    </row>
    <row r="139" spans="1:5">
      <c r="A139" s="68">
        <v>0.40421800000000002</v>
      </c>
      <c r="B139" s="68">
        <v>0.46954200000000001</v>
      </c>
      <c r="C139" s="68">
        <v>55.685099999999998</v>
      </c>
      <c r="D139" s="68">
        <v>2</v>
      </c>
      <c r="E139" s="68" t="s">
        <v>492</v>
      </c>
    </row>
    <row r="140" spans="1:5">
      <c r="A140" s="68">
        <v>0.405918</v>
      </c>
      <c r="B140" s="68">
        <v>0.46854200000000001</v>
      </c>
      <c r="C140" s="68">
        <v>56.091999999999999</v>
      </c>
      <c r="D140" s="68">
        <v>2</v>
      </c>
      <c r="E140" s="68" t="s">
        <v>493</v>
      </c>
    </row>
    <row r="141" spans="1:5">
      <c r="A141" s="68">
        <v>0.40738400000000002</v>
      </c>
      <c r="B141" s="68">
        <v>0.468358</v>
      </c>
      <c r="C141" s="68">
        <v>56.496899999999997</v>
      </c>
      <c r="D141" s="68">
        <v>2</v>
      </c>
      <c r="E141" s="68" t="s">
        <v>494</v>
      </c>
    </row>
    <row r="142" spans="1:5">
      <c r="A142" s="68">
        <v>0.40825600000000001</v>
      </c>
      <c r="B142" s="68">
        <v>0.468773</v>
      </c>
      <c r="C142" s="68">
        <v>56.901899999999998</v>
      </c>
      <c r="D142" s="68">
        <v>2</v>
      </c>
      <c r="E142" s="68" t="s">
        <v>495</v>
      </c>
    </row>
    <row r="143" spans="1:5">
      <c r="A143" s="68">
        <v>0.40930699999999998</v>
      </c>
      <c r="B143" s="68">
        <v>0.46940100000000001</v>
      </c>
      <c r="C143" s="68">
        <v>57.310699999999997</v>
      </c>
      <c r="D143" s="68">
        <v>2</v>
      </c>
      <c r="E143" s="68" t="s">
        <v>496</v>
      </c>
    </row>
    <row r="144" spans="1:5">
      <c r="A144" s="68">
        <v>0.409939</v>
      </c>
      <c r="B144" s="68">
        <v>0.47006900000000001</v>
      </c>
      <c r="C144" s="68">
        <v>57.7166</v>
      </c>
      <c r="D144" s="68">
        <v>2</v>
      </c>
      <c r="E144" s="68" t="s">
        <v>497</v>
      </c>
    </row>
    <row r="145" spans="1:5">
      <c r="A145" s="68">
        <v>0.41029700000000002</v>
      </c>
      <c r="B145" s="68">
        <v>0.47236800000000001</v>
      </c>
      <c r="C145" s="68">
        <v>58.122500000000002</v>
      </c>
      <c r="D145" s="68">
        <v>2</v>
      </c>
      <c r="E145" s="68" t="s">
        <v>498</v>
      </c>
    </row>
    <row r="146" spans="1:5">
      <c r="A146" s="68">
        <v>0.41116599999999998</v>
      </c>
      <c r="B146" s="68">
        <v>0.47292299999999998</v>
      </c>
      <c r="C146" s="68">
        <v>58.5274</v>
      </c>
      <c r="D146" s="68">
        <v>2</v>
      </c>
      <c r="E146" s="68" t="s">
        <v>499</v>
      </c>
    </row>
    <row r="147" spans="1:5">
      <c r="A147" s="68">
        <v>0.41308800000000001</v>
      </c>
      <c r="B147" s="68">
        <v>0.472387</v>
      </c>
      <c r="C147" s="68">
        <v>58.929699999999997</v>
      </c>
      <c r="D147" s="68">
        <v>2</v>
      </c>
      <c r="E147" s="68" t="s">
        <v>500</v>
      </c>
    </row>
    <row r="148" spans="1:5">
      <c r="A148" s="68">
        <v>0.41629899999999997</v>
      </c>
      <c r="B148" s="68">
        <v>0.47103200000000001</v>
      </c>
      <c r="C148" s="68">
        <v>59.342300000000002</v>
      </c>
      <c r="D148" s="68">
        <v>2</v>
      </c>
      <c r="E148" s="68" t="s">
        <v>501</v>
      </c>
    </row>
    <row r="149" spans="1:5">
      <c r="A149" s="68">
        <v>0.41841600000000001</v>
      </c>
      <c r="B149" s="68">
        <v>0.470277</v>
      </c>
      <c r="C149" s="68">
        <v>59.746699999999997</v>
      </c>
      <c r="D149" s="68">
        <v>2</v>
      </c>
      <c r="E149" s="68" t="s">
        <v>502</v>
      </c>
    </row>
    <row r="150" spans="1:5">
      <c r="A150" s="68">
        <v>0.41593400000000003</v>
      </c>
      <c r="B150" s="68">
        <v>0.47612599999999999</v>
      </c>
      <c r="C150" s="32">
        <v>60.152099999999997</v>
      </c>
      <c r="D150" s="32">
        <v>2</v>
      </c>
      <c r="E150" s="32" t="s">
        <v>503</v>
      </c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352</v>
      </c>
      <c r="B1" s="66" t="s">
        <v>504</v>
      </c>
      <c r="C1" s="66" t="s">
        <v>506</v>
      </c>
      <c r="D1" s="66" t="s">
        <v>507</v>
      </c>
      <c r="E1" s="66" t="s">
        <v>508</v>
      </c>
      <c r="F1" s="66" t="s">
        <v>509</v>
      </c>
      <c r="G1" s="66" t="s">
        <v>510</v>
      </c>
      <c r="H1" s="66" t="s">
        <v>511</v>
      </c>
      <c r="I1" s="66" t="s">
        <v>512</v>
      </c>
      <c r="J1" s="66" t="s">
        <v>513</v>
      </c>
      <c r="K1" s="66" t="s">
        <v>514</v>
      </c>
      <c r="L1" s="66" t="s">
        <v>515</v>
      </c>
      <c r="M1" s="66" t="s">
        <v>516</v>
      </c>
      <c r="N1" s="66"/>
    </row>
    <row r="2" spans="1:14">
      <c r="A2" s="75">
        <v>43607.42324074074</v>
      </c>
      <c r="B2" s="66" t="s">
        <v>505</v>
      </c>
      <c r="C2" s="66"/>
      <c r="D2" s="66"/>
      <c r="E2" s="66">
        <v>4.9234099999999996</v>
      </c>
      <c r="F2" s="66">
        <v>1.82239</v>
      </c>
      <c r="G2" s="66">
        <v>0.55967900000000004</v>
      </c>
      <c r="H2" s="66">
        <v>0</v>
      </c>
      <c r="I2" s="66">
        <v>111910</v>
      </c>
      <c r="J2" s="66">
        <v>86</v>
      </c>
      <c r="K2" s="66">
        <v>86</v>
      </c>
      <c r="L2" s="66">
        <v>0</v>
      </c>
      <c r="M2" s="66" t="s">
        <v>517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2019-05-22T02:10:08Z</cp:lastPrinted>
  <dcterms:created xsi:type="dcterms:W3CDTF">2010-10-29T12:53:05Z</dcterms:created>
  <dcterms:modified xsi:type="dcterms:W3CDTF">2019-05-22T02:10:47Z</dcterms:modified>
</cp:coreProperties>
</file>