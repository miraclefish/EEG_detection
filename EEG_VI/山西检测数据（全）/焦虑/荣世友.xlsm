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<sst xmlns="http://schemas.openxmlformats.org/spreadsheetml/2006/main" count="701" uniqueCount="518">
  <si>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</si>
  <si>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</si>
  <si>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</si>
  <si>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</si>
  <si>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</si>
  <si>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</si>
  <si>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</si>
  <si>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</si>
  <si>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</si>
  <si>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</si>
  <si>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</si>
  <si>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</si>
  <si>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</si>
  <si>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</si>
  <si>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</si>
  <si>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</si>
  <si>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</si>
  <si>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</si>
  <si>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</si>
  <si>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</si>
  <si>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</si>
  <si>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</si>
  <si>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</si>
  <si>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</si>
  <si>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</si>
  <si>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</si>
  <si>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</si>
  <si>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</si>
  <si>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</si>
  <si>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</si>
  <si>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</si>
  <si>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</si>
  <si>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</si>
  <si>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</si>
  <si>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</si>
  <si>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</si>
  <si>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</si>
  <si>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</si>
  <si>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</si>
  <si>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</si>
  <si>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</si>
  <si>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</si>
  <si>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</si>
  <si>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</si>
  <si>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</si>
  <si>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</si>
  <si>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</si>
  <si>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</si>
  <si>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</si>
  <si>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</si>
  <si>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</si>
  <si>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</si>
  <si>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</si>
  <si>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</si>
  <si>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</si>
  <si>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</si>
  <si>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</si>
  <si>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</si>
  <si>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</si>
  <si>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</si>
  <si>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</si>
  <si>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</si>
  <si>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</si>
  <si>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</si>
  <si>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</si>
  <si>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</si>
  <si>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</si>
  <si>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</si>
  <si>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</si>
  <si>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</si>
  <si>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</si>
  <si>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</si>
  <si>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</si>
  <si>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</si>
  <si>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</si>
  <si>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</si>
  <si>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</si>
  <si>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</si>
  <si>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</si>
  <si>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</si>
  <si>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</si>
  <si>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</si>
  <si>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</si>
  <si>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</si>
  <si>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</si>
  <si>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</si>
  <si>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</si>
  <si>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</si>
  <si>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</si>
  <si>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</si>
  <si>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</si>
  <si>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</si>
  <si>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</si>
  <si>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</si>
  <si>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</si>
  <si>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</si>
  <si>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</si>
  <si>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</si>
  <si>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</si>
  <si>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</si>
  <si>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</si>
  <si>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</si>
  <si>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</si>
  <si>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</si>
  <si>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</si>
  <si>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</si>
  <si>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</si>
  <si>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</si>
  <si>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</si>
  <si>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</si>
  <si>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</si>
  <si>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</si>
  <si>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</si>
  <si>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</si>
  <si>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</si>
  <si>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</si>
  <si>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</si>
  <si>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</si>
  <si>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</si>
  <si>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</si>
  <si>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</si>
  <si>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</si>
  <si>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</si>
  <si>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</si>
  <si>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</si>
  <si>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</si>
  <si>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</si>
  <si>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</si>
  <si>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</si>
  <si>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</si>
  <si>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</si>
  <si>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</si>
  <si>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</si>
  <si>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</si>
  <si>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</si>
  <si>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</si>
  <si>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</si>
  <si>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</si>
  <si>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</si>
  <si>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</si>
  <si>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</si>
  <si>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</si>
  <si>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</si>
  <si>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</si>
  <si>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</si>
  <si>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</si>
  <si>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</si>
  <si>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</si>
  <si>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</si>
  <si>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</si>
  <si>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</si>
  <si>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</si>
  <si>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</si>
  <si>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</si>
  <si>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</si>
  <si>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</si>
  <si>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</si>
  <si>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</si>
  <si>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</si>
  <si>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</si>
  <si>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</si>
  <si>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</si>
  <si>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</si>
  <si>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</si>
  <si>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</si>
  <si>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</si>
  <si>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</si>
  <si>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</si>
  <si>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</si>
  <si>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</si>
  <si>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</si>
  <si>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</si>
  <si>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</si>
  <si>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</si>
  <si>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</si>
  <si>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</si>
  <si>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</si>
  <si>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</si>
  <si>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</si>
  <si>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</si>
  <si>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</si>
  <si>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</si>
  <si>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</si>
  <si>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</si>
  <si>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</si>
  <si>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</si>
  <si>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</si>
  <si>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</si>
  <si>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</si>
  <si>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</si>
  <si>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</si>
  <si>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</si>
  <si>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</si>
  <si>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</si>
  <si>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</si>
  <si>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</si>
  <si>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</si>
  <si>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</si>
  <si>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</si>
  <si>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</si>
  <si>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</si>
  <si>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</si>
  <si>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</si>
  <si>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</si>
  <si>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</si>
  <si>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</si>
  <si>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</si>
  <si>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</si>
  <si>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</si>
  <si>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</si>
  <si>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</si>
  <si>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</si>
  <si>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</si>
  <si>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</si>
  <si>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</si>
  <si>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</si>
  <si>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</si>
  <si>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</si>
  <si>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</si>
  <si>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</si>
  <si>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</si>
  <si>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</si>
  <si>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</si>
  <si>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</si>
  <si>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</si>
  <si>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</si>
  <si>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</si>
  <si>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</si>
  <si>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</si>
  <si>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</si>
  <si>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</si>
  <si>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</si>
  <si>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</si>
  <si>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</si>
  <si>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</si>
  <si>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</si>
  <si>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</si>
  <si>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</si>
  <si>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</si>
  <si>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</si>
  <si>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</si>
  <si>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</si>
  <si>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</si>
  <si>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</si>
  <si>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</si>
  <si>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</si>
  <si>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</si>
  <si>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</si>
  <si>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</si>
  <si>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</si>
  <si>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</si>
  <si>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</si>
  <si>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</si>
  <si>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</si>
  <si>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</si>
  <si>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</si>
  <si>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</si>
  <si>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</si>
  <si>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</si>
  <si>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</si>
  <si>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</si>
  <si>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</si>
  <si>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</si>
  <si>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</si>
  <si>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</si>
  <si>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</si>
  <si>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</si>
  <si>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</si>
  <si>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</si>
  <si>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</si>
  <si>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</si>
  <si>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</si>
  <si>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</si>
  <si>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</si>
  <si>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</si>
  <si>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</si>
  <si>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</si>
  <si>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</si>
  <si>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</si>
  <si>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</si>
  <si>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</si>
  <si>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</si>
  <si>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</si>
  <si>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</si>
  <si>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</si>
  <si>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</si>
  <si>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</si>
  <si>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</si>
  <si>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</si>
  <si>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</si>
  <si>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</si>
  <si>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</si>
  <si>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</si>
  <si>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</si>
  <si>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</si>
  <si>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</si>
  <si>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</si>
  <si>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</si>
  <si>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</si>
  <si>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</si>
  <si>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</si>
  <si>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</si>
  <si>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</si>
  <si>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</si>
  <si>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</si>
  <si>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</si>
  <si>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</si>
  <si>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</si>
  <si>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</si>
  <si>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</si>
  <si>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</si>
  <si>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</si>
  <si>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</si>
  <si>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</si>
  <si>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</si>
  <si>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</si>
  <si>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</si>
  <si>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</si>
  <si>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</si>
  <si>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</si>
  <si>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</si>
  <si>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</si>
  <si>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</si>
  <si>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</si>
  <si>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</si>
  <si>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</si>
  <si>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</si>
  <si>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</si>
  <si>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</si>
  <si>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</si>
  <si>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</si>
  <si>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</si>
  <si>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</si>
  <si>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</si>
  <si>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</si>
  <si>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</si>
  <si>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</si>
  <si>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</si>
  <si>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</si>
  <si>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</si>
  <si>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</si>
  <si>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</si>
  <si>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</si>
  <si>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</si>
  <si>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</si>
  <si>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</si>
  <si>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</si>
  <si>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</si>
  <si>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</si>
  <si>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</si>
  <si>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</si>
  <si>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</si>
  <si>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</si>
  <si>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</si>
  <si>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</si>
  <si>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</si>
  <si>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</si>
  <si>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[0.380168]</t>
  </si>
  <si>
    <t>1 [0.781439]</t>
  </si>
  <si>
    <t>1 [1.188559]</t>
  </si>
  <si>
    <t>1 [1.596863]</t>
  </si>
  <si>
    <t>1 [2.004615]</t>
  </si>
  <si>
    <t>1 [2.407332]</t>
  </si>
  <si>
    <t>1 [2.813896]</t>
  </si>
  <si>
    <t>1 [3.218648]</t>
  </si>
  <si>
    <t>1 [3.625502]</t>
  </si>
  <si>
    <t>1 [4.031391]</t>
  </si>
  <si>
    <t>1 [4.438469]</t>
  </si>
  <si>
    <t>1 [4.844449]</t>
  </si>
  <si>
    <t>1 [5.253488]</t>
  </si>
  <si>
    <t>1 [5.657943]</t>
  </si>
  <si>
    <t>1 [6.064164]</t>
  </si>
  <si>
    <t>1 [6.469810]</t>
  </si>
  <si>
    <t>1 [6.878208]</t>
  </si>
  <si>
    <t>1 [7.286419]</t>
  </si>
  <si>
    <t>1 [7.691585]</t>
  </si>
  <si>
    <t>1 [8.095828]</t>
  </si>
  <si>
    <t>1 [8.501216]</t>
  </si>
  <si>
    <t>1 [8.908937]</t>
  </si>
  <si>
    <t>1 [9.316595]</t>
  </si>
  <si>
    <t>1 [9.722869]</t>
  </si>
  <si>
    <t>1 [10.124617]</t>
  </si>
  <si>
    <t>1 [10.531446]</t>
  </si>
  <si>
    <t>1 [10.937604]</t>
  </si>
  <si>
    <t>1 [11.347324]</t>
  </si>
  <si>
    <t>1 [11.753552]</t>
  </si>
  <si>
    <t>1 [12.158320]</t>
  </si>
  <si>
    <t>1 [12.562774]</t>
  </si>
  <si>
    <t>1 [12.970194]</t>
  </si>
  <si>
    <t>1 [13.377933]</t>
  </si>
  <si>
    <t>1 [13.785093]</t>
  </si>
  <si>
    <t>1 [14.189314]</t>
  </si>
  <si>
    <t>1 [14.596395]</t>
  </si>
  <si>
    <t>1 [15.002717]</t>
  </si>
  <si>
    <t>1 [15.409927]</t>
  </si>
  <si>
    <t>1 [15.817605]</t>
  </si>
  <si>
    <t>1 [16.221056]</t>
  </si>
  <si>
    <t>1 [16.626343]</t>
  </si>
  <si>
    <t>1 [17.031858]</t>
  </si>
  <si>
    <t>1 [17.441799]</t>
  </si>
  <si>
    <t>1 [17.848172]</t>
  </si>
  <si>
    <t>1 [18.254965]</t>
  </si>
  <si>
    <t>1 [18.658368]</t>
  </si>
  <si>
    <t>1 [19.064507]</t>
  </si>
  <si>
    <t>1 [19.470769]</t>
  </si>
  <si>
    <t>1 [19.874616]</t>
  </si>
  <si>
    <t>1 [20.282011]</t>
  </si>
  <si>
    <t>1 [20.691048]</t>
  </si>
  <si>
    <t>1 [21.095777]</t>
  </si>
  <si>
    <t>1 [21.502287]</t>
  </si>
  <si>
    <t>1 [21.907763]</t>
  </si>
  <si>
    <t>1 [22.316785]</t>
  </si>
  <si>
    <t>1 [22.722458]</t>
  </si>
  <si>
    <t>1 [23.128223]</t>
  </si>
  <si>
    <t>1 [23.533489]</t>
  </si>
  <si>
    <t>1 [23.939373]</t>
  </si>
  <si>
    <t>1 [24.346151]</t>
  </si>
  <si>
    <t>1 [24.751034]</t>
  </si>
  <si>
    <t>1 [25.161511]</t>
  </si>
  <si>
    <t>1 [25.564519]</t>
  </si>
  <si>
    <t>1 [25.968777]</t>
  </si>
  <si>
    <t>1 [26.377538]</t>
  </si>
  <si>
    <t>1 [26.782837]</t>
  </si>
  <si>
    <t>1 [27.191491]</t>
  </si>
  <si>
    <t>1 [27.596189]</t>
  </si>
  <si>
    <t>1 [28.000576]</t>
  </si>
  <si>
    <t>1 [28.410141]</t>
  </si>
  <si>
    <t>1 [28.814916]</t>
  </si>
  <si>
    <t>1 [29.221182]</t>
  </si>
  <si>
    <t>1 [29.625577]</t>
  </si>
  <si>
    <t>2 [30.030782]</t>
  </si>
  <si>
    <t>2 [30.515047]</t>
  </si>
  <si>
    <t>2 [30.890024]</t>
  </si>
  <si>
    <t>2 [31.297673]</t>
  </si>
  <si>
    <t>2 [31.703494]</t>
  </si>
  <si>
    <t>2 [32.111391]</t>
  </si>
  <si>
    <t>2 [32.517544]</t>
  </si>
  <si>
    <t>2 [32.922717]</t>
  </si>
  <si>
    <t>2 [33.331366]</t>
  </si>
  <si>
    <t>2 [33.739529]</t>
  </si>
  <si>
    <t>2 [34.142467]</t>
  </si>
  <si>
    <t>2 [34.549634]</t>
  </si>
  <si>
    <t>2 [34.957309]</t>
  </si>
  <si>
    <t>2 [35.364137]</t>
  </si>
  <si>
    <t>2 [35.766763]</t>
  </si>
  <si>
    <t>2 [36.174398]</t>
  </si>
  <si>
    <t>2 [36.579861]</t>
  </si>
  <si>
    <t>2 [36.989140]</t>
  </si>
  <si>
    <t>2 [37.394787]</t>
  </si>
  <si>
    <t>2 [37.796359]</t>
  </si>
  <si>
    <t>2 [38.204074]</t>
  </si>
  <si>
    <t>2 [38.609817]</t>
  </si>
  <si>
    <t>2 [39.016542]</t>
  </si>
  <si>
    <t>2 [39.425241]</t>
  </si>
  <si>
    <t>2 [39.833020]</t>
  </si>
  <si>
    <t>2 [40.237342]</t>
  </si>
  <si>
    <t>2 [40.643047]</t>
  </si>
  <si>
    <t>2 [41.047881]</t>
  </si>
  <si>
    <t>2 [41.457217]</t>
  </si>
  <si>
    <t>2 [41.861049]</t>
  </si>
  <si>
    <t>2 [42.266642]</t>
  </si>
  <si>
    <t>2 [42.672712]</t>
  </si>
  <si>
    <t>2 [43.077358]</t>
  </si>
  <si>
    <t>2 [43.491412]</t>
  </si>
  <si>
    <t>2 [43.894215]</t>
  </si>
  <si>
    <t>2 [44.301402]</t>
  </si>
  <si>
    <t>2 [44.705126]</t>
  </si>
  <si>
    <t>2 [45.108842]</t>
  </si>
  <si>
    <t>2 [45.516852]</t>
  </si>
  <si>
    <t>2 [45.924313]</t>
  </si>
  <si>
    <t>2 [46.331359]</t>
  </si>
  <si>
    <t>2 [46.735553]</t>
  </si>
  <si>
    <t>2 [47.145730]</t>
  </si>
  <si>
    <t>2 [47.546992]</t>
  </si>
  <si>
    <t>2 [47.952328]</t>
  </si>
  <si>
    <t>2 [48.361060]</t>
  </si>
  <si>
    <t>2 [48.769109]</t>
  </si>
  <si>
    <t>2 [49.175895]</t>
  </si>
  <si>
    <t>2 [49.577805]</t>
  </si>
  <si>
    <t>2 [49.984161]</t>
  </si>
  <si>
    <t>2 [50.390910]</t>
  </si>
  <si>
    <t>2 [50.801914]</t>
  </si>
  <si>
    <t>2 [51.205866]</t>
  </si>
  <si>
    <t>2 [51.613154]</t>
  </si>
  <si>
    <t>2 [52.016534]</t>
  </si>
  <si>
    <t>2 [52.422309]</t>
  </si>
  <si>
    <t>2 [52.834210]</t>
  </si>
  <si>
    <t>2 [53.236687]</t>
  </si>
  <si>
    <t>2 [53.645584]</t>
  </si>
  <si>
    <t>2 [54.047213]</t>
  </si>
  <si>
    <t>2 [54.455573]</t>
  </si>
  <si>
    <t>2 [54.859471]</t>
  </si>
  <si>
    <t>2 [55.272283]</t>
  </si>
  <si>
    <t>2 [55.675507]</t>
  </si>
  <si>
    <t>2 [56.081288]</t>
  </si>
  <si>
    <t>2 [56.485376]</t>
  </si>
  <si>
    <t>2 [56.894364]</t>
  </si>
  <si>
    <t>2 [57.298187]</t>
  </si>
  <si>
    <t>2 [57.707817]</t>
  </si>
  <si>
    <t>2 [58.112208]</t>
  </si>
  <si>
    <t>2 [58.514309]</t>
  </si>
  <si>
    <t>2 [58.925058]</t>
  </si>
  <si>
    <t>2 [59.334177]</t>
  </si>
  <si>
    <t>2 [59.739789]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</si>
  <si>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</si>
  <si>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</si>
  <si>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</si>
  <si>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</si>
  <si>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</si>
  <si>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</si>
  <si>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</si>
  <si>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</si>
  <si>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</si>
  <si>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</si>
  <si>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</si>
  <si>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</si>
  <si>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</si>
  <si>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荣世友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</si>
</sst>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36.328600000000002</c:v>
                </c:pt>
                <c:pt idx="1">
                  <c:v>30.161300000000001</c:v>
                </c:pt>
                <c:pt idx="2">
                  <c:v>24.3935</c:v>
                </c:pt>
                <c:pt idx="3">
                  <c:v>30.2608</c:v>
                </c:pt>
                <c:pt idx="4">
                  <c:v>69.512900000000002</c:v>
                </c:pt>
                <c:pt idx="5">
                  <c:v>74.3977</c:v>
                </c:pt>
                <c:pt idx="6">
                  <c:v>24.6738</c:v>
                </c:pt>
                <c:pt idx="7">
                  <c:v>71.527100000000004</c:v>
                </c:pt>
                <c:pt idx="8">
                  <c:v>17.448</c:v>
                </c:pt>
                <c:pt idx="9">
                  <c:v>35.695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0.51356167802786357</c:v>
                </c:pt>
                <c:pt idx="1">
                  <c:v>0.25910886665296384</c:v>
                </c:pt>
                <c:pt idx="2">
                  <c:v>0.22732945531917262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159</c:v>
                </c:pt>
                <c:pt idx="7">
                  <c:v>0</c:v>
                </c:pt>
                <c:pt idx="8">
                  <c:v>304</c:v>
                </c:pt>
                <c:pt idx="9">
                  <c:v>0</c:v>
                </c:pt>
                <c:pt idx="10">
                  <c:v>0</c:v>
                </c:pt>
                <c:pt idx="11">
                  <c:v>1946</c:v>
                </c:pt>
                <c:pt idx="12">
                  <c:v>0</c:v>
                </c:pt>
                <c:pt idx="13">
                  <c:v>4431</c:v>
                </c:pt>
                <c:pt idx="14">
                  <c:v>0</c:v>
                </c:pt>
                <c:pt idx="15">
                  <c:v>0</c:v>
                </c:pt>
                <c:pt idx="16">
                  <c:v>8757</c:v>
                </c:pt>
                <c:pt idx="17">
                  <c:v>0</c:v>
                </c:pt>
                <c:pt idx="18">
                  <c:v>0</c:v>
                </c:pt>
                <c:pt idx="19">
                  <c:v>9952</c:v>
                </c:pt>
                <c:pt idx="20">
                  <c:v>0</c:v>
                </c:pt>
                <c:pt idx="21">
                  <c:v>9531</c:v>
                </c:pt>
                <c:pt idx="22">
                  <c:v>0</c:v>
                </c:pt>
                <c:pt idx="23">
                  <c:v>0</c:v>
                </c:pt>
                <c:pt idx="24">
                  <c:v>11323</c:v>
                </c:pt>
                <c:pt idx="25">
                  <c:v>0</c:v>
                </c:pt>
                <c:pt idx="26">
                  <c:v>18781</c:v>
                </c:pt>
                <c:pt idx="27">
                  <c:v>0</c:v>
                </c:pt>
                <c:pt idx="28">
                  <c:v>0</c:v>
                </c:pt>
                <c:pt idx="29">
                  <c:v>26466</c:v>
                </c:pt>
                <c:pt idx="30">
                  <c:v>0</c:v>
                </c:pt>
                <c:pt idx="31">
                  <c:v>34599</c:v>
                </c:pt>
                <c:pt idx="32">
                  <c:v>0</c:v>
                </c:pt>
                <c:pt idx="33">
                  <c:v>0</c:v>
                </c:pt>
                <c:pt idx="34">
                  <c:v>38019</c:v>
                </c:pt>
                <c:pt idx="35">
                  <c:v>0</c:v>
                </c:pt>
                <c:pt idx="36">
                  <c:v>0</c:v>
                </c:pt>
                <c:pt idx="37">
                  <c:v>48410</c:v>
                </c:pt>
                <c:pt idx="38">
                  <c:v>0</c:v>
                </c:pt>
                <c:pt idx="39">
                  <c:v>55877</c:v>
                </c:pt>
                <c:pt idx="40">
                  <c:v>0</c:v>
                </c:pt>
                <c:pt idx="41">
                  <c:v>0</c:v>
                </c:pt>
                <c:pt idx="42">
                  <c:v>65964</c:v>
                </c:pt>
                <c:pt idx="43">
                  <c:v>0</c:v>
                </c:pt>
                <c:pt idx="44">
                  <c:v>80752</c:v>
                </c:pt>
                <c:pt idx="45">
                  <c:v>0</c:v>
                </c:pt>
                <c:pt idx="46">
                  <c:v>0</c:v>
                </c:pt>
                <c:pt idx="47">
                  <c:v>96323</c:v>
                </c:pt>
                <c:pt idx="48">
                  <c:v>0</c:v>
                </c:pt>
                <c:pt idx="49">
                  <c:v>108007</c:v>
                </c:pt>
                <c:pt idx="50">
                  <c:v>0</c:v>
                </c:pt>
                <c:pt idx="51">
                  <c:v>0</c:v>
                </c:pt>
                <c:pt idx="52">
                  <c:v>117659</c:v>
                </c:pt>
                <c:pt idx="53">
                  <c:v>0</c:v>
                </c:pt>
                <c:pt idx="54">
                  <c:v>0</c:v>
                </c:pt>
                <c:pt idx="55">
                  <c:v>125036</c:v>
                </c:pt>
                <c:pt idx="56">
                  <c:v>0</c:v>
                </c:pt>
                <c:pt idx="57">
                  <c:v>134902</c:v>
                </c:pt>
                <c:pt idx="58">
                  <c:v>0</c:v>
                </c:pt>
                <c:pt idx="59">
                  <c:v>0</c:v>
                </c:pt>
                <c:pt idx="60">
                  <c:v>148112</c:v>
                </c:pt>
                <c:pt idx="61">
                  <c:v>0</c:v>
                </c:pt>
                <c:pt idx="62">
                  <c:v>174161</c:v>
                </c:pt>
                <c:pt idx="63">
                  <c:v>0</c:v>
                </c:pt>
                <c:pt idx="64">
                  <c:v>0</c:v>
                </c:pt>
                <c:pt idx="65">
                  <c:v>177301</c:v>
                </c:pt>
                <c:pt idx="66">
                  <c:v>0</c:v>
                </c:pt>
                <c:pt idx="67">
                  <c:v>192074</c:v>
                </c:pt>
                <c:pt idx="68">
                  <c:v>0</c:v>
                </c:pt>
                <c:pt idx="69">
                  <c:v>0</c:v>
                </c:pt>
                <c:pt idx="70">
                  <c:v>201289</c:v>
                </c:pt>
                <c:pt idx="71">
                  <c:v>0</c:v>
                </c:pt>
                <c:pt idx="72">
                  <c:v>0</c:v>
                </c:pt>
                <c:pt idx="73">
                  <c:v>211562</c:v>
                </c:pt>
                <c:pt idx="74">
                  <c:v>0</c:v>
                </c:pt>
                <c:pt idx="75">
                  <c:v>217130</c:v>
                </c:pt>
                <c:pt idx="76">
                  <c:v>0</c:v>
                </c:pt>
                <c:pt idx="77">
                  <c:v>0</c:v>
                </c:pt>
                <c:pt idx="78">
                  <c:v>215784</c:v>
                </c:pt>
                <c:pt idx="79">
                  <c:v>0</c:v>
                </c:pt>
                <c:pt idx="80">
                  <c:v>220206</c:v>
                </c:pt>
                <c:pt idx="81">
                  <c:v>0</c:v>
                </c:pt>
                <c:pt idx="82">
                  <c:v>0</c:v>
                </c:pt>
                <c:pt idx="83">
                  <c:v>198120</c:v>
                </c:pt>
                <c:pt idx="84">
                  <c:v>0</c:v>
                </c:pt>
                <c:pt idx="85">
                  <c:v>0</c:v>
                </c:pt>
                <c:pt idx="86">
                  <c:v>193342</c:v>
                </c:pt>
                <c:pt idx="87">
                  <c:v>0</c:v>
                </c:pt>
                <c:pt idx="88">
                  <c:v>188286</c:v>
                </c:pt>
                <c:pt idx="89">
                  <c:v>0</c:v>
                </c:pt>
                <c:pt idx="90">
                  <c:v>0</c:v>
                </c:pt>
                <c:pt idx="91">
                  <c:v>188302</c:v>
                </c:pt>
                <c:pt idx="92">
                  <c:v>0</c:v>
                </c:pt>
                <c:pt idx="93">
                  <c:v>187363</c:v>
                </c:pt>
                <c:pt idx="94">
                  <c:v>0</c:v>
                </c:pt>
                <c:pt idx="95">
                  <c:v>0</c:v>
                </c:pt>
                <c:pt idx="96">
                  <c:v>187455</c:v>
                </c:pt>
                <c:pt idx="97">
                  <c:v>0</c:v>
                </c:pt>
                <c:pt idx="98">
                  <c:v>188305</c:v>
                </c:pt>
                <c:pt idx="99">
                  <c:v>0</c:v>
                </c:pt>
                <c:pt idx="100">
                  <c:v>0</c:v>
                </c:pt>
                <c:pt idx="101">
                  <c:v>178548</c:v>
                </c:pt>
                <c:pt idx="102">
                  <c:v>0</c:v>
                </c:pt>
                <c:pt idx="103">
                  <c:v>0</c:v>
                </c:pt>
                <c:pt idx="104">
                  <c:v>191519</c:v>
                </c:pt>
                <c:pt idx="105">
                  <c:v>0</c:v>
                </c:pt>
                <c:pt idx="106">
                  <c:v>179066</c:v>
                </c:pt>
                <c:pt idx="107">
                  <c:v>0</c:v>
                </c:pt>
                <c:pt idx="108">
                  <c:v>0</c:v>
                </c:pt>
                <c:pt idx="109">
                  <c:v>178519</c:v>
                </c:pt>
                <c:pt idx="110">
                  <c:v>0</c:v>
                </c:pt>
                <c:pt idx="111">
                  <c:v>177498</c:v>
                </c:pt>
                <c:pt idx="112">
                  <c:v>0</c:v>
                </c:pt>
                <c:pt idx="113">
                  <c:v>0</c:v>
                </c:pt>
                <c:pt idx="114">
                  <c:v>165240</c:v>
                </c:pt>
                <c:pt idx="115">
                  <c:v>0</c:v>
                </c:pt>
                <c:pt idx="116">
                  <c:v>153648</c:v>
                </c:pt>
                <c:pt idx="117">
                  <c:v>0</c:v>
                </c:pt>
                <c:pt idx="118">
                  <c:v>0</c:v>
                </c:pt>
                <c:pt idx="119">
                  <c:v>151661</c:v>
                </c:pt>
                <c:pt idx="120">
                  <c:v>0</c:v>
                </c:pt>
                <c:pt idx="121">
                  <c:v>0</c:v>
                </c:pt>
                <c:pt idx="122">
                  <c:v>143712</c:v>
                </c:pt>
                <c:pt idx="123">
                  <c:v>0</c:v>
                </c:pt>
                <c:pt idx="124">
                  <c:v>129080</c:v>
                </c:pt>
                <c:pt idx="125">
                  <c:v>0</c:v>
                </c:pt>
                <c:pt idx="126">
                  <c:v>0</c:v>
                </c:pt>
                <c:pt idx="127">
                  <c:v>127794</c:v>
                </c:pt>
                <c:pt idx="128">
                  <c:v>0</c:v>
                </c:pt>
                <c:pt idx="129">
                  <c:v>130869</c:v>
                </c:pt>
                <c:pt idx="130">
                  <c:v>0</c:v>
                </c:pt>
                <c:pt idx="131">
                  <c:v>0</c:v>
                </c:pt>
                <c:pt idx="132">
                  <c:v>122365</c:v>
                </c:pt>
                <c:pt idx="133">
                  <c:v>0</c:v>
                </c:pt>
                <c:pt idx="134">
                  <c:v>121643</c:v>
                </c:pt>
                <c:pt idx="135">
                  <c:v>0</c:v>
                </c:pt>
                <c:pt idx="136">
                  <c:v>0</c:v>
                </c:pt>
                <c:pt idx="137">
                  <c:v>109848</c:v>
                </c:pt>
                <c:pt idx="138">
                  <c:v>0</c:v>
                </c:pt>
                <c:pt idx="139">
                  <c:v>0</c:v>
                </c:pt>
                <c:pt idx="140">
                  <c:v>94013</c:v>
                </c:pt>
                <c:pt idx="141">
                  <c:v>0</c:v>
                </c:pt>
                <c:pt idx="142">
                  <c:v>86197</c:v>
                </c:pt>
                <c:pt idx="143">
                  <c:v>0</c:v>
                </c:pt>
                <c:pt idx="144">
                  <c:v>0</c:v>
                </c:pt>
                <c:pt idx="145">
                  <c:v>76173</c:v>
                </c:pt>
                <c:pt idx="146">
                  <c:v>0</c:v>
                </c:pt>
                <c:pt idx="147">
                  <c:v>59099</c:v>
                </c:pt>
                <c:pt idx="148">
                  <c:v>0</c:v>
                </c:pt>
                <c:pt idx="149">
                  <c:v>0</c:v>
                </c:pt>
                <c:pt idx="150">
                  <c:v>45763</c:v>
                </c:pt>
                <c:pt idx="151">
                  <c:v>0</c:v>
                </c:pt>
                <c:pt idx="152">
                  <c:v>39861</c:v>
                </c:pt>
                <c:pt idx="153">
                  <c:v>0</c:v>
                </c:pt>
                <c:pt idx="154">
                  <c:v>0</c:v>
                </c:pt>
                <c:pt idx="155">
                  <c:v>27390</c:v>
                </c:pt>
                <c:pt idx="156">
                  <c:v>0</c:v>
                </c:pt>
                <c:pt idx="157">
                  <c:v>0</c:v>
                </c:pt>
                <c:pt idx="158">
                  <c:v>20380</c:v>
                </c:pt>
                <c:pt idx="159">
                  <c:v>0</c:v>
                </c:pt>
                <c:pt idx="160">
                  <c:v>13175</c:v>
                </c:pt>
                <c:pt idx="161">
                  <c:v>0</c:v>
                </c:pt>
                <c:pt idx="162">
                  <c:v>0</c:v>
                </c:pt>
                <c:pt idx="163">
                  <c:v>8260</c:v>
                </c:pt>
                <c:pt idx="164">
                  <c:v>0</c:v>
                </c:pt>
                <c:pt idx="165">
                  <c:v>5960</c:v>
                </c:pt>
                <c:pt idx="166">
                  <c:v>0</c:v>
                </c:pt>
                <c:pt idx="167">
                  <c:v>0</c:v>
                </c:pt>
                <c:pt idx="168">
                  <c:v>6830</c:v>
                </c:pt>
                <c:pt idx="169">
                  <c:v>0</c:v>
                </c:pt>
                <c:pt idx="170">
                  <c:v>0</c:v>
                </c:pt>
                <c:pt idx="171">
                  <c:v>6581</c:v>
                </c:pt>
                <c:pt idx="172">
                  <c:v>0</c:v>
                </c:pt>
                <c:pt idx="173">
                  <c:v>4603</c:v>
                </c:pt>
                <c:pt idx="174">
                  <c:v>0</c:v>
                </c:pt>
                <c:pt idx="175">
                  <c:v>0</c:v>
                </c:pt>
                <c:pt idx="176">
                  <c:v>2522</c:v>
                </c:pt>
                <c:pt idx="177">
                  <c:v>0</c:v>
                </c:pt>
                <c:pt idx="178">
                  <c:v>949</c:v>
                </c:pt>
                <c:pt idx="179">
                  <c:v>0</c:v>
                </c:pt>
                <c:pt idx="180">
                  <c:v>0</c:v>
                </c:pt>
                <c:pt idx="181">
                  <c:v>1618</c:v>
                </c:pt>
                <c:pt idx="182">
                  <c:v>0</c:v>
                </c:pt>
                <c:pt idx="183">
                  <c:v>1870</c:v>
                </c:pt>
                <c:pt idx="184">
                  <c:v>0</c:v>
                </c:pt>
                <c:pt idx="185">
                  <c:v>0</c:v>
                </c:pt>
                <c:pt idx="186">
                  <c:v>2110</c:v>
                </c:pt>
                <c:pt idx="187">
                  <c:v>0</c:v>
                </c:pt>
                <c:pt idx="188">
                  <c:v>0</c:v>
                </c:pt>
                <c:pt idx="189">
                  <c:v>257</c:v>
                </c:pt>
                <c:pt idx="190">
                  <c:v>0</c:v>
                </c:pt>
                <c:pt idx="191">
                  <c:v>223</c:v>
                </c:pt>
                <c:pt idx="192">
                  <c:v>0</c:v>
                </c:pt>
                <c:pt idx="193">
                  <c:v>0</c:v>
                </c:pt>
                <c:pt idx="194">
                  <c:v>323</c:v>
                </c:pt>
                <c:pt idx="195">
                  <c:v>0</c:v>
                </c:pt>
                <c:pt idx="196">
                  <c:v>188</c:v>
                </c:pt>
                <c:pt idx="197">
                  <c:v>0</c:v>
                </c:pt>
                <c:pt idx="198">
                  <c:v>0</c:v>
                </c:pt>
                <c:pt idx="199">
                  <c:v>144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2.2427600000000001</c:v>
                </c:pt>
                <c:pt idx="1">
                  <c:v>2.2904599999999999</c:v>
                </c:pt>
                <c:pt idx="2">
                  <c:v>2.3379599999999998</c:v>
                </c:pt>
                <c:pt idx="3">
                  <c:v>2.3857300000000001</c:v>
                </c:pt>
                <c:pt idx="4">
                  <c:v>2.4305499999999998</c:v>
                </c:pt>
                <c:pt idx="5">
                  <c:v>2.4733200000000002</c:v>
                </c:pt>
                <c:pt idx="6">
                  <c:v>2.5132900000000005</c:v>
                </c:pt>
                <c:pt idx="7">
                  <c:v>2.5522200000000002</c:v>
                </c:pt>
                <c:pt idx="8">
                  <c:v>2.5915400000000002</c:v>
                </c:pt>
                <c:pt idx="9">
                  <c:v>2.6285500000000002</c:v>
                </c:pt>
                <c:pt idx="10">
                  <c:v>2.66432</c:v>
                </c:pt>
                <c:pt idx="11">
                  <c:v>2.6931799999999999</c:v>
                </c:pt>
                <c:pt idx="12">
                  <c:v>2.7191100000000001</c:v>
                </c:pt>
                <c:pt idx="13">
                  <c:v>2.7429100000000002</c:v>
                </c:pt>
                <c:pt idx="14">
                  <c:v>2.7655699999999999</c:v>
                </c:pt>
                <c:pt idx="15">
                  <c:v>2.7880199999999999</c:v>
                </c:pt>
                <c:pt idx="16">
                  <c:v>2.8090299999999999</c:v>
                </c:pt>
                <c:pt idx="17">
                  <c:v>2.8304800000000001</c:v>
                </c:pt>
                <c:pt idx="18">
                  <c:v>2.8522699999999999</c:v>
                </c:pt>
                <c:pt idx="19">
                  <c:v>2.8776899999999999</c:v>
                </c:pt>
                <c:pt idx="20">
                  <c:v>2.9008799999999999</c:v>
                </c:pt>
                <c:pt idx="21">
                  <c:v>2.9241200000000003</c:v>
                </c:pt>
                <c:pt idx="22">
                  <c:v>2.9507899999999996</c:v>
                </c:pt>
                <c:pt idx="23">
                  <c:v>2.9803800000000003</c:v>
                </c:pt>
                <c:pt idx="24">
                  <c:v>3.01227</c:v>
                </c:pt>
                <c:pt idx="25">
                  <c:v>3.0478699999999996</c:v>
                </c:pt>
                <c:pt idx="26">
                  <c:v>3.0876799999999998</c:v>
                </c:pt>
                <c:pt idx="27">
                  <c:v>3.1285099999999999</c:v>
                </c:pt>
                <c:pt idx="28">
                  <c:v>3.1716800000000003</c:v>
                </c:pt>
                <c:pt idx="29">
                  <c:v>3.21963</c:v>
                </c:pt>
                <c:pt idx="30">
                  <c:v>3.2702</c:v>
                </c:pt>
                <c:pt idx="31">
                  <c:v>3.32477</c:v>
                </c:pt>
                <c:pt idx="32">
                  <c:v>3.3812500000000001</c:v>
                </c:pt>
                <c:pt idx="33">
                  <c:v>3.4368100000000004</c:v>
                </c:pt>
                <c:pt idx="34">
                  <c:v>3.4938399999999996</c:v>
                </c:pt>
                <c:pt idx="35">
                  <c:v>3.5558299999999998</c:v>
                </c:pt>
                <c:pt idx="36">
                  <c:v>3.6231499999999999</c:v>
                </c:pt>
                <c:pt idx="37">
                  <c:v>3.6888199999999998</c:v>
                </c:pt>
                <c:pt idx="38">
                  <c:v>3.7524200000000003</c:v>
                </c:pt>
                <c:pt idx="39">
                  <c:v>3.8185400000000005</c:v>
                </c:pt>
                <c:pt idx="40">
                  <c:v>3.8867000000000003</c:v>
                </c:pt>
                <c:pt idx="41">
                  <c:v>3.9551500000000002</c:v>
                </c:pt>
                <c:pt idx="42">
                  <c:v>4.0230500000000005</c:v>
                </c:pt>
                <c:pt idx="43">
                  <c:v>4.0894399999999997</c:v>
                </c:pt>
                <c:pt idx="44">
                  <c:v>4.1506600000000002</c:v>
                </c:pt>
                <c:pt idx="45">
                  <c:v>4.2100400000000002</c:v>
                </c:pt>
                <c:pt idx="46">
                  <c:v>4.2644299999999999</c:v>
                </c:pt>
                <c:pt idx="47">
                  <c:v>4.3100100000000001</c:v>
                </c:pt>
                <c:pt idx="48">
                  <c:v>4.3525399999999994</c:v>
                </c:pt>
                <c:pt idx="49">
                  <c:v>4.3936700000000002</c:v>
                </c:pt>
                <c:pt idx="50">
                  <c:v>4.4273699999999998</c:v>
                </c:pt>
                <c:pt idx="51">
                  <c:v>4.45932</c:v>
                </c:pt>
                <c:pt idx="52">
                  <c:v>4.4853100000000001</c:v>
                </c:pt>
                <c:pt idx="53">
                  <c:v>4.5019</c:v>
                </c:pt>
                <c:pt idx="54">
                  <c:v>4.5076599999999996</c:v>
                </c:pt>
                <c:pt idx="55">
                  <c:v>4.5181500000000003</c:v>
                </c:pt>
                <c:pt idx="56">
                  <c:v>4.5087799999999998</c:v>
                </c:pt>
                <c:pt idx="57">
                  <c:v>4.5097800000000001</c:v>
                </c:pt>
                <c:pt idx="58">
                  <c:v>4.5001100000000003</c:v>
                </c:pt>
                <c:pt idx="59">
                  <c:v>4.4884500000000003</c:v>
                </c:pt>
                <c:pt idx="60">
                  <c:v>4.4700100000000003</c:v>
                </c:pt>
                <c:pt idx="61">
                  <c:v>4.4485599999999996</c:v>
                </c:pt>
                <c:pt idx="62">
                  <c:v>4.4151299999999996</c:v>
                </c:pt>
                <c:pt idx="63">
                  <c:v>4.3894899999999994</c:v>
                </c:pt>
                <c:pt idx="64">
                  <c:v>4.3686799999999995</c:v>
                </c:pt>
                <c:pt idx="65">
                  <c:v>4.3213499999999998</c:v>
                </c:pt>
                <c:pt idx="66">
                  <c:v>4.2828400000000002</c:v>
                </c:pt>
                <c:pt idx="67">
                  <c:v>4.2399399999999998</c:v>
                </c:pt>
                <c:pt idx="68">
                  <c:v>4.2059300000000004</c:v>
                </c:pt>
                <c:pt idx="69">
                  <c:v>4.1570200000000002</c:v>
                </c:pt>
                <c:pt idx="70">
                  <c:v>4.0926800000000005</c:v>
                </c:pt>
                <c:pt idx="71">
                  <c:v>4.0384599999999997</c:v>
                </c:pt>
                <c:pt idx="72">
                  <c:v>3.9831599999999998</c:v>
                </c:pt>
                <c:pt idx="73">
                  <c:v>3.9408399999999997</c:v>
                </c:pt>
                <c:pt idx="74">
                  <c:v>3.8803100000000001</c:v>
                </c:pt>
                <c:pt idx="75">
                  <c:v>3.8052099999999998</c:v>
                </c:pt>
                <c:pt idx="76">
                  <c:v>3.7465299999999999</c:v>
                </c:pt>
                <c:pt idx="77">
                  <c:v>3.6911899999999997</c:v>
                </c:pt>
                <c:pt idx="78">
                  <c:v>3.6400199999999998</c:v>
                </c:pt>
                <c:pt idx="79">
                  <c:v>3.5908800000000003</c:v>
                </c:pt>
                <c:pt idx="80">
                  <c:v>3.5472599999999996</c:v>
                </c:pt>
                <c:pt idx="81">
                  <c:v>3.50596</c:v>
                </c:pt>
                <c:pt idx="82">
                  <c:v>3.4704800000000002</c:v>
                </c:pt>
                <c:pt idx="83">
                  <c:v>3.4385599999999998</c:v>
                </c:pt>
                <c:pt idx="84">
                  <c:v>3.4074200000000001</c:v>
                </c:pt>
                <c:pt idx="85">
                  <c:v>3.3789200000000004</c:v>
                </c:pt>
                <c:pt idx="86">
                  <c:v>3.3511899999999999</c:v>
                </c:pt>
                <c:pt idx="87">
                  <c:v>3.3270499999999998</c:v>
                </c:pt>
                <c:pt idx="88">
                  <c:v>3.3066499999999999</c:v>
                </c:pt>
                <c:pt idx="89">
                  <c:v>3.2928000000000002</c:v>
                </c:pt>
                <c:pt idx="90">
                  <c:v>3.2857099999999999</c:v>
                </c:pt>
                <c:pt idx="91">
                  <c:v>3.2828499999999998</c:v>
                </c:pt>
                <c:pt idx="92">
                  <c:v>3.2808799999999998</c:v>
                </c:pt>
                <c:pt idx="93">
                  <c:v>3.2819700000000003</c:v>
                </c:pt>
                <c:pt idx="94">
                  <c:v>3.2858100000000001</c:v>
                </c:pt>
                <c:pt idx="95">
                  <c:v>3.2911400000000004</c:v>
                </c:pt>
                <c:pt idx="96">
                  <c:v>3.3017099999999999</c:v>
                </c:pt>
                <c:pt idx="97">
                  <c:v>3.3185399999999996</c:v>
                </c:pt>
                <c:pt idx="98">
                  <c:v>3.3375599999999999</c:v>
                </c:pt>
                <c:pt idx="99">
                  <c:v>3.35995</c:v>
                </c:pt>
                <c:pt idx="100">
                  <c:v>3.3849</c:v>
                </c:pt>
                <c:pt idx="101">
                  <c:v>3.4107900000000004</c:v>
                </c:pt>
                <c:pt idx="102">
                  <c:v>3.4375400000000003</c:v>
                </c:pt>
                <c:pt idx="103">
                  <c:v>3.46347</c:v>
                </c:pt>
                <c:pt idx="104">
                  <c:v>3.4879300000000004</c:v>
                </c:pt>
                <c:pt idx="105">
                  <c:v>3.5121200000000004</c:v>
                </c:pt>
                <c:pt idx="106">
                  <c:v>3.5383100000000001</c:v>
                </c:pt>
                <c:pt idx="107">
                  <c:v>3.5615799999999997</c:v>
                </c:pt>
                <c:pt idx="108">
                  <c:v>3.5856500000000002</c:v>
                </c:pt>
                <c:pt idx="109">
                  <c:v>3.6110899999999999</c:v>
                </c:pt>
                <c:pt idx="110">
                  <c:v>3.6346699999999998</c:v>
                </c:pt>
                <c:pt idx="111">
                  <c:v>3.65551</c:v>
                </c:pt>
                <c:pt idx="112">
                  <c:v>3.6795299999999997</c:v>
                </c:pt>
                <c:pt idx="113">
                  <c:v>3.7033800000000001</c:v>
                </c:pt>
                <c:pt idx="114">
                  <c:v>3.7292999999999998</c:v>
                </c:pt>
                <c:pt idx="115">
                  <c:v>3.7541500000000001</c:v>
                </c:pt>
                <c:pt idx="116">
                  <c:v>3.7767200000000001</c:v>
                </c:pt>
                <c:pt idx="117">
                  <c:v>3.7965300000000002</c:v>
                </c:pt>
                <c:pt idx="118">
                  <c:v>3.8141500000000002</c:v>
                </c:pt>
                <c:pt idx="119">
                  <c:v>3.83372</c:v>
                </c:pt>
                <c:pt idx="120">
                  <c:v>3.8537700000000004</c:v>
                </c:pt>
                <c:pt idx="121">
                  <c:v>3.8767499999999999</c:v>
                </c:pt>
                <c:pt idx="122">
                  <c:v>3.9003900000000002</c:v>
                </c:pt>
                <c:pt idx="123">
                  <c:v>3.9269799999999999</c:v>
                </c:pt>
                <c:pt idx="124">
                  <c:v>3.9354699999999996</c:v>
                </c:pt>
                <c:pt idx="125">
                  <c:v>3.9428800000000002</c:v>
                </c:pt>
                <c:pt idx="126">
                  <c:v>3.9495300000000002</c:v>
                </c:pt>
                <c:pt idx="127">
                  <c:v>3.9559100000000003</c:v>
                </c:pt>
                <c:pt idx="128">
                  <c:v>3.9636399999999998</c:v>
                </c:pt>
                <c:pt idx="129">
                  <c:v>3.97295</c:v>
                </c:pt>
                <c:pt idx="130">
                  <c:v>3.98231</c:v>
                </c:pt>
                <c:pt idx="131">
                  <c:v>3.9905600000000003</c:v>
                </c:pt>
                <c:pt idx="132">
                  <c:v>4.0012799999999995</c:v>
                </c:pt>
                <c:pt idx="133">
                  <c:v>4.0101599999999999</c:v>
                </c:pt>
                <c:pt idx="134">
                  <c:v>4.0182400000000005</c:v>
                </c:pt>
                <c:pt idx="135">
                  <c:v>4.0267499999999998</c:v>
                </c:pt>
                <c:pt idx="136">
                  <c:v>4.0381400000000003</c:v>
                </c:pt>
                <c:pt idx="137">
                  <c:v>4.0459499999999995</c:v>
                </c:pt>
                <c:pt idx="138">
                  <c:v>4.0522999999999998</c:v>
                </c:pt>
                <c:pt idx="139">
                  <c:v>4.0524300000000002</c:v>
                </c:pt>
                <c:pt idx="140">
                  <c:v>4.0524300000000002</c:v>
                </c:pt>
                <c:pt idx="141">
                  <c:v>4.0559500000000002</c:v>
                </c:pt>
                <c:pt idx="142">
                  <c:v>4.0705099999999996</c:v>
                </c:pt>
                <c:pt idx="143">
                  <c:v>4.0957799999999995</c:v>
                </c:pt>
                <c:pt idx="144">
                  <c:v>4.1252499999999994</c:v>
                </c:pt>
                <c:pt idx="145">
                  <c:v>4.1646300000000007</c:v>
                </c:pt>
                <c:pt idx="146">
                  <c:v>4.1983300000000003</c:v>
                </c:pt>
                <c:pt idx="147">
                  <c:v>4.2489699999999999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67.191900000000004</c:v>
                </c:pt>
                <c:pt idx="1">
                  <c:v>67.239800000000002</c:v>
                </c:pt>
                <c:pt idx="2">
                  <c:v>67.257800000000003</c:v>
                </c:pt>
                <c:pt idx="3">
                  <c:v>67.171999999999997</c:v>
                </c:pt>
                <c:pt idx="4">
                  <c:v>66.905900000000003</c:v>
                </c:pt>
                <c:pt idx="5">
                  <c:v>66.486900000000006</c:v>
                </c:pt>
                <c:pt idx="6">
                  <c:v>66.012699999999995</c:v>
                </c:pt>
                <c:pt idx="7">
                  <c:v>65.479900000000001</c:v>
                </c:pt>
                <c:pt idx="8">
                  <c:v>64.895800000000008</c:v>
                </c:pt>
                <c:pt idx="9">
                  <c:v>64.3172</c:v>
                </c:pt>
                <c:pt idx="10">
                  <c:v>63.745399999999997</c:v>
                </c:pt>
                <c:pt idx="11">
                  <c:v>63.240499999999997</c:v>
                </c:pt>
                <c:pt idx="12">
                  <c:v>62.673599999999993</c:v>
                </c:pt>
                <c:pt idx="13">
                  <c:v>62.096200000000003</c:v>
                </c:pt>
                <c:pt idx="14">
                  <c:v>61.575000000000003</c:v>
                </c:pt>
                <c:pt idx="15">
                  <c:v>61.102199999999996</c:v>
                </c:pt>
                <c:pt idx="16">
                  <c:v>60.717399999999998</c:v>
                </c:pt>
                <c:pt idx="17">
                  <c:v>60.423300000000005</c:v>
                </c:pt>
                <c:pt idx="18">
                  <c:v>60.1845</c:v>
                </c:pt>
                <c:pt idx="19">
                  <c:v>59.868699999999997</c:v>
                </c:pt>
                <c:pt idx="20">
                  <c:v>59.581799999999994</c:v>
                </c:pt>
                <c:pt idx="21">
                  <c:v>59.272800000000004</c:v>
                </c:pt>
                <c:pt idx="22">
                  <c:v>58.830300000000001</c:v>
                </c:pt>
                <c:pt idx="23">
                  <c:v>58.334299999999992</c:v>
                </c:pt>
                <c:pt idx="24">
                  <c:v>57.793499999999995</c:v>
                </c:pt>
                <c:pt idx="25">
                  <c:v>57.164800000000007</c:v>
                </c:pt>
                <c:pt idx="26">
                  <c:v>56.420299999999997</c:v>
                </c:pt>
                <c:pt idx="27">
                  <c:v>55.643000000000001</c:v>
                </c:pt>
                <c:pt idx="28">
                  <c:v>54.748399999999997</c:v>
                </c:pt>
                <c:pt idx="29">
                  <c:v>53.736399999999996</c:v>
                </c:pt>
                <c:pt idx="30">
                  <c:v>52.721799999999995</c:v>
                </c:pt>
                <c:pt idx="31">
                  <c:v>51.582499999999996</c:v>
                </c:pt>
                <c:pt idx="32">
                  <c:v>50.400900000000007</c:v>
                </c:pt>
                <c:pt idx="33">
                  <c:v>49.346600000000002</c:v>
                </c:pt>
                <c:pt idx="34">
                  <c:v>48.339599999999997</c:v>
                </c:pt>
                <c:pt idx="35">
                  <c:v>47.185500000000005</c:v>
                </c:pt>
                <c:pt idx="36">
                  <c:v>46.109099999999998</c:v>
                </c:pt>
                <c:pt idx="37">
                  <c:v>45.228499999999997</c:v>
                </c:pt>
                <c:pt idx="38">
                  <c:v>44.582300000000004</c:v>
                </c:pt>
                <c:pt idx="39">
                  <c:v>43.979900000000001</c:v>
                </c:pt>
                <c:pt idx="40">
                  <c:v>43.570399999999999</c:v>
                </c:pt>
                <c:pt idx="41">
                  <c:v>43.336300000000001</c:v>
                </c:pt>
                <c:pt idx="42">
                  <c:v>43.133200000000002</c:v>
                </c:pt>
                <c:pt idx="43">
                  <c:v>43.036200000000001</c:v>
                </c:pt>
                <c:pt idx="44">
                  <c:v>42.950800000000001</c:v>
                </c:pt>
                <c:pt idx="45">
                  <c:v>43.017499999999998</c:v>
                </c:pt>
                <c:pt idx="46">
                  <c:v>43.1721</c:v>
                </c:pt>
                <c:pt idx="47">
                  <c:v>43.377099999999999</c:v>
                </c:pt>
                <c:pt idx="48">
                  <c:v>43.569200000000002</c:v>
                </c:pt>
                <c:pt idx="49">
                  <c:v>43.736399999999996</c:v>
                </c:pt>
                <c:pt idx="50">
                  <c:v>43.881999999999998</c:v>
                </c:pt>
                <c:pt idx="51">
                  <c:v>43.991500000000002</c:v>
                </c:pt>
                <c:pt idx="52">
                  <c:v>44.1295</c:v>
                </c:pt>
                <c:pt idx="53">
                  <c:v>44.240600000000001</c:v>
                </c:pt>
                <c:pt idx="54">
                  <c:v>44.303599999999996</c:v>
                </c:pt>
                <c:pt idx="55">
                  <c:v>44.247500000000002</c:v>
                </c:pt>
                <c:pt idx="56">
                  <c:v>44.223600000000005</c:v>
                </c:pt>
                <c:pt idx="57">
                  <c:v>44.119100000000003</c:v>
                </c:pt>
                <c:pt idx="58">
                  <c:v>44.015100000000004</c:v>
                </c:pt>
                <c:pt idx="59">
                  <c:v>43.926300000000005</c:v>
                </c:pt>
                <c:pt idx="60">
                  <c:v>43.844799999999999</c:v>
                </c:pt>
                <c:pt idx="61">
                  <c:v>43.8474</c:v>
                </c:pt>
                <c:pt idx="62">
                  <c:v>43.808799999999998</c:v>
                </c:pt>
                <c:pt idx="63">
                  <c:v>43.783699999999996</c:v>
                </c:pt>
                <c:pt idx="64">
                  <c:v>43.832900000000002</c:v>
                </c:pt>
                <c:pt idx="65">
                  <c:v>43.741300000000003</c:v>
                </c:pt>
                <c:pt idx="66">
                  <c:v>43.7042</c:v>
                </c:pt>
                <c:pt idx="67">
                  <c:v>43.7331</c:v>
                </c:pt>
                <c:pt idx="68">
                  <c:v>43.930599999999998</c:v>
                </c:pt>
                <c:pt idx="69">
                  <c:v>43.9968</c:v>
                </c:pt>
                <c:pt idx="70">
                  <c:v>43.962899999999998</c:v>
                </c:pt>
                <c:pt idx="71">
                  <c:v>44.003500000000003</c:v>
                </c:pt>
                <c:pt idx="72">
                  <c:v>43.873699999999999</c:v>
                </c:pt>
                <c:pt idx="73">
                  <c:v>44.0503</c:v>
                </c:pt>
                <c:pt idx="74">
                  <c:v>44.234000000000002</c:v>
                </c:pt>
                <c:pt idx="75">
                  <c:v>44.354999999999997</c:v>
                </c:pt>
                <c:pt idx="76">
                  <c:v>44.604799999999997</c:v>
                </c:pt>
                <c:pt idx="77">
                  <c:v>44.782800000000002</c:v>
                </c:pt>
                <c:pt idx="78">
                  <c:v>44.834499999999998</c:v>
                </c:pt>
                <c:pt idx="79">
                  <c:v>44.887500000000003</c:v>
                </c:pt>
                <c:pt idx="80">
                  <c:v>44.855200000000004</c:v>
                </c:pt>
                <c:pt idx="81">
                  <c:v>44.800699999999999</c:v>
                </c:pt>
                <c:pt idx="82">
                  <c:v>44.696100000000001</c:v>
                </c:pt>
                <c:pt idx="83">
                  <c:v>44.712299999999999</c:v>
                </c:pt>
                <c:pt idx="84">
                  <c:v>44.775399999999998</c:v>
                </c:pt>
                <c:pt idx="85">
                  <c:v>44.908000000000001</c:v>
                </c:pt>
                <c:pt idx="86">
                  <c:v>45.165199999999999</c:v>
                </c:pt>
                <c:pt idx="87">
                  <c:v>45.409599999999998</c:v>
                </c:pt>
                <c:pt idx="88">
                  <c:v>45.632400000000004</c:v>
                </c:pt>
                <c:pt idx="89">
                  <c:v>45.802599999999998</c:v>
                </c:pt>
                <c:pt idx="90">
                  <c:v>45.898499999999999</c:v>
                </c:pt>
                <c:pt idx="91">
                  <c:v>45.955300000000001</c:v>
                </c:pt>
                <c:pt idx="92">
                  <c:v>46.036899999999996</c:v>
                </c:pt>
                <c:pt idx="93">
                  <c:v>46.071800000000003</c:v>
                </c:pt>
                <c:pt idx="94">
                  <c:v>46.1342</c:v>
                </c:pt>
                <c:pt idx="95">
                  <c:v>46.180599999999998</c:v>
                </c:pt>
                <c:pt idx="96">
                  <c:v>46.175399999999996</c:v>
                </c:pt>
                <c:pt idx="97">
                  <c:v>46.127000000000002</c:v>
                </c:pt>
                <c:pt idx="98">
                  <c:v>46.060299999999998</c:v>
                </c:pt>
                <c:pt idx="99">
                  <c:v>45.922899999999998</c:v>
                </c:pt>
                <c:pt idx="100">
                  <c:v>45.812100000000001</c:v>
                </c:pt>
                <c:pt idx="101">
                  <c:v>45.673099999999998</c:v>
                </c:pt>
                <c:pt idx="102">
                  <c:v>45.533900000000003</c:v>
                </c:pt>
                <c:pt idx="103">
                  <c:v>45.500299999999996</c:v>
                </c:pt>
                <c:pt idx="104">
                  <c:v>45.537599999999998</c:v>
                </c:pt>
                <c:pt idx="105">
                  <c:v>45.589300000000001</c:v>
                </c:pt>
                <c:pt idx="106">
                  <c:v>45.616</c:v>
                </c:pt>
                <c:pt idx="107">
                  <c:v>45.655499999999996</c:v>
                </c:pt>
                <c:pt idx="108">
                  <c:v>45.623999999999995</c:v>
                </c:pt>
                <c:pt idx="109">
                  <c:v>45.576599999999999</c:v>
                </c:pt>
                <c:pt idx="110">
                  <c:v>45.5443</c:v>
                </c:pt>
                <c:pt idx="111">
                  <c:v>45.555700000000002</c:v>
                </c:pt>
                <c:pt idx="112">
                  <c:v>45.534200000000006</c:v>
                </c:pt>
                <c:pt idx="113">
                  <c:v>45.5366</c:v>
                </c:pt>
                <c:pt idx="114">
                  <c:v>45.520699999999998</c:v>
                </c:pt>
                <c:pt idx="115">
                  <c:v>45.504600000000003</c:v>
                </c:pt>
                <c:pt idx="116">
                  <c:v>45.509899999999995</c:v>
                </c:pt>
                <c:pt idx="117">
                  <c:v>45.556799999999996</c:v>
                </c:pt>
                <c:pt idx="118">
                  <c:v>45.641399999999997</c:v>
                </c:pt>
                <c:pt idx="119">
                  <c:v>45.6873</c:v>
                </c:pt>
                <c:pt idx="120">
                  <c:v>45.7301</c:v>
                </c:pt>
                <c:pt idx="121">
                  <c:v>45.784200000000006</c:v>
                </c:pt>
                <c:pt idx="122">
                  <c:v>45.835599999999999</c:v>
                </c:pt>
                <c:pt idx="123">
                  <c:v>45.827400000000004</c:v>
                </c:pt>
                <c:pt idx="124">
                  <c:v>45.863500000000002</c:v>
                </c:pt>
                <c:pt idx="125">
                  <c:v>45.923499999999997</c:v>
                </c:pt>
                <c:pt idx="126">
                  <c:v>46.023499999999999</c:v>
                </c:pt>
                <c:pt idx="127">
                  <c:v>46.157900000000005</c:v>
                </c:pt>
                <c:pt idx="128">
                  <c:v>46.291600000000003</c:v>
                </c:pt>
                <c:pt idx="129">
                  <c:v>46.435600000000001</c:v>
                </c:pt>
                <c:pt idx="130">
                  <c:v>46.587699999999998</c:v>
                </c:pt>
                <c:pt idx="131">
                  <c:v>46.776000000000003</c:v>
                </c:pt>
                <c:pt idx="132">
                  <c:v>47.008400000000002</c:v>
                </c:pt>
                <c:pt idx="133">
                  <c:v>47.222799999999999</c:v>
                </c:pt>
                <c:pt idx="134">
                  <c:v>47.450399999999995</c:v>
                </c:pt>
                <c:pt idx="135">
                  <c:v>47.657400000000003</c:v>
                </c:pt>
                <c:pt idx="136">
                  <c:v>47.821399999999997</c:v>
                </c:pt>
                <c:pt idx="137">
                  <c:v>47.9529</c:v>
                </c:pt>
                <c:pt idx="138">
                  <c:v>47.999700000000004</c:v>
                </c:pt>
                <c:pt idx="139">
                  <c:v>47.898800000000001</c:v>
                </c:pt>
                <c:pt idx="140">
                  <c:v>47.787700000000001</c:v>
                </c:pt>
                <c:pt idx="141">
                  <c:v>47.710099999999997</c:v>
                </c:pt>
                <c:pt idx="142">
                  <c:v>47.635599999999997</c:v>
                </c:pt>
                <c:pt idx="143">
                  <c:v>47.558</c:v>
                </c:pt>
                <c:pt idx="144">
                  <c:v>47.6036</c:v>
                </c:pt>
                <c:pt idx="145">
                  <c:v>47.763399999999997</c:v>
                </c:pt>
                <c:pt idx="146">
                  <c:v>47.7607</c:v>
                </c:pt>
                <c:pt idx="147">
                  <c:v>47.751900000000006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2.2427600000000001</c:v>
                </c:pt>
                <c:pt idx="1">
                  <c:v>2.2904599999999999</c:v>
                </c:pt>
                <c:pt idx="2">
                  <c:v>2.3379599999999998</c:v>
                </c:pt>
                <c:pt idx="3">
                  <c:v>2.3857300000000001</c:v>
                </c:pt>
                <c:pt idx="4">
                  <c:v>2.4305499999999998</c:v>
                </c:pt>
                <c:pt idx="5">
                  <c:v>2.4733200000000002</c:v>
                </c:pt>
                <c:pt idx="6">
                  <c:v>2.5132900000000005</c:v>
                </c:pt>
                <c:pt idx="7">
                  <c:v>2.5522200000000002</c:v>
                </c:pt>
                <c:pt idx="8">
                  <c:v>2.5915400000000002</c:v>
                </c:pt>
                <c:pt idx="9">
                  <c:v>2.6285500000000002</c:v>
                </c:pt>
                <c:pt idx="10">
                  <c:v>2.66432</c:v>
                </c:pt>
                <c:pt idx="11">
                  <c:v>2.6931799999999999</c:v>
                </c:pt>
                <c:pt idx="12">
                  <c:v>2.7191100000000001</c:v>
                </c:pt>
                <c:pt idx="13">
                  <c:v>2.7429100000000002</c:v>
                </c:pt>
                <c:pt idx="14">
                  <c:v>2.7655699999999999</c:v>
                </c:pt>
                <c:pt idx="15">
                  <c:v>2.7880199999999999</c:v>
                </c:pt>
                <c:pt idx="16">
                  <c:v>2.8090299999999999</c:v>
                </c:pt>
                <c:pt idx="17">
                  <c:v>2.8304800000000001</c:v>
                </c:pt>
                <c:pt idx="18">
                  <c:v>2.8522699999999999</c:v>
                </c:pt>
                <c:pt idx="19">
                  <c:v>2.8776899999999999</c:v>
                </c:pt>
                <c:pt idx="20">
                  <c:v>2.9008799999999999</c:v>
                </c:pt>
                <c:pt idx="21">
                  <c:v>2.9241200000000003</c:v>
                </c:pt>
                <c:pt idx="22">
                  <c:v>2.9507899999999996</c:v>
                </c:pt>
                <c:pt idx="23">
                  <c:v>2.9803800000000003</c:v>
                </c:pt>
                <c:pt idx="24">
                  <c:v>3.01227</c:v>
                </c:pt>
                <c:pt idx="25">
                  <c:v>3.0478699999999996</c:v>
                </c:pt>
                <c:pt idx="26">
                  <c:v>3.0876799999999998</c:v>
                </c:pt>
                <c:pt idx="27">
                  <c:v>3.1285099999999999</c:v>
                </c:pt>
                <c:pt idx="28">
                  <c:v>3.1716800000000003</c:v>
                </c:pt>
                <c:pt idx="29">
                  <c:v>3.21963</c:v>
                </c:pt>
                <c:pt idx="30">
                  <c:v>3.2702</c:v>
                </c:pt>
                <c:pt idx="31">
                  <c:v>3.32477</c:v>
                </c:pt>
                <c:pt idx="32">
                  <c:v>3.3812500000000001</c:v>
                </c:pt>
                <c:pt idx="33">
                  <c:v>3.4368100000000004</c:v>
                </c:pt>
                <c:pt idx="34">
                  <c:v>3.4938399999999996</c:v>
                </c:pt>
                <c:pt idx="35">
                  <c:v>3.5558299999999998</c:v>
                </c:pt>
                <c:pt idx="36">
                  <c:v>3.6231499999999999</c:v>
                </c:pt>
                <c:pt idx="37">
                  <c:v>3.6888199999999998</c:v>
                </c:pt>
                <c:pt idx="38">
                  <c:v>3.7524200000000003</c:v>
                </c:pt>
                <c:pt idx="39">
                  <c:v>3.8185400000000005</c:v>
                </c:pt>
                <c:pt idx="40">
                  <c:v>3.8867000000000003</c:v>
                </c:pt>
                <c:pt idx="41">
                  <c:v>3.9551500000000002</c:v>
                </c:pt>
                <c:pt idx="42">
                  <c:v>4.0230500000000005</c:v>
                </c:pt>
                <c:pt idx="43">
                  <c:v>4.0894399999999997</c:v>
                </c:pt>
                <c:pt idx="44">
                  <c:v>4.1506600000000002</c:v>
                </c:pt>
                <c:pt idx="45">
                  <c:v>4.2100400000000002</c:v>
                </c:pt>
                <c:pt idx="46">
                  <c:v>4.2644299999999999</c:v>
                </c:pt>
                <c:pt idx="47">
                  <c:v>4.3100100000000001</c:v>
                </c:pt>
                <c:pt idx="48">
                  <c:v>4.3525399999999994</c:v>
                </c:pt>
                <c:pt idx="49">
                  <c:v>4.3936700000000002</c:v>
                </c:pt>
                <c:pt idx="50">
                  <c:v>4.4273699999999998</c:v>
                </c:pt>
                <c:pt idx="51">
                  <c:v>4.45932</c:v>
                </c:pt>
                <c:pt idx="52">
                  <c:v>4.4853100000000001</c:v>
                </c:pt>
                <c:pt idx="53">
                  <c:v>4.5019</c:v>
                </c:pt>
                <c:pt idx="54">
                  <c:v>4.5076599999999996</c:v>
                </c:pt>
                <c:pt idx="55">
                  <c:v>4.5181500000000003</c:v>
                </c:pt>
                <c:pt idx="56">
                  <c:v>4.5087799999999998</c:v>
                </c:pt>
                <c:pt idx="57">
                  <c:v>4.5097800000000001</c:v>
                </c:pt>
                <c:pt idx="58">
                  <c:v>4.5001100000000003</c:v>
                </c:pt>
                <c:pt idx="59">
                  <c:v>4.4884500000000003</c:v>
                </c:pt>
                <c:pt idx="60">
                  <c:v>4.4700100000000003</c:v>
                </c:pt>
                <c:pt idx="61">
                  <c:v>4.4485599999999996</c:v>
                </c:pt>
                <c:pt idx="62">
                  <c:v>4.4151299999999996</c:v>
                </c:pt>
                <c:pt idx="63">
                  <c:v>4.3894899999999994</c:v>
                </c:pt>
                <c:pt idx="64">
                  <c:v>4.3686799999999995</c:v>
                </c:pt>
                <c:pt idx="65">
                  <c:v>4.3213499999999998</c:v>
                </c:pt>
                <c:pt idx="66">
                  <c:v>4.2828400000000002</c:v>
                </c:pt>
                <c:pt idx="67">
                  <c:v>4.2399399999999998</c:v>
                </c:pt>
                <c:pt idx="68">
                  <c:v>4.2059300000000004</c:v>
                </c:pt>
                <c:pt idx="69">
                  <c:v>4.1570200000000002</c:v>
                </c:pt>
                <c:pt idx="70">
                  <c:v>4.0926800000000005</c:v>
                </c:pt>
                <c:pt idx="71">
                  <c:v>4.0384599999999997</c:v>
                </c:pt>
                <c:pt idx="72">
                  <c:v>3.9831599999999998</c:v>
                </c:pt>
                <c:pt idx="73">
                  <c:v>3.9408399999999997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67.191900000000004</c:v>
                </c:pt>
                <c:pt idx="1">
                  <c:v>67.239800000000002</c:v>
                </c:pt>
                <c:pt idx="2">
                  <c:v>67.257800000000003</c:v>
                </c:pt>
                <c:pt idx="3">
                  <c:v>67.171999999999997</c:v>
                </c:pt>
                <c:pt idx="4">
                  <c:v>66.905900000000003</c:v>
                </c:pt>
                <c:pt idx="5">
                  <c:v>66.486900000000006</c:v>
                </c:pt>
                <c:pt idx="6">
                  <c:v>66.012699999999995</c:v>
                </c:pt>
                <c:pt idx="7">
                  <c:v>65.479900000000001</c:v>
                </c:pt>
                <c:pt idx="8">
                  <c:v>64.895800000000008</c:v>
                </c:pt>
                <c:pt idx="9">
                  <c:v>64.3172</c:v>
                </c:pt>
                <c:pt idx="10">
                  <c:v>63.745399999999997</c:v>
                </c:pt>
                <c:pt idx="11">
                  <c:v>63.240499999999997</c:v>
                </c:pt>
                <c:pt idx="12">
                  <c:v>62.673599999999993</c:v>
                </c:pt>
                <c:pt idx="13">
                  <c:v>62.096200000000003</c:v>
                </c:pt>
                <c:pt idx="14">
                  <c:v>61.575000000000003</c:v>
                </c:pt>
                <c:pt idx="15">
                  <c:v>61.102199999999996</c:v>
                </c:pt>
                <c:pt idx="16">
                  <c:v>60.717399999999998</c:v>
                </c:pt>
                <c:pt idx="17">
                  <c:v>60.423300000000005</c:v>
                </c:pt>
                <c:pt idx="18">
                  <c:v>60.1845</c:v>
                </c:pt>
                <c:pt idx="19">
                  <c:v>59.868699999999997</c:v>
                </c:pt>
                <c:pt idx="20">
                  <c:v>59.581799999999994</c:v>
                </c:pt>
                <c:pt idx="21">
                  <c:v>59.272800000000004</c:v>
                </c:pt>
                <c:pt idx="22">
                  <c:v>58.830300000000001</c:v>
                </c:pt>
                <c:pt idx="23">
                  <c:v>58.334299999999992</c:v>
                </c:pt>
                <c:pt idx="24">
                  <c:v>57.793499999999995</c:v>
                </c:pt>
                <c:pt idx="25">
                  <c:v>57.164800000000007</c:v>
                </c:pt>
                <c:pt idx="26">
                  <c:v>56.420299999999997</c:v>
                </c:pt>
                <c:pt idx="27">
                  <c:v>55.643000000000001</c:v>
                </c:pt>
                <c:pt idx="28">
                  <c:v>54.748399999999997</c:v>
                </c:pt>
                <c:pt idx="29">
                  <c:v>53.736399999999996</c:v>
                </c:pt>
                <c:pt idx="30">
                  <c:v>52.721799999999995</c:v>
                </c:pt>
                <c:pt idx="31">
                  <c:v>51.582499999999996</c:v>
                </c:pt>
                <c:pt idx="32">
                  <c:v>50.400900000000007</c:v>
                </c:pt>
                <c:pt idx="33">
                  <c:v>49.346600000000002</c:v>
                </c:pt>
                <c:pt idx="34">
                  <c:v>48.339599999999997</c:v>
                </c:pt>
                <c:pt idx="35">
                  <c:v>47.185500000000005</c:v>
                </c:pt>
                <c:pt idx="36">
                  <c:v>46.109099999999998</c:v>
                </c:pt>
                <c:pt idx="37">
                  <c:v>45.228499999999997</c:v>
                </c:pt>
                <c:pt idx="38">
                  <c:v>44.582300000000004</c:v>
                </c:pt>
                <c:pt idx="39">
                  <c:v>43.979900000000001</c:v>
                </c:pt>
                <c:pt idx="40">
                  <c:v>43.570399999999999</c:v>
                </c:pt>
                <c:pt idx="41">
                  <c:v>43.336300000000001</c:v>
                </c:pt>
                <c:pt idx="42">
                  <c:v>43.133200000000002</c:v>
                </c:pt>
                <c:pt idx="43">
                  <c:v>43.036200000000001</c:v>
                </c:pt>
                <c:pt idx="44">
                  <c:v>42.950800000000001</c:v>
                </c:pt>
                <c:pt idx="45">
                  <c:v>43.017499999999998</c:v>
                </c:pt>
                <c:pt idx="46">
                  <c:v>43.1721</c:v>
                </c:pt>
                <c:pt idx="47">
                  <c:v>43.377099999999999</c:v>
                </c:pt>
                <c:pt idx="48">
                  <c:v>43.569200000000002</c:v>
                </c:pt>
                <c:pt idx="49">
                  <c:v>43.736399999999996</c:v>
                </c:pt>
                <c:pt idx="50">
                  <c:v>43.881999999999998</c:v>
                </c:pt>
                <c:pt idx="51">
                  <c:v>43.991500000000002</c:v>
                </c:pt>
                <c:pt idx="52">
                  <c:v>44.1295</c:v>
                </c:pt>
                <c:pt idx="53">
                  <c:v>44.240600000000001</c:v>
                </c:pt>
                <c:pt idx="54">
                  <c:v>44.303599999999996</c:v>
                </c:pt>
                <c:pt idx="55">
                  <c:v>44.247500000000002</c:v>
                </c:pt>
                <c:pt idx="56">
                  <c:v>44.223600000000005</c:v>
                </c:pt>
                <c:pt idx="57">
                  <c:v>44.119100000000003</c:v>
                </c:pt>
                <c:pt idx="58">
                  <c:v>44.015100000000004</c:v>
                </c:pt>
                <c:pt idx="59">
                  <c:v>43.926300000000005</c:v>
                </c:pt>
                <c:pt idx="60">
                  <c:v>43.844799999999999</c:v>
                </c:pt>
                <c:pt idx="61">
                  <c:v>43.8474</c:v>
                </c:pt>
                <c:pt idx="62">
                  <c:v>43.808799999999998</c:v>
                </c:pt>
                <c:pt idx="63">
                  <c:v>43.783699999999996</c:v>
                </c:pt>
                <c:pt idx="64">
                  <c:v>43.832900000000002</c:v>
                </c:pt>
                <c:pt idx="65">
                  <c:v>43.741300000000003</c:v>
                </c:pt>
                <c:pt idx="66">
                  <c:v>43.7042</c:v>
                </c:pt>
                <c:pt idx="67">
                  <c:v>43.7331</c:v>
                </c:pt>
                <c:pt idx="68">
                  <c:v>43.930599999999998</c:v>
                </c:pt>
                <c:pt idx="69">
                  <c:v>43.9968</c:v>
                </c:pt>
                <c:pt idx="70">
                  <c:v>43.962899999999998</c:v>
                </c:pt>
                <c:pt idx="71">
                  <c:v>44.003500000000003</c:v>
                </c:pt>
                <c:pt idx="72">
                  <c:v>43.873699999999999</c:v>
                </c:pt>
                <c:pt idx="73">
                  <c:v>44.0503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3.9408399999999997</c:v>
                </c:pt>
                <c:pt idx="1">
                  <c:v>3.8803100000000001</c:v>
                </c:pt>
                <c:pt idx="2">
                  <c:v>3.8052099999999998</c:v>
                </c:pt>
                <c:pt idx="3">
                  <c:v>3.7465299999999999</c:v>
                </c:pt>
                <c:pt idx="4">
                  <c:v>3.6911899999999997</c:v>
                </c:pt>
                <c:pt idx="5">
                  <c:v>3.6400199999999998</c:v>
                </c:pt>
                <c:pt idx="6">
                  <c:v>3.5908800000000003</c:v>
                </c:pt>
                <c:pt idx="7">
                  <c:v>3.5472599999999996</c:v>
                </c:pt>
                <c:pt idx="8">
                  <c:v>3.50596</c:v>
                </c:pt>
                <c:pt idx="9">
                  <c:v>3.4704800000000002</c:v>
                </c:pt>
                <c:pt idx="10">
                  <c:v>3.4385599999999998</c:v>
                </c:pt>
                <c:pt idx="11">
                  <c:v>3.4074200000000001</c:v>
                </c:pt>
                <c:pt idx="12">
                  <c:v>3.3789200000000004</c:v>
                </c:pt>
                <c:pt idx="13">
                  <c:v>3.3511899999999999</c:v>
                </c:pt>
                <c:pt idx="14">
                  <c:v>3.3270499999999998</c:v>
                </c:pt>
                <c:pt idx="15">
                  <c:v>3.3066499999999999</c:v>
                </c:pt>
                <c:pt idx="16">
                  <c:v>3.2928000000000002</c:v>
                </c:pt>
                <c:pt idx="17">
                  <c:v>3.2857099999999999</c:v>
                </c:pt>
                <c:pt idx="18">
                  <c:v>3.2828499999999998</c:v>
                </c:pt>
                <c:pt idx="19">
                  <c:v>3.2808799999999998</c:v>
                </c:pt>
                <c:pt idx="20">
                  <c:v>3.2819700000000003</c:v>
                </c:pt>
                <c:pt idx="21">
                  <c:v>3.2858100000000001</c:v>
                </c:pt>
                <c:pt idx="22">
                  <c:v>3.2911400000000004</c:v>
                </c:pt>
                <c:pt idx="23">
                  <c:v>3.3017099999999999</c:v>
                </c:pt>
                <c:pt idx="24">
                  <c:v>3.3185399999999996</c:v>
                </c:pt>
                <c:pt idx="25">
                  <c:v>3.3375599999999999</c:v>
                </c:pt>
                <c:pt idx="26">
                  <c:v>3.35995</c:v>
                </c:pt>
                <c:pt idx="27">
                  <c:v>3.3849</c:v>
                </c:pt>
                <c:pt idx="28">
                  <c:v>3.4107900000000004</c:v>
                </c:pt>
                <c:pt idx="29">
                  <c:v>3.4375400000000003</c:v>
                </c:pt>
                <c:pt idx="30">
                  <c:v>3.46347</c:v>
                </c:pt>
                <c:pt idx="31">
                  <c:v>3.4879300000000004</c:v>
                </c:pt>
                <c:pt idx="32">
                  <c:v>3.5121200000000004</c:v>
                </c:pt>
                <c:pt idx="33">
                  <c:v>3.5383100000000001</c:v>
                </c:pt>
                <c:pt idx="34">
                  <c:v>3.5615799999999997</c:v>
                </c:pt>
                <c:pt idx="35">
                  <c:v>3.5856500000000002</c:v>
                </c:pt>
                <c:pt idx="36">
                  <c:v>3.6110899999999999</c:v>
                </c:pt>
                <c:pt idx="37">
                  <c:v>3.6346699999999998</c:v>
                </c:pt>
                <c:pt idx="38">
                  <c:v>3.65551</c:v>
                </c:pt>
                <c:pt idx="39">
                  <c:v>3.6795299999999997</c:v>
                </c:pt>
                <c:pt idx="40">
                  <c:v>3.7033800000000001</c:v>
                </c:pt>
                <c:pt idx="41">
                  <c:v>3.7292999999999998</c:v>
                </c:pt>
                <c:pt idx="42">
                  <c:v>3.7541500000000001</c:v>
                </c:pt>
                <c:pt idx="43">
                  <c:v>3.7767200000000001</c:v>
                </c:pt>
                <c:pt idx="44">
                  <c:v>3.7965300000000002</c:v>
                </c:pt>
                <c:pt idx="45">
                  <c:v>3.8141500000000002</c:v>
                </c:pt>
                <c:pt idx="46">
                  <c:v>3.83372</c:v>
                </c:pt>
                <c:pt idx="47">
                  <c:v>3.8537700000000004</c:v>
                </c:pt>
                <c:pt idx="48">
                  <c:v>3.8767499999999999</c:v>
                </c:pt>
                <c:pt idx="49">
                  <c:v>3.9003900000000002</c:v>
                </c:pt>
                <c:pt idx="50">
                  <c:v>3.9269799999999999</c:v>
                </c:pt>
                <c:pt idx="51">
                  <c:v>3.9354699999999996</c:v>
                </c:pt>
                <c:pt idx="52">
                  <c:v>3.9428800000000002</c:v>
                </c:pt>
                <c:pt idx="53">
                  <c:v>3.9495300000000002</c:v>
                </c:pt>
                <c:pt idx="54">
                  <c:v>3.9559100000000003</c:v>
                </c:pt>
                <c:pt idx="55">
                  <c:v>3.9636399999999998</c:v>
                </c:pt>
                <c:pt idx="56">
                  <c:v>3.97295</c:v>
                </c:pt>
                <c:pt idx="57">
                  <c:v>3.98231</c:v>
                </c:pt>
                <c:pt idx="58">
                  <c:v>3.9905600000000003</c:v>
                </c:pt>
                <c:pt idx="59">
                  <c:v>4.0012799999999995</c:v>
                </c:pt>
                <c:pt idx="60">
                  <c:v>4.0101599999999999</c:v>
                </c:pt>
                <c:pt idx="61">
                  <c:v>4.0182400000000005</c:v>
                </c:pt>
                <c:pt idx="62">
                  <c:v>4.0267499999999998</c:v>
                </c:pt>
                <c:pt idx="63">
                  <c:v>4.0381400000000003</c:v>
                </c:pt>
                <c:pt idx="64">
                  <c:v>4.0459499999999995</c:v>
                </c:pt>
                <c:pt idx="65">
                  <c:v>4.0522999999999998</c:v>
                </c:pt>
                <c:pt idx="66">
                  <c:v>4.0524300000000002</c:v>
                </c:pt>
                <c:pt idx="67">
                  <c:v>4.0524300000000002</c:v>
                </c:pt>
                <c:pt idx="68">
                  <c:v>4.0559500000000002</c:v>
                </c:pt>
                <c:pt idx="69">
                  <c:v>4.0705099999999996</c:v>
                </c:pt>
                <c:pt idx="70">
                  <c:v>4.0957799999999995</c:v>
                </c:pt>
                <c:pt idx="71">
                  <c:v>4.1252499999999994</c:v>
                </c:pt>
                <c:pt idx="72">
                  <c:v>4.1646300000000007</c:v>
                </c:pt>
                <c:pt idx="73">
                  <c:v>4.1983300000000003</c:v>
                </c:pt>
                <c:pt idx="74">
                  <c:v>4.2489699999999999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44.0503</c:v>
                </c:pt>
                <c:pt idx="1">
                  <c:v>44.234000000000002</c:v>
                </c:pt>
                <c:pt idx="2">
                  <c:v>44.354999999999997</c:v>
                </c:pt>
                <c:pt idx="3">
                  <c:v>44.604799999999997</c:v>
                </c:pt>
                <c:pt idx="4">
                  <c:v>44.782800000000002</c:v>
                </c:pt>
                <c:pt idx="5">
                  <c:v>44.834499999999998</c:v>
                </c:pt>
                <c:pt idx="6">
                  <c:v>44.887500000000003</c:v>
                </c:pt>
                <c:pt idx="7">
                  <c:v>44.855200000000004</c:v>
                </c:pt>
                <c:pt idx="8">
                  <c:v>44.800699999999999</c:v>
                </c:pt>
                <c:pt idx="9">
                  <c:v>44.696100000000001</c:v>
                </c:pt>
                <c:pt idx="10">
                  <c:v>44.712299999999999</c:v>
                </c:pt>
                <c:pt idx="11">
                  <c:v>44.775399999999998</c:v>
                </c:pt>
                <c:pt idx="12">
                  <c:v>44.908000000000001</c:v>
                </c:pt>
                <c:pt idx="13">
                  <c:v>45.165199999999999</c:v>
                </c:pt>
                <c:pt idx="14">
                  <c:v>45.409599999999998</c:v>
                </c:pt>
                <c:pt idx="15">
                  <c:v>45.632400000000004</c:v>
                </c:pt>
                <c:pt idx="16">
                  <c:v>45.802599999999998</c:v>
                </c:pt>
                <c:pt idx="17">
                  <c:v>45.898499999999999</c:v>
                </c:pt>
                <c:pt idx="18">
                  <c:v>45.955300000000001</c:v>
                </c:pt>
                <c:pt idx="19">
                  <c:v>46.036899999999996</c:v>
                </c:pt>
                <c:pt idx="20">
                  <c:v>46.071800000000003</c:v>
                </c:pt>
                <c:pt idx="21">
                  <c:v>46.1342</c:v>
                </c:pt>
                <c:pt idx="22">
                  <c:v>46.180599999999998</c:v>
                </c:pt>
                <c:pt idx="23">
                  <c:v>46.175399999999996</c:v>
                </c:pt>
                <c:pt idx="24">
                  <c:v>46.127000000000002</c:v>
                </c:pt>
                <c:pt idx="25">
                  <c:v>46.060299999999998</c:v>
                </c:pt>
                <c:pt idx="26">
                  <c:v>45.922899999999998</c:v>
                </c:pt>
                <c:pt idx="27">
                  <c:v>45.812100000000001</c:v>
                </c:pt>
                <c:pt idx="28">
                  <c:v>45.673099999999998</c:v>
                </c:pt>
                <c:pt idx="29">
                  <c:v>45.533900000000003</c:v>
                </c:pt>
                <c:pt idx="30">
                  <c:v>45.500299999999996</c:v>
                </c:pt>
                <c:pt idx="31">
                  <c:v>45.537599999999998</c:v>
                </c:pt>
                <c:pt idx="32">
                  <c:v>45.589300000000001</c:v>
                </c:pt>
                <c:pt idx="33">
                  <c:v>45.616</c:v>
                </c:pt>
                <c:pt idx="34">
                  <c:v>45.655499999999996</c:v>
                </c:pt>
                <c:pt idx="35">
                  <c:v>45.623999999999995</c:v>
                </c:pt>
                <c:pt idx="36">
                  <c:v>45.576599999999999</c:v>
                </c:pt>
                <c:pt idx="37">
                  <c:v>45.5443</c:v>
                </c:pt>
                <c:pt idx="38">
                  <c:v>45.555700000000002</c:v>
                </c:pt>
                <c:pt idx="39">
                  <c:v>45.534200000000006</c:v>
                </c:pt>
                <c:pt idx="40">
                  <c:v>45.5366</c:v>
                </c:pt>
                <c:pt idx="41">
                  <c:v>45.520699999999998</c:v>
                </c:pt>
                <c:pt idx="42">
                  <c:v>45.504600000000003</c:v>
                </c:pt>
                <c:pt idx="43">
                  <c:v>45.509899999999995</c:v>
                </c:pt>
                <c:pt idx="44">
                  <c:v>45.556799999999996</c:v>
                </c:pt>
                <c:pt idx="45">
                  <c:v>45.641399999999997</c:v>
                </c:pt>
                <c:pt idx="46">
                  <c:v>45.6873</c:v>
                </c:pt>
                <c:pt idx="47">
                  <c:v>45.7301</c:v>
                </c:pt>
                <c:pt idx="48">
                  <c:v>45.784200000000006</c:v>
                </c:pt>
                <c:pt idx="49">
                  <c:v>45.835599999999999</c:v>
                </c:pt>
                <c:pt idx="50">
                  <c:v>45.827400000000004</c:v>
                </c:pt>
                <c:pt idx="51">
                  <c:v>45.863500000000002</c:v>
                </c:pt>
                <c:pt idx="52">
                  <c:v>45.923499999999997</c:v>
                </c:pt>
                <c:pt idx="53">
                  <c:v>46.023499999999999</c:v>
                </c:pt>
                <c:pt idx="54">
                  <c:v>46.157900000000005</c:v>
                </c:pt>
                <c:pt idx="55">
                  <c:v>46.291600000000003</c:v>
                </c:pt>
                <c:pt idx="56">
                  <c:v>46.435600000000001</c:v>
                </c:pt>
                <c:pt idx="57">
                  <c:v>46.587699999999998</c:v>
                </c:pt>
                <c:pt idx="58">
                  <c:v>46.776000000000003</c:v>
                </c:pt>
                <c:pt idx="59">
                  <c:v>47.008400000000002</c:v>
                </c:pt>
                <c:pt idx="60">
                  <c:v>47.222799999999999</c:v>
                </c:pt>
                <c:pt idx="61">
                  <c:v>47.450399999999995</c:v>
                </c:pt>
                <c:pt idx="62">
                  <c:v>47.657400000000003</c:v>
                </c:pt>
                <c:pt idx="63">
                  <c:v>47.821399999999997</c:v>
                </c:pt>
                <c:pt idx="64">
                  <c:v>47.9529</c:v>
                </c:pt>
                <c:pt idx="65">
                  <c:v>47.999700000000004</c:v>
                </c:pt>
                <c:pt idx="66">
                  <c:v>47.898800000000001</c:v>
                </c:pt>
                <c:pt idx="67">
                  <c:v>47.787700000000001</c:v>
                </c:pt>
                <c:pt idx="68">
                  <c:v>47.710099999999997</c:v>
                </c:pt>
                <c:pt idx="69">
                  <c:v>47.635599999999997</c:v>
                </c:pt>
                <c:pt idx="70">
                  <c:v>47.558</c:v>
                </c:pt>
                <c:pt idx="71">
                  <c:v>47.6036</c:v>
                </c:pt>
                <c:pt idx="72">
                  <c:v>47.763399999999997</c:v>
                </c:pt>
                <c:pt idx="73">
                  <c:v>47.7607</c:v>
                </c:pt>
                <c:pt idx="74">
                  <c:v>47.751900000000006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3.5656082432432439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51.590283783783789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3.7065652702702705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46.034436486486484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3.7065652702702705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46.034436486486484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0.21753022561867105</c:v>
                </c:pt>
                <c:pt idx="1">
                  <c:v>0.34037988912704886</c:v>
                </c:pt>
                <c:pt idx="2">
                  <c:v>0.44208988525428011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0.38016800000000001</c:v>
                </c:pt>
                <c:pt idx="2">
                  <c:v>0.78143899999999999</c:v>
                </c:pt>
                <c:pt idx="3">
                  <c:v>1.1885600000000001</c:v>
                </c:pt>
                <c:pt idx="4">
                  <c:v>1.5968599999999999</c:v>
                </c:pt>
                <c:pt idx="5">
                  <c:v>2.00461</c:v>
                </c:pt>
                <c:pt idx="6">
                  <c:v>2.40733</c:v>
                </c:pt>
                <c:pt idx="7">
                  <c:v>2.8138999999999998</c:v>
                </c:pt>
                <c:pt idx="8">
                  <c:v>3.2186499999999998</c:v>
                </c:pt>
                <c:pt idx="9">
                  <c:v>3.6255000000000002</c:v>
                </c:pt>
                <c:pt idx="10">
                  <c:v>4.03139</c:v>
                </c:pt>
                <c:pt idx="11">
                  <c:v>4.4384699999999997</c:v>
                </c:pt>
                <c:pt idx="12">
                  <c:v>4.8444500000000001</c:v>
                </c:pt>
                <c:pt idx="13">
                  <c:v>5.2534900000000002</c:v>
                </c:pt>
                <c:pt idx="14">
                  <c:v>5.65794</c:v>
                </c:pt>
                <c:pt idx="15">
                  <c:v>6.0641600000000002</c:v>
                </c:pt>
                <c:pt idx="16">
                  <c:v>6.4698099999999998</c:v>
                </c:pt>
                <c:pt idx="17">
                  <c:v>6.8782100000000002</c:v>
                </c:pt>
                <c:pt idx="18">
                  <c:v>7.2864199999999997</c:v>
                </c:pt>
                <c:pt idx="19">
                  <c:v>7.6915800000000001</c:v>
                </c:pt>
                <c:pt idx="20">
                  <c:v>8.0958299999999994</c:v>
                </c:pt>
                <c:pt idx="21">
                  <c:v>8.50122</c:v>
                </c:pt>
                <c:pt idx="22">
                  <c:v>8.9089399999999994</c:v>
                </c:pt>
                <c:pt idx="23">
                  <c:v>9.3165899999999997</c:v>
                </c:pt>
                <c:pt idx="24">
                  <c:v>9.7228700000000003</c:v>
                </c:pt>
                <c:pt idx="25">
                  <c:v>10.124599999999999</c:v>
                </c:pt>
                <c:pt idx="26">
                  <c:v>10.5314</c:v>
                </c:pt>
                <c:pt idx="27">
                  <c:v>10.9376</c:v>
                </c:pt>
                <c:pt idx="28">
                  <c:v>11.347300000000001</c:v>
                </c:pt>
                <c:pt idx="29">
                  <c:v>11.7536</c:v>
                </c:pt>
                <c:pt idx="30">
                  <c:v>12.158300000000001</c:v>
                </c:pt>
                <c:pt idx="31">
                  <c:v>12.562799999999999</c:v>
                </c:pt>
                <c:pt idx="32">
                  <c:v>12.9702</c:v>
                </c:pt>
                <c:pt idx="33">
                  <c:v>13.3779</c:v>
                </c:pt>
                <c:pt idx="34">
                  <c:v>13.7851</c:v>
                </c:pt>
                <c:pt idx="35">
                  <c:v>14.189299999999999</c:v>
                </c:pt>
                <c:pt idx="36">
                  <c:v>14.596399999999999</c:v>
                </c:pt>
                <c:pt idx="37">
                  <c:v>15.002700000000001</c:v>
                </c:pt>
                <c:pt idx="38">
                  <c:v>15.4099</c:v>
                </c:pt>
                <c:pt idx="39">
                  <c:v>15.817600000000001</c:v>
                </c:pt>
                <c:pt idx="40">
                  <c:v>16.2211</c:v>
                </c:pt>
                <c:pt idx="41">
                  <c:v>16.626300000000001</c:v>
                </c:pt>
                <c:pt idx="42">
                  <c:v>17.0319</c:v>
                </c:pt>
                <c:pt idx="43">
                  <c:v>17.441800000000001</c:v>
                </c:pt>
                <c:pt idx="44">
                  <c:v>17.848199999999999</c:v>
                </c:pt>
                <c:pt idx="45">
                  <c:v>18.254999999999999</c:v>
                </c:pt>
                <c:pt idx="46">
                  <c:v>18.6584</c:v>
                </c:pt>
                <c:pt idx="47">
                  <c:v>19.064499999999999</c:v>
                </c:pt>
                <c:pt idx="48">
                  <c:v>19.470800000000001</c:v>
                </c:pt>
                <c:pt idx="49">
                  <c:v>19.874600000000001</c:v>
                </c:pt>
                <c:pt idx="50">
                  <c:v>20.282</c:v>
                </c:pt>
                <c:pt idx="51">
                  <c:v>20.690999999999999</c:v>
                </c:pt>
                <c:pt idx="52">
                  <c:v>21.095800000000001</c:v>
                </c:pt>
                <c:pt idx="53">
                  <c:v>21.502300000000002</c:v>
                </c:pt>
                <c:pt idx="54">
                  <c:v>21.907800000000002</c:v>
                </c:pt>
                <c:pt idx="55">
                  <c:v>22.316800000000001</c:v>
                </c:pt>
                <c:pt idx="56">
                  <c:v>22.7225</c:v>
                </c:pt>
                <c:pt idx="57">
                  <c:v>23.1282</c:v>
                </c:pt>
                <c:pt idx="58">
                  <c:v>23.5335</c:v>
                </c:pt>
                <c:pt idx="59">
                  <c:v>23.939399999999999</c:v>
                </c:pt>
                <c:pt idx="60">
                  <c:v>24.3462</c:v>
                </c:pt>
                <c:pt idx="61">
                  <c:v>24.751000000000001</c:v>
                </c:pt>
                <c:pt idx="62">
                  <c:v>25.1615</c:v>
                </c:pt>
                <c:pt idx="63">
                  <c:v>25.564499999999999</c:v>
                </c:pt>
                <c:pt idx="64">
                  <c:v>25.968800000000002</c:v>
                </c:pt>
                <c:pt idx="65">
                  <c:v>26.377500000000001</c:v>
                </c:pt>
                <c:pt idx="66">
                  <c:v>26.782800000000002</c:v>
                </c:pt>
                <c:pt idx="67">
                  <c:v>27.191500000000001</c:v>
                </c:pt>
                <c:pt idx="68">
                  <c:v>27.5962</c:v>
                </c:pt>
                <c:pt idx="69">
                  <c:v>28.000599999999999</c:v>
                </c:pt>
                <c:pt idx="70">
                  <c:v>28.4101</c:v>
                </c:pt>
                <c:pt idx="71">
                  <c:v>28.814900000000002</c:v>
                </c:pt>
                <c:pt idx="72">
                  <c:v>29.2212</c:v>
                </c:pt>
                <c:pt idx="73">
                  <c:v>29.625599999999999</c:v>
                </c:pt>
                <c:pt idx="74">
                  <c:v>30.030799999999999</c:v>
                </c:pt>
                <c:pt idx="75">
                  <c:v>30.515000000000001</c:v>
                </c:pt>
                <c:pt idx="76">
                  <c:v>30.89</c:v>
                </c:pt>
                <c:pt idx="77">
                  <c:v>31.297699999999999</c:v>
                </c:pt>
                <c:pt idx="78">
                  <c:v>31.703499999999998</c:v>
                </c:pt>
                <c:pt idx="79">
                  <c:v>32.111400000000003</c:v>
                </c:pt>
                <c:pt idx="80">
                  <c:v>32.517499999999998</c:v>
                </c:pt>
                <c:pt idx="81">
                  <c:v>32.922699999999999</c:v>
                </c:pt>
                <c:pt idx="82">
                  <c:v>33.331400000000002</c:v>
                </c:pt>
                <c:pt idx="83">
                  <c:v>33.7395</c:v>
                </c:pt>
                <c:pt idx="84">
                  <c:v>34.142499999999998</c:v>
                </c:pt>
                <c:pt idx="85">
                  <c:v>34.549599999999998</c:v>
                </c:pt>
                <c:pt idx="86">
                  <c:v>34.957299999999996</c:v>
                </c:pt>
                <c:pt idx="87">
                  <c:v>35.364100000000001</c:v>
                </c:pt>
                <c:pt idx="88">
                  <c:v>35.766800000000003</c:v>
                </c:pt>
                <c:pt idx="89">
                  <c:v>36.174399999999999</c:v>
                </c:pt>
                <c:pt idx="90">
                  <c:v>36.579900000000002</c:v>
                </c:pt>
                <c:pt idx="91">
                  <c:v>36.989100000000001</c:v>
                </c:pt>
                <c:pt idx="92">
                  <c:v>37.394799999999996</c:v>
                </c:pt>
                <c:pt idx="93">
                  <c:v>37.796399999999998</c:v>
                </c:pt>
                <c:pt idx="94">
                  <c:v>38.204099999999997</c:v>
                </c:pt>
                <c:pt idx="95">
                  <c:v>38.6098</c:v>
                </c:pt>
                <c:pt idx="96">
                  <c:v>39.016500000000001</c:v>
                </c:pt>
                <c:pt idx="97">
                  <c:v>39.425199999999997</c:v>
                </c:pt>
                <c:pt idx="98">
                  <c:v>39.832999999999998</c:v>
                </c:pt>
                <c:pt idx="99">
                  <c:v>40.237299999999998</c:v>
                </c:pt>
                <c:pt idx="100">
                  <c:v>40.643000000000001</c:v>
                </c:pt>
                <c:pt idx="101">
                  <c:v>41.047899999999998</c:v>
                </c:pt>
                <c:pt idx="102">
                  <c:v>41.4572</c:v>
                </c:pt>
                <c:pt idx="103">
                  <c:v>41.860999999999997</c:v>
                </c:pt>
                <c:pt idx="104">
                  <c:v>42.266599999999997</c:v>
                </c:pt>
                <c:pt idx="105">
                  <c:v>42.672699999999999</c:v>
                </c:pt>
                <c:pt idx="106">
                  <c:v>43.077399999999997</c:v>
                </c:pt>
                <c:pt idx="107">
                  <c:v>43.491399999999999</c:v>
                </c:pt>
                <c:pt idx="108">
                  <c:v>43.894199999999998</c:v>
                </c:pt>
                <c:pt idx="109">
                  <c:v>44.301400000000001</c:v>
                </c:pt>
                <c:pt idx="110">
                  <c:v>44.705100000000002</c:v>
                </c:pt>
                <c:pt idx="111">
                  <c:v>45.108800000000002</c:v>
                </c:pt>
                <c:pt idx="112">
                  <c:v>45.5169</c:v>
                </c:pt>
                <c:pt idx="113">
                  <c:v>45.924300000000002</c:v>
                </c:pt>
                <c:pt idx="114">
                  <c:v>46.331400000000002</c:v>
                </c:pt>
                <c:pt idx="115">
                  <c:v>46.735599999999998</c:v>
                </c:pt>
                <c:pt idx="116">
                  <c:v>47.145699999999998</c:v>
                </c:pt>
                <c:pt idx="117">
                  <c:v>47.546999999999997</c:v>
                </c:pt>
                <c:pt idx="118">
                  <c:v>47.952300000000001</c:v>
                </c:pt>
                <c:pt idx="119">
                  <c:v>48.3611</c:v>
                </c:pt>
                <c:pt idx="120">
                  <c:v>48.769100000000002</c:v>
                </c:pt>
                <c:pt idx="121">
                  <c:v>49.175899999999999</c:v>
                </c:pt>
                <c:pt idx="122">
                  <c:v>49.577800000000003</c:v>
                </c:pt>
                <c:pt idx="123">
                  <c:v>49.984200000000001</c:v>
                </c:pt>
                <c:pt idx="124">
                  <c:v>50.390900000000002</c:v>
                </c:pt>
                <c:pt idx="125">
                  <c:v>50.801900000000003</c:v>
                </c:pt>
                <c:pt idx="126">
                  <c:v>51.2059</c:v>
                </c:pt>
                <c:pt idx="127">
                  <c:v>51.613199999999999</c:v>
                </c:pt>
                <c:pt idx="128">
                  <c:v>52.016500000000001</c:v>
                </c:pt>
                <c:pt idx="129">
                  <c:v>52.4223</c:v>
                </c:pt>
                <c:pt idx="130">
                  <c:v>52.834200000000003</c:v>
                </c:pt>
                <c:pt idx="131">
                  <c:v>53.236699999999999</c:v>
                </c:pt>
                <c:pt idx="132">
                  <c:v>53.645600000000002</c:v>
                </c:pt>
                <c:pt idx="133">
                  <c:v>54.047199999999997</c:v>
                </c:pt>
                <c:pt idx="134">
                  <c:v>54.455599999999997</c:v>
                </c:pt>
                <c:pt idx="135">
                  <c:v>54.859499999999997</c:v>
                </c:pt>
                <c:pt idx="136">
                  <c:v>55.272300000000001</c:v>
                </c:pt>
                <c:pt idx="137">
                  <c:v>55.6755</c:v>
                </c:pt>
                <c:pt idx="138">
                  <c:v>56.081299999999999</c:v>
                </c:pt>
                <c:pt idx="139">
                  <c:v>56.485399999999998</c:v>
                </c:pt>
                <c:pt idx="140">
                  <c:v>56.894399999999997</c:v>
                </c:pt>
                <c:pt idx="141">
                  <c:v>57.298200000000001</c:v>
                </c:pt>
                <c:pt idx="142">
                  <c:v>57.707799999999999</c:v>
                </c:pt>
                <c:pt idx="143">
                  <c:v>58.112200000000001</c:v>
                </c:pt>
                <c:pt idx="144">
                  <c:v>58.514299999999999</c:v>
                </c:pt>
                <c:pt idx="145">
                  <c:v>58.9251</c:v>
                </c:pt>
                <c:pt idx="146">
                  <c:v>59.334200000000003</c:v>
                </c:pt>
                <c:pt idx="147">
                  <c:v>59.739800000000002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2.2427600000000001</c:v>
                </c:pt>
                <c:pt idx="1">
                  <c:v>2.2904599999999999</c:v>
                </c:pt>
                <c:pt idx="2">
                  <c:v>2.3379599999999998</c:v>
                </c:pt>
                <c:pt idx="3">
                  <c:v>2.3857300000000001</c:v>
                </c:pt>
                <c:pt idx="4">
                  <c:v>2.4305499999999998</c:v>
                </c:pt>
                <c:pt idx="5">
                  <c:v>2.4733200000000002</c:v>
                </c:pt>
                <c:pt idx="6">
                  <c:v>2.5132900000000005</c:v>
                </c:pt>
                <c:pt idx="7">
                  <c:v>2.5522200000000002</c:v>
                </c:pt>
                <c:pt idx="8">
                  <c:v>2.5915400000000002</c:v>
                </c:pt>
                <c:pt idx="9">
                  <c:v>2.6285500000000002</c:v>
                </c:pt>
                <c:pt idx="10">
                  <c:v>2.66432</c:v>
                </c:pt>
                <c:pt idx="11">
                  <c:v>2.6931799999999999</c:v>
                </c:pt>
                <c:pt idx="12">
                  <c:v>2.7191100000000001</c:v>
                </c:pt>
                <c:pt idx="13">
                  <c:v>2.7429100000000002</c:v>
                </c:pt>
                <c:pt idx="14">
                  <c:v>2.7655699999999999</c:v>
                </c:pt>
                <c:pt idx="15">
                  <c:v>2.7880199999999999</c:v>
                </c:pt>
                <c:pt idx="16">
                  <c:v>2.8090299999999999</c:v>
                </c:pt>
                <c:pt idx="17">
                  <c:v>2.8304800000000001</c:v>
                </c:pt>
                <c:pt idx="18">
                  <c:v>2.8522699999999999</c:v>
                </c:pt>
                <c:pt idx="19">
                  <c:v>2.8776899999999999</c:v>
                </c:pt>
                <c:pt idx="20">
                  <c:v>2.9008799999999999</c:v>
                </c:pt>
                <c:pt idx="21">
                  <c:v>2.9241200000000003</c:v>
                </c:pt>
                <c:pt idx="22">
                  <c:v>2.9507899999999996</c:v>
                </c:pt>
                <c:pt idx="23">
                  <c:v>2.9803800000000003</c:v>
                </c:pt>
                <c:pt idx="24">
                  <c:v>3.01227</c:v>
                </c:pt>
                <c:pt idx="25">
                  <c:v>3.0478699999999996</c:v>
                </c:pt>
                <c:pt idx="26">
                  <c:v>3.0876799999999998</c:v>
                </c:pt>
                <c:pt idx="27">
                  <c:v>3.1285099999999999</c:v>
                </c:pt>
                <c:pt idx="28">
                  <c:v>3.1716800000000003</c:v>
                </c:pt>
                <c:pt idx="29">
                  <c:v>3.21963</c:v>
                </c:pt>
                <c:pt idx="30">
                  <c:v>3.2702</c:v>
                </c:pt>
                <c:pt idx="31">
                  <c:v>3.32477</c:v>
                </c:pt>
                <c:pt idx="32">
                  <c:v>3.3812500000000001</c:v>
                </c:pt>
                <c:pt idx="33">
                  <c:v>3.4368100000000004</c:v>
                </c:pt>
                <c:pt idx="34">
                  <c:v>3.4938399999999996</c:v>
                </c:pt>
                <c:pt idx="35">
                  <c:v>3.5558299999999998</c:v>
                </c:pt>
                <c:pt idx="36">
                  <c:v>3.6231499999999999</c:v>
                </c:pt>
                <c:pt idx="37">
                  <c:v>3.6888199999999998</c:v>
                </c:pt>
                <c:pt idx="38">
                  <c:v>3.7524200000000003</c:v>
                </c:pt>
                <c:pt idx="39">
                  <c:v>3.8185400000000005</c:v>
                </c:pt>
                <c:pt idx="40">
                  <c:v>3.8867000000000003</c:v>
                </c:pt>
                <c:pt idx="41">
                  <c:v>3.9551500000000002</c:v>
                </c:pt>
                <c:pt idx="42">
                  <c:v>4.0230500000000005</c:v>
                </c:pt>
                <c:pt idx="43">
                  <c:v>4.0894399999999997</c:v>
                </c:pt>
                <c:pt idx="44">
                  <c:v>4.1506600000000002</c:v>
                </c:pt>
                <c:pt idx="45">
                  <c:v>4.2100400000000002</c:v>
                </c:pt>
                <c:pt idx="46">
                  <c:v>4.2644299999999999</c:v>
                </c:pt>
                <c:pt idx="47">
                  <c:v>4.3100100000000001</c:v>
                </c:pt>
                <c:pt idx="48">
                  <c:v>4.3525399999999994</c:v>
                </c:pt>
                <c:pt idx="49">
                  <c:v>4.3936700000000002</c:v>
                </c:pt>
                <c:pt idx="50">
                  <c:v>4.4273699999999998</c:v>
                </c:pt>
                <c:pt idx="51">
                  <c:v>4.45932</c:v>
                </c:pt>
                <c:pt idx="52">
                  <c:v>4.4853100000000001</c:v>
                </c:pt>
                <c:pt idx="53">
                  <c:v>4.5019</c:v>
                </c:pt>
                <c:pt idx="54">
                  <c:v>4.5076599999999996</c:v>
                </c:pt>
                <c:pt idx="55">
                  <c:v>4.5181500000000003</c:v>
                </c:pt>
                <c:pt idx="56">
                  <c:v>4.5087799999999998</c:v>
                </c:pt>
                <c:pt idx="57">
                  <c:v>4.5097800000000001</c:v>
                </c:pt>
                <c:pt idx="58">
                  <c:v>4.5001100000000003</c:v>
                </c:pt>
                <c:pt idx="59">
                  <c:v>4.4884500000000003</c:v>
                </c:pt>
                <c:pt idx="60">
                  <c:v>4.4700100000000003</c:v>
                </c:pt>
                <c:pt idx="61">
                  <c:v>4.4485599999999996</c:v>
                </c:pt>
                <c:pt idx="62">
                  <c:v>4.4151299999999996</c:v>
                </c:pt>
                <c:pt idx="63">
                  <c:v>4.3894899999999994</c:v>
                </c:pt>
                <c:pt idx="64">
                  <c:v>4.3686799999999995</c:v>
                </c:pt>
                <c:pt idx="65">
                  <c:v>4.3213499999999998</c:v>
                </c:pt>
                <c:pt idx="66">
                  <c:v>4.2828400000000002</c:v>
                </c:pt>
                <c:pt idx="67">
                  <c:v>4.2399399999999998</c:v>
                </c:pt>
                <c:pt idx="68">
                  <c:v>4.2059300000000004</c:v>
                </c:pt>
                <c:pt idx="69">
                  <c:v>4.1570200000000002</c:v>
                </c:pt>
                <c:pt idx="70">
                  <c:v>4.0926800000000005</c:v>
                </c:pt>
                <c:pt idx="71">
                  <c:v>4.0384599999999997</c:v>
                </c:pt>
                <c:pt idx="72">
                  <c:v>3.9831599999999998</c:v>
                </c:pt>
                <c:pt idx="73">
                  <c:v>3.9408399999999997</c:v>
                </c:pt>
                <c:pt idx="74">
                  <c:v>3.8803100000000001</c:v>
                </c:pt>
                <c:pt idx="75">
                  <c:v>3.8052099999999998</c:v>
                </c:pt>
                <c:pt idx="76">
                  <c:v>3.7465299999999999</c:v>
                </c:pt>
                <c:pt idx="77">
                  <c:v>3.6911899999999997</c:v>
                </c:pt>
                <c:pt idx="78">
                  <c:v>3.6400199999999998</c:v>
                </c:pt>
                <c:pt idx="79">
                  <c:v>3.5908800000000003</c:v>
                </c:pt>
                <c:pt idx="80">
                  <c:v>3.5472599999999996</c:v>
                </c:pt>
                <c:pt idx="81">
                  <c:v>3.50596</c:v>
                </c:pt>
                <c:pt idx="82">
                  <c:v>3.4704800000000002</c:v>
                </c:pt>
                <c:pt idx="83">
                  <c:v>3.4385599999999998</c:v>
                </c:pt>
                <c:pt idx="84">
                  <c:v>3.4074200000000001</c:v>
                </c:pt>
                <c:pt idx="85">
                  <c:v>3.3789200000000004</c:v>
                </c:pt>
                <c:pt idx="86">
                  <c:v>3.3511899999999999</c:v>
                </c:pt>
                <c:pt idx="87">
                  <c:v>3.3270499999999998</c:v>
                </c:pt>
                <c:pt idx="88">
                  <c:v>3.3066499999999999</c:v>
                </c:pt>
                <c:pt idx="89">
                  <c:v>3.2928000000000002</c:v>
                </c:pt>
                <c:pt idx="90">
                  <c:v>3.2857099999999999</c:v>
                </c:pt>
                <c:pt idx="91">
                  <c:v>3.2828499999999998</c:v>
                </c:pt>
                <c:pt idx="92">
                  <c:v>3.2808799999999998</c:v>
                </c:pt>
                <c:pt idx="93">
                  <c:v>3.2819700000000003</c:v>
                </c:pt>
                <c:pt idx="94">
                  <c:v>3.2858100000000001</c:v>
                </c:pt>
                <c:pt idx="95">
                  <c:v>3.2911400000000004</c:v>
                </c:pt>
                <c:pt idx="96">
                  <c:v>3.3017099999999999</c:v>
                </c:pt>
                <c:pt idx="97">
                  <c:v>3.3185399999999996</c:v>
                </c:pt>
                <c:pt idx="98">
                  <c:v>3.3375599999999999</c:v>
                </c:pt>
                <c:pt idx="99">
                  <c:v>3.35995</c:v>
                </c:pt>
                <c:pt idx="100">
                  <c:v>3.3849</c:v>
                </c:pt>
                <c:pt idx="101">
                  <c:v>3.4107900000000004</c:v>
                </c:pt>
                <c:pt idx="102">
                  <c:v>3.4375400000000003</c:v>
                </c:pt>
                <c:pt idx="103">
                  <c:v>3.46347</c:v>
                </c:pt>
                <c:pt idx="104">
                  <c:v>3.4879300000000004</c:v>
                </c:pt>
                <c:pt idx="105">
                  <c:v>3.5121200000000004</c:v>
                </c:pt>
                <c:pt idx="106">
                  <c:v>3.5383100000000001</c:v>
                </c:pt>
                <c:pt idx="107">
                  <c:v>3.5615799999999997</c:v>
                </c:pt>
                <c:pt idx="108">
                  <c:v>3.5856500000000002</c:v>
                </c:pt>
                <c:pt idx="109">
                  <c:v>3.6110899999999999</c:v>
                </c:pt>
                <c:pt idx="110">
                  <c:v>3.6346699999999998</c:v>
                </c:pt>
                <c:pt idx="111">
                  <c:v>3.65551</c:v>
                </c:pt>
                <c:pt idx="112">
                  <c:v>3.6795299999999997</c:v>
                </c:pt>
                <c:pt idx="113">
                  <c:v>3.7033800000000001</c:v>
                </c:pt>
                <c:pt idx="114">
                  <c:v>3.7292999999999998</c:v>
                </c:pt>
                <c:pt idx="115">
                  <c:v>3.7541500000000001</c:v>
                </c:pt>
                <c:pt idx="116">
                  <c:v>3.7767200000000001</c:v>
                </c:pt>
                <c:pt idx="117">
                  <c:v>3.7965300000000002</c:v>
                </c:pt>
                <c:pt idx="118">
                  <c:v>3.8141500000000002</c:v>
                </c:pt>
                <c:pt idx="119">
                  <c:v>3.83372</c:v>
                </c:pt>
                <c:pt idx="120">
                  <c:v>3.8537700000000004</c:v>
                </c:pt>
                <c:pt idx="121">
                  <c:v>3.8767499999999999</c:v>
                </c:pt>
                <c:pt idx="122">
                  <c:v>3.9003900000000002</c:v>
                </c:pt>
                <c:pt idx="123">
                  <c:v>3.9269799999999999</c:v>
                </c:pt>
                <c:pt idx="124">
                  <c:v>3.9354699999999996</c:v>
                </c:pt>
                <c:pt idx="125">
                  <c:v>3.9428800000000002</c:v>
                </c:pt>
                <c:pt idx="126">
                  <c:v>3.9495300000000002</c:v>
                </c:pt>
                <c:pt idx="127">
                  <c:v>3.9559100000000003</c:v>
                </c:pt>
                <c:pt idx="128">
                  <c:v>3.9636399999999998</c:v>
                </c:pt>
                <c:pt idx="129">
                  <c:v>3.97295</c:v>
                </c:pt>
                <c:pt idx="130">
                  <c:v>3.98231</c:v>
                </c:pt>
                <c:pt idx="131">
                  <c:v>3.9905600000000003</c:v>
                </c:pt>
                <c:pt idx="132">
                  <c:v>4.0012799999999995</c:v>
                </c:pt>
                <c:pt idx="133">
                  <c:v>4.0101599999999999</c:v>
                </c:pt>
                <c:pt idx="134">
                  <c:v>4.0182400000000005</c:v>
                </c:pt>
                <c:pt idx="135">
                  <c:v>4.0267499999999998</c:v>
                </c:pt>
                <c:pt idx="136">
                  <c:v>4.0381400000000003</c:v>
                </c:pt>
                <c:pt idx="137">
                  <c:v>4.0459499999999995</c:v>
                </c:pt>
                <c:pt idx="138">
                  <c:v>4.0522999999999998</c:v>
                </c:pt>
                <c:pt idx="139">
                  <c:v>4.0524300000000002</c:v>
                </c:pt>
                <c:pt idx="140">
                  <c:v>4.0524300000000002</c:v>
                </c:pt>
                <c:pt idx="141">
                  <c:v>4.0559500000000002</c:v>
                </c:pt>
                <c:pt idx="142">
                  <c:v>4.0705099999999996</c:v>
                </c:pt>
                <c:pt idx="143">
                  <c:v>4.0957799999999995</c:v>
                </c:pt>
                <c:pt idx="144">
                  <c:v>4.1252499999999994</c:v>
                </c:pt>
                <c:pt idx="145">
                  <c:v>4.1646300000000007</c:v>
                </c:pt>
                <c:pt idx="146">
                  <c:v>4.1983300000000003</c:v>
                </c:pt>
                <c:pt idx="147">
                  <c:v>4.2489699999999999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0.38016800000000001</c:v>
                </c:pt>
                <c:pt idx="2">
                  <c:v>0.78143899999999999</c:v>
                </c:pt>
                <c:pt idx="3">
                  <c:v>1.1885600000000001</c:v>
                </c:pt>
                <c:pt idx="4">
                  <c:v>1.5968599999999999</c:v>
                </c:pt>
                <c:pt idx="5">
                  <c:v>2.00461</c:v>
                </c:pt>
                <c:pt idx="6">
                  <c:v>2.40733</c:v>
                </c:pt>
                <c:pt idx="7">
                  <c:v>2.8138999999999998</c:v>
                </c:pt>
                <c:pt idx="8">
                  <c:v>3.2186499999999998</c:v>
                </c:pt>
                <c:pt idx="9">
                  <c:v>3.6255000000000002</c:v>
                </c:pt>
                <c:pt idx="10">
                  <c:v>4.03139</c:v>
                </c:pt>
                <c:pt idx="11">
                  <c:v>4.4384699999999997</c:v>
                </c:pt>
                <c:pt idx="12">
                  <c:v>4.8444500000000001</c:v>
                </c:pt>
                <c:pt idx="13">
                  <c:v>5.2534900000000002</c:v>
                </c:pt>
                <c:pt idx="14">
                  <c:v>5.65794</c:v>
                </c:pt>
                <c:pt idx="15">
                  <c:v>6.0641600000000002</c:v>
                </c:pt>
                <c:pt idx="16">
                  <c:v>6.4698099999999998</c:v>
                </c:pt>
                <c:pt idx="17">
                  <c:v>6.8782100000000002</c:v>
                </c:pt>
                <c:pt idx="18">
                  <c:v>7.2864199999999997</c:v>
                </c:pt>
                <c:pt idx="19">
                  <c:v>7.6915800000000001</c:v>
                </c:pt>
                <c:pt idx="20">
                  <c:v>8.0958299999999994</c:v>
                </c:pt>
                <c:pt idx="21">
                  <c:v>8.50122</c:v>
                </c:pt>
                <c:pt idx="22">
                  <c:v>8.9089399999999994</c:v>
                </c:pt>
                <c:pt idx="23">
                  <c:v>9.3165899999999997</c:v>
                </c:pt>
                <c:pt idx="24">
                  <c:v>9.7228700000000003</c:v>
                </c:pt>
                <c:pt idx="25">
                  <c:v>10.124599999999999</c:v>
                </c:pt>
                <c:pt idx="26">
                  <c:v>10.5314</c:v>
                </c:pt>
                <c:pt idx="27">
                  <c:v>10.9376</c:v>
                </c:pt>
                <c:pt idx="28">
                  <c:v>11.347300000000001</c:v>
                </c:pt>
                <c:pt idx="29">
                  <c:v>11.7536</c:v>
                </c:pt>
                <c:pt idx="30">
                  <c:v>12.158300000000001</c:v>
                </c:pt>
                <c:pt idx="31">
                  <c:v>12.562799999999999</c:v>
                </c:pt>
                <c:pt idx="32">
                  <c:v>12.9702</c:v>
                </c:pt>
                <c:pt idx="33">
                  <c:v>13.3779</c:v>
                </c:pt>
                <c:pt idx="34">
                  <c:v>13.7851</c:v>
                </c:pt>
                <c:pt idx="35">
                  <c:v>14.189299999999999</c:v>
                </c:pt>
                <c:pt idx="36">
                  <c:v>14.596399999999999</c:v>
                </c:pt>
                <c:pt idx="37">
                  <c:v>15.002700000000001</c:v>
                </c:pt>
                <c:pt idx="38">
                  <c:v>15.4099</c:v>
                </c:pt>
                <c:pt idx="39">
                  <c:v>15.817600000000001</c:v>
                </c:pt>
                <c:pt idx="40">
                  <c:v>16.2211</c:v>
                </c:pt>
                <c:pt idx="41">
                  <c:v>16.626300000000001</c:v>
                </c:pt>
                <c:pt idx="42">
                  <c:v>17.0319</c:v>
                </c:pt>
                <c:pt idx="43">
                  <c:v>17.441800000000001</c:v>
                </c:pt>
                <c:pt idx="44">
                  <c:v>17.848199999999999</c:v>
                </c:pt>
                <c:pt idx="45">
                  <c:v>18.254999999999999</c:v>
                </c:pt>
                <c:pt idx="46">
                  <c:v>18.6584</c:v>
                </c:pt>
                <c:pt idx="47">
                  <c:v>19.064499999999999</c:v>
                </c:pt>
                <c:pt idx="48">
                  <c:v>19.470800000000001</c:v>
                </c:pt>
                <c:pt idx="49">
                  <c:v>19.874600000000001</c:v>
                </c:pt>
                <c:pt idx="50">
                  <c:v>20.282</c:v>
                </c:pt>
                <c:pt idx="51">
                  <c:v>20.690999999999999</c:v>
                </c:pt>
                <c:pt idx="52">
                  <c:v>21.095800000000001</c:v>
                </c:pt>
                <c:pt idx="53">
                  <c:v>21.502300000000002</c:v>
                </c:pt>
                <c:pt idx="54">
                  <c:v>21.907800000000002</c:v>
                </c:pt>
                <c:pt idx="55">
                  <c:v>22.316800000000001</c:v>
                </c:pt>
                <c:pt idx="56">
                  <c:v>22.7225</c:v>
                </c:pt>
                <c:pt idx="57">
                  <c:v>23.1282</c:v>
                </c:pt>
                <c:pt idx="58">
                  <c:v>23.5335</c:v>
                </c:pt>
                <c:pt idx="59">
                  <c:v>23.939399999999999</c:v>
                </c:pt>
                <c:pt idx="60">
                  <c:v>24.3462</c:v>
                </c:pt>
                <c:pt idx="61">
                  <c:v>24.751000000000001</c:v>
                </c:pt>
                <c:pt idx="62">
                  <c:v>25.1615</c:v>
                </c:pt>
                <c:pt idx="63">
                  <c:v>25.564499999999999</c:v>
                </c:pt>
                <c:pt idx="64">
                  <c:v>25.968800000000002</c:v>
                </c:pt>
                <c:pt idx="65">
                  <c:v>26.377500000000001</c:v>
                </c:pt>
                <c:pt idx="66">
                  <c:v>26.782800000000002</c:v>
                </c:pt>
                <c:pt idx="67">
                  <c:v>27.191500000000001</c:v>
                </c:pt>
                <c:pt idx="68">
                  <c:v>27.5962</c:v>
                </c:pt>
                <c:pt idx="69">
                  <c:v>28.000599999999999</c:v>
                </c:pt>
                <c:pt idx="70">
                  <c:v>28.4101</c:v>
                </c:pt>
                <c:pt idx="71">
                  <c:v>28.814900000000002</c:v>
                </c:pt>
                <c:pt idx="72">
                  <c:v>29.2212</c:v>
                </c:pt>
                <c:pt idx="73">
                  <c:v>29.625599999999999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2.2427600000000001</c:v>
                </c:pt>
                <c:pt idx="1">
                  <c:v>2.2904599999999999</c:v>
                </c:pt>
                <c:pt idx="2">
                  <c:v>2.3379599999999998</c:v>
                </c:pt>
                <c:pt idx="3">
                  <c:v>2.3857300000000001</c:v>
                </c:pt>
                <c:pt idx="4">
                  <c:v>2.4305499999999998</c:v>
                </c:pt>
                <c:pt idx="5">
                  <c:v>2.4733200000000002</c:v>
                </c:pt>
                <c:pt idx="6">
                  <c:v>2.5132900000000005</c:v>
                </c:pt>
                <c:pt idx="7">
                  <c:v>2.5522200000000002</c:v>
                </c:pt>
                <c:pt idx="8">
                  <c:v>2.5915400000000002</c:v>
                </c:pt>
                <c:pt idx="9">
                  <c:v>2.6285500000000002</c:v>
                </c:pt>
                <c:pt idx="10">
                  <c:v>2.66432</c:v>
                </c:pt>
                <c:pt idx="11">
                  <c:v>2.6931799999999999</c:v>
                </c:pt>
                <c:pt idx="12">
                  <c:v>2.7191100000000001</c:v>
                </c:pt>
                <c:pt idx="13">
                  <c:v>2.7429100000000002</c:v>
                </c:pt>
                <c:pt idx="14">
                  <c:v>2.7655699999999999</c:v>
                </c:pt>
                <c:pt idx="15">
                  <c:v>2.7880199999999999</c:v>
                </c:pt>
                <c:pt idx="16">
                  <c:v>2.8090299999999999</c:v>
                </c:pt>
                <c:pt idx="17">
                  <c:v>2.8304800000000001</c:v>
                </c:pt>
                <c:pt idx="18">
                  <c:v>2.8522699999999999</c:v>
                </c:pt>
                <c:pt idx="19">
                  <c:v>2.8776899999999999</c:v>
                </c:pt>
                <c:pt idx="20">
                  <c:v>2.9008799999999999</c:v>
                </c:pt>
                <c:pt idx="21">
                  <c:v>2.9241200000000003</c:v>
                </c:pt>
                <c:pt idx="22">
                  <c:v>2.9507899999999996</c:v>
                </c:pt>
                <c:pt idx="23">
                  <c:v>2.9803800000000003</c:v>
                </c:pt>
                <c:pt idx="24">
                  <c:v>3.01227</c:v>
                </c:pt>
                <c:pt idx="25">
                  <c:v>3.0478699999999996</c:v>
                </c:pt>
                <c:pt idx="26">
                  <c:v>3.0876799999999998</c:v>
                </c:pt>
                <c:pt idx="27">
                  <c:v>3.1285099999999999</c:v>
                </c:pt>
                <c:pt idx="28">
                  <c:v>3.1716800000000003</c:v>
                </c:pt>
                <c:pt idx="29">
                  <c:v>3.21963</c:v>
                </c:pt>
                <c:pt idx="30">
                  <c:v>3.2702</c:v>
                </c:pt>
                <c:pt idx="31">
                  <c:v>3.32477</c:v>
                </c:pt>
                <c:pt idx="32">
                  <c:v>3.3812500000000001</c:v>
                </c:pt>
                <c:pt idx="33">
                  <c:v>3.4368100000000004</c:v>
                </c:pt>
                <c:pt idx="34">
                  <c:v>3.4938399999999996</c:v>
                </c:pt>
                <c:pt idx="35">
                  <c:v>3.5558299999999998</c:v>
                </c:pt>
                <c:pt idx="36">
                  <c:v>3.6231499999999999</c:v>
                </c:pt>
                <c:pt idx="37">
                  <c:v>3.6888199999999998</c:v>
                </c:pt>
                <c:pt idx="38">
                  <c:v>3.7524200000000003</c:v>
                </c:pt>
                <c:pt idx="39">
                  <c:v>3.8185400000000005</c:v>
                </c:pt>
                <c:pt idx="40">
                  <c:v>3.8867000000000003</c:v>
                </c:pt>
                <c:pt idx="41">
                  <c:v>3.9551500000000002</c:v>
                </c:pt>
                <c:pt idx="42">
                  <c:v>4.0230500000000005</c:v>
                </c:pt>
                <c:pt idx="43">
                  <c:v>4.0894399999999997</c:v>
                </c:pt>
                <c:pt idx="44">
                  <c:v>4.1506600000000002</c:v>
                </c:pt>
                <c:pt idx="45">
                  <c:v>4.2100400000000002</c:v>
                </c:pt>
                <c:pt idx="46">
                  <c:v>4.2644299999999999</c:v>
                </c:pt>
                <c:pt idx="47">
                  <c:v>4.3100100000000001</c:v>
                </c:pt>
                <c:pt idx="48">
                  <c:v>4.3525399999999994</c:v>
                </c:pt>
                <c:pt idx="49">
                  <c:v>4.3936700000000002</c:v>
                </c:pt>
                <c:pt idx="50">
                  <c:v>4.4273699999999998</c:v>
                </c:pt>
                <c:pt idx="51">
                  <c:v>4.45932</c:v>
                </c:pt>
                <c:pt idx="52">
                  <c:v>4.4853100000000001</c:v>
                </c:pt>
                <c:pt idx="53">
                  <c:v>4.5019</c:v>
                </c:pt>
                <c:pt idx="54">
                  <c:v>4.5076599999999996</c:v>
                </c:pt>
                <c:pt idx="55">
                  <c:v>4.5181500000000003</c:v>
                </c:pt>
                <c:pt idx="56">
                  <c:v>4.5087799999999998</c:v>
                </c:pt>
                <c:pt idx="57">
                  <c:v>4.5097800000000001</c:v>
                </c:pt>
                <c:pt idx="58">
                  <c:v>4.5001100000000003</c:v>
                </c:pt>
                <c:pt idx="59">
                  <c:v>4.4884500000000003</c:v>
                </c:pt>
                <c:pt idx="60">
                  <c:v>4.4700100000000003</c:v>
                </c:pt>
                <c:pt idx="61">
                  <c:v>4.4485599999999996</c:v>
                </c:pt>
                <c:pt idx="62">
                  <c:v>4.4151299999999996</c:v>
                </c:pt>
                <c:pt idx="63">
                  <c:v>4.3894899999999994</c:v>
                </c:pt>
                <c:pt idx="64">
                  <c:v>4.3686799999999995</c:v>
                </c:pt>
                <c:pt idx="65">
                  <c:v>4.3213499999999998</c:v>
                </c:pt>
                <c:pt idx="66">
                  <c:v>4.2828400000000002</c:v>
                </c:pt>
                <c:pt idx="67">
                  <c:v>4.2399399999999998</c:v>
                </c:pt>
                <c:pt idx="68">
                  <c:v>4.2059300000000004</c:v>
                </c:pt>
                <c:pt idx="69">
                  <c:v>4.1570200000000002</c:v>
                </c:pt>
                <c:pt idx="70">
                  <c:v>4.0926800000000005</c:v>
                </c:pt>
                <c:pt idx="71">
                  <c:v>4.0384599999999997</c:v>
                </c:pt>
                <c:pt idx="72">
                  <c:v>3.9831599999999998</c:v>
                </c:pt>
                <c:pt idx="73">
                  <c:v>3.9408399999999997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29.625599999999999</c:v>
                </c:pt>
                <c:pt idx="1">
                  <c:v>30.030799999999999</c:v>
                </c:pt>
                <c:pt idx="2">
                  <c:v>30.515000000000001</c:v>
                </c:pt>
                <c:pt idx="3">
                  <c:v>30.89</c:v>
                </c:pt>
                <c:pt idx="4">
                  <c:v>31.297699999999999</c:v>
                </c:pt>
                <c:pt idx="5">
                  <c:v>31.703499999999998</c:v>
                </c:pt>
                <c:pt idx="6">
                  <c:v>32.111400000000003</c:v>
                </c:pt>
                <c:pt idx="7">
                  <c:v>32.517499999999998</c:v>
                </c:pt>
                <c:pt idx="8">
                  <c:v>32.922699999999999</c:v>
                </c:pt>
                <c:pt idx="9">
                  <c:v>33.331400000000002</c:v>
                </c:pt>
                <c:pt idx="10">
                  <c:v>33.7395</c:v>
                </c:pt>
                <c:pt idx="11">
                  <c:v>34.142499999999998</c:v>
                </c:pt>
                <c:pt idx="12">
                  <c:v>34.549599999999998</c:v>
                </c:pt>
                <c:pt idx="13">
                  <c:v>34.957299999999996</c:v>
                </c:pt>
                <c:pt idx="14">
                  <c:v>35.364100000000001</c:v>
                </c:pt>
                <c:pt idx="15">
                  <c:v>35.766800000000003</c:v>
                </c:pt>
                <c:pt idx="16">
                  <c:v>36.174399999999999</c:v>
                </c:pt>
                <c:pt idx="17">
                  <c:v>36.579900000000002</c:v>
                </c:pt>
                <c:pt idx="18">
                  <c:v>36.989100000000001</c:v>
                </c:pt>
                <c:pt idx="19">
                  <c:v>37.394799999999996</c:v>
                </c:pt>
                <c:pt idx="20">
                  <c:v>37.796399999999998</c:v>
                </c:pt>
                <c:pt idx="21">
                  <c:v>38.204099999999997</c:v>
                </c:pt>
                <c:pt idx="22">
                  <c:v>38.6098</c:v>
                </c:pt>
                <c:pt idx="23">
                  <c:v>39.016500000000001</c:v>
                </c:pt>
                <c:pt idx="24">
                  <c:v>39.425199999999997</c:v>
                </c:pt>
                <c:pt idx="25">
                  <c:v>39.832999999999998</c:v>
                </c:pt>
                <c:pt idx="26">
                  <c:v>40.237299999999998</c:v>
                </c:pt>
                <c:pt idx="27">
                  <c:v>40.643000000000001</c:v>
                </c:pt>
                <c:pt idx="28">
                  <c:v>41.047899999999998</c:v>
                </c:pt>
                <c:pt idx="29">
                  <c:v>41.4572</c:v>
                </c:pt>
                <c:pt idx="30">
                  <c:v>41.860999999999997</c:v>
                </c:pt>
                <c:pt idx="31">
                  <c:v>42.266599999999997</c:v>
                </c:pt>
                <c:pt idx="32">
                  <c:v>42.672699999999999</c:v>
                </c:pt>
                <c:pt idx="33">
                  <c:v>43.077399999999997</c:v>
                </c:pt>
                <c:pt idx="34">
                  <c:v>43.491399999999999</c:v>
                </c:pt>
                <c:pt idx="35">
                  <c:v>43.894199999999998</c:v>
                </c:pt>
                <c:pt idx="36">
                  <c:v>44.301400000000001</c:v>
                </c:pt>
                <c:pt idx="37">
                  <c:v>44.705100000000002</c:v>
                </c:pt>
                <c:pt idx="38">
                  <c:v>45.108800000000002</c:v>
                </c:pt>
                <c:pt idx="39">
                  <c:v>45.5169</c:v>
                </c:pt>
                <c:pt idx="40">
                  <c:v>45.924300000000002</c:v>
                </c:pt>
                <c:pt idx="41">
                  <c:v>46.331400000000002</c:v>
                </c:pt>
                <c:pt idx="42">
                  <c:v>46.735599999999998</c:v>
                </c:pt>
                <c:pt idx="43">
                  <c:v>47.145699999999998</c:v>
                </c:pt>
                <c:pt idx="44">
                  <c:v>47.546999999999997</c:v>
                </c:pt>
                <c:pt idx="45">
                  <c:v>47.952300000000001</c:v>
                </c:pt>
                <c:pt idx="46">
                  <c:v>48.3611</c:v>
                </c:pt>
                <c:pt idx="47">
                  <c:v>48.769100000000002</c:v>
                </c:pt>
                <c:pt idx="48">
                  <c:v>49.175899999999999</c:v>
                </c:pt>
                <c:pt idx="49">
                  <c:v>49.577800000000003</c:v>
                </c:pt>
                <c:pt idx="50">
                  <c:v>49.984200000000001</c:v>
                </c:pt>
                <c:pt idx="51">
                  <c:v>50.390900000000002</c:v>
                </c:pt>
                <c:pt idx="52">
                  <c:v>50.801900000000003</c:v>
                </c:pt>
                <c:pt idx="53">
                  <c:v>51.2059</c:v>
                </c:pt>
                <c:pt idx="54">
                  <c:v>51.613199999999999</c:v>
                </c:pt>
                <c:pt idx="55">
                  <c:v>52.016500000000001</c:v>
                </c:pt>
                <c:pt idx="56">
                  <c:v>52.4223</c:v>
                </c:pt>
                <c:pt idx="57">
                  <c:v>52.834200000000003</c:v>
                </c:pt>
                <c:pt idx="58">
                  <c:v>53.236699999999999</c:v>
                </c:pt>
                <c:pt idx="59">
                  <c:v>53.645600000000002</c:v>
                </c:pt>
                <c:pt idx="60">
                  <c:v>54.047199999999997</c:v>
                </c:pt>
                <c:pt idx="61">
                  <c:v>54.455599999999997</c:v>
                </c:pt>
                <c:pt idx="62">
                  <c:v>54.859499999999997</c:v>
                </c:pt>
                <c:pt idx="63">
                  <c:v>55.272300000000001</c:v>
                </c:pt>
                <c:pt idx="64">
                  <c:v>55.6755</c:v>
                </c:pt>
                <c:pt idx="65">
                  <c:v>56.081299999999999</c:v>
                </c:pt>
                <c:pt idx="66">
                  <c:v>56.485399999999998</c:v>
                </c:pt>
                <c:pt idx="67">
                  <c:v>56.894399999999997</c:v>
                </c:pt>
                <c:pt idx="68">
                  <c:v>57.298200000000001</c:v>
                </c:pt>
                <c:pt idx="69">
                  <c:v>57.707799999999999</c:v>
                </c:pt>
                <c:pt idx="70">
                  <c:v>58.112200000000001</c:v>
                </c:pt>
                <c:pt idx="71">
                  <c:v>58.514299999999999</c:v>
                </c:pt>
                <c:pt idx="72">
                  <c:v>58.9251</c:v>
                </c:pt>
                <c:pt idx="73">
                  <c:v>59.334200000000003</c:v>
                </c:pt>
                <c:pt idx="74">
                  <c:v>59.739800000000002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3.9408399999999997</c:v>
                </c:pt>
                <c:pt idx="1">
                  <c:v>3.8803100000000001</c:v>
                </c:pt>
                <c:pt idx="2">
                  <c:v>3.8052099999999998</c:v>
                </c:pt>
                <c:pt idx="3">
                  <c:v>3.7465299999999999</c:v>
                </c:pt>
                <c:pt idx="4">
                  <c:v>3.6911899999999997</c:v>
                </c:pt>
                <c:pt idx="5">
                  <c:v>3.6400199999999998</c:v>
                </c:pt>
                <c:pt idx="6">
                  <c:v>3.5908800000000003</c:v>
                </c:pt>
                <c:pt idx="7">
                  <c:v>3.5472599999999996</c:v>
                </c:pt>
                <c:pt idx="8">
                  <c:v>3.50596</c:v>
                </c:pt>
                <c:pt idx="9">
                  <c:v>3.4704800000000002</c:v>
                </c:pt>
                <c:pt idx="10">
                  <c:v>3.4385599999999998</c:v>
                </c:pt>
                <c:pt idx="11">
                  <c:v>3.4074200000000001</c:v>
                </c:pt>
                <c:pt idx="12">
                  <c:v>3.3789200000000004</c:v>
                </c:pt>
                <c:pt idx="13">
                  <c:v>3.3511899999999999</c:v>
                </c:pt>
                <c:pt idx="14">
                  <c:v>3.3270499999999998</c:v>
                </c:pt>
                <c:pt idx="15">
                  <c:v>3.3066499999999999</c:v>
                </c:pt>
                <c:pt idx="16">
                  <c:v>3.2928000000000002</c:v>
                </c:pt>
                <c:pt idx="17">
                  <c:v>3.2857099999999999</c:v>
                </c:pt>
                <c:pt idx="18">
                  <c:v>3.2828499999999998</c:v>
                </c:pt>
                <c:pt idx="19">
                  <c:v>3.2808799999999998</c:v>
                </c:pt>
                <c:pt idx="20">
                  <c:v>3.2819700000000003</c:v>
                </c:pt>
                <c:pt idx="21">
                  <c:v>3.2858100000000001</c:v>
                </c:pt>
                <c:pt idx="22">
                  <c:v>3.2911400000000004</c:v>
                </c:pt>
                <c:pt idx="23">
                  <c:v>3.3017099999999999</c:v>
                </c:pt>
                <c:pt idx="24">
                  <c:v>3.3185399999999996</c:v>
                </c:pt>
                <c:pt idx="25">
                  <c:v>3.3375599999999999</c:v>
                </c:pt>
                <c:pt idx="26">
                  <c:v>3.35995</c:v>
                </c:pt>
                <c:pt idx="27">
                  <c:v>3.3849</c:v>
                </c:pt>
                <c:pt idx="28">
                  <c:v>3.4107900000000004</c:v>
                </c:pt>
                <c:pt idx="29">
                  <c:v>3.4375400000000003</c:v>
                </c:pt>
                <c:pt idx="30">
                  <c:v>3.46347</c:v>
                </c:pt>
                <c:pt idx="31">
                  <c:v>3.4879300000000004</c:v>
                </c:pt>
                <c:pt idx="32">
                  <c:v>3.5121200000000004</c:v>
                </c:pt>
                <c:pt idx="33">
                  <c:v>3.5383100000000001</c:v>
                </c:pt>
                <c:pt idx="34">
                  <c:v>3.5615799999999997</c:v>
                </c:pt>
                <c:pt idx="35">
                  <c:v>3.5856500000000002</c:v>
                </c:pt>
                <c:pt idx="36">
                  <c:v>3.6110899999999999</c:v>
                </c:pt>
                <c:pt idx="37">
                  <c:v>3.6346699999999998</c:v>
                </c:pt>
                <c:pt idx="38">
                  <c:v>3.65551</c:v>
                </c:pt>
                <c:pt idx="39">
                  <c:v>3.6795299999999997</c:v>
                </c:pt>
                <c:pt idx="40">
                  <c:v>3.7033800000000001</c:v>
                </c:pt>
                <c:pt idx="41">
                  <c:v>3.7292999999999998</c:v>
                </c:pt>
                <c:pt idx="42">
                  <c:v>3.7541500000000001</c:v>
                </c:pt>
                <c:pt idx="43">
                  <c:v>3.7767200000000001</c:v>
                </c:pt>
                <c:pt idx="44">
                  <c:v>3.7965300000000002</c:v>
                </c:pt>
                <c:pt idx="45">
                  <c:v>3.8141500000000002</c:v>
                </c:pt>
                <c:pt idx="46">
                  <c:v>3.83372</c:v>
                </c:pt>
                <c:pt idx="47">
                  <c:v>3.8537700000000004</c:v>
                </c:pt>
                <c:pt idx="48">
                  <c:v>3.8767499999999999</c:v>
                </c:pt>
                <c:pt idx="49">
                  <c:v>3.9003900000000002</c:v>
                </c:pt>
                <c:pt idx="50">
                  <c:v>3.9269799999999999</c:v>
                </c:pt>
                <c:pt idx="51">
                  <c:v>3.9354699999999996</c:v>
                </c:pt>
                <c:pt idx="52">
                  <c:v>3.9428800000000002</c:v>
                </c:pt>
                <c:pt idx="53">
                  <c:v>3.9495300000000002</c:v>
                </c:pt>
                <c:pt idx="54">
                  <c:v>3.9559100000000003</c:v>
                </c:pt>
                <c:pt idx="55">
                  <c:v>3.9636399999999998</c:v>
                </c:pt>
                <c:pt idx="56">
                  <c:v>3.97295</c:v>
                </c:pt>
                <c:pt idx="57">
                  <c:v>3.98231</c:v>
                </c:pt>
                <c:pt idx="58">
                  <c:v>3.9905600000000003</c:v>
                </c:pt>
                <c:pt idx="59">
                  <c:v>4.0012799999999995</c:v>
                </c:pt>
                <c:pt idx="60">
                  <c:v>4.0101599999999999</c:v>
                </c:pt>
                <c:pt idx="61">
                  <c:v>4.0182400000000005</c:v>
                </c:pt>
                <c:pt idx="62">
                  <c:v>4.0267499999999998</c:v>
                </c:pt>
                <c:pt idx="63">
                  <c:v>4.0381400000000003</c:v>
                </c:pt>
                <c:pt idx="64">
                  <c:v>4.0459499999999995</c:v>
                </c:pt>
                <c:pt idx="65">
                  <c:v>4.0522999999999998</c:v>
                </c:pt>
                <c:pt idx="66">
                  <c:v>4.0524300000000002</c:v>
                </c:pt>
                <c:pt idx="67">
                  <c:v>4.0524300000000002</c:v>
                </c:pt>
                <c:pt idx="68">
                  <c:v>4.0559500000000002</c:v>
                </c:pt>
                <c:pt idx="69">
                  <c:v>4.0705099999999996</c:v>
                </c:pt>
                <c:pt idx="70">
                  <c:v>4.0957799999999995</c:v>
                </c:pt>
                <c:pt idx="71">
                  <c:v>4.1252499999999994</c:v>
                </c:pt>
                <c:pt idx="72">
                  <c:v>4.1646300000000007</c:v>
                </c:pt>
                <c:pt idx="73">
                  <c:v>4.1983300000000003</c:v>
                </c:pt>
                <c:pt idx="74">
                  <c:v>4.2489699999999999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14.934950000000001</c:v>
                </c:pt>
                <c:pt idx="1">
                  <c:v>44.804850000000002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3.5656082432432439</c:v>
                </c:pt>
                <c:pt idx="1">
                  <c:v>3.7065652702702705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0.38016800000000001</c:v>
                </c:pt>
                <c:pt idx="2">
                  <c:v>0.78143899999999999</c:v>
                </c:pt>
                <c:pt idx="3">
                  <c:v>1.1885600000000001</c:v>
                </c:pt>
                <c:pt idx="4">
                  <c:v>1.5968599999999999</c:v>
                </c:pt>
                <c:pt idx="5">
                  <c:v>2.00461</c:v>
                </c:pt>
                <c:pt idx="6">
                  <c:v>2.40733</c:v>
                </c:pt>
                <c:pt idx="7">
                  <c:v>2.8138999999999998</c:v>
                </c:pt>
                <c:pt idx="8">
                  <c:v>3.2186499999999998</c:v>
                </c:pt>
                <c:pt idx="9">
                  <c:v>3.6255000000000002</c:v>
                </c:pt>
                <c:pt idx="10">
                  <c:v>4.03139</c:v>
                </c:pt>
                <c:pt idx="11">
                  <c:v>4.4384699999999997</c:v>
                </c:pt>
                <c:pt idx="12">
                  <c:v>4.8444500000000001</c:v>
                </c:pt>
                <c:pt idx="13">
                  <c:v>5.2534900000000002</c:v>
                </c:pt>
                <c:pt idx="14">
                  <c:v>5.65794</c:v>
                </c:pt>
                <c:pt idx="15">
                  <c:v>6.0641600000000002</c:v>
                </c:pt>
                <c:pt idx="16">
                  <c:v>6.4698099999999998</c:v>
                </c:pt>
                <c:pt idx="17">
                  <c:v>6.8782100000000002</c:v>
                </c:pt>
                <c:pt idx="18">
                  <c:v>7.2864199999999997</c:v>
                </c:pt>
                <c:pt idx="19">
                  <c:v>7.6915800000000001</c:v>
                </c:pt>
                <c:pt idx="20">
                  <c:v>8.0958299999999994</c:v>
                </c:pt>
                <c:pt idx="21">
                  <c:v>8.50122</c:v>
                </c:pt>
                <c:pt idx="22">
                  <c:v>8.9089399999999994</c:v>
                </c:pt>
                <c:pt idx="23">
                  <c:v>9.3165899999999997</c:v>
                </c:pt>
                <c:pt idx="24">
                  <c:v>9.7228700000000003</c:v>
                </c:pt>
                <c:pt idx="25">
                  <c:v>10.124599999999999</c:v>
                </c:pt>
                <c:pt idx="26">
                  <c:v>10.5314</c:v>
                </c:pt>
                <c:pt idx="27">
                  <c:v>10.9376</c:v>
                </c:pt>
                <c:pt idx="28">
                  <c:v>11.347300000000001</c:v>
                </c:pt>
                <c:pt idx="29">
                  <c:v>11.7536</c:v>
                </c:pt>
                <c:pt idx="30">
                  <c:v>12.158300000000001</c:v>
                </c:pt>
                <c:pt idx="31">
                  <c:v>12.562799999999999</c:v>
                </c:pt>
                <c:pt idx="32">
                  <c:v>12.9702</c:v>
                </c:pt>
                <c:pt idx="33">
                  <c:v>13.3779</c:v>
                </c:pt>
                <c:pt idx="34">
                  <c:v>13.7851</c:v>
                </c:pt>
                <c:pt idx="35">
                  <c:v>14.189299999999999</c:v>
                </c:pt>
                <c:pt idx="36">
                  <c:v>14.596399999999999</c:v>
                </c:pt>
                <c:pt idx="37">
                  <c:v>15.002700000000001</c:v>
                </c:pt>
                <c:pt idx="38">
                  <c:v>15.4099</c:v>
                </c:pt>
                <c:pt idx="39">
                  <c:v>15.817600000000001</c:v>
                </c:pt>
                <c:pt idx="40">
                  <c:v>16.2211</c:v>
                </c:pt>
                <c:pt idx="41">
                  <c:v>16.626300000000001</c:v>
                </c:pt>
                <c:pt idx="42">
                  <c:v>17.0319</c:v>
                </c:pt>
                <c:pt idx="43">
                  <c:v>17.441800000000001</c:v>
                </c:pt>
                <c:pt idx="44">
                  <c:v>17.848199999999999</c:v>
                </c:pt>
                <c:pt idx="45">
                  <c:v>18.254999999999999</c:v>
                </c:pt>
                <c:pt idx="46">
                  <c:v>18.6584</c:v>
                </c:pt>
                <c:pt idx="47">
                  <c:v>19.064499999999999</c:v>
                </c:pt>
                <c:pt idx="48">
                  <c:v>19.470800000000001</c:v>
                </c:pt>
                <c:pt idx="49">
                  <c:v>19.874600000000001</c:v>
                </c:pt>
                <c:pt idx="50">
                  <c:v>20.282</c:v>
                </c:pt>
                <c:pt idx="51">
                  <c:v>20.690999999999999</c:v>
                </c:pt>
                <c:pt idx="52">
                  <c:v>21.095800000000001</c:v>
                </c:pt>
                <c:pt idx="53">
                  <c:v>21.502300000000002</c:v>
                </c:pt>
                <c:pt idx="54">
                  <c:v>21.907800000000002</c:v>
                </c:pt>
                <c:pt idx="55">
                  <c:v>22.316800000000001</c:v>
                </c:pt>
                <c:pt idx="56">
                  <c:v>22.7225</c:v>
                </c:pt>
                <c:pt idx="57">
                  <c:v>23.1282</c:v>
                </c:pt>
                <c:pt idx="58">
                  <c:v>23.5335</c:v>
                </c:pt>
                <c:pt idx="59">
                  <c:v>23.939399999999999</c:v>
                </c:pt>
                <c:pt idx="60">
                  <c:v>24.3462</c:v>
                </c:pt>
                <c:pt idx="61">
                  <c:v>24.751000000000001</c:v>
                </c:pt>
                <c:pt idx="62">
                  <c:v>25.1615</c:v>
                </c:pt>
                <c:pt idx="63">
                  <c:v>25.564499999999999</c:v>
                </c:pt>
                <c:pt idx="64">
                  <c:v>25.968800000000002</c:v>
                </c:pt>
                <c:pt idx="65">
                  <c:v>26.377500000000001</c:v>
                </c:pt>
                <c:pt idx="66">
                  <c:v>26.782800000000002</c:v>
                </c:pt>
                <c:pt idx="67">
                  <c:v>27.191500000000001</c:v>
                </c:pt>
                <c:pt idx="68">
                  <c:v>27.5962</c:v>
                </c:pt>
                <c:pt idx="69">
                  <c:v>28.000599999999999</c:v>
                </c:pt>
                <c:pt idx="70">
                  <c:v>28.4101</c:v>
                </c:pt>
                <c:pt idx="71">
                  <c:v>28.814900000000002</c:v>
                </c:pt>
                <c:pt idx="72">
                  <c:v>29.2212</c:v>
                </c:pt>
                <c:pt idx="73">
                  <c:v>29.625599999999999</c:v>
                </c:pt>
                <c:pt idx="74">
                  <c:v>30.030799999999999</c:v>
                </c:pt>
                <c:pt idx="75">
                  <c:v>30.515000000000001</c:v>
                </c:pt>
                <c:pt idx="76">
                  <c:v>30.89</c:v>
                </c:pt>
                <c:pt idx="77">
                  <c:v>31.297699999999999</c:v>
                </c:pt>
                <c:pt idx="78">
                  <c:v>31.703499999999998</c:v>
                </c:pt>
                <c:pt idx="79">
                  <c:v>32.111400000000003</c:v>
                </c:pt>
                <c:pt idx="80">
                  <c:v>32.517499999999998</c:v>
                </c:pt>
                <c:pt idx="81">
                  <c:v>32.922699999999999</c:v>
                </c:pt>
                <c:pt idx="82">
                  <c:v>33.331400000000002</c:v>
                </c:pt>
                <c:pt idx="83">
                  <c:v>33.7395</c:v>
                </c:pt>
                <c:pt idx="84">
                  <c:v>34.142499999999998</c:v>
                </c:pt>
                <c:pt idx="85">
                  <c:v>34.549599999999998</c:v>
                </c:pt>
                <c:pt idx="86">
                  <c:v>34.957299999999996</c:v>
                </c:pt>
                <c:pt idx="87">
                  <c:v>35.364100000000001</c:v>
                </c:pt>
                <c:pt idx="88">
                  <c:v>35.766800000000003</c:v>
                </c:pt>
                <c:pt idx="89">
                  <c:v>36.174399999999999</c:v>
                </c:pt>
                <c:pt idx="90">
                  <c:v>36.579900000000002</c:v>
                </c:pt>
                <c:pt idx="91">
                  <c:v>36.989100000000001</c:v>
                </c:pt>
                <c:pt idx="92">
                  <c:v>37.394799999999996</c:v>
                </c:pt>
                <c:pt idx="93">
                  <c:v>37.796399999999998</c:v>
                </c:pt>
                <c:pt idx="94">
                  <c:v>38.204099999999997</c:v>
                </c:pt>
                <c:pt idx="95">
                  <c:v>38.6098</c:v>
                </c:pt>
                <c:pt idx="96">
                  <c:v>39.016500000000001</c:v>
                </c:pt>
                <c:pt idx="97">
                  <c:v>39.425199999999997</c:v>
                </c:pt>
                <c:pt idx="98">
                  <c:v>39.832999999999998</c:v>
                </c:pt>
                <c:pt idx="99">
                  <c:v>40.237299999999998</c:v>
                </c:pt>
                <c:pt idx="100">
                  <c:v>40.643000000000001</c:v>
                </c:pt>
                <c:pt idx="101">
                  <c:v>41.047899999999998</c:v>
                </c:pt>
                <c:pt idx="102">
                  <c:v>41.4572</c:v>
                </c:pt>
                <c:pt idx="103">
                  <c:v>41.860999999999997</c:v>
                </c:pt>
                <c:pt idx="104">
                  <c:v>42.266599999999997</c:v>
                </c:pt>
                <c:pt idx="105">
                  <c:v>42.672699999999999</c:v>
                </c:pt>
                <c:pt idx="106">
                  <c:v>43.077399999999997</c:v>
                </c:pt>
                <c:pt idx="107">
                  <c:v>43.491399999999999</c:v>
                </c:pt>
                <c:pt idx="108">
                  <c:v>43.894199999999998</c:v>
                </c:pt>
                <c:pt idx="109">
                  <c:v>44.301400000000001</c:v>
                </c:pt>
                <c:pt idx="110">
                  <c:v>44.705100000000002</c:v>
                </c:pt>
                <c:pt idx="111">
                  <c:v>45.108800000000002</c:v>
                </c:pt>
                <c:pt idx="112">
                  <c:v>45.5169</c:v>
                </c:pt>
                <c:pt idx="113">
                  <c:v>45.924300000000002</c:v>
                </c:pt>
                <c:pt idx="114">
                  <c:v>46.331400000000002</c:v>
                </c:pt>
                <c:pt idx="115">
                  <c:v>46.735599999999998</c:v>
                </c:pt>
                <c:pt idx="116">
                  <c:v>47.145699999999998</c:v>
                </c:pt>
                <c:pt idx="117">
                  <c:v>47.546999999999997</c:v>
                </c:pt>
                <c:pt idx="118">
                  <c:v>47.952300000000001</c:v>
                </c:pt>
                <c:pt idx="119">
                  <c:v>48.3611</c:v>
                </c:pt>
                <c:pt idx="120">
                  <c:v>48.769100000000002</c:v>
                </c:pt>
                <c:pt idx="121">
                  <c:v>49.175899999999999</c:v>
                </c:pt>
                <c:pt idx="122">
                  <c:v>49.577800000000003</c:v>
                </c:pt>
                <c:pt idx="123">
                  <c:v>49.984200000000001</c:v>
                </c:pt>
                <c:pt idx="124">
                  <c:v>50.390900000000002</c:v>
                </c:pt>
                <c:pt idx="125">
                  <c:v>50.801900000000003</c:v>
                </c:pt>
                <c:pt idx="126">
                  <c:v>51.2059</c:v>
                </c:pt>
                <c:pt idx="127">
                  <c:v>51.613199999999999</c:v>
                </c:pt>
                <c:pt idx="128">
                  <c:v>52.016500000000001</c:v>
                </c:pt>
                <c:pt idx="129">
                  <c:v>52.4223</c:v>
                </c:pt>
                <c:pt idx="130">
                  <c:v>52.834200000000003</c:v>
                </c:pt>
                <c:pt idx="131">
                  <c:v>53.236699999999999</c:v>
                </c:pt>
                <c:pt idx="132">
                  <c:v>53.645600000000002</c:v>
                </c:pt>
                <c:pt idx="133">
                  <c:v>54.047199999999997</c:v>
                </c:pt>
                <c:pt idx="134">
                  <c:v>54.455599999999997</c:v>
                </c:pt>
                <c:pt idx="135">
                  <c:v>54.859499999999997</c:v>
                </c:pt>
                <c:pt idx="136">
                  <c:v>55.272300000000001</c:v>
                </c:pt>
                <c:pt idx="137">
                  <c:v>55.6755</c:v>
                </c:pt>
                <c:pt idx="138">
                  <c:v>56.081299999999999</c:v>
                </c:pt>
                <c:pt idx="139">
                  <c:v>56.485399999999998</c:v>
                </c:pt>
                <c:pt idx="140">
                  <c:v>56.894399999999997</c:v>
                </c:pt>
                <c:pt idx="141">
                  <c:v>57.298200000000001</c:v>
                </c:pt>
                <c:pt idx="142">
                  <c:v>57.707799999999999</c:v>
                </c:pt>
                <c:pt idx="143">
                  <c:v>58.112200000000001</c:v>
                </c:pt>
                <c:pt idx="144">
                  <c:v>58.514299999999999</c:v>
                </c:pt>
                <c:pt idx="145">
                  <c:v>58.9251</c:v>
                </c:pt>
                <c:pt idx="146">
                  <c:v>59.334200000000003</c:v>
                </c:pt>
                <c:pt idx="147">
                  <c:v>59.739800000000002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67.191900000000004</c:v>
                </c:pt>
                <c:pt idx="1">
                  <c:v>67.239800000000002</c:v>
                </c:pt>
                <c:pt idx="2">
                  <c:v>67.257800000000003</c:v>
                </c:pt>
                <c:pt idx="3">
                  <c:v>67.171999999999997</c:v>
                </c:pt>
                <c:pt idx="4">
                  <c:v>66.905900000000003</c:v>
                </c:pt>
                <c:pt idx="5">
                  <c:v>66.486900000000006</c:v>
                </c:pt>
                <c:pt idx="6">
                  <c:v>66.012699999999995</c:v>
                </c:pt>
                <c:pt idx="7">
                  <c:v>65.479900000000001</c:v>
                </c:pt>
                <c:pt idx="8">
                  <c:v>64.895800000000008</c:v>
                </c:pt>
                <c:pt idx="9">
                  <c:v>64.3172</c:v>
                </c:pt>
                <c:pt idx="10">
                  <c:v>63.745399999999997</c:v>
                </c:pt>
                <c:pt idx="11">
                  <c:v>63.240499999999997</c:v>
                </c:pt>
                <c:pt idx="12">
                  <c:v>62.673599999999993</c:v>
                </c:pt>
                <c:pt idx="13">
                  <c:v>62.096200000000003</c:v>
                </c:pt>
                <c:pt idx="14">
                  <c:v>61.575000000000003</c:v>
                </c:pt>
                <c:pt idx="15">
                  <c:v>61.102199999999996</c:v>
                </c:pt>
                <c:pt idx="16">
                  <c:v>60.717399999999998</c:v>
                </c:pt>
                <c:pt idx="17">
                  <c:v>60.423300000000005</c:v>
                </c:pt>
                <c:pt idx="18">
                  <c:v>60.1845</c:v>
                </c:pt>
                <c:pt idx="19">
                  <c:v>59.868699999999997</c:v>
                </c:pt>
                <c:pt idx="20">
                  <c:v>59.581799999999994</c:v>
                </c:pt>
                <c:pt idx="21">
                  <c:v>59.272800000000004</c:v>
                </c:pt>
                <c:pt idx="22">
                  <c:v>58.830300000000001</c:v>
                </c:pt>
                <c:pt idx="23">
                  <c:v>58.334299999999992</c:v>
                </c:pt>
                <c:pt idx="24">
                  <c:v>57.793499999999995</c:v>
                </c:pt>
                <c:pt idx="25">
                  <c:v>57.164800000000007</c:v>
                </c:pt>
                <c:pt idx="26">
                  <c:v>56.420299999999997</c:v>
                </c:pt>
                <c:pt idx="27">
                  <c:v>55.643000000000001</c:v>
                </c:pt>
                <c:pt idx="28">
                  <c:v>54.748399999999997</c:v>
                </c:pt>
                <c:pt idx="29">
                  <c:v>53.736399999999996</c:v>
                </c:pt>
                <c:pt idx="30">
                  <c:v>52.721799999999995</c:v>
                </c:pt>
                <c:pt idx="31">
                  <c:v>51.582499999999996</c:v>
                </c:pt>
                <c:pt idx="32">
                  <c:v>50.400900000000007</c:v>
                </c:pt>
                <c:pt idx="33">
                  <c:v>49.346600000000002</c:v>
                </c:pt>
                <c:pt idx="34">
                  <c:v>48.339599999999997</c:v>
                </c:pt>
                <c:pt idx="35">
                  <c:v>47.185500000000005</c:v>
                </c:pt>
                <c:pt idx="36">
                  <c:v>46.109099999999998</c:v>
                </c:pt>
                <c:pt idx="37">
                  <c:v>45.228499999999997</c:v>
                </c:pt>
                <c:pt idx="38">
                  <c:v>44.582300000000004</c:v>
                </c:pt>
                <c:pt idx="39">
                  <c:v>43.979900000000001</c:v>
                </c:pt>
                <c:pt idx="40">
                  <c:v>43.570399999999999</c:v>
                </c:pt>
                <c:pt idx="41">
                  <c:v>43.336300000000001</c:v>
                </c:pt>
                <c:pt idx="42">
                  <c:v>43.133200000000002</c:v>
                </c:pt>
                <c:pt idx="43">
                  <c:v>43.036200000000001</c:v>
                </c:pt>
                <c:pt idx="44">
                  <c:v>42.950800000000001</c:v>
                </c:pt>
                <c:pt idx="45">
                  <c:v>43.017499999999998</c:v>
                </c:pt>
                <c:pt idx="46">
                  <c:v>43.1721</c:v>
                </c:pt>
                <c:pt idx="47">
                  <c:v>43.377099999999999</c:v>
                </c:pt>
                <c:pt idx="48">
                  <c:v>43.569200000000002</c:v>
                </c:pt>
                <c:pt idx="49">
                  <c:v>43.736399999999996</c:v>
                </c:pt>
                <c:pt idx="50">
                  <c:v>43.881999999999998</c:v>
                </c:pt>
                <c:pt idx="51">
                  <c:v>43.991500000000002</c:v>
                </c:pt>
                <c:pt idx="52">
                  <c:v>44.1295</c:v>
                </c:pt>
                <c:pt idx="53">
                  <c:v>44.240600000000001</c:v>
                </c:pt>
                <c:pt idx="54">
                  <c:v>44.303599999999996</c:v>
                </c:pt>
                <c:pt idx="55">
                  <c:v>44.247500000000002</c:v>
                </c:pt>
                <c:pt idx="56">
                  <c:v>44.223600000000005</c:v>
                </c:pt>
                <c:pt idx="57">
                  <c:v>44.119100000000003</c:v>
                </c:pt>
                <c:pt idx="58">
                  <c:v>44.015100000000004</c:v>
                </c:pt>
                <c:pt idx="59">
                  <c:v>43.926300000000005</c:v>
                </c:pt>
                <c:pt idx="60">
                  <c:v>43.844799999999999</c:v>
                </c:pt>
                <c:pt idx="61">
                  <c:v>43.8474</c:v>
                </c:pt>
                <c:pt idx="62">
                  <c:v>43.808799999999998</c:v>
                </c:pt>
                <c:pt idx="63">
                  <c:v>43.783699999999996</c:v>
                </c:pt>
                <c:pt idx="64">
                  <c:v>43.832900000000002</c:v>
                </c:pt>
                <c:pt idx="65">
                  <c:v>43.741300000000003</c:v>
                </c:pt>
                <c:pt idx="66">
                  <c:v>43.7042</c:v>
                </c:pt>
                <c:pt idx="67">
                  <c:v>43.7331</c:v>
                </c:pt>
                <c:pt idx="68">
                  <c:v>43.930599999999998</c:v>
                </c:pt>
                <c:pt idx="69">
                  <c:v>43.9968</c:v>
                </c:pt>
                <c:pt idx="70">
                  <c:v>43.962899999999998</c:v>
                </c:pt>
                <c:pt idx="71">
                  <c:v>44.003500000000003</c:v>
                </c:pt>
                <c:pt idx="72">
                  <c:v>43.873699999999999</c:v>
                </c:pt>
                <c:pt idx="73">
                  <c:v>44.0503</c:v>
                </c:pt>
                <c:pt idx="74">
                  <c:v>44.234000000000002</c:v>
                </c:pt>
                <c:pt idx="75">
                  <c:v>44.354999999999997</c:v>
                </c:pt>
                <c:pt idx="76">
                  <c:v>44.604799999999997</c:v>
                </c:pt>
                <c:pt idx="77">
                  <c:v>44.782800000000002</c:v>
                </c:pt>
                <c:pt idx="78">
                  <c:v>44.834499999999998</c:v>
                </c:pt>
                <c:pt idx="79">
                  <c:v>44.887500000000003</c:v>
                </c:pt>
                <c:pt idx="80">
                  <c:v>44.855200000000004</c:v>
                </c:pt>
                <c:pt idx="81">
                  <c:v>44.800699999999999</c:v>
                </c:pt>
                <c:pt idx="82">
                  <c:v>44.696100000000001</c:v>
                </c:pt>
                <c:pt idx="83">
                  <c:v>44.712299999999999</c:v>
                </c:pt>
                <c:pt idx="84">
                  <c:v>44.775399999999998</c:v>
                </c:pt>
                <c:pt idx="85">
                  <c:v>44.908000000000001</c:v>
                </c:pt>
                <c:pt idx="86">
                  <c:v>45.165199999999999</c:v>
                </c:pt>
                <c:pt idx="87">
                  <c:v>45.409599999999998</c:v>
                </c:pt>
                <c:pt idx="88">
                  <c:v>45.632400000000004</c:v>
                </c:pt>
                <c:pt idx="89">
                  <c:v>45.802599999999998</c:v>
                </c:pt>
                <c:pt idx="90">
                  <c:v>45.898499999999999</c:v>
                </c:pt>
                <c:pt idx="91">
                  <c:v>45.955300000000001</c:v>
                </c:pt>
                <c:pt idx="92">
                  <c:v>46.036899999999996</c:v>
                </c:pt>
                <c:pt idx="93">
                  <c:v>46.071800000000003</c:v>
                </c:pt>
                <c:pt idx="94">
                  <c:v>46.1342</c:v>
                </c:pt>
                <c:pt idx="95">
                  <c:v>46.180599999999998</c:v>
                </c:pt>
                <c:pt idx="96">
                  <c:v>46.175399999999996</c:v>
                </c:pt>
                <c:pt idx="97">
                  <c:v>46.127000000000002</c:v>
                </c:pt>
                <c:pt idx="98">
                  <c:v>46.060299999999998</c:v>
                </c:pt>
                <c:pt idx="99">
                  <c:v>45.922899999999998</c:v>
                </c:pt>
                <c:pt idx="100">
                  <c:v>45.812100000000001</c:v>
                </c:pt>
                <c:pt idx="101">
                  <c:v>45.673099999999998</c:v>
                </c:pt>
                <c:pt idx="102">
                  <c:v>45.533900000000003</c:v>
                </c:pt>
                <c:pt idx="103">
                  <c:v>45.500299999999996</c:v>
                </c:pt>
                <c:pt idx="104">
                  <c:v>45.537599999999998</c:v>
                </c:pt>
                <c:pt idx="105">
                  <c:v>45.589300000000001</c:v>
                </c:pt>
                <c:pt idx="106">
                  <c:v>45.616</c:v>
                </c:pt>
                <c:pt idx="107">
                  <c:v>45.655499999999996</c:v>
                </c:pt>
                <c:pt idx="108">
                  <c:v>45.623999999999995</c:v>
                </c:pt>
                <c:pt idx="109">
                  <c:v>45.576599999999999</c:v>
                </c:pt>
                <c:pt idx="110">
                  <c:v>45.5443</c:v>
                </c:pt>
                <c:pt idx="111">
                  <c:v>45.555700000000002</c:v>
                </c:pt>
                <c:pt idx="112">
                  <c:v>45.534200000000006</c:v>
                </c:pt>
                <c:pt idx="113">
                  <c:v>45.5366</c:v>
                </c:pt>
                <c:pt idx="114">
                  <c:v>45.520699999999998</c:v>
                </c:pt>
                <c:pt idx="115">
                  <c:v>45.504600000000003</c:v>
                </c:pt>
                <c:pt idx="116">
                  <c:v>45.509899999999995</c:v>
                </c:pt>
                <c:pt idx="117">
                  <c:v>45.556799999999996</c:v>
                </c:pt>
                <c:pt idx="118">
                  <c:v>45.641399999999997</c:v>
                </c:pt>
                <c:pt idx="119">
                  <c:v>45.6873</c:v>
                </c:pt>
                <c:pt idx="120">
                  <c:v>45.7301</c:v>
                </c:pt>
                <c:pt idx="121">
                  <c:v>45.784200000000006</c:v>
                </c:pt>
                <c:pt idx="122">
                  <c:v>45.835599999999999</c:v>
                </c:pt>
                <c:pt idx="123">
                  <c:v>45.827400000000004</c:v>
                </c:pt>
                <c:pt idx="124">
                  <c:v>45.863500000000002</c:v>
                </c:pt>
                <c:pt idx="125">
                  <c:v>45.923499999999997</c:v>
                </c:pt>
                <c:pt idx="126">
                  <c:v>46.023499999999999</c:v>
                </c:pt>
                <c:pt idx="127">
                  <c:v>46.157900000000005</c:v>
                </c:pt>
                <c:pt idx="128">
                  <c:v>46.291600000000003</c:v>
                </c:pt>
                <c:pt idx="129">
                  <c:v>46.435600000000001</c:v>
                </c:pt>
                <c:pt idx="130">
                  <c:v>46.587699999999998</c:v>
                </c:pt>
                <c:pt idx="131">
                  <c:v>46.776000000000003</c:v>
                </c:pt>
                <c:pt idx="132">
                  <c:v>47.008400000000002</c:v>
                </c:pt>
                <c:pt idx="133">
                  <c:v>47.222799999999999</c:v>
                </c:pt>
                <c:pt idx="134">
                  <c:v>47.450399999999995</c:v>
                </c:pt>
                <c:pt idx="135">
                  <c:v>47.657400000000003</c:v>
                </c:pt>
                <c:pt idx="136">
                  <c:v>47.821399999999997</c:v>
                </c:pt>
                <c:pt idx="137">
                  <c:v>47.9529</c:v>
                </c:pt>
                <c:pt idx="138">
                  <c:v>47.999700000000004</c:v>
                </c:pt>
                <c:pt idx="139">
                  <c:v>47.898800000000001</c:v>
                </c:pt>
                <c:pt idx="140">
                  <c:v>47.787700000000001</c:v>
                </c:pt>
                <c:pt idx="141">
                  <c:v>47.710099999999997</c:v>
                </c:pt>
                <c:pt idx="142">
                  <c:v>47.635599999999997</c:v>
                </c:pt>
                <c:pt idx="143">
                  <c:v>47.558</c:v>
                </c:pt>
                <c:pt idx="144">
                  <c:v>47.6036</c:v>
                </c:pt>
                <c:pt idx="145">
                  <c:v>47.763399999999997</c:v>
                </c:pt>
                <c:pt idx="146">
                  <c:v>47.7607</c:v>
                </c:pt>
                <c:pt idx="147">
                  <c:v>47.751900000000006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0.38016800000000001</c:v>
                </c:pt>
                <c:pt idx="2">
                  <c:v>0.78143899999999999</c:v>
                </c:pt>
                <c:pt idx="3">
                  <c:v>1.1885600000000001</c:v>
                </c:pt>
                <c:pt idx="4">
                  <c:v>1.5968599999999999</c:v>
                </c:pt>
                <c:pt idx="5">
                  <c:v>2.00461</c:v>
                </c:pt>
                <c:pt idx="6">
                  <c:v>2.40733</c:v>
                </c:pt>
                <c:pt idx="7">
                  <c:v>2.8138999999999998</c:v>
                </c:pt>
                <c:pt idx="8">
                  <c:v>3.2186499999999998</c:v>
                </c:pt>
                <c:pt idx="9">
                  <c:v>3.6255000000000002</c:v>
                </c:pt>
                <c:pt idx="10">
                  <c:v>4.03139</c:v>
                </c:pt>
                <c:pt idx="11">
                  <c:v>4.4384699999999997</c:v>
                </c:pt>
                <c:pt idx="12">
                  <c:v>4.8444500000000001</c:v>
                </c:pt>
                <c:pt idx="13">
                  <c:v>5.2534900000000002</c:v>
                </c:pt>
                <c:pt idx="14">
                  <c:v>5.65794</c:v>
                </c:pt>
                <c:pt idx="15">
                  <c:v>6.0641600000000002</c:v>
                </c:pt>
                <c:pt idx="16">
                  <c:v>6.4698099999999998</c:v>
                </c:pt>
                <c:pt idx="17">
                  <c:v>6.8782100000000002</c:v>
                </c:pt>
                <c:pt idx="18">
                  <c:v>7.2864199999999997</c:v>
                </c:pt>
                <c:pt idx="19">
                  <c:v>7.6915800000000001</c:v>
                </c:pt>
                <c:pt idx="20">
                  <c:v>8.0958299999999994</c:v>
                </c:pt>
                <c:pt idx="21">
                  <c:v>8.50122</c:v>
                </c:pt>
                <c:pt idx="22">
                  <c:v>8.9089399999999994</c:v>
                </c:pt>
                <c:pt idx="23">
                  <c:v>9.3165899999999997</c:v>
                </c:pt>
                <c:pt idx="24">
                  <c:v>9.7228700000000003</c:v>
                </c:pt>
                <c:pt idx="25">
                  <c:v>10.124599999999999</c:v>
                </c:pt>
                <c:pt idx="26">
                  <c:v>10.5314</c:v>
                </c:pt>
                <c:pt idx="27">
                  <c:v>10.9376</c:v>
                </c:pt>
                <c:pt idx="28">
                  <c:v>11.347300000000001</c:v>
                </c:pt>
                <c:pt idx="29">
                  <c:v>11.7536</c:v>
                </c:pt>
                <c:pt idx="30">
                  <c:v>12.158300000000001</c:v>
                </c:pt>
                <c:pt idx="31">
                  <c:v>12.562799999999999</c:v>
                </c:pt>
                <c:pt idx="32">
                  <c:v>12.9702</c:v>
                </c:pt>
                <c:pt idx="33">
                  <c:v>13.3779</c:v>
                </c:pt>
                <c:pt idx="34">
                  <c:v>13.7851</c:v>
                </c:pt>
                <c:pt idx="35">
                  <c:v>14.189299999999999</c:v>
                </c:pt>
                <c:pt idx="36">
                  <c:v>14.596399999999999</c:v>
                </c:pt>
                <c:pt idx="37">
                  <c:v>15.002700000000001</c:v>
                </c:pt>
                <c:pt idx="38">
                  <c:v>15.4099</c:v>
                </c:pt>
                <c:pt idx="39">
                  <c:v>15.817600000000001</c:v>
                </c:pt>
                <c:pt idx="40">
                  <c:v>16.2211</c:v>
                </c:pt>
                <c:pt idx="41">
                  <c:v>16.626300000000001</c:v>
                </c:pt>
                <c:pt idx="42">
                  <c:v>17.0319</c:v>
                </c:pt>
                <c:pt idx="43">
                  <c:v>17.441800000000001</c:v>
                </c:pt>
                <c:pt idx="44">
                  <c:v>17.848199999999999</c:v>
                </c:pt>
                <c:pt idx="45">
                  <c:v>18.254999999999999</c:v>
                </c:pt>
                <c:pt idx="46">
                  <c:v>18.6584</c:v>
                </c:pt>
                <c:pt idx="47">
                  <c:v>19.064499999999999</c:v>
                </c:pt>
                <c:pt idx="48">
                  <c:v>19.470800000000001</c:v>
                </c:pt>
                <c:pt idx="49">
                  <c:v>19.874600000000001</c:v>
                </c:pt>
                <c:pt idx="50">
                  <c:v>20.282</c:v>
                </c:pt>
                <c:pt idx="51">
                  <c:v>20.690999999999999</c:v>
                </c:pt>
                <c:pt idx="52">
                  <c:v>21.095800000000001</c:v>
                </c:pt>
                <c:pt idx="53">
                  <c:v>21.502300000000002</c:v>
                </c:pt>
                <c:pt idx="54">
                  <c:v>21.907800000000002</c:v>
                </c:pt>
                <c:pt idx="55">
                  <c:v>22.316800000000001</c:v>
                </c:pt>
                <c:pt idx="56">
                  <c:v>22.7225</c:v>
                </c:pt>
                <c:pt idx="57">
                  <c:v>23.1282</c:v>
                </c:pt>
                <c:pt idx="58">
                  <c:v>23.5335</c:v>
                </c:pt>
                <c:pt idx="59">
                  <c:v>23.939399999999999</c:v>
                </c:pt>
                <c:pt idx="60">
                  <c:v>24.3462</c:v>
                </c:pt>
                <c:pt idx="61">
                  <c:v>24.751000000000001</c:v>
                </c:pt>
                <c:pt idx="62">
                  <c:v>25.1615</c:v>
                </c:pt>
                <c:pt idx="63">
                  <c:v>25.564499999999999</c:v>
                </c:pt>
                <c:pt idx="64">
                  <c:v>25.968800000000002</c:v>
                </c:pt>
                <c:pt idx="65">
                  <c:v>26.377500000000001</c:v>
                </c:pt>
                <c:pt idx="66">
                  <c:v>26.782800000000002</c:v>
                </c:pt>
                <c:pt idx="67">
                  <c:v>27.191500000000001</c:v>
                </c:pt>
                <c:pt idx="68">
                  <c:v>27.5962</c:v>
                </c:pt>
                <c:pt idx="69">
                  <c:v>28.000599999999999</c:v>
                </c:pt>
                <c:pt idx="70">
                  <c:v>28.4101</c:v>
                </c:pt>
                <c:pt idx="71">
                  <c:v>28.814900000000002</c:v>
                </c:pt>
                <c:pt idx="72">
                  <c:v>29.2212</c:v>
                </c:pt>
                <c:pt idx="73">
                  <c:v>29.625599999999999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67.191900000000004</c:v>
                </c:pt>
                <c:pt idx="1">
                  <c:v>67.239800000000002</c:v>
                </c:pt>
                <c:pt idx="2">
                  <c:v>67.257800000000003</c:v>
                </c:pt>
                <c:pt idx="3">
                  <c:v>67.171999999999997</c:v>
                </c:pt>
                <c:pt idx="4">
                  <c:v>66.905900000000003</c:v>
                </c:pt>
                <c:pt idx="5">
                  <c:v>66.486900000000006</c:v>
                </c:pt>
                <c:pt idx="6">
                  <c:v>66.012699999999995</c:v>
                </c:pt>
                <c:pt idx="7">
                  <c:v>65.479900000000001</c:v>
                </c:pt>
                <c:pt idx="8">
                  <c:v>64.895800000000008</c:v>
                </c:pt>
                <c:pt idx="9">
                  <c:v>64.3172</c:v>
                </c:pt>
                <c:pt idx="10">
                  <c:v>63.745399999999997</c:v>
                </c:pt>
                <c:pt idx="11">
                  <c:v>63.240499999999997</c:v>
                </c:pt>
                <c:pt idx="12">
                  <c:v>62.673599999999993</c:v>
                </c:pt>
                <c:pt idx="13">
                  <c:v>62.096200000000003</c:v>
                </c:pt>
                <c:pt idx="14">
                  <c:v>61.575000000000003</c:v>
                </c:pt>
                <c:pt idx="15">
                  <c:v>61.102199999999996</c:v>
                </c:pt>
                <c:pt idx="16">
                  <c:v>60.717399999999998</c:v>
                </c:pt>
                <c:pt idx="17">
                  <c:v>60.423300000000005</c:v>
                </c:pt>
                <c:pt idx="18">
                  <c:v>60.1845</c:v>
                </c:pt>
                <c:pt idx="19">
                  <c:v>59.868699999999997</c:v>
                </c:pt>
                <c:pt idx="20">
                  <c:v>59.581799999999994</c:v>
                </c:pt>
                <c:pt idx="21">
                  <c:v>59.272800000000004</c:v>
                </c:pt>
                <c:pt idx="22">
                  <c:v>58.830300000000001</c:v>
                </c:pt>
                <c:pt idx="23">
                  <c:v>58.334299999999992</c:v>
                </c:pt>
                <c:pt idx="24">
                  <c:v>57.793499999999995</c:v>
                </c:pt>
                <c:pt idx="25">
                  <c:v>57.164800000000007</c:v>
                </c:pt>
                <c:pt idx="26">
                  <c:v>56.420299999999997</c:v>
                </c:pt>
                <c:pt idx="27">
                  <c:v>55.643000000000001</c:v>
                </c:pt>
                <c:pt idx="28">
                  <c:v>54.748399999999997</c:v>
                </c:pt>
                <c:pt idx="29">
                  <c:v>53.736399999999996</c:v>
                </c:pt>
                <c:pt idx="30">
                  <c:v>52.721799999999995</c:v>
                </c:pt>
                <c:pt idx="31">
                  <c:v>51.582499999999996</c:v>
                </c:pt>
                <c:pt idx="32">
                  <c:v>50.400900000000007</c:v>
                </c:pt>
                <c:pt idx="33">
                  <c:v>49.346600000000002</c:v>
                </c:pt>
                <c:pt idx="34">
                  <c:v>48.339599999999997</c:v>
                </c:pt>
                <c:pt idx="35">
                  <c:v>47.185500000000005</c:v>
                </c:pt>
                <c:pt idx="36">
                  <c:v>46.109099999999998</c:v>
                </c:pt>
                <c:pt idx="37">
                  <c:v>45.228499999999997</c:v>
                </c:pt>
                <c:pt idx="38">
                  <c:v>44.582300000000004</c:v>
                </c:pt>
                <c:pt idx="39">
                  <c:v>43.979900000000001</c:v>
                </c:pt>
                <c:pt idx="40">
                  <c:v>43.570399999999999</c:v>
                </c:pt>
                <c:pt idx="41">
                  <c:v>43.336300000000001</c:v>
                </c:pt>
                <c:pt idx="42">
                  <c:v>43.133200000000002</c:v>
                </c:pt>
                <c:pt idx="43">
                  <c:v>43.036200000000001</c:v>
                </c:pt>
                <c:pt idx="44">
                  <c:v>42.950800000000001</c:v>
                </c:pt>
                <c:pt idx="45">
                  <c:v>43.017499999999998</c:v>
                </c:pt>
                <c:pt idx="46">
                  <c:v>43.1721</c:v>
                </c:pt>
                <c:pt idx="47">
                  <c:v>43.377099999999999</c:v>
                </c:pt>
                <c:pt idx="48">
                  <c:v>43.569200000000002</c:v>
                </c:pt>
                <c:pt idx="49">
                  <c:v>43.736399999999996</c:v>
                </c:pt>
                <c:pt idx="50">
                  <c:v>43.881999999999998</c:v>
                </c:pt>
                <c:pt idx="51">
                  <c:v>43.991500000000002</c:v>
                </c:pt>
                <c:pt idx="52">
                  <c:v>44.1295</c:v>
                </c:pt>
                <c:pt idx="53">
                  <c:v>44.240600000000001</c:v>
                </c:pt>
                <c:pt idx="54">
                  <c:v>44.303599999999996</c:v>
                </c:pt>
                <c:pt idx="55">
                  <c:v>44.247500000000002</c:v>
                </c:pt>
                <c:pt idx="56">
                  <c:v>44.223600000000005</c:v>
                </c:pt>
                <c:pt idx="57">
                  <c:v>44.119100000000003</c:v>
                </c:pt>
                <c:pt idx="58">
                  <c:v>44.015100000000004</c:v>
                </c:pt>
                <c:pt idx="59">
                  <c:v>43.926300000000005</c:v>
                </c:pt>
                <c:pt idx="60">
                  <c:v>43.844799999999999</c:v>
                </c:pt>
                <c:pt idx="61">
                  <c:v>43.8474</c:v>
                </c:pt>
                <c:pt idx="62">
                  <c:v>43.808799999999998</c:v>
                </c:pt>
                <c:pt idx="63">
                  <c:v>43.783699999999996</c:v>
                </c:pt>
                <c:pt idx="64">
                  <c:v>43.832900000000002</c:v>
                </c:pt>
                <c:pt idx="65">
                  <c:v>43.741300000000003</c:v>
                </c:pt>
                <c:pt idx="66">
                  <c:v>43.7042</c:v>
                </c:pt>
                <c:pt idx="67">
                  <c:v>43.7331</c:v>
                </c:pt>
                <c:pt idx="68">
                  <c:v>43.930599999999998</c:v>
                </c:pt>
                <c:pt idx="69">
                  <c:v>43.9968</c:v>
                </c:pt>
                <c:pt idx="70">
                  <c:v>43.962899999999998</c:v>
                </c:pt>
                <c:pt idx="71">
                  <c:v>44.003500000000003</c:v>
                </c:pt>
                <c:pt idx="72">
                  <c:v>43.873699999999999</c:v>
                </c:pt>
                <c:pt idx="73">
                  <c:v>44.0503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29.625599999999999</c:v>
                </c:pt>
                <c:pt idx="1">
                  <c:v>30.030799999999999</c:v>
                </c:pt>
                <c:pt idx="2">
                  <c:v>30.515000000000001</c:v>
                </c:pt>
                <c:pt idx="3">
                  <c:v>30.89</c:v>
                </c:pt>
                <c:pt idx="4">
                  <c:v>31.297699999999999</c:v>
                </c:pt>
                <c:pt idx="5">
                  <c:v>31.703499999999998</c:v>
                </c:pt>
                <c:pt idx="6">
                  <c:v>32.111400000000003</c:v>
                </c:pt>
                <c:pt idx="7">
                  <c:v>32.517499999999998</c:v>
                </c:pt>
                <c:pt idx="8">
                  <c:v>32.922699999999999</c:v>
                </c:pt>
                <c:pt idx="9">
                  <c:v>33.331400000000002</c:v>
                </c:pt>
                <c:pt idx="10">
                  <c:v>33.7395</c:v>
                </c:pt>
                <c:pt idx="11">
                  <c:v>34.142499999999998</c:v>
                </c:pt>
                <c:pt idx="12">
                  <c:v>34.549599999999998</c:v>
                </c:pt>
                <c:pt idx="13">
                  <c:v>34.957299999999996</c:v>
                </c:pt>
                <c:pt idx="14">
                  <c:v>35.364100000000001</c:v>
                </c:pt>
                <c:pt idx="15">
                  <c:v>35.766800000000003</c:v>
                </c:pt>
                <c:pt idx="16">
                  <c:v>36.174399999999999</c:v>
                </c:pt>
                <c:pt idx="17">
                  <c:v>36.579900000000002</c:v>
                </c:pt>
                <c:pt idx="18">
                  <c:v>36.989100000000001</c:v>
                </c:pt>
                <c:pt idx="19">
                  <c:v>37.394799999999996</c:v>
                </c:pt>
                <c:pt idx="20">
                  <c:v>37.796399999999998</c:v>
                </c:pt>
                <c:pt idx="21">
                  <c:v>38.204099999999997</c:v>
                </c:pt>
                <c:pt idx="22">
                  <c:v>38.6098</c:v>
                </c:pt>
                <c:pt idx="23">
                  <c:v>39.016500000000001</c:v>
                </c:pt>
                <c:pt idx="24">
                  <c:v>39.425199999999997</c:v>
                </c:pt>
                <c:pt idx="25">
                  <c:v>39.832999999999998</c:v>
                </c:pt>
                <c:pt idx="26">
                  <c:v>40.237299999999998</c:v>
                </c:pt>
                <c:pt idx="27">
                  <c:v>40.643000000000001</c:v>
                </c:pt>
                <c:pt idx="28">
                  <c:v>41.047899999999998</c:v>
                </c:pt>
                <c:pt idx="29">
                  <c:v>41.4572</c:v>
                </c:pt>
                <c:pt idx="30">
                  <c:v>41.860999999999997</c:v>
                </c:pt>
                <c:pt idx="31">
                  <c:v>42.266599999999997</c:v>
                </c:pt>
                <c:pt idx="32">
                  <c:v>42.672699999999999</c:v>
                </c:pt>
                <c:pt idx="33">
                  <c:v>43.077399999999997</c:v>
                </c:pt>
                <c:pt idx="34">
                  <c:v>43.491399999999999</c:v>
                </c:pt>
                <c:pt idx="35">
                  <c:v>43.894199999999998</c:v>
                </c:pt>
                <c:pt idx="36">
                  <c:v>44.301400000000001</c:v>
                </c:pt>
                <c:pt idx="37">
                  <c:v>44.705100000000002</c:v>
                </c:pt>
                <c:pt idx="38">
                  <c:v>45.108800000000002</c:v>
                </c:pt>
                <c:pt idx="39">
                  <c:v>45.5169</c:v>
                </c:pt>
                <c:pt idx="40">
                  <c:v>45.924300000000002</c:v>
                </c:pt>
                <c:pt idx="41">
                  <c:v>46.331400000000002</c:v>
                </c:pt>
                <c:pt idx="42">
                  <c:v>46.735599999999998</c:v>
                </c:pt>
                <c:pt idx="43">
                  <c:v>47.145699999999998</c:v>
                </c:pt>
                <c:pt idx="44">
                  <c:v>47.546999999999997</c:v>
                </c:pt>
                <c:pt idx="45">
                  <c:v>47.952300000000001</c:v>
                </c:pt>
                <c:pt idx="46">
                  <c:v>48.3611</c:v>
                </c:pt>
                <c:pt idx="47">
                  <c:v>48.769100000000002</c:v>
                </c:pt>
                <c:pt idx="48">
                  <c:v>49.175899999999999</c:v>
                </c:pt>
                <c:pt idx="49">
                  <c:v>49.577800000000003</c:v>
                </c:pt>
                <c:pt idx="50">
                  <c:v>49.984200000000001</c:v>
                </c:pt>
                <c:pt idx="51">
                  <c:v>50.390900000000002</c:v>
                </c:pt>
                <c:pt idx="52">
                  <c:v>50.801900000000003</c:v>
                </c:pt>
                <c:pt idx="53">
                  <c:v>51.2059</c:v>
                </c:pt>
                <c:pt idx="54">
                  <c:v>51.613199999999999</c:v>
                </c:pt>
                <c:pt idx="55">
                  <c:v>52.016500000000001</c:v>
                </c:pt>
                <c:pt idx="56">
                  <c:v>52.4223</c:v>
                </c:pt>
                <c:pt idx="57">
                  <c:v>52.834200000000003</c:v>
                </c:pt>
                <c:pt idx="58">
                  <c:v>53.236699999999999</c:v>
                </c:pt>
                <c:pt idx="59">
                  <c:v>53.645600000000002</c:v>
                </c:pt>
                <c:pt idx="60">
                  <c:v>54.047199999999997</c:v>
                </c:pt>
                <c:pt idx="61">
                  <c:v>54.455599999999997</c:v>
                </c:pt>
                <c:pt idx="62">
                  <c:v>54.859499999999997</c:v>
                </c:pt>
                <c:pt idx="63">
                  <c:v>55.272300000000001</c:v>
                </c:pt>
                <c:pt idx="64">
                  <c:v>55.6755</c:v>
                </c:pt>
                <c:pt idx="65">
                  <c:v>56.081299999999999</c:v>
                </c:pt>
                <c:pt idx="66">
                  <c:v>56.485399999999998</c:v>
                </c:pt>
                <c:pt idx="67">
                  <c:v>56.894399999999997</c:v>
                </c:pt>
                <c:pt idx="68">
                  <c:v>57.298200000000001</c:v>
                </c:pt>
                <c:pt idx="69">
                  <c:v>57.707799999999999</c:v>
                </c:pt>
                <c:pt idx="70">
                  <c:v>58.112200000000001</c:v>
                </c:pt>
                <c:pt idx="71">
                  <c:v>58.514299999999999</c:v>
                </c:pt>
                <c:pt idx="72">
                  <c:v>58.9251</c:v>
                </c:pt>
                <c:pt idx="73">
                  <c:v>59.334200000000003</c:v>
                </c:pt>
                <c:pt idx="74">
                  <c:v>59.739800000000002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44.0503</c:v>
                </c:pt>
                <c:pt idx="1">
                  <c:v>44.234000000000002</c:v>
                </c:pt>
                <c:pt idx="2">
                  <c:v>44.354999999999997</c:v>
                </c:pt>
                <c:pt idx="3">
                  <c:v>44.604799999999997</c:v>
                </c:pt>
                <c:pt idx="4">
                  <c:v>44.782800000000002</c:v>
                </c:pt>
                <c:pt idx="5">
                  <c:v>44.834499999999998</c:v>
                </c:pt>
                <c:pt idx="6">
                  <c:v>44.887500000000003</c:v>
                </c:pt>
                <c:pt idx="7">
                  <c:v>44.855200000000004</c:v>
                </c:pt>
                <c:pt idx="8">
                  <c:v>44.800699999999999</c:v>
                </c:pt>
                <c:pt idx="9">
                  <c:v>44.696100000000001</c:v>
                </c:pt>
                <c:pt idx="10">
                  <c:v>44.712299999999999</c:v>
                </c:pt>
                <c:pt idx="11">
                  <c:v>44.775399999999998</c:v>
                </c:pt>
                <c:pt idx="12">
                  <c:v>44.908000000000001</c:v>
                </c:pt>
                <c:pt idx="13">
                  <c:v>45.165199999999999</c:v>
                </c:pt>
                <c:pt idx="14">
                  <c:v>45.409599999999998</c:v>
                </c:pt>
                <c:pt idx="15">
                  <c:v>45.632400000000004</c:v>
                </c:pt>
                <c:pt idx="16">
                  <c:v>45.802599999999998</c:v>
                </c:pt>
                <c:pt idx="17">
                  <c:v>45.898499999999999</c:v>
                </c:pt>
                <c:pt idx="18">
                  <c:v>45.955300000000001</c:v>
                </c:pt>
                <c:pt idx="19">
                  <c:v>46.036899999999996</c:v>
                </c:pt>
                <c:pt idx="20">
                  <c:v>46.071800000000003</c:v>
                </c:pt>
                <c:pt idx="21">
                  <c:v>46.1342</c:v>
                </c:pt>
                <c:pt idx="22">
                  <c:v>46.180599999999998</c:v>
                </c:pt>
                <c:pt idx="23">
                  <c:v>46.175399999999996</c:v>
                </c:pt>
                <c:pt idx="24">
                  <c:v>46.127000000000002</c:v>
                </c:pt>
                <c:pt idx="25">
                  <c:v>46.060299999999998</c:v>
                </c:pt>
                <c:pt idx="26">
                  <c:v>45.922899999999998</c:v>
                </c:pt>
                <c:pt idx="27">
                  <c:v>45.812100000000001</c:v>
                </c:pt>
                <c:pt idx="28">
                  <c:v>45.673099999999998</c:v>
                </c:pt>
                <c:pt idx="29">
                  <c:v>45.533900000000003</c:v>
                </c:pt>
                <c:pt idx="30">
                  <c:v>45.500299999999996</c:v>
                </c:pt>
                <c:pt idx="31">
                  <c:v>45.537599999999998</c:v>
                </c:pt>
                <c:pt idx="32">
                  <c:v>45.589300000000001</c:v>
                </c:pt>
                <c:pt idx="33">
                  <c:v>45.616</c:v>
                </c:pt>
                <c:pt idx="34">
                  <c:v>45.655499999999996</c:v>
                </c:pt>
                <c:pt idx="35">
                  <c:v>45.623999999999995</c:v>
                </c:pt>
                <c:pt idx="36">
                  <c:v>45.576599999999999</c:v>
                </c:pt>
                <c:pt idx="37">
                  <c:v>45.5443</c:v>
                </c:pt>
                <c:pt idx="38">
                  <c:v>45.555700000000002</c:v>
                </c:pt>
                <c:pt idx="39">
                  <c:v>45.534200000000006</c:v>
                </c:pt>
                <c:pt idx="40">
                  <c:v>45.5366</c:v>
                </c:pt>
                <c:pt idx="41">
                  <c:v>45.520699999999998</c:v>
                </c:pt>
                <c:pt idx="42">
                  <c:v>45.504600000000003</c:v>
                </c:pt>
                <c:pt idx="43">
                  <c:v>45.509899999999995</c:v>
                </c:pt>
                <c:pt idx="44">
                  <c:v>45.556799999999996</c:v>
                </c:pt>
                <c:pt idx="45">
                  <c:v>45.641399999999997</c:v>
                </c:pt>
                <c:pt idx="46">
                  <c:v>45.6873</c:v>
                </c:pt>
                <c:pt idx="47">
                  <c:v>45.7301</c:v>
                </c:pt>
                <c:pt idx="48">
                  <c:v>45.784200000000006</c:v>
                </c:pt>
                <c:pt idx="49">
                  <c:v>45.835599999999999</c:v>
                </c:pt>
                <c:pt idx="50">
                  <c:v>45.827400000000004</c:v>
                </c:pt>
                <c:pt idx="51">
                  <c:v>45.863500000000002</c:v>
                </c:pt>
                <c:pt idx="52">
                  <c:v>45.923499999999997</c:v>
                </c:pt>
                <c:pt idx="53">
                  <c:v>46.023499999999999</c:v>
                </c:pt>
                <c:pt idx="54">
                  <c:v>46.157900000000005</c:v>
                </c:pt>
                <c:pt idx="55">
                  <c:v>46.291600000000003</c:v>
                </c:pt>
                <c:pt idx="56">
                  <c:v>46.435600000000001</c:v>
                </c:pt>
                <c:pt idx="57">
                  <c:v>46.587699999999998</c:v>
                </c:pt>
                <c:pt idx="58">
                  <c:v>46.776000000000003</c:v>
                </c:pt>
                <c:pt idx="59">
                  <c:v>47.008400000000002</c:v>
                </c:pt>
                <c:pt idx="60">
                  <c:v>47.222799999999999</c:v>
                </c:pt>
                <c:pt idx="61">
                  <c:v>47.450399999999995</c:v>
                </c:pt>
                <c:pt idx="62">
                  <c:v>47.657400000000003</c:v>
                </c:pt>
                <c:pt idx="63">
                  <c:v>47.821399999999997</c:v>
                </c:pt>
                <c:pt idx="64">
                  <c:v>47.9529</c:v>
                </c:pt>
                <c:pt idx="65">
                  <c:v>47.999700000000004</c:v>
                </c:pt>
                <c:pt idx="66">
                  <c:v>47.898800000000001</c:v>
                </c:pt>
                <c:pt idx="67">
                  <c:v>47.787700000000001</c:v>
                </c:pt>
                <c:pt idx="68">
                  <c:v>47.710099999999997</c:v>
                </c:pt>
                <c:pt idx="69">
                  <c:v>47.635599999999997</c:v>
                </c:pt>
                <c:pt idx="70">
                  <c:v>47.558</c:v>
                </c:pt>
                <c:pt idx="71">
                  <c:v>47.6036</c:v>
                </c:pt>
                <c:pt idx="72">
                  <c:v>47.763399999999997</c:v>
                </c:pt>
                <c:pt idx="73">
                  <c:v>47.7607</c:v>
                </c:pt>
                <c:pt idx="74">
                  <c:v>47.751900000000006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14.934950000000001</c:v>
                </c:pt>
                <c:pt idx="1">
                  <c:v>44.804850000000002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51.590283783783789</c:v>
                </c:pt>
                <c:pt idx="1">
                  <c:v>46.034436486486484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31.391500000000001</c:v>
                </c:pt>
                <c:pt idx="1">
                  <c:v>29.516100000000002</c:v>
                </c:pt>
                <c:pt idx="2">
                  <c:v>27.9483</c:v>
                </c:pt>
                <c:pt idx="3">
                  <c:v>27.939399999999999</c:v>
                </c:pt>
                <c:pt idx="4">
                  <c:v>73.420900000000003</c:v>
                </c:pt>
                <c:pt idx="5">
                  <c:v>75.587199999999996</c:v>
                </c:pt>
                <c:pt idx="6">
                  <c:v>21.149799999999999</c:v>
                </c:pt>
                <c:pt idx="7">
                  <c:v>74.147499999999994</c:v>
                </c:pt>
                <c:pt idx="8">
                  <c:v>16.710799999999999</c:v>
                </c:pt>
                <c:pt idx="9">
                  <c:v>26.5365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38.415900000000001</c:v>
                </c:pt>
                <c:pt idx="1">
                  <c:v>31.644400000000001</c:v>
                </c:pt>
                <c:pt idx="2">
                  <c:v>22.014299999999999</c:v>
                </c:pt>
                <c:pt idx="3">
                  <c:v>30.813600000000001</c:v>
                </c:pt>
                <c:pt idx="4">
                  <c:v>68.506699999999995</c:v>
                </c:pt>
                <c:pt idx="5">
                  <c:v>73.767399999999995</c:v>
                </c:pt>
                <c:pt idx="6">
                  <c:v>26.418600000000001</c:v>
                </c:pt>
                <c:pt idx="7">
                  <c:v>70.425299999999993</c:v>
                </c:pt>
                <c:pt idx="8">
                  <c:v>18.851800000000001</c:v>
                </c:pt>
                <c:pt idx="9">
                  <c:v>40.71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0.54581761694101794</c:v>
                </c:pt>
                <c:pt idx="1">
                  <c:v>0.26093951388676334</c:v>
                </c:pt>
                <c:pt idx="2">
                  <c:v>0.19324286917221872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132</c:v>
                </c:pt>
                <c:pt idx="7">
                  <c:v>0</c:v>
                </c:pt>
                <c:pt idx="8">
                  <c:v>264</c:v>
                </c:pt>
                <c:pt idx="9">
                  <c:v>0</c:v>
                </c:pt>
                <c:pt idx="10">
                  <c:v>0</c:v>
                </c:pt>
                <c:pt idx="11">
                  <c:v>1487</c:v>
                </c:pt>
                <c:pt idx="12">
                  <c:v>0</c:v>
                </c:pt>
                <c:pt idx="13">
                  <c:v>3255</c:v>
                </c:pt>
                <c:pt idx="14">
                  <c:v>0</c:v>
                </c:pt>
                <c:pt idx="15">
                  <c:v>0</c:v>
                </c:pt>
                <c:pt idx="16">
                  <c:v>5964</c:v>
                </c:pt>
                <c:pt idx="17">
                  <c:v>0</c:v>
                </c:pt>
                <c:pt idx="18">
                  <c:v>0</c:v>
                </c:pt>
                <c:pt idx="19">
                  <c:v>7089</c:v>
                </c:pt>
                <c:pt idx="20">
                  <c:v>0</c:v>
                </c:pt>
                <c:pt idx="21">
                  <c:v>6463</c:v>
                </c:pt>
                <c:pt idx="22">
                  <c:v>0</c:v>
                </c:pt>
                <c:pt idx="23">
                  <c:v>0</c:v>
                </c:pt>
                <c:pt idx="24">
                  <c:v>7240</c:v>
                </c:pt>
                <c:pt idx="25">
                  <c:v>0</c:v>
                </c:pt>
                <c:pt idx="26">
                  <c:v>12486</c:v>
                </c:pt>
                <c:pt idx="27">
                  <c:v>0</c:v>
                </c:pt>
                <c:pt idx="28">
                  <c:v>0</c:v>
                </c:pt>
                <c:pt idx="29">
                  <c:v>19480</c:v>
                </c:pt>
                <c:pt idx="30">
                  <c:v>0</c:v>
                </c:pt>
                <c:pt idx="31">
                  <c:v>25533</c:v>
                </c:pt>
                <c:pt idx="32">
                  <c:v>0</c:v>
                </c:pt>
                <c:pt idx="33">
                  <c:v>0</c:v>
                </c:pt>
                <c:pt idx="34">
                  <c:v>26503</c:v>
                </c:pt>
                <c:pt idx="35">
                  <c:v>0</c:v>
                </c:pt>
                <c:pt idx="36">
                  <c:v>0</c:v>
                </c:pt>
                <c:pt idx="37">
                  <c:v>33796</c:v>
                </c:pt>
                <c:pt idx="38">
                  <c:v>0</c:v>
                </c:pt>
                <c:pt idx="39">
                  <c:v>37110</c:v>
                </c:pt>
                <c:pt idx="40">
                  <c:v>0</c:v>
                </c:pt>
                <c:pt idx="41">
                  <c:v>0</c:v>
                </c:pt>
                <c:pt idx="42">
                  <c:v>42264</c:v>
                </c:pt>
                <c:pt idx="43">
                  <c:v>0</c:v>
                </c:pt>
                <c:pt idx="44">
                  <c:v>50111</c:v>
                </c:pt>
                <c:pt idx="45">
                  <c:v>0</c:v>
                </c:pt>
                <c:pt idx="46">
                  <c:v>0</c:v>
                </c:pt>
                <c:pt idx="47">
                  <c:v>50279</c:v>
                </c:pt>
                <c:pt idx="48">
                  <c:v>0</c:v>
                </c:pt>
                <c:pt idx="49">
                  <c:v>60213</c:v>
                </c:pt>
                <c:pt idx="50">
                  <c:v>0</c:v>
                </c:pt>
                <c:pt idx="51">
                  <c:v>0</c:v>
                </c:pt>
                <c:pt idx="52">
                  <c:v>65450</c:v>
                </c:pt>
                <c:pt idx="53">
                  <c:v>0</c:v>
                </c:pt>
                <c:pt idx="54">
                  <c:v>0</c:v>
                </c:pt>
                <c:pt idx="55">
                  <c:v>68213</c:v>
                </c:pt>
                <c:pt idx="56">
                  <c:v>0</c:v>
                </c:pt>
                <c:pt idx="57">
                  <c:v>76348</c:v>
                </c:pt>
                <c:pt idx="58">
                  <c:v>0</c:v>
                </c:pt>
                <c:pt idx="59">
                  <c:v>0</c:v>
                </c:pt>
                <c:pt idx="60">
                  <c:v>77162</c:v>
                </c:pt>
                <c:pt idx="61">
                  <c:v>0</c:v>
                </c:pt>
                <c:pt idx="62">
                  <c:v>91083</c:v>
                </c:pt>
                <c:pt idx="63">
                  <c:v>0</c:v>
                </c:pt>
                <c:pt idx="64">
                  <c:v>0</c:v>
                </c:pt>
                <c:pt idx="65">
                  <c:v>97340</c:v>
                </c:pt>
                <c:pt idx="66">
                  <c:v>0</c:v>
                </c:pt>
                <c:pt idx="67">
                  <c:v>98423</c:v>
                </c:pt>
                <c:pt idx="68">
                  <c:v>0</c:v>
                </c:pt>
                <c:pt idx="69">
                  <c:v>0</c:v>
                </c:pt>
                <c:pt idx="70">
                  <c:v>92673</c:v>
                </c:pt>
                <c:pt idx="71">
                  <c:v>0</c:v>
                </c:pt>
                <c:pt idx="72">
                  <c:v>0</c:v>
                </c:pt>
                <c:pt idx="73">
                  <c:v>91050</c:v>
                </c:pt>
                <c:pt idx="74">
                  <c:v>0</c:v>
                </c:pt>
                <c:pt idx="75">
                  <c:v>92976</c:v>
                </c:pt>
                <c:pt idx="76">
                  <c:v>0</c:v>
                </c:pt>
                <c:pt idx="77">
                  <c:v>0</c:v>
                </c:pt>
                <c:pt idx="78">
                  <c:v>89320</c:v>
                </c:pt>
                <c:pt idx="79">
                  <c:v>0</c:v>
                </c:pt>
                <c:pt idx="80">
                  <c:v>88700</c:v>
                </c:pt>
                <c:pt idx="81">
                  <c:v>0</c:v>
                </c:pt>
                <c:pt idx="82">
                  <c:v>0</c:v>
                </c:pt>
                <c:pt idx="83">
                  <c:v>77469</c:v>
                </c:pt>
                <c:pt idx="84">
                  <c:v>0</c:v>
                </c:pt>
                <c:pt idx="85">
                  <c:v>0</c:v>
                </c:pt>
                <c:pt idx="86">
                  <c:v>72176</c:v>
                </c:pt>
                <c:pt idx="87">
                  <c:v>0</c:v>
                </c:pt>
                <c:pt idx="88">
                  <c:v>67018</c:v>
                </c:pt>
                <c:pt idx="89">
                  <c:v>0</c:v>
                </c:pt>
                <c:pt idx="90">
                  <c:v>0</c:v>
                </c:pt>
                <c:pt idx="91">
                  <c:v>64778</c:v>
                </c:pt>
                <c:pt idx="92">
                  <c:v>0</c:v>
                </c:pt>
                <c:pt idx="93">
                  <c:v>62809</c:v>
                </c:pt>
                <c:pt idx="94">
                  <c:v>0</c:v>
                </c:pt>
                <c:pt idx="95">
                  <c:v>0</c:v>
                </c:pt>
                <c:pt idx="96">
                  <c:v>57946</c:v>
                </c:pt>
                <c:pt idx="97">
                  <c:v>0</c:v>
                </c:pt>
                <c:pt idx="98">
                  <c:v>58787</c:v>
                </c:pt>
                <c:pt idx="99">
                  <c:v>0</c:v>
                </c:pt>
                <c:pt idx="100">
                  <c:v>0</c:v>
                </c:pt>
                <c:pt idx="101">
                  <c:v>55469</c:v>
                </c:pt>
                <c:pt idx="102">
                  <c:v>0</c:v>
                </c:pt>
                <c:pt idx="103">
                  <c:v>0</c:v>
                </c:pt>
                <c:pt idx="104">
                  <c:v>62927</c:v>
                </c:pt>
                <c:pt idx="105">
                  <c:v>0</c:v>
                </c:pt>
                <c:pt idx="106">
                  <c:v>57441</c:v>
                </c:pt>
                <c:pt idx="107">
                  <c:v>0</c:v>
                </c:pt>
                <c:pt idx="108">
                  <c:v>0</c:v>
                </c:pt>
                <c:pt idx="109">
                  <c:v>57304</c:v>
                </c:pt>
                <c:pt idx="110">
                  <c:v>0</c:v>
                </c:pt>
                <c:pt idx="111">
                  <c:v>59869</c:v>
                </c:pt>
                <c:pt idx="112">
                  <c:v>0</c:v>
                </c:pt>
                <c:pt idx="113">
                  <c:v>0</c:v>
                </c:pt>
                <c:pt idx="114">
                  <c:v>51971</c:v>
                </c:pt>
                <c:pt idx="115">
                  <c:v>0</c:v>
                </c:pt>
                <c:pt idx="116">
                  <c:v>47172</c:v>
                </c:pt>
                <c:pt idx="117">
                  <c:v>0</c:v>
                </c:pt>
                <c:pt idx="118">
                  <c:v>0</c:v>
                </c:pt>
                <c:pt idx="119">
                  <c:v>50145</c:v>
                </c:pt>
                <c:pt idx="120">
                  <c:v>0</c:v>
                </c:pt>
                <c:pt idx="121">
                  <c:v>0</c:v>
                </c:pt>
                <c:pt idx="122">
                  <c:v>48624</c:v>
                </c:pt>
                <c:pt idx="123">
                  <c:v>0</c:v>
                </c:pt>
                <c:pt idx="124">
                  <c:v>44497</c:v>
                </c:pt>
                <c:pt idx="125">
                  <c:v>0</c:v>
                </c:pt>
                <c:pt idx="126">
                  <c:v>0</c:v>
                </c:pt>
                <c:pt idx="127">
                  <c:v>47471</c:v>
                </c:pt>
                <c:pt idx="128">
                  <c:v>0</c:v>
                </c:pt>
                <c:pt idx="129">
                  <c:v>48366</c:v>
                </c:pt>
                <c:pt idx="130">
                  <c:v>0</c:v>
                </c:pt>
                <c:pt idx="131">
                  <c:v>0</c:v>
                </c:pt>
                <c:pt idx="132">
                  <c:v>47033</c:v>
                </c:pt>
                <c:pt idx="133">
                  <c:v>0</c:v>
                </c:pt>
                <c:pt idx="134">
                  <c:v>51284</c:v>
                </c:pt>
                <c:pt idx="135">
                  <c:v>0</c:v>
                </c:pt>
                <c:pt idx="136">
                  <c:v>0</c:v>
                </c:pt>
                <c:pt idx="137">
                  <c:v>50933</c:v>
                </c:pt>
                <c:pt idx="138">
                  <c:v>0</c:v>
                </c:pt>
                <c:pt idx="139">
                  <c:v>0</c:v>
                </c:pt>
                <c:pt idx="140">
                  <c:v>47660</c:v>
                </c:pt>
                <c:pt idx="141">
                  <c:v>0</c:v>
                </c:pt>
                <c:pt idx="142">
                  <c:v>48341</c:v>
                </c:pt>
                <c:pt idx="143">
                  <c:v>0</c:v>
                </c:pt>
                <c:pt idx="144">
                  <c:v>0</c:v>
                </c:pt>
                <c:pt idx="145">
                  <c:v>43505</c:v>
                </c:pt>
                <c:pt idx="146">
                  <c:v>0</c:v>
                </c:pt>
                <c:pt idx="147">
                  <c:v>32047</c:v>
                </c:pt>
                <c:pt idx="148">
                  <c:v>0</c:v>
                </c:pt>
                <c:pt idx="149">
                  <c:v>0</c:v>
                </c:pt>
                <c:pt idx="150">
                  <c:v>22910</c:v>
                </c:pt>
                <c:pt idx="151">
                  <c:v>0</c:v>
                </c:pt>
                <c:pt idx="152">
                  <c:v>16360</c:v>
                </c:pt>
                <c:pt idx="153">
                  <c:v>0</c:v>
                </c:pt>
                <c:pt idx="154">
                  <c:v>0</c:v>
                </c:pt>
                <c:pt idx="155">
                  <c:v>12427</c:v>
                </c:pt>
                <c:pt idx="156">
                  <c:v>0</c:v>
                </c:pt>
                <c:pt idx="157">
                  <c:v>0</c:v>
                </c:pt>
                <c:pt idx="158">
                  <c:v>8987</c:v>
                </c:pt>
                <c:pt idx="159">
                  <c:v>0</c:v>
                </c:pt>
                <c:pt idx="160">
                  <c:v>5511</c:v>
                </c:pt>
                <c:pt idx="161">
                  <c:v>0</c:v>
                </c:pt>
                <c:pt idx="162">
                  <c:v>0</c:v>
                </c:pt>
                <c:pt idx="163">
                  <c:v>4318</c:v>
                </c:pt>
                <c:pt idx="164">
                  <c:v>0</c:v>
                </c:pt>
                <c:pt idx="165">
                  <c:v>2140</c:v>
                </c:pt>
                <c:pt idx="166">
                  <c:v>0</c:v>
                </c:pt>
                <c:pt idx="167">
                  <c:v>0</c:v>
                </c:pt>
                <c:pt idx="168">
                  <c:v>1145</c:v>
                </c:pt>
                <c:pt idx="169">
                  <c:v>0</c:v>
                </c:pt>
                <c:pt idx="170">
                  <c:v>0</c:v>
                </c:pt>
                <c:pt idx="171">
                  <c:v>770</c:v>
                </c:pt>
                <c:pt idx="172">
                  <c:v>0</c:v>
                </c:pt>
                <c:pt idx="173">
                  <c:v>511</c:v>
                </c:pt>
                <c:pt idx="174">
                  <c:v>0</c:v>
                </c:pt>
                <c:pt idx="175">
                  <c:v>0</c:v>
                </c:pt>
                <c:pt idx="176">
                  <c:v>451</c:v>
                </c:pt>
                <c:pt idx="177">
                  <c:v>0</c:v>
                </c:pt>
                <c:pt idx="178">
                  <c:v>171</c:v>
                </c:pt>
                <c:pt idx="179">
                  <c:v>0</c:v>
                </c:pt>
                <c:pt idx="180">
                  <c:v>0</c:v>
                </c:pt>
                <c:pt idx="181">
                  <c:v>309</c:v>
                </c:pt>
                <c:pt idx="182">
                  <c:v>0</c:v>
                </c:pt>
                <c:pt idx="183">
                  <c:v>271</c:v>
                </c:pt>
                <c:pt idx="184">
                  <c:v>0</c:v>
                </c:pt>
                <c:pt idx="185">
                  <c:v>0</c:v>
                </c:pt>
                <c:pt idx="186">
                  <c:v>92</c:v>
                </c:pt>
                <c:pt idx="187">
                  <c:v>0</c:v>
                </c:pt>
                <c:pt idx="188">
                  <c:v>0</c:v>
                </c:pt>
                <c:pt idx="189">
                  <c:v>139</c:v>
                </c:pt>
                <c:pt idx="190">
                  <c:v>0</c:v>
                </c:pt>
                <c:pt idx="191">
                  <c:v>93</c:v>
                </c:pt>
                <c:pt idx="192">
                  <c:v>0</c:v>
                </c:pt>
                <c:pt idx="193">
                  <c:v>0</c:v>
                </c:pt>
                <c:pt idx="194">
                  <c:v>234</c:v>
                </c:pt>
                <c:pt idx="195">
                  <c:v>0</c:v>
                </c:pt>
                <c:pt idx="196">
                  <c:v>94</c:v>
                </c:pt>
                <c:pt idx="197">
                  <c:v>0</c:v>
                </c:pt>
                <c:pt idx="198">
                  <c:v>0</c:v>
                </c:pt>
                <c:pt idx="199">
                  <c:v>96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27</c:v>
                </c:pt>
                <c:pt idx="7">
                  <c:v>0</c:v>
                </c:pt>
                <c:pt idx="8">
                  <c:v>55</c:v>
                </c:pt>
                <c:pt idx="9">
                  <c:v>0</c:v>
                </c:pt>
                <c:pt idx="10">
                  <c:v>0</c:v>
                </c:pt>
                <c:pt idx="11">
                  <c:v>459</c:v>
                </c:pt>
                <c:pt idx="12">
                  <c:v>0</c:v>
                </c:pt>
                <c:pt idx="13">
                  <c:v>1200</c:v>
                </c:pt>
                <c:pt idx="14">
                  <c:v>0</c:v>
                </c:pt>
                <c:pt idx="15">
                  <c:v>0</c:v>
                </c:pt>
                <c:pt idx="16">
                  <c:v>2949</c:v>
                </c:pt>
                <c:pt idx="17">
                  <c:v>0</c:v>
                </c:pt>
                <c:pt idx="18">
                  <c:v>0</c:v>
                </c:pt>
                <c:pt idx="19">
                  <c:v>3013</c:v>
                </c:pt>
                <c:pt idx="20">
                  <c:v>0</c:v>
                </c:pt>
                <c:pt idx="21">
                  <c:v>3242</c:v>
                </c:pt>
                <c:pt idx="22">
                  <c:v>0</c:v>
                </c:pt>
                <c:pt idx="23">
                  <c:v>0</c:v>
                </c:pt>
                <c:pt idx="24">
                  <c:v>4212</c:v>
                </c:pt>
                <c:pt idx="25">
                  <c:v>0</c:v>
                </c:pt>
                <c:pt idx="26">
                  <c:v>6397</c:v>
                </c:pt>
                <c:pt idx="27">
                  <c:v>0</c:v>
                </c:pt>
                <c:pt idx="28">
                  <c:v>0</c:v>
                </c:pt>
                <c:pt idx="29">
                  <c:v>7013</c:v>
                </c:pt>
                <c:pt idx="30">
                  <c:v>0</c:v>
                </c:pt>
                <c:pt idx="31">
                  <c:v>9114</c:v>
                </c:pt>
                <c:pt idx="32">
                  <c:v>0</c:v>
                </c:pt>
                <c:pt idx="33">
                  <c:v>0</c:v>
                </c:pt>
                <c:pt idx="34">
                  <c:v>11648</c:v>
                </c:pt>
                <c:pt idx="35">
                  <c:v>0</c:v>
                </c:pt>
                <c:pt idx="36">
                  <c:v>0</c:v>
                </c:pt>
                <c:pt idx="37">
                  <c:v>14735</c:v>
                </c:pt>
                <c:pt idx="38">
                  <c:v>0</c:v>
                </c:pt>
                <c:pt idx="39">
                  <c:v>19090</c:v>
                </c:pt>
                <c:pt idx="40">
                  <c:v>0</c:v>
                </c:pt>
                <c:pt idx="41">
                  <c:v>0</c:v>
                </c:pt>
                <c:pt idx="42">
                  <c:v>23976</c:v>
                </c:pt>
                <c:pt idx="43">
                  <c:v>0</c:v>
                </c:pt>
                <c:pt idx="44">
                  <c:v>30911</c:v>
                </c:pt>
                <c:pt idx="45">
                  <c:v>0</c:v>
                </c:pt>
                <c:pt idx="46">
                  <c:v>0</c:v>
                </c:pt>
                <c:pt idx="47">
                  <c:v>46364</c:v>
                </c:pt>
                <c:pt idx="48">
                  <c:v>0</c:v>
                </c:pt>
                <c:pt idx="49">
                  <c:v>48196</c:v>
                </c:pt>
                <c:pt idx="50">
                  <c:v>0</c:v>
                </c:pt>
                <c:pt idx="51">
                  <c:v>0</c:v>
                </c:pt>
                <c:pt idx="52">
                  <c:v>52451</c:v>
                </c:pt>
                <c:pt idx="53">
                  <c:v>0</c:v>
                </c:pt>
                <c:pt idx="54">
                  <c:v>0</c:v>
                </c:pt>
                <c:pt idx="55">
                  <c:v>57268</c:v>
                </c:pt>
                <c:pt idx="56">
                  <c:v>0</c:v>
                </c:pt>
                <c:pt idx="57">
                  <c:v>58864</c:v>
                </c:pt>
                <c:pt idx="58">
                  <c:v>0</c:v>
                </c:pt>
                <c:pt idx="59">
                  <c:v>0</c:v>
                </c:pt>
                <c:pt idx="60">
                  <c:v>71461</c:v>
                </c:pt>
                <c:pt idx="61">
                  <c:v>0</c:v>
                </c:pt>
                <c:pt idx="62">
                  <c:v>83623</c:v>
                </c:pt>
                <c:pt idx="63">
                  <c:v>0</c:v>
                </c:pt>
                <c:pt idx="64">
                  <c:v>0</c:v>
                </c:pt>
                <c:pt idx="65">
                  <c:v>80499</c:v>
                </c:pt>
                <c:pt idx="66">
                  <c:v>0</c:v>
                </c:pt>
                <c:pt idx="67">
                  <c:v>94193</c:v>
                </c:pt>
                <c:pt idx="68">
                  <c:v>0</c:v>
                </c:pt>
                <c:pt idx="69">
                  <c:v>0</c:v>
                </c:pt>
                <c:pt idx="70">
                  <c:v>109152</c:v>
                </c:pt>
                <c:pt idx="71">
                  <c:v>0</c:v>
                </c:pt>
                <c:pt idx="72">
                  <c:v>0</c:v>
                </c:pt>
                <c:pt idx="73">
                  <c:v>121084</c:v>
                </c:pt>
                <c:pt idx="74">
                  <c:v>0</c:v>
                </c:pt>
                <c:pt idx="75">
                  <c:v>125159</c:v>
                </c:pt>
                <c:pt idx="76">
                  <c:v>0</c:v>
                </c:pt>
                <c:pt idx="77">
                  <c:v>0</c:v>
                </c:pt>
                <c:pt idx="78">
                  <c:v>127684</c:v>
                </c:pt>
                <c:pt idx="79">
                  <c:v>0</c:v>
                </c:pt>
                <c:pt idx="80">
                  <c:v>132791</c:v>
                </c:pt>
                <c:pt idx="81">
                  <c:v>0</c:v>
                </c:pt>
                <c:pt idx="82">
                  <c:v>0</c:v>
                </c:pt>
                <c:pt idx="83">
                  <c:v>121743</c:v>
                </c:pt>
                <c:pt idx="84">
                  <c:v>0</c:v>
                </c:pt>
                <c:pt idx="85">
                  <c:v>0</c:v>
                </c:pt>
                <c:pt idx="86">
                  <c:v>122442</c:v>
                </c:pt>
                <c:pt idx="87">
                  <c:v>0</c:v>
                </c:pt>
                <c:pt idx="88">
                  <c:v>122322</c:v>
                </c:pt>
                <c:pt idx="89">
                  <c:v>0</c:v>
                </c:pt>
                <c:pt idx="90">
                  <c:v>0</c:v>
                </c:pt>
                <c:pt idx="91">
                  <c:v>124908</c:v>
                </c:pt>
                <c:pt idx="92">
                  <c:v>0</c:v>
                </c:pt>
                <c:pt idx="93">
                  <c:v>126384</c:v>
                </c:pt>
                <c:pt idx="94">
                  <c:v>0</c:v>
                </c:pt>
                <c:pt idx="95">
                  <c:v>0</c:v>
                </c:pt>
                <c:pt idx="96">
                  <c:v>130554</c:v>
                </c:pt>
                <c:pt idx="97">
                  <c:v>0</c:v>
                </c:pt>
                <c:pt idx="98">
                  <c:v>130847</c:v>
                </c:pt>
                <c:pt idx="99">
                  <c:v>0</c:v>
                </c:pt>
                <c:pt idx="100">
                  <c:v>0</c:v>
                </c:pt>
                <c:pt idx="101">
                  <c:v>124014</c:v>
                </c:pt>
                <c:pt idx="102">
                  <c:v>0</c:v>
                </c:pt>
                <c:pt idx="103">
                  <c:v>0</c:v>
                </c:pt>
                <c:pt idx="104">
                  <c:v>129905</c:v>
                </c:pt>
                <c:pt idx="105">
                  <c:v>0</c:v>
                </c:pt>
                <c:pt idx="106">
                  <c:v>123034</c:v>
                </c:pt>
                <c:pt idx="107">
                  <c:v>0</c:v>
                </c:pt>
                <c:pt idx="108">
                  <c:v>0</c:v>
                </c:pt>
                <c:pt idx="109">
                  <c:v>123662</c:v>
                </c:pt>
                <c:pt idx="110">
                  <c:v>0</c:v>
                </c:pt>
                <c:pt idx="111">
                  <c:v>120581</c:v>
                </c:pt>
                <c:pt idx="112">
                  <c:v>0</c:v>
                </c:pt>
                <c:pt idx="113">
                  <c:v>0</c:v>
                </c:pt>
                <c:pt idx="114">
                  <c:v>116010</c:v>
                </c:pt>
                <c:pt idx="115">
                  <c:v>0</c:v>
                </c:pt>
                <c:pt idx="116">
                  <c:v>109160</c:v>
                </c:pt>
                <c:pt idx="117">
                  <c:v>0</c:v>
                </c:pt>
                <c:pt idx="118">
                  <c:v>0</c:v>
                </c:pt>
                <c:pt idx="119">
                  <c:v>104376</c:v>
                </c:pt>
                <c:pt idx="120">
                  <c:v>0</c:v>
                </c:pt>
                <c:pt idx="121">
                  <c:v>0</c:v>
                </c:pt>
                <c:pt idx="122">
                  <c:v>98200</c:v>
                </c:pt>
                <c:pt idx="123">
                  <c:v>0</c:v>
                </c:pt>
                <c:pt idx="124">
                  <c:v>86990</c:v>
                </c:pt>
                <c:pt idx="125">
                  <c:v>0</c:v>
                </c:pt>
                <c:pt idx="126">
                  <c:v>0</c:v>
                </c:pt>
                <c:pt idx="127">
                  <c:v>84879</c:v>
                </c:pt>
                <c:pt idx="128">
                  <c:v>0</c:v>
                </c:pt>
                <c:pt idx="129">
                  <c:v>87670</c:v>
                </c:pt>
                <c:pt idx="130">
                  <c:v>0</c:v>
                </c:pt>
                <c:pt idx="131">
                  <c:v>0</c:v>
                </c:pt>
                <c:pt idx="132">
                  <c:v>78881</c:v>
                </c:pt>
                <c:pt idx="133">
                  <c:v>0</c:v>
                </c:pt>
                <c:pt idx="134">
                  <c:v>74689</c:v>
                </c:pt>
                <c:pt idx="135">
                  <c:v>0</c:v>
                </c:pt>
                <c:pt idx="136">
                  <c:v>0</c:v>
                </c:pt>
                <c:pt idx="137">
                  <c:v>62881</c:v>
                </c:pt>
                <c:pt idx="138">
                  <c:v>0</c:v>
                </c:pt>
                <c:pt idx="139">
                  <c:v>0</c:v>
                </c:pt>
                <c:pt idx="140">
                  <c:v>48813</c:v>
                </c:pt>
                <c:pt idx="141">
                  <c:v>0</c:v>
                </c:pt>
                <c:pt idx="142">
                  <c:v>41244</c:v>
                </c:pt>
                <c:pt idx="143">
                  <c:v>0</c:v>
                </c:pt>
                <c:pt idx="144">
                  <c:v>0</c:v>
                </c:pt>
                <c:pt idx="145">
                  <c:v>35269</c:v>
                </c:pt>
                <c:pt idx="146">
                  <c:v>0</c:v>
                </c:pt>
                <c:pt idx="147">
                  <c:v>30095</c:v>
                </c:pt>
                <c:pt idx="148">
                  <c:v>0</c:v>
                </c:pt>
                <c:pt idx="149">
                  <c:v>0</c:v>
                </c:pt>
                <c:pt idx="150">
                  <c:v>24147</c:v>
                </c:pt>
                <c:pt idx="151">
                  <c:v>0</c:v>
                </c:pt>
                <c:pt idx="152">
                  <c:v>24747</c:v>
                </c:pt>
                <c:pt idx="153">
                  <c:v>0</c:v>
                </c:pt>
                <c:pt idx="154">
                  <c:v>0</c:v>
                </c:pt>
                <c:pt idx="155">
                  <c:v>16126</c:v>
                </c:pt>
                <c:pt idx="156">
                  <c:v>0</c:v>
                </c:pt>
                <c:pt idx="157">
                  <c:v>0</c:v>
                </c:pt>
                <c:pt idx="158">
                  <c:v>12008</c:v>
                </c:pt>
                <c:pt idx="159">
                  <c:v>0</c:v>
                </c:pt>
                <c:pt idx="160">
                  <c:v>8255</c:v>
                </c:pt>
                <c:pt idx="161">
                  <c:v>0</c:v>
                </c:pt>
                <c:pt idx="162">
                  <c:v>0</c:v>
                </c:pt>
                <c:pt idx="163">
                  <c:v>4552</c:v>
                </c:pt>
                <c:pt idx="164">
                  <c:v>0</c:v>
                </c:pt>
                <c:pt idx="165">
                  <c:v>4274</c:v>
                </c:pt>
                <c:pt idx="166">
                  <c:v>0</c:v>
                </c:pt>
                <c:pt idx="167">
                  <c:v>0</c:v>
                </c:pt>
                <c:pt idx="168">
                  <c:v>5786</c:v>
                </c:pt>
                <c:pt idx="169">
                  <c:v>0</c:v>
                </c:pt>
                <c:pt idx="170">
                  <c:v>0</c:v>
                </c:pt>
                <c:pt idx="171">
                  <c:v>5868</c:v>
                </c:pt>
                <c:pt idx="172">
                  <c:v>0</c:v>
                </c:pt>
                <c:pt idx="173">
                  <c:v>4265</c:v>
                </c:pt>
                <c:pt idx="174">
                  <c:v>0</c:v>
                </c:pt>
                <c:pt idx="175">
                  <c:v>0</c:v>
                </c:pt>
                <c:pt idx="176">
                  <c:v>2141</c:v>
                </c:pt>
                <c:pt idx="177">
                  <c:v>0</c:v>
                </c:pt>
                <c:pt idx="178">
                  <c:v>820</c:v>
                </c:pt>
                <c:pt idx="179">
                  <c:v>0</c:v>
                </c:pt>
                <c:pt idx="180">
                  <c:v>0</c:v>
                </c:pt>
                <c:pt idx="181">
                  <c:v>1351</c:v>
                </c:pt>
                <c:pt idx="182">
                  <c:v>0</c:v>
                </c:pt>
                <c:pt idx="183">
                  <c:v>1599</c:v>
                </c:pt>
                <c:pt idx="184">
                  <c:v>0</c:v>
                </c:pt>
                <c:pt idx="185">
                  <c:v>0</c:v>
                </c:pt>
                <c:pt idx="186">
                  <c:v>2064</c:v>
                </c:pt>
                <c:pt idx="187">
                  <c:v>0</c:v>
                </c:pt>
                <c:pt idx="188">
                  <c:v>0</c:v>
                </c:pt>
                <c:pt idx="189">
                  <c:v>210</c:v>
                </c:pt>
                <c:pt idx="190">
                  <c:v>0</c:v>
                </c:pt>
                <c:pt idx="191">
                  <c:v>130</c:v>
                </c:pt>
                <c:pt idx="192">
                  <c:v>0</c:v>
                </c:pt>
                <c:pt idx="193">
                  <c:v>0</c:v>
                </c:pt>
                <c:pt idx="194">
                  <c:v>89</c:v>
                </c:pt>
                <c:pt idx="195">
                  <c:v>0</c:v>
                </c:pt>
                <c:pt idx="196">
                  <c:v>141</c:v>
                </c:pt>
                <c:pt idx="197">
                  <c:v>0</c:v>
                </c:pt>
                <c:pt idx="198">
                  <c:v>0</c:v>
                </c:pt>
                <c:pt idx="199">
                  <c:v>144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0.26830154237913428</c:v>
                </c:pt>
                <c:pt idx="1">
                  <c:v>0.34511107922857592</c:v>
                </c:pt>
                <c:pt idx="2">
                  <c:v>0.38658737839228985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0.49699270342431495</c:v>
                </c:pt>
                <c:pt idx="1">
                  <c:v>0.25541589816303212</c:v>
                </c:pt>
                <c:pt idx="2">
                  <c:v>0.2475913984126529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7.3842324999999995</c:v>
                </c:pt>
                <c:pt idx="1">
                  <c:v>15.12031</c:v>
                </c:pt>
                <c:pt idx="2">
                  <c:v>24.1877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0.38016800000000001</c:v>
                </c:pt>
                <c:pt idx="2">
                  <c:v>0.78143899999999999</c:v>
                </c:pt>
                <c:pt idx="3">
                  <c:v>1.1885600000000001</c:v>
                </c:pt>
                <c:pt idx="4">
                  <c:v>1.5968599999999999</c:v>
                </c:pt>
                <c:pt idx="5">
                  <c:v>2.00461</c:v>
                </c:pt>
                <c:pt idx="6">
                  <c:v>2.40733</c:v>
                </c:pt>
                <c:pt idx="7">
                  <c:v>2.8138999999999998</c:v>
                </c:pt>
                <c:pt idx="8">
                  <c:v>3.2186499999999998</c:v>
                </c:pt>
                <c:pt idx="9">
                  <c:v>3.6255000000000002</c:v>
                </c:pt>
                <c:pt idx="10">
                  <c:v>4.03139</c:v>
                </c:pt>
                <c:pt idx="11">
                  <c:v>4.4384699999999997</c:v>
                </c:pt>
                <c:pt idx="12">
                  <c:v>4.8444500000000001</c:v>
                </c:pt>
                <c:pt idx="13">
                  <c:v>5.2534900000000002</c:v>
                </c:pt>
                <c:pt idx="14">
                  <c:v>5.65794</c:v>
                </c:pt>
                <c:pt idx="15">
                  <c:v>6.0641600000000002</c:v>
                </c:pt>
                <c:pt idx="16">
                  <c:v>6.4698099999999998</c:v>
                </c:pt>
                <c:pt idx="17">
                  <c:v>6.8782100000000002</c:v>
                </c:pt>
                <c:pt idx="18">
                  <c:v>7.2864199999999997</c:v>
                </c:pt>
                <c:pt idx="19">
                  <c:v>7.6915800000000001</c:v>
                </c:pt>
                <c:pt idx="20">
                  <c:v>8.0958299999999994</c:v>
                </c:pt>
                <c:pt idx="21">
                  <c:v>8.50122</c:v>
                </c:pt>
                <c:pt idx="22">
                  <c:v>8.9089399999999994</c:v>
                </c:pt>
                <c:pt idx="23">
                  <c:v>9.3165899999999997</c:v>
                </c:pt>
                <c:pt idx="24">
                  <c:v>9.7228700000000003</c:v>
                </c:pt>
                <c:pt idx="25">
                  <c:v>10.124599999999999</c:v>
                </c:pt>
                <c:pt idx="26">
                  <c:v>10.5314</c:v>
                </c:pt>
                <c:pt idx="27">
                  <c:v>10.9376</c:v>
                </c:pt>
                <c:pt idx="28">
                  <c:v>11.347300000000001</c:v>
                </c:pt>
                <c:pt idx="29">
                  <c:v>11.7536</c:v>
                </c:pt>
                <c:pt idx="30">
                  <c:v>12.158300000000001</c:v>
                </c:pt>
                <c:pt idx="31">
                  <c:v>12.562799999999999</c:v>
                </c:pt>
                <c:pt idx="32">
                  <c:v>12.9702</c:v>
                </c:pt>
                <c:pt idx="33">
                  <c:v>13.3779</c:v>
                </c:pt>
                <c:pt idx="34">
                  <c:v>13.7851</c:v>
                </c:pt>
                <c:pt idx="35">
                  <c:v>14.189299999999999</c:v>
                </c:pt>
                <c:pt idx="36">
                  <c:v>14.596399999999999</c:v>
                </c:pt>
                <c:pt idx="37">
                  <c:v>15.002700000000001</c:v>
                </c:pt>
                <c:pt idx="38">
                  <c:v>15.4099</c:v>
                </c:pt>
                <c:pt idx="39">
                  <c:v>15.817600000000001</c:v>
                </c:pt>
                <c:pt idx="40">
                  <c:v>16.2211</c:v>
                </c:pt>
                <c:pt idx="41">
                  <c:v>16.626300000000001</c:v>
                </c:pt>
                <c:pt idx="42">
                  <c:v>17.0319</c:v>
                </c:pt>
                <c:pt idx="43">
                  <c:v>17.441800000000001</c:v>
                </c:pt>
                <c:pt idx="44">
                  <c:v>17.848199999999999</c:v>
                </c:pt>
                <c:pt idx="45">
                  <c:v>18.254999999999999</c:v>
                </c:pt>
                <c:pt idx="46">
                  <c:v>18.6584</c:v>
                </c:pt>
                <c:pt idx="47">
                  <c:v>19.064499999999999</c:v>
                </c:pt>
                <c:pt idx="48">
                  <c:v>19.470800000000001</c:v>
                </c:pt>
                <c:pt idx="49">
                  <c:v>19.874600000000001</c:v>
                </c:pt>
                <c:pt idx="50">
                  <c:v>20.282</c:v>
                </c:pt>
                <c:pt idx="51">
                  <c:v>20.690999999999999</c:v>
                </c:pt>
                <c:pt idx="52">
                  <c:v>21.095800000000001</c:v>
                </c:pt>
                <c:pt idx="53">
                  <c:v>21.502300000000002</c:v>
                </c:pt>
                <c:pt idx="54">
                  <c:v>21.907800000000002</c:v>
                </c:pt>
                <c:pt idx="55">
                  <c:v>22.316800000000001</c:v>
                </c:pt>
                <c:pt idx="56">
                  <c:v>22.7225</c:v>
                </c:pt>
                <c:pt idx="57">
                  <c:v>23.1282</c:v>
                </c:pt>
                <c:pt idx="58">
                  <c:v>23.5335</c:v>
                </c:pt>
                <c:pt idx="59">
                  <c:v>23.939399999999999</c:v>
                </c:pt>
                <c:pt idx="60">
                  <c:v>24.3462</c:v>
                </c:pt>
                <c:pt idx="61">
                  <c:v>24.751000000000001</c:v>
                </c:pt>
                <c:pt idx="62">
                  <c:v>25.1615</c:v>
                </c:pt>
                <c:pt idx="63">
                  <c:v>25.564499999999999</c:v>
                </c:pt>
                <c:pt idx="64">
                  <c:v>25.968800000000002</c:v>
                </c:pt>
                <c:pt idx="65">
                  <c:v>26.377500000000001</c:v>
                </c:pt>
                <c:pt idx="66">
                  <c:v>26.782800000000002</c:v>
                </c:pt>
                <c:pt idx="67">
                  <c:v>27.191500000000001</c:v>
                </c:pt>
                <c:pt idx="68">
                  <c:v>27.5962</c:v>
                </c:pt>
                <c:pt idx="69">
                  <c:v>28.000599999999999</c:v>
                </c:pt>
                <c:pt idx="70">
                  <c:v>28.4101</c:v>
                </c:pt>
                <c:pt idx="71">
                  <c:v>28.814900000000002</c:v>
                </c:pt>
                <c:pt idx="72">
                  <c:v>29.2212</c:v>
                </c:pt>
                <c:pt idx="73">
                  <c:v>29.625599999999999</c:v>
                </c:pt>
                <c:pt idx="74">
                  <c:v>30.030799999999999</c:v>
                </c:pt>
                <c:pt idx="75">
                  <c:v>30.515000000000001</c:v>
                </c:pt>
                <c:pt idx="76">
                  <c:v>30.89</c:v>
                </c:pt>
                <c:pt idx="77">
                  <c:v>31.297699999999999</c:v>
                </c:pt>
                <c:pt idx="78">
                  <c:v>31.703499999999998</c:v>
                </c:pt>
                <c:pt idx="79">
                  <c:v>32.111400000000003</c:v>
                </c:pt>
                <c:pt idx="80">
                  <c:v>32.517499999999998</c:v>
                </c:pt>
                <c:pt idx="81">
                  <c:v>32.922699999999999</c:v>
                </c:pt>
                <c:pt idx="82">
                  <c:v>33.331400000000002</c:v>
                </c:pt>
                <c:pt idx="83">
                  <c:v>33.7395</c:v>
                </c:pt>
                <c:pt idx="84">
                  <c:v>34.142499999999998</c:v>
                </c:pt>
                <c:pt idx="85">
                  <c:v>34.549599999999998</c:v>
                </c:pt>
                <c:pt idx="86">
                  <c:v>34.957299999999996</c:v>
                </c:pt>
                <c:pt idx="87">
                  <c:v>35.364100000000001</c:v>
                </c:pt>
                <c:pt idx="88">
                  <c:v>35.766800000000003</c:v>
                </c:pt>
                <c:pt idx="89">
                  <c:v>36.174399999999999</c:v>
                </c:pt>
                <c:pt idx="90">
                  <c:v>36.579900000000002</c:v>
                </c:pt>
                <c:pt idx="91">
                  <c:v>36.989100000000001</c:v>
                </c:pt>
                <c:pt idx="92">
                  <c:v>37.394799999999996</c:v>
                </c:pt>
                <c:pt idx="93">
                  <c:v>37.796399999999998</c:v>
                </c:pt>
                <c:pt idx="94">
                  <c:v>38.204099999999997</c:v>
                </c:pt>
                <c:pt idx="95">
                  <c:v>38.6098</c:v>
                </c:pt>
                <c:pt idx="96">
                  <c:v>39.016500000000001</c:v>
                </c:pt>
                <c:pt idx="97">
                  <c:v>39.425199999999997</c:v>
                </c:pt>
                <c:pt idx="98">
                  <c:v>39.832999999999998</c:v>
                </c:pt>
                <c:pt idx="99">
                  <c:v>40.237299999999998</c:v>
                </c:pt>
                <c:pt idx="100">
                  <c:v>40.643000000000001</c:v>
                </c:pt>
                <c:pt idx="101">
                  <c:v>41.047899999999998</c:v>
                </c:pt>
                <c:pt idx="102">
                  <c:v>41.4572</c:v>
                </c:pt>
                <c:pt idx="103">
                  <c:v>41.860999999999997</c:v>
                </c:pt>
                <c:pt idx="104">
                  <c:v>42.266599999999997</c:v>
                </c:pt>
                <c:pt idx="105">
                  <c:v>42.672699999999999</c:v>
                </c:pt>
                <c:pt idx="106">
                  <c:v>43.077399999999997</c:v>
                </c:pt>
                <c:pt idx="107">
                  <c:v>43.491399999999999</c:v>
                </c:pt>
                <c:pt idx="108">
                  <c:v>43.894199999999998</c:v>
                </c:pt>
                <c:pt idx="109">
                  <c:v>44.301400000000001</c:v>
                </c:pt>
                <c:pt idx="110">
                  <c:v>44.705100000000002</c:v>
                </c:pt>
                <c:pt idx="111">
                  <c:v>45.108800000000002</c:v>
                </c:pt>
                <c:pt idx="112">
                  <c:v>45.5169</c:v>
                </c:pt>
                <c:pt idx="113">
                  <c:v>45.924300000000002</c:v>
                </c:pt>
                <c:pt idx="114">
                  <c:v>46.331400000000002</c:v>
                </c:pt>
                <c:pt idx="115">
                  <c:v>46.735599999999998</c:v>
                </c:pt>
                <c:pt idx="116">
                  <c:v>47.145699999999998</c:v>
                </c:pt>
                <c:pt idx="117">
                  <c:v>47.546999999999997</c:v>
                </c:pt>
                <c:pt idx="118">
                  <c:v>47.952300000000001</c:v>
                </c:pt>
                <c:pt idx="119">
                  <c:v>48.3611</c:v>
                </c:pt>
                <c:pt idx="120">
                  <c:v>48.769100000000002</c:v>
                </c:pt>
                <c:pt idx="121">
                  <c:v>49.175899999999999</c:v>
                </c:pt>
                <c:pt idx="122">
                  <c:v>49.577800000000003</c:v>
                </c:pt>
                <c:pt idx="123">
                  <c:v>49.984200000000001</c:v>
                </c:pt>
                <c:pt idx="124">
                  <c:v>50.390900000000002</c:v>
                </c:pt>
                <c:pt idx="125">
                  <c:v>50.801900000000003</c:v>
                </c:pt>
                <c:pt idx="126">
                  <c:v>51.2059</c:v>
                </c:pt>
                <c:pt idx="127">
                  <c:v>51.613199999999999</c:v>
                </c:pt>
                <c:pt idx="128">
                  <c:v>52.016500000000001</c:v>
                </c:pt>
                <c:pt idx="129">
                  <c:v>52.4223</c:v>
                </c:pt>
                <c:pt idx="130">
                  <c:v>52.834200000000003</c:v>
                </c:pt>
                <c:pt idx="131">
                  <c:v>53.236699999999999</c:v>
                </c:pt>
                <c:pt idx="132">
                  <c:v>53.645600000000002</c:v>
                </c:pt>
                <c:pt idx="133">
                  <c:v>54.047199999999997</c:v>
                </c:pt>
                <c:pt idx="134">
                  <c:v>54.455599999999997</c:v>
                </c:pt>
                <c:pt idx="135">
                  <c:v>54.859499999999997</c:v>
                </c:pt>
                <c:pt idx="136">
                  <c:v>55.272300000000001</c:v>
                </c:pt>
                <c:pt idx="137">
                  <c:v>55.6755</c:v>
                </c:pt>
                <c:pt idx="138">
                  <c:v>56.081299999999999</c:v>
                </c:pt>
                <c:pt idx="139">
                  <c:v>56.485399999999998</c:v>
                </c:pt>
                <c:pt idx="140">
                  <c:v>56.894399999999997</c:v>
                </c:pt>
                <c:pt idx="141">
                  <c:v>57.298200000000001</c:v>
                </c:pt>
                <c:pt idx="142">
                  <c:v>57.707799999999999</c:v>
                </c:pt>
                <c:pt idx="143">
                  <c:v>58.112200000000001</c:v>
                </c:pt>
                <c:pt idx="144">
                  <c:v>58.514299999999999</c:v>
                </c:pt>
                <c:pt idx="145">
                  <c:v>58.9251</c:v>
                </c:pt>
                <c:pt idx="146">
                  <c:v>59.334200000000003</c:v>
                </c:pt>
                <c:pt idx="147">
                  <c:v>59.739800000000002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2.2427600000000001</c:v>
                </c:pt>
                <c:pt idx="1">
                  <c:v>2.2904599999999999</c:v>
                </c:pt>
                <c:pt idx="2">
                  <c:v>2.3379599999999998</c:v>
                </c:pt>
                <c:pt idx="3">
                  <c:v>2.3857300000000001</c:v>
                </c:pt>
                <c:pt idx="4">
                  <c:v>2.4305499999999998</c:v>
                </c:pt>
                <c:pt idx="5">
                  <c:v>2.4733200000000002</c:v>
                </c:pt>
                <c:pt idx="6">
                  <c:v>2.5132900000000005</c:v>
                </c:pt>
                <c:pt idx="7">
                  <c:v>2.5522200000000002</c:v>
                </c:pt>
                <c:pt idx="8">
                  <c:v>2.5915400000000002</c:v>
                </c:pt>
                <c:pt idx="9">
                  <c:v>2.6285500000000002</c:v>
                </c:pt>
                <c:pt idx="10">
                  <c:v>2.66432</c:v>
                </c:pt>
                <c:pt idx="11">
                  <c:v>2.6931799999999999</c:v>
                </c:pt>
                <c:pt idx="12">
                  <c:v>2.7191100000000001</c:v>
                </c:pt>
                <c:pt idx="13">
                  <c:v>2.7429100000000002</c:v>
                </c:pt>
                <c:pt idx="14">
                  <c:v>2.7655699999999999</c:v>
                </c:pt>
                <c:pt idx="15">
                  <c:v>2.7880199999999999</c:v>
                </c:pt>
                <c:pt idx="16">
                  <c:v>2.8090299999999999</c:v>
                </c:pt>
                <c:pt idx="17">
                  <c:v>2.8304800000000001</c:v>
                </c:pt>
                <c:pt idx="18">
                  <c:v>2.8522699999999999</c:v>
                </c:pt>
                <c:pt idx="19">
                  <c:v>2.8776899999999999</c:v>
                </c:pt>
                <c:pt idx="20">
                  <c:v>2.9008799999999999</c:v>
                </c:pt>
                <c:pt idx="21">
                  <c:v>2.9241200000000003</c:v>
                </c:pt>
                <c:pt idx="22">
                  <c:v>2.9507899999999996</c:v>
                </c:pt>
                <c:pt idx="23">
                  <c:v>2.9803800000000003</c:v>
                </c:pt>
                <c:pt idx="24">
                  <c:v>3.01227</c:v>
                </c:pt>
                <c:pt idx="25">
                  <c:v>3.0478699999999996</c:v>
                </c:pt>
                <c:pt idx="26">
                  <c:v>3.0876799999999998</c:v>
                </c:pt>
                <c:pt idx="27">
                  <c:v>3.1285099999999999</c:v>
                </c:pt>
                <c:pt idx="28">
                  <c:v>3.1716800000000003</c:v>
                </c:pt>
                <c:pt idx="29">
                  <c:v>3.21963</c:v>
                </c:pt>
                <c:pt idx="30">
                  <c:v>3.2702</c:v>
                </c:pt>
                <c:pt idx="31">
                  <c:v>3.32477</c:v>
                </c:pt>
                <c:pt idx="32">
                  <c:v>3.3812500000000001</c:v>
                </c:pt>
                <c:pt idx="33">
                  <c:v>3.4368100000000004</c:v>
                </c:pt>
                <c:pt idx="34">
                  <c:v>3.4938399999999996</c:v>
                </c:pt>
                <c:pt idx="35">
                  <c:v>3.5558299999999998</c:v>
                </c:pt>
                <c:pt idx="36">
                  <c:v>3.6231499999999999</c:v>
                </c:pt>
                <c:pt idx="37">
                  <c:v>3.6888199999999998</c:v>
                </c:pt>
                <c:pt idx="38">
                  <c:v>3.7524200000000003</c:v>
                </c:pt>
                <c:pt idx="39">
                  <c:v>3.8185400000000005</c:v>
                </c:pt>
                <c:pt idx="40">
                  <c:v>3.8867000000000003</c:v>
                </c:pt>
                <c:pt idx="41">
                  <c:v>3.9551500000000002</c:v>
                </c:pt>
                <c:pt idx="42">
                  <c:v>4.0230500000000005</c:v>
                </c:pt>
                <c:pt idx="43">
                  <c:v>4.0894399999999997</c:v>
                </c:pt>
                <c:pt idx="44">
                  <c:v>4.1506600000000002</c:v>
                </c:pt>
                <c:pt idx="45">
                  <c:v>4.2100400000000002</c:v>
                </c:pt>
                <c:pt idx="46">
                  <c:v>4.2644299999999999</c:v>
                </c:pt>
                <c:pt idx="47">
                  <c:v>4.3100100000000001</c:v>
                </c:pt>
                <c:pt idx="48">
                  <c:v>4.3525399999999994</c:v>
                </c:pt>
                <c:pt idx="49">
                  <c:v>4.3936700000000002</c:v>
                </c:pt>
                <c:pt idx="50">
                  <c:v>4.4273699999999998</c:v>
                </c:pt>
                <c:pt idx="51">
                  <c:v>4.45932</c:v>
                </c:pt>
                <c:pt idx="52">
                  <c:v>4.4853100000000001</c:v>
                </c:pt>
                <c:pt idx="53">
                  <c:v>4.5019</c:v>
                </c:pt>
                <c:pt idx="54">
                  <c:v>4.5076599999999996</c:v>
                </c:pt>
                <c:pt idx="55">
                  <c:v>4.5181500000000003</c:v>
                </c:pt>
                <c:pt idx="56">
                  <c:v>4.5087799999999998</c:v>
                </c:pt>
                <c:pt idx="57">
                  <c:v>4.5097800000000001</c:v>
                </c:pt>
                <c:pt idx="58">
                  <c:v>4.5001100000000003</c:v>
                </c:pt>
                <c:pt idx="59">
                  <c:v>4.4884500000000003</c:v>
                </c:pt>
                <c:pt idx="60">
                  <c:v>4.4700100000000003</c:v>
                </c:pt>
                <c:pt idx="61">
                  <c:v>4.4485599999999996</c:v>
                </c:pt>
                <c:pt idx="62">
                  <c:v>4.4151299999999996</c:v>
                </c:pt>
                <c:pt idx="63">
                  <c:v>4.3894899999999994</c:v>
                </c:pt>
                <c:pt idx="64">
                  <c:v>4.3686799999999995</c:v>
                </c:pt>
                <c:pt idx="65">
                  <c:v>4.3213499999999998</c:v>
                </c:pt>
                <c:pt idx="66">
                  <c:v>4.2828400000000002</c:v>
                </c:pt>
                <c:pt idx="67">
                  <c:v>4.2399399999999998</c:v>
                </c:pt>
                <c:pt idx="68">
                  <c:v>4.2059300000000004</c:v>
                </c:pt>
                <c:pt idx="69">
                  <c:v>4.1570200000000002</c:v>
                </c:pt>
                <c:pt idx="70">
                  <c:v>4.0926800000000005</c:v>
                </c:pt>
                <c:pt idx="71">
                  <c:v>4.0384599999999997</c:v>
                </c:pt>
                <c:pt idx="72">
                  <c:v>3.9831599999999998</c:v>
                </c:pt>
                <c:pt idx="73">
                  <c:v>3.9408399999999997</c:v>
                </c:pt>
                <c:pt idx="74">
                  <c:v>3.8803100000000001</c:v>
                </c:pt>
                <c:pt idx="75">
                  <c:v>3.8052099999999998</c:v>
                </c:pt>
                <c:pt idx="76">
                  <c:v>3.7465299999999999</c:v>
                </c:pt>
                <c:pt idx="77">
                  <c:v>3.6911899999999997</c:v>
                </c:pt>
                <c:pt idx="78">
                  <c:v>3.6400199999999998</c:v>
                </c:pt>
                <c:pt idx="79">
                  <c:v>3.5908800000000003</c:v>
                </c:pt>
                <c:pt idx="80">
                  <c:v>3.5472599999999996</c:v>
                </c:pt>
                <c:pt idx="81">
                  <c:v>3.50596</c:v>
                </c:pt>
                <c:pt idx="82">
                  <c:v>3.4704800000000002</c:v>
                </c:pt>
                <c:pt idx="83">
                  <c:v>3.4385599999999998</c:v>
                </c:pt>
                <c:pt idx="84">
                  <c:v>3.4074200000000001</c:v>
                </c:pt>
                <c:pt idx="85">
                  <c:v>3.3789200000000004</c:v>
                </c:pt>
                <c:pt idx="86">
                  <c:v>3.3511899999999999</c:v>
                </c:pt>
                <c:pt idx="87">
                  <c:v>3.3270499999999998</c:v>
                </c:pt>
                <c:pt idx="88">
                  <c:v>3.3066499999999999</c:v>
                </c:pt>
                <c:pt idx="89">
                  <c:v>3.2928000000000002</c:v>
                </c:pt>
                <c:pt idx="90">
                  <c:v>3.2857099999999999</c:v>
                </c:pt>
                <c:pt idx="91">
                  <c:v>3.2828499999999998</c:v>
                </c:pt>
                <c:pt idx="92">
                  <c:v>3.2808799999999998</c:v>
                </c:pt>
                <c:pt idx="93">
                  <c:v>3.2819700000000003</c:v>
                </c:pt>
                <c:pt idx="94">
                  <c:v>3.2858100000000001</c:v>
                </c:pt>
                <c:pt idx="95">
                  <c:v>3.2911400000000004</c:v>
                </c:pt>
                <c:pt idx="96">
                  <c:v>3.3017099999999999</c:v>
                </c:pt>
                <c:pt idx="97">
                  <c:v>3.3185399999999996</c:v>
                </c:pt>
                <c:pt idx="98">
                  <c:v>3.3375599999999999</c:v>
                </c:pt>
                <c:pt idx="99">
                  <c:v>3.35995</c:v>
                </c:pt>
                <c:pt idx="100">
                  <c:v>3.3849</c:v>
                </c:pt>
                <c:pt idx="101">
                  <c:v>3.4107900000000004</c:v>
                </c:pt>
                <c:pt idx="102">
                  <c:v>3.4375400000000003</c:v>
                </c:pt>
                <c:pt idx="103">
                  <c:v>3.46347</c:v>
                </c:pt>
                <c:pt idx="104">
                  <c:v>3.4879300000000004</c:v>
                </c:pt>
                <c:pt idx="105">
                  <c:v>3.5121200000000004</c:v>
                </c:pt>
                <c:pt idx="106">
                  <c:v>3.5383100000000001</c:v>
                </c:pt>
                <c:pt idx="107">
                  <c:v>3.5615799999999997</c:v>
                </c:pt>
                <c:pt idx="108">
                  <c:v>3.5856500000000002</c:v>
                </c:pt>
                <c:pt idx="109">
                  <c:v>3.6110899999999999</c:v>
                </c:pt>
                <c:pt idx="110">
                  <c:v>3.6346699999999998</c:v>
                </c:pt>
                <c:pt idx="111">
                  <c:v>3.65551</c:v>
                </c:pt>
                <c:pt idx="112">
                  <c:v>3.6795299999999997</c:v>
                </c:pt>
                <c:pt idx="113">
                  <c:v>3.7033800000000001</c:v>
                </c:pt>
                <c:pt idx="114">
                  <c:v>3.7292999999999998</c:v>
                </c:pt>
                <c:pt idx="115">
                  <c:v>3.7541500000000001</c:v>
                </c:pt>
                <c:pt idx="116">
                  <c:v>3.7767200000000001</c:v>
                </c:pt>
                <c:pt idx="117">
                  <c:v>3.7965300000000002</c:v>
                </c:pt>
                <c:pt idx="118">
                  <c:v>3.8141500000000002</c:v>
                </c:pt>
                <c:pt idx="119">
                  <c:v>3.83372</c:v>
                </c:pt>
                <c:pt idx="120">
                  <c:v>3.8537700000000004</c:v>
                </c:pt>
                <c:pt idx="121">
                  <c:v>3.8767499999999999</c:v>
                </c:pt>
                <c:pt idx="122">
                  <c:v>3.9003900000000002</c:v>
                </c:pt>
                <c:pt idx="123">
                  <c:v>3.9269799999999999</c:v>
                </c:pt>
                <c:pt idx="124">
                  <c:v>3.9354699999999996</c:v>
                </c:pt>
                <c:pt idx="125">
                  <c:v>3.9428800000000002</c:v>
                </c:pt>
                <c:pt idx="126">
                  <c:v>3.9495300000000002</c:v>
                </c:pt>
                <c:pt idx="127">
                  <c:v>3.9559100000000003</c:v>
                </c:pt>
                <c:pt idx="128">
                  <c:v>3.9636399999999998</c:v>
                </c:pt>
                <c:pt idx="129">
                  <c:v>3.97295</c:v>
                </c:pt>
                <c:pt idx="130">
                  <c:v>3.98231</c:v>
                </c:pt>
                <c:pt idx="131">
                  <c:v>3.9905600000000003</c:v>
                </c:pt>
                <c:pt idx="132">
                  <c:v>4.0012799999999995</c:v>
                </c:pt>
                <c:pt idx="133">
                  <c:v>4.0101599999999999</c:v>
                </c:pt>
                <c:pt idx="134">
                  <c:v>4.0182400000000005</c:v>
                </c:pt>
                <c:pt idx="135">
                  <c:v>4.0267499999999998</c:v>
                </c:pt>
                <c:pt idx="136">
                  <c:v>4.0381400000000003</c:v>
                </c:pt>
                <c:pt idx="137">
                  <c:v>4.0459499999999995</c:v>
                </c:pt>
                <c:pt idx="138">
                  <c:v>4.0522999999999998</c:v>
                </c:pt>
                <c:pt idx="139">
                  <c:v>4.0524300000000002</c:v>
                </c:pt>
                <c:pt idx="140">
                  <c:v>4.0524300000000002</c:v>
                </c:pt>
                <c:pt idx="141">
                  <c:v>4.0559500000000002</c:v>
                </c:pt>
                <c:pt idx="142">
                  <c:v>4.0705099999999996</c:v>
                </c:pt>
                <c:pt idx="143">
                  <c:v>4.0957799999999995</c:v>
                </c:pt>
                <c:pt idx="144">
                  <c:v>4.1252499999999994</c:v>
                </c:pt>
                <c:pt idx="145">
                  <c:v>4.1646300000000007</c:v>
                </c:pt>
                <c:pt idx="146">
                  <c:v>4.1983300000000003</c:v>
                </c:pt>
                <c:pt idx="147">
                  <c:v>4.2489699999999999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0.38016800000000001</c:v>
                </c:pt>
                <c:pt idx="2">
                  <c:v>0.78143899999999999</c:v>
                </c:pt>
                <c:pt idx="3">
                  <c:v>1.1885600000000001</c:v>
                </c:pt>
                <c:pt idx="4">
                  <c:v>1.5968599999999999</c:v>
                </c:pt>
                <c:pt idx="5">
                  <c:v>2.00461</c:v>
                </c:pt>
                <c:pt idx="6">
                  <c:v>2.40733</c:v>
                </c:pt>
                <c:pt idx="7">
                  <c:v>2.8138999999999998</c:v>
                </c:pt>
                <c:pt idx="8">
                  <c:v>3.2186499999999998</c:v>
                </c:pt>
                <c:pt idx="9">
                  <c:v>3.6255000000000002</c:v>
                </c:pt>
                <c:pt idx="10">
                  <c:v>4.03139</c:v>
                </c:pt>
                <c:pt idx="11">
                  <c:v>4.4384699999999997</c:v>
                </c:pt>
                <c:pt idx="12">
                  <c:v>4.8444500000000001</c:v>
                </c:pt>
                <c:pt idx="13">
                  <c:v>5.2534900000000002</c:v>
                </c:pt>
                <c:pt idx="14">
                  <c:v>5.65794</c:v>
                </c:pt>
                <c:pt idx="15">
                  <c:v>6.0641600000000002</c:v>
                </c:pt>
                <c:pt idx="16">
                  <c:v>6.4698099999999998</c:v>
                </c:pt>
                <c:pt idx="17">
                  <c:v>6.8782100000000002</c:v>
                </c:pt>
                <c:pt idx="18">
                  <c:v>7.2864199999999997</c:v>
                </c:pt>
                <c:pt idx="19">
                  <c:v>7.6915800000000001</c:v>
                </c:pt>
                <c:pt idx="20">
                  <c:v>8.0958299999999994</c:v>
                </c:pt>
                <c:pt idx="21">
                  <c:v>8.50122</c:v>
                </c:pt>
                <c:pt idx="22">
                  <c:v>8.9089399999999994</c:v>
                </c:pt>
                <c:pt idx="23">
                  <c:v>9.3165899999999997</c:v>
                </c:pt>
                <c:pt idx="24">
                  <c:v>9.7228700000000003</c:v>
                </c:pt>
                <c:pt idx="25">
                  <c:v>10.124599999999999</c:v>
                </c:pt>
                <c:pt idx="26">
                  <c:v>10.5314</c:v>
                </c:pt>
                <c:pt idx="27">
                  <c:v>10.9376</c:v>
                </c:pt>
                <c:pt idx="28">
                  <c:v>11.347300000000001</c:v>
                </c:pt>
                <c:pt idx="29">
                  <c:v>11.7536</c:v>
                </c:pt>
                <c:pt idx="30">
                  <c:v>12.158300000000001</c:v>
                </c:pt>
                <c:pt idx="31">
                  <c:v>12.562799999999999</c:v>
                </c:pt>
                <c:pt idx="32">
                  <c:v>12.9702</c:v>
                </c:pt>
                <c:pt idx="33">
                  <c:v>13.3779</c:v>
                </c:pt>
                <c:pt idx="34">
                  <c:v>13.7851</c:v>
                </c:pt>
                <c:pt idx="35">
                  <c:v>14.189299999999999</c:v>
                </c:pt>
                <c:pt idx="36">
                  <c:v>14.596399999999999</c:v>
                </c:pt>
                <c:pt idx="37">
                  <c:v>15.002700000000001</c:v>
                </c:pt>
                <c:pt idx="38">
                  <c:v>15.4099</c:v>
                </c:pt>
                <c:pt idx="39">
                  <c:v>15.817600000000001</c:v>
                </c:pt>
                <c:pt idx="40">
                  <c:v>16.2211</c:v>
                </c:pt>
                <c:pt idx="41">
                  <c:v>16.626300000000001</c:v>
                </c:pt>
                <c:pt idx="42">
                  <c:v>17.0319</c:v>
                </c:pt>
                <c:pt idx="43">
                  <c:v>17.441800000000001</c:v>
                </c:pt>
                <c:pt idx="44">
                  <c:v>17.848199999999999</c:v>
                </c:pt>
                <c:pt idx="45">
                  <c:v>18.254999999999999</c:v>
                </c:pt>
                <c:pt idx="46">
                  <c:v>18.6584</c:v>
                </c:pt>
                <c:pt idx="47">
                  <c:v>19.064499999999999</c:v>
                </c:pt>
                <c:pt idx="48">
                  <c:v>19.470800000000001</c:v>
                </c:pt>
                <c:pt idx="49">
                  <c:v>19.874600000000001</c:v>
                </c:pt>
                <c:pt idx="50">
                  <c:v>20.282</c:v>
                </c:pt>
                <c:pt idx="51">
                  <c:v>20.690999999999999</c:v>
                </c:pt>
                <c:pt idx="52">
                  <c:v>21.095800000000001</c:v>
                </c:pt>
                <c:pt idx="53">
                  <c:v>21.502300000000002</c:v>
                </c:pt>
                <c:pt idx="54">
                  <c:v>21.907800000000002</c:v>
                </c:pt>
                <c:pt idx="55">
                  <c:v>22.316800000000001</c:v>
                </c:pt>
                <c:pt idx="56">
                  <c:v>22.7225</c:v>
                </c:pt>
                <c:pt idx="57">
                  <c:v>23.1282</c:v>
                </c:pt>
                <c:pt idx="58">
                  <c:v>23.5335</c:v>
                </c:pt>
                <c:pt idx="59">
                  <c:v>23.939399999999999</c:v>
                </c:pt>
                <c:pt idx="60">
                  <c:v>24.3462</c:v>
                </c:pt>
                <c:pt idx="61">
                  <c:v>24.751000000000001</c:v>
                </c:pt>
                <c:pt idx="62">
                  <c:v>25.1615</c:v>
                </c:pt>
                <c:pt idx="63">
                  <c:v>25.564499999999999</c:v>
                </c:pt>
                <c:pt idx="64">
                  <c:v>25.968800000000002</c:v>
                </c:pt>
                <c:pt idx="65">
                  <c:v>26.377500000000001</c:v>
                </c:pt>
                <c:pt idx="66">
                  <c:v>26.782800000000002</c:v>
                </c:pt>
                <c:pt idx="67">
                  <c:v>27.191500000000001</c:v>
                </c:pt>
                <c:pt idx="68">
                  <c:v>27.5962</c:v>
                </c:pt>
                <c:pt idx="69">
                  <c:v>28.000599999999999</c:v>
                </c:pt>
                <c:pt idx="70">
                  <c:v>28.4101</c:v>
                </c:pt>
                <c:pt idx="71">
                  <c:v>28.814900000000002</c:v>
                </c:pt>
                <c:pt idx="72">
                  <c:v>29.2212</c:v>
                </c:pt>
                <c:pt idx="73">
                  <c:v>29.625599999999999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2.2427600000000001</c:v>
                </c:pt>
                <c:pt idx="1">
                  <c:v>2.2904599999999999</c:v>
                </c:pt>
                <c:pt idx="2">
                  <c:v>2.3379599999999998</c:v>
                </c:pt>
                <c:pt idx="3">
                  <c:v>2.3857300000000001</c:v>
                </c:pt>
                <c:pt idx="4">
                  <c:v>2.4305499999999998</c:v>
                </c:pt>
                <c:pt idx="5">
                  <c:v>2.4733200000000002</c:v>
                </c:pt>
                <c:pt idx="6">
                  <c:v>2.5132900000000005</c:v>
                </c:pt>
                <c:pt idx="7">
                  <c:v>2.5522200000000002</c:v>
                </c:pt>
                <c:pt idx="8">
                  <c:v>2.5915400000000002</c:v>
                </c:pt>
                <c:pt idx="9">
                  <c:v>2.6285500000000002</c:v>
                </c:pt>
                <c:pt idx="10">
                  <c:v>2.66432</c:v>
                </c:pt>
                <c:pt idx="11">
                  <c:v>2.6931799999999999</c:v>
                </c:pt>
                <c:pt idx="12">
                  <c:v>2.7191100000000001</c:v>
                </c:pt>
                <c:pt idx="13">
                  <c:v>2.7429100000000002</c:v>
                </c:pt>
                <c:pt idx="14">
                  <c:v>2.7655699999999999</c:v>
                </c:pt>
                <c:pt idx="15">
                  <c:v>2.7880199999999999</c:v>
                </c:pt>
                <c:pt idx="16">
                  <c:v>2.8090299999999999</c:v>
                </c:pt>
                <c:pt idx="17">
                  <c:v>2.8304800000000001</c:v>
                </c:pt>
                <c:pt idx="18">
                  <c:v>2.8522699999999999</c:v>
                </c:pt>
                <c:pt idx="19">
                  <c:v>2.8776899999999999</c:v>
                </c:pt>
                <c:pt idx="20">
                  <c:v>2.9008799999999999</c:v>
                </c:pt>
                <c:pt idx="21">
                  <c:v>2.9241200000000003</c:v>
                </c:pt>
                <c:pt idx="22">
                  <c:v>2.9507899999999996</c:v>
                </c:pt>
                <c:pt idx="23">
                  <c:v>2.9803800000000003</c:v>
                </c:pt>
                <c:pt idx="24">
                  <c:v>3.01227</c:v>
                </c:pt>
                <c:pt idx="25">
                  <c:v>3.0478699999999996</c:v>
                </c:pt>
                <c:pt idx="26">
                  <c:v>3.0876799999999998</c:v>
                </c:pt>
                <c:pt idx="27">
                  <c:v>3.1285099999999999</c:v>
                </c:pt>
                <c:pt idx="28">
                  <c:v>3.1716800000000003</c:v>
                </c:pt>
                <c:pt idx="29">
                  <c:v>3.21963</c:v>
                </c:pt>
                <c:pt idx="30">
                  <c:v>3.2702</c:v>
                </c:pt>
                <c:pt idx="31">
                  <c:v>3.32477</c:v>
                </c:pt>
                <c:pt idx="32">
                  <c:v>3.3812500000000001</c:v>
                </c:pt>
                <c:pt idx="33">
                  <c:v>3.4368100000000004</c:v>
                </c:pt>
                <c:pt idx="34">
                  <c:v>3.4938399999999996</c:v>
                </c:pt>
                <c:pt idx="35">
                  <c:v>3.5558299999999998</c:v>
                </c:pt>
                <c:pt idx="36">
                  <c:v>3.6231499999999999</c:v>
                </c:pt>
                <c:pt idx="37">
                  <c:v>3.6888199999999998</c:v>
                </c:pt>
                <c:pt idx="38">
                  <c:v>3.7524200000000003</c:v>
                </c:pt>
                <c:pt idx="39">
                  <c:v>3.8185400000000005</c:v>
                </c:pt>
                <c:pt idx="40">
                  <c:v>3.8867000000000003</c:v>
                </c:pt>
                <c:pt idx="41">
                  <c:v>3.9551500000000002</c:v>
                </c:pt>
                <c:pt idx="42">
                  <c:v>4.0230500000000005</c:v>
                </c:pt>
                <c:pt idx="43">
                  <c:v>4.0894399999999997</c:v>
                </c:pt>
                <c:pt idx="44">
                  <c:v>4.1506600000000002</c:v>
                </c:pt>
                <c:pt idx="45">
                  <c:v>4.2100400000000002</c:v>
                </c:pt>
                <c:pt idx="46">
                  <c:v>4.2644299999999999</c:v>
                </c:pt>
                <c:pt idx="47">
                  <c:v>4.3100100000000001</c:v>
                </c:pt>
                <c:pt idx="48">
                  <c:v>4.3525399999999994</c:v>
                </c:pt>
                <c:pt idx="49">
                  <c:v>4.3936700000000002</c:v>
                </c:pt>
                <c:pt idx="50">
                  <c:v>4.4273699999999998</c:v>
                </c:pt>
                <c:pt idx="51">
                  <c:v>4.45932</c:v>
                </c:pt>
                <c:pt idx="52">
                  <c:v>4.4853100000000001</c:v>
                </c:pt>
                <c:pt idx="53">
                  <c:v>4.5019</c:v>
                </c:pt>
                <c:pt idx="54">
                  <c:v>4.5076599999999996</c:v>
                </c:pt>
                <c:pt idx="55">
                  <c:v>4.5181500000000003</c:v>
                </c:pt>
                <c:pt idx="56">
                  <c:v>4.5087799999999998</c:v>
                </c:pt>
                <c:pt idx="57">
                  <c:v>4.5097800000000001</c:v>
                </c:pt>
                <c:pt idx="58">
                  <c:v>4.5001100000000003</c:v>
                </c:pt>
                <c:pt idx="59">
                  <c:v>4.4884500000000003</c:v>
                </c:pt>
                <c:pt idx="60">
                  <c:v>4.4700100000000003</c:v>
                </c:pt>
                <c:pt idx="61">
                  <c:v>4.4485599999999996</c:v>
                </c:pt>
                <c:pt idx="62">
                  <c:v>4.4151299999999996</c:v>
                </c:pt>
                <c:pt idx="63">
                  <c:v>4.3894899999999994</c:v>
                </c:pt>
                <c:pt idx="64">
                  <c:v>4.3686799999999995</c:v>
                </c:pt>
                <c:pt idx="65">
                  <c:v>4.3213499999999998</c:v>
                </c:pt>
                <c:pt idx="66">
                  <c:v>4.2828400000000002</c:v>
                </c:pt>
                <c:pt idx="67">
                  <c:v>4.2399399999999998</c:v>
                </c:pt>
                <c:pt idx="68">
                  <c:v>4.2059300000000004</c:v>
                </c:pt>
                <c:pt idx="69">
                  <c:v>4.1570200000000002</c:v>
                </c:pt>
                <c:pt idx="70">
                  <c:v>4.0926800000000005</c:v>
                </c:pt>
                <c:pt idx="71">
                  <c:v>4.0384599999999997</c:v>
                </c:pt>
                <c:pt idx="72">
                  <c:v>3.9831599999999998</c:v>
                </c:pt>
                <c:pt idx="73">
                  <c:v>3.9408399999999997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29.625599999999999</c:v>
                </c:pt>
                <c:pt idx="1">
                  <c:v>30.030799999999999</c:v>
                </c:pt>
                <c:pt idx="2">
                  <c:v>30.515000000000001</c:v>
                </c:pt>
                <c:pt idx="3">
                  <c:v>30.89</c:v>
                </c:pt>
                <c:pt idx="4">
                  <c:v>31.297699999999999</c:v>
                </c:pt>
                <c:pt idx="5">
                  <c:v>31.703499999999998</c:v>
                </c:pt>
                <c:pt idx="6">
                  <c:v>32.111400000000003</c:v>
                </c:pt>
                <c:pt idx="7">
                  <c:v>32.517499999999998</c:v>
                </c:pt>
                <c:pt idx="8">
                  <c:v>32.922699999999999</c:v>
                </c:pt>
                <c:pt idx="9">
                  <c:v>33.331400000000002</c:v>
                </c:pt>
                <c:pt idx="10">
                  <c:v>33.7395</c:v>
                </c:pt>
                <c:pt idx="11">
                  <c:v>34.142499999999998</c:v>
                </c:pt>
                <c:pt idx="12">
                  <c:v>34.549599999999998</c:v>
                </c:pt>
                <c:pt idx="13">
                  <c:v>34.957299999999996</c:v>
                </c:pt>
                <c:pt idx="14">
                  <c:v>35.364100000000001</c:v>
                </c:pt>
                <c:pt idx="15">
                  <c:v>35.766800000000003</c:v>
                </c:pt>
                <c:pt idx="16">
                  <c:v>36.174399999999999</c:v>
                </c:pt>
                <c:pt idx="17">
                  <c:v>36.579900000000002</c:v>
                </c:pt>
                <c:pt idx="18">
                  <c:v>36.989100000000001</c:v>
                </c:pt>
                <c:pt idx="19">
                  <c:v>37.394799999999996</c:v>
                </c:pt>
                <c:pt idx="20">
                  <c:v>37.796399999999998</c:v>
                </c:pt>
                <c:pt idx="21">
                  <c:v>38.204099999999997</c:v>
                </c:pt>
                <c:pt idx="22">
                  <c:v>38.6098</c:v>
                </c:pt>
                <c:pt idx="23">
                  <c:v>39.016500000000001</c:v>
                </c:pt>
                <c:pt idx="24">
                  <c:v>39.425199999999997</c:v>
                </c:pt>
                <c:pt idx="25">
                  <c:v>39.832999999999998</c:v>
                </c:pt>
                <c:pt idx="26">
                  <c:v>40.237299999999998</c:v>
                </c:pt>
                <c:pt idx="27">
                  <c:v>40.643000000000001</c:v>
                </c:pt>
                <c:pt idx="28">
                  <c:v>41.047899999999998</c:v>
                </c:pt>
                <c:pt idx="29">
                  <c:v>41.4572</c:v>
                </c:pt>
                <c:pt idx="30">
                  <c:v>41.860999999999997</c:v>
                </c:pt>
                <c:pt idx="31">
                  <c:v>42.266599999999997</c:v>
                </c:pt>
                <c:pt idx="32">
                  <c:v>42.672699999999999</c:v>
                </c:pt>
                <c:pt idx="33">
                  <c:v>43.077399999999997</c:v>
                </c:pt>
                <c:pt idx="34">
                  <c:v>43.491399999999999</c:v>
                </c:pt>
                <c:pt idx="35">
                  <c:v>43.894199999999998</c:v>
                </c:pt>
                <c:pt idx="36">
                  <c:v>44.301400000000001</c:v>
                </c:pt>
                <c:pt idx="37">
                  <c:v>44.705100000000002</c:v>
                </c:pt>
                <c:pt idx="38">
                  <c:v>45.108800000000002</c:v>
                </c:pt>
                <c:pt idx="39">
                  <c:v>45.5169</c:v>
                </c:pt>
                <c:pt idx="40">
                  <c:v>45.924300000000002</c:v>
                </c:pt>
                <c:pt idx="41">
                  <c:v>46.331400000000002</c:v>
                </c:pt>
                <c:pt idx="42">
                  <c:v>46.735599999999998</c:v>
                </c:pt>
                <c:pt idx="43">
                  <c:v>47.145699999999998</c:v>
                </c:pt>
                <c:pt idx="44">
                  <c:v>47.546999999999997</c:v>
                </c:pt>
                <c:pt idx="45">
                  <c:v>47.952300000000001</c:v>
                </c:pt>
                <c:pt idx="46">
                  <c:v>48.3611</c:v>
                </c:pt>
                <c:pt idx="47">
                  <c:v>48.769100000000002</c:v>
                </c:pt>
                <c:pt idx="48">
                  <c:v>49.175899999999999</c:v>
                </c:pt>
                <c:pt idx="49">
                  <c:v>49.577800000000003</c:v>
                </c:pt>
                <c:pt idx="50">
                  <c:v>49.984200000000001</c:v>
                </c:pt>
                <c:pt idx="51">
                  <c:v>50.390900000000002</c:v>
                </c:pt>
                <c:pt idx="52">
                  <c:v>50.801900000000003</c:v>
                </c:pt>
                <c:pt idx="53">
                  <c:v>51.2059</c:v>
                </c:pt>
                <c:pt idx="54">
                  <c:v>51.613199999999999</c:v>
                </c:pt>
                <c:pt idx="55">
                  <c:v>52.016500000000001</c:v>
                </c:pt>
                <c:pt idx="56">
                  <c:v>52.4223</c:v>
                </c:pt>
                <c:pt idx="57">
                  <c:v>52.834200000000003</c:v>
                </c:pt>
                <c:pt idx="58">
                  <c:v>53.236699999999999</c:v>
                </c:pt>
                <c:pt idx="59">
                  <c:v>53.645600000000002</c:v>
                </c:pt>
                <c:pt idx="60">
                  <c:v>54.047199999999997</c:v>
                </c:pt>
                <c:pt idx="61">
                  <c:v>54.455599999999997</c:v>
                </c:pt>
                <c:pt idx="62">
                  <c:v>54.859499999999997</c:v>
                </c:pt>
                <c:pt idx="63">
                  <c:v>55.272300000000001</c:v>
                </c:pt>
                <c:pt idx="64">
                  <c:v>55.6755</c:v>
                </c:pt>
                <c:pt idx="65">
                  <c:v>56.081299999999999</c:v>
                </c:pt>
                <c:pt idx="66">
                  <c:v>56.485399999999998</c:v>
                </c:pt>
                <c:pt idx="67">
                  <c:v>56.894399999999997</c:v>
                </c:pt>
                <c:pt idx="68">
                  <c:v>57.298200000000001</c:v>
                </c:pt>
                <c:pt idx="69">
                  <c:v>57.707799999999999</c:v>
                </c:pt>
                <c:pt idx="70">
                  <c:v>58.112200000000001</c:v>
                </c:pt>
                <c:pt idx="71">
                  <c:v>58.514299999999999</c:v>
                </c:pt>
                <c:pt idx="72">
                  <c:v>58.9251</c:v>
                </c:pt>
                <c:pt idx="73">
                  <c:v>59.334200000000003</c:v>
                </c:pt>
                <c:pt idx="74">
                  <c:v>59.739800000000002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3.9408399999999997</c:v>
                </c:pt>
                <c:pt idx="1">
                  <c:v>3.8803100000000001</c:v>
                </c:pt>
                <c:pt idx="2">
                  <c:v>3.8052099999999998</c:v>
                </c:pt>
                <c:pt idx="3">
                  <c:v>3.7465299999999999</c:v>
                </c:pt>
                <c:pt idx="4">
                  <c:v>3.6911899999999997</c:v>
                </c:pt>
                <c:pt idx="5">
                  <c:v>3.6400199999999998</c:v>
                </c:pt>
                <c:pt idx="6">
                  <c:v>3.5908800000000003</c:v>
                </c:pt>
                <c:pt idx="7">
                  <c:v>3.5472599999999996</c:v>
                </c:pt>
                <c:pt idx="8">
                  <c:v>3.50596</c:v>
                </c:pt>
                <c:pt idx="9">
                  <c:v>3.4704800000000002</c:v>
                </c:pt>
                <c:pt idx="10">
                  <c:v>3.4385599999999998</c:v>
                </c:pt>
                <c:pt idx="11">
                  <c:v>3.4074200000000001</c:v>
                </c:pt>
                <c:pt idx="12">
                  <c:v>3.3789200000000004</c:v>
                </c:pt>
                <c:pt idx="13">
                  <c:v>3.3511899999999999</c:v>
                </c:pt>
                <c:pt idx="14">
                  <c:v>3.3270499999999998</c:v>
                </c:pt>
                <c:pt idx="15">
                  <c:v>3.3066499999999999</c:v>
                </c:pt>
                <c:pt idx="16">
                  <c:v>3.2928000000000002</c:v>
                </c:pt>
                <c:pt idx="17">
                  <c:v>3.2857099999999999</c:v>
                </c:pt>
                <c:pt idx="18">
                  <c:v>3.2828499999999998</c:v>
                </c:pt>
                <c:pt idx="19">
                  <c:v>3.2808799999999998</c:v>
                </c:pt>
                <c:pt idx="20">
                  <c:v>3.2819700000000003</c:v>
                </c:pt>
                <c:pt idx="21">
                  <c:v>3.2858100000000001</c:v>
                </c:pt>
                <c:pt idx="22">
                  <c:v>3.2911400000000004</c:v>
                </c:pt>
                <c:pt idx="23">
                  <c:v>3.3017099999999999</c:v>
                </c:pt>
                <c:pt idx="24">
                  <c:v>3.3185399999999996</c:v>
                </c:pt>
                <c:pt idx="25">
                  <c:v>3.3375599999999999</c:v>
                </c:pt>
                <c:pt idx="26">
                  <c:v>3.35995</c:v>
                </c:pt>
                <c:pt idx="27">
                  <c:v>3.3849</c:v>
                </c:pt>
                <c:pt idx="28">
                  <c:v>3.4107900000000004</c:v>
                </c:pt>
                <c:pt idx="29">
                  <c:v>3.4375400000000003</c:v>
                </c:pt>
                <c:pt idx="30">
                  <c:v>3.46347</c:v>
                </c:pt>
                <c:pt idx="31">
                  <c:v>3.4879300000000004</c:v>
                </c:pt>
                <c:pt idx="32">
                  <c:v>3.5121200000000004</c:v>
                </c:pt>
                <c:pt idx="33">
                  <c:v>3.5383100000000001</c:v>
                </c:pt>
                <c:pt idx="34">
                  <c:v>3.5615799999999997</c:v>
                </c:pt>
                <c:pt idx="35">
                  <c:v>3.5856500000000002</c:v>
                </c:pt>
                <c:pt idx="36">
                  <c:v>3.6110899999999999</c:v>
                </c:pt>
                <c:pt idx="37">
                  <c:v>3.6346699999999998</c:v>
                </c:pt>
                <c:pt idx="38">
                  <c:v>3.65551</c:v>
                </c:pt>
                <c:pt idx="39">
                  <c:v>3.6795299999999997</c:v>
                </c:pt>
                <c:pt idx="40">
                  <c:v>3.7033800000000001</c:v>
                </c:pt>
                <c:pt idx="41">
                  <c:v>3.7292999999999998</c:v>
                </c:pt>
                <c:pt idx="42">
                  <c:v>3.7541500000000001</c:v>
                </c:pt>
                <c:pt idx="43">
                  <c:v>3.7767200000000001</c:v>
                </c:pt>
                <c:pt idx="44">
                  <c:v>3.7965300000000002</c:v>
                </c:pt>
                <c:pt idx="45">
                  <c:v>3.8141500000000002</c:v>
                </c:pt>
                <c:pt idx="46">
                  <c:v>3.83372</c:v>
                </c:pt>
                <c:pt idx="47">
                  <c:v>3.8537700000000004</c:v>
                </c:pt>
                <c:pt idx="48">
                  <c:v>3.8767499999999999</c:v>
                </c:pt>
                <c:pt idx="49">
                  <c:v>3.9003900000000002</c:v>
                </c:pt>
                <c:pt idx="50">
                  <c:v>3.9269799999999999</c:v>
                </c:pt>
                <c:pt idx="51">
                  <c:v>3.9354699999999996</c:v>
                </c:pt>
                <c:pt idx="52">
                  <c:v>3.9428800000000002</c:v>
                </c:pt>
                <c:pt idx="53">
                  <c:v>3.9495300000000002</c:v>
                </c:pt>
                <c:pt idx="54">
                  <c:v>3.9559100000000003</c:v>
                </c:pt>
                <c:pt idx="55">
                  <c:v>3.9636399999999998</c:v>
                </c:pt>
                <c:pt idx="56">
                  <c:v>3.97295</c:v>
                </c:pt>
                <c:pt idx="57">
                  <c:v>3.98231</c:v>
                </c:pt>
                <c:pt idx="58">
                  <c:v>3.9905600000000003</c:v>
                </c:pt>
                <c:pt idx="59">
                  <c:v>4.0012799999999995</c:v>
                </c:pt>
                <c:pt idx="60">
                  <c:v>4.0101599999999999</c:v>
                </c:pt>
                <c:pt idx="61">
                  <c:v>4.0182400000000005</c:v>
                </c:pt>
                <c:pt idx="62">
                  <c:v>4.0267499999999998</c:v>
                </c:pt>
                <c:pt idx="63">
                  <c:v>4.0381400000000003</c:v>
                </c:pt>
                <c:pt idx="64">
                  <c:v>4.0459499999999995</c:v>
                </c:pt>
                <c:pt idx="65">
                  <c:v>4.0522999999999998</c:v>
                </c:pt>
                <c:pt idx="66">
                  <c:v>4.0524300000000002</c:v>
                </c:pt>
                <c:pt idx="67">
                  <c:v>4.0524300000000002</c:v>
                </c:pt>
                <c:pt idx="68">
                  <c:v>4.0559500000000002</c:v>
                </c:pt>
                <c:pt idx="69">
                  <c:v>4.0705099999999996</c:v>
                </c:pt>
                <c:pt idx="70">
                  <c:v>4.0957799999999995</c:v>
                </c:pt>
                <c:pt idx="71">
                  <c:v>4.1252499999999994</c:v>
                </c:pt>
                <c:pt idx="72">
                  <c:v>4.1646300000000007</c:v>
                </c:pt>
                <c:pt idx="73">
                  <c:v>4.1983300000000003</c:v>
                </c:pt>
                <c:pt idx="74">
                  <c:v>4.2489699999999999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14.934950000000001</c:v>
                </c:pt>
                <c:pt idx="1">
                  <c:v>44.804850000000002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3.5656082432432439</c:v>
                </c:pt>
                <c:pt idx="1">
                  <c:v>3.7065652702702705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0.38016800000000001</c:v>
                </c:pt>
                <c:pt idx="2">
                  <c:v>0.78143899999999999</c:v>
                </c:pt>
                <c:pt idx="3">
                  <c:v>1.1885600000000001</c:v>
                </c:pt>
                <c:pt idx="4">
                  <c:v>1.5968599999999999</c:v>
                </c:pt>
                <c:pt idx="5">
                  <c:v>2.00461</c:v>
                </c:pt>
                <c:pt idx="6">
                  <c:v>2.40733</c:v>
                </c:pt>
                <c:pt idx="7">
                  <c:v>2.8138999999999998</c:v>
                </c:pt>
                <c:pt idx="8">
                  <c:v>3.2186499999999998</c:v>
                </c:pt>
                <c:pt idx="9">
                  <c:v>3.6255000000000002</c:v>
                </c:pt>
                <c:pt idx="10">
                  <c:v>4.03139</c:v>
                </c:pt>
                <c:pt idx="11">
                  <c:v>4.4384699999999997</c:v>
                </c:pt>
                <c:pt idx="12">
                  <c:v>4.8444500000000001</c:v>
                </c:pt>
                <c:pt idx="13">
                  <c:v>5.2534900000000002</c:v>
                </c:pt>
                <c:pt idx="14">
                  <c:v>5.65794</c:v>
                </c:pt>
                <c:pt idx="15">
                  <c:v>6.0641600000000002</c:v>
                </c:pt>
                <c:pt idx="16">
                  <c:v>6.4698099999999998</c:v>
                </c:pt>
                <c:pt idx="17">
                  <c:v>6.8782100000000002</c:v>
                </c:pt>
                <c:pt idx="18">
                  <c:v>7.2864199999999997</c:v>
                </c:pt>
                <c:pt idx="19">
                  <c:v>7.6915800000000001</c:v>
                </c:pt>
                <c:pt idx="20">
                  <c:v>8.0958299999999994</c:v>
                </c:pt>
                <c:pt idx="21">
                  <c:v>8.50122</c:v>
                </c:pt>
                <c:pt idx="22">
                  <c:v>8.9089399999999994</c:v>
                </c:pt>
                <c:pt idx="23">
                  <c:v>9.3165899999999997</c:v>
                </c:pt>
                <c:pt idx="24">
                  <c:v>9.7228700000000003</c:v>
                </c:pt>
                <c:pt idx="25">
                  <c:v>10.124599999999999</c:v>
                </c:pt>
                <c:pt idx="26">
                  <c:v>10.5314</c:v>
                </c:pt>
                <c:pt idx="27">
                  <c:v>10.9376</c:v>
                </c:pt>
                <c:pt idx="28">
                  <c:v>11.347300000000001</c:v>
                </c:pt>
                <c:pt idx="29">
                  <c:v>11.7536</c:v>
                </c:pt>
                <c:pt idx="30">
                  <c:v>12.158300000000001</c:v>
                </c:pt>
                <c:pt idx="31">
                  <c:v>12.562799999999999</c:v>
                </c:pt>
                <c:pt idx="32">
                  <c:v>12.9702</c:v>
                </c:pt>
                <c:pt idx="33">
                  <c:v>13.3779</c:v>
                </c:pt>
                <c:pt idx="34">
                  <c:v>13.7851</c:v>
                </c:pt>
                <c:pt idx="35">
                  <c:v>14.189299999999999</c:v>
                </c:pt>
                <c:pt idx="36">
                  <c:v>14.596399999999999</c:v>
                </c:pt>
                <c:pt idx="37">
                  <c:v>15.002700000000001</c:v>
                </c:pt>
                <c:pt idx="38">
                  <c:v>15.4099</c:v>
                </c:pt>
                <c:pt idx="39">
                  <c:v>15.817600000000001</c:v>
                </c:pt>
                <c:pt idx="40">
                  <c:v>16.2211</c:v>
                </c:pt>
                <c:pt idx="41">
                  <c:v>16.626300000000001</c:v>
                </c:pt>
                <c:pt idx="42">
                  <c:v>17.0319</c:v>
                </c:pt>
                <c:pt idx="43">
                  <c:v>17.441800000000001</c:v>
                </c:pt>
                <c:pt idx="44">
                  <c:v>17.848199999999999</c:v>
                </c:pt>
                <c:pt idx="45">
                  <c:v>18.254999999999999</c:v>
                </c:pt>
                <c:pt idx="46">
                  <c:v>18.6584</c:v>
                </c:pt>
                <c:pt idx="47">
                  <c:v>19.064499999999999</c:v>
                </c:pt>
                <c:pt idx="48">
                  <c:v>19.470800000000001</c:v>
                </c:pt>
                <c:pt idx="49">
                  <c:v>19.874600000000001</c:v>
                </c:pt>
                <c:pt idx="50">
                  <c:v>20.282</c:v>
                </c:pt>
                <c:pt idx="51">
                  <c:v>20.690999999999999</c:v>
                </c:pt>
                <c:pt idx="52">
                  <c:v>21.095800000000001</c:v>
                </c:pt>
                <c:pt idx="53">
                  <c:v>21.502300000000002</c:v>
                </c:pt>
                <c:pt idx="54">
                  <c:v>21.907800000000002</c:v>
                </c:pt>
                <c:pt idx="55">
                  <c:v>22.316800000000001</c:v>
                </c:pt>
                <c:pt idx="56">
                  <c:v>22.7225</c:v>
                </c:pt>
                <c:pt idx="57">
                  <c:v>23.1282</c:v>
                </c:pt>
                <c:pt idx="58">
                  <c:v>23.5335</c:v>
                </c:pt>
                <c:pt idx="59">
                  <c:v>23.939399999999999</c:v>
                </c:pt>
                <c:pt idx="60">
                  <c:v>24.3462</c:v>
                </c:pt>
                <c:pt idx="61">
                  <c:v>24.751000000000001</c:v>
                </c:pt>
                <c:pt idx="62">
                  <c:v>25.1615</c:v>
                </c:pt>
                <c:pt idx="63">
                  <c:v>25.564499999999999</c:v>
                </c:pt>
                <c:pt idx="64">
                  <c:v>25.968800000000002</c:v>
                </c:pt>
                <c:pt idx="65">
                  <c:v>26.377500000000001</c:v>
                </c:pt>
                <c:pt idx="66">
                  <c:v>26.782800000000002</c:v>
                </c:pt>
                <c:pt idx="67">
                  <c:v>27.191500000000001</c:v>
                </c:pt>
                <c:pt idx="68">
                  <c:v>27.5962</c:v>
                </c:pt>
                <c:pt idx="69">
                  <c:v>28.000599999999999</c:v>
                </c:pt>
                <c:pt idx="70">
                  <c:v>28.4101</c:v>
                </c:pt>
                <c:pt idx="71">
                  <c:v>28.814900000000002</c:v>
                </c:pt>
                <c:pt idx="72">
                  <c:v>29.2212</c:v>
                </c:pt>
                <c:pt idx="73">
                  <c:v>29.625599999999999</c:v>
                </c:pt>
                <c:pt idx="74">
                  <c:v>30.030799999999999</c:v>
                </c:pt>
                <c:pt idx="75">
                  <c:v>30.515000000000001</c:v>
                </c:pt>
                <c:pt idx="76">
                  <c:v>30.89</c:v>
                </c:pt>
                <c:pt idx="77">
                  <c:v>31.297699999999999</c:v>
                </c:pt>
                <c:pt idx="78">
                  <c:v>31.703499999999998</c:v>
                </c:pt>
                <c:pt idx="79">
                  <c:v>32.111400000000003</c:v>
                </c:pt>
                <c:pt idx="80">
                  <c:v>32.517499999999998</c:v>
                </c:pt>
                <c:pt idx="81">
                  <c:v>32.922699999999999</c:v>
                </c:pt>
                <c:pt idx="82">
                  <c:v>33.331400000000002</c:v>
                </c:pt>
                <c:pt idx="83">
                  <c:v>33.7395</c:v>
                </c:pt>
                <c:pt idx="84">
                  <c:v>34.142499999999998</c:v>
                </c:pt>
                <c:pt idx="85">
                  <c:v>34.549599999999998</c:v>
                </c:pt>
                <c:pt idx="86">
                  <c:v>34.957299999999996</c:v>
                </c:pt>
                <c:pt idx="87">
                  <c:v>35.364100000000001</c:v>
                </c:pt>
                <c:pt idx="88">
                  <c:v>35.766800000000003</c:v>
                </c:pt>
                <c:pt idx="89">
                  <c:v>36.174399999999999</c:v>
                </c:pt>
                <c:pt idx="90">
                  <c:v>36.579900000000002</c:v>
                </c:pt>
                <c:pt idx="91">
                  <c:v>36.989100000000001</c:v>
                </c:pt>
                <c:pt idx="92">
                  <c:v>37.394799999999996</c:v>
                </c:pt>
                <c:pt idx="93">
                  <c:v>37.796399999999998</c:v>
                </c:pt>
                <c:pt idx="94">
                  <c:v>38.204099999999997</c:v>
                </c:pt>
                <c:pt idx="95">
                  <c:v>38.6098</c:v>
                </c:pt>
                <c:pt idx="96">
                  <c:v>39.016500000000001</c:v>
                </c:pt>
                <c:pt idx="97">
                  <c:v>39.425199999999997</c:v>
                </c:pt>
                <c:pt idx="98">
                  <c:v>39.832999999999998</c:v>
                </c:pt>
                <c:pt idx="99">
                  <c:v>40.237299999999998</c:v>
                </c:pt>
                <c:pt idx="100">
                  <c:v>40.643000000000001</c:v>
                </c:pt>
                <c:pt idx="101">
                  <c:v>41.047899999999998</c:v>
                </c:pt>
                <c:pt idx="102">
                  <c:v>41.4572</c:v>
                </c:pt>
                <c:pt idx="103">
                  <c:v>41.860999999999997</c:v>
                </c:pt>
                <c:pt idx="104">
                  <c:v>42.266599999999997</c:v>
                </c:pt>
                <c:pt idx="105">
                  <c:v>42.672699999999999</c:v>
                </c:pt>
                <c:pt idx="106">
                  <c:v>43.077399999999997</c:v>
                </c:pt>
                <c:pt idx="107">
                  <c:v>43.491399999999999</c:v>
                </c:pt>
                <c:pt idx="108">
                  <c:v>43.894199999999998</c:v>
                </c:pt>
                <c:pt idx="109">
                  <c:v>44.301400000000001</c:v>
                </c:pt>
                <c:pt idx="110">
                  <c:v>44.705100000000002</c:v>
                </c:pt>
                <c:pt idx="111">
                  <c:v>45.108800000000002</c:v>
                </c:pt>
                <c:pt idx="112">
                  <c:v>45.5169</c:v>
                </c:pt>
                <c:pt idx="113">
                  <c:v>45.924300000000002</c:v>
                </c:pt>
                <c:pt idx="114">
                  <c:v>46.331400000000002</c:v>
                </c:pt>
                <c:pt idx="115">
                  <c:v>46.735599999999998</c:v>
                </c:pt>
                <c:pt idx="116">
                  <c:v>47.145699999999998</c:v>
                </c:pt>
                <c:pt idx="117">
                  <c:v>47.546999999999997</c:v>
                </c:pt>
                <c:pt idx="118">
                  <c:v>47.952300000000001</c:v>
                </c:pt>
                <c:pt idx="119">
                  <c:v>48.3611</c:v>
                </c:pt>
                <c:pt idx="120">
                  <c:v>48.769100000000002</c:v>
                </c:pt>
                <c:pt idx="121">
                  <c:v>49.175899999999999</c:v>
                </c:pt>
                <c:pt idx="122">
                  <c:v>49.577800000000003</c:v>
                </c:pt>
                <c:pt idx="123">
                  <c:v>49.984200000000001</c:v>
                </c:pt>
                <c:pt idx="124">
                  <c:v>50.390900000000002</c:v>
                </c:pt>
                <c:pt idx="125">
                  <c:v>50.801900000000003</c:v>
                </c:pt>
                <c:pt idx="126">
                  <c:v>51.2059</c:v>
                </c:pt>
                <c:pt idx="127">
                  <c:v>51.613199999999999</c:v>
                </c:pt>
                <c:pt idx="128">
                  <c:v>52.016500000000001</c:v>
                </c:pt>
                <c:pt idx="129">
                  <c:v>52.4223</c:v>
                </c:pt>
                <c:pt idx="130">
                  <c:v>52.834200000000003</c:v>
                </c:pt>
                <c:pt idx="131">
                  <c:v>53.236699999999999</c:v>
                </c:pt>
                <c:pt idx="132">
                  <c:v>53.645600000000002</c:v>
                </c:pt>
                <c:pt idx="133">
                  <c:v>54.047199999999997</c:v>
                </c:pt>
                <c:pt idx="134">
                  <c:v>54.455599999999997</c:v>
                </c:pt>
                <c:pt idx="135">
                  <c:v>54.859499999999997</c:v>
                </c:pt>
                <c:pt idx="136">
                  <c:v>55.272300000000001</c:v>
                </c:pt>
                <c:pt idx="137">
                  <c:v>55.6755</c:v>
                </c:pt>
                <c:pt idx="138">
                  <c:v>56.081299999999999</c:v>
                </c:pt>
                <c:pt idx="139">
                  <c:v>56.485399999999998</c:v>
                </c:pt>
                <c:pt idx="140">
                  <c:v>56.894399999999997</c:v>
                </c:pt>
                <c:pt idx="141">
                  <c:v>57.298200000000001</c:v>
                </c:pt>
                <c:pt idx="142">
                  <c:v>57.707799999999999</c:v>
                </c:pt>
                <c:pt idx="143">
                  <c:v>58.112200000000001</c:v>
                </c:pt>
                <c:pt idx="144">
                  <c:v>58.514299999999999</c:v>
                </c:pt>
                <c:pt idx="145">
                  <c:v>58.9251</c:v>
                </c:pt>
                <c:pt idx="146">
                  <c:v>59.334200000000003</c:v>
                </c:pt>
                <c:pt idx="147">
                  <c:v>59.739800000000002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67.191900000000004</c:v>
                </c:pt>
                <c:pt idx="1">
                  <c:v>67.239800000000002</c:v>
                </c:pt>
                <c:pt idx="2">
                  <c:v>67.257800000000003</c:v>
                </c:pt>
                <c:pt idx="3">
                  <c:v>67.171999999999997</c:v>
                </c:pt>
                <c:pt idx="4">
                  <c:v>66.905900000000003</c:v>
                </c:pt>
                <c:pt idx="5">
                  <c:v>66.486900000000006</c:v>
                </c:pt>
                <c:pt idx="6">
                  <c:v>66.012699999999995</c:v>
                </c:pt>
                <c:pt idx="7">
                  <c:v>65.479900000000001</c:v>
                </c:pt>
                <c:pt idx="8">
                  <c:v>64.895800000000008</c:v>
                </c:pt>
                <c:pt idx="9">
                  <c:v>64.3172</c:v>
                </c:pt>
                <c:pt idx="10">
                  <c:v>63.745399999999997</c:v>
                </c:pt>
                <c:pt idx="11">
                  <c:v>63.240499999999997</c:v>
                </c:pt>
                <c:pt idx="12">
                  <c:v>62.673599999999993</c:v>
                </c:pt>
                <c:pt idx="13">
                  <c:v>62.096200000000003</c:v>
                </c:pt>
                <c:pt idx="14">
                  <c:v>61.575000000000003</c:v>
                </c:pt>
                <c:pt idx="15">
                  <c:v>61.102199999999996</c:v>
                </c:pt>
                <c:pt idx="16">
                  <c:v>60.717399999999998</c:v>
                </c:pt>
                <c:pt idx="17">
                  <c:v>60.423300000000005</c:v>
                </c:pt>
                <c:pt idx="18">
                  <c:v>60.1845</c:v>
                </c:pt>
                <c:pt idx="19">
                  <c:v>59.868699999999997</c:v>
                </c:pt>
                <c:pt idx="20">
                  <c:v>59.581799999999994</c:v>
                </c:pt>
                <c:pt idx="21">
                  <c:v>59.272800000000004</c:v>
                </c:pt>
                <c:pt idx="22">
                  <c:v>58.830300000000001</c:v>
                </c:pt>
                <c:pt idx="23">
                  <c:v>58.334299999999992</c:v>
                </c:pt>
                <c:pt idx="24">
                  <c:v>57.793499999999995</c:v>
                </c:pt>
                <c:pt idx="25">
                  <c:v>57.164800000000007</c:v>
                </c:pt>
                <c:pt idx="26">
                  <c:v>56.420299999999997</c:v>
                </c:pt>
                <c:pt idx="27">
                  <c:v>55.643000000000001</c:v>
                </c:pt>
                <c:pt idx="28">
                  <c:v>54.748399999999997</c:v>
                </c:pt>
                <c:pt idx="29">
                  <c:v>53.736399999999996</c:v>
                </c:pt>
                <c:pt idx="30">
                  <c:v>52.721799999999995</c:v>
                </c:pt>
                <c:pt idx="31">
                  <c:v>51.582499999999996</c:v>
                </c:pt>
                <c:pt idx="32">
                  <c:v>50.400900000000007</c:v>
                </c:pt>
                <c:pt idx="33">
                  <c:v>49.346600000000002</c:v>
                </c:pt>
                <c:pt idx="34">
                  <c:v>48.339599999999997</c:v>
                </c:pt>
                <c:pt idx="35">
                  <c:v>47.185500000000005</c:v>
                </c:pt>
                <c:pt idx="36">
                  <c:v>46.109099999999998</c:v>
                </c:pt>
                <c:pt idx="37">
                  <c:v>45.228499999999997</c:v>
                </c:pt>
                <c:pt idx="38">
                  <c:v>44.582300000000004</c:v>
                </c:pt>
                <c:pt idx="39">
                  <c:v>43.979900000000001</c:v>
                </c:pt>
                <c:pt idx="40">
                  <c:v>43.570399999999999</c:v>
                </c:pt>
                <c:pt idx="41">
                  <c:v>43.336300000000001</c:v>
                </c:pt>
                <c:pt idx="42">
                  <c:v>43.133200000000002</c:v>
                </c:pt>
                <c:pt idx="43">
                  <c:v>43.036200000000001</c:v>
                </c:pt>
                <c:pt idx="44">
                  <c:v>42.950800000000001</c:v>
                </c:pt>
                <c:pt idx="45">
                  <c:v>43.017499999999998</c:v>
                </c:pt>
                <c:pt idx="46">
                  <c:v>43.1721</c:v>
                </c:pt>
                <c:pt idx="47">
                  <c:v>43.377099999999999</c:v>
                </c:pt>
                <c:pt idx="48">
                  <c:v>43.569200000000002</c:v>
                </c:pt>
                <c:pt idx="49">
                  <c:v>43.736399999999996</c:v>
                </c:pt>
                <c:pt idx="50">
                  <c:v>43.881999999999998</c:v>
                </c:pt>
                <c:pt idx="51">
                  <c:v>43.991500000000002</c:v>
                </c:pt>
                <c:pt idx="52">
                  <c:v>44.1295</c:v>
                </c:pt>
                <c:pt idx="53">
                  <c:v>44.240600000000001</c:v>
                </c:pt>
                <c:pt idx="54">
                  <c:v>44.303599999999996</c:v>
                </c:pt>
                <c:pt idx="55">
                  <c:v>44.247500000000002</c:v>
                </c:pt>
                <c:pt idx="56">
                  <c:v>44.223600000000005</c:v>
                </c:pt>
                <c:pt idx="57">
                  <c:v>44.119100000000003</c:v>
                </c:pt>
                <c:pt idx="58">
                  <c:v>44.015100000000004</c:v>
                </c:pt>
                <c:pt idx="59">
                  <c:v>43.926300000000005</c:v>
                </c:pt>
                <c:pt idx="60">
                  <c:v>43.844799999999999</c:v>
                </c:pt>
                <c:pt idx="61">
                  <c:v>43.8474</c:v>
                </c:pt>
                <c:pt idx="62">
                  <c:v>43.808799999999998</c:v>
                </c:pt>
                <c:pt idx="63">
                  <c:v>43.783699999999996</c:v>
                </c:pt>
                <c:pt idx="64">
                  <c:v>43.832900000000002</c:v>
                </c:pt>
                <c:pt idx="65">
                  <c:v>43.741300000000003</c:v>
                </c:pt>
                <c:pt idx="66">
                  <c:v>43.7042</c:v>
                </c:pt>
                <c:pt idx="67">
                  <c:v>43.7331</c:v>
                </c:pt>
                <c:pt idx="68">
                  <c:v>43.930599999999998</c:v>
                </c:pt>
                <c:pt idx="69">
                  <c:v>43.9968</c:v>
                </c:pt>
                <c:pt idx="70">
                  <c:v>43.962899999999998</c:v>
                </c:pt>
                <c:pt idx="71">
                  <c:v>44.003500000000003</c:v>
                </c:pt>
                <c:pt idx="72">
                  <c:v>43.873699999999999</c:v>
                </c:pt>
                <c:pt idx="73">
                  <c:v>44.0503</c:v>
                </c:pt>
                <c:pt idx="74">
                  <c:v>44.234000000000002</c:v>
                </c:pt>
                <c:pt idx="75">
                  <c:v>44.354999999999997</c:v>
                </c:pt>
                <c:pt idx="76">
                  <c:v>44.604799999999997</c:v>
                </c:pt>
                <c:pt idx="77">
                  <c:v>44.782800000000002</c:v>
                </c:pt>
                <c:pt idx="78">
                  <c:v>44.834499999999998</c:v>
                </c:pt>
                <c:pt idx="79">
                  <c:v>44.887500000000003</c:v>
                </c:pt>
                <c:pt idx="80">
                  <c:v>44.855200000000004</c:v>
                </c:pt>
                <c:pt idx="81">
                  <c:v>44.800699999999999</c:v>
                </c:pt>
                <c:pt idx="82">
                  <c:v>44.696100000000001</c:v>
                </c:pt>
                <c:pt idx="83">
                  <c:v>44.712299999999999</c:v>
                </c:pt>
                <c:pt idx="84">
                  <c:v>44.775399999999998</c:v>
                </c:pt>
                <c:pt idx="85">
                  <c:v>44.908000000000001</c:v>
                </c:pt>
                <c:pt idx="86">
                  <c:v>45.165199999999999</c:v>
                </c:pt>
                <c:pt idx="87">
                  <c:v>45.409599999999998</c:v>
                </c:pt>
                <c:pt idx="88">
                  <c:v>45.632400000000004</c:v>
                </c:pt>
                <c:pt idx="89">
                  <c:v>45.802599999999998</c:v>
                </c:pt>
                <c:pt idx="90">
                  <c:v>45.898499999999999</c:v>
                </c:pt>
                <c:pt idx="91">
                  <c:v>45.955300000000001</c:v>
                </c:pt>
                <c:pt idx="92">
                  <c:v>46.036899999999996</c:v>
                </c:pt>
                <c:pt idx="93">
                  <c:v>46.071800000000003</c:v>
                </c:pt>
                <c:pt idx="94">
                  <c:v>46.1342</c:v>
                </c:pt>
                <c:pt idx="95">
                  <c:v>46.180599999999998</c:v>
                </c:pt>
                <c:pt idx="96">
                  <c:v>46.175399999999996</c:v>
                </c:pt>
                <c:pt idx="97">
                  <c:v>46.127000000000002</c:v>
                </c:pt>
                <c:pt idx="98">
                  <c:v>46.060299999999998</c:v>
                </c:pt>
                <c:pt idx="99">
                  <c:v>45.922899999999998</c:v>
                </c:pt>
                <c:pt idx="100">
                  <c:v>45.812100000000001</c:v>
                </c:pt>
                <c:pt idx="101">
                  <c:v>45.673099999999998</c:v>
                </c:pt>
                <c:pt idx="102">
                  <c:v>45.533900000000003</c:v>
                </c:pt>
                <c:pt idx="103">
                  <c:v>45.500299999999996</c:v>
                </c:pt>
                <c:pt idx="104">
                  <c:v>45.537599999999998</c:v>
                </c:pt>
                <c:pt idx="105">
                  <c:v>45.589300000000001</c:v>
                </c:pt>
                <c:pt idx="106">
                  <c:v>45.616</c:v>
                </c:pt>
                <c:pt idx="107">
                  <c:v>45.655499999999996</c:v>
                </c:pt>
                <c:pt idx="108">
                  <c:v>45.623999999999995</c:v>
                </c:pt>
                <c:pt idx="109">
                  <c:v>45.576599999999999</c:v>
                </c:pt>
                <c:pt idx="110">
                  <c:v>45.5443</c:v>
                </c:pt>
                <c:pt idx="111">
                  <c:v>45.555700000000002</c:v>
                </c:pt>
                <c:pt idx="112">
                  <c:v>45.534200000000006</c:v>
                </c:pt>
                <c:pt idx="113">
                  <c:v>45.5366</c:v>
                </c:pt>
                <c:pt idx="114">
                  <c:v>45.520699999999998</c:v>
                </c:pt>
                <c:pt idx="115">
                  <c:v>45.504600000000003</c:v>
                </c:pt>
                <c:pt idx="116">
                  <c:v>45.509899999999995</c:v>
                </c:pt>
                <c:pt idx="117">
                  <c:v>45.556799999999996</c:v>
                </c:pt>
                <c:pt idx="118">
                  <c:v>45.641399999999997</c:v>
                </c:pt>
                <c:pt idx="119">
                  <c:v>45.6873</c:v>
                </c:pt>
                <c:pt idx="120">
                  <c:v>45.7301</c:v>
                </c:pt>
                <c:pt idx="121">
                  <c:v>45.784200000000006</c:v>
                </c:pt>
                <c:pt idx="122">
                  <c:v>45.835599999999999</c:v>
                </c:pt>
                <c:pt idx="123">
                  <c:v>45.827400000000004</c:v>
                </c:pt>
                <c:pt idx="124">
                  <c:v>45.863500000000002</c:v>
                </c:pt>
                <c:pt idx="125">
                  <c:v>45.923499999999997</c:v>
                </c:pt>
                <c:pt idx="126">
                  <c:v>46.023499999999999</c:v>
                </c:pt>
                <c:pt idx="127">
                  <c:v>46.157900000000005</c:v>
                </c:pt>
                <c:pt idx="128">
                  <c:v>46.291600000000003</c:v>
                </c:pt>
                <c:pt idx="129">
                  <c:v>46.435600000000001</c:v>
                </c:pt>
                <c:pt idx="130">
                  <c:v>46.587699999999998</c:v>
                </c:pt>
                <c:pt idx="131">
                  <c:v>46.776000000000003</c:v>
                </c:pt>
                <c:pt idx="132">
                  <c:v>47.008400000000002</c:v>
                </c:pt>
                <c:pt idx="133">
                  <c:v>47.222799999999999</c:v>
                </c:pt>
                <c:pt idx="134">
                  <c:v>47.450399999999995</c:v>
                </c:pt>
                <c:pt idx="135">
                  <c:v>47.657400000000003</c:v>
                </c:pt>
                <c:pt idx="136">
                  <c:v>47.821399999999997</c:v>
                </c:pt>
                <c:pt idx="137">
                  <c:v>47.9529</c:v>
                </c:pt>
                <c:pt idx="138">
                  <c:v>47.999700000000004</c:v>
                </c:pt>
                <c:pt idx="139">
                  <c:v>47.898800000000001</c:v>
                </c:pt>
                <c:pt idx="140">
                  <c:v>47.787700000000001</c:v>
                </c:pt>
                <c:pt idx="141">
                  <c:v>47.710099999999997</c:v>
                </c:pt>
                <c:pt idx="142">
                  <c:v>47.635599999999997</c:v>
                </c:pt>
                <c:pt idx="143">
                  <c:v>47.558</c:v>
                </c:pt>
                <c:pt idx="144">
                  <c:v>47.6036</c:v>
                </c:pt>
                <c:pt idx="145">
                  <c:v>47.763399999999997</c:v>
                </c:pt>
                <c:pt idx="146">
                  <c:v>47.7607</c:v>
                </c:pt>
                <c:pt idx="147">
                  <c:v>47.751900000000006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0.38016800000000001</c:v>
                </c:pt>
                <c:pt idx="2">
                  <c:v>0.78143899999999999</c:v>
                </c:pt>
                <c:pt idx="3">
                  <c:v>1.1885600000000001</c:v>
                </c:pt>
                <c:pt idx="4">
                  <c:v>1.5968599999999999</c:v>
                </c:pt>
                <c:pt idx="5">
                  <c:v>2.00461</c:v>
                </c:pt>
                <c:pt idx="6">
                  <c:v>2.40733</c:v>
                </c:pt>
                <c:pt idx="7">
                  <c:v>2.8138999999999998</c:v>
                </c:pt>
                <c:pt idx="8">
                  <c:v>3.2186499999999998</c:v>
                </c:pt>
                <c:pt idx="9">
                  <c:v>3.6255000000000002</c:v>
                </c:pt>
                <c:pt idx="10">
                  <c:v>4.03139</c:v>
                </c:pt>
                <c:pt idx="11">
                  <c:v>4.4384699999999997</c:v>
                </c:pt>
                <c:pt idx="12">
                  <c:v>4.8444500000000001</c:v>
                </c:pt>
                <c:pt idx="13">
                  <c:v>5.2534900000000002</c:v>
                </c:pt>
                <c:pt idx="14">
                  <c:v>5.65794</c:v>
                </c:pt>
                <c:pt idx="15">
                  <c:v>6.0641600000000002</c:v>
                </c:pt>
                <c:pt idx="16">
                  <c:v>6.4698099999999998</c:v>
                </c:pt>
                <c:pt idx="17">
                  <c:v>6.8782100000000002</c:v>
                </c:pt>
                <c:pt idx="18">
                  <c:v>7.2864199999999997</c:v>
                </c:pt>
                <c:pt idx="19">
                  <c:v>7.6915800000000001</c:v>
                </c:pt>
                <c:pt idx="20">
                  <c:v>8.0958299999999994</c:v>
                </c:pt>
                <c:pt idx="21">
                  <c:v>8.50122</c:v>
                </c:pt>
                <c:pt idx="22">
                  <c:v>8.9089399999999994</c:v>
                </c:pt>
                <c:pt idx="23">
                  <c:v>9.3165899999999997</c:v>
                </c:pt>
                <c:pt idx="24">
                  <c:v>9.7228700000000003</c:v>
                </c:pt>
                <c:pt idx="25">
                  <c:v>10.124599999999999</c:v>
                </c:pt>
                <c:pt idx="26">
                  <c:v>10.5314</c:v>
                </c:pt>
                <c:pt idx="27">
                  <c:v>10.9376</c:v>
                </c:pt>
                <c:pt idx="28">
                  <c:v>11.347300000000001</c:v>
                </c:pt>
                <c:pt idx="29">
                  <c:v>11.7536</c:v>
                </c:pt>
                <c:pt idx="30">
                  <c:v>12.158300000000001</c:v>
                </c:pt>
                <c:pt idx="31">
                  <c:v>12.562799999999999</c:v>
                </c:pt>
                <c:pt idx="32">
                  <c:v>12.9702</c:v>
                </c:pt>
                <c:pt idx="33">
                  <c:v>13.3779</c:v>
                </c:pt>
                <c:pt idx="34">
                  <c:v>13.7851</c:v>
                </c:pt>
                <c:pt idx="35">
                  <c:v>14.189299999999999</c:v>
                </c:pt>
                <c:pt idx="36">
                  <c:v>14.596399999999999</c:v>
                </c:pt>
                <c:pt idx="37">
                  <c:v>15.002700000000001</c:v>
                </c:pt>
                <c:pt idx="38">
                  <c:v>15.4099</c:v>
                </c:pt>
                <c:pt idx="39">
                  <c:v>15.817600000000001</c:v>
                </c:pt>
                <c:pt idx="40">
                  <c:v>16.2211</c:v>
                </c:pt>
                <c:pt idx="41">
                  <c:v>16.626300000000001</c:v>
                </c:pt>
                <c:pt idx="42">
                  <c:v>17.0319</c:v>
                </c:pt>
                <c:pt idx="43">
                  <c:v>17.441800000000001</c:v>
                </c:pt>
                <c:pt idx="44">
                  <c:v>17.848199999999999</c:v>
                </c:pt>
                <c:pt idx="45">
                  <c:v>18.254999999999999</c:v>
                </c:pt>
                <c:pt idx="46">
                  <c:v>18.6584</c:v>
                </c:pt>
                <c:pt idx="47">
                  <c:v>19.064499999999999</c:v>
                </c:pt>
                <c:pt idx="48">
                  <c:v>19.470800000000001</c:v>
                </c:pt>
                <c:pt idx="49">
                  <c:v>19.874600000000001</c:v>
                </c:pt>
                <c:pt idx="50">
                  <c:v>20.282</c:v>
                </c:pt>
                <c:pt idx="51">
                  <c:v>20.690999999999999</c:v>
                </c:pt>
                <c:pt idx="52">
                  <c:v>21.095800000000001</c:v>
                </c:pt>
                <c:pt idx="53">
                  <c:v>21.502300000000002</c:v>
                </c:pt>
                <c:pt idx="54">
                  <c:v>21.907800000000002</c:v>
                </c:pt>
                <c:pt idx="55">
                  <c:v>22.316800000000001</c:v>
                </c:pt>
                <c:pt idx="56">
                  <c:v>22.7225</c:v>
                </c:pt>
                <c:pt idx="57">
                  <c:v>23.1282</c:v>
                </c:pt>
                <c:pt idx="58">
                  <c:v>23.5335</c:v>
                </c:pt>
                <c:pt idx="59">
                  <c:v>23.939399999999999</c:v>
                </c:pt>
                <c:pt idx="60">
                  <c:v>24.3462</c:v>
                </c:pt>
                <c:pt idx="61">
                  <c:v>24.751000000000001</c:v>
                </c:pt>
                <c:pt idx="62">
                  <c:v>25.1615</c:v>
                </c:pt>
                <c:pt idx="63">
                  <c:v>25.564499999999999</c:v>
                </c:pt>
                <c:pt idx="64">
                  <c:v>25.968800000000002</c:v>
                </c:pt>
                <c:pt idx="65">
                  <c:v>26.377500000000001</c:v>
                </c:pt>
                <c:pt idx="66">
                  <c:v>26.782800000000002</c:v>
                </c:pt>
                <c:pt idx="67">
                  <c:v>27.191500000000001</c:v>
                </c:pt>
                <c:pt idx="68">
                  <c:v>27.5962</c:v>
                </c:pt>
                <c:pt idx="69">
                  <c:v>28.000599999999999</c:v>
                </c:pt>
                <c:pt idx="70">
                  <c:v>28.4101</c:v>
                </c:pt>
                <c:pt idx="71">
                  <c:v>28.814900000000002</c:v>
                </c:pt>
                <c:pt idx="72">
                  <c:v>29.2212</c:v>
                </c:pt>
                <c:pt idx="73">
                  <c:v>29.625599999999999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67.191900000000004</c:v>
                </c:pt>
                <c:pt idx="1">
                  <c:v>67.239800000000002</c:v>
                </c:pt>
                <c:pt idx="2">
                  <c:v>67.257800000000003</c:v>
                </c:pt>
                <c:pt idx="3">
                  <c:v>67.171999999999997</c:v>
                </c:pt>
                <c:pt idx="4">
                  <c:v>66.905900000000003</c:v>
                </c:pt>
                <c:pt idx="5">
                  <c:v>66.486900000000006</c:v>
                </c:pt>
                <c:pt idx="6">
                  <c:v>66.012699999999995</c:v>
                </c:pt>
                <c:pt idx="7">
                  <c:v>65.479900000000001</c:v>
                </c:pt>
                <c:pt idx="8">
                  <c:v>64.895800000000008</c:v>
                </c:pt>
                <c:pt idx="9">
                  <c:v>64.3172</c:v>
                </c:pt>
                <c:pt idx="10">
                  <c:v>63.745399999999997</c:v>
                </c:pt>
                <c:pt idx="11">
                  <c:v>63.240499999999997</c:v>
                </c:pt>
                <c:pt idx="12">
                  <c:v>62.673599999999993</c:v>
                </c:pt>
                <c:pt idx="13">
                  <c:v>62.096200000000003</c:v>
                </c:pt>
                <c:pt idx="14">
                  <c:v>61.575000000000003</c:v>
                </c:pt>
                <c:pt idx="15">
                  <c:v>61.102199999999996</c:v>
                </c:pt>
                <c:pt idx="16">
                  <c:v>60.717399999999998</c:v>
                </c:pt>
                <c:pt idx="17">
                  <c:v>60.423300000000005</c:v>
                </c:pt>
                <c:pt idx="18">
                  <c:v>60.1845</c:v>
                </c:pt>
                <c:pt idx="19">
                  <c:v>59.868699999999997</c:v>
                </c:pt>
                <c:pt idx="20">
                  <c:v>59.581799999999994</c:v>
                </c:pt>
                <c:pt idx="21">
                  <c:v>59.272800000000004</c:v>
                </c:pt>
                <c:pt idx="22">
                  <c:v>58.830300000000001</c:v>
                </c:pt>
                <c:pt idx="23">
                  <c:v>58.334299999999992</c:v>
                </c:pt>
                <c:pt idx="24">
                  <c:v>57.793499999999995</c:v>
                </c:pt>
                <c:pt idx="25">
                  <c:v>57.164800000000007</c:v>
                </c:pt>
                <c:pt idx="26">
                  <c:v>56.420299999999997</c:v>
                </c:pt>
                <c:pt idx="27">
                  <c:v>55.643000000000001</c:v>
                </c:pt>
                <c:pt idx="28">
                  <c:v>54.748399999999997</c:v>
                </c:pt>
                <c:pt idx="29">
                  <c:v>53.736399999999996</c:v>
                </c:pt>
                <c:pt idx="30">
                  <c:v>52.721799999999995</c:v>
                </c:pt>
                <c:pt idx="31">
                  <c:v>51.582499999999996</c:v>
                </c:pt>
                <c:pt idx="32">
                  <c:v>50.400900000000007</c:v>
                </c:pt>
                <c:pt idx="33">
                  <c:v>49.346600000000002</c:v>
                </c:pt>
                <c:pt idx="34">
                  <c:v>48.339599999999997</c:v>
                </c:pt>
                <c:pt idx="35">
                  <c:v>47.185500000000005</c:v>
                </c:pt>
                <c:pt idx="36">
                  <c:v>46.109099999999998</c:v>
                </c:pt>
                <c:pt idx="37">
                  <c:v>45.228499999999997</c:v>
                </c:pt>
                <c:pt idx="38">
                  <c:v>44.582300000000004</c:v>
                </c:pt>
                <c:pt idx="39">
                  <c:v>43.979900000000001</c:v>
                </c:pt>
                <c:pt idx="40">
                  <c:v>43.570399999999999</c:v>
                </c:pt>
                <c:pt idx="41">
                  <c:v>43.336300000000001</c:v>
                </c:pt>
                <c:pt idx="42">
                  <c:v>43.133200000000002</c:v>
                </c:pt>
                <c:pt idx="43">
                  <c:v>43.036200000000001</c:v>
                </c:pt>
                <c:pt idx="44">
                  <c:v>42.950800000000001</c:v>
                </c:pt>
                <c:pt idx="45">
                  <c:v>43.017499999999998</c:v>
                </c:pt>
                <c:pt idx="46">
                  <c:v>43.1721</c:v>
                </c:pt>
                <c:pt idx="47">
                  <c:v>43.377099999999999</c:v>
                </c:pt>
                <c:pt idx="48">
                  <c:v>43.569200000000002</c:v>
                </c:pt>
                <c:pt idx="49">
                  <c:v>43.736399999999996</c:v>
                </c:pt>
                <c:pt idx="50">
                  <c:v>43.881999999999998</c:v>
                </c:pt>
                <c:pt idx="51">
                  <c:v>43.991500000000002</c:v>
                </c:pt>
                <c:pt idx="52">
                  <c:v>44.1295</c:v>
                </c:pt>
                <c:pt idx="53">
                  <c:v>44.240600000000001</c:v>
                </c:pt>
                <c:pt idx="54">
                  <c:v>44.303599999999996</c:v>
                </c:pt>
                <c:pt idx="55">
                  <c:v>44.247500000000002</c:v>
                </c:pt>
                <c:pt idx="56">
                  <c:v>44.223600000000005</c:v>
                </c:pt>
                <c:pt idx="57">
                  <c:v>44.119100000000003</c:v>
                </c:pt>
                <c:pt idx="58">
                  <c:v>44.015100000000004</c:v>
                </c:pt>
                <c:pt idx="59">
                  <c:v>43.926300000000005</c:v>
                </c:pt>
                <c:pt idx="60">
                  <c:v>43.844799999999999</c:v>
                </c:pt>
                <c:pt idx="61">
                  <c:v>43.8474</c:v>
                </c:pt>
                <c:pt idx="62">
                  <c:v>43.808799999999998</c:v>
                </c:pt>
                <c:pt idx="63">
                  <c:v>43.783699999999996</c:v>
                </c:pt>
                <c:pt idx="64">
                  <c:v>43.832900000000002</c:v>
                </c:pt>
                <c:pt idx="65">
                  <c:v>43.741300000000003</c:v>
                </c:pt>
                <c:pt idx="66">
                  <c:v>43.7042</c:v>
                </c:pt>
                <c:pt idx="67">
                  <c:v>43.7331</c:v>
                </c:pt>
                <c:pt idx="68">
                  <c:v>43.930599999999998</c:v>
                </c:pt>
                <c:pt idx="69">
                  <c:v>43.9968</c:v>
                </c:pt>
                <c:pt idx="70">
                  <c:v>43.962899999999998</c:v>
                </c:pt>
                <c:pt idx="71">
                  <c:v>44.003500000000003</c:v>
                </c:pt>
                <c:pt idx="72">
                  <c:v>43.873699999999999</c:v>
                </c:pt>
                <c:pt idx="73">
                  <c:v>44.0503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29.625599999999999</c:v>
                </c:pt>
                <c:pt idx="1">
                  <c:v>30.030799999999999</c:v>
                </c:pt>
                <c:pt idx="2">
                  <c:v>30.515000000000001</c:v>
                </c:pt>
                <c:pt idx="3">
                  <c:v>30.89</c:v>
                </c:pt>
                <c:pt idx="4">
                  <c:v>31.297699999999999</c:v>
                </c:pt>
                <c:pt idx="5">
                  <c:v>31.703499999999998</c:v>
                </c:pt>
                <c:pt idx="6">
                  <c:v>32.111400000000003</c:v>
                </c:pt>
                <c:pt idx="7">
                  <c:v>32.517499999999998</c:v>
                </c:pt>
                <c:pt idx="8">
                  <c:v>32.922699999999999</c:v>
                </c:pt>
                <c:pt idx="9">
                  <c:v>33.331400000000002</c:v>
                </c:pt>
                <c:pt idx="10">
                  <c:v>33.7395</c:v>
                </c:pt>
                <c:pt idx="11">
                  <c:v>34.142499999999998</c:v>
                </c:pt>
                <c:pt idx="12">
                  <c:v>34.549599999999998</c:v>
                </c:pt>
                <c:pt idx="13">
                  <c:v>34.957299999999996</c:v>
                </c:pt>
                <c:pt idx="14">
                  <c:v>35.364100000000001</c:v>
                </c:pt>
                <c:pt idx="15">
                  <c:v>35.766800000000003</c:v>
                </c:pt>
                <c:pt idx="16">
                  <c:v>36.174399999999999</c:v>
                </c:pt>
                <c:pt idx="17">
                  <c:v>36.579900000000002</c:v>
                </c:pt>
                <c:pt idx="18">
                  <c:v>36.989100000000001</c:v>
                </c:pt>
                <c:pt idx="19">
                  <c:v>37.394799999999996</c:v>
                </c:pt>
                <c:pt idx="20">
                  <c:v>37.796399999999998</c:v>
                </c:pt>
                <c:pt idx="21">
                  <c:v>38.204099999999997</c:v>
                </c:pt>
                <c:pt idx="22">
                  <c:v>38.6098</c:v>
                </c:pt>
                <c:pt idx="23">
                  <c:v>39.016500000000001</c:v>
                </c:pt>
                <c:pt idx="24">
                  <c:v>39.425199999999997</c:v>
                </c:pt>
                <c:pt idx="25">
                  <c:v>39.832999999999998</c:v>
                </c:pt>
                <c:pt idx="26">
                  <c:v>40.237299999999998</c:v>
                </c:pt>
                <c:pt idx="27">
                  <c:v>40.643000000000001</c:v>
                </c:pt>
                <c:pt idx="28">
                  <c:v>41.047899999999998</c:v>
                </c:pt>
                <c:pt idx="29">
                  <c:v>41.4572</c:v>
                </c:pt>
                <c:pt idx="30">
                  <c:v>41.860999999999997</c:v>
                </c:pt>
                <c:pt idx="31">
                  <c:v>42.266599999999997</c:v>
                </c:pt>
                <c:pt idx="32">
                  <c:v>42.672699999999999</c:v>
                </c:pt>
                <c:pt idx="33">
                  <c:v>43.077399999999997</c:v>
                </c:pt>
                <c:pt idx="34">
                  <c:v>43.491399999999999</c:v>
                </c:pt>
                <c:pt idx="35">
                  <c:v>43.894199999999998</c:v>
                </c:pt>
                <c:pt idx="36">
                  <c:v>44.301400000000001</c:v>
                </c:pt>
                <c:pt idx="37">
                  <c:v>44.705100000000002</c:v>
                </c:pt>
                <c:pt idx="38">
                  <c:v>45.108800000000002</c:v>
                </c:pt>
                <c:pt idx="39">
                  <c:v>45.5169</c:v>
                </c:pt>
                <c:pt idx="40">
                  <c:v>45.924300000000002</c:v>
                </c:pt>
                <c:pt idx="41">
                  <c:v>46.331400000000002</c:v>
                </c:pt>
                <c:pt idx="42">
                  <c:v>46.735599999999998</c:v>
                </c:pt>
                <c:pt idx="43">
                  <c:v>47.145699999999998</c:v>
                </c:pt>
                <c:pt idx="44">
                  <c:v>47.546999999999997</c:v>
                </c:pt>
                <c:pt idx="45">
                  <c:v>47.952300000000001</c:v>
                </c:pt>
                <c:pt idx="46">
                  <c:v>48.3611</c:v>
                </c:pt>
                <c:pt idx="47">
                  <c:v>48.769100000000002</c:v>
                </c:pt>
                <c:pt idx="48">
                  <c:v>49.175899999999999</c:v>
                </c:pt>
                <c:pt idx="49">
                  <c:v>49.577800000000003</c:v>
                </c:pt>
                <c:pt idx="50">
                  <c:v>49.984200000000001</c:v>
                </c:pt>
                <c:pt idx="51">
                  <c:v>50.390900000000002</c:v>
                </c:pt>
                <c:pt idx="52">
                  <c:v>50.801900000000003</c:v>
                </c:pt>
                <c:pt idx="53">
                  <c:v>51.2059</c:v>
                </c:pt>
                <c:pt idx="54">
                  <c:v>51.613199999999999</c:v>
                </c:pt>
                <c:pt idx="55">
                  <c:v>52.016500000000001</c:v>
                </c:pt>
                <c:pt idx="56">
                  <c:v>52.4223</c:v>
                </c:pt>
                <c:pt idx="57">
                  <c:v>52.834200000000003</c:v>
                </c:pt>
                <c:pt idx="58">
                  <c:v>53.236699999999999</c:v>
                </c:pt>
                <c:pt idx="59">
                  <c:v>53.645600000000002</c:v>
                </c:pt>
                <c:pt idx="60">
                  <c:v>54.047199999999997</c:v>
                </c:pt>
                <c:pt idx="61">
                  <c:v>54.455599999999997</c:v>
                </c:pt>
                <c:pt idx="62">
                  <c:v>54.859499999999997</c:v>
                </c:pt>
                <c:pt idx="63">
                  <c:v>55.272300000000001</c:v>
                </c:pt>
                <c:pt idx="64">
                  <c:v>55.6755</c:v>
                </c:pt>
                <c:pt idx="65">
                  <c:v>56.081299999999999</c:v>
                </c:pt>
                <c:pt idx="66">
                  <c:v>56.485399999999998</c:v>
                </c:pt>
                <c:pt idx="67">
                  <c:v>56.894399999999997</c:v>
                </c:pt>
                <c:pt idx="68">
                  <c:v>57.298200000000001</c:v>
                </c:pt>
                <c:pt idx="69">
                  <c:v>57.707799999999999</c:v>
                </c:pt>
                <c:pt idx="70">
                  <c:v>58.112200000000001</c:v>
                </c:pt>
                <c:pt idx="71">
                  <c:v>58.514299999999999</c:v>
                </c:pt>
                <c:pt idx="72">
                  <c:v>58.9251</c:v>
                </c:pt>
                <c:pt idx="73">
                  <c:v>59.334200000000003</c:v>
                </c:pt>
                <c:pt idx="74">
                  <c:v>59.739800000000002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44.0503</c:v>
                </c:pt>
                <c:pt idx="1">
                  <c:v>44.234000000000002</c:v>
                </c:pt>
                <c:pt idx="2">
                  <c:v>44.354999999999997</c:v>
                </c:pt>
                <c:pt idx="3">
                  <c:v>44.604799999999997</c:v>
                </c:pt>
                <c:pt idx="4">
                  <c:v>44.782800000000002</c:v>
                </c:pt>
                <c:pt idx="5">
                  <c:v>44.834499999999998</c:v>
                </c:pt>
                <c:pt idx="6">
                  <c:v>44.887500000000003</c:v>
                </c:pt>
                <c:pt idx="7">
                  <c:v>44.855200000000004</c:v>
                </c:pt>
                <c:pt idx="8">
                  <c:v>44.800699999999999</c:v>
                </c:pt>
                <c:pt idx="9">
                  <c:v>44.696100000000001</c:v>
                </c:pt>
                <c:pt idx="10">
                  <c:v>44.712299999999999</c:v>
                </c:pt>
                <c:pt idx="11">
                  <c:v>44.775399999999998</c:v>
                </c:pt>
                <c:pt idx="12">
                  <c:v>44.908000000000001</c:v>
                </c:pt>
                <c:pt idx="13">
                  <c:v>45.165199999999999</c:v>
                </c:pt>
                <c:pt idx="14">
                  <c:v>45.409599999999998</c:v>
                </c:pt>
                <c:pt idx="15">
                  <c:v>45.632400000000004</c:v>
                </c:pt>
                <c:pt idx="16">
                  <c:v>45.802599999999998</c:v>
                </c:pt>
                <c:pt idx="17">
                  <c:v>45.898499999999999</c:v>
                </c:pt>
                <c:pt idx="18">
                  <c:v>45.955300000000001</c:v>
                </c:pt>
                <c:pt idx="19">
                  <c:v>46.036899999999996</c:v>
                </c:pt>
                <c:pt idx="20">
                  <c:v>46.071800000000003</c:v>
                </c:pt>
                <c:pt idx="21">
                  <c:v>46.1342</c:v>
                </c:pt>
                <c:pt idx="22">
                  <c:v>46.180599999999998</c:v>
                </c:pt>
                <c:pt idx="23">
                  <c:v>46.175399999999996</c:v>
                </c:pt>
                <c:pt idx="24">
                  <c:v>46.127000000000002</c:v>
                </c:pt>
                <c:pt idx="25">
                  <c:v>46.060299999999998</c:v>
                </c:pt>
                <c:pt idx="26">
                  <c:v>45.922899999999998</c:v>
                </c:pt>
                <c:pt idx="27">
                  <c:v>45.812100000000001</c:v>
                </c:pt>
                <c:pt idx="28">
                  <c:v>45.673099999999998</c:v>
                </c:pt>
                <c:pt idx="29">
                  <c:v>45.533900000000003</c:v>
                </c:pt>
                <c:pt idx="30">
                  <c:v>45.500299999999996</c:v>
                </c:pt>
                <c:pt idx="31">
                  <c:v>45.537599999999998</c:v>
                </c:pt>
                <c:pt idx="32">
                  <c:v>45.589300000000001</c:v>
                </c:pt>
                <c:pt idx="33">
                  <c:v>45.616</c:v>
                </c:pt>
                <c:pt idx="34">
                  <c:v>45.655499999999996</c:v>
                </c:pt>
                <c:pt idx="35">
                  <c:v>45.623999999999995</c:v>
                </c:pt>
                <c:pt idx="36">
                  <c:v>45.576599999999999</c:v>
                </c:pt>
                <c:pt idx="37">
                  <c:v>45.5443</c:v>
                </c:pt>
                <c:pt idx="38">
                  <c:v>45.555700000000002</c:v>
                </c:pt>
                <c:pt idx="39">
                  <c:v>45.534200000000006</c:v>
                </c:pt>
                <c:pt idx="40">
                  <c:v>45.5366</c:v>
                </c:pt>
                <c:pt idx="41">
                  <c:v>45.520699999999998</c:v>
                </c:pt>
                <c:pt idx="42">
                  <c:v>45.504600000000003</c:v>
                </c:pt>
                <c:pt idx="43">
                  <c:v>45.509899999999995</c:v>
                </c:pt>
                <c:pt idx="44">
                  <c:v>45.556799999999996</c:v>
                </c:pt>
                <c:pt idx="45">
                  <c:v>45.641399999999997</c:v>
                </c:pt>
                <c:pt idx="46">
                  <c:v>45.6873</c:v>
                </c:pt>
                <c:pt idx="47">
                  <c:v>45.7301</c:v>
                </c:pt>
                <c:pt idx="48">
                  <c:v>45.784200000000006</c:v>
                </c:pt>
                <c:pt idx="49">
                  <c:v>45.835599999999999</c:v>
                </c:pt>
                <c:pt idx="50">
                  <c:v>45.827400000000004</c:v>
                </c:pt>
                <c:pt idx="51">
                  <c:v>45.863500000000002</c:v>
                </c:pt>
                <c:pt idx="52">
                  <c:v>45.923499999999997</c:v>
                </c:pt>
                <c:pt idx="53">
                  <c:v>46.023499999999999</c:v>
                </c:pt>
                <c:pt idx="54">
                  <c:v>46.157900000000005</c:v>
                </c:pt>
                <c:pt idx="55">
                  <c:v>46.291600000000003</c:v>
                </c:pt>
                <c:pt idx="56">
                  <c:v>46.435600000000001</c:v>
                </c:pt>
                <c:pt idx="57">
                  <c:v>46.587699999999998</c:v>
                </c:pt>
                <c:pt idx="58">
                  <c:v>46.776000000000003</c:v>
                </c:pt>
                <c:pt idx="59">
                  <c:v>47.008400000000002</c:v>
                </c:pt>
                <c:pt idx="60">
                  <c:v>47.222799999999999</c:v>
                </c:pt>
                <c:pt idx="61">
                  <c:v>47.450399999999995</c:v>
                </c:pt>
                <c:pt idx="62">
                  <c:v>47.657400000000003</c:v>
                </c:pt>
                <c:pt idx="63">
                  <c:v>47.821399999999997</c:v>
                </c:pt>
                <c:pt idx="64">
                  <c:v>47.9529</c:v>
                </c:pt>
                <c:pt idx="65">
                  <c:v>47.999700000000004</c:v>
                </c:pt>
                <c:pt idx="66">
                  <c:v>47.898800000000001</c:v>
                </c:pt>
                <c:pt idx="67">
                  <c:v>47.787700000000001</c:v>
                </c:pt>
                <c:pt idx="68">
                  <c:v>47.710099999999997</c:v>
                </c:pt>
                <c:pt idx="69">
                  <c:v>47.635599999999997</c:v>
                </c:pt>
                <c:pt idx="70">
                  <c:v>47.558</c:v>
                </c:pt>
                <c:pt idx="71">
                  <c:v>47.6036</c:v>
                </c:pt>
                <c:pt idx="72">
                  <c:v>47.763399999999997</c:v>
                </c:pt>
                <c:pt idx="73">
                  <c:v>47.7607</c:v>
                </c:pt>
                <c:pt idx="74">
                  <c:v>47.751900000000006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14.934950000000001</c:v>
                </c:pt>
                <c:pt idx="1">
                  <c:v>44.804850000000002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51.590283783783789</c:v>
                </c:pt>
                <c:pt idx="1">
                  <c:v>46.034436486486484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2.2427600000000001</c:v>
                </c:pt>
                <c:pt idx="1">
                  <c:v>2.2904599999999999</c:v>
                </c:pt>
                <c:pt idx="2">
                  <c:v>2.3379599999999998</c:v>
                </c:pt>
                <c:pt idx="3">
                  <c:v>2.3857300000000001</c:v>
                </c:pt>
                <c:pt idx="4">
                  <c:v>2.4305499999999998</c:v>
                </c:pt>
                <c:pt idx="5">
                  <c:v>2.4733200000000002</c:v>
                </c:pt>
                <c:pt idx="6">
                  <c:v>2.5132900000000005</c:v>
                </c:pt>
                <c:pt idx="7">
                  <c:v>2.5522200000000002</c:v>
                </c:pt>
                <c:pt idx="8">
                  <c:v>2.5915400000000002</c:v>
                </c:pt>
                <c:pt idx="9">
                  <c:v>2.6285500000000002</c:v>
                </c:pt>
                <c:pt idx="10">
                  <c:v>2.66432</c:v>
                </c:pt>
                <c:pt idx="11">
                  <c:v>2.6931799999999999</c:v>
                </c:pt>
                <c:pt idx="12">
                  <c:v>2.7191100000000001</c:v>
                </c:pt>
                <c:pt idx="13">
                  <c:v>2.7429100000000002</c:v>
                </c:pt>
                <c:pt idx="14">
                  <c:v>2.7655699999999999</c:v>
                </c:pt>
                <c:pt idx="15">
                  <c:v>2.7880199999999999</c:v>
                </c:pt>
                <c:pt idx="16">
                  <c:v>2.8090299999999999</c:v>
                </c:pt>
                <c:pt idx="17">
                  <c:v>2.8304800000000001</c:v>
                </c:pt>
                <c:pt idx="18">
                  <c:v>2.8522699999999999</c:v>
                </c:pt>
                <c:pt idx="19">
                  <c:v>2.8776899999999999</c:v>
                </c:pt>
                <c:pt idx="20">
                  <c:v>2.9008799999999999</c:v>
                </c:pt>
                <c:pt idx="21">
                  <c:v>2.9241200000000003</c:v>
                </c:pt>
                <c:pt idx="22">
                  <c:v>2.9507899999999996</c:v>
                </c:pt>
                <c:pt idx="23">
                  <c:v>2.9803800000000003</c:v>
                </c:pt>
                <c:pt idx="24">
                  <c:v>3.01227</c:v>
                </c:pt>
                <c:pt idx="25">
                  <c:v>3.0478699999999996</c:v>
                </c:pt>
                <c:pt idx="26">
                  <c:v>3.0876799999999998</c:v>
                </c:pt>
                <c:pt idx="27">
                  <c:v>3.1285099999999999</c:v>
                </c:pt>
                <c:pt idx="28">
                  <c:v>3.1716800000000003</c:v>
                </c:pt>
                <c:pt idx="29">
                  <c:v>3.21963</c:v>
                </c:pt>
                <c:pt idx="30">
                  <c:v>3.2702</c:v>
                </c:pt>
                <c:pt idx="31">
                  <c:v>3.32477</c:v>
                </c:pt>
                <c:pt idx="32">
                  <c:v>3.3812500000000001</c:v>
                </c:pt>
                <c:pt idx="33">
                  <c:v>3.4368100000000004</c:v>
                </c:pt>
                <c:pt idx="34">
                  <c:v>3.4938399999999996</c:v>
                </c:pt>
                <c:pt idx="35">
                  <c:v>3.5558299999999998</c:v>
                </c:pt>
                <c:pt idx="36">
                  <c:v>3.6231499999999999</c:v>
                </c:pt>
                <c:pt idx="37">
                  <c:v>3.6888199999999998</c:v>
                </c:pt>
                <c:pt idx="38">
                  <c:v>3.7524200000000003</c:v>
                </c:pt>
                <c:pt idx="39">
                  <c:v>3.8185400000000005</c:v>
                </c:pt>
                <c:pt idx="40">
                  <c:v>3.8867000000000003</c:v>
                </c:pt>
                <c:pt idx="41">
                  <c:v>3.9551500000000002</c:v>
                </c:pt>
                <c:pt idx="42">
                  <c:v>4.0230500000000005</c:v>
                </c:pt>
                <c:pt idx="43">
                  <c:v>4.0894399999999997</c:v>
                </c:pt>
                <c:pt idx="44">
                  <c:v>4.1506600000000002</c:v>
                </c:pt>
                <c:pt idx="45">
                  <c:v>4.2100400000000002</c:v>
                </c:pt>
                <c:pt idx="46">
                  <c:v>4.2644299999999999</c:v>
                </c:pt>
                <c:pt idx="47">
                  <c:v>4.3100100000000001</c:v>
                </c:pt>
                <c:pt idx="48">
                  <c:v>4.3525399999999994</c:v>
                </c:pt>
                <c:pt idx="49">
                  <c:v>4.3936700000000002</c:v>
                </c:pt>
                <c:pt idx="50">
                  <c:v>4.4273699999999998</c:v>
                </c:pt>
                <c:pt idx="51">
                  <c:v>4.45932</c:v>
                </c:pt>
                <c:pt idx="52">
                  <c:v>4.4853100000000001</c:v>
                </c:pt>
                <c:pt idx="53">
                  <c:v>4.5019</c:v>
                </c:pt>
                <c:pt idx="54">
                  <c:v>4.5076599999999996</c:v>
                </c:pt>
                <c:pt idx="55">
                  <c:v>4.5181500000000003</c:v>
                </c:pt>
                <c:pt idx="56">
                  <c:v>4.5087799999999998</c:v>
                </c:pt>
                <c:pt idx="57">
                  <c:v>4.5097800000000001</c:v>
                </c:pt>
                <c:pt idx="58">
                  <c:v>4.5001100000000003</c:v>
                </c:pt>
                <c:pt idx="59">
                  <c:v>4.4884500000000003</c:v>
                </c:pt>
                <c:pt idx="60">
                  <c:v>4.4700100000000003</c:v>
                </c:pt>
                <c:pt idx="61">
                  <c:v>4.4485599999999996</c:v>
                </c:pt>
                <c:pt idx="62">
                  <c:v>4.4151299999999996</c:v>
                </c:pt>
                <c:pt idx="63">
                  <c:v>4.3894899999999994</c:v>
                </c:pt>
                <c:pt idx="64">
                  <c:v>4.3686799999999995</c:v>
                </c:pt>
                <c:pt idx="65">
                  <c:v>4.3213499999999998</c:v>
                </c:pt>
                <c:pt idx="66">
                  <c:v>4.2828400000000002</c:v>
                </c:pt>
                <c:pt idx="67">
                  <c:v>4.2399399999999998</c:v>
                </c:pt>
                <c:pt idx="68">
                  <c:v>4.2059300000000004</c:v>
                </c:pt>
                <c:pt idx="69">
                  <c:v>4.1570200000000002</c:v>
                </c:pt>
                <c:pt idx="70">
                  <c:v>4.0926800000000005</c:v>
                </c:pt>
                <c:pt idx="71">
                  <c:v>4.0384599999999997</c:v>
                </c:pt>
                <c:pt idx="72">
                  <c:v>3.9831599999999998</c:v>
                </c:pt>
                <c:pt idx="73">
                  <c:v>3.9408399999999997</c:v>
                </c:pt>
                <c:pt idx="74">
                  <c:v>3.8803100000000001</c:v>
                </c:pt>
                <c:pt idx="75">
                  <c:v>3.8052099999999998</c:v>
                </c:pt>
                <c:pt idx="76">
                  <c:v>3.7465299999999999</c:v>
                </c:pt>
                <c:pt idx="77">
                  <c:v>3.6911899999999997</c:v>
                </c:pt>
                <c:pt idx="78">
                  <c:v>3.6400199999999998</c:v>
                </c:pt>
                <c:pt idx="79">
                  <c:v>3.5908800000000003</c:v>
                </c:pt>
                <c:pt idx="80">
                  <c:v>3.5472599999999996</c:v>
                </c:pt>
                <c:pt idx="81">
                  <c:v>3.50596</c:v>
                </c:pt>
                <c:pt idx="82">
                  <c:v>3.4704800000000002</c:v>
                </c:pt>
                <c:pt idx="83">
                  <c:v>3.4385599999999998</c:v>
                </c:pt>
                <c:pt idx="84">
                  <c:v>3.4074200000000001</c:v>
                </c:pt>
                <c:pt idx="85">
                  <c:v>3.3789200000000004</c:v>
                </c:pt>
                <c:pt idx="86">
                  <c:v>3.3511899999999999</c:v>
                </c:pt>
                <c:pt idx="87">
                  <c:v>3.3270499999999998</c:v>
                </c:pt>
                <c:pt idx="88">
                  <c:v>3.3066499999999999</c:v>
                </c:pt>
                <c:pt idx="89">
                  <c:v>3.2928000000000002</c:v>
                </c:pt>
                <c:pt idx="90">
                  <c:v>3.2857099999999999</c:v>
                </c:pt>
                <c:pt idx="91">
                  <c:v>3.2828499999999998</c:v>
                </c:pt>
                <c:pt idx="92">
                  <c:v>3.2808799999999998</c:v>
                </c:pt>
                <c:pt idx="93">
                  <c:v>3.2819700000000003</c:v>
                </c:pt>
                <c:pt idx="94">
                  <c:v>3.2858100000000001</c:v>
                </c:pt>
                <c:pt idx="95">
                  <c:v>3.2911400000000004</c:v>
                </c:pt>
                <c:pt idx="96">
                  <c:v>3.3017099999999999</c:v>
                </c:pt>
                <c:pt idx="97">
                  <c:v>3.3185399999999996</c:v>
                </c:pt>
                <c:pt idx="98">
                  <c:v>3.3375599999999999</c:v>
                </c:pt>
                <c:pt idx="99">
                  <c:v>3.35995</c:v>
                </c:pt>
                <c:pt idx="100">
                  <c:v>3.3849</c:v>
                </c:pt>
                <c:pt idx="101">
                  <c:v>3.4107900000000004</c:v>
                </c:pt>
                <c:pt idx="102">
                  <c:v>3.4375400000000003</c:v>
                </c:pt>
                <c:pt idx="103">
                  <c:v>3.46347</c:v>
                </c:pt>
                <c:pt idx="104">
                  <c:v>3.4879300000000004</c:v>
                </c:pt>
                <c:pt idx="105">
                  <c:v>3.5121200000000004</c:v>
                </c:pt>
                <c:pt idx="106">
                  <c:v>3.5383100000000001</c:v>
                </c:pt>
                <c:pt idx="107">
                  <c:v>3.5615799999999997</c:v>
                </c:pt>
                <c:pt idx="108">
                  <c:v>3.5856500000000002</c:v>
                </c:pt>
                <c:pt idx="109">
                  <c:v>3.6110899999999999</c:v>
                </c:pt>
                <c:pt idx="110">
                  <c:v>3.6346699999999998</c:v>
                </c:pt>
                <c:pt idx="111">
                  <c:v>3.65551</c:v>
                </c:pt>
                <c:pt idx="112">
                  <c:v>3.6795299999999997</c:v>
                </c:pt>
                <c:pt idx="113">
                  <c:v>3.7033800000000001</c:v>
                </c:pt>
                <c:pt idx="114">
                  <c:v>3.7292999999999998</c:v>
                </c:pt>
                <c:pt idx="115">
                  <c:v>3.7541500000000001</c:v>
                </c:pt>
                <c:pt idx="116">
                  <c:v>3.7767200000000001</c:v>
                </c:pt>
                <c:pt idx="117">
                  <c:v>3.7965300000000002</c:v>
                </c:pt>
                <c:pt idx="118">
                  <c:v>3.8141500000000002</c:v>
                </c:pt>
                <c:pt idx="119">
                  <c:v>3.83372</c:v>
                </c:pt>
                <c:pt idx="120">
                  <c:v>3.8537700000000004</c:v>
                </c:pt>
                <c:pt idx="121">
                  <c:v>3.8767499999999999</c:v>
                </c:pt>
                <c:pt idx="122">
                  <c:v>3.9003900000000002</c:v>
                </c:pt>
                <c:pt idx="123">
                  <c:v>3.9269799999999999</c:v>
                </c:pt>
                <c:pt idx="124">
                  <c:v>3.9354699999999996</c:v>
                </c:pt>
                <c:pt idx="125">
                  <c:v>3.9428800000000002</c:v>
                </c:pt>
                <c:pt idx="126">
                  <c:v>3.9495300000000002</c:v>
                </c:pt>
                <c:pt idx="127">
                  <c:v>3.9559100000000003</c:v>
                </c:pt>
                <c:pt idx="128">
                  <c:v>3.9636399999999998</c:v>
                </c:pt>
                <c:pt idx="129">
                  <c:v>3.97295</c:v>
                </c:pt>
                <c:pt idx="130">
                  <c:v>3.98231</c:v>
                </c:pt>
                <c:pt idx="131">
                  <c:v>3.9905600000000003</c:v>
                </c:pt>
                <c:pt idx="132">
                  <c:v>4.0012799999999995</c:v>
                </c:pt>
                <c:pt idx="133">
                  <c:v>4.0101599999999999</c:v>
                </c:pt>
                <c:pt idx="134">
                  <c:v>4.0182400000000005</c:v>
                </c:pt>
                <c:pt idx="135">
                  <c:v>4.0267499999999998</c:v>
                </c:pt>
                <c:pt idx="136">
                  <c:v>4.0381400000000003</c:v>
                </c:pt>
                <c:pt idx="137">
                  <c:v>4.0459499999999995</c:v>
                </c:pt>
                <c:pt idx="138">
                  <c:v>4.0522999999999998</c:v>
                </c:pt>
                <c:pt idx="139">
                  <c:v>4.0524300000000002</c:v>
                </c:pt>
                <c:pt idx="140">
                  <c:v>4.0524300000000002</c:v>
                </c:pt>
                <c:pt idx="141">
                  <c:v>4.0559500000000002</c:v>
                </c:pt>
                <c:pt idx="142">
                  <c:v>4.0705099999999996</c:v>
                </c:pt>
                <c:pt idx="143">
                  <c:v>4.0957799999999995</c:v>
                </c:pt>
                <c:pt idx="144">
                  <c:v>4.1252499999999994</c:v>
                </c:pt>
                <c:pt idx="145">
                  <c:v>4.1646300000000007</c:v>
                </c:pt>
                <c:pt idx="146">
                  <c:v>4.1983300000000003</c:v>
                </c:pt>
                <c:pt idx="147">
                  <c:v>4.2489699999999999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67.191900000000004</c:v>
                </c:pt>
                <c:pt idx="1">
                  <c:v>67.239800000000002</c:v>
                </c:pt>
                <c:pt idx="2">
                  <c:v>67.257800000000003</c:v>
                </c:pt>
                <c:pt idx="3">
                  <c:v>67.171999999999997</c:v>
                </c:pt>
                <c:pt idx="4">
                  <c:v>66.905900000000003</c:v>
                </c:pt>
                <c:pt idx="5">
                  <c:v>66.486900000000006</c:v>
                </c:pt>
                <c:pt idx="6">
                  <c:v>66.012699999999995</c:v>
                </c:pt>
                <c:pt idx="7">
                  <c:v>65.479900000000001</c:v>
                </c:pt>
                <c:pt idx="8">
                  <c:v>64.895800000000008</c:v>
                </c:pt>
                <c:pt idx="9">
                  <c:v>64.3172</c:v>
                </c:pt>
                <c:pt idx="10">
                  <c:v>63.745399999999997</c:v>
                </c:pt>
                <c:pt idx="11">
                  <c:v>63.240499999999997</c:v>
                </c:pt>
                <c:pt idx="12">
                  <c:v>62.673599999999993</c:v>
                </c:pt>
                <c:pt idx="13">
                  <c:v>62.096200000000003</c:v>
                </c:pt>
                <c:pt idx="14">
                  <c:v>61.575000000000003</c:v>
                </c:pt>
                <c:pt idx="15">
                  <c:v>61.102199999999996</c:v>
                </c:pt>
                <c:pt idx="16">
                  <c:v>60.717399999999998</c:v>
                </c:pt>
                <c:pt idx="17">
                  <c:v>60.423300000000005</c:v>
                </c:pt>
                <c:pt idx="18">
                  <c:v>60.1845</c:v>
                </c:pt>
                <c:pt idx="19">
                  <c:v>59.868699999999997</c:v>
                </c:pt>
                <c:pt idx="20">
                  <c:v>59.581799999999994</c:v>
                </c:pt>
                <c:pt idx="21">
                  <c:v>59.272800000000004</c:v>
                </c:pt>
                <c:pt idx="22">
                  <c:v>58.830300000000001</c:v>
                </c:pt>
                <c:pt idx="23">
                  <c:v>58.334299999999992</c:v>
                </c:pt>
                <c:pt idx="24">
                  <c:v>57.793499999999995</c:v>
                </c:pt>
                <c:pt idx="25">
                  <c:v>57.164800000000007</c:v>
                </c:pt>
                <c:pt idx="26">
                  <c:v>56.420299999999997</c:v>
                </c:pt>
                <c:pt idx="27">
                  <c:v>55.643000000000001</c:v>
                </c:pt>
                <c:pt idx="28">
                  <c:v>54.748399999999997</c:v>
                </c:pt>
                <c:pt idx="29">
                  <c:v>53.736399999999996</c:v>
                </c:pt>
                <c:pt idx="30">
                  <c:v>52.721799999999995</c:v>
                </c:pt>
                <c:pt idx="31">
                  <c:v>51.582499999999996</c:v>
                </c:pt>
                <c:pt idx="32">
                  <c:v>50.400900000000007</c:v>
                </c:pt>
                <c:pt idx="33">
                  <c:v>49.346600000000002</c:v>
                </c:pt>
                <c:pt idx="34">
                  <c:v>48.339599999999997</c:v>
                </c:pt>
                <c:pt idx="35">
                  <c:v>47.185500000000005</c:v>
                </c:pt>
                <c:pt idx="36">
                  <c:v>46.109099999999998</c:v>
                </c:pt>
                <c:pt idx="37">
                  <c:v>45.228499999999997</c:v>
                </c:pt>
                <c:pt idx="38">
                  <c:v>44.582300000000004</c:v>
                </c:pt>
                <c:pt idx="39">
                  <c:v>43.979900000000001</c:v>
                </c:pt>
                <c:pt idx="40">
                  <c:v>43.570399999999999</c:v>
                </c:pt>
                <c:pt idx="41">
                  <c:v>43.336300000000001</c:v>
                </c:pt>
                <c:pt idx="42">
                  <c:v>43.133200000000002</c:v>
                </c:pt>
                <c:pt idx="43">
                  <c:v>43.036200000000001</c:v>
                </c:pt>
                <c:pt idx="44">
                  <c:v>42.950800000000001</c:v>
                </c:pt>
                <c:pt idx="45">
                  <c:v>43.017499999999998</c:v>
                </c:pt>
                <c:pt idx="46">
                  <c:v>43.1721</c:v>
                </c:pt>
                <c:pt idx="47">
                  <c:v>43.377099999999999</c:v>
                </c:pt>
                <c:pt idx="48">
                  <c:v>43.569200000000002</c:v>
                </c:pt>
                <c:pt idx="49">
                  <c:v>43.736399999999996</c:v>
                </c:pt>
                <c:pt idx="50">
                  <c:v>43.881999999999998</c:v>
                </c:pt>
                <c:pt idx="51">
                  <c:v>43.991500000000002</c:v>
                </c:pt>
                <c:pt idx="52">
                  <c:v>44.1295</c:v>
                </c:pt>
                <c:pt idx="53">
                  <c:v>44.240600000000001</c:v>
                </c:pt>
                <c:pt idx="54">
                  <c:v>44.303599999999996</c:v>
                </c:pt>
                <c:pt idx="55">
                  <c:v>44.247500000000002</c:v>
                </c:pt>
                <c:pt idx="56">
                  <c:v>44.223600000000005</c:v>
                </c:pt>
                <c:pt idx="57">
                  <c:v>44.119100000000003</c:v>
                </c:pt>
                <c:pt idx="58">
                  <c:v>44.015100000000004</c:v>
                </c:pt>
                <c:pt idx="59">
                  <c:v>43.926300000000005</c:v>
                </c:pt>
                <c:pt idx="60">
                  <c:v>43.844799999999999</c:v>
                </c:pt>
                <c:pt idx="61">
                  <c:v>43.8474</c:v>
                </c:pt>
                <c:pt idx="62">
                  <c:v>43.808799999999998</c:v>
                </c:pt>
                <c:pt idx="63">
                  <c:v>43.783699999999996</c:v>
                </c:pt>
                <c:pt idx="64">
                  <c:v>43.832900000000002</c:v>
                </c:pt>
                <c:pt idx="65">
                  <c:v>43.741300000000003</c:v>
                </c:pt>
                <c:pt idx="66">
                  <c:v>43.7042</c:v>
                </c:pt>
                <c:pt idx="67">
                  <c:v>43.7331</c:v>
                </c:pt>
                <c:pt idx="68">
                  <c:v>43.930599999999998</c:v>
                </c:pt>
                <c:pt idx="69">
                  <c:v>43.9968</c:v>
                </c:pt>
                <c:pt idx="70">
                  <c:v>43.962899999999998</c:v>
                </c:pt>
                <c:pt idx="71">
                  <c:v>44.003500000000003</c:v>
                </c:pt>
                <c:pt idx="72">
                  <c:v>43.873699999999999</c:v>
                </c:pt>
                <c:pt idx="73">
                  <c:v>44.0503</c:v>
                </c:pt>
                <c:pt idx="74">
                  <c:v>44.234000000000002</c:v>
                </c:pt>
                <c:pt idx="75">
                  <c:v>44.354999999999997</c:v>
                </c:pt>
                <c:pt idx="76">
                  <c:v>44.604799999999997</c:v>
                </c:pt>
                <c:pt idx="77">
                  <c:v>44.782800000000002</c:v>
                </c:pt>
                <c:pt idx="78">
                  <c:v>44.834499999999998</c:v>
                </c:pt>
                <c:pt idx="79">
                  <c:v>44.887500000000003</c:v>
                </c:pt>
                <c:pt idx="80">
                  <c:v>44.855200000000004</c:v>
                </c:pt>
                <c:pt idx="81">
                  <c:v>44.800699999999999</c:v>
                </c:pt>
                <c:pt idx="82">
                  <c:v>44.696100000000001</c:v>
                </c:pt>
                <c:pt idx="83">
                  <c:v>44.712299999999999</c:v>
                </c:pt>
                <c:pt idx="84">
                  <c:v>44.775399999999998</c:v>
                </c:pt>
                <c:pt idx="85">
                  <c:v>44.908000000000001</c:v>
                </c:pt>
                <c:pt idx="86">
                  <c:v>45.165199999999999</c:v>
                </c:pt>
                <c:pt idx="87">
                  <c:v>45.409599999999998</c:v>
                </c:pt>
                <c:pt idx="88">
                  <c:v>45.632400000000004</c:v>
                </c:pt>
                <c:pt idx="89">
                  <c:v>45.802599999999998</c:v>
                </c:pt>
                <c:pt idx="90">
                  <c:v>45.898499999999999</c:v>
                </c:pt>
                <c:pt idx="91">
                  <c:v>45.955300000000001</c:v>
                </c:pt>
                <c:pt idx="92">
                  <c:v>46.036899999999996</c:v>
                </c:pt>
                <c:pt idx="93">
                  <c:v>46.071800000000003</c:v>
                </c:pt>
                <c:pt idx="94">
                  <c:v>46.1342</c:v>
                </c:pt>
                <c:pt idx="95">
                  <c:v>46.180599999999998</c:v>
                </c:pt>
                <c:pt idx="96">
                  <c:v>46.175399999999996</c:v>
                </c:pt>
                <c:pt idx="97">
                  <c:v>46.127000000000002</c:v>
                </c:pt>
                <c:pt idx="98">
                  <c:v>46.060299999999998</c:v>
                </c:pt>
                <c:pt idx="99">
                  <c:v>45.922899999999998</c:v>
                </c:pt>
                <c:pt idx="100">
                  <c:v>45.812100000000001</c:v>
                </c:pt>
                <c:pt idx="101">
                  <c:v>45.673099999999998</c:v>
                </c:pt>
                <c:pt idx="102">
                  <c:v>45.533900000000003</c:v>
                </c:pt>
                <c:pt idx="103">
                  <c:v>45.500299999999996</c:v>
                </c:pt>
                <c:pt idx="104">
                  <c:v>45.537599999999998</c:v>
                </c:pt>
                <c:pt idx="105">
                  <c:v>45.589300000000001</c:v>
                </c:pt>
                <c:pt idx="106">
                  <c:v>45.616</c:v>
                </c:pt>
                <c:pt idx="107">
                  <c:v>45.655499999999996</c:v>
                </c:pt>
                <c:pt idx="108">
                  <c:v>45.623999999999995</c:v>
                </c:pt>
                <c:pt idx="109">
                  <c:v>45.576599999999999</c:v>
                </c:pt>
                <c:pt idx="110">
                  <c:v>45.5443</c:v>
                </c:pt>
                <c:pt idx="111">
                  <c:v>45.555700000000002</c:v>
                </c:pt>
                <c:pt idx="112">
                  <c:v>45.534200000000006</c:v>
                </c:pt>
                <c:pt idx="113">
                  <c:v>45.5366</c:v>
                </c:pt>
                <c:pt idx="114">
                  <c:v>45.520699999999998</c:v>
                </c:pt>
                <c:pt idx="115">
                  <c:v>45.504600000000003</c:v>
                </c:pt>
                <c:pt idx="116">
                  <c:v>45.509899999999995</c:v>
                </c:pt>
                <c:pt idx="117">
                  <c:v>45.556799999999996</c:v>
                </c:pt>
                <c:pt idx="118">
                  <c:v>45.641399999999997</c:v>
                </c:pt>
                <c:pt idx="119">
                  <c:v>45.6873</c:v>
                </c:pt>
                <c:pt idx="120">
                  <c:v>45.7301</c:v>
                </c:pt>
                <c:pt idx="121">
                  <c:v>45.784200000000006</c:v>
                </c:pt>
                <c:pt idx="122">
                  <c:v>45.835599999999999</c:v>
                </c:pt>
                <c:pt idx="123">
                  <c:v>45.827400000000004</c:v>
                </c:pt>
                <c:pt idx="124">
                  <c:v>45.863500000000002</c:v>
                </c:pt>
                <c:pt idx="125">
                  <c:v>45.923499999999997</c:v>
                </c:pt>
                <c:pt idx="126">
                  <c:v>46.023499999999999</c:v>
                </c:pt>
                <c:pt idx="127">
                  <c:v>46.157900000000005</c:v>
                </c:pt>
                <c:pt idx="128">
                  <c:v>46.291600000000003</c:v>
                </c:pt>
                <c:pt idx="129">
                  <c:v>46.435600000000001</c:v>
                </c:pt>
                <c:pt idx="130">
                  <c:v>46.587699999999998</c:v>
                </c:pt>
                <c:pt idx="131">
                  <c:v>46.776000000000003</c:v>
                </c:pt>
                <c:pt idx="132">
                  <c:v>47.008400000000002</c:v>
                </c:pt>
                <c:pt idx="133">
                  <c:v>47.222799999999999</c:v>
                </c:pt>
                <c:pt idx="134">
                  <c:v>47.450399999999995</c:v>
                </c:pt>
                <c:pt idx="135">
                  <c:v>47.657400000000003</c:v>
                </c:pt>
                <c:pt idx="136">
                  <c:v>47.821399999999997</c:v>
                </c:pt>
                <c:pt idx="137">
                  <c:v>47.9529</c:v>
                </c:pt>
                <c:pt idx="138">
                  <c:v>47.999700000000004</c:v>
                </c:pt>
                <c:pt idx="139">
                  <c:v>47.898800000000001</c:v>
                </c:pt>
                <c:pt idx="140">
                  <c:v>47.787700000000001</c:v>
                </c:pt>
                <c:pt idx="141">
                  <c:v>47.710099999999997</c:v>
                </c:pt>
                <c:pt idx="142">
                  <c:v>47.635599999999997</c:v>
                </c:pt>
                <c:pt idx="143">
                  <c:v>47.558</c:v>
                </c:pt>
                <c:pt idx="144">
                  <c:v>47.6036</c:v>
                </c:pt>
                <c:pt idx="145">
                  <c:v>47.763399999999997</c:v>
                </c:pt>
                <c:pt idx="146">
                  <c:v>47.7607</c:v>
                </c:pt>
                <c:pt idx="147">
                  <c:v>47.751900000000006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2.2427600000000001</c:v>
                </c:pt>
                <c:pt idx="1">
                  <c:v>2.2904599999999999</c:v>
                </c:pt>
                <c:pt idx="2">
                  <c:v>2.3379599999999998</c:v>
                </c:pt>
                <c:pt idx="3">
                  <c:v>2.3857300000000001</c:v>
                </c:pt>
                <c:pt idx="4">
                  <c:v>2.4305499999999998</c:v>
                </c:pt>
                <c:pt idx="5">
                  <c:v>2.4733200000000002</c:v>
                </c:pt>
                <c:pt idx="6">
                  <c:v>2.5132900000000005</c:v>
                </c:pt>
                <c:pt idx="7">
                  <c:v>2.5522200000000002</c:v>
                </c:pt>
                <c:pt idx="8">
                  <c:v>2.5915400000000002</c:v>
                </c:pt>
                <c:pt idx="9">
                  <c:v>2.6285500000000002</c:v>
                </c:pt>
                <c:pt idx="10">
                  <c:v>2.66432</c:v>
                </c:pt>
                <c:pt idx="11">
                  <c:v>2.6931799999999999</c:v>
                </c:pt>
                <c:pt idx="12">
                  <c:v>2.7191100000000001</c:v>
                </c:pt>
                <c:pt idx="13">
                  <c:v>2.7429100000000002</c:v>
                </c:pt>
                <c:pt idx="14">
                  <c:v>2.7655699999999999</c:v>
                </c:pt>
                <c:pt idx="15">
                  <c:v>2.7880199999999999</c:v>
                </c:pt>
                <c:pt idx="16">
                  <c:v>2.8090299999999999</c:v>
                </c:pt>
                <c:pt idx="17">
                  <c:v>2.8304800000000001</c:v>
                </c:pt>
                <c:pt idx="18">
                  <c:v>2.8522699999999999</c:v>
                </c:pt>
                <c:pt idx="19">
                  <c:v>2.8776899999999999</c:v>
                </c:pt>
                <c:pt idx="20">
                  <c:v>2.9008799999999999</c:v>
                </c:pt>
                <c:pt idx="21">
                  <c:v>2.9241200000000003</c:v>
                </c:pt>
                <c:pt idx="22">
                  <c:v>2.9507899999999996</c:v>
                </c:pt>
                <c:pt idx="23">
                  <c:v>2.9803800000000003</c:v>
                </c:pt>
                <c:pt idx="24">
                  <c:v>3.01227</c:v>
                </c:pt>
                <c:pt idx="25">
                  <c:v>3.0478699999999996</c:v>
                </c:pt>
                <c:pt idx="26">
                  <c:v>3.0876799999999998</c:v>
                </c:pt>
                <c:pt idx="27">
                  <c:v>3.1285099999999999</c:v>
                </c:pt>
                <c:pt idx="28">
                  <c:v>3.1716800000000003</c:v>
                </c:pt>
                <c:pt idx="29">
                  <c:v>3.21963</c:v>
                </c:pt>
                <c:pt idx="30">
                  <c:v>3.2702</c:v>
                </c:pt>
                <c:pt idx="31">
                  <c:v>3.32477</c:v>
                </c:pt>
                <c:pt idx="32">
                  <c:v>3.3812500000000001</c:v>
                </c:pt>
                <c:pt idx="33">
                  <c:v>3.4368100000000004</c:v>
                </c:pt>
                <c:pt idx="34">
                  <c:v>3.4938399999999996</c:v>
                </c:pt>
                <c:pt idx="35">
                  <c:v>3.5558299999999998</c:v>
                </c:pt>
                <c:pt idx="36">
                  <c:v>3.6231499999999999</c:v>
                </c:pt>
                <c:pt idx="37">
                  <c:v>3.6888199999999998</c:v>
                </c:pt>
                <c:pt idx="38">
                  <c:v>3.7524200000000003</c:v>
                </c:pt>
                <c:pt idx="39">
                  <c:v>3.8185400000000005</c:v>
                </c:pt>
                <c:pt idx="40">
                  <c:v>3.8867000000000003</c:v>
                </c:pt>
                <c:pt idx="41">
                  <c:v>3.9551500000000002</c:v>
                </c:pt>
                <c:pt idx="42">
                  <c:v>4.0230500000000005</c:v>
                </c:pt>
                <c:pt idx="43">
                  <c:v>4.0894399999999997</c:v>
                </c:pt>
                <c:pt idx="44">
                  <c:v>4.1506600000000002</c:v>
                </c:pt>
                <c:pt idx="45">
                  <c:v>4.2100400000000002</c:v>
                </c:pt>
                <c:pt idx="46">
                  <c:v>4.2644299999999999</c:v>
                </c:pt>
                <c:pt idx="47">
                  <c:v>4.3100100000000001</c:v>
                </c:pt>
                <c:pt idx="48">
                  <c:v>4.3525399999999994</c:v>
                </c:pt>
                <c:pt idx="49">
                  <c:v>4.3936700000000002</c:v>
                </c:pt>
                <c:pt idx="50">
                  <c:v>4.4273699999999998</c:v>
                </c:pt>
                <c:pt idx="51">
                  <c:v>4.45932</c:v>
                </c:pt>
                <c:pt idx="52">
                  <c:v>4.4853100000000001</c:v>
                </c:pt>
                <c:pt idx="53">
                  <c:v>4.5019</c:v>
                </c:pt>
                <c:pt idx="54">
                  <c:v>4.5076599999999996</c:v>
                </c:pt>
                <c:pt idx="55">
                  <c:v>4.5181500000000003</c:v>
                </c:pt>
                <c:pt idx="56">
                  <c:v>4.5087799999999998</c:v>
                </c:pt>
                <c:pt idx="57">
                  <c:v>4.5097800000000001</c:v>
                </c:pt>
                <c:pt idx="58">
                  <c:v>4.5001100000000003</c:v>
                </c:pt>
                <c:pt idx="59">
                  <c:v>4.4884500000000003</c:v>
                </c:pt>
                <c:pt idx="60">
                  <c:v>4.4700100000000003</c:v>
                </c:pt>
                <c:pt idx="61">
                  <c:v>4.4485599999999996</c:v>
                </c:pt>
                <c:pt idx="62">
                  <c:v>4.4151299999999996</c:v>
                </c:pt>
                <c:pt idx="63">
                  <c:v>4.3894899999999994</c:v>
                </c:pt>
                <c:pt idx="64">
                  <c:v>4.3686799999999995</c:v>
                </c:pt>
                <c:pt idx="65">
                  <c:v>4.3213499999999998</c:v>
                </c:pt>
                <c:pt idx="66">
                  <c:v>4.2828400000000002</c:v>
                </c:pt>
                <c:pt idx="67">
                  <c:v>4.2399399999999998</c:v>
                </c:pt>
                <c:pt idx="68">
                  <c:v>4.2059300000000004</c:v>
                </c:pt>
                <c:pt idx="69">
                  <c:v>4.1570200000000002</c:v>
                </c:pt>
                <c:pt idx="70">
                  <c:v>4.0926800000000005</c:v>
                </c:pt>
                <c:pt idx="71">
                  <c:v>4.0384599999999997</c:v>
                </c:pt>
                <c:pt idx="72">
                  <c:v>3.9831599999999998</c:v>
                </c:pt>
                <c:pt idx="73">
                  <c:v>3.9408399999999997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67.191900000000004</c:v>
                </c:pt>
                <c:pt idx="1">
                  <c:v>67.239800000000002</c:v>
                </c:pt>
                <c:pt idx="2">
                  <c:v>67.257800000000003</c:v>
                </c:pt>
                <c:pt idx="3">
                  <c:v>67.171999999999997</c:v>
                </c:pt>
                <c:pt idx="4">
                  <c:v>66.905900000000003</c:v>
                </c:pt>
                <c:pt idx="5">
                  <c:v>66.486900000000006</c:v>
                </c:pt>
                <c:pt idx="6">
                  <c:v>66.012699999999995</c:v>
                </c:pt>
                <c:pt idx="7">
                  <c:v>65.479900000000001</c:v>
                </c:pt>
                <c:pt idx="8">
                  <c:v>64.895800000000008</c:v>
                </c:pt>
                <c:pt idx="9">
                  <c:v>64.3172</c:v>
                </c:pt>
                <c:pt idx="10">
                  <c:v>63.745399999999997</c:v>
                </c:pt>
                <c:pt idx="11">
                  <c:v>63.240499999999997</c:v>
                </c:pt>
                <c:pt idx="12">
                  <c:v>62.673599999999993</c:v>
                </c:pt>
                <c:pt idx="13">
                  <c:v>62.096200000000003</c:v>
                </c:pt>
                <c:pt idx="14">
                  <c:v>61.575000000000003</c:v>
                </c:pt>
                <c:pt idx="15">
                  <c:v>61.102199999999996</c:v>
                </c:pt>
                <c:pt idx="16">
                  <c:v>60.717399999999998</c:v>
                </c:pt>
                <c:pt idx="17">
                  <c:v>60.423300000000005</c:v>
                </c:pt>
                <c:pt idx="18">
                  <c:v>60.1845</c:v>
                </c:pt>
                <c:pt idx="19">
                  <c:v>59.868699999999997</c:v>
                </c:pt>
                <c:pt idx="20">
                  <c:v>59.581799999999994</c:v>
                </c:pt>
                <c:pt idx="21">
                  <c:v>59.272800000000004</c:v>
                </c:pt>
                <c:pt idx="22">
                  <c:v>58.830300000000001</c:v>
                </c:pt>
                <c:pt idx="23">
                  <c:v>58.334299999999992</c:v>
                </c:pt>
                <c:pt idx="24">
                  <c:v>57.793499999999995</c:v>
                </c:pt>
                <c:pt idx="25">
                  <c:v>57.164800000000007</c:v>
                </c:pt>
                <c:pt idx="26">
                  <c:v>56.420299999999997</c:v>
                </c:pt>
                <c:pt idx="27">
                  <c:v>55.643000000000001</c:v>
                </c:pt>
                <c:pt idx="28">
                  <c:v>54.748399999999997</c:v>
                </c:pt>
                <c:pt idx="29">
                  <c:v>53.736399999999996</c:v>
                </c:pt>
                <c:pt idx="30">
                  <c:v>52.721799999999995</c:v>
                </c:pt>
                <c:pt idx="31">
                  <c:v>51.582499999999996</c:v>
                </c:pt>
                <c:pt idx="32">
                  <c:v>50.400900000000007</c:v>
                </c:pt>
                <c:pt idx="33">
                  <c:v>49.346600000000002</c:v>
                </c:pt>
                <c:pt idx="34">
                  <c:v>48.339599999999997</c:v>
                </c:pt>
                <c:pt idx="35">
                  <c:v>47.185500000000005</c:v>
                </c:pt>
                <c:pt idx="36">
                  <c:v>46.109099999999998</c:v>
                </c:pt>
                <c:pt idx="37">
                  <c:v>45.228499999999997</c:v>
                </c:pt>
                <c:pt idx="38">
                  <c:v>44.582300000000004</c:v>
                </c:pt>
                <c:pt idx="39">
                  <c:v>43.979900000000001</c:v>
                </c:pt>
                <c:pt idx="40">
                  <c:v>43.570399999999999</c:v>
                </c:pt>
                <c:pt idx="41">
                  <c:v>43.336300000000001</c:v>
                </c:pt>
                <c:pt idx="42">
                  <c:v>43.133200000000002</c:v>
                </c:pt>
                <c:pt idx="43">
                  <c:v>43.036200000000001</c:v>
                </c:pt>
                <c:pt idx="44">
                  <c:v>42.950800000000001</c:v>
                </c:pt>
                <c:pt idx="45">
                  <c:v>43.017499999999998</c:v>
                </c:pt>
                <c:pt idx="46">
                  <c:v>43.1721</c:v>
                </c:pt>
                <c:pt idx="47">
                  <c:v>43.377099999999999</c:v>
                </c:pt>
                <c:pt idx="48">
                  <c:v>43.569200000000002</c:v>
                </c:pt>
                <c:pt idx="49">
                  <c:v>43.736399999999996</c:v>
                </c:pt>
                <c:pt idx="50">
                  <c:v>43.881999999999998</c:v>
                </c:pt>
                <c:pt idx="51">
                  <c:v>43.991500000000002</c:v>
                </c:pt>
                <c:pt idx="52">
                  <c:v>44.1295</c:v>
                </c:pt>
                <c:pt idx="53">
                  <c:v>44.240600000000001</c:v>
                </c:pt>
                <c:pt idx="54">
                  <c:v>44.303599999999996</c:v>
                </c:pt>
                <c:pt idx="55">
                  <c:v>44.247500000000002</c:v>
                </c:pt>
                <c:pt idx="56">
                  <c:v>44.223600000000005</c:v>
                </c:pt>
                <c:pt idx="57">
                  <c:v>44.119100000000003</c:v>
                </c:pt>
                <c:pt idx="58">
                  <c:v>44.015100000000004</c:v>
                </c:pt>
                <c:pt idx="59">
                  <c:v>43.926300000000005</c:v>
                </c:pt>
                <c:pt idx="60">
                  <c:v>43.844799999999999</c:v>
                </c:pt>
                <c:pt idx="61">
                  <c:v>43.8474</c:v>
                </c:pt>
                <c:pt idx="62">
                  <c:v>43.808799999999998</c:v>
                </c:pt>
                <c:pt idx="63">
                  <c:v>43.783699999999996</c:v>
                </c:pt>
                <c:pt idx="64">
                  <c:v>43.832900000000002</c:v>
                </c:pt>
                <c:pt idx="65">
                  <c:v>43.741300000000003</c:v>
                </c:pt>
                <c:pt idx="66">
                  <c:v>43.7042</c:v>
                </c:pt>
                <c:pt idx="67">
                  <c:v>43.7331</c:v>
                </c:pt>
                <c:pt idx="68">
                  <c:v>43.930599999999998</c:v>
                </c:pt>
                <c:pt idx="69">
                  <c:v>43.9968</c:v>
                </c:pt>
                <c:pt idx="70">
                  <c:v>43.962899999999998</c:v>
                </c:pt>
                <c:pt idx="71">
                  <c:v>44.003500000000003</c:v>
                </c:pt>
                <c:pt idx="72">
                  <c:v>43.873699999999999</c:v>
                </c:pt>
                <c:pt idx="73">
                  <c:v>44.0503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3.9408399999999997</c:v>
                </c:pt>
                <c:pt idx="1">
                  <c:v>3.8803100000000001</c:v>
                </c:pt>
                <c:pt idx="2">
                  <c:v>3.8052099999999998</c:v>
                </c:pt>
                <c:pt idx="3">
                  <c:v>3.7465299999999999</c:v>
                </c:pt>
                <c:pt idx="4">
                  <c:v>3.6911899999999997</c:v>
                </c:pt>
                <c:pt idx="5">
                  <c:v>3.6400199999999998</c:v>
                </c:pt>
                <c:pt idx="6">
                  <c:v>3.5908800000000003</c:v>
                </c:pt>
                <c:pt idx="7">
                  <c:v>3.5472599999999996</c:v>
                </c:pt>
                <c:pt idx="8">
                  <c:v>3.50596</c:v>
                </c:pt>
                <c:pt idx="9">
                  <c:v>3.4704800000000002</c:v>
                </c:pt>
                <c:pt idx="10">
                  <c:v>3.4385599999999998</c:v>
                </c:pt>
                <c:pt idx="11">
                  <c:v>3.4074200000000001</c:v>
                </c:pt>
                <c:pt idx="12">
                  <c:v>3.3789200000000004</c:v>
                </c:pt>
                <c:pt idx="13">
                  <c:v>3.3511899999999999</c:v>
                </c:pt>
                <c:pt idx="14">
                  <c:v>3.3270499999999998</c:v>
                </c:pt>
                <c:pt idx="15">
                  <c:v>3.3066499999999999</c:v>
                </c:pt>
                <c:pt idx="16">
                  <c:v>3.2928000000000002</c:v>
                </c:pt>
                <c:pt idx="17">
                  <c:v>3.2857099999999999</c:v>
                </c:pt>
                <c:pt idx="18">
                  <c:v>3.2828499999999998</c:v>
                </c:pt>
                <c:pt idx="19">
                  <c:v>3.2808799999999998</c:v>
                </c:pt>
                <c:pt idx="20">
                  <c:v>3.2819700000000003</c:v>
                </c:pt>
                <c:pt idx="21">
                  <c:v>3.2858100000000001</c:v>
                </c:pt>
                <c:pt idx="22">
                  <c:v>3.2911400000000004</c:v>
                </c:pt>
                <c:pt idx="23">
                  <c:v>3.3017099999999999</c:v>
                </c:pt>
                <c:pt idx="24">
                  <c:v>3.3185399999999996</c:v>
                </c:pt>
                <c:pt idx="25">
                  <c:v>3.3375599999999999</c:v>
                </c:pt>
                <c:pt idx="26">
                  <c:v>3.35995</c:v>
                </c:pt>
                <c:pt idx="27">
                  <c:v>3.3849</c:v>
                </c:pt>
                <c:pt idx="28">
                  <c:v>3.4107900000000004</c:v>
                </c:pt>
                <c:pt idx="29">
                  <c:v>3.4375400000000003</c:v>
                </c:pt>
                <c:pt idx="30">
                  <c:v>3.46347</c:v>
                </c:pt>
                <c:pt idx="31">
                  <c:v>3.4879300000000004</c:v>
                </c:pt>
                <c:pt idx="32">
                  <c:v>3.5121200000000004</c:v>
                </c:pt>
                <c:pt idx="33">
                  <c:v>3.5383100000000001</c:v>
                </c:pt>
                <c:pt idx="34">
                  <c:v>3.5615799999999997</c:v>
                </c:pt>
                <c:pt idx="35">
                  <c:v>3.5856500000000002</c:v>
                </c:pt>
                <c:pt idx="36">
                  <c:v>3.6110899999999999</c:v>
                </c:pt>
                <c:pt idx="37">
                  <c:v>3.6346699999999998</c:v>
                </c:pt>
                <c:pt idx="38">
                  <c:v>3.65551</c:v>
                </c:pt>
                <c:pt idx="39">
                  <c:v>3.6795299999999997</c:v>
                </c:pt>
                <c:pt idx="40">
                  <c:v>3.7033800000000001</c:v>
                </c:pt>
                <c:pt idx="41">
                  <c:v>3.7292999999999998</c:v>
                </c:pt>
                <c:pt idx="42">
                  <c:v>3.7541500000000001</c:v>
                </c:pt>
                <c:pt idx="43">
                  <c:v>3.7767200000000001</c:v>
                </c:pt>
                <c:pt idx="44">
                  <c:v>3.7965300000000002</c:v>
                </c:pt>
                <c:pt idx="45">
                  <c:v>3.8141500000000002</c:v>
                </c:pt>
                <c:pt idx="46">
                  <c:v>3.83372</c:v>
                </c:pt>
                <c:pt idx="47">
                  <c:v>3.8537700000000004</c:v>
                </c:pt>
                <c:pt idx="48">
                  <c:v>3.8767499999999999</c:v>
                </c:pt>
                <c:pt idx="49">
                  <c:v>3.9003900000000002</c:v>
                </c:pt>
                <c:pt idx="50">
                  <c:v>3.9269799999999999</c:v>
                </c:pt>
                <c:pt idx="51">
                  <c:v>3.9354699999999996</c:v>
                </c:pt>
                <c:pt idx="52">
                  <c:v>3.9428800000000002</c:v>
                </c:pt>
                <c:pt idx="53">
                  <c:v>3.9495300000000002</c:v>
                </c:pt>
                <c:pt idx="54">
                  <c:v>3.9559100000000003</c:v>
                </c:pt>
                <c:pt idx="55">
                  <c:v>3.9636399999999998</c:v>
                </c:pt>
                <c:pt idx="56">
                  <c:v>3.97295</c:v>
                </c:pt>
                <c:pt idx="57">
                  <c:v>3.98231</c:v>
                </c:pt>
                <c:pt idx="58">
                  <c:v>3.9905600000000003</c:v>
                </c:pt>
                <c:pt idx="59">
                  <c:v>4.0012799999999995</c:v>
                </c:pt>
                <c:pt idx="60">
                  <c:v>4.0101599999999999</c:v>
                </c:pt>
                <c:pt idx="61">
                  <c:v>4.0182400000000005</c:v>
                </c:pt>
                <c:pt idx="62">
                  <c:v>4.0267499999999998</c:v>
                </c:pt>
                <c:pt idx="63">
                  <c:v>4.0381400000000003</c:v>
                </c:pt>
                <c:pt idx="64">
                  <c:v>4.0459499999999995</c:v>
                </c:pt>
                <c:pt idx="65">
                  <c:v>4.0522999999999998</c:v>
                </c:pt>
                <c:pt idx="66">
                  <c:v>4.0524300000000002</c:v>
                </c:pt>
                <c:pt idx="67">
                  <c:v>4.0524300000000002</c:v>
                </c:pt>
                <c:pt idx="68">
                  <c:v>4.0559500000000002</c:v>
                </c:pt>
                <c:pt idx="69">
                  <c:v>4.0705099999999996</c:v>
                </c:pt>
                <c:pt idx="70">
                  <c:v>4.0957799999999995</c:v>
                </c:pt>
                <c:pt idx="71">
                  <c:v>4.1252499999999994</c:v>
                </c:pt>
                <c:pt idx="72">
                  <c:v>4.1646300000000007</c:v>
                </c:pt>
                <c:pt idx="73">
                  <c:v>4.1983300000000003</c:v>
                </c:pt>
                <c:pt idx="74">
                  <c:v>4.2489699999999999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44.0503</c:v>
                </c:pt>
                <c:pt idx="1">
                  <c:v>44.234000000000002</c:v>
                </c:pt>
                <c:pt idx="2">
                  <c:v>44.354999999999997</c:v>
                </c:pt>
                <c:pt idx="3">
                  <c:v>44.604799999999997</c:v>
                </c:pt>
                <c:pt idx="4">
                  <c:v>44.782800000000002</c:v>
                </c:pt>
                <c:pt idx="5">
                  <c:v>44.834499999999998</c:v>
                </c:pt>
                <c:pt idx="6">
                  <c:v>44.887500000000003</c:v>
                </c:pt>
                <c:pt idx="7">
                  <c:v>44.855200000000004</c:v>
                </c:pt>
                <c:pt idx="8">
                  <c:v>44.800699999999999</c:v>
                </c:pt>
                <c:pt idx="9">
                  <c:v>44.696100000000001</c:v>
                </c:pt>
                <c:pt idx="10">
                  <c:v>44.712299999999999</c:v>
                </c:pt>
                <c:pt idx="11">
                  <c:v>44.775399999999998</c:v>
                </c:pt>
                <c:pt idx="12">
                  <c:v>44.908000000000001</c:v>
                </c:pt>
                <c:pt idx="13">
                  <c:v>45.165199999999999</c:v>
                </c:pt>
                <c:pt idx="14">
                  <c:v>45.409599999999998</c:v>
                </c:pt>
                <c:pt idx="15">
                  <c:v>45.632400000000004</c:v>
                </c:pt>
                <c:pt idx="16">
                  <c:v>45.802599999999998</c:v>
                </c:pt>
                <c:pt idx="17">
                  <c:v>45.898499999999999</c:v>
                </c:pt>
                <c:pt idx="18">
                  <c:v>45.955300000000001</c:v>
                </c:pt>
                <c:pt idx="19">
                  <c:v>46.036899999999996</c:v>
                </c:pt>
                <c:pt idx="20">
                  <c:v>46.071800000000003</c:v>
                </c:pt>
                <c:pt idx="21">
                  <c:v>46.1342</c:v>
                </c:pt>
                <c:pt idx="22">
                  <c:v>46.180599999999998</c:v>
                </c:pt>
                <c:pt idx="23">
                  <c:v>46.175399999999996</c:v>
                </c:pt>
                <c:pt idx="24">
                  <c:v>46.127000000000002</c:v>
                </c:pt>
                <c:pt idx="25">
                  <c:v>46.060299999999998</c:v>
                </c:pt>
                <c:pt idx="26">
                  <c:v>45.922899999999998</c:v>
                </c:pt>
                <c:pt idx="27">
                  <c:v>45.812100000000001</c:v>
                </c:pt>
                <c:pt idx="28">
                  <c:v>45.673099999999998</c:v>
                </c:pt>
                <c:pt idx="29">
                  <c:v>45.533900000000003</c:v>
                </c:pt>
                <c:pt idx="30">
                  <c:v>45.500299999999996</c:v>
                </c:pt>
                <c:pt idx="31">
                  <c:v>45.537599999999998</c:v>
                </c:pt>
                <c:pt idx="32">
                  <c:v>45.589300000000001</c:v>
                </c:pt>
                <c:pt idx="33">
                  <c:v>45.616</c:v>
                </c:pt>
                <c:pt idx="34">
                  <c:v>45.655499999999996</c:v>
                </c:pt>
                <c:pt idx="35">
                  <c:v>45.623999999999995</c:v>
                </c:pt>
                <c:pt idx="36">
                  <c:v>45.576599999999999</c:v>
                </c:pt>
                <c:pt idx="37">
                  <c:v>45.5443</c:v>
                </c:pt>
                <c:pt idx="38">
                  <c:v>45.555700000000002</c:v>
                </c:pt>
                <c:pt idx="39">
                  <c:v>45.534200000000006</c:v>
                </c:pt>
                <c:pt idx="40">
                  <c:v>45.5366</c:v>
                </c:pt>
                <c:pt idx="41">
                  <c:v>45.520699999999998</c:v>
                </c:pt>
                <c:pt idx="42">
                  <c:v>45.504600000000003</c:v>
                </c:pt>
                <c:pt idx="43">
                  <c:v>45.509899999999995</c:v>
                </c:pt>
                <c:pt idx="44">
                  <c:v>45.556799999999996</c:v>
                </c:pt>
                <c:pt idx="45">
                  <c:v>45.641399999999997</c:v>
                </c:pt>
                <c:pt idx="46">
                  <c:v>45.6873</c:v>
                </c:pt>
                <c:pt idx="47">
                  <c:v>45.7301</c:v>
                </c:pt>
                <c:pt idx="48">
                  <c:v>45.784200000000006</c:v>
                </c:pt>
                <c:pt idx="49">
                  <c:v>45.835599999999999</c:v>
                </c:pt>
                <c:pt idx="50">
                  <c:v>45.827400000000004</c:v>
                </c:pt>
                <c:pt idx="51">
                  <c:v>45.863500000000002</c:v>
                </c:pt>
                <c:pt idx="52">
                  <c:v>45.923499999999997</c:v>
                </c:pt>
                <c:pt idx="53">
                  <c:v>46.023499999999999</c:v>
                </c:pt>
                <c:pt idx="54">
                  <c:v>46.157900000000005</c:v>
                </c:pt>
                <c:pt idx="55">
                  <c:v>46.291600000000003</c:v>
                </c:pt>
                <c:pt idx="56">
                  <c:v>46.435600000000001</c:v>
                </c:pt>
                <c:pt idx="57">
                  <c:v>46.587699999999998</c:v>
                </c:pt>
                <c:pt idx="58">
                  <c:v>46.776000000000003</c:v>
                </c:pt>
                <c:pt idx="59">
                  <c:v>47.008400000000002</c:v>
                </c:pt>
                <c:pt idx="60">
                  <c:v>47.222799999999999</c:v>
                </c:pt>
                <c:pt idx="61">
                  <c:v>47.450399999999995</c:v>
                </c:pt>
                <c:pt idx="62">
                  <c:v>47.657400000000003</c:v>
                </c:pt>
                <c:pt idx="63">
                  <c:v>47.821399999999997</c:v>
                </c:pt>
                <c:pt idx="64">
                  <c:v>47.9529</c:v>
                </c:pt>
                <c:pt idx="65">
                  <c:v>47.999700000000004</c:v>
                </c:pt>
                <c:pt idx="66">
                  <c:v>47.898800000000001</c:v>
                </c:pt>
                <c:pt idx="67">
                  <c:v>47.787700000000001</c:v>
                </c:pt>
                <c:pt idx="68">
                  <c:v>47.710099999999997</c:v>
                </c:pt>
                <c:pt idx="69">
                  <c:v>47.635599999999997</c:v>
                </c:pt>
                <c:pt idx="70">
                  <c:v>47.558</c:v>
                </c:pt>
                <c:pt idx="71">
                  <c:v>47.6036</c:v>
                </c:pt>
                <c:pt idx="72">
                  <c:v>47.763399999999997</c:v>
                </c:pt>
                <c:pt idx="73">
                  <c:v>47.7607</c:v>
                </c:pt>
                <c:pt idx="74">
                  <c:v>47.751900000000006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2.2427600000000001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67.191900000000004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3.5656082432432439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51.590283783783789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3.7065652702702705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46.034436486486484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3.7065652702702705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46.034436486486484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517</v>
      </c>
      <c r="D5" s="151"/>
      <c r="E5" s="151"/>
      <c r="F5" s="152"/>
      <c r="G5" s="48" t="str">
        <f>lang!B27</f>
        <v>编号</v>
      </c>
      <c r="H5" s="150">
        <v>2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516</v>
      </c>
      <c r="D6" s="188"/>
      <c r="E6" s="188"/>
      <c r="F6" s="189"/>
      <c r="G6" s="49" t="str">
        <f>lang!B28</f>
        <v xml:space="preserve"> 日期</v>
      </c>
      <c r="H6" s="172">
        <f>FH_info!A2</f>
        <v>43628.64744212963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65</v>
      </c>
      <c r="D7" s="191"/>
      <c r="E7" s="191"/>
      <c r="F7" s="192"/>
      <c r="G7" s="50" t="str">
        <f>lang!B29</f>
        <v>误差率（%）</v>
      </c>
      <c r="H7" s="175">
        <f>M!B17*1</f>
        <v>17.5914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36.328600000000002</v>
      </c>
      <c r="O8" s="59">
        <f>M!C5*1</f>
        <v>8.6504399999999997</v>
      </c>
      <c r="P8" s="59">
        <f>M!D5*1</f>
        <v>23.811699999999998</v>
      </c>
      <c r="Q8" s="59">
        <f>M!E5*1</f>
        <v>20</v>
      </c>
      <c r="R8" s="59">
        <f>M!F5*1</f>
        <v>12.2814</v>
      </c>
      <c r="S8" s="59">
        <f>M!G5*1</f>
        <v>50</v>
      </c>
      <c r="T8" s="59">
        <f>M!H5*1</f>
        <v>51.305599999999998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30.161300000000001</v>
      </c>
      <c r="O9" s="59">
        <f>M!C6*1</f>
        <v>3.2343700000000002</v>
      </c>
      <c r="P9" s="59">
        <f>M!D6*1</f>
        <v>10.723599999999999</v>
      </c>
      <c r="Q9" s="59">
        <f>M!E6*1</f>
        <v>20</v>
      </c>
      <c r="R9" s="59">
        <f>M!F6*1</f>
        <v>22.363199999999999</v>
      </c>
      <c r="S9" s="59">
        <f>M!G6*1</f>
        <v>40</v>
      </c>
      <c r="T9" s="59">
        <f>M!H6*1</f>
        <v>37.131599999999999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12.2814</v>
      </c>
      <c r="D10" s="99">
        <f>N8</f>
        <v>36.328600000000002</v>
      </c>
      <c r="E10" s="100">
        <f>T8</f>
        <v>51.305599999999998</v>
      </c>
      <c r="F10" s="91">
        <f>P8</f>
        <v>23.811699999999998</v>
      </c>
      <c r="G10" s="81" t="str">
        <f>CONCATENATE(M9,"
(20 ~ 40)")</f>
        <v>压力
(20 ~ 40)</v>
      </c>
      <c r="H10" s="98">
        <f>R9</f>
        <v>22.363199999999999</v>
      </c>
      <c r="I10" s="108">
        <f>N9</f>
        <v>30.161300000000001</v>
      </c>
      <c r="J10" s="98">
        <f>T9</f>
        <v>37.131599999999999</v>
      </c>
      <c r="K10" s="92">
        <f>P9</f>
        <v>10.723599999999999</v>
      </c>
      <c r="L10" s="6"/>
      <c r="M10" s="27" t="str">
        <f>lang!B16</f>
        <v>焦虑</v>
      </c>
      <c r="N10" s="59">
        <f>M!B7*1</f>
        <v>24.3935</v>
      </c>
      <c r="O10" s="59">
        <f>M!C7*1</f>
        <v>6.8017599999999998</v>
      </c>
      <c r="P10" s="59">
        <f>M!D7*1</f>
        <v>27.883600000000001</v>
      </c>
      <c r="Q10" s="59">
        <f>M!E7*1</f>
        <v>15</v>
      </c>
      <c r="R10" s="59">
        <f>M!F7*1</f>
        <v>10.621600000000001</v>
      </c>
      <c r="S10" s="59">
        <f>M!G7*1</f>
        <v>40</v>
      </c>
      <c r="T10" s="59">
        <f>M!H7*1</f>
        <v>48.631399999999999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10.621600000000001</v>
      </c>
      <c r="D11" s="102">
        <f>N10</f>
        <v>24.3935</v>
      </c>
      <c r="E11" s="103">
        <f>T10</f>
        <v>48.631399999999999</v>
      </c>
      <c r="F11" s="94">
        <f>P10</f>
        <v>27.883600000000001</v>
      </c>
      <c r="G11" s="52" t="str">
        <f>CONCATENATE(M11,"
(20 ~ 50)")</f>
        <v>可疑
(20 ~ 50)</v>
      </c>
      <c r="H11" s="101">
        <f>R11</f>
        <v>16.818300000000001</v>
      </c>
      <c r="I11" s="104">
        <f>N11</f>
        <v>30.2608</v>
      </c>
      <c r="J11" s="101">
        <f>T11</f>
        <v>40.229900000000001</v>
      </c>
      <c r="K11" s="95">
        <f>P11</f>
        <v>14.450200000000001</v>
      </c>
      <c r="L11" s="4"/>
      <c r="M11" s="27" t="str">
        <f>lang!B17</f>
        <v>可疑</v>
      </c>
      <c r="N11" s="59">
        <f>M!B8*1</f>
        <v>30.2608</v>
      </c>
      <c r="O11" s="59">
        <f>M!C8*1</f>
        <v>4.3727400000000003</v>
      </c>
      <c r="P11" s="59">
        <f>M!D8*1</f>
        <v>14.450200000000001</v>
      </c>
      <c r="Q11" s="59">
        <f>M!E8*1</f>
        <v>20</v>
      </c>
      <c r="R11" s="59">
        <f>M!F8*1</f>
        <v>16.818300000000001</v>
      </c>
      <c r="S11" s="59">
        <f>M!G8*1</f>
        <v>50</v>
      </c>
      <c r="T11" s="59">
        <f>M!H8*1</f>
        <v>40.229900000000001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47.497100000000003</v>
      </c>
      <c r="D12" s="104">
        <f>N12</f>
        <v>69.512900000000002</v>
      </c>
      <c r="E12" s="101">
        <f>T12</f>
        <v>86.081000000000003</v>
      </c>
      <c r="F12" s="93">
        <f>P12</f>
        <v>12.3353</v>
      </c>
      <c r="G12" s="52" t="str">
        <f>CONCATENATE(M13,"
(40 ~ 100)")</f>
        <v>自信
(40 ~ 100)</v>
      </c>
      <c r="H12" s="101">
        <f>R13</f>
        <v>67.745199999999997</v>
      </c>
      <c r="I12" s="104">
        <f>N13</f>
        <v>74.3977</v>
      </c>
      <c r="J12" s="101">
        <f>T13</f>
        <v>84.7453</v>
      </c>
      <c r="K12" s="95">
        <f>P13</f>
        <v>5.0211800000000002</v>
      </c>
      <c r="L12" s="4"/>
      <c r="M12" s="27" t="str">
        <f>lang!B18</f>
        <v>平衡</v>
      </c>
      <c r="N12" s="59">
        <f>M!B9*1</f>
        <v>69.512900000000002</v>
      </c>
      <c r="O12" s="59">
        <f>M!C9*1</f>
        <v>8.5746199999999995</v>
      </c>
      <c r="P12" s="59">
        <f>M!D9*1</f>
        <v>12.3353</v>
      </c>
      <c r="Q12" s="59">
        <f>M!E9*1</f>
        <v>50</v>
      </c>
      <c r="R12" s="59">
        <f>M!F9*1</f>
        <v>47.497100000000003</v>
      </c>
      <c r="S12" s="59">
        <f>M!G9*1</f>
        <v>100</v>
      </c>
      <c r="T12" s="59">
        <f>M!H9*1</f>
        <v>86.081000000000003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10.8927</v>
      </c>
      <c r="D13" s="102">
        <f>N14</f>
        <v>24.6738</v>
      </c>
      <c r="E13" s="103">
        <f>T14</f>
        <v>35.8491</v>
      </c>
      <c r="F13" s="94">
        <f>P14</f>
        <v>23.9834</v>
      </c>
      <c r="G13" s="52" t="str">
        <f>CONCATENATE(M15,"
(50 ~ 100)")</f>
        <v>自我调节
(50 ~ 100)</v>
      </c>
      <c r="H13" s="101">
        <f>R15</f>
        <v>60.185499999999998</v>
      </c>
      <c r="I13" s="104">
        <f>N15</f>
        <v>71.527100000000004</v>
      </c>
      <c r="J13" s="101">
        <f>T15</f>
        <v>84.7607</v>
      </c>
      <c r="K13" s="95">
        <f>P15</f>
        <v>7.7856800000000002</v>
      </c>
      <c r="L13" s="4"/>
      <c r="M13" s="27" t="str">
        <f>lang!B19</f>
        <v>自信</v>
      </c>
      <c r="N13" s="59">
        <f>M!B10*1</f>
        <v>74.3977</v>
      </c>
      <c r="O13" s="59">
        <f>M!C10*1</f>
        <v>3.7356400000000001</v>
      </c>
      <c r="P13" s="59">
        <f>M!D10*1</f>
        <v>5.0211800000000002</v>
      </c>
      <c r="Q13" s="59">
        <f>M!E10*1</f>
        <v>40</v>
      </c>
      <c r="R13" s="59">
        <f>M!F10*1</f>
        <v>67.745199999999997</v>
      </c>
      <c r="S13" s="59">
        <f>M!G10*1</f>
        <v>100</v>
      </c>
      <c r="T13" s="59">
        <f>M!H10*1</f>
        <v>84.7453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11.1877</v>
      </c>
      <c r="D14" s="106">
        <f>N16</f>
        <v>17.448</v>
      </c>
      <c r="E14" s="107">
        <f>T16</f>
        <v>29.469799999999999</v>
      </c>
      <c r="F14" s="96">
        <f>P16</f>
        <v>20.457899999999999</v>
      </c>
      <c r="G14" s="112" t="str">
        <f>CONCATENATE(M17,"
(10 ~ 50)")</f>
        <v>神经质
(10 ~ 50)</v>
      </c>
      <c r="H14" s="105">
        <f>R17</f>
        <v>0.26866000000000001</v>
      </c>
      <c r="I14" s="106">
        <f>N17</f>
        <v>35.695</v>
      </c>
      <c r="J14" s="107">
        <f>T17</f>
        <v>42.874499999999998</v>
      </c>
      <c r="K14" s="97">
        <f>P17</f>
        <v>29.461400000000001</v>
      </c>
      <c r="M14" s="27" t="str">
        <f>lang!B20</f>
        <v>活力</v>
      </c>
      <c r="N14" s="59">
        <f>M!B11*1</f>
        <v>24.6738</v>
      </c>
      <c r="O14" s="59">
        <f>M!C11*1</f>
        <v>5.9176299999999999</v>
      </c>
      <c r="P14" s="59">
        <f>M!D11*1</f>
        <v>23.9834</v>
      </c>
      <c r="Q14" s="59">
        <f>M!E11*1</f>
        <v>10</v>
      </c>
      <c r="R14" s="59">
        <f>M!F11*1</f>
        <v>10.8927</v>
      </c>
      <c r="S14" s="59">
        <f>M!G11*1</f>
        <v>50</v>
      </c>
      <c r="T14" s="59">
        <f>M!H11*1</f>
        <v>35.8491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71.527100000000004</v>
      </c>
      <c r="O15" s="59">
        <f>M!C12*1</f>
        <v>5.5688700000000004</v>
      </c>
      <c r="P15" s="59">
        <f>M!D12*1</f>
        <v>7.7856800000000002</v>
      </c>
      <c r="Q15" s="59">
        <f>M!E12*1</f>
        <v>50</v>
      </c>
      <c r="R15" s="59">
        <f>M!F12*1</f>
        <v>60.185499999999998</v>
      </c>
      <c r="S15" s="59">
        <f>M!G12*1</f>
        <v>100</v>
      </c>
      <c r="T15" s="59">
        <f>M!H12*1</f>
        <v>84.7607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17.448</v>
      </c>
      <c r="O16" s="59">
        <f>M!C13*1</f>
        <v>3.5695000000000001</v>
      </c>
      <c r="P16" s="59">
        <f>M!D13*1</f>
        <v>20.457899999999999</v>
      </c>
      <c r="Q16" s="59">
        <f>M!E13*1</f>
        <v>10</v>
      </c>
      <c r="R16" s="59">
        <f>M!F13*1</f>
        <v>11.1877</v>
      </c>
      <c r="S16" s="59">
        <f>M!G13*1</f>
        <v>25</v>
      </c>
      <c r="T16" s="59">
        <f>M!H13*1</f>
        <v>29.469799999999999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35.695</v>
      </c>
      <c r="O17" s="59">
        <f>M!C14*1</f>
        <v>10.5162</v>
      </c>
      <c r="P17" s="59">
        <f>M!D14*1</f>
        <v>29.461400000000001</v>
      </c>
      <c r="Q17" s="59">
        <f>M!E14*1</f>
        <v>10</v>
      </c>
      <c r="R17" s="59">
        <f>M!F14*1</f>
        <v>0.26866000000000001</v>
      </c>
      <c r="S17" s="59">
        <f>M!G14*1</f>
        <v>50</v>
      </c>
      <c r="T17" s="59">
        <f>M!H14*1</f>
        <v>42.874499999999998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60.027874999999995</v>
      </c>
      <c r="O18" s="22">
        <f>N18/(N18+N19+N20)</f>
        <v>0.51356167802786357</v>
      </c>
      <c r="P18" s="65">
        <f>SUM(P12:P15)/4</f>
        <v>12.28139</v>
      </c>
      <c r="Q18" s="22">
        <f>P18/(P18+P19+P20)</f>
        <v>0.21753022561867105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30.286050000000003</v>
      </c>
      <c r="O19" s="22">
        <f>N19/(N18+N19+N20)</f>
        <v>0.25910886665296384</v>
      </c>
      <c r="P19" s="18">
        <f>SUM(P8:P11)/4</f>
        <v>19.217275000000001</v>
      </c>
      <c r="Q19" s="22">
        <f>P19/(P18+P19+P20)</f>
        <v>0.34037988912704886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26.5715</v>
      </c>
      <c r="O20" s="22">
        <f>N20/(N18+N19+N20)</f>
        <v>0.22732945531917262</v>
      </c>
      <c r="P20" s="18">
        <f>(P16+P17)/2</f>
        <v>24.95965</v>
      </c>
      <c r="Q20" s="22">
        <f>P20/(P18+P19+P20)</f>
        <v>0.44208988525428011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-6.9654175675675667E-2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1.7747673479685435</v>
      </c>
      <c r="D25" s="44" t="str">
        <f>lang!B11</f>
        <v>频率方差</v>
      </c>
      <c r="E25" s="142">
        <f ca="1">FH!L3</f>
        <v>0.59525912226691968</v>
      </c>
      <c r="F25" s="143"/>
      <c r="G25" s="134" t="str">
        <f>lang!B12</f>
        <v>生理变化率</v>
      </c>
      <c r="H25" s="135"/>
      <c r="I25" s="62" t="str">
        <f ca="1">CONCATENATE(info!M7,"-",info!M8)</f>
        <v>43-67.3</v>
      </c>
      <c r="J25" s="42" t="str">
        <f>lang!B13</f>
        <v>千卡l/分钟</v>
      </c>
      <c r="K25" s="41" t="str">
        <f ca="1">CONCATENATE(info!M5,"-",info!M6)</f>
        <v>2.2-4.5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53.939499999999995</v>
      </c>
      <c r="F28" s="164"/>
      <c r="G28" s="178" t="str">
        <f>lang!B33</f>
        <v>稳定性</v>
      </c>
      <c r="H28" s="179"/>
      <c r="I28" s="180"/>
      <c r="J28" s="181">
        <f>M!B19*100</f>
        <v>60.710600000000007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43628.64744212963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7.0244</v>
      </c>
      <c r="O7" s="59">
        <f t="shared" ref="O7:T7" si="2">AG7-X7</f>
        <v>-7.018349999999999</v>
      </c>
      <c r="P7" s="59">
        <f t="shared" si="2"/>
        <v>-24.654999999999998</v>
      </c>
      <c r="Q7" s="59">
        <f t="shared" si="2"/>
        <v>0</v>
      </c>
      <c r="R7" s="59">
        <f t="shared" si="2"/>
        <v>18.598100000000002</v>
      </c>
      <c r="S7" s="59">
        <f t="shared" si="2"/>
        <v>0</v>
      </c>
      <c r="T7" s="59">
        <f t="shared" si="2"/>
        <v>-3.5471999999999966</v>
      </c>
      <c r="U7" s="14"/>
      <c r="V7" s="27" t="str">
        <f>M7</f>
        <v>攻击性</v>
      </c>
      <c r="W7" s="59">
        <f>'M1'!B5*1</f>
        <v>31.391500000000001</v>
      </c>
      <c r="X7" s="59">
        <f>'M1'!C5*1</f>
        <v>10.962999999999999</v>
      </c>
      <c r="Y7" s="59">
        <f>'M1'!D5*1</f>
        <v>34.923299999999998</v>
      </c>
      <c r="Z7" s="59">
        <f>'M1'!E5*1</f>
        <v>20</v>
      </c>
      <c r="AA7" s="59">
        <f>'M1'!F5*1</f>
        <v>12.2814</v>
      </c>
      <c r="AB7" s="59">
        <f>'M1'!G5*1</f>
        <v>50</v>
      </c>
      <c r="AC7" s="59">
        <f>'M1'!H5*1</f>
        <v>51.305599999999998</v>
      </c>
      <c r="AE7" s="27" t="str">
        <f>V7</f>
        <v>攻击性</v>
      </c>
      <c r="AF7" s="59">
        <f>'M2'!B5*1</f>
        <v>38.415900000000001</v>
      </c>
      <c r="AG7" s="59">
        <f>'M2'!C5*1</f>
        <v>3.9446500000000002</v>
      </c>
      <c r="AH7" s="59">
        <f>'M2'!D5*1</f>
        <v>10.2683</v>
      </c>
      <c r="AI7" s="59">
        <f>'M2'!E5*1</f>
        <v>20</v>
      </c>
      <c r="AJ7" s="59">
        <f>'M2'!F5*1</f>
        <v>30.8795</v>
      </c>
      <c r="AK7" s="59">
        <f>'M2'!G5*1</f>
        <v>50</v>
      </c>
      <c r="AL7" s="59">
        <f>'M2'!H5*1</f>
        <v>47.758400000000002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2.1282999999999994</v>
      </c>
      <c r="O8" s="59">
        <f t="shared" ref="O8:O16" si="5">AG8-X8</f>
        <v>-0.31116999999999972</v>
      </c>
      <c r="P8" s="59">
        <f t="shared" ref="P8:P16" si="6">AH8-Y8</f>
        <v>-1.5822700000000003</v>
      </c>
      <c r="Q8" s="59">
        <f t="shared" ref="Q8:Q16" si="7">AI8-Z8</f>
        <v>0</v>
      </c>
      <c r="R8" s="59">
        <f t="shared" ref="R8:R16" si="8">AJ8-AA8</f>
        <v>6.6137000000000015</v>
      </c>
      <c r="S8" s="59">
        <f t="shared" ref="S8:S16" si="9">AK8-AB8</f>
        <v>0</v>
      </c>
      <c r="T8" s="59">
        <f t="shared" ref="T8:T16" si="10">AL8-AC8</f>
        <v>5.9813999999999972</v>
      </c>
      <c r="U8" s="15"/>
      <c r="V8" s="27" t="str">
        <f t="shared" ref="V8:V16" si="11">M8</f>
        <v>压力</v>
      </c>
      <c r="W8" s="59">
        <f>'M1'!B6*1</f>
        <v>29.516100000000002</v>
      </c>
      <c r="X8" s="59">
        <f>'M1'!C6*1</f>
        <v>2.6285099999999999</v>
      </c>
      <c r="Y8" s="59">
        <f>'M1'!D6*1</f>
        <v>8.9053500000000003</v>
      </c>
      <c r="Z8" s="59">
        <f>'M1'!E6*1</f>
        <v>20</v>
      </c>
      <c r="AA8" s="59">
        <f>'M1'!F6*1</f>
        <v>22.363199999999999</v>
      </c>
      <c r="AB8" s="59">
        <f>'M1'!G6*1</f>
        <v>40</v>
      </c>
      <c r="AC8" s="59">
        <f>'M1'!H6*1</f>
        <v>31.150200000000002</v>
      </c>
      <c r="AE8" s="27" t="str">
        <f t="shared" ref="AE8:AE16" si="12">V8</f>
        <v>压力</v>
      </c>
      <c r="AF8" s="59">
        <f>'M2'!B6*1</f>
        <v>31.644400000000001</v>
      </c>
      <c r="AG8" s="59">
        <f>'M2'!C6*1</f>
        <v>2.3173400000000002</v>
      </c>
      <c r="AH8" s="59">
        <f>'M2'!D6*1</f>
        <v>7.32308</v>
      </c>
      <c r="AI8" s="59">
        <f>'M2'!E6*1</f>
        <v>20</v>
      </c>
      <c r="AJ8" s="59">
        <f>'M2'!F6*1</f>
        <v>28.976900000000001</v>
      </c>
      <c r="AK8" s="59">
        <f>'M2'!G6*1</f>
        <v>40</v>
      </c>
      <c r="AL8" s="59">
        <f>'M2'!H6*1</f>
        <v>37.131599999999999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18.598100000000002</v>
      </c>
      <c r="D9" s="78">
        <f>N7</f>
        <v>7.0244</v>
      </c>
      <c r="E9" s="79">
        <f>T7</f>
        <v>-3.5471999999999966</v>
      </c>
      <c r="F9" s="79">
        <f>P7</f>
        <v>-24.654999999999998</v>
      </c>
      <c r="G9" s="80" t="str">
        <f>CONCATENATE(M8,"
(20 ~ 40)")</f>
        <v>压力
(20 ~ 40)</v>
      </c>
      <c r="H9" s="77">
        <f>R8</f>
        <v>6.6137000000000015</v>
      </c>
      <c r="I9" s="81">
        <f>N8</f>
        <v>2.1282999999999994</v>
      </c>
      <c r="J9" s="77">
        <f>T8</f>
        <v>5.9813999999999972</v>
      </c>
      <c r="K9" s="82">
        <f>P8</f>
        <v>-1.5822700000000003</v>
      </c>
      <c r="L9" s="6"/>
      <c r="M9" s="27" t="str">
        <f>lang!B16</f>
        <v>焦虑</v>
      </c>
      <c r="N9" s="59">
        <f t="shared" si="4"/>
        <v>-5.9340000000000011</v>
      </c>
      <c r="O9" s="59">
        <f t="shared" si="5"/>
        <v>2.1480899999999998</v>
      </c>
      <c r="P9" s="59">
        <f t="shared" si="6"/>
        <v>14.847299999999997</v>
      </c>
      <c r="Q9" s="59">
        <f t="shared" si="7"/>
        <v>0</v>
      </c>
      <c r="R9" s="59">
        <f t="shared" si="8"/>
        <v>-5.6628000000000007</v>
      </c>
      <c r="S9" s="59">
        <f t="shared" si="9"/>
        <v>0</v>
      </c>
      <c r="T9" s="59">
        <f t="shared" si="10"/>
        <v>1.3506999999999962</v>
      </c>
      <c r="U9" s="14"/>
      <c r="V9" s="27" t="str">
        <f t="shared" si="11"/>
        <v>焦虑</v>
      </c>
      <c r="W9" s="59">
        <f>'M1'!B7*1</f>
        <v>27.9483</v>
      </c>
      <c r="X9" s="59">
        <f>'M1'!C7*1</f>
        <v>5.2771600000000003</v>
      </c>
      <c r="Y9" s="59">
        <f>'M1'!D7*1</f>
        <v>18.881900000000002</v>
      </c>
      <c r="Z9" s="59">
        <f>'M1'!E7*1</f>
        <v>15</v>
      </c>
      <c r="AA9" s="59">
        <f>'M1'!F7*1</f>
        <v>16.284400000000002</v>
      </c>
      <c r="AB9" s="59">
        <f>'M1'!G7*1</f>
        <v>40</v>
      </c>
      <c r="AC9" s="59">
        <f>'M1'!H7*1</f>
        <v>47.280700000000003</v>
      </c>
      <c r="AE9" s="27" t="str">
        <f t="shared" si="12"/>
        <v>焦虑</v>
      </c>
      <c r="AF9" s="59">
        <f>'M2'!B7*1</f>
        <v>22.014299999999999</v>
      </c>
      <c r="AG9" s="59">
        <f>'M2'!C7*1</f>
        <v>7.4252500000000001</v>
      </c>
      <c r="AH9" s="59">
        <f>'M2'!D7*1</f>
        <v>33.729199999999999</v>
      </c>
      <c r="AI9" s="59">
        <f>'M2'!E7*1</f>
        <v>15</v>
      </c>
      <c r="AJ9" s="59">
        <f>'M2'!F7*1</f>
        <v>10.621600000000001</v>
      </c>
      <c r="AK9" s="59">
        <f>'M2'!G7*1</f>
        <v>40</v>
      </c>
      <c r="AL9" s="59">
        <f>'M2'!H7*1</f>
        <v>48.631399999999999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-5.6628000000000007</v>
      </c>
      <c r="D10" s="51">
        <f>N9</f>
        <v>-5.9340000000000011</v>
      </c>
      <c r="E10" s="53">
        <f>T9</f>
        <v>1.3506999999999962</v>
      </c>
      <c r="F10" s="53">
        <f>P9</f>
        <v>14.847299999999997</v>
      </c>
      <c r="G10" s="73" t="str">
        <f>CONCATENATE(M10,"
(20 ~ 50)")</f>
        <v>可疑
(20 ~ 50)</v>
      </c>
      <c r="H10" s="24">
        <f>R10</f>
        <v>10.591999999999999</v>
      </c>
      <c r="I10" s="52">
        <f>N10</f>
        <v>2.8742000000000019</v>
      </c>
      <c r="J10" s="24">
        <f>T10</f>
        <v>2.7135999999999996</v>
      </c>
      <c r="K10" s="25">
        <f>P10</f>
        <v>-9.5046399999999984</v>
      </c>
      <c r="L10" s="4"/>
      <c r="M10" s="27" t="str">
        <f>lang!B17</f>
        <v>可疑</v>
      </c>
      <c r="N10" s="59">
        <f t="shared" si="4"/>
        <v>2.8742000000000019</v>
      </c>
      <c r="O10" s="59">
        <f t="shared" si="5"/>
        <v>-2.3922499999999998</v>
      </c>
      <c r="P10" s="59">
        <f t="shared" si="6"/>
        <v>-9.5046399999999984</v>
      </c>
      <c r="Q10" s="59">
        <f t="shared" si="7"/>
        <v>0</v>
      </c>
      <c r="R10" s="59">
        <f t="shared" si="8"/>
        <v>10.591999999999999</v>
      </c>
      <c r="S10" s="59">
        <f t="shared" si="9"/>
        <v>0</v>
      </c>
      <c r="T10" s="59">
        <f t="shared" si="10"/>
        <v>2.7135999999999996</v>
      </c>
      <c r="U10" s="14"/>
      <c r="V10" s="27" t="str">
        <f t="shared" si="11"/>
        <v>可疑</v>
      </c>
      <c r="W10" s="59">
        <f>'M1'!B8*1</f>
        <v>27.939399999999999</v>
      </c>
      <c r="X10" s="59">
        <f>'M1'!C8*1</f>
        <v>5.2149799999999997</v>
      </c>
      <c r="Y10" s="59">
        <f>'M1'!D8*1</f>
        <v>18.665299999999998</v>
      </c>
      <c r="Z10" s="59">
        <f>'M1'!E8*1</f>
        <v>20</v>
      </c>
      <c r="AA10" s="59">
        <f>'M1'!F8*1</f>
        <v>16.818300000000001</v>
      </c>
      <c r="AB10" s="59">
        <f>'M1'!G8*1</f>
        <v>50</v>
      </c>
      <c r="AC10" s="59">
        <f>'M1'!H8*1</f>
        <v>37.516300000000001</v>
      </c>
      <c r="AE10" s="27" t="str">
        <f t="shared" si="12"/>
        <v>可疑</v>
      </c>
      <c r="AF10" s="59">
        <f>'M2'!B8*1</f>
        <v>30.813600000000001</v>
      </c>
      <c r="AG10" s="59">
        <f>'M2'!C8*1</f>
        <v>2.82273</v>
      </c>
      <c r="AH10" s="59">
        <f>'M2'!D8*1</f>
        <v>9.16066</v>
      </c>
      <c r="AI10" s="59">
        <f>'M2'!E8*1</f>
        <v>20</v>
      </c>
      <c r="AJ10" s="59">
        <f>'M2'!F8*1</f>
        <v>27.410299999999999</v>
      </c>
      <c r="AK10" s="59">
        <f>'M2'!G8*1</f>
        <v>50</v>
      </c>
      <c r="AL10" s="59">
        <f>'M2'!H8*1</f>
        <v>40.229900000000001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8.320299999999996</v>
      </c>
      <c r="D11" s="52">
        <f>N11</f>
        <v>-4.9142000000000081</v>
      </c>
      <c r="E11" s="24">
        <f>T11</f>
        <v>-6.3055999999999983</v>
      </c>
      <c r="F11" s="24">
        <f>P11</f>
        <v>-6.1145600000000009</v>
      </c>
      <c r="G11" s="73" t="str">
        <f>CONCATENATE(M12,"
(40 ~ 100)")</f>
        <v>自信
(40 ~ 100)</v>
      </c>
      <c r="H11" s="24">
        <f>R12</f>
        <v>-3.3619000000000057</v>
      </c>
      <c r="I11" s="52">
        <f>N12</f>
        <v>-1.8198000000000008</v>
      </c>
      <c r="J11" s="24">
        <f>T12</f>
        <v>-9.1680000000000064</v>
      </c>
      <c r="K11" s="25">
        <f>P12</f>
        <v>-2.7197</v>
      </c>
      <c r="L11" s="4"/>
      <c r="M11" s="27" t="str">
        <f>lang!B18</f>
        <v>平衡</v>
      </c>
      <c r="N11" s="59">
        <f t="shared" si="4"/>
        <v>-4.9142000000000081</v>
      </c>
      <c r="O11" s="59">
        <f t="shared" si="5"/>
        <v>-4.8920899999999996</v>
      </c>
      <c r="P11" s="59">
        <f t="shared" si="6"/>
        <v>-6.1145600000000009</v>
      </c>
      <c r="Q11" s="59">
        <f t="shared" si="7"/>
        <v>0</v>
      </c>
      <c r="R11" s="59">
        <f t="shared" si="8"/>
        <v>8.320299999999996</v>
      </c>
      <c r="S11" s="59">
        <f t="shared" si="9"/>
        <v>0</v>
      </c>
      <c r="T11" s="59">
        <f t="shared" si="10"/>
        <v>-6.3055999999999983</v>
      </c>
      <c r="U11" s="14"/>
      <c r="V11" s="27" t="str">
        <f t="shared" si="11"/>
        <v>平衡</v>
      </c>
      <c r="W11" s="59">
        <f>'M1'!B9*1</f>
        <v>73.420900000000003</v>
      </c>
      <c r="X11" s="59">
        <f>'M1'!C9*1</f>
        <v>10.5061</v>
      </c>
      <c r="Y11" s="59">
        <f>'M1'!D9*1</f>
        <v>14.3094</v>
      </c>
      <c r="Z11" s="59">
        <f>'M1'!E9*1</f>
        <v>50</v>
      </c>
      <c r="AA11" s="59">
        <f>'M1'!F9*1</f>
        <v>47.497100000000003</v>
      </c>
      <c r="AB11" s="59">
        <f>'M1'!G9*1</f>
        <v>100</v>
      </c>
      <c r="AC11" s="59">
        <f>'M1'!H9*1</f>
        <v>86.081000000000003</v>
      </c>
      <c r="AE11" s="27" t="str">
        <f t="shared" si="12"/>
        <v>平衡</v>
      </c>
      <c r="AF11" s="59">
        <f>'M2'!B9*1</f>
        <v>68.506699999999995</v>
      </c>
      <c r="AG11" s="59">
        <f>'M2'!C9*1</f>
        <v>5.6140100000000004</v>
      </c>
      <c r="AH11" s="59">
        <f>'M2'!D9*1</f>
        <v>8.1948399999999992</v>
      </c>
      <c r="AI11" s="59">
        <f>'M2'!E9*1</f>
        <v>50</v>
      </c>
      <c r="AJ11" s="59">
        <f>'M2'!F9*1</f>
        <v>55.817399999999999</v>
      </c>
      <c r="AK11" s="59">
        <f>'M2'!G9*1</f>
        <v>100</v>
      </c>
      <c r="AL11" s="59">
        <f>'M2'!H9*1</f>
        <v>79.775400000000005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8.8558000000000003</v>
      </c>
      <c r="D12" s="51">
        <f>N13</f>
        <v>5.2688000000000024</v>
      </c>
      <c r="E12" s="53">
        <f>T13</f>
        <v>-1.2475999999999985</v>
      </c>
      <c r="F12" s="53">
        <f>P13</f>
        <v>-19.620000000000005</v>
      </c>
      <c r="G12" s="73" t="str">
        <f>CONCATENATE(M14,"
(50 ~ 100)")</f>
        <v>自我调节
(50 ~ 100)</v>
      </c>
      <c r="H12" s="24">
        <f>R14</f>
        <v>4.8403999999999954</v>
      </c>
      <c r="I12" s="52">
        <f>N14</f>
        <v>-3.7222000000000008</v>
      </c>
      <c r="J12" s="24">
        <f>T14</f>
        <v>-7.8027000000000015</v>
      </c>
      <c r="K12" s="25">
        <f>P14</f>
        <v>-5.273270000000001</v>
      </c>
      <c r="L12" s="4"/>
      <c r="M12" s="27" t="str">
        <f>lang!B19</f>
        <v>自信</v>
      </c>
      <c r="N12" s="59">
        <f t="shared" si="4"/>
        <v>-1.8198000000000008</v>
      </c>
      <c r="O12" s="59">
        <f t="shared" si="5"/>
        <v>-2.1053299999999999</v>
      </c>
      <c r="P12" s="59">
        <f t="shared" si="6"/>
        <v>-2.7197</v>
      </c>
      <c r="Q12" s="59">
        <f t="shared" si="7"/>
        <v>0</v>
      </c>
      <c r="R12" s="59">
        <f t="shared" si="8"/>
        <v>-3.3619000000000057</v>
      </c>
      <c r="S12" s="59">
        <f t="shared" si="9"/>
        <v>0</v>
      </c>
      <c r="T12" s="59">
        <f t="shared" si="10"/>
        <v>-9.1680000000000064</v>
      </c>
      <c r="U12" s="15"/>
      <c r="V12" s="27" t="str">
        <f t="shared" si="11"/>
        <v>自信</v>
      </c>
      <c r="W12" s="59">
        <f>'M1'!B10*1</f>
        <v>75.587199999999996</v>
      </c>
      <c r="X12" s="59">
        <f>'M1'!C10*1</f>
        <v>4.1151299999999997</v>
      </c>
      <c r="Y12" s="59">
        <f>'M1'!D10*1</f>
        <v>5.44421</v>
      </c>
      <c r="Z12" s="59">
        <f>'M1'!E10*1</f>
        <v>40</v>
      </c>
      <c r="AA12" s="59">
        <f>'M1'!F10*1</f>
        <v>71.107100000000003</v>
      </c>
      <c r="AB12" s="59">
        <f>'M1'!G10*1</f>
        <v>100</v>
      </c>
      <c r="AC12" s="59">
        <f>'M1'!H10*1</f>
        <v>84.7453</v>
      </c>
      <c r="AE12" s="27" t="str">
        <f t="shared" si="12"/>
        <v>自信</v>
      </c>
      <c r="AF12" s="59">
        <f>'M2'!B10*1</f>
        <v>73.767399999999995</v>
      </c>
      <c r="AG12" s="59">
        <f>'M2'!C10*1</f>
        <v>2.0097999999999998</v>
      </c>
      <c r="AH12" s="59">
        <f>'M2'!D10*1</f>
        <v>2.72451</v>
      </c>
      <c r="AI12" s="59">
        <f>'M2'!E10*1</f>
        <v>40</v>
      </c>
      <c r="AJ12" s="59">
        <f>'M2'!F10*1</f>
        <v>67.745199999999997</v>
      </c>
      <c r="AK12" s="59">
        <f>'M2'!G10*1</f>
        <v>100</v>
      </c>
      <c r="AL12" s="59">
        <f>'M2'!H10*1</f>
        <v>75.577299999999994</v>
      </c>
    </row>
    <row r="13" spans="2:38" ht="25.5" customHeight="1" thickBot="1">
      <c r="B13" s="72" t="str">
        <f>CONCATENATE(M15,"
(10 ~ 25)")</f>
        <v>抑郁
(10 ~ 25)</v>
      </c>
      <c r="C13" s="54">
        <f>R15</f>
        <v>-0.69480000000000075</v>
      </c>
      <c r="D13" s="55">
        <f>N15</f>
        <v>2.1410000000000018</v>
      </c>
      <c r="E13" s="56">
        <f>T15</f>
        <v>7.8655000000000008</v>
      </c>
      <c r="F13" s="56">
        <f>P15</f>
        <v>5.7149000000000001</v>
      </c>
      <c r="G13" s="74" t="str">
        <f>CONCATENATE(M16,"
(10 ~ 50)")</f>
        <v>神经质
(10 ~ 50)</v>
      </c>
      <c r="H13" s="54">
        <f>R16</f>
        <v>1.0211700000000001</v>
      </c>
      <c r="I13" s="55">
        <f>N16</f>
        <v>14.173500000000001</v>
      </c>
      <c r="J13" s="56">
        <f>T16</f>
        <v>14.765299999999996</v>
      </c>
      <c r="K13" s="57">
        <f>P16</f>
        <v>-2.9174000000000007</v>
      </c>
      <c r="M13" s="27" t="str">
        <f>lang!B20</f>
        <v>活力</v>
      </c>
      <c r="N13" s="59">
        <f t="shared" si="4"/>
        <v>5.2688000000000024</v>
      </c>
      <c r="O13" s="59">
        <f t="shared" si="5"/>
        <v>-3.3820000000000001</v>
      </c>
      <c r="P13" s="59">
        <f t="shared" si="6"/>
        <v>-19.620000000000005</v>
      </c>
      <c r="Q13" s="59">
        <f t="shared" si="7"/>
        <v>0</v>
      </c>
      <c r="R13" s="59">
        <f t="shared" si="8"/>
        <v>8.8558000000000003</v>
      </c>
      <c r="S13" s="59">
        <f t="shared" si="9"/>
        <v>0</v>
      </c>
      <c r="T13" s="59">
        <f t="shared" si="10"/>
        <v>-1.2475999999999985</v>
      </c>
      <c r="U13" s="14"/>
      <c r="V13" s="27" t="str">
        <f t="shared" si="11"/>
        <v>活力</v>
      </c>
      <c r="W13" s="59">
        <f>'M1'!B11*1</f>
        <v>21.149799999999999</v>
      </c>
      <c r="X13" s="59">
        <f>'M1'!C11*1</f>
        <v>7.2306699999999999</v>
      </c>
      <c r="Y13" s="59">
        <f>'M1'!D11*1</f>
        <v>34.188000000000002</v>
      </c>
      <c r="Z13" s="59">
        <f>'M1'!E11*1</f>
        <v>10</v>
      </c>
      <c r="AA13" s="59">
        <f>'M1'!F11*1</f>
        <v>10.8927</v>
      </c>
      <c r="AB13" s="59">
        <f>'M1'!G11*1</f>
        <v>50</v>
      </c>
      <c r="AC13" s="59">
        <f>'M1'!H11*1</f>
        <v>35.8491</v>
      </c>
      <c r="AE13" s="27" t="str">
        <f t="shared" si="12"/>
        <v>活力</v>
      </c>
      <c r="AF13" s="59">
        <f>'M2'!B11*1</f>
        <v>26.418600000000001</v>
      </c>
      <c r="AG13" s="59">
        <f>'M2'!C11*1</f>
        <v>3.8486699999999998</v>
      </c>
      <c r="AH13" s="59">
        <f>'M2'!D11*1</f>
        <v>14.568</v>
      </c>
      <c r="AI13" s="59">
        <f>'M2'!E11*1</f>
        <v>10</v>
      </c>
      <c r="AJ13" s="59">
        <f>'M2'!F11*1</f>
        <v>19.7485</v>
      </c>
      <c r="AK13" s="59">
        <f>'M2'!G11*1</f>
        <v>50</v>
      </c>
      <c r="AL13" s="59">
        <f>'M2'!H11*1</f>
        <v>34.601500000000001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-3.7222000000000008</v>
      </c>
      <c r="O14" s="59">
        <f t="shared" si="5"/>
        <v>-4.0607199999999999</v>
      </c>
      <c r="P14" s="59">
        <f t="shared" si="6"/>
        <v>-5.273270000000001</v>
      </c>
      <c r="Q14" s="59">
        <f t="shared" si="7"/>
        <v>0</v>
      </c>
      <c r="R14" s="59">
        <f t="shared" si="8"/>
        <v>4.8403999999999954</v>
      </c>
      <c r="S14" s="59">
        <f t="shared" si="9"/>
        <v>0</v>
      </c>
      <c r="T14" s="59">
        <f t="shared" si="10"/>
        <v>-7.8027000000000015</v>
      </c>
      <c r="U14" s="14"/>
      <c r="V14" s="27" t="str">
        <f t="shared" si="11"/>
        <v>自我调节</v>
      </c>
      <c r="W14" s="59">
        <f>'M1'!B12*1</f>
        <v>74.147499999999994</v>
      </c>
      <c r="X14" s="59">
        <f>'M1'!C12*1</f>
        <v>6.9126500000000002</v>
      </c>
      <c r="Y14" s="59">
        <f>'M1'!D12*1</f>
        <v>9.3228500000000007</v>
      </c>
      <c r="Z14" s="59">
        <f>'M1'!E12*1</f>
        <v>50</v>
      </c>
      <c r="AA14" s="59">
        <f>'M1'!F12*1</f>
        <v>60.185499999999998</v>
      </c>
      <c r="AB14" s="59">
        <f>'M1'!G12*1</f>
        <v>100</v>
      </c>
      <c r="AC14" s="59">
        <f>'M1'!H12*1</f>
        <v>84.7607</v>
      </c>
      <c r="AE14" s="27" t="str">
        <f t="shared" si="12"/>
        <v>自我调节</v>
      </c>
      <c r="AF14" s="59">
        <f>'M2'!B12*1</f>
        <v>70.425299999999993</v>
      </c>
      <c r="AG14" s="59">
        <f>'M2'!C12*1</f>
        <v>2.8519299999999999</v>
      </c>
      <c r="AH14" s="59">
        <f>'M2'!D12*1</f>
        <v>4.0495799999999997</v>
      </c>
      <c r="AI14" s="59">
        <f>'M2'!E12*1</f>
        <v>50</v>
      </c>
      <c r="AJ14" s="59">
        <f>'M2'!F12*1</f>
        <v>65.025899999999993</v>
      </c>
      <c r="AK14" s="59">
        <f>'M2'!G12*1</f>
        <v>100</v>
      </c>
      <c r="AL14" s="59">
        <f>'M2'!H12*1</f>
        <v>76.957999999999998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2.1410000000000018</v>
      </c>
      <c r="O15" s="59">
        <f t="shared" si="5"/>
        <v>1.4173499999999999</v>
      </c>
      <c r="P15" s="59">
        <f t="shared" si="6"/>
        <v>5.7149000000000001</v>
      </c>
      <c r="Q15" s="59">
        <f t="shared" si="7"/>
        <v>0</v>
      </c>
      <c r="R15" s="59">
        <f t="shared" si="8"/>
        <v>-0.69480000000000075</v>
      </c>
      <c r="S15" s="59">
        <f t="shared" si="9"/>
        <v>0</v>
      </c>
      <c r="T15" s="59">
        <f t="shared" si="10"/>
        <v>7.8655000000000008</v>
      </c>
      <c r="U15" s="14"/>
      <c r="V15" s="27" t="str">
        <f t="shared" si="11"/>
        <v>抑郁</v>
      </c>
      <c r="W15" s="59">
        <f>'M1'!B13*1</f>
        <v>16.710799999999999</v>
      </c>
      <c r="X15" s="59">
        <f>'M1'!C13*1</f>
        <v>2.6536499999999998</v>
      </c>
      <c r="Y15" s="59">
        <f>'M1'!D13*1</f>
        <v>15.879799999999999</v>
      </c>
      <c r="Z15" s="59">
        <f>'M1'!E13*1</f>
        <v>10</v>
      </c>
      <c r="AA15" s="59">
        <f>'M1'!F13*1</f>
        <v>11.8825</v>
      </c>
      <c r="AB15" s="59">
        <f>'M1'!G13*1</f>
        <v>25</v>
      </c>
      <c r="AC15" s="59">
        <f>'M1'!H13*1</f>
        <v>21.604299999999999</v>
      </c>
      <c r="AE15" s="27" t="str">
        <f t="shared" si="12"/>
        <v>抑郁</v>
      </c>
      <c r="AF15" s="59">
        <f>'M2'!B13*1</f>
        <v>18.851800000000001</v>
      </c>
      <c r="AG15" s="59">
        <f>'M2'!C13*1</f>
        <v>4.0709999999999997</v>
      </c>
      <c r="AH15" s="59">
        <f>'M2'!D13*1</f>
        <v>21.5947</v>
      </c>
      <c r="AI15" s="59">
        <f>'M2'!E13*1</f>
        <v>10</v>
      </c>
      <c r="AJ15" s="59">
        <f>'M2'!F13*1</f>
        <v>11.1877</v>
      </c>
      <c r="AK15" s="59">
        <f>'M2'!G13*1</f>
        <v>25</v>
      </c>
      <c r="AL15" s="59">
        <f>'M2'!H13*1</f>
        <v>29.469799999999999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14.173500000000001</v>
      </c>
      <c r="O16" s="59">
        <f t="shared" si="5"/>
        <v>3.0215700000000005</v>
      </c>
      <c r="P16" s="59">
        <f t="shared" si="6"/>
        <v>-2.9174000000000007</v>
      </c>
      <c r="Q16" s="59">
        <f t="shared" si="7"/>
        <v>0</v>
      </c>
      <c r="R16" s="59">
        <f t="shared" si="8"/>
        <v>1.0211700000000001</v>
      </c>
      <c r="S16" s="59">
        <f t="shared" si="9"/>
        <v>0</v>
      </c>
      <c r="T16" s="59">
        <f t="shared" si="10"/>
        <v>14.765299999999996</v>
      </c>
      <c r="U16" s="15"/>
      <c r="V16" s="27" t="str">
        <f t="shared" si="11"/>
        <v>神经质</v>
      </c>
      <c r="W16" s="59">
        <f>'M1'!B14*1</f>
        <v>26.5365</v>
      </c>
      <c r="X16" s="59">
        <f>'M1'!C14*1</f>
        <v>7.8808299999999996</v>
      </c>
      <c r="Y16" s="59">
        <f>'M1'!D14*1</f>
        <v>29.6981</v>
      </c>
      <c r="Z16" s="59">
        <f>'M1'!E14*1</f>
        <v>10</v>
      </c>
      <c r="AA16" s="59">
        <f>'M1'!F14*1</f>
        <v>0.26866000000000001</v>
      </c>
      <c r="AB16" s="59">
        <f>'M1'!G14*1</f>
        <v>50</v>
      </c>
      <c r="AC16" s="59">
        <f>'M1'!H14*1</f>
        <v>28.109200000000001</v>
      </c>
      <c r="AE16" s="27" t="str">
        <f t="shared" si="12"/>
        <v>神经质</v>
      </c>
      <c r="AF16" s="59">
        <f>'M2'!B14*1</f>
        <v>40.71</v>
      </c>
      <c r="AG16" s="59">
        <f>'M2'!C14*1</f>
        <v>10.9024</v>
      </c>
      <c r="AH16" s="59">
        <f>'M2'!D14*1</f>
        <v>26.7807</v>
      </c>
      <c r="AI16" s="59">
        <f>'M2'!E14*1</f>
        <v>10</v>
      </c>
      <c r="AJ16" s="59">
        <f>'M2'!F14*1</f>
        <v>1.28983</v>
      </c>
      <c r="AK16" s="59">
        <f>'M2'!G14*1</f>
        <v>50</v>
      </c>
      <c r="AL16" s="59">
        <f>'M2'!H14*1</f>
        <v>42.874499999999998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-1.2968500000000018</v>
      </c>
      <c r="O17" s="22">
        <f>N17/(N17+N18+N19)</f>
        <v>-0.15468845517303101</v>
      </c>
      <c r="P17" s="65">
        <f>SUM(P11:P14)/4</f>
        <v>-8.4318825000000022</v>
      </c>
      <c r="Q17" s="22">
        <f>P17/(P17+P18+P19)</f>
        <v>0.68793590652034775</v>
      </c>
      <c r="R17" s="14"/>
      <c r="S17" s="14"/>
      <c r="T17" s="14"/>
      <c r="U17" s="14"/>
      <c r="V17" s="21" t="str">
        <f>M17</f>
        <v>Positive</v>
      </c>
      <c r="W17" s="65">
        <f>SUM(W11:W14)/4</f>
        <v>61.076350000000005</v>
      </c>
      <c r="X17" s="22">
        <f>W17/(W17+W18+W19)</f>
        <v>0.54581761694101794</v>
      </c>
      <c r="Y17" s="65">
        <f>SUM(Y11:Y14)/4</f>
        <v>15.816115000000002</v>
      </c>
      <c r="Z17" s="22">
        <f>Y17/(Y17+Y18+Y19)</f>
        <v>0.26830154237913428</v>
      </c>
      <c r="AA17" s="14"/>
      <c r="AB17" s="14"/>
      <c r="AC17" s="14"/>
      <c r="AE17" s="21" t="str">
        <f>V17</f>
        <v>Positive</v>
      </c>
      <c r="AF17" s="65">
        <f>SUM(AF11:AF14)/4</f>
        <v>59.779499999999992</v>
      </c>
      <c r="AG17" s="22">
        <f>AF17/(AF17+AF18+AF19)</f>
        <v>0.49699270342431495</v>
      </c>
      <c r="AH17" s="65">
        <f>SUM(AH11:AH14)/4</f>
        <v>7.3842324999999995</v>
      </c>
      <c r="AI17" s="22">
        <f>AH17/(AH17+AH18+AH19)</f>
        <v>0.15814688060870069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1.5232250000000001</v>
      </c>
      <c r="O18" s="22">
        <f>N18/(N17+N18+N19)</f>
        <v>0.18169049784550242</v>
      </c>
      <c r="P18" s="18">
        <f>SUM(P7:P10)/4</f>
        <v>-5.2236525</v>
      </c>
      <c r="Q18" s="22">
        <f>P18/(P17+P18+P19)</f>
        <v>0.42618455818552736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29.198824999999999</v>
      </c>
      <c r="X18" s="22">
        <f>W18/(W17+W18+W19)</f>
        <v>0.26093951388676334</v>
      </c>
      <c r="Y18" s="18">
        <f>SUM(Y7:Y10)/4</f>
        <v>20.3439625</v>
      </c>
      <c r="Z18" s="22">
        <f>Y18/(Y17+Y18+Y19)</f>
        <v>0.34511107922857592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30.722050000000003</v>
      </c>
      <c r="AG18" s="22">
        <f>AF18/(AF17+AF18+AF19)</f>
        <v>0.25541589816303212</v>
      </c>
      <c r="AH18" s="18">
        <f>SUM(AH7:AH10)/4</f>
        <v>15.12031</v>
      </c>
      <c r="AI18" s="22">
        <f>AH18/(AH17+AH18+AH19)</f>
        <v>0.32382916712556697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8.1572500000000012</v>
      </c>
      <c r="O19" s="22">
        <f>N19/(N17+N18+N19)</f>
        <v>0.9729979573275287</v>
      </c>
      <c r="P19" s="18">
        <f>(P15+P16)/2</f>
        <v>1.3987499999999997</v>
      </c>
      <c r="Q19" s="22">
        <f>P19/(P17+P18+P19)</f>
        <v>-0.11412046470587511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21.623649999999998</v>
      </c>
      <c r="X19" s="22">
        <f>W19/(W17+W18+W19)</f>
        <v>0.19324286917221872</v>
      </c>
      <c r="Y19" s="18">
        <f>(Y15+Y16)/2</f>
        <v>22.78895</v>
      </c>
      <c r="Z19" s="22">
        <f>Y19/(Y17+Y18+Y19)</f>
        <v>0.38658737839228985</v>
      </c>
      <c r="AA19" s="14"/>
      <c r="AB19" s="14"/>
      <c r="AC19" s="14"/>
      <c r="AE19" s="21" t="str">
        <f t="shared" si="14"/>
        <v>Physiological</v>
      </c>
      <c r="AF19" s="18">
        <f>(AF15+AF16)/2</f>
        <v>29.780900000000003</v>
      </c>
      <c r="AG19" s="22">
        <f>AF19/(AF17+AF18+AF19)</f>
        <v>0.2475913984126529</v>
      </c>
      <c r="AH19" s="18">
        <f>(AH15+AH16)/2</f>
        <v>24.1877</v>
      </c>
      <c r="AI19" s="22">
        <f>AH19/(AH17+AH18+AH19)</f>
        <v>0.51802395226573239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1.69/1.85</v>
      </c>
      <c r="D24" s="44" t="str">
        <f>lang!B11</f>
        <v>频率方差</v>
      </c>
      <c r="E24" s="142" t="str">
        <f ca="1">CONCATENATE(ROUND('FH1'!L3,2),"/",ROUND('FH2'!L3,2))</f>
        <v>0.64/0.55</v>
      </c>
      <c r="F24" s="143"/>
      <c r="G24" s="134" t="str">
        <f>lang!B12</f>
        <v>生理变化率</v>
      </c>
      <c r="H24" s="135"/>
      <c r="I24" s="62" t="str">
        <f ca="1">CONCATENATE(info!M7,"-",info!M8)</f>
        <v>43-67.3</v>
      </c>
      <c r="J24" s="42" t="str">
        <f>lang!B13</f>
        <v>千卡l/分钟</v>
      </c>
      <c r="K24" s="41" t="str">
        <f ca="1">CONCATENATE(info!M5,"-",info!M6)</f>
        <v>2.2-4.5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-3.5609000000000002</v>
      </c>
      <c r="F27" s="164"/>
      <c r="G27" s="178" t="str">
        <f>lang!B33</f>
        <v>稳定性</v>
      </c>
      <c r="H27" s="179"/>
      <c r="I27" s="180"/>
      <c r="J27" s="181">
        <f>dM!B19*100</f>
        <v>7.2088000000000036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-0.96228816007229312</v>
      </c>
      <c r="C2">
        <f t="array" aca="1" ref="C2" ca="1">CORREL(FT_E02,FT_PH02)</f>
        <v>0.58065691444994472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2.2427600000000001</v>
      </c>
      <c r="G2" s="61">
        <f>IF(FT!B2&lt;&gt;"",FT!B2*100,"")</f>
        <v>67.191900000000004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2.2904599999999999</v>
      </c>
      <c r="G3" s="61">
        <f>IF(FT!B3&lt;&gt;"",FT!B3*100,"")</f>
        <v>67.239800000000002</v>
      </c>
      <c r="H3" s="61">
        <f t="shared" ref="H3:H66" si="1">(IF(F3&lt;&gt;"",1,""))</f>
        <v>1</v>
      </c>
      <c r="I3" t="str">
        <f>IF(FT!B3&lt;&gt;"",FT!E3,"")</f>
        <v>1 [0.380168]</v>
      </c>
      <c r="J3">
        <f>IF(FT!B3&lt;&gt;"",FT!C3,"")</f>
        <v>0.38016800000000001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0.51590283783783786</v>
      </c>
      <c r="V3">
        <f ca="1">AVERAGE(OFFSET(FT!B2,info!$L$3/2,0,info!$L$3/2,1))</f>
        <v>0.46034436486486485</v>
      </c>
      <c r="W3">
        <f ca="1">AVERAGE(OFFSET(FT!A2,0,0,info!$L$3/2,1))</f>
        <v>0.3565608243243244</v>
      </c>
      <c r="X3">
        <f ca="1">AVERAGE(OFFSET(FT!A2,info!$L$3/2,0,info!$L$3/2,1))</f>
        <v>0.37065652702702706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2.3379599999999998</v>
      </c>
      <c r="G4" s="61">
        <f>IF(FT!B4&lt;&gt;"",FT!B4*100,"")</f>
        <v>67.257800000000003</v>
      </c>
      <c r="H4" s="61">
        <f t="shared" si="1"/>
        <v>1</v>
      </c>
      <c r="I4" t="str">
        <f>IF(FT!B4&lt;&gt;"",FT!E4,"")</f>
        <v>1 [0.781439]</v>
      </c>
      <c r="J4">
        <f>IF(FT!B4&lt;&gt;"",FT!C4,"")</f>
        <v>0.78143899999999999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14.934950000000001</v>
      </c>
      <c r="V4">
        <f>U4*3</f>
        <v>44.804850000000002</v>
      </c>
      <c r="W4">
        <f>U4</f>
        <v>14.934950000000001</v>
      </c>
      <c r="X4">
        <f>V4</f>
        <v>44.804850000000002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2.3857300000000001</v>
      </c>
      <c r="G5" s="61">
        <f>IF(FT!B5&lt;&gt;"",FT!B5*100,"")</f>
        <v>67.171999999999997</v>
      </c>
      <c r="H5" s="61">
        <f t="shared" si="1"/>
        <v>1</v>
      </c>
      <c r="I5" t="str">
        <f>IF(FT!B5&lt;&gt;"",FT!E5,"")</f>
        <v>1 [1.188559]</v>
      </c>
      <c r="J5">
        <f>IF(FT!B5&lt;&gt;"",FT!C5,"")</f>
        <v>1.1885600000000001</v>
      </c>
      <c r="K5" t="s">
        <v>53</v>
      </c>
      <c r="L5" s="63">
        <f ca="1">MIN(FT_E)</f>
        <v>2.2427600000000001</v>
      </c>
      <c r="M5" s="63">
        <f ca="1">ROUND(L5,1)</f>
        <v>2.2000000000000002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51.590283783783789</v>
      </c>
      <c r="V5">
        <f ca="1">V3*100</f>
        <v>46.034436486486484</v>
      </c>
      <c r="W5">
        <f ca="1">W3*10</f>
        <v>3.5656082432432439</v>
      </c>
      <c r="X5">
        <f ca="1">X3*10</f>
        <v>3.7065652702702705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2.4305499999999998</v>
      </c>
      <c r="G6" s="61">
        <f>IF(FT!B6&lt;&gt;"",FT!B6*100,"")</f>
        <v>66.905900000000003</v>
      </c>
      <c r="H6" s="61">
        <f t="shared" si="1"/>
        <v>1</v>
      </c>
      <c r="I6" t="str">
        <f>IF(FT!B6&lt;&gt;"",FT!E6,"")</f>
        <v>1 [1.596863]</v>
      </c>
      <c r="J6">
        <f>IF(FT!B6&lt;&gt;"",FT!C6,"")</f>
        <v>1.5968599999999999</v>
      </c>
      <c r="K6" t="s">
        <v>54</v>
      </c>
      <c r="L6" s="63">
        <f ca="1">MAX(FT_E)</f>
        <v>4.5181500000000003</v>
      </c>
      <c r="M6" s="63">
        <f ca="1">ROUND(L6,1)</f>
        <v>4.5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2.4733200000000002</v>
      </c>
      <c r="G7" s="61">
        <f>IF(FT!B7&lt;&gt;"",FT!B7*100,"")</f>
        <v>66.486900000000006</v>
      </c>
      <c r="H7" s="61">
        <f t="shared" si="1"/>
        <v>1</v>
      </c>
      <c r="I7" t="str">
        <f>IF(FT!B7&lt;&gt;"",FT!E7,"")</f>
        <v>1 [2.004615]</v>
      </c>
      <c r="J7">
        <f>IF(FT!B7&lt;&gt;"",FT!C7,"")</f>
        <v>2.00461</v>
      </c>
      <c r="K7" t="s">
        <v>55</v>
      </c>
      <c r="L7" s="63">
        <f ca="1">MIN(FT_PH)</f>
        <v>42.950800000000001</v>
      </c>
      <c r="M7" s="63">
        <f ca="1">ROUND(L7,1)</f>
        <v>43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159</v>
      </c>
      <c r="D8" s="61">
        <f>FH!B8*1</f>
        <v>159</v>
      </c>
      <c r="E8">
        <f t="shared" si="3"/>
        <v>6</v>
      </c>
      <c r="F8" s="61">
        <f>IF(FT!A8&lt;&gt;"",FT!A8*10,"")</f>
        <v>2.5132900000000005</v>
      </c>
      <c r="G8" s="61">
        <f>IF(FT!B8&lt;&gt;"",FT!B8*100,"")</f>
        <v>66.012699999999995</v>
      </c>
      <c r="H8" s="61">
        <f t="shared" si="1"/>
        <v>1</v>
      </c>
      <c r="I8" t="str">
        <f>IF(FT!B8&lt;&gt;"",FT!E8,"")</f>
        <v>1 [2.407332]</v>
      </c>
      <c r="J8">
        <f>IF(FT!B8&lt;&gt;"",FT!C8,"")</f>
        <v>2.40733</v>
      </c>
      <c r="K8" t="s">
        <v>56</v>
      </c>
      <c r="L8" s="63">
        <f ca="1">MAX(FT_PH)</f>
        <v>67.257800000000003</v>
      </c>
      <c r="M8" s="63">
        <f ca="1">ROUND(L8,1)</f>
        <v>67.3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2.5522200000000002</v>
      </c>
      <c r="G9" s="61">
        <f>IF(FT!B9&lt;&gt;"",FT!B9*100,"")</f>
        <v>65.479900000000001</v>
      </c>
      <c r="H9" s="61">
        <f t="shared" si="1"/>
        <v>1</v>
      </c>
      <c r="I9" t="str">
        <f>IF(FT!B9&lt;&gt;"",FT!E9,"")</f>
        <v>1 [2.813896]</v>
      </c>
      <c r="J9">
        <f>IF(FT!B9&lt;&gt;"",FT!C9,"")</f>
        <v>2.8138999999999998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304</v>
      </c>
      <c r="D10" s="61">
        <f>FH!B10*1</f>
        <v>304</v>
      </c>
      <c r="E10">
        <f t="shared" si="3"/>
        <v>8</v>
      </c>
      <c r="F10" s="61">
        <f>IF(FT!A10&lt;&gt;"",FT!A10*10,"")</f>
        <v>2.5915400000000002</v>
      </c>
      <c r="G10" s="61">
        <f>IF(FT!B10&lt;&gt;"",FT!B10*100,"")</f>
        <v>64.895800000000008</v>
      </c>
      <c r="H10" s="61">
        <f t="shared" si="1"/>
        <v>1</v>
      </c>
      <c r="I10" t="str">
        <f>IF(FT!B10&lt;&gt;"",FT!E10,"")</f>
        <v>1 [3.218648]</v>
      </c>
      <c r="J10">
        <f>IF(FT!B10&lt;&gt;"",FT!C10,"")</f>
        <v>3.2186499999999998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2.6285500000000002</v>
      </c>
      <c r="G11" s="61">
        <f>IF(FT!B11&lt;&gt;"",FT!B11*100,"")</f>
        <v>64.3172</v>
      </c>
      <c r="H11" s="61">
        <f t="shared" si="1"/>
        <v>1</v>
      </c>
      <c r="I11" t="str">
        <f>IF(FT!B11&lt;&gt;"",FT!E11,"")</f>
        <v>1 [3.625502]</v>
      </c>
      <c r="J11">
        <f>IF(FT!B11&lt;&gt;"",FT!C11,"")</f>
        <v>3.6255000000000002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2.66432</v>
      </c>
      <c r="G12" s="61">
        <f>IF(FT!B12&lt;&gt;"",FT!B12*100,"")</f>
        <v>63.745399999999997</v>
      </c>
      <c r="H12" s="61">
        <f t="shared" si="1"/>
        <v>1</v>
      </c>
      <c r="I12" t="str">
        <f>IF(FT!B12&lt;&gt;"",FT!E12,"")</f>
        <v>1 [4.031391]</v>
      </c>
      <c r="J12">
        <f>IF(FT!B12&lt;&gt;"",FT!C12,"")</f>
        <v>4.03139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1946</v>
      </c>
      <c r="D13" s="61">
        <f>FH!B13*1</f>
        <v>1946</v>
      </c>
      <c r="E13">
        <f t="shared" si="3"/>
        <v>11</v>
      </c>
      <c r="F13" s="61">
        <f>IF(FT!A13&lt;&gt;"",FT!A13*10,"")</f>
        <v>2.6931799999999999</v>
      </c>
      <c r="G13" s="61">
        <f>IF(FT!B13&lt;&gt;"",FT!B13*100,"")</f>
        <v>63.240499999999997</v>
      </c>
      <c r="H13" s="61">
        <f t="shared" si="1"/>
        <v>1</v>
      </c>
      <c r="I13" t="str">
        <f>IF(FT!B13&lt;&gt;"",FT!E13,"")</f>
        <v>1 [4.438469]</v>
      </c>
      <c r="J13">
        <f>IF(FT!B13&lt;&gt;"",FT!C13,"")</f>
        <v>4.4384699999999997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2.7191100000000001</v>
      </c>
      <c r="G14" s="61">
        <f>IF(FT!B14&lt;&gt;"",FT!B14*100,"")</f>
        <v>62.673599999999993</v>
      </c>
      <c r="H14" s="61">
        <f t="shared" si="1"/>
        <v>1</v>
      </c>
      <c r="I14" t="str">
        <f>IF(FT!B14&lt;&gt;"",FT!E14,"")</f>
        <v>1 [4.844449]</v>
      </c>
      <c r="J14">
        <f>IF(FT!B14&lt;&gt;"",FT!C14,"")</f>
        <v>4.8444500000000001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4431</v>
      </c>
      <c r="D15" s="61">
        <f>FH!B15*1</f>
        <v>4431</v>
      </c>
      <c r="E15">
        <f t="shared" si="3"/>
        <v>13</v>
      </c>
      <c r="F15" s="61">
        <f>IF(FT!A15&lt;&gt;"",FT!A15*10,"")</f>
        <v>2.7429100000000002</v>
      </c>
      <c r="G15" s="61">
        <f>IF(FT!B15&lt;&gt;"",FT!B15*100,"")</f>
        <v>62.096200000000003</v>
      </c>
      <c r="H15" s="61">
        <f t="shared" si="1"/>
        <v>1</v>
      </c>
      <c r="I15" t="str">
        <f>IF(FT!B15&lt;&gt;"",FT!E15,"")</f>
        <v>1 [5.253488]</v>
      </c>
      <c r="J15">
        <f>IF(FT!B15&lt;&gt;"",FT!C15,"")</f>
        <v>5.2534900000000002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2.7655699999999999</v>
      </c>
      <c r="G16" s="61">
        <f>IF(FT!B16&lt;&gt;"",FT!B16*100,"")</f>
        <v>61.575000000000003</v>
      </c>
      <c r="H16" s="61">
        <f t="shared" si="1"/>
        <v>1</v>
      </c>
      <c r="I16" t="str">
        <f>IF(FT!B16&lt;&gt;"",FT!E16,"")</f>
        <v>1 [5.657943]</v>
      </c>
      <c r="J16">
        <f>IF(FT!B16&lt;&gt;"",FT!C16,"")</f>
        <v>5.65794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2.7880199999999999</v>
      </c>
      <c r="G17" s="61">
        <f>IF(FT!B17&lt;&gt;"",FT!B17*100,"")</f>
        <v>61.102199999999996</v>
      </c>
      <c r="H17" s="61">
        <f t="shared" si="1"/>
        <v>1</v>
      </c>
      <c r="I17" t="str">
        <f>IF(FT!B17&lt;&gt;"",FT!E17,"")</f>
        <v>1 [6.064164]</v>
      </c>
      <c r="J17">
        <f>IF(FT!B17&lt;&gt;"",FT!C17,"")</f>
        <v>6.0641600000000002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8757</v>
      </c>
      <c r="D18" s="61">
        <f>FH!B18*1</f>
        <v>8757</v>
      </c>
      <c r="E18">
        <f t="shared" si="3"/>
        <v>16</v>
      </c>
      <c r="F18" s="61">
        <f>IF(FT!A18&lt;&gt;"",FT!A18*10,"")</f>
        <v>2.8090299999999999</v>
      </c>
      <c r="G18" s="61">
        <f>IF(FT!B18&lt;&gt;"",FT!B18*100,"")</f>
        <v>60.717399999999998</v>
      </c>
      <c r="H18" s="61">
        <f t="shared" si="1"/>
        <v>1</v>
      </c>
      <c r="I18" t="str">
        <f>IF(FT!B18&lt;&gt;"",FT!E18,"")</f>
        <v>1 [6.469810]</v>
      </c>
      <c r="J18">
        <f>IF(FT!B18&lt;&gt;"",FT!C18,"")</f>
        <v>6.4698099999999998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2.8304800000000001</v>
      </c>
      <c r="G19" s="61">
        <f>IF(FT!B19&lt;&gt;"",FT!B19*100,"")</f>
        <v>60.423300000000005</v>
      </c>
      <c r="H19" s="61">
        <f t="shared" si="1"/>
        <v>1</v>
      </c>
      <c r="I19" t="str">
        <f>IF(FT!B19&lt;&gt;"",FT!E19,"")</f>
        <v>1 [6.878208]</v>
      </c>
      <c r="J19">
        <f>IF(FT!B19&lt;&gt;"",FT!C19,"")</f>
        <v>6.8782100000000002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2.8522699999999999</v>
      </c>
      <c r="G20" s="61">
        <f>IF(FT!B20&lt;&gt;"",FT!B20*100,"")</f>
        <v>60.1845</v>
      </c>
      <c r="H20" s="61">
        <f t="shared" si="1"/>
        <v>1</v>
      </c>
      <c r="I20" t="str">
        <f>IF(FT!B20&lt;&gt;"",FT!E20,"")</f>
        <v>1 [7.286419]</v>
      </c>
      <c r="J20">
        <f>IF(FT!B20&lt;&gt;"",FT!C20,"")</f>
        <v>7.2864199999999997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9952</v>
      </c>
      <c r="D21" s="61">
        <f>FH!B21*1</f>
        <v>9952</v>
      </c>
      <c r="E21">
        <f t="shared" si="3"/>
        <v>19</v>
      </c>
      <c r="F21" s="61">
        <f>IF(FT!A21&lt;&gt;"",FT!A21*10,"")</f>
        <v>2.8776899999999999</v>
      </c>
      <c r="G21" s="61">
        <f>IF(FT!B21&lt;&gt;"",FT!B21*100,"")</f>
        <v>59.868699999999997</v>
      </c>
      <c r="H21" s="61">
        <f t="shared" si="1"/>
        <v>1</v>
      </c>
      <c r="I21" t="str">
        <f>IF(FT!B21&lt;&gt;"",FT!E21,"")</f>
        <v>1 [7.691585]</v>
      </c>
      <c r="J21">
        <f>IF(FT!B21&lt;&gt;"",FT!C21,"")</f>
        <v>7.6915800000000001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2.9008799999999999</v>
      </c>
      <c r="G22" s="61">
        <f>IF(FT!B22&lt;&gt;"",FT!B22*100,"")</f>
        <v>59.581799999999994</v>
      </c>
      <c r="H22" s="61">
        <f t="shared" si="1"/>
        <v>1</v>
      </c>
      <c r="I22" t="str">
        <f>IF(FT!B22&lt;&gt;"",FT!E22,"")</f>
        <v>1 [8.095828]</v>
      </c>
      <c r="J22">
        <f>IF(FT!B22&lt;&gt;"",FT!C22,"")</f>
        <v>8.0958299999999994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9531</v>
      </c>
      <c r="D23" s="61">
        <f>FH!B23*1</f>
        <v>9531</v>
      </c>
      <c r="E23">
        <f t="shared" si="3"/>
        <v>21</v>
      </c>
      <c r="F23" s="61">
        <f>IF(FT!A23&lt;&gt;"",FT!A23*10,"")</f>
        <v>2.9241200000000003</v>
      </c>
      <c r="G23" s="61">
        <f>IF(FT!B23&lt;&gt;"",FT!B23*100,"")</f>
        <v>59.272800000000004</v>
      </c>
      <c r="H23" s="61">
        <f t="shared" si="1"/>
        <v>1</v>
      </c>
      <c r="I23" t="str">
        <f>IF(FT!B23&lt;&gt;"",FT!E23,"")</f>
        <v>1 [8.501216]</v>
      </c>
      <c r="J23">
        <f>IF(FT!B23&lt;&gt;"",FT!C23,"")</f>
        <v>8.50122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2.9507899999999996</v>
      </c>
      <c r="G24" s="61">
        <f>IF(FT!B24&lt;&gt;"",FT!B24*100,"")</f>
        <v>58.830300000000001</v>
      </c>
      <c r="H24" s="61">
        <f t="shared" si="1"/>
        <v>1</v>
      </c>
      <c r="I24" t="str">
        <f>IF(FT!B24&lt;&gt;"",FT!E24,"")</f>
        <v>1 [8.908937]</v>
      </c>
      <c r="J24">
        <f>IF(FT!B24&lt;&gt;"",FT!C24,"")</f>
        <v>8.9089399999999994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2.9803800000000003</v>
      </c>
      <c r="G25" s="61">
        <f>IF(FT!B25&lt;&gt;"",FT!B25*100,"")</f>
        <v>58.334299999999992</v>
      </c>
      <c r="H25" s="61">
        <f t="shared" si="1"/>
        <v>1</v>
      </c>
      <c r="I25" t="str">
        <f>IF(FT!B25&lt;&gt;"",FT!E25,"")</f>
        <v>1 [9.316595]</v>
      </c>
      <c r="J25">
        <f>IF(FT!B25&lt;&gt;"",FT!C25,"")</f>
        <v>9.3165899999999997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11323</v>
      </c>
      <c r="D26" s="61">
        <f>FH!B26*1</f>
        <v>11323</v>
      </c>
      <c r="E26">
        <f t="shared" si="3"/>
        <v>24</v>
      </c>
      <c r="F26" s="61">
        <f>IF(FT!A26&lt;&gt;"",FT!A26*10,"")</f>
        <v>3.01227</v>
      </c>
      <c r="G26" s="61">
        <f>IF(FT!B26&lt;&gt;"",FT!B26*100,"")</f>
        <v>57.793499999999995</v>
      </c>
      <c r="H26" s="61">
        <f t="shared" si="1"/>
        <v>1</v>
      </c>
      <c r="I26" t="str">
        <f>IF(FT!B26&lt;&gt;"",FT!E26,"")</f>
        <v>1 [9.722869]</v>
      </c>
      <c r="J26">
        <f>IF(FT!B26&lt;&gt;"",FT!C26,"")</f>
        <v>9.7228700000000003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3.0478699999999996</v>
      </c>
      <c r="G27" s="61">
        <f>IF(FT!B27&lt;&gt;"",FT!B27*100,"")</f>
        <v>57.164800000000007</v>
      </c>
      <c r="H27" s="61">
        <f t="shared" si="1"/>
        <v>1</v>
      </c>
      <c r="I27" t="str">
        <f>IF(FT!B27&lt;&gt;"",FT!E27,"")</f>
        <v>1 [10.124617]</v>
      </c>
      <c r="J27">
        <f>IF(FT!B27&lt;&gt;"",FT!C27,"")</f>
        <v>10.124599999999999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18781</v>
      </c>
      <c r="D28" s="61">
        <f>FH!B28*1</f>
        <v>18781</v>
      </c>
      <c r="E28">
        <f t="shared" si="3"/>
        <v>26</v>
      </c>
      <c r="F28" s="61">
        <f>IF(FT!A28&lt;&gt;"",FT!A28*10,"")</f>
        <v>3.0876799999999998</v>
      </c>
      <c r="G28" s="61">
        <f>IF(FT!B28&lt;&gt;"",FT!B28*100,"")</f>
        <v>56.420299999999997</v>
      </c>
      <c r="H28" s="61">
        <f t="shared" si="1"/>
        <v>1</v>
      </c>
      <c r="I28" t="str">
        <f>IF(FT!B28&lt;&gt;"",FT!E28,"")</f>
        <v>1 [10.531446]</v>
      </c>
      <c r="J28">
        <f>IF(FT!B28&lt;&gt;"",FT!C28,"")</f>
        <v>10.5314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3.1285099999999999</v>
      </c>
      <c r="G29" s="61">
        <f>IF(FT!B29&lt;&gt;"",FT!B29*100,"")</f>
        <v>55.643000000000001</v>
      </c>
      <c r="H29" s="61">
        <f t="shared" si="1"/>
        <v>1</v>
      </c>
      <c r="I29" t="str">
        <f>IF(FT!B29&lt;&gt;"",FT!E29,"")</f>
        <v>1 [10.937604]</v>
      </c>
      <c r="J29">
        <f>IF(FT!B29&lt;&gt;"",FT!C29,"")</f>
        <v>10.9376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3.1716800000000003</v>
      </c>
      <c r="G30" s="61">
        <f>IF(FT!B30&lt;&gt;"",FT!B30*100,"")</f>
        <v>54.748399999999997</v>
      </c>
      <c r="H30" s="61">
        <f t="shared" si="1"/>
        <v>1</v>
      </c>
      <c r="I30" t="str">
        <f>IF(FT!B30&lt;&gt;"",FT!E30,"")</f>
        <v>1 [11.347324]</v>
      </c>
      <c r="J30">
        <f>IF(FT!B30&lt;&gt;"",FT!C30,"")</f>
        <v>11.347300000000001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26466</v>
      </c>
      <c r="D31" s="61">
        <f>FH!B31*1</f>
        <v>26466</v>
      </c>
      <c r="E31">
        <f t="shared" si="3"/>
        <v>29</v>
      </c>
      <c r="F31" s="61">
        <f>IF(FT!A31&lt;&gt;"",FT!A31*10,"")</f>
        <v>3.21963</v>
      </c>
      <c r="G31" s="61">
        <f>IF(FT!B31&lt;&gt;"",FT!B31*100,"")</f>
        <v>53.736399999999996</v>
      </c>
      <c r="H31" s="61">
        <f t="shared" si="1"/>
        <v>1</v>
      </c>
      <c r="I31" t="str">
        <f>IF(FT!B31&lt;&gt;"",FT!E31,"")</f>
        <v>1 [11.753552]</v>
      </c>
      <c r="J31">
        <f>IF(FT!B31&lt;&gt;"",FT!C31,"")</f>
        <v>11.7536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3.2702</v>
      </c>
      <c r="G32" s="61">
        <f>IF(FT!B32&lt;&gt;"",FT!B32*100,"")</f>
        <v>52.721799999999995</v>
      </c>
      <c r="H32" s="61">
        <f t="shared" si="1"/>
        <v>1</v>
      </c>
      <c r="I32" t="str">
        <f>IF(FT!B32&lt;&gt;"",FT!E32,"")</f>
        <v>1 [12.158320]</v>
      </c>
      <c r="J32">
        <f>IF(FT!B32&lt;&gt;"",FT!C32,"")</f>
        <v>12.158300000000001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34599</v>
      </c>
      <c r="D33" s="61">
        <f>FH!B33*1</f>
        <v>34599</v>
      </c>
      <c r="E33">
        <f t="shared" si="3"/>
        <v>31</v>
      </c>
      <c r="F33" s="61">
        <f>IF(FT!A33&lt;&gt;"",FT!A33*10,"")</f>
        <v>3.32477</v>
      </c>
      <c r="G33" s="61">
        <f>IF(FT!B33&lt;&gt;"",FT!B33*100,"")</f>
        <v>51.582499999999996</v>
      </c>
      <c r="H33" s="61">
        <f t="shared" si="1"/>
        <v>1</v>
      </c>
      <c r="I33" t="str">
        <f>IF(FT!B33&lt;&gt;"",FT!E33,"")</f>
        <v>1 [12.562774]</v>
      </c>
      <c r="J33">
        <f>IF(FT!B33&lt;&gt;"",FT!C33,"")</f>
        <v>12.562799999999999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3.3812500000000001</v>
      </c>
      <c r="G34" s="61">
        <f>IF(FT!B34&lt;&gt;"",FT!B34*100,"")</f>
        <v>50.400900000000007</v>
      </c>
      <c r="H34" s="61">
        <f t="shared" si="1"/>
        <v>1</v>
      </c>
      <c r="I34" t="str">
        <f>IF(FT!B34&lt;&gt;"",FT!E34,"")</f>
        <v>1 [12.970194]</v>
      </c>
      <c r="J34">
        <f>IF(FT!B34&lt;&gt;"",FT!C34,"")</f>
        <v>12.9702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3.4368100000000004</v>
      </c>
      <c r="G35" s="61">
        <f>IF(FT!B35&lt;&gt;"",FT!B35*100,"")</f>
        <v>49.346600000000002</v>
      </c>
      <c r="H35" s="61">
        <f t="shared" si="1"/>
        <v>1</v>
      </c>
      <c r="I35" t="str">
        <f>IF(FT!B35&lt;&gt;"",FT!E35,"")</f>
        <v>1 [13.377933]</v>
      </c>
      <c r="J35">
        <f>IF(FT!B35&lt;&gt;"",FT!C35,"")</f>
        <v>13.3779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38019</v>
      </c>
      <c r="D36" s="61">
        <f>FH!B36*1</f>
        <v>38019</v>
      </c>
      <c r="E36">
        <f t="shared" si="3"/>
        <v>34</v>
      </c>
      <c r="F36" s="61">
        <f>IF(FT!A36&lt;&gt;"",FT!A36*10,"")</f>
        <v>3.4938399999999996</v>
      </c>
      <c r="G36" s="61">
        <f>IF(FT!B36&lt;&gt;"",FT!B36*100,"")</f>
        <v>48.339599999999997</v>
      </c>
      <c r="H36" s="61">
        <f t="shared" si="1"/>
        <v>1</v>
      </c>
      <c r="I36" t="str">
        <f>IF(FT!B36&lt;&gt;"",FT!E36,"")</f>
        <v>1 [13.785093]</v>
      </c>
      <c r="J36">
        <f>IF(FT!B36&lt;&gt;"",FT!C36,"")</f>
        <v>13.7851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3.5558299999999998</v>
      </c>
      <c r="G37" s="61">
        <f>IF(FT!B37&lt;&gt;"",FT!B37*100,"")</f>
        <v>47.185500000000005</v>
      </c>
      <c r="H37" s="61">
        <f t="shared" si="1"/>
        <v>1</v>
      </c>
      <c r="I37" t="str">
        <f>IF(FT!B37&lt;&gt;"",FT!E37,"")</f>
        <v>1 [14.189314]</v>
      </c>
      <c r="J37">
        <f>IF(FT!B37&lt;&gt;"",FT!C37,"")</f>
        <v>14.189299999999999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3.6231499999999999</v>
      </c>
      <c r="G38" s="61">
        <f>IF(FT!B38&lt;&gt;"",FT!B38*100,"")</f>
        <v>46.109099999999998</v>
      </c>
      <c r="H38" s="61">
        <f t="shared" si="1"/>
        <v>1</v>
      </c>
      <c r="I38" t="str">
        <f>IF(FT!B38&lt;&gt;"",FT!E38,"")</f>
        <v>1 [14.596395]</v>
      </c>
      <c r="J38">
        <f>IF(FT!B38&lt;&gt;"",FT!C38,"")</f>
        <v>14.596399999999999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48410</v>
      </c>
      <c r="D39" s="61">
        <f>FH!B39*1</f>
        <v>48410</v>
      </c>
      <c r="E39">
        <f t="shared" si="3"/>
        <v>37</v>
      </c>
      <c r="F39" s="61">
        <f>IF(FT!A39&lt;&gt;"",FT!A39*10,"")</f>
        <v>3.6888199999999998</v>
      </c>
      <c r="G39" s="61">
        <f>IF(FT!B39&lt;&gt;"",FT!B39*100,"")</f>
        <v>45.228499999999997</v>
      </c>
      <c r="H39" s="61">
        <f t="shared" si="1"/>
        <v>1</v>
      </c>
      <c r="I39" t="str">
        <f>IF(FT!B39&lt;&gt;"",FT!E39,"")</f>
        <v>1 [15.002717]</v>
      </c>
      <c r="J39">
        <f>IF(FT!B39&lt;&gt;"",FT!C39,"")</f>
        <v>15.002700000000001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3.7524200000000003</v>
      </c>
      <c r="G40" s="61">
        <f>IF(FT!B40&lt;&gt;"",FT!B40*100,"")</f>
        <v>44.582300000000004</v>
      </c>
      <c r="H40" s="61">
        <f t="shared" si="1"/>
        <v>1</v>
      </c>
      <c r="I40" t="str">
        <f>IF(FT!B40&lt;&gt;"",FT!E40,"")</f>
        <v>1 [15.409927]</v>
      </c>
      <c r="J40">
        <f>IF(FT!B40&lt;&gt;"",FT!C40,"")</f>
        <v>15.4099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55877</v>
      </c>
      <c r="D41" s="61">
        <f>FH!B41*1</f>
        <v>55877</v>
      </c>
      <c r="E41">
        <f t="shared" si="3"/>
        <v>39</v>
      </c>
      <c r="F41" s="61">
        <f>IF(FT!A41&lt;&gt;"",FT!A41*10,"")</f>
        <v>3.8185400000000005</v>
      </c>
      <c r="G41" s="61">
        <f>IF(FT!B41&lt;&gt;"",FT!B41*100,"")</f>
        <v>43.979900000000001</v>
      </c>
      <c r="H41" s="61">
        <f t="shared" si="1"/>
        <v>1</v>
      </c>
      <c r="I41" t="str">
        <f>IF(FT!B41&lt;&gt;"",FT!E41,"")</f>
        <v>1 [15.817605]</v>
      </c>
      <c r="J41">
        <f>IF(FT!B41&lt;&gt;"",FT!C41,"")</f>
        <v>15.817600000000001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3.8867000000000003</v>
      </c>
      <c r="G42" s="61">
        <f>IF(FT!B42&lt;&gt;"",FT!B42*100,"")</f>
        <v>43.570399999999999</v>
      </c>
      <c r="H42" s="61">
        <f t="shared" si="1"/>
        <v>1</v>
      </c>
      <c r="I42" t="str">
        <f>IF(FT!B42&lt;&gt;"",FT!E42,"")</f>
        <v>1 [16.221056]</v>
      </c>
      <c r="J42">
        <f>IF(FT!B42&lt;&gt;"",FT!C42,"")</f>
        <v>16.2211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3.9551500000000002</v>
      </c>
      <c r="G43" s="61">
        <f>IF(FT!B43&lt;&gt;"",FT!B43*100,"")</f>
        <v>43.336300000000001</v>
      </c>
      <c r="H43" s="61">
        <f t="shared" si="1"/>
        <v>1</v>
      </c>
      <c r="I43" t="str">
        <f>IF(FT!B43&lt;&gt;"",FT!E43,"")</f>
        <v>1 [16.626343]</v>
      </c>
      <c r="J43">
        <f>IF(FT!B43&lt;&gt;"",FT!C43,"")</f>
        <v>16.626300000000001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65964</v>
      </c>
      <c r="D44" s="61">
        <f>FH!B44*1</f>
        <v>65964</v>
      </c>
      <c r="E44">
        <f t="shared" si="3"/>
        <v>42</v>
      </c>
      <c r="F44" s="61">
        <f>IF(FT!A44&lt;&gt;"",FT!A44*10,"")</f>
        <v>4.0230500000000005</v>
      </c>
      <c r="G44" s="61">
        <f>IF(FT!B44&lt;&gt;"",FT!B44*100,"")</f>
        <v>43.133200000000002</v>
      </c>
      <c r="H44" s="61">
        <f t="shared" si="1"/>
        <v>1</v>
      </c>
      <c r="I44" t="str">
        <f>IF(FT!B44&lt;&gt;"",FT!E44,"")</f>
        <v>1 [17.031858]</v>
      </c>
      <c r="J44">
        <f>IF(FT!B44&lt;&gt;"",FT!C44,"")</f>
        <v>17.0319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4.0894399999999997</v>
      </c>
      <c r="G45" s="61">
        <f>IF(FT!B45&lt;&gt;"",FT!B45*100,"")</f>
        <v>43.036200000000001</v>
      </c>
      <c r="H45" s="61">
        <f t="shared" si="1"/>
        <v>1</v>
      </c>
      <c r="I45" t="str">
        <f>IF(FT!B45&lt;&gt;"",FT!E45,"")</f>
        <v>1 [17.441799]</v>
      </c>
      <c r="J45">
        <f>IF(FT!B45&lt;&gt;"",FT!C45,"")</f>
        <v>17.441800000000001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80752</v>
      </c>
      <c r="D46" s="61">
        <f>FH!B46*1</f>
        <v>80752</v>
      </c>
      <c r="E46">
        <f t="shared" si="3"/>
        <v>44</v>
      </c>
      <c r="F46" s="61">
        <f>IF(FT!A46&lt;&gt;"",FT!A46*10,"")</f>
        <v>4.1506600000000002</v>
      </c>
      <c r="G46" s="61">
        <f>IF(FT!B46&lt;&gt;"",FT!B46*100,"")</f>
        <v>42.950800000000001</v>
      </c>
      <c r="H46" s="61">
        <f t="shared" si="1"/>
        <v>1</v>
      </c>
      <c r="I46" t="str">
        <f>IF(FT!B46&lt;&gt;"",FT!E46,"")</f>
        <v>1 [17.848172]</v>
      </c>
      <c r="J46">
        <f>IF(FT!B46&lt;&gt;"",FT!C46,"")</f>
        <v>17.848199999999999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4.2100400000000002</v>
      </c>
      <c r="G47" s="61">
        <f>IF(FT!B47&lt;&gt;"",FT!B47*100,"")</f>
        <v>43.017499999999998</v>
      </c>
      <c r="H47" s="61">
        <f t="shared" si="1"/>
        <v>1</v>
      </c>
      <c r="I47" t="str">
        <f>IF(FT!B47&lt;&gt;"",FT!E47,"")</f>
        <v>1 [18.254965]</v>
      </c>
      <c r="J47">
        <f>IF(FT!B47&lt;&gt;"",FT!C47,"")</f>
        <v>18.254999999999999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4.2644299999999999</v>
      </c>
      <c r="G48" s="61">
        <f>IF(FT!B48&lt;&gt;"",FT!B48*100,"")</f>
        <v>43.1721</v>
      </c>
      <c r="H48" s="61">
        <f t="shared" si="1"/>
        <v>1</v>
      </c>
      <c r="I48" t="str">
        <f>IF(FT!B48&lt;&gt;"",FT!E48,"")</f>
        <v>1 [18.658368]</v>
      </c>
      <c r="J48">
        <f>IF(FT!B48&lt;&gt;"",FT!C48,"")</f>
        <v>18.6584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96323</v>
      </c>
      <c r="D49" s="61">
        <f>FH!B49*1</f>
        <v>96323</v>
      </c>
      <c r="E49">
        <f t="shared" si="3"/>
        <v>47</v>
      </c>
      <c r="F49" s="61">
        <f>IF(FT!A49&lt;&gt;"",FT!A49*10,"")</f>
        <v>4.3100100000000001</v>
      </c>
      <c r="G49" s="61">
        <f>IF(FT!B49&lt;&gt;"",FT!B49*100,"")</f>
        <v>43.377099999999999</v>
      </c>
      <c r="H49" s="61">
        <f t="shared" si="1"/>
        <v>1</v>
      </c>
      <c r="I49" t="str">
        <f>IF(FT!B49&lt;&gt;"",FT!E49,"")</f>
        <v>1 [19.064507]</v>
      </c>
      <c r="J49">
        <f>IF(FT!B49&lt;&gt;"",FT!C49,"")</f>
        <v>19.064499999999999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4.3525399999999994</v>
      </c>
      <c r="G50" s="61">
        <f>IF(FT!B50&lt;&gt;"",FT!B50*100,"")</f>
        <v>43.569200000000002</v>
      </c>
      <c r="H50" s="61">
        <f t="shared" si="1"/>
        <v>1</v>
      </c>
      <c r="I50" t="str">
        <f>IF(FT!B50&lt;&gt;"",FT!E50,"")</f>
        <v>1 [19.470769]</v>
      </c>
      <c r="J50">
        <f>IF(FT!B50&lt;&gt;"",FT!C50,"")</f>
        <v>19.470800000000001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108007</v>
      </c>
      <c r="D51" s="61">
        <f>FH!B51*1</f>
        <v>108007</v>
      </c>
      <c r="E51">
        <f t="shared" si="3"/>
        <v>49</v>
      </c>
      <c r="F51" s="61">
        <f>IF(FT!A51&lt;&gt;"",FT!A51*10,"")</f>
        <v>4.3936700000000002</v>
      </c>
      <c r="G51" s="61">
        <f>IF(FT!B51&lt;&gt;"",FT!B51*100,"")</f>
        <v>43.736399999999996</v>
      </c>
      <c r="H51" s="61">
        <f t="shared" si="1"/>
        <v>1</v>
      </c>
      <c r="I51" t="str">
        <f>IF(FT!B51&lt;&gt;"",FT!E51,"")</f>
        <v>1 [19.874616]</v>
      </c>
      <c r="J51">
        <f>IF(FT!B51&lt;&gt;"",FT!C51,"")</f>
        <v>19.874600000000001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4.4273699999999998</v>
      </c>
      <c r="G52" s="61">
        <f>IF(FT!B52&lt;&gt;"",FT!B52*100,"")</f>
        <v>43.881999999999998</v>
      </c>
      <c r="H52" s="61">
        <f t="shared" si="1"/>
        <v>1</v>
      </c>
      <c r="I52" t="str">
        <f>IF(FT!B52&lt;&gt;"",FT!E52,"")</f>
        <v>1 [20.282011]</v>
      </c>
      <c r="J52">
        <f>IF(FT!B52&lt;&gt;"",FT!C52,"")</f>
        <v>20.282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4.45932</v>
      </c>
      <c r="G53" s="61">
        <f>IF(FT!B53&lt;&gt;"",FT!B53*100,"")</f>
        <v>43.991500000000002</v>
      </c>
      <c r="H53" s="61">
        <f t="shared" si="1"/>
        <v>1</v>
      </c>
      <c r="I53" t="str">
        <f>IF(FT!B53&lt;&gt;"",FT!E53,"")</f>
        <v>1 [20.691048]</v>
      </c>
      <c r="J53">
        <f>IF(FT!B53&lt;&gt;"",FT!C53,"")</f>
        <v>20.690999999999999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117659</v>
      </c>
      <c r="D54" s="61">
        <f>FH!B54*1</f>
        <v>117659</v>
      </c>
      <c r="E54">
        <f t="shared" si="3"/>
        <v>52</v>
      </c>
      <c r="F54" s="61">
        <f>IF(FT!A54&lt;&gt;"",FT!A54*10,"")</f>
        <v>4.4853100000000001</v>
      </c>
      <c r="G54" s="61">
        <f>IF(FT!B54&lt;&gt;"",FT!B54*100,"")</f>
        <v>44.1295</v>
      </c>
      <c r="H54" s="61">
        <f t="shared" si="1"/>
        <v>1</v>
      </c>
      <c r="I54" t="str">
        <f>IF(FT!B54&lt;&gt;"",FT!E54,"")</f>
        <v>1 [21.095777]</v>
      </c>
      <c r="J54">
        <f>IF(FT!B54&lt;&gt;"",FT!C54,"")</f>
        <v>21.095800000000001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4.5019</v>
      </c>
      <c r="G55" s="61">
        <f>IF(FT!B55&lt;&gt;"",FT!B55*100,"")</f>
        <v>44.240600000000001</v>
      </c>
      <c r="H55" s="61">
        <f t="shared" si="1"/>
        <v>1</v>
      </c>
      <c r="I55" t="str">
        <f>IF(FT!B55&lt;&gt;"",FT!E55,"")</f>
        <v>1 [21.502287]</v>
      </c>
      <c r="J55">
        <f>IF(FT!B55&lt;&gt;"",FT!C55,"")</f>
        <v>21.502300000000002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4.5076599999999996</v>
      </c>
      <c r="G56" s="61">
        <f>IF(FT!B56&lt;&gt;"",FT!B56*100,"")</f>
        <v>44.303599999999996</v>
      </c>
      <c r="H56" s="61">
        <f t="shared" si="1"/>
        <v>1</v>
      </c>
      <c r="I56" t="str">
        <f>IF(FT!B56&lt;&gt;"",FT!E56,"")</f>
        <v>1 [21.907763]</v>
      </c>
      <c r="J56">
        <f>IF(FT!B56&lt;&gt;"",FT!C56,"")</f>
        <v>21.907800000000002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125036</v>
      </c>
      <c r="D57" s="61">
        <f>FH!B57*1</f>
        <v>125036</v>
      </c>
      <c r="E57">
        <f t="shared" si="3"/>
        <v>55</v>
      </c>
      <c r="F57" s="61">
        <f>IF(FT!A57&lt;&gt;"",FT!A57*10,"")</f>
        <v>4.5181500000000003</v>
      </c>
      <c r="G57" s="61">
        <f>IF(FT!B57&lt;&gt;"",FT!B57*100,"")</f>
        <v>44.247500000000002</v>
      </c>
      <c r="H57" s="61">
        <f t="shared" si="1"/>
        <v>1</v>
      </c>
      <c r="I57" t="str">
        <f>IF(FT!B57&lt;&gt;"",FT!E57,"")</f>
        <v>1 [22.316785]</v>
      </c>
      <c r="J57">
        <f>IF(FT!B57&lt;&gt;"",FT!C57,"")</f>
        <v>22.316800000000001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4.5087799999999998</v>
      </c>
      <c r="G58" s="61">
        <f>IF(FT!B58&lt;&gt;"",FT!B58*100,"")</f>
        <v>44.223600000000005</v>
      </c>
      <c r="H58" s="61">
        <f t="shared" si="1"/>
        <v>1</v>
      </c>
      <c r="I58" t="str">
        <f>IF(FT!B58&lt;&gt;"",FT!E58,"")</f>
        <v>1 [22.722458]</v>
      </c>
      <c r="J58">
        <f>IF(FT!B58&lt;&gt;"",FT!C58,"")</f>
        <v>22.7225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134902</v>
      </c>
      <c r="D59" s="61">
        <f>FH!B59*1</f>
        <v>134902</v>
      </c>
      <c r="E59">
        <f t="shared" si="3"/>
        <v>57</v>
      </c>
      <c r="F59" s="61">
        <f>IF(FT!A59&lt;&gt;"",FT!A59*10,"")</f>
        <v>4.5097800000000001</v>
      </c>
      <c r="G59" s="61">
        <f>IF(FT!B59&lt;&gt;"",FT!B59*100,"")</f>
        <v>44.119100000000003</v>
      </c>
      <c r="H59" s="61">
        <f t="shared" si="1"/>
        <v>1</v>
      </c>
      <c r="I59" t="str">
        <f>IF(FT!B59&lt;&gt;"",FT!E59,"")</f>
        <v>1 [23.128223]</v>
      </c>
      <c r="J59">
        <f>IF(FT!B59&lt;&gt;"",FT!C59,"")</f>
        <v>23.1282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4.5001100000000003</v>
      </c>
      <c r="G60" s="61">
        <f>IF(FT!B60&lt;&gt;"",FT!B60*100,"")</f>
        <v>44.015100000000004</v>
      </c>
      <c r="H60" s="61">
        <f t="shared" si="1"/>
        <v>1</v>
      </c>
      <c r="I60" t="str">
        <f>IF(FT!B60&lt;&gt;"",FT!E60,"")</f>
        <v>1 [23.533489]</v>
      </c>
      <c r="J60">
        <f>IF(FT!B60&lt;&gt;"",FT!C60,"")</f>
        <v>23.5335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4.4884500000000003</v>
      </c>
      <c r="G61" s="61">
        <f>IF(FT!B61&lt;&gt;"",FT!B61*100,"")</f>
        <v>43.926300000000005</v>
      </c>
      <c r="H61" s="61">
        <f t="shared" si="1"/>
        <v>1</v>
      </c>
      <c r="I61" t="str">
        <f>IF(FT!B61&lt;&gt;"",FT!E61,"")</f>
        <v>1 [23.939373]</v>
      </c>
      <c r="J61">
        <f>IF(FT!B61&lt;&gt;"",FT!C61,"")</f>
        <v>23.939399999999999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148112</v>
      </c>
      <c r="D62" s="61">
        <f>FH!B62*1</f>
        <v>148112</v>
      </c>
      <c r="E62">
        <f t="shared" si="3"/>
        <v>60</v>
      </c>
      <c r="F62" s="61">
        <f>IF(FT!A62&lt;&gt;"",FT!A62*10,"")</f>
        <v>4.4700100000000003</v>
      </c>
      <c r="G62" s="61">
        <f>IF(FT!B62&lt;&gt;"",FT!B62*100,"")</f>
        <v>43.844799999999999</v>
      </c>
      <c r="H62" s="61">
        <f t="shared" si="1"/>
        <v>1</v>
      </c>
      <c r="I62" t="str">
        <f>IF(FT!B62&lt;&gt;"",FT!E62,"")</f>
        <v>1 [24.346151]</v>
      </c>
      <c r="J62">
        <f>IF(FT!B62&lt;&gt;"",FT!C62,"")</f>
        <v>24.3462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4.4485599999999996</v>
      </c>
      <c r="G63" s="61">
        <f>IF(FT!B63&lt;&gt;"",FT!B63*100,"")</f>
        <v>43.8474</v>
      </c>
      <c r="H63" s="61">
        <f t="shared" si="1"/>
        <v>1</v>
      </c>
      <c r="I63" t="str">
        <f>IF(FT!B63&lt;&gt;"",FT!E63,"")</f>
        <v>1 [24.751034]</v>
      </c>
      <c r="J63">
        <f>IF(FT!B63&lt;&gt;"",FT!C63,"")</f>
        <v>24.751000000000001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174161</v>
      </c>
      <c r="D64" s="61">
        <f>FH!B64*1</f>
        <v>174161</v>
      </c>
      <c r="E64">
        <f t="shared" si="3"/>
        <v>62</v>
      </c>
      <c r="F64" s="61">
        <f>IF(FT!A64&lt;&gt;"",FT!A64*10,"")</f>
        <v>4.4151299999999996</v>
      </c>
      <c r="G64" s="61">
        <f>IF(FT!B64&lt;&gt;"",FT!B64*100,"")</f>
        <v>43.808799999999998</v>
      </c>
      <c r="H64" s="61">
        <f t="shared" si="1"/>
        <v>1</v>
      </c>
      <c r="I64" t="str">
        <f>IF(FT!B64&lt;&gt;"",FT!E64,"")</f>
        <v>1 [25.161511]</v>
      </c>
      <c r="J64">
        <f>IF(FT!B64&lt;&gt;"",FT!C64,"")</f>
        <v>25.1615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4.3894899999999994</v>
      </c>
      <c r="G65" s="61">
        <f>IF(FT!B65&lt;&gt;"",FT!B65*100,"")</f>
        <v>43.783699999999996</v>
      </c>
      <c r="H65" s="61">
        <f t="shared" si="1"/>
        <v>1</v>
      </c>
      <c r="I65" t="str">
        <f>IF(FT!B65&lt;&gt;"",FT!E65,"")</f>
        <v>1 [25.564519]</v>
      </c>
      <c r="J65">
        <f>IF(FT!B65&lt;&gt;"",FT!C65,"")</f>
        <v>25.564499999999999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4.3686799999999995</v>
      </c>
      <c r="G66" s="61">
        <f>IF(FT!B66&lt;&gt;"",FT!B66*100,"")</f>
        <v>43.832900000000002</v>
      </c>
      <c r="H66" s="61">
        <f t="shared" si="1"/>
        <v>1</v>
      </c>
      <c r="I66" t="str">
        <f>IF(FT!B66&lt;&gt;"",FT!E66,"")</f>
        <v>1 [25.968777]</v>
      </c>
      <c r="J66">
        <f>IF(FT!B66&lt;&gt;"",FT!C66,"")</f>
        <v>25.968800000000002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177301</v>
      </c>
      <c r="D67" s="61">
        <f>FH!B67*1</f>
        <v>177301</v>
      </c>
      <c r="E67">
        <f t="shared" si="3"/>
        <v>65</v>
      </c>
      <c r="F67" s="61">
        <f>IF(FT!A67&lt;&gt;"",FT!A67*10,"")</f>
        <v>4.3213499999999998</v>
      </c>
      <c r="G67" s="61">
        <f>IF(FT!B67&lt;&gt;"",FT!B67*100,"")</f>
        <v>43.741300000000003</v>
      </c>
      <c r="H67" s="61">
        <f t="shared" ref="H67:H130" si="9">(IF(F67&lt;&gt;"",1,""))</f>
        <v>1</v>
      </c>
      <c r="I67" t="str">
        <f>IF(FT!B67&lt;&gt;"",FT!E67,"")</f>
        <v>1 [26.377538]</v>
      </c>
      <c r="J67">
        <f>IF(FT!B67&lt;&gt;"",FT!C67,"")</f>
        <v>26.377500000000001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4.2828400000000002</v>
      </c>
      <c r="G68" s="61">
        <f>IF(FT!B68&lt;&gt;"",FT!B68*100,"")</f>
        <v>43.7042</v>
      </c>
      <c r="H68" s="61">
        <f t="shared" si="9"/>
        <v>1</v>
      </c>
      <c r="I68" t="str">
        <f>IF(FT!B68&lt;&gt;"",FT!E68,"")</f>
        <v>1 [26.782837]</v>
      </c>
      <c r="J68">
        <f>IF(FT!B68&lt;&gt;"",FT!C68,"")</f>
        <v>26.782800000000002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192074</v>
      </c>
      <c r="D69" s="61">
        <f>FH!B69*1</f>
        <v>192074</v>
      </c>
      <c r="E69">
        <f t="shared" si="11"/>
        <v>67</v>
      </c>
      <c r="F69" s="61">
        <f>IF(FT!A69&lt;&gt;"",FT!A69*10,"")</f>
        <v>4.2399399999999998</v>
      </c>
      <c r="G69" s="61">
        <f>IF(FT!B69&lt;&gt;"",FT!B69*100,"")</f>
        <v>43.7331</v>
      </c>
      <c r="H69" s="61">
        <f t="shared" si="9"/>
        <v>1</v>
      </c>
      <c r="I69" t="str">
        <f>IF(FT!B69&lt;&gt;"",FT!E69,"")</f>
        <v>1 [27.191491]</v>
      </c>
      <c r="J69">
        <f>IF(FT!B69&lt;&gt;"",FT!C69,"")</f>
        <v>27.191500000000001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4.2059300000000004</v>
      </c>
      <c r="G70" s="61">
        <f>IF(FT!B70&lt;&gt;"",FT!B70*100,"")</f>
        <v>43.930599999999998</v>
      </c>
      <c r="H70" s="61">
        <f t="shared" si="9"/>
        <v>1</v>
      </c>
      <c r="I70" t="str">
        <f>IF(FT!B70&lt;&gt;"",FT!E70,"")</f>
        <v>1 [27.596189]</v>
      </c>
      <c r="J70">
        <f>IF(FT!B70&lt;&gt;"",FT!C70,"")</f>
        <v>27.5962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4.1570200000000002</v>
      </c>
      <c r="G71" s="61">
        <f>IF(FT!B71&lt;&gt;"",FT!B71*100,"")</f>
        <v>43.9968</v>
      </c>
      <c r="H71" s="61">
        <f t="shared" si="9"/>
        <v>1</v>
      </c>
      <c r="I71" t="str">
        <f>IF(FT!B71&lt;&gt;"",FT!E71,"")</f>
        <v>1 [28.000576]</v>
      </c>
      <c r="J71">
        <f>IF(FT!B71&lt;&gt;"",FT!C71,"")</f>
        <v>28.000599999999999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201289</v>
      </c>
      <c r="D72" s="61">
        <f>FH!B72*1</f>
        <v>201289</v>
      </c>
      <c r="E72">
        <f t="shared" si="11"/>
        <v>70</v>
      </c>
      <c r="F72" s="61">
        <f>IF(FT!A72&lt;&gt;"",FT!A72*10,"")</f>
        <v>4.0926800000000005</v>
      </c>
      <c r="G72" s="61">
        <f>IF(FT!B72&lt;&gt;"",FT!B72*100,"")</f>
        <v>43.962899999999998</v>
      </c>
      <c r="H72" s="61">
        <f t="shared" si="9"/>
        <v>1</v>
      </c>
      <c r="I72" t="str">
        <f>IF(FT!B72&lt;&gt;"",FT!E72,"")</f>
        <v>1 [28.410141]</v>
      </c>
      <c r="J72">
        <f>IF(FT!B72&lt;&gt;"",FT!C72,"")</f>
        <v>28.4101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4.0384599999999997</v>
      </c>
      <c r="G73" s="61">
        <f>IF(FT!B73&lt;&gt;"",FT!B73*100,"")</f>
        <v>44.003500000000003</v>
      </c>
      <c r="H73" s="61">
        <f t="shared" si="9"/>
        <v>1</v>
      </c>
      <c r="I73" t="str">
        <f>IF(FT!B73&lt;&gt;"",FT!E73,"")</f>
        <v>1 [28.814916]</v>
      </c>
      <c r="J73">
        <f>IF(FT!B73&lt;&gt;"",FT!C73,"")</f>
        <v>28.814900000000002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3.9831599999999998</v>
      </c>
      <c r="G74" s="61">
        <f>IF(FT!B74&lt;&gt;"",FT!B74*100,"")</f>
        <v>43.873699999999999</v>
      </c>
      <c r="H74" s="61">
        <f t="shared" si="9"/>
        <v>1</v>
      </c>
      <c r="I74" t="str">
        <f>IF(FT!B74&lt;&gt;"",FT!E74,"")</f>
        <v>1 [29.221182]</v>
      </c>
      <c r="J74">
        <f>IF(FT!B74&lt;&gt;"",FT!C74,"")</f>
        <v>29.2212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211562</v>
      </c>
      <c r="D75" s="61">
        <f>FH!B75*1</f>
        <v>211562</v>
      </c>
      <c r="E75">
        <f t="shared" si="11"/>
        <v>73</v>
      </c>
      <c r="F75" s="61">
        <f>IF(FT!A75&lt;&gt;"",FT!A75*10,"")</f>
        <v>3.9408399999999997</v>
      </c>
      <c r="G75" s="61">
        <f>IF(FT!B75&lt;&gt;"",FT!B75*100,"")</f>
        <v>44.0503</v>
      </c>
      <c r="H75" s="61">
        <f t="shared" si="9"/>
        <v>1</v>
      </c>
      <c r="I75" t="str">
        <f>IF(FT!B75&lt;&gt;"",FT!E75,"")</f>
        <v>1 [29.625577]</v>
      </c>
      <c r="J75">
        <f>IF(FT!B75&lt;&gt;"",FT!C75,"")</f>
        <v>29.625599999999999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3.8803100000000001</v>
      </c>
      <c r="G76" s="61">
        <f>IF(FT!B76&lt;&gt;"",FT!B76*100,"")</f>
        <v>44.234000000000002</v>
      </c>
      <c r="H76" s="61">
        <f t="shared" si="9"/>
        <v>1</v>
      </c>
      <c r="I76" t="str">
        <f>IF(FT!B76&lt;&gt;"",FT!E76,"")</f>
        <v>2 [30.030782]</v>
      </c>
      <c r="J76">
        <f>IF(FT!B76&lt;&gt;"",FT!C76,"")</f>
        <v>30.030799999999999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217130</v>
      </c>
      <c r="D77" s="61">
        <f>FH!B77*1</f>
        <v>217130</v>
      </c>
      <c r="E77">
        <f t="shared" si="11"/>
        <v>75</v>
      </c>
      <c r="F77" s="61">
        <f>IF(FT!A77&lt;&gt;"",FT!A77*10,"")</f>
        <v>3.8052099999999998</v>
      </c>
      <c r="G77" s="61">
        <f>IF(FT!B77&lt;&gt;"",FT!B77*100,"")</f>
        <v>44.354999999999997</v>
      </c>
      <c r="H77" s="61">
        <f t="shared" si="9"/>
        <v>1</v>
      </c>
      <c r="I77" t="str">
        <f>IF(FT!B77&lt;&gt;"",FT!E77,"")</f>
        <v>2 [30.515047]</v>
      </c>
      <c r="J77">
        <f>IF(FT!B77&lt;&gt;"",FT!C77,"")</f>
        <v>30.515000000000001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3.7465299999999999</v>
      </c>
      <c r="G78" s="61">
        <f>IF(FT!B78&lt;&gt;"",FT!B78*100,"")</f>
        <v>44.604799999999997</v>
      </c>
      <c r="H78" s="61">
        <f t="shared" si="9"/>
        <v>1</v>
      </c>
      <c r="I78" t="str">
        <f>IF(FT!B78&lt;&gt;"",FT!E78,"")</f>
        <v>2 [30.890024]</v>
      </c>
      <c r="J78">
        <f>IF(FT!B78&lt;&gt;"",FT!C78,"")</f>
        <v>30.89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3.6911899999999997</v>
      </c>
      <c r="G79" s="61">
        <f>IF(FT!B79&lt;&gt;"",FT!B79*100,"")</f>
        <v>44.782800000000002</v>
      </c>
      <c r="H79" s="61">
        <f t="shared" si="9"/>
        <v>1</v>
      </c>
      <c r="I79" t="str">
        <f>IF(FT!B79&lt;&gt;"",FT!E79,"")</f>
        <v>2 [31.297673]</v>
      </c>
      <c r="J79">
        <f>IF(FT!B79&lt;&gt;"",FT!C79,"")</f>
        <v>31.297699999999999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215784</v>
      </c>
      <c r="D80" s="61">
        <f>FH!B80*1</f>
        <v>215784</v>
      </c>
      <c r="E80">
        <f t="shared" si="11"/>
        <v>78</v>
      </c>
      <c r="F80" s="61">
        <f>IF(FT!A80&lt;&gt;"",FT!A80*10,"")</f>
        <v>3.6400199999999998</v>
      </c>
      <c r="G80" s="61">
        <f>IF(FT!B80&lt;&gt;"",FT!B80*100,"")</f>
        <v>44.834499999999998</v>
      </c>
      <c r="H80" s="61">
        <f t="shared" si="9"/>
        <v>1</v>
      </c>
      <c r="I80" t="str">
        <f>IF(FT!B80&lt;&gt;"",FT!E80,"")</f>
        <v>2 [31.703494]</v>
      </c>
      <c r="J80">
        <f>IF(FT!B80&lt;&gt;"",FT!C80,"")</f>
        <v>31.703499999999998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3.5908800000000003</v>
      </c>
      <c r="G81" s="61">
        <f>IF(FT!B81&lt;&gt;"",FT!B81*100,"")</f>
        <v>44.887500000000003</v>
      </c>
      <c r="H81" s="61">
        <f t="shared" si="9"/>
        <v>1</v>
      </c>
      <c r="I81" t="str">
        <f>IF(FT!B81&lt;&gt;"",FT!E81,"")</f>
        <v>2 [32.111391]</v>
      </c>
      <c r="J81">
        <f>IF(FT!B81&lt;&gt;"",FT!C81,"")</f>
        <v>32.111400000000003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220206</v>
      </c>
      <c r="D82" s="61">
        <f>FH!B82*1</f>
        <v>220206</v>
      </c>
      <c r="E82">
        <f t="shared" si="11"/>
        <v>80</v>
      </c>
      <c r="F82" s="61">
        <f>IF(FT!A82&lt;&gt;"",FT!A82*10,"")</f>
        <v>3.5472599999999996</v>
      </c>
      <c r="G82" s="61">
        <f>IF(FT!B82&lt;&gt;"",FT!B82*100,"")</f>
        <v>44.855200000000004</v>
      </c>
      <c r="H82" s="61">
        <f t="shared" si="9"/>
        <v>1</v>
      </c>
      <c r="I82" t="str">
        <f>IF(FT!B82&lt;&gt;"",FT!E82,"")</f>
        <v>2 [32.517544]</v>
      </c>
      <c r="J82">
        <f>IF(FT!B82&lt;&gt;"",FT!C82,"")</f>
        <v>32.517499999999998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3.50596</v>
      </c>
      <c r="G83" s="61">
        <f>IF(FT!B83&lt;&gt;"",FT!B83*100,"")</f>
        <v>44.800699999999999</v>
      </c>
      <c r="H83" s="61">
        <f t="shared" si="9"/>
        <v>1</v>
      </c>
      <c r="I83" t="str">
        <f>IF(FT!B83&lt;&gt;"",FT!E83,"")</f>
        <v>2 [32.922717]</v>
      </c>
      <c r="J83">
        <f>IF(FT!B83&lt;&gt;"",FT!C83,"")</f>
        <v>32.922699999999999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3.4704800000000002</v>
      </c>
      <c r="G84" s="61">
        <f>IF(FT!B84&lt;&gt;"",FT!B84*100,"")</f>
        <v>44.696100000000001</v>
      </c>
      <c r="H84" s="61">
        <f t="shared" si="9"/>
        <v>1</v>
      </c>
      <c r="I84" t="str">
        <f>IF(FT!B84&lt;&gt;"",FT!E84,"")</f>
        <v>2 [33.331366]</v>
      </c>
      <c r="J84">
        <f>IF(FT!B84&lt;&gt;"",FT!C84,"")</f>
        <v>33.331400000000002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198120</v>
      </c>
      <c r="D85" s="61">
        <f>FH!B85*1</f>
        <v>198120</v>
      </c>
      <c r="E85">
        <f t="shared" si="11"/>
        <v>83</v>
      </c>
      <c r="F85" s="61">
        <f>IF(FT!A85&lt;&gt;"",FT!A85*10,"")</f>
        <v>3.4385599999999998</v>
      </c>
      <c r="G85" s="61">
        <f>IF(FT!B85&lt;&gt;"",FT!B85*100,"")</f>
        <v>44.712299999999999</v>
      </c>
      <c r="H85" s="61">
        <f t="shared" si="9"/>
        <v>1</v>
      </c>
      <c r="I85" t="str">
        <f>IF(FT!B85&lt;&gt;"",FT!E85,"")</f>
        <v>2 [33.739529]</v>
      </c>
      <c r="J85">
        <f>IF(FT!B85&lt;&gt;"",FT!C85,"")</f>
        <v>33.7395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3.4074200000000001</v>
      </c>
      <c r="G86" s="61">
        <f>IF(FT!B86&lt;&gt;"",FT!B86*100,"")</f>
        <v>44.775399999999998</v>
      </c>
      <c r="H86" s="61">
        <f t="shared" si="9"/>
        <v>1</v>
      </c>
      <c r="I86" t="str">
        <f>IF(FT!B86&lt;&gt;"",FT!E86,"")</f>
        <v>2 [34.142467]</v>
      </c>
      <c r="J86">
        <f>IF(FT!B86&lt;&gt;"",FT!C86,"")</f>
        <v>34.142499999999998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3.3789200000000004</v>
      </c>
      <c r="G87" s="61">
        <f>IF(FT!B87&lt;&gt;"",FT!B87*100,"")</f>
        <v>44.908000000000001</v>
      </c>
      <c r="H87" s="61">
        <f t="shared" si="9"/>
        <v>1</v>
      </c>
      <c r="I87" t="str">
        <f>IF(FT!B87&lt;&gt;"",FT!E87,"")</f>
        <v>2 [34.549634]</v>
      </c>
      <c r="J87">
        <f>IF(FT!B87&lt;&gt;"",FT!C87,"")</f>
        <v>34.549599999999998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193342</v>
      </c>
      <c r="D88" s="61">
        <f>FH!B88*1</f>
        <v>193342</v>
      </c>
      <c r="E88">
        <f t="shared" si="11"/>
        <v>86</v>
      </c>
      <c r="F88" s="61">
        <f>IF(FT!A88&lt;&gt;"",FT!A88*10,"")</f>
        <v>3.3511899999999999</v>
      </c>
      <c r="G88" s="61">
        <f>IF(FT!B88&lt;&gt;"",FT!B88*100,"")</f>
        <v>45.165199999999999</v>
      </c>
      <c r="H88" s="61">
        <f t="shared" si="9"/>
        <v>1</v>
      </c>
      <c r="I88" t="str">
        <f>IF(FT!B88&lt;&gt;"",FT!E88,"")</f>
        <v>2 [34.957309]</v>
      </c>
      <c r="J88">
        <f>IF(FT!B88&lt;&gt;"",FT!C88,"")</f>
        <v>34.957299999999996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3.3270499999999998</v>
      </c>
      <c r="G89" s="61">
        <f>IF(FT!B89&lt;&gt;"",FT!B89*100,"")</f>
        <v>45.409599999999998</v>
      </c>
      <c r="H89" s="61">
        <f t="shared" si="9"/>
        <v>1</v>
      </c>
      <c r="I89" t="str">
        <f>IF(FT!B89&lt;&gt;"",FT!E89,"")</f>
        <v>2 [35.364137]</v>
      </c>
      <c r="J89">
        <f>IF(FT!B89&lt;&gt;"",FT!C89,"")</f>
        <v>35.364100000000001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188286</v>
      </c>
      <c r="D90" s="61">
        <f>FH!B90*1</f>
        <v>188286</v>
      </c>
      <c r="E90">
        <f t="shared" si="11"/>
        <v>88</v>
      </c>
      <c r="F90" s="61">
        <f>IF(FT!A90&lt;&gt;"",FT!A90*10,"")</f>
        <v>3.3066499999999999</v>
      </c>
      <c r="G90" s="61">
        <f>IF(FT!B90&lt;&gt;"",FT!B90*100,"")</f>
        <v>45.632400000000004</v>
      </c>
      <c r="H90" s="61">
        <f t="shared" si="9"/>
        <v>1</v>
      </c>
      <c r="I90" t="str">
        <f>IF(FT!B90&lt;&gt;"",FT!E90,"")</f>
        <v>2 [35.766763]</v>
      </c>
      <c r="J90">
        <f>IF(FT!B90&lt;&gt;"",FT!C90,"")</f>
        <v>35.766800000000003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3.2928000000000002</v>
      </c>
      <c r="G91" s="61">
        <f>IF(FT!B91&lt;&gt;"",FT!B91*100,"")</f>
        <v>45.802599999999998</v>
      </c>
      <c r="H91" s="61">
        <f t="shared" si="9"/>
        <v>1</v>
      </c>
      <c r="I91" t="str">
        <f>IF(FT!B91&lt;&gt;"",FT!E91,"")</f>
        <v>2 [36.174398]</v>
      </c>
      <c r="J91">
        <f>IF(FT!B91&lt;&gt;"",FT!C91,"")</f>
        <v>36.174399999999999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3.2857099999999999</v>
      </c>
      <c r="G92" s="61">
        <f>IF(FT!B92&lt;&gt;"",FT!B92*100,"")</f>
        <v>45.898499999999999</v>
      </c>
      <c r="H92" s="61">
        <f t="shared" si="9"/>
        <v>1</v>
      </c>
      <c r="I92" t="str">
        <f>IF(FT!B92&lt;&gt;"",FT!E92,"")</f>
        <v>2 [36.579861]</v>
      </c>
      <c r="J92">
        <f>IF(FT!B92&lt;&gt;"",FT!C92,"")</f>
        <v>36.579900000000002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188302</v>
      </c>
      <c r="D93" s="61">
        <f>FH!B93*1</f>
        <v>188302</v>
      </c>
      <c r="E93">
        <f t="shared" si="11"/>
        <v>91</v>
      </c>
      <c r="F93" s="61">
        <f>IF(FT!A93&lt;&gt;"",FT!A93*10,"")</f>
        <v>3.2828499999999998</v>
      </c>
      <c r="G93" s="61">
        <f>IF(FT!B93&lt;&gt;"",FT!B93*100,"")</f>
        <v>45.955300000000001</v>
      </c>
      <c r="H93" s="61">
        <f t="shared" si="9"/>
        <v>1</v>
      </c>
      <c r="I93" t="str">
        <f>IF(FT!B93&lt;&gt;"",FT!E93,"")</f>
        <v>2 [36.989140]</v>
      </c>
      <c r="J93">
        <f>IF(FT!B93&lt;&gt;"",FT!C93,"")</f>
        <v>36.989100000000001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3.2808799999999998</v>
      </c>
      <c r="G94" s="61">
        <f>IF(FT!B94&lt;&gt;"",FT!B94*100,"")</f>
        <v>46.036899999999996</v>
      </c>
      <c r="H94" s="61">
        <f t="shared" si="9"/>
        <v>1</v>
      </c>
      <c r="I94" t="str">
        <f>IF(FT!B94&lt;&gt;"",FT!E94,"")</f>
        <v>2 [37.394787]</v>
      </c>
      <c r="J94">
        <f>IF(FT!B94&lt;&gt;"",FT!C94,"")</f>
        <v>37.394799999999996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187363</v>
      </c>
      <c r="D95" s="61">
        <f>FH!B95*1</f>
        <v>187363</v>
      </c>
      <c r="E95">
        <f t="shared" si="11"/>
        <v>93</v>
      </c>
      <c r="F95" s="61">
        <f>IF(FT!A95&lt;&gt;"",FT!A95*10,"")</f>
        <v>3.2819700000000003</v>
      </c>
      <c r="G95" s="61">
        <f>IF(FT!B95&lt;&gt;"",FT!B95*100,"")</f>
        <v>46.071800000000003</v>
      </c>
      <c r="H95" s="61">
        <f t="shared" si="9"/>
        <v>1</v>
      </c>
      <c r="I95" t="str">
        <f>IF(FT!B95&lt;&gt;"",FT!E95,"")</f>
        <v>2 [37.796359]</v>
      </c>
      <c r="J95">
        <f>IF(FT!B95&lt;&gt;"",FT!C95,"")</f>
        <v>37.796399999999998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3.2858100000000001</v>
      </c>
      <c r="G96" s="61">
        <f>IF(FT!B96&lt;&gt;"",FT!B96*100,"")</f>
        <v>46.1342</v>
      </c>
      <c r="H96" s="61">
        <f t="shared" si="9"/>
        <v>1</v>
      </c>
      <c r="I96" t="str">
        <f>IF(FT!B96&lt;&gt;"",FT!E96,"")</f>
        <v>2 [38.204074]</v>
      </c>
      <c r="J96">
        <f>IF(FT!B96&lt;&gt;"",FT!C96,"")</f>
        <v>38.204099999999997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3.2911400000000004</v>
      </c>
      <c r="G97" s="61">
        <f>IF(FT!B97&lt;&gt;"",FT!B97*100,"")</f>
        <v>46.180599999999998</v>
      </c>
      <c r="H97" s="61">
        <f t="shared" si="9"/>
        <v>1</v>
      </c>
      <c r="I97" t="str">
        <f>IF(FT!B97&lt;&gt;"",FT!E97,"")</f>
        <v>2 [38.609817]</v>
      </c>
      <c r="J97">
        <f>IF(FT!B97&lt;&gt;"",FT!C97,"")</f>
        <v>38.6098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187455</v>
      </c>
      <c r="D98" s="61">
        <f>FH!B98*1</f>
        <v>187455</v>
      </c>
      <c r="E98">
        <f t="shared" si="11"/>
        <v>96</v>
      </c>
      <c r="F98" s="61">
        <f>IF(FT!A98&lt;&gt;"",FT!A98*10,"")</f>
        <v>3.3017099999999999</v>
      </c>
      <c r="G98" s="61">
        <f>IF(FT!B98&lt;&gt;"",FT!B98*100,"")</f>
        <v>46.175399999999996</v>
      </c>
      <c r="H98" s="61">
        <f t="shared" si="9"/>
        <v>1</v>
      </c>
      <c r="I98" t="str">
        <f>IF(FT!B98&lt;&gt;"",FT!E98,"")</f>
        <v>2 [39.016542]</v>
      </c>
      <c r="J98">
        <f>IF(FT!B98&lt;&gt;"",FT!C98,"")</f>
        <v>39.016500000000001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3.3185399999999996</v>
      </c>
      <c r="G99" s="61">
        <f>IF(FT!B99&lt;&gt;"",FT!B99*100,"")</f>
        <v>46.127000000000002</v>
      </c>
      <c r="H99" s="61">
        <f t="shared" si="9"/>
        <v>1</v>
      </c>
      <c r="I99" t="str">
        <f>IF(FT!B99&lt;&gt;"",FT!E99,"")</f>
        <v>2 [39.425241]</v>
      </c>
      <c r="J99">
        <f>IF(FT!B99&lt;&gt;"",FT!C99,"")</f>
        <v>39.425199999999997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188305</v>
      </c>
      <c r="D100" s="61">
        <f>FH!B100*1</f>
        <v>188305</v>
      </c>
      <c r="E100">
        <f t="shared" si="11"/>
        <v>98</v>
      </c>
      <c r="F100" s="61">
        <f>IF(FT!A100&lt;&gt;"",FT!A100*10,"")</f>
        <v>3.3375599999999999</v>
      </c>
      <c r="G100" s="61">
        <f>IF(FT!B100&lt;&gt;"",FT!B100*100,"")</f>
        <v>46.060299999999998</v>
      </c>
      <c r="H100" s="61">
        <f t="shared" si="9"/>
        <v>1</v>
      </c>
      <c r="I100" t="str">
        <f>IF(FT!B100&lt;&gt;"",FT!E100,"")</f>
        <v>2 [39.833020]</v>
      </c>
      <c r="J100">
        <f>IF(FT!B100&lt;&gt;"",FT!C100,"")</f>
        <v>39.832999999999998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3.35995</v>
      </c>
      <c r="G101" s="61">
        <f>IF(FT!B101&lt;&gt;"",FT!B101*100,"")</f>
        <v>45.922899999999998</v>
      </c>
      <c r="H101" s="61">
        <f t="shared" si="9"/>
        <v>1</v>
      </c>
      <c r="I101" t="str">
        <f>IF(FT!B101&lt;&gt;"",FT!E101,"")</f>
        <v>2 [40.237342]</v>
      </c>
      <c r="J101">
        <f>IF(FT!B101&lt;&gt;"",FT!C101,"")</f>
        <v>40.237299999999998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3.3849</v>
      </c>
      <c r="G102" s="61">
        <f>IF(FT!B102&lt;&gt;"",FT!B102*100,"")</f>
        <v>45.812100000000001</v>
      </c>
      <c r="H102" s="61">
        <f t="shared" si="9"/>
        <v>1</v>
      </c>
      <c r="I102" t="str">
        <f>IF(FT!B102&lt;&gt;"",FT!E102,"")</f>
        <v>2 [40.643047]</v>
      </c>
      <c r="J102">
        <f>IF(FT!B102&lt;&gt;"",FT!C102,"")</f>
        <v>40.643000000000001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178548</v>
      </c>
      <c r="D103" s="61">
        <f>FH!B103*1</f>
        <v>178548</v>
      </c>
      <c r="E103">
        <f t="shared" si="11"/>
        <v>101</v>
      </c>
      <c r="F103" s="61">
        <f>IF(FT!A103&lt;&gt;"",FT!A103*10,"")</f>
        <v>3.4107900000000004</v>
      </c>
      <c r="G103" s="61">
        <f>IF(FT!B103&lt;&gt;"",FT!B103*100,"")</f>
        <v>45.673099999999998</v>
      </c>
      <c r="H103" s="61">
        <f t="shared" si="9"/>
        <v>1</v>
      </c>
      <c r="I103" t="str">
        <f>IF(FT!B103&lt;&gt;"",FT!E103,"")</f>
        <v>2 [41.047881]</v>
      </c>
      <c r="J103">
        <f>IF(FT!B103&lt;&gt;"",FT!C103,"")</f>
        <v>41.047899999999998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3.4375400000000003</v>
      </c>
      <c r="G104" s="61">
        <f>IF(FT!B104&lt;&gt;"",FT!B104*100,"")</f>
        <v>45.533900000000003</v>
      </c>
      <c r="H104" s="61">
        <f t="shared" si="9"/>
        <v>1</v>
      </c>
      <c r="I104" t="str">
        <f>IF(FT!B104&lt;&gt;"",FT!E104,"")</f>
        <v>2 [41.457217]</v>
      </c>
      <c r="J104">
        <f>IF(FT!B104&lt;&gt;"",FT!C104,"")</f>
        <v>41.4572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3.46347</v>
      </c>
      <c r="G105" s="61">
        <f>IF(FT!B105&lt;&gt;"",FT!B105*100,"")</f>
        <v>45.500299999999996</v>
      </c>
      <c r="H105" s="61">
        <f t="shared" si="9"/>
        <v>1</v>
      </c>
      <c r="I105" t="str">
        <f>IF(FT!B105&lt;&gt;"",FT!E105,"")</f>
        <v>2 [41.861049]</v>
      </c>
      <c r="J105">
        <f>IF(FT!B105&lt;&gt;"",FT!C105,"")</f>
        <v>41.860999999999997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191519</v>
      </c>
      <c r="D106" s="61">
        <f>FH!B106*1</f>
        <v>191519</v>
      </c>
      <c r="E106">
        <f t="shared" si="11"/>
        <v>104</v>
      </c>
      <c r="F106" s="61">
        <f>IF(FT!A106&lt;&gt;"",FT!A106*10,"")</f>
        <v>3.4879300000000004</v>
      </c>
      <c r="G106" s="61">
        <f>IF(FT!B106&lt;&gt;"",FT!B106*100,"")</f>
        <v>45.537599999999998</v>
      </c>
      <c r="H106" s="61">
        <f t="shared" si="9"/>
        <v>1</v>
      </c>
      <c r="I106" t="str">
        <f>IF(FT!B106&lt;&gt;"",FT!E106,"")</f>
        <v>2 [42.266642]</v>
      </c>
      <c r="J106">
        <f>IF(FT!B106&lt;&gt;"",FT!C106,"")</f>
        <v>42.266599999999997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3.5121200000000004</v>
      </c>
      <c r="G107" s="61">
        <f>IF(FT!B107&lt;&gt;"",FT!B107*100,"")</f>
        <v>45.589300000000001</v>
      </c>
      <c r="H107" s="61">
        <f t="shared" si="9"/>
        <v>1</v>
      </c>
      <c r="I107" t="str">
        <f>IF(FT!B107&lt;&gt;"",FT!E107,"")</f>
        <v>2 [42.672712]</v>
      </c>
      <c r="J107">
        <f>IF(FT!B107&lt;&gt;"",FT!C107,"")</f>
        <v>42.672699999999999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179066</v>
      </c>
      <c r="D108" s="61">
        <f>FH!B108*1</f>
        <v>179066</v>
      </c>
      <c r="E108">
        <f t="shared" si="11"/>
        <v>106</v>
      </c>
      <c r="F108" s="61">
        <f>IF(FT!A108&lt;&gt;"",FT!A108*10,"")</f>
        <v>3.5383100000000001</v>
      </c>
      <c r="G108" s="61">
        <f>IF(FT!B108&lt;&gt;"",FT!B108*100,"")</f>
        <v>45.616</v>
      </c>
      <c r="H108" s="61">
        <f t="shared" si="9"/>
        <v>1</v>
      </c>
      <c r="I108" t="str">
        <f>IF(FT!B108&lt;&gt;"",FT!E108,"")</f>
        <v>2 [43.077358]</v>
      </c>
      <c r="J108">
        <f>IF(FT!B108&lt;&gt;"",FT!C108,"")</f>
        <v>43.077399999999997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3.5615799999999997</v>
      </c>
      <c r="G109" s="61">
        <f>IF(FT!B109&lt;&gt;"",FT!B109*100,"")</f>
        <v>45.655499999999996</v>
      </c>
      <c r="H109" s="61">
        <f t="shared" si="9"/>
        <v>1</v>
      </c>
      <c r="I109" t="str">
        <f>IF(FT!B109&lt;&gt;"",FT!E109,"")</f>
        <v>2 [43.491412]</v>
      </c>
      <c r="J109">
        <f>IF(FT!B109&lt;&gt;"",FT!C109,"")</f>
        <v>43.491399999999999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3.5856500000000002</v>
      </c>
      <c r="G110" s="61">
        <f>IF(FT!B110&lt;&gt;"",FT!B110*100,"")</f>
        <v>45.623999999999995</v>
      </c>
      <c r="H110" s="61">
        <f t="shared" si="9"/>
        <v>1</v>
      </c>
      <c r="I110" t="str">
        <f>IF(FT!B110&lt;&gt;"",FT!E110,"")</f>
        <v>2 [43.894215]</v>
      </c>
      <c r="J110">
        <f>IF(FT!B110&lt;&gt;"",FT!C110,"")</f>
        <v>43.894199999999998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178519</v>
      </c>
      <c r="D111" s="61">
        <f>FH!B111*1</f>
        <v>178519</v>
      </c>
      <c r="E111">
        <f t="shared" si="11"/>
        <v>109</v>
      </c>
      <c r="F111" s="61">
        <f>IF(FT!A111&lt;&gt;"",FT!A111*10,"")</f>
        <v>3.6110899999999999</v>
      </c>
      <c r="G111" s="61">
        <f>IF(FT!B111&lt;&gt;"",FT!B111*100,"")</f>
        <v>45.576599999999999</v>
      </c>
      <c r="H111" s="61">
        <f t="shared" si="9"/>
        <v>1</v>
      </c>
      <c r="I111" t="str">
        <f>IF(FT!B111&lt;&gt;"",FT!E111,"")</f>
        <v>2 [44.301402]</v>
      </c>
      <c r="J111">
        <f>IF(FT!B111&lt;&gt;"",FT!C111,"")</f>
        <v>44.301400000000001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3.6346699999999998</v>
      </c>
      <c r="G112" s="61">
        <f>IF(FT!B112&lt;&gt;"",FT!B112*100,"")</f>
        <v>45.5443</v>
      </c>
      <c r="H112" s="61">
        <f t="shared" si="9"/>
        <v>1</v>
      </c>
      <c r="I112" t="str">
        <f>IF(FT!B112&lt;&gt;"",FT!E112,"")</f>
        <v>2 [44.705126]</v>
      </c>
      <c r="J112">
        <f>IF(FT!B112&lt;&gt;"",FT!C112,"")</f>
        <v>44.705100000000002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177498</v>
      </c>
      <c r="D113" s="61">
        <f>FH!B113*1</f>
        <v>177498</v>
      </c>
      <c r="E113">
        <f t="shared" si="11"/>
        <v>111</v>
      </c>
      <c r="F113" s="61">
        <f>IF(FT!A113&lt;&gt;"",FT!A113*10,"")</f>
        <v>3.65551</v>
      </c>
      <c r="G113" s="61">
        <f>IF(FT!B113&lt;&gt;"",FT!B113*100,"")</f>
        <v>45.555700000000002</v>
      </c>
      <c r="H113" s="61">
        <f t="shared" si="9"/>
        <v>1</v>
      </c>
      <c r="I113" t="str">
        <f>IF(FT!B113&lt;&gt;"",FT!E113,"")</f>
        <v>2 [45.108842]</v>
      </c>
      <c r="J113">
        <f>IF(FT!B113&lt;&gt;"",FT!C113,"")</f>
        <v>45.108800000000002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3.6795299999999997</v>
      </c>
      <c r="G114" s="61">
        <f>IF(FT!B114&lt;&gt;"",FT!B114*100,"")</f>
        <v>45.534200000000006</v>
      </c>
      <c r="H114" s="61">
        <f t="shared" si="9"/>
        <v>1</v>
      </c>
      <c r="I114" t="str">
        <f>IF(FT!B114&lt;&gt;"",FT!E114,"")</f>
        <v>2 [45.516852]</v>
      </c>
      <c r="J114">
        <f>IF(FT!B114&lt;&gt;"",FT!C114,"")</f>
        <v>45.5169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3.7033800000000001</v>
      </c>
      <c r="G115" s="61">
        <f>IF(FT!B115&lt;&gt;"",FT!B115*100,"")</f>
        <v>45.5366</v>
      </c>
      <c r="H115" s="61">
        <f t="shared" si="9"/>
        <v>1</v>
      </c>
      <c r="I115" t="str">
        <f>IF(FT!B115&lt;&gt;"",FT!E115,"")</f>
        <v>2 [45.924313]</v>
      </c>
      <c r="J115">
        <f>IF(FT!B115&lt;&gt;"",FT!C115,"")</f>
        <v>45.924300000000002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165240</v>
      </c>
      <c r="D116" s="61">
        <f>FH!B116*1</f>
        <v>165240</v>
      </c>
      <c r="E116">
        <f t="shared" si="11"/>
        <v>114</v>
      </c>
      <c r="F116" s="61">
        <f>IF(FT!A116&lt;&gt;"",FT!A116*10,"")</f>
        <v>3.7292999999999998</v>
      </c>
      <c r="G116" s="61">
        <f>IF(FT!B116&lt;&gt;"",FT!B116*100,"")</f>
        <v>45.520699999999998</v>
      </c>
      <c r="H116" s="61">
        <f t="shared" si="9"/>
        <v>1</v>
      </c>
      <c r="I116" t="str">
        <f>IF(FT!B116&lt;&gt;"",FT!E116,"")</f>
        <v>2 [46.331359]</v>
      </c>
      <c r="J116">
        <f>IF(FT!B116&lt;&gt;"",FT!C116,"")</f>
        <v>46.331400000000002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3.7541500000000001</v>
      </c>
      <c r="G117" s="61">
        <f>IF(FT!B117&lt;&gt;"",FT!B117*100,"")</f>
        <v>45.504600000000003</v>
      </c>
      <c r="H117" s="61">
        <f t="shared" si="9"/>
        <v>1</v>
      </c>
      <c r="I117" t="str">
        <f>IF(FT!B117&lt;&gt;"",FT!E117,"")</f>
        <v>2 [46.735553]</v>
      </c>
      <c r="J117">
        <f>IF(FT!B117&lt;&gt;"",FT!C117,"")</f>
        <v>46.735599999999998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153648</v>
      </c>
      <c r="D118" s="61">
        <f>FH!B118*1</f>
        <v>153648</v>
      </c>
      <c r="E118">
        <f t="shared" si="11"/>
        <v>116</v>
      </c>
      <c r="F118" s="61">
        <f>IF(FT!A118&lt;&gt;"",FT!A118*10,"")</f>
        <v>3.7767200000000001</v>
      </c>
      <c r="G118" s="61">
        <f>IF(FT!B118&lt;&gt;"",FT!B118*100,"")</f>
        <v>45.509899999999995</v>
      </c>
      <c r="H118" s="61">
        <f t="shared" si="9"/>
        <v>1</v>
      </c>
      <c r="I118" t="str">
        <f>IF(FT!B118&lt;&gt;"",FT!E118,"")</f>
        <v>2 [47.145730]</v>
      </c>
      <c r="J118">
        <f>IF(FT!B118&lt;&gt;"",FT!C118,"")</f>
        <v>47.145699999999998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3.7965300000000002</v>
      </c>
      <c r="G119" s="61">
        <f>IF(FT!B119&lt;&gt;"",FT!B119*100,"")</f>
        <v>45.556799999999996</v>
      </c>
      <c r="H119" s="61">
        <f t="shared" si="9"/>
        <v>1</v>
      </c>
      <c r="I119" t="str">
        <f>IF(FT!B119&lt;&gt;"",FT!E119,"")</f>
        <v>2 [47.546992]</v>
      </c>
      <c r="J119">
        <f>IF(FT!B119&lt;&gt;"",FT!C119,"")</f>
        <v>47.546999999999997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3.8141500000000002</v>
      </c>
      <c r="G120" s="61">
        <f>IF(FT!B120&lt;&gt;"",FT!B120*100,"")</f>
        <v>45.641399999999997</v>
      </c>
      <c r="H120" s="61">
        <f t="shared" si="9"/>
        <v>1</v>
      </c>
      <c r="I120" t="str">
        <f>IF(FT!B120&lt;&gt;"",FT!E120,"")</f>
        <v>2 [47.952328]</v>
      </c>
      <c r="J120">
        <f>IF(FT!B120&lt;&gt;"",FT!C120,"")</f>
        <v>47.952300000000001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151661</v>
      </c>
      <c r="D121" s="61">
        <f>FH!B121*1</f>
        <v>151661</v>
      </c>
      <c r="E121">
        <f t="shared" si="11"/>
        <v>119</v>
      </c>
      <c r="F121" s="61">
        <f>IF(FT!A121&lt;&gt;"",FT!A121*10,"")</f>
        <v>3.83372</v>
      </c>
      <c r="G121" s="61">
        <f>IF(FT!B121&lt;&gt;"",FT!B121*100,"")</f>
        <v>45.6873</v>
      </c>
      <c r="H121" s="61">
        <f t="shared" si="9"/>
        <v>1</v>
      </c>
      <c r="I121" t="str">
        <f>IF(FT!B121&lt;&gt;"",FT!E121,"")</f>
        <v>2 [48.361060]</v>
      </c>
      <c r="J121">
        <f>IF(FT!B121&lt;&gt;"",FT!C121,"")</f>
        <v>48.3611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3.8537700000000004</v>
      </c>
      <c r="G122" s="61">
        <f>IF(FT!B122&lt;&gt;"",FT!B122*100,"")</f>
        <v>45.7301</v>
      </c>
      <c r="H122" s="61">
        <f t="shared" si="9"/>
        <v>1</v>
      </c>
      <c r="I122" t="str">
        <f>IF(FT!B122&lt;&gt;"",FT!E122,"")</f>
        <v>2 [48.769109]</v>
      </c>
      <c r="J122">
        <f>IF(FT!B122&lt;&gt;"",FT!C122,"")</f>
        <v>48.769100000000002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3.8767499999999999</v>
      </c>
      <c r="G123" s="61">
        <f>IF(FT!B123&lt;&gt;"",FT!B123*100,"")</f>
        <v>45.784200000000006</v>
      </c>
      <c r="H123" s="61">
        <f t="shared" si="9"/>
        <v>1</v>
      </c>
      <c r="I123" t="str">
        <f>IF(FT!B123&lt;&gt;"",FT!E123,"")</f>
        <v>2 [49.175895]</v>
      </c>
      <c r="J123">
        <f>IF(FT!B123&lt;&gt;"",FT!C123,"")</f>
        <v>49.175899999999999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143712</v>
      </c>
      <c r="D124" s="61">
        <f>FH!B124*1</f>
        <v>143712</v>
      </c>
      <c r="E124">
        <f t="shared" si="11"/>
        <v>122</v>
      </c>
      <c r="F124" s="61">
        <f>IF(FT!A124&lt;&gt;"",FT!A124*10,"")</f>
        <v>3.9003900000000002</v>
      </c>
      <c r="G124" s="61">
        <f>IF(FT!B124&lt;&gt;"",FT!B124*100,"")</f>
        <v>45.835599999999999</v>
      </c>
      <c r="H124" s="61">
        <f t="shared" si="9"/>
        <v>1</v>
      </c>
      <c r="I124" t="str">
        <f>IF(FT!B124&lt;&gt;"",FT!E124,"")</f>
        <v>2 [49.577805]</v>
      </c>
      <c r="J124">
        <f>IF(FT!B124&lt;&gt;"",FT!C124,"")</f>
        <v>49.577800000000003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3.9269799999999999</v>
      </c>
      <c r="G125" s="61">
        <f>IF(FT!B125&lt;&gt;"",FT!B125*100,"")</f>
        <v>45.827400000000004</v>
      </c>
      <c r="H125" s="61">
        <f t="shared" si="9"/>
        <v>1</v>
      </c>
      <c r="I125" t="str">
        <f>IF(FT!B125&lt;&gt;"",FT!E125,"")</f>
        <v>2 [49.984161]</v>
      </c>
      <c r="J125">
        <f>IF(FT!B125&lt;&gt;"",FT!C125,"")</f>
        <v>49.984200000000001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129080</v>
      </c>
      <c r="D126" s="61">
        <f>FH!B126*1</f>
        <v>129080</v>
      </c>
      <c r="E126">
        <f t="shared" si="11"/>
        <v>124</v>
      </c>
      <c r="F126" s="61">
        <f>IF(FT!A126&lt;&gt;"",FT!A126*10,"")</f>
        <v>3.9354699999999996</v>
      </c>
      <c r="G126" s="61">
        <f>IF(FT!B126&lt;&gt;"",FT!B126*100,"")</f>
        <v>45.863500000000002</v>
      </c>
      <c r="H126" s="61">
        <f t="shared" si="9"/>
        <v>1</v>
      </c>
      <c r="I126" t="str">
        <f>IF(FT!B126&lt;&gt;"",FT!E126,"")</f>
        <v>2 [50.390910]</v>
      </c>
      <c r="J126">
        <f>IF(FT!B126&lt;&gt;"",FT!C126,"")</f>
        <v>50.390900000000002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3.9428800000000002</v>
      </c>
      <c r="G127" s="61">
        <f>IF(FT!B127&lt;&gt;"",FT!B127*100,"")</f>
        <v>45.923499999999997</v>
      </c>
      <c r="H127" s="61">
        <f t="shared" si="9"/>
        <v>1</v>
      </c>
      <c r="I127" t="str">
        <f>IF(FT!B127&lt;&gt;"",FT!E127,"")</f>
        <v>2 [50.801914]</v>
      </c>
      <c r="J127">
        <f>IF(FT!B127&lt;&gt;"",FT!C127,"")</f>
        <v>50.801900000000003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3.9495300000000002</v>
      </c>
      <c r="G128" s="61">
        <f>IF(FT!B128&lt;&gt;"",FT!B128*100,"")</f>
        <v>46.023499999999999</v>
      </c>
      <c r="H128" s="61">
        <f t="shared" si="9"/>
        <v>1</v>
      </c>
      <c r="I128" t="str">
        <f>IF(FT!B128&lt;&gt;"",FT!E128,"")</f>
        <v>2 [51.205866]</v>
      </c>
      <c r="J128">
        <f>IF(FT!B128&lt;&gt;"",FT!C128,"")</f>
        <v>51.2059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127794</v>
      </c>
      <c r="D129" s="61">
        <f>FH!B129*1</f>
        <v>127794</v>
      </c>
      <c r="E129">
        <f t="shared" si="11"/>
        <v>127</v>
      </c>
      <c r="F129" s="61">
        <f>IF(FT!A129&lt;&gt;"",FT!A129*10,"")</f>
        <v>3.9559100000000003</v>
      </c>
      <c r="G129" s="61">
        <f>IF(FT!B129&lt;&gt;"",FT!B129*100,"")</f>
        <v>46.157900000000005</v>
      </c>
      <c r="H129" s="61">
        <f t="shared" si="9"/>
        <v>1</v>
      </c>
      <c r="I129" t="str">
        <f>IF(FT!B129&lt;&gt;"",FT!E129,"")</f>
        <v>2 [51.613154]</v>
      </c>
      <c r="J129">
        <f>IF(FT!B129&lt;&gt;"",FT!C129,"")</f>
        <v>51.613199999999999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3.9636399999999998</v>
      </c>
      <c r="G130" s="61">
        <f>IF(FT!B130&lt;&gt;"",FT!B130*100,"")</f>
        <v>46.291600000000003</v>
      </c>
      <c r="H130" s="61">
        <f t="shared" si="9"/>
        <v>1</v>
      </c>
      <c r="I130" t="str">
        <f>IF(FT!B130&lt;&gt;"",FT!E130,"")</f>
        <v>2 [52.016534]</v>
      </c>
      <c r="J130">
        <f>IF(FT!B130&lt;&gt;"",FT!C130,"")</f>
        <v>52.016500000000001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130869</v>
      </c>
      <c r="D131" s="61">
        <f>FH!B131*1</f>
        <v>130869</v>
      </c>
      <c r="E131">
        <f t="shared" si="11"/>
        <v>129</v>
      </c>
      <c r="F131" s="61">
        <f>IF(FT!A131&lt;&gt;"",FT!A131*10,"")</f>
        <v>3.97295</v>
      </c>
      <c r="G131" s="61">
        <f>IF(FT!B131&lt;&gt;"",FT!B131*100,"")</f>
        <v>46.435600000000001</v>
      </c>
      <c r="H131" s="61">
        <f t="shared" ref="H131:H194" si="13">(IF(F131&lt;&gt;"",1,""))</f>
        <v>1</v>
      </c>
      <c r="I131" t="str">
        <f>IF(FT!B131&lt;&gt;"",FT!E131,"")</f>
        <v>2 [52.422309]</v>
      </c>
      <c r="J131">
        <f>IF(FT!B131&lt;&gt;"",FT!C131,"")</f>
        <v>52.4223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3.98231</v>
      </c>
      <c r="G132" s="61">
        <f>IF(FT!B132&lt;&gt;"",FT!B132*100,"")</f>
        <v>46.587699999999998</v>
      </c>
      <c r="H132" s="61">
        <f t="shared" si="13"/>
        <v>1</v>
      </c>
      <c r="I132" t="str">
        <f>IF(FT!B132&lt;&gt;"",FT!E132,"")</f>
        <v>2 [52.834210]</v>
      </c>
      <c r="J132">
        <f>IF(FT!B132&lt;&gt;"",FT!C132,"")</f>
        <v>52.834200000000003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3.9905600000000003</v>
      </c>
      <c r="G133" s="61">
        <f>IF(FT!B133&lt;&gt;"",FT!B133*100,"")</f>
        <v>46.776000000000003</v>
      </c>
      <c r="H133" s="61">
        <f t="shared" si="13"/>
        <v>1</v>
      </c>
      <c r="I133" t="str">
        <f>IF(FT!B133&lt;&gt;"",FT!E133,"")</f>
        <v>2 [53.236687]</v>
      </c>
      <c r="J133">
        <f>IF(FT!B133&lt;&gt;"",FT!C133,"")</f>
        <v>53.236699999999999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122365</v>
      </c>
      <c r="D134" s="61">
        <f>FH!B134*1</f>
        <v>122365</v>
      </c>
      <c r="E134">
        <f t="shared" si="15"/>
        <v>132</v>
      </c>
      <c r="F134" s="61">
        <f>IF(FT!A134&lt;&gt;"",FT!A134*10,"")</f>
        <v>4.0012799999999995</v>
      </c>
      <c r="G134" s="61">
        <f>IF(FT!B134&lt;&gt;"",FT!B134*100,"")</f>
        <v>47.008400000000002</v>
      </c>
      <c r="H134" s="61">
        <f t="shared" si="13"/>
        <v>1</v>
      </c>
      <c r="I134" t="str">
        <f>IF(FT!B134&lt;&gt;"",FT!E134,"")</f>
        <v>2 [53.645584]</v>
      </c>
      <c r="J134">
        <f>IF(FT!B134&lt;&gt;"",FT!C134,"")</f>
        <v>53.645600000000002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4.0101599999999999</v>
      </c>
      <c r="G135" s="61">
        <f>IF(FT!B135&lt;&gt;"",FT!B135*100,"")</f>
        <v>47.222799999999999</v>
      </c>
      <c r="H135" s="61">
        <f t="shared" si="13"/>
        <v>1</v>
      </c>
      <c r="I135" t="str">
        <f>IF(FT!B135&lt;&gt;"",FT!E135,"")</f>
        <v>2 [54.047213]</v>
      </c>
      <c r="J135">
        <f>IF(FT!B135&lt;&gt;"",FT!C135,"")</f>
        <v>54.047199999999997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121643</v>
      </c>
      <c r="D136" s="61">
        <f>FH!B136*1</f>
        <v>121643</v>
      </c>
      <c r="E136">
        <f t="shared" si="15"/>
        <v>134</v>
      </c>
      <c r="F136" s="61">
        <f>IF(FT!A136&lt;&gt;"",FT!A136*10,"")</f>
        <v>4.0182400000000005</v>
      </c>
      <c r="G136" s="61">
        <f>IF(FT!B136&lt;&gt;"",FT!B136*100,"")</f>
        <v>47.450399999999995</v>
      </c>
      <c r="H136" s="61">
        <f t="shared" si="13"/>
        <v>1</v>
      </c>
      <c r="I136" t="str">
        <f>IF(FT!B136&lt;&gt;"",FT!E136,"")</f>
        <v>2 [54.455573]</v>
      </c>
      <c r="J136">
        <f>IF(FT!B136&lt;&gt;"",FT!C136,"")</f>
        <v>54.455599999999997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4.0267499999999998</v>
      </c>
      <c r="G137" s="61">
        <f>IF(FT!B137&lt;&gt;"",FT!B137*100,"")</f>
        <v>47.657400000000003</v>
      </c>
      <c r="H137" s="61">
        <f t="shared" si="13"/>
        <v>1</v>
      </c>
      <c r="I137" t="str">
        <f>IF(FT!B137&lt;&gt;"",FT!E137,"")</f>
        <v>2 [54.859471]</v>
      </c>
      <c r="J137">
        <f>IF(FT!B137&lt;&gt;"",FT!C137,"")</f>
        <v>54.859499999999997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4.0381400000000003</v>
      </c>
      <c r="G138" s="61">
        <f>IF(FT!B138&lt;&gt;"",FT!B138*100,"")</f>
        <v>47.821399999999997</v>
      </c>
      <c r="H138" s="61">
        <f t="shared" si="13"/>
        <v>1</v>
      </c>
      <c r="I138" t="str">
        <f>IF(FT!B138&lt;&gt;"",FT!E138,"")</f>
        <v>2 [55.272283]</v>
      </c>
      <c r="J138">
        <f>IF(FT!B138&lt;&gt;"",FT!C138,"")</f>
        <v>55.272300000000001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109848</v>
      </c>
      <c r="D139" s="61">
        <f>FH!B139*1</f>
        <v>109848</v>
      </c>
      <c r="E139">
        <f t="shared" si="15"/>
        <v>137</v>
      </c>
      <c r="F139" s="61">
        <f>IF(FT!A139&lt;&gt;"",FT!A139*10,"")</f>
        <v>4.0459499999999995</v>
      </c>
      <c r="G139" s="61">
        <f>IF(FT!B139&lt;&gt;"",FT!B139*100,"")</f>
        <v>47.9529</v>
      </c>
      <c r="H139" s="61">
        <f t="shared" si="13"/>
        <v>1</v>
      </c>
      <c r="I139" t="str">
        <f>IF(FT!B139&lt;&gt;"",FT!E139,"")</f>
        <v>2 [55.675507]</v>
      </c>
      <c r="J139">
        <f>IF(FT!B139&lt;&gt;"",FT!C139,"")</f>
        <v>55.6755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4.0522999999999998</v>
      </c>
      <c r="G140" s="61">
        <f>IF(FT!B140&lt;&gt;"",FT!B140*100,"")</f>
        <v>47.999700000000004</v>
      </c>
      <c r="H140" s="61">
        <f t="shared" si="13"/>
        <v>1</v>
      </c>
      <c r="I140" t="str">
        <f>IF(FT!B140&lt;&gt;"",FT!E140,"")</f>
        <v>2 [56.081288]</v>
      </c>
      <c r="J140">
        <f>IF(FT!B140&lt;&gt;"",FT!C140,"")</f>
        <v>56.081299999999999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4.0524300000000002</v>
      </c>
      <c r="G141" s="61">
        <f>IF(FT!B141&lt;&gt;"",FT!B141*100,"")</f>
        <v>47.898800000000001</v>
      </c>
      <c r="H141" s="61">
        <f t="shared" si="13"/>
        <v>1</v>
      </c>
      <c r="I141" t="str">
        <f>IF(FT!B141&lt;&gt;"",FT!E141,"")</f>
        <v>2 [56.485376]</v>
      </c>
      <c r="J141">
        <f>IF(FT!B141&lt;&gt;"",FT!C141,"")</f>
        <v>56.485399999999998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94013</v>
      </c>
      <c r="D142" s="61">
        <f>FH!B142*1</f>
        <v>94013</v>
      </c>
      <c r="E142">
        <f t="shared" si="15"/>
        <v>140</v>
      </c>
      <c r="F142" s="61">
        <f>IF(FT!A142&lt;&gt;"",FT!A142*10,"")</f>
        <v>4.0524300000000002</v>
      </c>
      <c r="G142" s="61">
        <f>IF(FT!B142&lt;&gt;"",FT!B142*100,"")</f>
        <v>47.787700000000001</v>
      </c>
      <c r="H142" s="61">
        <f t="shared" si="13"/>
        <v>1</v>
      </c>
      <c r="I142" t="str">
        <f>IF(FT!B142&lt;&gt;"",FT!E142,"")</f>
        <v>2 [56.894364]</v>
      </c>
      <c r="J142">
        <f>IF(FT!B142&lt;&gt;"",FT!C142,"")</f>
        <v>56.894399999999997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4.0559500000000002</v>
      </c>
      <c r="G143" s="61">
        <f>IF(FT!B143&lt;&gt;"",FT!B143*100,"")</f>
        <v>47.710099999999997</v>
      </c>
      <c r="H143" s="61">
        <f t="shared" si="13"/>
        <v>1</v>
      </c>
      <c r="I143" t="str">
        <f>IF(FT!B143&lt;&gt;"",FT!E143,"")</f>
        <v>2 [57.298187]</v>
      </c>
      <c r="J143">
        <f>IF(FT!B143&lt;&gt;"",FT!C143,"")</f>
        <v>57.298200000000001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86197</v>
      </c>
      <c r="D144" s="61">
        <f>FH!B144*1</f>
        <v>86197</v>
      </c>
      <c r="E144">
        <f t="shared" si="15"/>
        <v>142</v>
      </c>
      <c r="F144" s="61">
        <f>IF(FT!A144&lt;&gt;"",FT!A144*10,"")</f>
        <v>4.0705099999999996</v>
      </c>
      <c r="G144" s="61">
        <f>IF(FT!B144&lt;&gt;"",FT!B144*100,"")</f>
        <v>47.635599999999997</v>
      </c>
      <c r="H144" s="61">
        <f t="shared" si="13"/>
        <v>1</v>
      </c>
      <c r="I144" t="str">
        <f>IF(FT!B144&lt;&gt;"",FT!E144,"")</f>
        <v>2 [57.707817]</v>
      </c>
      <c r="J144">
        <f>IF(FT!B144&lt;&gt;"",FT!C144,"")</f>
        <v>57.707799999999999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4.0957799999999995</v>
      </c>
      <c r="G145" s="61">
        <f>IF(FT!B145&lt;&gt;"",FT!B145*100,"")</f>
        <v>47.558</v>
      </c>
      <c r="H145" s="61">
        <f t="shared" si="13"/>
        <v>1</v>
      </c>
      <c r="I145" t="str">
        <f>IF(FT!B145&lt;&gt;"",FT!E145,"")</f>
        <v>2 [58.112208]</v>
      </c>
      <c r="J145">
        <f>IF(FT!B145&lt;&gt;"",FT!C145,"")</f>
        <v>58.112200000000001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4.1252499999999994</v>
      </c>
      <c r="G146" s="61">
        <f>IF(FT!B146&lt;&gt;"",FT!B146*100,"")</f>
        <v>47.6036</v>
      </c>
      <c r="H146" s="61">
        <f t="shared" si="13"/>
        <v>1</v>
      </c>
      <c r="I146" t="str">
        <f>IF(FT!B146&lt;&gt;"",FT!E146,"")</f>
        <v>2 [58.514309]</v>
      </c>
      <c r="J146">
        <f>IF(FT!B146&lt;&gt;"",FT!C146,"")</f>
        <v>58.514299999999999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76173</v>
      </c>
      <c r="D147" s="61">
        <f>FH!B147*1</f>
        <v>76173</v>
      </c>
      <c r="E147">
        <f t="shared" si="15"/>
        <v>145</v>
      </c>
      <c r="F147" s="61">
        <f>IF(FT!A147&lt;&gt;"",FT!A147*10,"")</f>
        <v>4.1646300000000007</v>
      </c>
      <c r="G147" s="61">
        <f>IF(FT!B147&lt;&gt;"",FT!B147*100,"")</f>
        <v>47.763399999999997</v>
      </c>
      <c r="H147" s="61">
        <f t="shared" si="13"/>
        <v>1</v>
      </c>
      <c r="I147" t="str">
        <f>IF(FT!B147&lt;&gt;"",FT!E147,"")</f>
        <v>2 [58.925058]</v>
      </c>
      <c r="J147">
        <f>IF(FT!B147&lt;&gt;"",FT!C147,"")</f>
        <v>58.9251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4.1983300000000003</v>
      </c>
      <c r="G148" s="61">
        <f>IF(FT!B148&lt;&gt;"",FT!B148*100,"")</f>
        <v>47.7607</v>
      </c>
      <c r="H148" s="61">
        <f t="shared" si="13"/>
        <v>1</v>
      </c>
      <c r="I148" t="str">
        <f>IF(FT!B148&lt;&gt;"",FT!E148,"")</f>
        <v>2 [59.334177]</v>
      </c>
      <c r="J148">
        <f>IF(FT!B148&lt;&gt;"",FT!C148,"")</f>
        <v>59.334200000000003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59099</v>
      </c>
      <c r="D149" s="61">
        <f>FH!B149*1</f>
        <v>59099</v>
      </c>
      <c r="E149">
        <f t="shared" si="15"/>
        <v>147</v>
      </c>
      <c r="F149" s="61">
        <f>IF(FT!A149&lt;&gt;"",FT!A149*10,"")</f>
        <v>4.2489699999999999</v>
      </c>
      <c r="G149" s="61">
        <f>IF(FT!B149&lt;&gt;"",FT!B149*100,"")</f>
        <v>47.751900000000006</v>
      </c>
      <c r="H149" s="61">
        <f t="shared" si="13"/>
        <v>1</v>
      </c>
      <c r="I149" t="str">
        <f>IF(FT!B149&lt;&gt;"",FT!E149,"")</f>
        <v>2 [59.739789]</v>
      </c>
      <c r="J149">
        <f>IF(FT!B149&lt;&gt;"",FT!C149,"")</f>
        <v>59.739800000000002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45763</v>
      </c>
      <c r="D152" s="61">
        <f>FH!B152*1</f>
        <v>45763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39861</v>
      </c>
      <c r="D154" s="61">
        <f>FH!B154*1</f>
        <v>39861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27390</v>
      </c>
      <c r="D157" s="61">
        <f>FH!B157*1</f>
        <v>27390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20380</v>
      </c>
      <c r="D160" s="61">
        <f>FH!B160*1</f>
        <v>20380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13175</v>
      </c>
      <c r="D162" s="61">
        <f>FH!B162*1</f>
        <v>13175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8260</v>
      </c>
      <c r="D165" s="61">
        <f>FH!B165*1</f>
        <v>8260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5960</v>
      </c>
      <c r="D167" s="61">
        <f>FH!B167*1</f>
        <v>5960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6830</v>
      </c>
      <c r="D170" s="61">
        <f>FH!B170*1</f>
        <v>6830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6581</v>
      </c>
      <c r="D173" s="61">
        <f>FH!B173*1</f>
        <v>6581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4603</v>
      </c>
      <c r="D175" s="61">
        <f>FH!B175*1</f>
        <v>4603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2522</v>
      </c>
      <c r="D178" s="61">
        <f>FH!B178*1</f>
        <v>2522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949</v>
      </c>
      <c r="D180" s="61">
        <f>FH!B180*1</f>
        <v>949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1618</v>
      </c>
      <c r="D183" s="61">
        <f>FH!B183*1</f>
        <v>1618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1870</v>
      </c>
      <c r="D185" s="61">
        <f>FH!B185*1</f>
        <v>1870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2110</v>
      </c>
      <c r="D188" s="61">
        <f>FH!B188*1</f>
        <v>2110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257</v>
      </c>
      <c r="D191" s="61">
        <f>FH!B191*1</f>
        <v>257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223</v>
      </c>
      <c r="D193" s="61">
        <f>FH!B193*1</f>
        <v>223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323</v>
      </c>
      <c r="D196" s="61">
        <f>FH!B196*1</f>
        <v>323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188</v>
      </c>
      <c r="D198" s="61">
        <f>FH!B198*1</f>
        <v>188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144</v>
      </c>
      <c r="D201" s="61">
        <f>FH!B201*1</f>
        <v>144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36.328600000000002</v>
      </c>
      <c r="C5" s="66">
        <v>8.6504399999999997</v>
      </c>
      <c r="D5" s="66">
        <v>23.811699999999998</v>
      </c>
      <c r="E5" s="66">
        <v>20</v>
      </c>
      <c r="F5" s="66">
        <v>12.2814</v>
      </c>
      <c r="G5" s="66">
        <v>50</v>
      </c>
      <c r="H5" s="66">
        <v>51.305599999999998</v>
      </c>
    </row>
    <row r="6" spans="1:8">
      <c r="A6" s="58" t="s">
        <v>303</v>
      </c>
      <c r="B6" s="66">
        <v>30.161300000000001</v>
      </c>
      <c r="C6" s="66">
        <v>3.2343700000000002</v>
      </c>
      <c r="D6" s="66">
        <v>10.723599999999999</v>
      </c>
      <c r="E6" s="66">
        <v>20</v>
      </c>
      <c r="F6" s="66">
        <v>22.363199999999999</v>
      </c>
      <c r="G6" s="66">
        <v>40</v>
      </c>
      <c r="H6" s="66">
        <v>37.131599999999999</v>
      </c>
    </row>
    <row r="7" spans="1:8">
      <c r="A7" s="58" t="s">
        <v>304</v>
      </c>
      <c r="B7" s="66">
        <v>24.3935</v>
      </c>
      <c r="C7" s="66">
        <v>6.8017599999999998</v>
      </c>
      <c r="D7" s="66">
        <v>27.883600000000001</v>
      </c>
      <c r="E7" s="66">
        <v>15</v>
      </c>
      <c r="F7" s="66">
        <v>10.621600000000001</v>
      </c>
      <c r="G7" s="66">
        <v>40</v>
      </c>
      <c r="H7" s="66">
        <v>48.631399999999999</v>
      </c>
    </row>
    <row r="8" spans="1:8">
      <c r="A8" s="58" t="s">
        <v>305</v>
      </c>
      <c r="B8" s="66">
        <v>30.2608</v>
      </c>
      <c r="C8" s="66">
        <v>4.3727400000000003</v>
      </c>
      <c r="D8" s="66">
        <v>14.450200000000001</v>
      </c>
      <c r="E8" s="66">
        <v>20</v>
      </c>
      <c r="F8" s="66">
        <v>16.818300000000001</v>
      </c>
      <c r="G8" s="66">
        <v>50</v>
      </c>
      <c r="H8" s="66">
        <v>40.229900000000001</v>
      </c>
    </row>
    <row r="9" spans="1:8">
      <c r="A9" s="58" t="s">
        <v>306</v>
      </c>
      <c r="B9" s="66">
        <v>69.512900000000002</v>
      </c>
      <c r="C9" s="66">
        <v>8.5746199999999995</v>
      </c>
      <c r="D9" s="66">
        <v>12.3353</v>
      </c>
      <c r="E9" s="66">
        <v>50</v>
      </c>
      <c r="F9" s="66">
        <v>47.497100000000003</v>
      </c>
      <c r="G9" s="66">
        <v>100</v>
      </c>
      <c r="H9" s="66">
        <v>86.081000000000003</v>
      </c>
    </row>
    <row r="10" spans="1:8">
      <c r="A10" s="58" t="s">
        <v>307</v>
      </c>
      <c r="B10" s="66">
        <v>74.3977</v>
      </c>
      <c r="C10" s="66">
        <v>3.7356400000000001</v>
      </c>
      <c r="D10" s="66">
        <v>5.0211800000000002</v>
      </c>
      <c r="E10" s="66">
        <v>40</v>
      </c>
      <c r="F10" s="66">
        <v>67.745199999999997</v>
      </c>
      <c r="G10" s="66">
        <v>100</v>
      </c>
      <c r="H10" s="66">
        <v>84.7453</v>
      </c>
    </row>
    <row r="11" spans="1:8">
      <c r="A11" s="58" t="s">
        <v>308</v>
      </c>
      <c r="B11" s="66">
        <v>24.6738</v>
      </c>
      <c r="C11" s="66">
        <v>5.9176299999999999</v>
      </c>
      <c r="D11" s="66">
        <v>23.9834</v>
      </c>
      <c r="E11" s="66">
        <v>10</v>
      </c>
      <c r="F11" s="66">
        <v>10.8927</v>
      </c>
      <c r="G11" s="66">
        <v>50</v>
      </c>
      <c r="H11" s="66">
        <v>35.8491</v>
      </c>
    </row>
    <row r="12" spans="1:8">
      <c r="A12" s="58" t="s">
        <v>309</v>
      </c>
      <c r="B12" s="66">
        <v>71.527100000000004</v>
      </c>
      <c r="C12" s="66">
        <v>5.5688700000000004</v>
      </c>
      <c r="D12" s="66">
        <v>7.7856800000000002</v>
      </c>
      <c r="E12" s="66">
        <v>50</v>
      </c>
      <c r="F12" s="66">
        <v>60.185499999999998</v>
      </c>
      <c r="G12" s="66">
        <v>100</v>
      </c>
      <c r="H12" s="66">
        <v>84.7607</v>
      </c>
    </row>
    <row r="13" spans="1:8">
      <c r="A13" s="58" t="s">
        <v>310</v>
      </c>
      <c r="B13" s="66">
        <v>17.448</v>
      </c>
      <c r="C13" s="66">
        <v>3.5695000000000001</v>
      </c>
      <c r="D13" s="66">
        <v>20.457899999999999</v>
      </c>
      <c r="E13" s="66">
        <v>10</v>
      </c>
      <c r="F13" s="66">
        <v>11.1877</v>
      </c>
      <c r="G13" s="66">
        <v>25</v>
      </c>
      <c r="H13" s="66">
        <v>29.469799999999999</v>
      </c>
    </row>
    <row r="14" spans="1:8">
      <c r="A14" s="58" t="s">
        <v>311</v>
      </c>
      <c r="B14" s="66">
        <v>35.695</v>
      </c>
      <c r="C14" s="66">
        <v>10.5162</v>
      </c>
      <c r="D14" s="66">
        <v>29.461400000000001</v>
      </c>
      <c r="E14" s="66">
        <v>10</v>
      </c>
      <c r="F14" s="66">
        <v>0.26866000000000001</v>
      </c>
      <c r="G14" s="66">
        <v>50</v>
      </c>
      <c r="H14" s="66">
        <v>42.874499999999998</v>
      </c>
    </row>
    <row r="15" spans="1:8">
      <c r="A15" s="58" t="s">
        <v>312</v>
      </c>
      <c r="B15" s="66">
        <v>4.4261399999999999E-2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7.1475800000000006E-2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17.5914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0.53939499999999996</v>
      </c>
      <c r="C18" s="66">
        <v>0.102438</v>
      </c>
      <c r="D18" s="66">
        <v>0.189912</v>
      </c>
      <c r="E18" s="66">
        <v>0</v>
      </c>
      <c r="F18" s="66">
        <v>0.43695699999999998</v>
      </c>
      <c r="G18" s="66">
        <v>0</v>
      </c>
      <c r="H18" s="66">
        <v>0.64183199999999996</v>
      </c>
    </row>
    <row r="19" spans="1:8">
      <c r="A19" s="58" t="s">
        <v>316</v>
      </c>
      <c r="B19" s="66">
        <v>0.60710600000000003</v>
      </c>
      <c r="C19" s="66">
        <v>6.4462500000000006E-2</v>
      </c>
      <c r="D19" s="66">
        <v>0.10618</v>
      </c>
      <c r="E19" s="66">
        <v>0</v>
      </c>
      <c r="F19" s="66">
        <v>0.54264400000000002</v>
      </c>
      <c r="G19" s="66">
        <v>0</v>
      </c>
      <c r="H19" s="66">
        <v>0.67156899999999997</v>
      </c>
    </row>
    <row r="20" spans="1:8">
      <c r="A20" s="58" t="s">
        <v>317</v>
      </c>
      <c r="B20" s="66">
        <v>1.38897E-3</v>
      </c>
      <c r="C20" s="66">
        <v>3.01009E-2</v>
      </c>
      <c r="D20" s="66">
        <v>21.671299999999999</v>
      </c>
      <c r="E20" s="66">
        <v>0</v>
      </c>
      <c r="F20" s="66">
        <v>0</v>
      </c>
      <c r="G20" s="66">
        <v>0</v>
      </c>
      <c r="H20" s="66">
        <v>0.29446800000000001</v>
      </c>
    </row>
    <row r="21" spans="1:8">
      <c r="A21" s="58" t="s">
        <v>318</v>
      </c>
      <c r="B21" s="66">
        <v>0.206569</v>
      </c>
      <c r="C21" s="66">
        <v>0.55296999999999996</v>
      </c>
      <c r="D21" s="66">
        <v>2.67693</v>
      </c>
      <c r="E21" s="66">
        <v>0</v>
      </c>
      <c r="F21" s="66">
        <v>9.7408599999999998E-4</v>
      </c>
      <c r="G21" s="66">
        <v>0</v>
      </c>
      <c r="H21" s="66">
        <v>3.20221</v>
      </c>
    </row>
    <row r="22" spans="1:8">
      <c r="A22" s="58" t="s">
        <v>319</v>
      </c>
      <c r="B22" s="66">
        <v>42.269300000000001</v>
      </c>
      <c r="C22" s="66">
        <v>13.415800000000001</v>
      </c>
      <c r="D22" s="66">
        <v>0.31739000000000001</v>
      </c>
      <c r="E22" s="66">
        <v>0</v>
      </c>
      <c r="F22" s="66">
        <v>21.383700000000001</v>
      </c>
      <c r="G22" s="66">
        <v>0</v>
      </c>
      <c r="H22" s="66">
        <v>87.675399999999996</v>
      </c>
    </row>
    <row r="23" spans="1:8">
      <c r="A23" s="58" t="s">
        <v>320</v>
      </c>
      <c r="B23" s="66">
        <v>17.497</v>
      </c>
      <c r="C23" s="66">
        <v>5.2321999999999997</v>
      </c>
      <c r="D23" s="66">
        <v>0.299035</v>
      </c>
      <c r="E23" s="66">
        <v>0</v>
      </c>
      <c r="F23" s="66">
        <v>11.026899999999999</v>
      </c>
      <c r="G23" s="66">
        <v>0</v>
      </c>
      <c r="H23" s="66">
        <v>34.767800000000001</v>
      </c>
    </row>
    <row r="24" spans="1:8">
      <c r="A24" s="58" t="s">
        <v>321</v>
      </c>
      <c r="B24" s="66">
        <v>5.6212199999999997E-3</v>
      </c>
      <c r="C24" s="66">
        <v>2.4595700000000002E-2</v>
      </c>
      <c r="D24" s="66">
        <v>4.3755100000000002</v>
      </c>
      <c r="E24" s="66">
        <v>0</v>
      </c>
      <c r="F24" s="196">
        <v>1.5976300000000002E-5</v>
      </c>
      <c r="G24" s="66">
        <v>0</v>
      </c>
      <c r="H24" s="66">
        <v>0.20036200000000001</v>
      </c>
    </row>
    <row r="25" spans="1:8">
      <c r="A25" s="58" t="s">
        <v>322</v>
      </c>
      <c r="B25" s="66">
        <v>0.24038000000000001</v>
      </c>
      <c r="C25" s="66">
        <v>0.37106800000000001</v>
      </c>
      <c r="D25" s="66">
        <v>1.5436700000000001</v>
      </c>
      <c r="E25" s="66">
        <v>0</v>
      </c>
      <c r="F25" s="66">
        <v>2.1449900000000001E-2</v>
      </c>
      <c r="G25" s="66">
        <v>0</v>
      </c>
      <c r="H25" s="66">
        <v>1.7278</v>
      </c>
    </row>
    <row r="26" spans="1:8">
      <c r="A26" s="58" t="s">
        <v>323</v>
      </c>
      <c r="B26" s="66">
        <v>5.7116600000000001E-4</v>
      </c>
      <c r="C26" s="66">
        <v>4.4375500000000002E-3</v>
      </c>
      <c r="D26" s="66">
        <v>7.7692699999999997</v>
      </c>
      <c r="E26" s="66">
        <v>0</v>
      </c>
      <c r="F26" s="66">
        <v>0</v>
      </c>
      <c r="G26" s="66">
        <v>0</v>
      </c>
      <c r="H26" s="66">
        <v>3.4870699999999998E-2</v>
      </c>
    </row>
    <row r="27" spans="1:8">
      <c r="A27" s="58" t="s">
        <v>324</v>
      </c>
      <c r="B27" s="196">
        <v>-8.2063499999999998E-6</v>
      </c>
      <c r="C27" s="66">
        <v>1.6435099999999999E-3</v>
      </c>
      <c r="D27" s="66">
        <v>-200.273</v>
      </c>
      <c r="E27" s="66">
        <v>0</v>
      </c>
      <c r="F27" s="66">
        <v>-1.40494E-2</v>
      </c>
      <c r="G27" s="66">
        <v>0</v>
      </c>
      <c r="H27" s="66">
        <v>1.8779500000000001E-2</v>
      </c>
    </row>
    <row r="28" spans="1:8">
      <c r="A28" s="58" t="s">
        <v>325</v>
      </c>
      <c r="B28" s="66">
        <v>2.4993499999999998E-2</v>
      </c>
      <c r="C28" s="66">
        <v>3.80442E-2</v>
      </c>
      <c r="D28" s="66">
        <v>1.52216</v>
      </c>
      <c r="E28" s="66">
        <v>0</v>
      </c>
      <c r="F28" s="66">
        <v>3.25521E-4</v>
      </c>
      <c r="G28" s="66">
        <v>0</v>
      </c>
      <c r="H28" s="66">
        <v>0.182529</v>
      </c>
    </row>
    <row r="29" spans="1:8">
      <c r="A29" s="58" t="s">
        <v>326</v>
      </c>
      <c r="B29" s="66">
        <v>73.230500000000006</v>
      </c>
      <c r="C29" s="66">
        <v>8.8314699999999995</v>
      </c>
      <c r="D29" s="66">
        <v>0.120598</v>
      </c>
      <c r="E29" s="66">
        <v>0</v>
      </c>
      <c r="F29" s="66">
        <v>51.889400000000002</v>
      </c>
      <c r="G29" s="66">
        <v>0</v>
      </c>
      <c r="H29" s="66">
        <v>99.286799999999999</v>
      </c>
    </row>
    <row r="30" spans="1:8">
      <c r="A30" s="58" t="s">
        <v>327</v>
      </c>
      <c r="B30" s="66">
        <v>27.114899999999999</v>
      </c>
      <c r="C30" s="66">
        <v>6.8720999999999997</v>
      </c>
      <c r="D30" s="66">
        <v>0.253444</v>
      </c>
      <c r="E30" s="66">
        <v>0</v>
      </c>
      <c r="F30" s="66">
        <v>12.5609</v>
      </c>
      <c r="G30" s="66">
        <v>0</v>
      </c>
      <c r="H30" s="66">
        <v>44.823799999999999</v>
      </c>
    </row>
    <row r="31" spans="1:8">
      <c r="A31" s="58" t="s">
        <v>328</v>
      </c>
      <c r="B31" s="66">
        <v>171.57900000000001</v>
      </c>
      <c r="C31" s="66">
        <v>44.652500000000003</v>
      </c>
      <c r="D31" s="66">
        <v>0.260245</v>
      </c>
      <c r="E31" s="66">
        <v>0</v>
      </c>
      <c r="F31" s="66">
        <v>62.860999999999997</v>
      </c>
      <c r="G31" s="66">
        <v>0</v>
      </c>
      <c r="H31" s="66">
        <v>225.17099999999999</v>
      </c>
    </row>
    <row r="32" spans="1:8">
      <c r="A32" s="58" t="s">
        <v>329</v>
      </c>
      <c r="B32" s="66">
        <v>0.24393500000000001</v>
      </c>
      <c r="C32" s="66">
        <v>6.8017599999999998E-2</v>
      </c>
      <c r="D32" s="66">
        <v>0.27883599999999997</v>
      </c>
      <c r="E32" s="66">
        <v>0.15</v>
      </c>
      <c r="F32" s="66">
        <v>0.106216</v>
      </c>
      <c r="G32" s="66">
        <v>0.4</v>
      </c>
      <c r="H32" s="66">
        <v>0.48631400000000002</v>
      </c>
    </row>
    <row r="33" spans="1:8">
      <c r="A33" s="58" t="s">
        <v>330</v>
      </c>
      <c r="B33" s="66">
        <v>0.36916900000000002</v>
      </c>
      <c r="C33" s="66">
        <v>4.7659100000000003E-2</v>
      </c>
      <c r="D33" s="66">
        <v>0.12909799999999999</v>
      </c>
      <c r="E33" s="66">
        <v>0</v>
      </c>
      <c r="F33" s="66">
        <v>0.24660299999999999</v>
      </c>
      <c r="G33" s="66">
        <v>0</v>
      </c>
      <c r="H33" s="66">
        <v>0.41048800000000002</v>
      </c>
    </row>
    <row r="34" spans="1:8">
      <c r="A34" s="58" t="s">
        <v>331</v>
      </c>
      <c r="B34" s="66">
        <v>0.17448</v>
      </c>
      <c r="C34" s="66">
        <v>3.5694999999999998E-2</v>
      </c>
      <c r="D34" s="66">
        <v>0.20457900000000001</v>
      </c>
      <c r="E34" s="66">
        <v>0.1</v>
      </c>
      <c r="F34" s="66">
        <v>0.111877</v>
      </c>
      <c r="G34" s="66">
        <v>0.25</v>
      </c>
      <c r="H34" s="66">
        <v>0.29469800000000002</v>
      </c>
    </row>
    <row r="35" spans="1:8">
      <c r="A35" s="58" t="s">
        <v>332</v>
      </c>
      <c r="B35" s="66">
        <v>7.9553600000000002E-2</v>
      </c>
      <c r="C35" s="66">
        <v>3.0394999999999998E-2</v>
      </c>
      <c r="D35" s="66">
        <v>0.38206899999999999</v>
      </c>
      <c r="E35" s="66">
        <v>0</v>
      </c>
      <c r="F35" s="66">
        <v>1.02632E-2</v>
      </c>
      <c r="G35" s="66">
        <v>0</v>
      </c>
      <c r="H35" s="66">
        <v>0.18187400000000001</v>
      </c>
    </row>
    <row r="36" spans="1:8">
      <c r="A36" s="58" t="s">
        <v>333</v>
      </c>
      <c r="B36" s="66">
        <v>0.14693200000000001</v>
      </c>
      <c r="C36" s="66">
        <v>9.4321199999999994E-2</v>
      </c>
      <c r="D36" s="66">
        <v>0.64193800000000001</v>
      </c>
      <c r="E36" s="66">
        <v>0</v>
      </c>
      <c r="F36" s="66">
        <v>3.4279299999999999E-2</v>
      </c>
      <c r="G36" s="66">
        <v>0</v>
      </c>
      <c r="H36" s="66">
        <v>0.61250400000000005</v>
      </c>
    </row>
    <row r="37" spans="1:8">
      <c r="A37" s="58" t="s">
        <v>334</v>
      </c>
      <c r="B37" s="66">
        <v>0.35694999999999999</v>
      </c>
      <c r="C37" s="66">
        <v>0.10516200000000001</v>
      </c>
      <c r="D37" s="66">
        <v>0.29461399999999999</v>
      </c>
      <c r="E37" s="66">
        <v>0.1</v>
      </c>
      <c r="F37" s="66">
        <v>2.6865999999999999E-3</v>
      </c>
      <c r="G37" s="66">
        <v>0.5</v>
      </c>
      <c r="H37" s="66">
        <v>0.42874499999999999</v>
      </c>
    </row>
    <row r="38" spans="1:8">
      <c r="A38" s="58" t="s">
        <v>335</v>
      </c>
      <c r="B38" s="66">
        <v>-33.5824</v>
      </c>
      <c r="C38" s="66">
        <v>48.464399999999998</v>
      </c>
      <c r="D38" s="66">
        <v>-1.4431499999999999</v>
      </c>
      <c r="E38" s="66">
        <v>0</v>
      </c>
      <c r="F38" s="66">
        <v>-236.05699999999999</v>
      </c>
      <c r="G38" s="66">
        <v>0</v>
      </c>
      <c r="H38" s="66">
        <v>152.59100000000001</v>
      </c>
    </row>
    <row r="39" spans="1:8">
      <c r="A39" s="58" t="s">
        <v>336</v>
      </c>
      <c r="B39" s="66">
        <v>-14.8192</v>
      </c>
      <c r="C39" s="66">
        <v>7.2876899999999996</v>
      </c>
      <c r="D39" s="66">
        <v>-0.49177500000000002</v>
      </c>
      <c r="E39" s="66">
        <v>0</v>
      </c>
      <c r="F39" s="66">
        <v>-31.8032</v>
      </c>
      <c r="G39" s="66">
        <v>0</v>
      </c>
      <c r="H39" s="66">
        <v>3.2940800000000001</v>
      </c>
    </row>
    <row r="40" spans="1:8">
      <c r="A40" s="58" t="s">
        <v>337</v>
      </c>
      <c r="B40" s="66">
        <v>-6.5108100000000002</v>
      </c>
      <c r="C40" s="66">
        <v>1.2739199999999999</v>
      </c>
      <c r="D40" s="66">
        <v>-0.195662</v>
      </c>
      <c r="E40" s="66">
        <v>0</v>
      </c>
      <c r="F40" s="66">
        <v>-9.2568199999999994</v>
      </c>
      <c r="G40" s="66">
        <v>0</v>
      </c>
      <c r="H40" s="66">
        <v>-3.6883900000000001</v>
      </c>
    </row>
    <row r="41" spans="1:8">
      <c r="A41" s="58" t="s">
        <v>338</v>
      </c>
      <c r="B41" s="66">
        <v>-0.212121</v>
      </c>
      <c r="C41" s="66">
        <v>0.26965</v>
      </c>
      <c r="D41" s="66">
        <v>-1.27121</v>
      </c>
      <c r="E41" s="66">
        <v>0</v>
      </c>
      <c r="F41" s="66">
        <v>-0.96387500000000004</v>
      </c>
      <c r="G41" s="66">
        <v>0</v>
      </c>
      <c r="H41" s="66">
        <v>0.97802199999999995</v>
      </c>
    </row>
    <row r="42" spans="1:8">
      <c r="A42" s="58" t="s">
        <v>339</v>
      </c>
      <c r="B42" s="66">
        <v>-0.27864499999999998</v>
      </c>
      <c r="C42" s="66">
        <v>9.75998E-2</v>
      </c>
      <c r="D42" s="66">
        <v>-0.35026600000000002</v>
      </c>
      <c r="E42" s="66">
        <v>0</v>
      </c>
      <c r="F42" s="66">
        <v>-0.47478199999999998</v>
      </c>
      <c r="G42" s="66">
        <v>0</v>
      </c>
      <c r="H42" s="66">
        <v>6.6702800000000007E-2</v>
      </c>
    </row>
    <row r="43" spans="1:8">
      <c r="A43" s="58" t="s">
        <v>340</v>
      </c>
      <c r="B43" s="66">
        <v>-0.19459099999999999</v>
      </c>
      <c r="C43" s="66">
        <v>7.2760400000000003E-2</v>
      </c>
      <c r="D43" s="66">
        <v>-0.373915</v>
      </c>
      <c r="E43" s="66">
        <v>0</v>
      </c>
      <c r="F43" s="66">
        <v>-0.32664100000000001</v>
      </c>
      <c r="G43" s="66">
        <v>0</v>
      </c>
      <c r="H43" s="66">
        <v>-2.99718E-2</v>
      </c>
    </row>
    <row r="44" spans="1:8">
      <c r="A44" s="58" t="s">
        <v>341</v>
      </c>
      <c r="B44" s="66">
        <v>-13.928699999999999</v>
      </c>
      <c r="C44" s="66">
        <v>21.973400000000002</v>
      </c>
      <c r="D44" s="66">
        <v>-1.5775600000000001</v>
      </c>
      <c r="E44" s="66">
        <v>0</v>
      </c>
      <c r="F44" s="66">
        <v>-59.346699999999998</v>
      </c>
      <c r="G44" s="66">
        <v>0</v>
      </c>
      <c r="H44" s="66">
        <v>17.526800000000001</v>
      </c>
    </row>
    <row r="45" spans="1:8">
      <c r="A45" s="58" t="s">
        <v>342</v>
      </c>
      <c r="B45" s="66">
        <v>44.551600000000001</v>
      </c>
      <c r="C45" s="66">
        <v>7.6616799999999996</v>
      </c>
      <c r="D45" s="66">
        <v>0.17197299999999999</v>
      </c>
      <c r="E45" s="66">
        <v>0</v>
      </c>
      <c r="F45" s="66">
        <v>30.961500000000001</v>
      </c>
      <c r="G45" s="66">
        <v>0</v>
      </c>
      <c r="H45" s="66">
        <v>64.298500000000004</v>
      </c>
    </row>
    <row r="46" spans="1:8">
      <c r="A46" s="58" t="s">
        <v>343</v>
      </c>
      <c r="B46" s="66">
        <v>26.537199999999999</v>
      </c>
      <c r="C46" s="66">
        <v>6.4661799999999996</v>
      </c>
      <c r="D46" s="66">
        <v>0.24366399999999999</v>
      </c>
      <c r="E46" s="66">
        <v>0</v>
      </c>
      <c r="F46" s="66">
        <v>8.1532599999999995</v>
      </c>
      <c r="G46" s="66">
        <v>0</v>
      </c>
      <c r="H46" s="66">
        <v>36.004600000000003</v>
      </c>
    </row>
    <row r="47" spans="1:8">
      <c r="A47" s="58" t="s">
        <v>344</v>
      </c>
      <c r="B47" s="66">
        <v>1.6401699999999999</v>
      </c>
      <c r="C47" s="66">
        <v>0.75369600000000003</v>
      </c>
      <c r="D47" s="66">
        <v>0.45952199999999999</v>
      </c>
      <c r="E47" s="66">
        <v>0</v>
      </c>
      <c r="F47" s="66">
        <v>0.692353</v>
      </c>
      <c r="G47" s="66">
        <v>0</v>
      </c>
      <c r="H47" s="66">
        <v>4.9260900000000003</v>
      </c>
    </row>
    <row r="48" spans="1:8">
      <c r="A48" s="58" t="s">
        <v>345</v>
      </c>
      <c r="B48" s="66">
        <v>1.0926199999999999</v>
      </c>
      <c r="C48" s="66">
        <v>0.32708900000000002</v>
      </c>
      <c r="D48" s="66">
        <v>0.29936200000000002</v>
      </c>
      <c r="E48" s="66">
        <v>0</v>
      </c>
      <c r="F48" s="66">
        <v>0.579233</v>
      </c>
      <c r="G48" s="66">
        <v>0</v>
      </c>
      <c r="H48" s="66">
        <v>1.82985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7.0244</v>
      </c>
      <c r="C5" s="66">
        <f>'M2'!C5-'M1'!C5</f>
        <v>-7.018349999999999</v>
      </c>
      <c r="D5" s="66">
        <f>'M2'!D5-'M1'!D5</f>
        <v>-24.654999999999998</v>
      </c>
      <c r="E5" s="66">
        <f>'M2'!E5-'M1'!E5</f>
        <v>0</v>
      </c>
      <c r="F5" s="66">
        <f>'M2'!F5-'M1'!F5</f>
        <v>18.598100000000002</v>
      </c>
      <c r="G5" s="66">
        <f>'M2'!G5-'M1'!G5</f>
        <v>0</v>
      </c>
      <c r="H5" s="66">
        <f>'M2'!H5-'M1'!H5</f>
        <v>-3.5471999999999966</v>
      </c>
    </row>
    <row r="6" spans="1:8">
      <c r="A6" s="66" t="s">
        <v>244</v>
      </c>
      <c r="B6" s="66">
        <f>'M2'!B6-'M1'!B6</f>
        <v>2.1282999999999994</v>
      </c>
      <c r="C6" s="66">
        <f>'M2'!C6-'M1'!C6</f>
        <v>-0.31116999999999972</v>
      </c>
      <c r="D6" s="66">
        <f>'M2'!D6-'M1'!D6</f>
        <v>-1.5822700000000003</v>
      </c>
      <c r="E6" s="66">
        <f>'M2'!E6-'M1'!E6</f>
        <v>0</v>
      </c>
      <c r="F6" s="66">
        <f>'M2'!F6-'M1'!F6</f>
        <v>6.6137000000000015</v>
      </c>
      <c r="G6" s="66">
        <f>'M2'!G6-'M1'!G6</f>
        <v>0</v>
      </c>
      <c r="H6" s="66">
        <f>'M2'!H6-'M1'!H6</f>
        <v>5.9813999999999972</v>
      </c>
    </row>
    <row r="7" spans="1:8">
      <c r="A7" s="66" t="s">
        <v>245</v>
      </c>
      <c r="B7" s="66">
        <f>'M2'!B7-'M1'!B7</f>
        <v>-5.9340000000000011</v>
      </c>
      <c r="C7" s="66">
        <f>'M2'!C7-'M1'!C7</f>
        <v>2.1480899999999998</v>
      </c>
      <c r="D7" s="66">
        <f>'M2'!D7-'M1'!D7</f>
        <v>14.847299999999997</v>
      </c>
      <c r="E7" s="66">
        <f>'M2'!E7-'M1'!E7</f>
        <v>0</v>
      </c>
      <c r="F7" s="66">
        <f>'M2'!F7-'M1'!F7</f>
        <v>-5.6628000000000007</v>
      </c>
      <c r="G7" s="66">
        <f>'M2'!G7-'M1'!G7</f>
        <v>0</v>
      </c>
      <c r="H7" s="66">
        <f>'M2'!H7-'M1'!H7</f>
        <v>1.3506999999999962</v>
      </c>
    </row>
    <row r="8" spans="1:8">
      <c r="A8" s="66" t="s">
        <v>246</v>
      </c>
      <c r="B8" s="66">
        <f>'M2'!B8-'M1'!B8</f>
        <v>2.8742000000000019</v>
      </c>
      <c r="C8" s="66">
        <f>'M2'!C8-'M1'!C8</f>
        <v>-2.3922499999999998</v>
      </c>
      <c r="D8" s="66">
        <f>'M2'!D8-'M1'!D8</f>
        <v>-9.5046399999999984</v>
      </c>
      <c r="E8" s="66">
        <f>'M2'!E8-'M1'!E8</f>
        <v>0</v>
      </c>
      <c r="F8" s="66">
        <f>'M2'!F8-'M1'!F8</f>
        <v>10.591999999999999</v>
      </c>
      <c r="G8" s="66">
        <f>'M2'!G8-'M1'!G8</f>
        <v>0</v>
      </c>
      <c r="H8" s="66">
        <f>'M2'!H8-'M1'!H8</f>
        <v>2.7135999999999996</v>
      </c>
    </row>
    <row r="9" spans="1:8">
      <c r="A9" s="66" t="s">
        <v>247</v>
      </c>
      <c r="B9" s="66">
        <f>'M2'!B9-'M1'!B9</f>
        <v>-4.9142000000000081</v>
      </c>
      <c r="C9" s="66">
        <f>'M2'!C9-'M1'!C9</f>
        <v>-4.8920899999999996</v>
      </c>
      <c r="D9" s="66">
        <f>'M2'!D9-'M1'!D9</f>
        <v>-6.1145600000000009</v>
      </c>
      <c r="E9" s="66">
        <f>'M2'!E9-'M1'!E9</f>
        <v>0</v>
      </c>
      <c r="F9" s="66">
        <f>'M2'!F9-'M1'!F9</f>
        <v>8.320299999999996</v>
      </c>
      <c r="G9" s="66">
        <f>'M2'!G9-'M1'!G9</f>
        <v>0</v>
      </c>
      <c r="H9" s="66">
        <f>'M2'!H9-'M1'!H9</f>
        <v>-6.3055999999999983</v>
      </c>
    </row>
    <row r="10" spans="1:8">
      <c r="A10" s="66" t="s">
        <v>248</v>
      </c>
      <c r="B10" s="66">
        <f>'M2'!B10-'M1'!B10</f>
        <v>-1.8198000000000008</v>
      </c>
      <c r="C10" s="66">
        <f>'M2'!C10-'M1'!C10</f>
        <v>-2.1053299999999999</v>
      </c>
      <c r="D10" s="66">
        <f>'M2'!D10-'M1'!D10</f>
        <v>-2.7197</v>
      </c>
      <c r="E10" s="66">
        <f>'M2'!E10-'M1'!E10</f>
        <v>0</v>
      </c>
      <c r="F10" s="66">
        <f>'M2'!F10-'M1'!F10</f>
        <v>-3.3619000000000057</v>
      </c>
      <c r="G10" s="66">
        <f>'M2'!G10-'M1'!G10</f>
        <v>0</v>
      </c>
      <c r="H10" s="66">
        <f>'M2'!H10-'M1'!H10</f>
        <v>-9.1680000000000064</v>
      </c>
    </row>
    <row r="11" spans="1:8">
      <c r="A11" s="66" t="s">
        <v>249</v>
      </c>
      <c r="B11" s="66">
        <f>'M2'!B11-'M1'!B11</f>
        <v>5.2688000000000024</v>
      </c>
      <c r="C11" s="66">
        <f>'M2'!C11-'M1'!C11</f>
        <v>-3.3820000000000001</v>
      </c>
      <c r="D11" s="66">
        <f>'M2'!D11-'M1'!D11</f>
        <v>-19.620000000000005</v>
      </c>
      <c r="E11" s="66">
        <f>'M2'!E11-'M1'!E11</f>
        <v>0</v>
      </c>
      <c r="F11" s="66">
        <f>'M2'!F11-'M1'!F11</f>
        <v>8.8558000000000003</v>
      </c>
      <c r="G11" s="66">
        <f>'M2'!G11-'M1'!G11</f>
        <v>0</v>
      </c>
      <c r="H11" s="66">
        <f>'M2'!H11-'M1'!H11</f>
        <v>-1.2475999999999985</v>
      </c>
    </row>
    <row r="12" spans="1:8">
      <c r="A12" s="66" t="s">
        <v>250</v>
      </c>
      <c r="B12" s="66">
        <f>'M2'!B12-'M1'!B12</f>
        <v>-3.7222000000000008</v>
      </c>
      <c r="C12" s="66">
        <f>'M2'!C12-'M1'!C12</f>
        <v>-4.0607199999999999</v>
      </c>
      <c r="D12" s="66">
        <f>'M2'!D12-'M1'!D12</f>
        <v>-5.273270000000001</v>
      </c>
      <c r="E12" s="66">
        <f>'M2'!E12-'M1'!E12</f>
        <v>0</v>
      </c>
      <c r="F12" s="66">
        <f>'M2'!F12-'M1'!F12</f>
        <v>4.8403999999999954</v>
      </c>
      <c r="G12" s="66">
        <f>'M2'!G12-'M1'!G12</f>
        <v>0</v>
      </c>
      <c r="H12" s="66">
        <f>'M2'!H12-'M1'!H12</f>
        <v>-7.8027000000000015</v>
      </c>
    </row>
    <row r="13" spans="1:8">
      <c r="A13" s="66" t="s">
        <v>251</v>
      </c>
      <c r="B13" s="66">
        <f>'M2'!B13-'M1'!B13</f>
        <v>2.1410000000000018</v>
      </c>
      <c r="C13" s="66">
        <f>'M2'!C13-'M1'!C13</f>
        <v>1.4173499999999999</v>
      </c>
      <c r="D13" s="66">
        <f>'M2'!D13-'M1'!D13</f>
        <v>5.7149000000000001</v>
      </c>
      <c r="E13" s="66">
        <f>'M2'!E13-'M1'!E13</f>
        <v>0</v>
      </c>
      <c r="F13" s="66">
        <f>'M2'!F13-'M1'!F13</f>
        <v>-0.69480000000000075</v>
      </c>
      <c r="G13" s="66">
        <f>'M2'!G13-'M1'!G13</f>
        <v>0</v>
      </c>
      <c r="H13" s="66">
        <f>'M2'!H13-'M1'!H13</f>
        <v>7.8655000000000008</v>
      </c>
    </row>
    <row r="14" spans="1:8">
      <c r="A14" s="66" t="s">
        <v>252</v>
      </c>
      <c r="B14" s="66">
        <f>'M2'!B14-'M1'!B14</f>
        <v>14.173500000000001</v>
      </c>
      <c r="C14" s="66">
        <f>'M2'!C14-'M1'!C14</f>
        <v>3.0215700000000005</v>
      </c>
      <c r="D14" s="66">
        <f>'M2'!D14-'M1'!D14</f>
        <v>-2.9174000000000007</v>
      </c>
      <c r="E14" s="66">
        <f>'M2'!E14-'M1'!E14</f>
        <v>0</v>
      </c>
      <c r="F14" s="66">
        <f>'M2'!F14-'M1'!F14</f>
        <v>1.0211700000000001</v>
      </c>
      <c r="G14" s="66">
        <f>'M2'!G14-'M1'!G14</f>
        <v>0</v>
      </c>
      <c r="H14" s="66">
        <f>'M2'!H14-'M1'!H14</f>
        <v>14.765299999999996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-3.5609000000000002E-2</v>
      </c>
      <c r="C18" s="66">
        <f>'M2'!C18-'M1'!C18</f>
        <v>0.102438</v>
      </c>
      <c r="D18" s="66">
        <f>'M2'!D18-'M1'!D18</f>
        <v>0.189912</v>
      </c>
      <c r="E18" s="66">
        <f>'M2'!E18-'M1'!E18</f>
        <v>0</v>
      </c>
      <c r="F18" s="66">
        <f>'M2'!F18-'M1'!F18</f>
        <v>0.43695699999999998</v>
      </c>
      <c r="G18" s="66">
        <f>'M2'!G18-'M1'!G18</f>
        <v>0</v>
      </c>
      <c r="H18" s="66">
        <f>'M2'!H18-'M1'!H18</f>
        <v>0.64183199999999996</v>
      </c>
    </row>
    <row r="19" spans="1:8">
      <c r="A19" s="66" t="s">
        <v>256</v>
      </c>
      <c r="B19" s="66">
        <f>'M2'!B19-'M1'!B19</f>
        <v>7.2088000000000041E-2</v>
      </c>
      <c r="C19" s="66">
        <f>'M2'!C19-'M1'!C19</f>
        <v>6.4462500000000006E-2</v>
      </c>
      <c r="D19" s="66">
        <f>'M2'!D19-'M1'!D19</f>
        <v>0.10618</v>
      </c>
      <c r="E19" s="66">
        <f>'M2'!E19-'M1'!E19</f>
        <v>0</v>
      </c>
      <c r="F19" s="66">
        <f>'M2'!F19-'M1'!F19</f>
        <v>0.54264400000000002</v>
      </c>
      <c r="G19" s="66">
        <f>'M2'!G19-'M1'!G19</f>
        <v>0</v>
      </c>
      <c r="H19" s="66">
        <f>'M2'!H19-'M1'!H19</f>
        <v>0.67156899999999997</v>
      </c>
    </row>
    <row r="20" spans="1:8">
      <c r="A20" s="66" t="s">
        <v>63</v>
      </c>
      <c r="B20" s="66">
        <f>'M2'!B20-'M1'!B20</f>
        <v>4.3983630000000006E-3</v>
      </c>
      <c r="C20" s="66">
        <f>'M2'!C20-'M1'!C20</f>
        <v>2.5598000000000003E-2</v>
      </c>
      <c r="D20" s="66">
        <f>'M2'!D20-'M1'!D20</f>
        <v>-17.202809999999999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0.18629200000000001</v>
      </c>
    </row>
    <row r="21" spans="1:8">
      <c r="A21" s="66" t="s">
        <v>64</v>
      </c>
      <c r="B21" s="66">
        <f>'M2'!B21-'M1'!B21</f>
        <v>0.21625099999999997</v>
      </c>
      <c r="C21" s="66">
        <f>'M2'!C21-'M1'!C21</f>
        <v>0.49492799999999998</v>
      </c>
      <c r="D21" s="66">
        <f>'M2'!D21-'M1'!D21</f>
        <v>0.36143999999999998</v>
      </c>
      <c r="E21" s="66">
        <f>'M2'!E21-'M1'!E21</f>
        <v>0</v>
      </c>
      <c r="F21" s="66">
        <f>'M2'!F21-'M1'!F21</f>
        <v>3.6327240000000004E-3</v>
      </c>
      <c r="G21" s="66">
        <f>'M2'!G21-'M1'!G21</f>
        <v>0</v>
      </c>
      <c r="H21" s="66">
        <f>'M2'!H21-'M1'!H21</f>
        <v>2.322336</v>
      </c>
    </row>
    <row r="22" spans="1:8">
      <c r="A22" s="66" t="s">
        <v>65</v>
      </c>
      <c r="B22" s="66">
        <f>'M2'!B22-'M1'!B22</f>
        <v>8.3667999999999978</v>
      </c>
      <c r="C22" s="66">
        <f>'M2'!C22-'M1'!C22</f>
        <v>5.8499099999999995</v>
      </c>
      <c r="D22" s="66">
        <f>'M2'!D22-'M1'!D22</f>
        <v>8.6553000000000019E-2</v>
      </c>
      <c r="E22" s="66">
        <f>'M2'!E22-'M1'!E22</f>
        <v>0</v>
      </c>
      <c r="F22" s="66">
        <f>'M2'!F22-'M1'!F22</f>
        <v>3.8780999999999999</v>
      </c>
      <c r="G22" s="66">
        <f>'M2'!G22-'M1'!G22</f>
        <v>0</v>
      </c>
      <c r="H22" s="66">
        <f>'M2'!H22-'M1'!H22</f>
        <v>32.649699999999996</v>
      </c>
    </row>
    <row r="23" spans="1:8">
      <c r="A23" s="66" t="s">
        <v>66</v>
      </c>
      <c r="B23" s="66">
        <f>'M2'!B23-'M1'!B23</f>
        <v>5.3480000000000008</v>
      </c>
      <c r="C23" s="66">
        <f>'M2'!C23-'M1'!C23</f>
        <v>2.9204699999999999</v>
      </c>
      <c r="D23" s="66">
        <f>'M2'!D23-'M1'!D23</f>
        <v>0.10320699999999999</v>
      </c>
      <c r="E23" s="66">
        <f>'M2'!E23-'M1'!E23</f>
        <v>0</v>
      </c>
      <c r="F23" s="66">
        <f>'M2'!F23-'M1'!F23</f>
        <v>4.1196999999999999</v>
      </c>
      <c r="G23" s="66">
        <f>'M2'!G23-'M1'!G23</f>
        <v>0</v>
      </c>
      <c r="H23" s="66">
        <f>'M2'!H23-'M1'!H23</f>
        <v>15.192800000000002</v>
      </c>
    </row>
    <row r="24" spans="1:8">
      <c r="A24" s="66" t="s">
        <v>67</v>
      </c>
      <c r="B24" s="66">
        <f>'M2'!B24-'M1'!B24</f>
        <v>7.0958200000000001E-3</v>
      </c>
      <c r="C24" s="66">
        <f>'M2'!C24-'M1'!C24</f>
        <v>2.5541299999999996E-2</v>
      </c>
      <c r="D24" s="66">
        <f>'M2'!D24-'M1'!D24</f>
        <v>-0.32847999999999988</v>
      </c>
      <c r="E24" s="66">
        <f>'M2'!E24-'M1'!E24</f>
        <v>0</v>
      </c>
      <c r="F24" s="66">
        <f>'M2'!F24-'M1'!F24</f>
        <v>1.057187E-4</v>
      </c>
      <c r="G24" s="66">
        <f>'M2'!G24-'M1'!G24</f>
        <v>0</v>
      </c>
      <c r="H24" s="66">
        <f>'M2'!H24-'M1'!H24</f>
        <v>0.15045560000000002</v>
      </c>
    </row>
    <row r="25" spans="1:8">
      <c r="A25" s="66" t="s">
        <v>68</v>
      </c>
      <c r="B25" s="66">
        <f>'M2'!B25-'M1'!B25</f>
        <v>0.25779099999999999</v>
      </c>
      <c r="C25" s="66">
        <f>'M2'!C25-'M1'!C25</f>
        <v>0.34458500000000003</v>
      </c>
      <c r="D25" s="66">
        <f>'M2'!D25-'M1'!D25</f>
        <v>0.50542199999999993</v>
      </c>
      <c r="E25" s="66">
        <f>'M2'!E25-'M1'!E25</f>
        <v>0</v>
      </c>
      <c r="F25" s="66">
        <f>'M2'!F25-'M1'!F25</f>
        <v>3.5366999999999996E-2</v>
      </c>
      <c r="G25" s="66">
        <f>'M2'!G25-'M1'!G25</f>
        <v>0</v>
      </c>
      <c r="H25" s="66">
        <f>'M2'!H25-'M1'!H25</f>
        <v>1.3853489999999999</v>
      </c>
    </row>
    <row r="26" spans="1:8">
      <c r="A26" s="66" t="s">
        <v>69</v>
      </c>
      <c r="B26" s="66">
        <f>'M2'!B26-'M1'!B26</f>
        <v>1.1341280000000001E-3</v>
      </c>
      <c r="C26" s="66">
        <f>'M2'!C26-'M1'!C26</f>
        <v>4.2248199999999998E-3</v>
      </c>
      <c r="D26" s="66">
        <f>'M2'!D26-'M1'!D26</f>
        <v>-1.6728000000000005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2.1284199999999996E-2</v>
      </c>
    </row>
    <row r="27" spans="1:8">
      <c r="A27" s="66" t="s">
        <v>70</v>
      </c>
      <c r="B27" s="66">
        <f>'M2'!B27-'M1'!B27</f>
        <v>-9.8476700000000002E-6</v>
      </c>
      <c r="C27" s="66">
        <f>'M2'!C27-'M1'!C27</f>
        <v>8.751500000000001E-4</v>
      </c>
      <c r="D27" s="66">
        <f>'M2'!D27-'M1'!D27</f>
        <v>51.602999999999994</v>
      </c>
      <c r="E27" s="66">
        <f>'M2'!E27-'M1'!E27</f>
        <v>0</v>
      </c>
      <c r="F27" s="66">
        <f>'M2'!F27-'M1'!F27</f>
        <v>-7.7993999999999997E-3</v>
      </c>
      <c r="G27" s="66">
        <f>'M2'!G27-'M1'!G27</f>
        <v>0</v>
      </c>
      <c r="H27" s="66">
        <f>'M2'!H27-'M1'!H27</f>
        <v>1.211918E-2</v>
      </c>
    </row>
    <row r="28" spans="1:8">
      <c r="A28" s="66" t="s">
        <v>71</v>
      </c>
      <c r="B28" s="66">
        <f>'M2'!B28-'M1'!B28</f>
        <v>2.2197299999999996E-2</v>
      </c>
      <c r="C28" s="66">
        <f>'M2'!C28-'M1'!C28</f>
        <v>2.5821299999999998E-2</v>
      </c>
      <c r="D28" s="66">
        <f>'M2'!D28-'M1'!D28</f>
        <v>5.1120000000000054E-2</v>
      </c>
      <c r="E28" s="66">
        <f>'M2'!E28-'M1'!E28</f>
        <v>0</v>
      </c>
      <c r="F28" s="66">
        <f>'M2'!F28-'M1'!F28</f>
        <v>1.3574189999999999E-3</v>
      </c>
      <c r="G28" s="66">
        <f>'M2'!G28-'M1'!G28</f>
        <v>0</v>
      </c>
      <c r="H28" s="66">
        <f>'M2'!H28-'M1'!H28</f>
        <v>9.8645499999999997E-2</v>
      </c>
    </row>
    <row r="29" spans="1:8">
      <c r="A29" s="66" t="s">
        <v>72</v>
      </c>
      <c r="B29" s="66">
        <f>'M2'!B29-'M1'!B29</f>
        <v>4.1501999999999981</v>
      </c>
      <c r="C29" s="66">
        <f>'M2'!C29-'M1'!C29</f>
        <v>-0.40549999999999997</v>
      </c>
      <c r="D29" s="66">
        <f>'M2'!D29-'M1'!D29</f>
        <v>-1.1914000000000008E-2</v>
      </c>
      <c r="E29" s="66">
        <f>'M2'!E29-'M1'!E29</f>
        <v>0</v>
      </c>
      <c r="F29" s="66">
        <f>'M2'!F29-'M1'!F29</f>
        <v>6.6019999999999968</v>
      </c>
      <c r="G29" s="66">
        <f>'M2'!G29-'M1'!G29</f>
        <v>0</v>
      </c>
      <c r="H29" s="66">
        <f>'M2'!H29-'M1'!H29</f>
        <v>5.5991999999999962</v>
      </c>
    </row>
    <row r="30" spans="1:8">
      <c r="A30" s="66" t="s">
        <v>73</v>
      </c>
      <c r="B30" s="66">
        <f>'M2'!B30-'M1'!B30</f>
        <v>7.5567000000000029</v>
      </c>
      <c r="C30" s="66">
        <f>'M2'!C30-'M1'!C30</f>
        <v>9.6529999999999561E-2</v>
      </c>
      <c r="D30" s="66">
        <f>'M2'!D30-'M1'!D30</f>
        <v>-5.5474999999999997E-2</v>
      </c>
      <c r="E30" s="66">
        <f>'M2'!E30-'M1'!E30</f>
        <v>0</v>
      </c>
      <c r="F30" s="66">
        <f>'M2'!F30-'M1'!F30</f>
        <v>11.933</v>
      </c>
      <c r="G30" s="66">
        <f>'M2'!G30-'M1'!G30</f>
        <v>0</v>
      </c>
      <c r="H30" s="66">
        <f>'M2'!H30-'M1'!H30</f>
        <v>13.778099999999998</v>
      </c>
    </row>
    <row r="31" spans="1:8">
      <c r="A31" s="66" t="s">
        <v>74</v>
      </c>
      <c r="B31" s="66">
        <f>'M2'!B31-'M1'!B31</f>
        <v>54.391999999999996</v>
      </c>
      <c r="C31" s="66">
        <f>'M2'!C31-'M1'!C31</f>
        <v>-35.14</v>
      </c>
      <c r="D31" s="66">
        <f>'M2'!D31-'M1'!D31</f>
        <v>-0.30666159999999998</v>
      </c>
      <c r="E31" s="66">
        <f>'M2'!E31-'M1'!E31</f>
        <v>0</v>
      </c>
      <c r="F31" s="66">
        <f>'M2'!F31-'M1'!F31</f>
        <v>89.40100000000001</v>
      </c>
      <c r="G31" s="66">
        <f>'M2'!G31-'M1'!G31</f>
        <v>0</v>
      </c>
      <c r="H31" s="66">
        <f>'M2'!H31-'M1'!H31</f>
        <v>-5.5139999999999816</v>
      </c>
    </row>
    <row r="32" spans="1:8">
      <c r="A32" s="66" t="s">
        <v>75</v>
      </c>
      <c r="B32" s="66">
        <f>'M2'!B32-'M1'!B32</f>
        <v>-5.9339999999999976E-2</v>
      </c>
      <c r="C32" s="66">
        <f>'M2'!C32-'M1'!C32</f>
        <v>2.1480899999999997E-2</v>
      </c>
      <c r="D32" s="66">
        <f>'M2'!D32-'M1'!D32</f>
        <v>0.14847299999999999</v>
      </c>
      <c r="E32" s="66">
        <f>'M2'!E32-'M1'!E32</f>
        <v>0</v>
      </c>
      <c r="F32" s="66">
        <f>'M2'!F32-'M1'!F32</f>
        <v>-5.6627999999999984E-2</v>
      </c>
      <c r="G32" s="66">
        <f>'M2'!G32-'M1'!G32</f>
        <v>0</v>
      </c>
      <c r="H32" s="66">
        <f>'M2'!H32-'M1'!H32</f>
        <v>1.3507000000000047E-2</v>
      </c>
    </row>
    <row r="33" spans="1:8">
      <c r="A33" s="66" t="s">
        <v>76</v>
      </c>
      <c r="B33" s="66">
        <f>'M2'!B33-'M1'!B33</f>
        <v>-7.8784999999999994E-2</v>
      </c>
      <c r="C33" s="66">
        <f>'M2'!C33-'M1'!C33</f>
        <v>3.4946899999999996E-2</v>
      </c>
      <c r="D33" s="66">
        <f>'M2'!D33-'M1'!D33</f>
        <v>0.13151489999999999</v>
      </c>
      <c r="E33" s="66">
        <f>'M2'!E33-'M1'!E33</f>
        <v>0</v>
      </c>
      <c r="F33" s="66">
        <f>'M2'!F33-'M1'!F33</f>
        <v>-7.1119999999999989E-2</v>
      </c>
      <c r="G33" s="66">
        <f>'M2'!G33-'M1'!G33</f>
        <v>0</v>
      </c>
      <c r="H33" s="66">
        <f>'M2'!H33-'M1'!H33</f>
        <v>2.5320000000000342E-3</v>
      </c>
    </row>
    <row r="34" spans="1:8">
      <c r="A34" s="66" t="s">
        <v>77</v>
      </c>
      <c r="B34" s="66">
        <f>'M2'!B34-'M1'!B34</f>
        <v>2.1409999999999985E-2</v>
      </c>
      <c r="C34" s="66">
        <f>'M2'!C34-'M1'!C34</f>
        <v>1.4173500000000002E-2</v>
      </c>
      <c r="D34" s="66">
        <f>'M2'!D34-'M1'!D34</f>
        <v>5.7149000000000005E-2</v>
      </c>
      <c r="E34" s="66">
        <f>'M2'!E34-'M1'!E34</f>
        <v>0</v>
      </c>
      <c r="F34" s="66">
        <f>'M2'!F34-'M1'!F34</f>
        <v>-6.9479999999999958E-3</v>
      </c>
      <c r="G34" s="66">
        <f>'M2'!G34-'M1'!G34</f>
        <v>0</v>
      </c>
      <c r="H34" s="66">
        <f>'M2'!H34-'M1'!H34</f>
        <v>7.8655000000000003E-2</v>
      </c>
    </row>
    <row r="35" spans="1:8">
      <c r="A35" s="66" t="s">
        <v>78</v>
      </c>
      <c r="B35" s="66">
        <f>'M2'!B35-'M1'!B35</f>
        <v>1.6845399999999996E-2</v>
      </c>
      <c r="C35" s="66">
        <f>'M2'!C35-'M1'!C35</f>
        <v>1.5633799999999996E-2</v>
      </c>
      <c r="D35" s="66">
        <f>'M2'!D35-'M1'!D35</f>
        <v>0.12141799999999997</v>
      </c>
      <c r="E35" s="66">
        <f>'M2'!E35-'M1'!E35</f>
        <v>0</v>
      </c>
      <c r="F35" s="66">
        <f>'M2'!F35-'M1'!F35</f>
        <v>6.2513000000000013E-3</v>
      </c>
      <c r="G35" s="66">
        <f>'M2'!G35-'M1'!G35</f>
        <v>0</v>
      </c>
      <c r="H35" s="66">
        <f>'M2'!H35-'M1'!H35</f>
        <v>6.9986000000000007E-2</v>
      </c>
    </row>
    <row r="36" spans="1:8">
      <c r="A36" s="66" t="s">
        <v>79</v>
      </c>
      <c r="B36" s="66">
        <f>'M2'!B36-'M1'!B36</f>
        <v>9.3600000000000072E-3</v>
      </c>
      <c r="C36" s="66">
        <f>'M2'!C36-'M1'!C36</f>
        <v>2.6415499999999995E-2</v>
      </c>
      <c r="D36" s="66">
        <f>'M2'!D36-'M1'!D36</f>
        <v>0.13704400000000005</v>
      </c>
      <c r="E36" s="66">
        <f>'M2'!E36-'M1'!E36</f>
        <v>0</v>
      </c>
      <c r="F36" s="66">
        <f>'M2'!F36-'M1'!F36</f>
        <v>1.14521E-2</v>
      </c>
      <c r="G36" s="66">
        <f>'M2'!G36-'M1'!G36</f>
        <v>0</v>
      </c>
      <c r="H36" s="66">
        <f>'M2'!H36-'M1'!H36</f>
        <v>0.19628900000000005</v>
      </c>
    </row>
    <row r="37" spans="1:8">
      <c r="A37" s="66" t="s">
        <v>80</v>
      </c>
      <c r="B37" s="66">
        <f>'M2'!B37-'M1'!B37</f>
        <v>0.141735</v>
      </c>
      <c r="C37" s="66">
        <f>'M2'!C37-'M1'!C37</f>
        <v>3.0215699999999998E-2</v>
      </c>
      <c r="D37" s="66">
        <f>'M2'!D37-'M1'!D37</f>
        <v>-2.9173999999999978E-2</v>
      </c>
      <c r="E37" s="66">
        <f>'M2'!E37-'M1'!E37</f>
        <v>0</v>
      </c>
      <c r="F37" s="66">
        <f>'M2'!F37-'M1'!F37</f>
        <v>1.0211700000000001E-2</v>
      </c>
      <c r="G37" s="66">
        <f>'M2'!G37-'M1'!G37</f>
        <v>0</v>
      </c>
      <c r="H37" s="66">
        <f>'M2'!H37-'M1'!H37</f>
        <v>0.14765299999999998</v>
      </c>
    </row>
    <row r="38" spans="1:8">
      <c r="A38" s="66" t="s">
        <v>81</v>
      </c>
      <c r="B38" s="66">
        <f>'M2'!B38-'M1'!B38</f>
        <v>-9.9323000000000015</v>
      </c>
      <c r="C38" s="66">
        <f>'M2'!C38-'M1'!C38</f>
        <v>14.844699999999996</v>
      </c>
      <c r="D38" s="66">
        <f>'M2'!D38-'M1'!D38</f>
        <v>-2.7549999999999963E-2</v>
      </c>
      <c r="E38" s="66">
        <f>'M2'!E38-'M1'!E38</f>
        <v>0</v>
      </c>
      <c r="F38" s="66">
        <f>'M2'!F38-'M1'!F38</f>
        <v>33.290999999999997</v>
      </c>
      <c r="G38" s="66">
        <f>'M2'!G38-'M1'!G38</f>
        <v>0</v>
      </c>
      <c r="H38" s="66">
        <f>'M2'!H38-'M1'!H38</f>
        <v>87.460800000000006</v>
      </c>
    </row>
    <row r="39" spans="1:8">
      <c r="A39" s="66" t="s">
        <v>82</v>
      </c>
      <c r="B39" s="66">
        <f>'M2'!B39-'M1'!B39</f>
        <v>-2.4710999999999999</v>
      </c>
      <c r="C39" s="66">
        <f>'M2'!C39-'M1'!C39</f>
        <v>1.43344</v>
      </c>
      <c r="D39" s="66">
        <f>'M2'!D39-'M1'!D39</f>
        <v>-1.6577999999999982E-2</v>
      </c>
      <c r="E39" s="66">
        <f>'M2'!E39-'M1'!E39</f>
        <v>0</v>
      </c>
      <c r="F39" s="66">
        <f>'M2'!F39-'M1'!F39</f>
        <v>-5.18</v>
      </c>
      <c r="G39" s="66">
        <f>'M2'!G39-'M1'!G39</f>
        <v>0</v>
      </c>
      <c r="H39" s="66">
        <f>'M2'!H39-'M1'!H39</f>
        <v>1.5124700000000002</v>
      </c>
    </row>
    <row r="40" spans="1:8">
      <c r="A40" s="66" t="s">
        <v>83</v>
      </c>
      <c r="B40" s="66">
        <f>'M2'!B40-'M1'!B40</f>
        <v>-0.9200500000000007</v>
      </c>
      <c r="C40" s="66">
        <f>'M2'!C40-'M1'!C40</f>
        <v>-0.54036300000000004</v>
      </c>
      <c r="D40" s="66">
        <f>'M2'!D40-'M1'!D40</f>
        <v>0.11112</v>
      </c>
      <c r="E40" s="66">
        <f>'M2'!E40-'M1'!E40</f>
        <v>0</v>
      </c>
      <c r="F40" s="66">
        <f>'M2'!F40-'M1'!F40</f>
        <v>-0.48744999999999905</v>
      </c>
      <c r="G40" s="66">
        <f>'M2'!G40-'M1'!G40</f>
        <v>0</v>
      </c>
      <c r="H40" s="66">
        <f>'M2'!H40-'M1'!H40</f>
        <v>-0.91776999999999997</v>
      </c>
    </row>
    <row r="41" spans="1:8">
      <c r="A41" s="66" t="s">
        <v>84</v>
      </c>
      <c r="B41" s="66">
        <f>'M2'!B41-'M1'!B41</f>
        <v>-3.7602999999999998E-2</v>
      </c>
      <c r="C41" s="66">
        <f>'M2'!C41-'M1'!C41</f>
        <v>-4.0532999999999986E-2</v>
      </c>
      <c r="D41" s="66">
        <f>'M2'!D41-'M1'!D41</f>
        <v>0.43617000000000017</v>
      </c>
      <c r="E41" s="66">
        <f>'M2'!E41-'M1'!E41</f>
        <v>0</v>
      </c>
      <c r="F41" s="66">
        <f>'M2'!F41-'M1'!F41</f>
        <v>-4.7987000000000002E-2</v>
      </c>
      <c r="G41" s="66">
        <f>'M2'!G41-'M1'!G41</f>
        <v>0</v>
      </c>
      <c r="H41" s="66">
        <f>'M2'!H41-'M1'!H41</f>
        <v>-0.4280219999999999</v>
      </c>
    </row>
    <row r="42" spans="1:8">
      <c r="A42" s="66" t="s">
        <v>85</v>
      </c>
      <c r="B42" s="66">
        <f>'M2'!B42-'M1'!B42</f>
        <v>7.1507000000000015E-2</v>
      </c>
      <c r="C42" s="66">
        <f>'M2'!C42-'M1'!C42</f>
        <v>3.0749999999999944E-3</v>
      </c>
      <c r="D42" s="66">
        <f>'M2'!D42-'M1'!D42</f>
        <v>-0.10552100000000003</v>
      </c>
      <c r="E42" s="66">
        <f>'M2'!E42-'M1'!E42</f>
        <v>0</v>
      </c>
      <c r="F42" s="66">
        <f>'M2'!F42-'M1'!F42</f>
        <v>-4.7913999999999957E-2</v>
      </c>
      <c r="G42" s="66">
        <f>'M2'!G42-'M1'!G42</f>
        <v>0</v>
      </c>
      <c r="H42" s="66">
        <f>'M2'!H42-'M1'!H42</f>
        <v>-4.9197100000000007E-2</v>
      </c>
    </row>
    <row r="43" spans="1:8">
      <c r="A43" s="66" t="s">
        <v>86</v>
      </c>
      <c r="B43" s="66">
        <f>'M2'!B43-'M1'!B43</f>
        <v>7.8623999999999999E-2</v>
      </c>
      <c r="C43" s="66">
        <f>'M2'!C43-'M1'!C43</f>
        <v>2.6966499999999997E-2</v>
      </c>
      <c r="D43" s="66">
        <f>'M2'!D43-'M1'!D43</f>
        <v>-0.32794000000000001</v>
      </c>
      <c r="E43" s="66">
        <f>'M2'!E43-'M1'!E43</f>
        <v>0</v>
      </c>
      <c r="F43" s="66">
        <f>'M2'!F43-'M1'!F43</f>
        <v>1.7568000000000028E-2</v>
      </c>
      <c r="G43" s="66">
        <f>'M2'!G43-'M1'!G43</f>
        <v>0</v>
      </c>
      <c r="H43" s="66">
        <f>'M2'!H43-'M1'!H43</f>
        <v>0.14857520000000002</v>
      </c>
    </row>
    <row r="44" spans="1:8">
      <c r="A44" s="66" t="s">
        <v>87</v>
      </c>
      <c r="B44" s="66">
        <f>'M2'!B44-'M1'!B44</f>
        <v>-26.415390000000002</v>
      </c>
      <c r="C44" s="66">
        <f>'M2'!C44-'M1'!C44</f>
        <v>-13.282599999999999</v>
      </c>
      <c r="D44" s="66">
        <f>'M2'!D44-'M1'!D44</f>
        <v>-8.6971810000000005</v>
      </c>
      <c r="E44" s="66">
        <f>'M2'!E44-'M1'!E44</f>
        <v>0</v>
      </c>
      <c r="F44" s="66">
        <f>'M2'!F44-'M1'!F44</f>
        <v>4.7584000000000017</v>
      </c>
      <c r="G44" s="66">
        <f>'M2'!G44-'M1'!G44</f>
        <v>0</v>
      </c>
      <c r="H44" s="66">
        <f>'M2'!H44-'M1'!H44</f>
        <v>-15.445350000000001</v>
      </c>
    </row>
    <row r="45" spans="1:8">
      <c r="A45" s="66" t="s">
        <v>88</v>
      </c>
      <c r="B45" s="66">
        <f>'M2'!B45-'M1'!B45</f>
        <v>-9.5725000000000051</v>
      </c>
      <c r="C45" s="66">
        <f>'M2'!C45-'M1'!C45</f>
        <v>-1.9924100000000005</v>
      </c>
      <c r="D45" s="66">
        <f>'M2'!D45-'M1'!D45</f>
        <v>-1.5465000000000007E-2</v>
      </c>
      <c r="E45" s="66">
        <f>'M2'!E45-'M1'!E45</f>
        <v>0</v>
      </c>
      <c r="F45" s="66">
        <f>'M2'!F45-'M1'!F45</f>
        <v>-1.0600999999999985</v>
      </c>
      <c r="G45" s="66">
        <f>'M2'!G45-'M1'!G45</f>
        <v>0</v>
      </c>
      <c r="H45" s="66">
        <f>'M2'!H45-'M1'!H45</f>
        <v>-3.8962000000000074</v>
      </c>
    </row>
    <row r="46" spans="1:8">
      <c r="A46" s="66" t="s">
        <v>89</v>
      </c>
      <c r="B46" s="66">
        <f>'M2'!B46-'M1'!B46</f>
        <v>5.2587999999999973</v>
      </c>
      <c r="C46" s="66">
        <f>'M2'!C46-'M1'!C46</f>
        <v>-6.2581499999999997</v>
      </c>
      <c r="D46" s="66">
        <f>'M2'!D46-'M1'!D46</f>
        <v>-0.30080859999999998</v>
      </c>
      <c r="E46" s="66">
        <f>'M2'!E46-'M1'!E46</f>
        <v>0</v>
      </c>
      <c r="F46" s="66">
        <f>'M2'!F46-'M1'!F46</f>
        <v>17.189640000000001</v>
      </c>
      <c r="G46" s="66">
        <f>'M2'!G46-'M1'!G46</f>
        <v>0</v>
      </c>
      <c r="H46" s="66">
        <f>'M2'!H46-'M1'!H46</f>
        <v>-1.1781000000000006</v>
      </c>
    </row>
    <row r="47" spans="1:8">
      <c r="A47" s="66" t="s">
        <v>90</v>
      </c>
      <c r="B47" s="66">
        <f>'M2'!B47-'M1'!B47</f>
        <v>0.43911000000000011</v>
      </c>
      <c r="C47" s="66">
        <f>'M2'!C47-'M1'!C47</f>
        <v>0.29209800000000008</v>
      </c>
      <c r="D47" s="66">
        <f>'M2'!D47-'M1'!D47</f>
        <v>7.218800000000003E-2</v>
      </c>
      <c r="E47" s="66">
        <f>'M2'!E47-'M1'!E47</f>
        <v>0</v>
      </c>
      <c r="F47" s="66">
        <f>'M2'!F47-'M1'!F47</f>
        <v>0.14957200000000004</v>
      </c>
      <c r="G47" s="66">
        <f>'M2'!G47-'M1'!G47</f>
        <v>0</v>
      </c>
      <c r="H47" s="66">
        <f>'M2'!H47-'M1'!H47</f>
        <v>1.8759299999999999</v>
      </c>
    </row>
    <row r="48" spans="1:8">
      <c r="A48" s="66" t="s">
        <v>91</v>
      </c>
      <c r="B48" s="66">
        <f>'M2'!B48-'M1'!B48</f>
        <v>-0.44362899999999994</v>
      </c>
      <c r="C48" s="66">
        <f>'M2'!C48-'M1'!C48</f>
        <v>-0.14177200000000001</v>
      </c>
      <c r="D48" s="66">
        <f>'M2'!D48-'M1'!D48</f>
        <v>-3.8108000000000003E-2</v>
      </c>
      <c r="E48" s="66">
        <f>'M2'!E48-'M1'!E48</f>
        <v>0</v>
      </c>
      <c r="F48" s="66">
        <f>'M2'!F48-'M1'!F48</f>
        <v>-0.17022800000000005</v>
      </c>
      <c r="G48" s="66">
        <f>'M2'!G48-'M1'!G48</f>
        <v>0</v>
      </c>
      <c r="H48" s="66">
        <f>'M2'!H48-'M1'!H48</f>
        <v>-0.51827000000000001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31.391500000000001</v>
      </c>
      <c r="C5" s="66">
        <v>10.962999999999999</v>
      </c>
      <c r="D5" s="66">
        <v>34.923299999999998</v>
      </c>
      <c r="E5" s="66">
        <v>20</v>
      </c>
      <c r="F5" s="66">
        <v>12.2814</v>
      </c>
      <c r="G5" s="66">
        <v>50</v>
      </c>
      <c r="H5" s="66">
        <v>51.305599999999998</v>
      </c>
    </row>
    <row r="6" spans="1:8">
      <c r="A6" s="66" t="s">
        <v>303</v>
      </c>
      <c r="B6" s="66">
        <v>29.516100000000002</v>
      </c>
      <c r="C6" s="66">
        <v>2.6285099999999999</v>
      </c>
      <c r="D6" s="66">
        <v>8.9053500000000003</v>
      </c>
      <c r="E6" s="66">
        <v>20</v>
      </c>
      <c r="F6" s="66">
        <v>22.363199999999999</v>
      </c>
      <c r="G6" s="66">
        <v>40</v>
      </c>
      <c r="H6" s="66">
        <v>31.150200000000002</v>
      </c>
    </row>
    <row r="7" spans="1:8">
      <c r="A7" s="66" t="s">
        <v>304</v>
      </c>
      <c r="B7" s="66">
        <v>27.9483</v>
      </c>
      <c r="C7" s="66">
        <v>5.2771600000000003</v>
      </c>
      <c r="D7" s="66">
        <v>18.881900000000002</v>
      </c>
      <c r="E7" s="66">
        <v>15</v>
      </c>
      <c r="F7" s="66">
        <v>16.284400000000002</v>
      </c>
      <c r="G7" s="66">
        <v>40</v>
      </c>
      <c r="H7" s="66">
        <v>47.280700000000003</v>
      </c>
    </row>
    <row r="8" spans="1:8">
      <c r="A8" s="66" t="s">
        <v>305</v>
      </c>
      <c r="B8" s="66">
        <v>27.939399999999999</v>
      </c>
      <c r="C8" s="66">
        <v>5.2149799999999997</v>
      </c>
      <c r="D8" s="66">
        <v>18.665299999999998</v>
      </c>
      <c r="E8" s="66">
        <v>20</v>
      </c>
      <c r="F8" s="66">
        <v>16.818300000000001</v>
      </c>
      <c r="G8" s="66">
        <v>50</v>
      </c>
      <c r="H8" s="66">
        <v>37.516300000000001</v>
      </c>
    </row>
    <row r="9" spans="1:8">
      <c r="A9" s="66" t="s">
        <v>306</v>
      </c>
      <c r="B9" s="66">
        <v>73.420900000000003</v>
      </c>
      <c r="C9" s="66">
        <v>10.5061</v>
      </c>
      <c r="D9" s="66">
        <v>14.3094</v>
      </c>
      <c r="E9" s="66">
        <v>50</v>
      </c>
      <c r="F9" s="66">
        <v>47.497100000000003</v>
      </c>
      <c r="G9" s="66">
        <v>100</v>
      </c>
      <c r="H9" s="66">
        <v>86.081000000000003</v>
      </c>
    </row>
    <row r="10" spans="1:8">
      <c r="A10" s="66" t="s">
        <v>307</v>
      </c>
      <c r="B10" s="66">
        <v>75.587199999999996</v>
      </c>
      <c r="C10" s="66">
        <v>4.1151299999999997</v>
      </c>
      <c r="D10" s="66">
        <v>5.44421</v>
      </c>
      <c r="E10" s="66">
        <v>40</v>
      </c>
      <c r="F10" s="66">
        <v>71.107100000000003</v>
      </c>
      <c r="G10" s="66">
        <v>100</v>
      </c>
      <c r="H10" s="66">
        <v>84.7453</v>
      </c>
    </row>
    <row r="11" spans="1:8">
      <c r="A11" s="66" t="s">
        <v>308</v>
      </c>
      <c r="B11" s="66">
        <v>21.149799999999999</v>
      </c>
      <c r="C11" s="66">
        <v>7.2306699999999999</v>
      </c>
      <c r="D11" s="66">
        <v>34.188000000000002</v>
      </c>
      <c r="E11" s="66">
        <v>10</v>
      </c>
      <c r="F11" s="66">
        <v>10.8927</v>
      </c>
      <c r="G11" s="66">
        <v>50</v>
      </c>
      <c r="H11" s="66">
        <v>35.8491</v>
      </c>
    </row>
    <row r="12" spans="1:8">
      <c r="A12" s="66" t="s">
        <v>309</v>
      </c>
      <c r="B12" s="66">
        <v>74.147499999999994</v>
      </c>
      <c r="C12" s="66">
        <v>6.9126500000000002</v>
      </c>
      <c r="D12" s="66">
        <v>9.3228500000000007</v>
      </c>
      <c r="E12" s="66">
        <v>50</v>
      </c>
      <c r="F12" s="66">
        <v>60.185499999999998</v>
      </c>
      <c r="G12" s="66">
        <v>100</v>
      </c>
      <c r="H12" s="66">
        <v>84.7607</v>
      </c>
    </row>
    <row r="13" spans="1:8">
      <c r="A13" s="66" t="s">
        <v>310</v>
      </c>
      <c r="B13" s="66">
        <v>16.710799999999999</v>
      </c>
      <c r="C13" s="66">
        <v>2.6536499999999998</v>
      </c>
      <c r="D13" s="66">
        <v>15.879799999999999</v>
      </c>
      <c r="E13" s="66">
        <v>10</v>
      </c>
      <c r="F13" s="66">
        <v>11.8825</v>
      </c>
      <c r="G13" s="66">
        <v>25</v>
      </c>
      <c r="H13" s="66">
        <v>21.604299999999999</v>
      </c>
    </row>
    <row r="14" spans="1:8">
      <c r="A14" s="66" t="s">
        <v>311</v>
      </c>
      <c r="B14" s="66">
        <v>26.5365</v>
      </c>
      <c r="C14" s="66">
        <v>7.8808299999999996</v>
      </c>
      <c r="D14" s="66">
        <v>29.6981</v>
      </c>
      <c r="E14" s="66">
        <v>10</v>
      </c>
      <c r="F14" s="66">
        <v>0.26866000000000001</v>
      </c>
      <c r="G14" s="66">
        <v>50</v>
      </c>
      <c r="H14" s="66">
        <v>28.109200000000001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0.57500399999999996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0.53501799999999999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5.2725700000000005E-4</v>
      </c>
      <c r="C20" s="66">
        <v>1.32262E-2</v>
      </c>
      <c r="D20" s="66">
        <v>25.084900000000001</v>
      </c>
      <c r="E20" s="66">
        <v>0</v>
      </c>
      <c r="F20" s="66">
        <v>0</v>
      </c>
      <c r="G20" s="66">
        <v>0</v>
      </c>
      <c r="H20" s="66">
        <v>0.10817599999999999</v>
      </c>
    </row>
    <row r="21" spans="1:8">
      <c r="A21" s="66" t="s">
        <v>318</v>
      </c>
      <c r="B21" s="66">
        <v>0.11110299999999999</v>
      </c>
      <c r="C21" s="66">
        <v>0.19349</v>
      </c>
      <c r="D21" s="66">
        <v>1.7415400000000001</v>
      </c>
      <c r="E21" s="66">
        <v>0</v>
      </c>
      <c r="F21" s="66">
        <v>9.7408599999999998E-4</v>
      </c>
      <c r="G21" s="66">
        <v>0</v>
      </c>
      <c r="H21" s="66">
        <v>0.87987400000000004</v>
      </c>
    </row>
    <row r="22" spans="1:8">
      <c r="A22" s="66" t="s">
        <v>319</v>
      </c>
      <c r="B22" s="66">
        <v>37.592300000000002</v>
      </c>
      <c r="C22" s="66">
        <v>8.4110899999999997</v>
      </c>
      <c r="D22" s="66">
        <v>0.223745</v>
      </c>
      <c r="E22" s="66">
        <v>0</v>
      </c>
      <c r="F22" s="66">
        <v>21.383700000000001</v>
      </c>
      <c r="G22" s="66">
        <v>0</v>
      </c>
      <c r="H22" s="66">
        <v>55.025700000000001</v>
      </c>
    </row>
    <row r="23" spans="1:8">
      <c r="A23" s="66" t="s">
        <v>320</v>
      </c>
      <c r="B23" s="66">
        <v>15.0054</v>
      </c>
      <c r="C23" s="66">
        <v>2.3003499999999999</v>
      </c>
      <c r="D23" s="66">
        <v>0.15330199999999999</v>
      </c>
      <c r="E23" s="66">
        <v>0</v>
      </c>
      <c r="F23" s="66">
        <v>11.026899999999999</v>
      </c>
      <c r="G23" s="66">
        <v>0</v>
      </c>
      <c r="H23" s="66">
        <v>19.5596</v>
      </c>
    </row>
    <row r="24" spans="1:8">
      <c r="A24" s="66" t="s">
        <v>348</v>
      </c>
      <c r="B24" s="66">
        <v>1.6490000000000001E-3</v>
      </c>
      <c r="C24" s="66">
        <v>6.6030999999999998E-3</v>
      </c>
      <c r="D24" s="66">
        <v>4.0042999999999997</v>
      </c>
      <c r="E24" s="66">
        <v>0</v>
      </c>
      <c r="F24" s="196">
        <v>1.5976300000000002E-5</v>
      </c>
      <c r="G24" s="66">
        <v>0</v>
      </c>
      <c r="H24" s="66">
        <v>4.9906399999999997E-2</v>
      </c>
    </row>
    <row r="25" spans="1:8">
      <c r="A25" s="66" t="s">
        <v>322</v>
      </c>
      <c r="B25" s="66">
        <v>0.165301</v>
      </c>
      <c r="C25" s="66">
        <v>8.3836999999999995E-2</v>
      </c>
      <c r="D25" s="66">
        <v>0.50717800000000002</v>
      </c>
      <c r="E25" s="66">
        <v>0</v>
      </c>
      <c r="F25" s="66">
        <v>2.1449900000000001E-2</v>
      </c>
      <c r="G25" s="66">
        <v>0</v>
      </c>
      <c r="H25" s="66">
        <v>0.34245100000000001</v>
      </c>
    </row>
    <row r="26" spans="1:8">
      <c r="A26" s="66" t="s">
        <v>323</v>
      </c>
      <c r="B26" s="66">
        <v>2.5932199999999998E-4</v>
      </c>
      <c r="C26" s="66">
        <v>1.4990100000000001E-3</v>
      </c>
      <c r="D26" s="66">
        <v>5.7804700000000002</v>
      </c>
      <c r="E26" s="66">
        <v>0</v>
      </c>
      <c r="F26" s="66">
        <v>0</v>
      </c>
      <c r="G26" s="66">
        <v>0</v>
      </c>
      <c r="H26" s="66">
        <v>1.35865E-2</v>
      </c>
    </row>
    <row r="27" spans="1:8">
      <c r="A27" s="66" t="s">
        <v>324</v>
      </c>
      <c r="B27" s="196">
        <v>-6.5651299999999996E-6</v>
      </c>
      <c r="C27" s="66">
        <v>1.1480699999999999E-3</v>
      </c>
      <c r="D27" s="66">
        <v>-174.874</v>
      </c>
      <c r="E27" s="66">
        <v>0</v>
      </c>
      <c r="F27" s="66">
        <v>-6.2500000000000003E-3</v>
      </c>
      <c r="G27" s="66">
        <v>0</v>
      </c>
      <c r="H27" s="66">
        <v>6.66032E-3</v>
      </c>
    </row>
    <row r="28" spans="1:8">
      <c r="A28" s="66" t="s">
        <v>325</v>
      </c>
      <c r="B28" s="66">
        <v>1.7353500000000001E-2</v>
      </c>
      <c r="C28" s="66">
        <v>1.86061E-2</v>
      </c>
      <c r="D28" s="66">
        <v>1.0721799999999999</v>
      </c>
      <c r="E28" s="66">
        <v>0</v>
      </c>
      <c r="F28" s="66">
        <v>3.25521E-4</v>
      </c>
      <c r="G28" s="66">
        <v>0</v>
      </c>
      <c r="H28" s="66">
        <v>8.38835E-2</v>
      </c>
    </row>
    <row r="29" spans="1:8">
      <c r="A29" s="66" t="s">
        <v>326</v>
      </c>
      <c r="B29" s="66">
        <v>71.4846</v>
      </c>
      <c r="C29" s="66">
        <v>8.5359499999999997</v>
      </c>
      <c r="D29" s="66">
        <v>0.11941</v>
      </c>
      <c r="E29" s="66">
        <v>0</v>
      </c>
      <c r="F29" s="66">
        <v>51.889400000000002</v>
      </c>
      <c r="G29" s="66">
        <v>0</v>
      </c>
      <c r="H29" s="66">
        <v>93.687600000000003</v>
      </c>
    </row>
    <row r="30" spans="1:8">
      <c r="A30" s="66" t="s">
        <v>327</v>
      </c>
      <c r="B30" s="66">
        <v>22.217199999999998</v>
      </c>
      <c r="C30" s="66">
        <v>5.1399400000000002</v>
      </c>
      <c r="D30" s="66">
        <v>0.231349</v>
      </c>
      <c r="E30" s="66">
        <v>0</v>
      </c>
      <c r="F30" s="66">
        <v>12.5609</v>
      </c>
      <c r="G30" s="66">
        <v>0</v>
      </c>
      <c r="H30" s="66">
        <v>31.0457</v>
      </c>
    </row>
    <row r="31" spans="1:8">
      <c r="A31" s="66" t="s">
        <v>328</v>
      </c>
      <c r="B31" s="66">
        <v>130.988</v>
      </c>
      <c r="C31" s="66">
        <v>52.279400000000003</v>
      </c>
      <c r="D31" s="66">
        <v>0.399117</v>
      </c>
      <c r="E31" s="66">
        <v>0</v>
      </c>
      <c r="F31" s="66">
        <v>62.860999999999997</v>
      </c>
      <c r="G31" s="66">
        <v>0</v>
      </c>
      <c r="H31" s="66">
        <v>225.17099999999999</v>
      </c>
    </row>
    <row r="32" spans="1:8">
      <c r="A32" s="66" t="s">
        <v>329</v>
      </c>
      <c r="B32" s="66">
        <v>0.27948299999999998</v>
      </c>
      <c r="C32" s="66">
        <v>5.2771600000000002E-2</v>
      </c>
      <c r="D32" s="66">
        <v>0.18881899999999999</v>
      </c>
      <c r="E32" s="66">
        <v>0.15</v>
      </c>
      <c r="F32" s="66">
        <v>0.16284399999999999</v>
      </c>
      <c r="G32" s="66">
        <v>0.4</v>
      </c>
      <c r="H32" s="66">
        <v>0.47280699999999998</v>
      </c>
    </row>
    <row r="33" spans="1:8">
      <c r="A33" s="66" t="s">
        <v>330</v>
      </c>
      <c r="B33" s="66">
        <v>0.371755</v>
      </c>
      <c r="C33" s="66">
        <v>1.6907800000000001E-2</v>
      </c>
      <c r="D33" s="66">
        <v>4.5481099999999997E-2</v>
      </c>
      <c r="E33" s="66">
        <v>0</v>
      </c>
      <c r="F33" s="66">
        <v>0.31772299999999998</v>
      </c>
      <c r="G33" s="66">
        <v>0</v>
      </c>
      <c r="H33" s="66">
        <v>0.40795599999999999</v>
      </c>
    </row>
    <row r="34" spans="1:8">
      <c r="A34" s="66" t="s">
        <v>331</v>
      </c>
      <c r="B34" s="66">
        <v>0.16710800000000001</v>
      </c>
      <c r="C34" s="66">
        <v>2.6536500000000001E-2</v>
      </c>
      <c r="D34" s="66">
        <v>0.15879799999999999</v>
      </c>
      <c r="E34" s="66">
        <v>0.1</v>
      </c>
      <c r="F34" s="66">
        <v>0.118825</v>
      </c>
      <c r="G34" s="66">
        <v>0.25</v>
      </c>
      <c r="H34" s="66">
        <v>0.21604300000000001</v>
      </c>
    </row>
    <row r="35" spans="1:8">
      <c r="A35" s="66" t="s">
        <v>332</v>
      </c>
      <c r="B35" s="66">
        <v>7.27323E-2</v>
      </c>
      <c r="C35" s="66">
        <v>2.0541400000000001E-2</v>
      </c>
      <c r="D35" s="66">
        <v>0.28242400000000001</v>
      </c>
      <c r="E35" s="66">
        <v>0</v>
      </c>
      <c r="F35" s="66">
        <v>1.02632E-2</v>
      </c>
      <c r="G35" s="66">
        <v>0</v>
      </c>
      <c r="H35" s="66">
        <v>0.111888</v>
      </c>
    </row>
    <row r="36" spans="1:8">
      <c r="A36" s="66" t="s">
        <v>333</v>
      </c>
      <c r="B36" s="66">
        <v>0.145675</v>
      </c>
      <c r="C36" s="66">
        <v>8.04565E-2</v>
      </c>
      <c r="D36" s="66">
        <v>0.55229899999999998</v>
      </c>
      <c r="E36" s="66">
        <v>0</v>
      </c>
      <c r="F36" s="66">
        <v>3.4279299999999999E-2</v>
      </c>
      <c r="G36" s="66">
        <v>0</v>
      </c>
      <c r="H36" s="66">
        <v>0.416215</v>
      </c>
    </row>
    <row r="37" spans="1:8">
      <c r="A37" s="66" t="s">
        <v>334</v>
      </c>
      <c r="B37" s="66">
        <v>0.26536500000000002</v>
      </c>
      <c r="C37" s="66">
        <v>7.8808299999999998E-2</v>
      </c>
      <c r="D37" s="66">
        <v>0.29698099999999999</v>
      </c>
      <c r="E37" s="66">
        <v>0.1</v>
      </c>
      <c r="F37" s="66">
        <v>2.6865999999999999E-3</v>
      </c>
      <c r="G37" s="66">
        <v>0.5</v>
      </c>
      <c r="H37" s="66">
        <v>0.28109200000000001</v>
      </c>
    </row>
    <row r="38" spans="1:8">
      <c r="A38" s="66" t="s">
        <v>335</v>
      </c>
      <c r="B38" s="66">
        <v>-28.995200000000001</v>
      </c>
      <c r="C38" s="66">
        <v>40.204700000000003</v>
      </c>
      <c r="D38" s="66">
        <v>-1.3866000000000001</v>
      </c>
      <c r="E38" s="66">
        <v>0</v>
      </c>
      <c r="F38" s="66">
        <v>-236.05699999999999</v>
      </c>
      <c r="G38" s="66">
        <v>0</v>
      </c>
      <c r="H38" s="66">
        <v>65.130200000000002</v>
      </c>
    </row>
    <row r="39" spans="1:8">
      <c r="A39" s="66" t="s">
        <v>336</v>
      </c>
      <c r="B39" s="66">
        <v>-13.596</v>
      </c>
      <c r="C39" s="66">
        <v>6.4212499999999997</v>
      </c>
      <c r="D39" s="66">
        <v>-0.47228900000000001</v>
      </c>
      <c r="E39" s="66">
        <v>0</v>
      </c>
      <c r="F39" s="66">
        <v>-26.623200000000001</v>
      </c>
      <c r="G39" s="66">
        <v>0</v>
      </c>
      <c r="H39" s="66">
        <v>1.7816099999999999</v>
      </c>
    </row>
    <row r="40" spans="1:8">
      <c r="A40" s="66" t="s">
        <v>337</v>
      </c>
      <c r="B40" s="66">
        <v>-5.9613199999999997</v>
      </c>
      <c r="C40" s="66">
        <v>1.45326</v>
      </c>
      <c r="D40" s="66">
        <v>-0.243782</v>
      </c>
      <c r="E40" s="66">
        <v>0</v>
      </c>
      <c r="F40" s="66">
        <v>-8.7693700000000003</v>
      </c>
      <c r="G40" s="66">
        <v>0</v>
      </c>
      <c r="H40" s="66">
        <v>-3.6883900000000001</v>
      </c>
    </row>
    <row r="41" spans="1:8">
      <c r="A41" s="66" t="s">
        <v>338</v>
      </c>
      <c r="B41" s="66">
        <v>-0.18757699999999999</v>
      </c>
      <c r="C41" s="66">
        <v>0.28775099999999998</v>
      </c>
      <c r="D41" s="66">
        <v>-1.5340400000000001</v>
      </c>
      <c r="E41" s="66">
        <v>0</v>
      </c>
      <c r="F41" s="66">
        <v>-0.91588800000000004</v>
      </c>
      <c r="G41" s="66">
        <v>0</v>
      </c>
      <c r="H41" s="66">
        <v>0.97802199999999995</v>
      </c>
    </row>
    <row r="42" spans="1:8">
      <c r="A42" s="66" t="s">
        <v>339</v>
      </c>
      <c r="B42" s="66">
        <v>-0.30666700000000002</v>
      </c>
      <c r="C42" s="66">
        <v>9.3233099999999999E-2</v>
      </c>
      <c r="D42" s="66">
        <v>-0.30402099999999999</v>
      </c>
      <c r="E42" s="66">
        <v>0</v>
      </c>
      <c r="F42" s="66">
        <v>-0.42686800000000003</v>
      </c>
      <c r="G42" s="66">
        <v>0</v>
      </c>
      <c r="H42" s="66">
        <v>6.6702800000000007E-2</v>
      </c>
    </row>
    <row r="43" spans="1:8">
      <c r="A43" s="66" t="s">
        <v>340</v>
      </c>
      <c r="B43" s="66">
        <v>-0.21396699999999999</v>
      </c>
      <c r="C43" s="66">
        <v>4.74008E-2</v>
      </c>
      <c r="D43" s="66">
        <v>-0.22153300000000001</v>
      </c>
      <c r="E43" s="66">
        <v>0</v>
      </c>
      <c r="F43" s="66">
        <v>-0.32664100000000001</v>
      </c>
      <c r="G43" s="66">
        <v>0</v>
      </c>
      <c r="H43" s="66">
        <v>-0.17854700000000001</v>
      </c>
    </row>
    <row r="44" spans="1:8">
      <c r="A44" s="66" t="s">
        <v>341</v>
      </c>
      <c r="B44" s="66">
        <v>3.3045900000000001</v>
      </c>
      <c r="C44" s="66">
        <v>26.806799999999999</v>
      </c>
      <c r="D44" s="66">
        <v>8.1119900000000005</v>
      </c>
      <c r="E44" s="66">
        <v>0</v>
      </c>
      <c r="F44" s="66">
        <v>-59.346699999999998</v>
      </c>
      <c r="G44" s="66">
        <v>0</v>
      </c>
      <c r="H44" s="66">
        <v>17.526800000000001</v>
      </c>
    </row>
    <row r="45" spans="1:8">
      <c r="A45" s="66" t="s">
        <v>342</v>
      </c>
      <c r="B45" s="66">
        <v>49.876800000000003</v>
      </c>
      <c r="C45" s="66">
        <v>7.1334900000000001</v>
      </c>
      <c r="D45" s="66">
        <v>0.14302200000000001</v>
      </c>
      <c r="E45" s="66">
        <v>0</v>
      </c>
      <c r="F45" s="66">
        <v>32.021599999999999</v>
      </c>
      <c r="G45" s="66">
        <v>0</v>
      </c>
      <c r="H45" s="66">
        <v>64.298500000000004</v>
      </c>
    </row>
    <row r="46" spans="1:8">
      <c r="A46" s="66" t="s">
        <v>343</v>
      </c>
      <c r="B46" s="66">
        <v>22.087700000000002</v>
      </c>
      <c r="C46" s="66">
        <v>8.2654499999999995</v>
      </c>
      <c r="D46" s="66">
        <v>0.37421100000000002</v>
      </c>
      <c r="E46" s="66">
        <v>0</v>
      </c>
      <c r="F46" s="66">
        <v>8.1532599999999995</v>
      </c>
      <c r="G46" s="66">
        <v>0</v>
      </c>
      <c r="H46" s="66">
        <v>36.004600000000003</v>
      </c>
    </row>
    <row r="47" spans="1:8">
      <c r="A47" s="66" t="s">
        <v>344</v>
      </c>
      <c r="B47" s="66">
        <v>1.43665</v>
      </c>
      <c r="C47" s="66">
        <v>0.51265499999999997</v>
      </c>
      <c r="D47" s="66">
        <v>0.35683999999999999</v>
      </c>
      <c r="E47" s="66">
        <v>0</v>
      </c>
      <c r="F47" s="66">
        <v>0.692353</v>
      </c>
      <c r="G47" s="66">
        <v>0</v>
      </c>
      <c r="H47" s="66">
        <v>2.9118400000000002</v>
      </c>
    </row>
    <row r="48" spans="1:8">
      <c r="A48" s="66" t="s">
        <v>345</v>
      </c>
      <c r="B48" s="66">
        <v>1.3728899999999999</v>
      </c>
      <c r="C48" s="66">
        <v>0.32915</v>
      </c>
      <c r="D48" s="66">
        <v>0.23974999999999999</v>
      </c>
      <c r="E48" s="66">
        <v>0</v>
      </c>
      <c r="F48" s="66">
        <v>0.74946100000000004</v>
      </c>
      <c r="G48" s="66">
        <v>0</v>
      </c>
      <c r="H48" s="66">
        <v>1.82985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38.415900000000001</v>
      </c>
      <c r="C5" s="66">
        <v>3.9446500000000002</v>
      </c>
      <c r="D5" s="66">
        <v>10.2683</v>
      </c>
      <c r="E5" s="66">
        <v>20</v>
      </c>
      <c r="F5" s="66">
        <v>30.8795</v>
      </c>
      <c r="G5" s="66">
        <v>50</v>
      </c>
      <c r="H5" s="66">
        <v>47.758400000000002</v>
      </c>
    </row>
    <row r="6" spans="1:8">
      <c r="A6" s="66" t="s">
        <v>303</v>
      </c>
      <c r="B6" s="66">
        <v>31.644400000000001</v>
      </c>
      <c r="C6" s="66">
        <v>2.3173400000000002</v>
      </c>
      <c r="D6" s="66">
        <v>7.32308</v>
      </c>
      <c r="E6" s="66">
        <v>20</v>
      </c>
      <c r="F6" s="66">
        <v>28.976900000000001</v>
      </c>
      <c r="G6" s="66">
        <v>40</v>
      </c>
      <c r="H6" s="66">
        <v>37.131599999999999</v>
      </c>
    </row>
    <row r="7" spans="1:8">
      <c r="A7" s="66" t="s">
        <v>304</v>
      </c>
      <c r="B7" s="66">
        <v>22.014299999999999</v>
      </c>
      <c r="C7" s="66">
        <v>7.4252500000000001</v>
      </c>
      <c r="D7" s="66">
        <v>33.729199999999999</v>
      </c>
      <c r="E7" s="66">
        <v>15</v>
      </c>
      <c r="F7" s="66">
        <v>10.621600000000001</v>
      </c>
      <c r="G7" s="66">
        <v>40</v>
      </c>
      <c r="H7" s="66">
        <v>48.631399999999999</v>
      </c>
    </row>
    <row r="8" spans="1:8">
      <c r="A8" s="66" t="s">
        <v>305</v>
      </c>
      <c r="B8" s="66">
        <v>30.813600000000001</v>
      </c>
      <c r="C8" s="66">
        <v>2.82273</v>
      </c>
      <c r="D8" s="66">
        <v>9.16066</v>
      </c>
      <c r="E8" s="66">
        <v>20</v>
      </c>
      <c r="F8" s="66">
        <v>27.410299999999999</v>
      </c>
      <c r="G8" s="66">
        <v>50</v>
      </c>
      <c r="H8" s="66">
        <v>40.229900000000001</v>
      </c>
    </row>
    <row r="9" spans="1:8">
      <c r="A9" s="66" t="s">
        <v>306</v>
      </c>
      <c r="B9" s="66">
        <v>68.506699999999995</v>
      </c>
      <c r="C9" s="66">
        <v>5.6140100000000004</v>
      </c>
      <c r="D9" s="66">
        <v>8.1948399999999992</v>
      </c>
      <c r="E9" s="66">
        <v>50</v>
      </c>
      <c r="F9" s="66">
        <v>55.817399999999999</v>
      </c>
      <c r="G9" s="66">
        <v>100</v>
      </c>
      <c r="H9" s="66">
        <v>79.775400000000005</v>
      </c>
    </row>
    <row r="10" spans="1:8">
      <c r="A10" s="66" t="s">
        <v>307</v>
      </c>
      <c r="B10" s="66">
        <v>73.767399999999995</v>
      </c>
      <c r="C10" s="66">
        <v>2.0097999999999998</v>
      </c>
      <c r="D10" s="66">
        <v>2.72451</v>
      </c>
      <c r="E10" s="66">
        <v>40</v>
      </c>
      <c r="F10" s="66">
        <v>67.745199999999997</v>
      </c>
      <c r="G10" s="66">
        <v>100</v>
      </c>
      <c r="H10" s="66">
        <v>75.577299999999994</v>
      </c>
    </row>
    <row r="11" spans="1:8">
      <c r="A11" s="66" t="s">
        <v>308</v>
      </c>
      <c r="B11" s="66">
        <v>26.418600000000001</v>
      </c>
      <c r="C11" s="66">
        <v>3.8486699999999998</v>
      </c>
      <c r="D11" s="66">
        <v>14.568</v>
      </c>
      <c r="E11" s="66">
        <v>10</v>
      </c>
      <c r="F11" s="66">
        <v>19.7485</v>
      </c>
      <c r="G11" s="66">
        <v>50</v>
      </c>
      <c r="H11" s="66">
        <v>34.601500000000001</v>
      </c>
    </row>
    <row r="12" spans="1:8">
      <c r="A12" s="66" t="s">
        <v>309</v>
      </c>
      <c r="B12" s="66">
        <v>70.425299999999993</v>
      </c>
      <c r="C12" s="66">
        <v>2.8519299999999999</v>
      </c>
      <c r="D12" s="66">
        <v>4.0495799999999997</v>
      </c>
      <c r="E12" s="66">
        <v>50</v>
      </c>
      <c r="F12" s="66">
        <v>65.025899999999993</v>
      </c>
      <c r="G12" s="66">
        <v>100</v>
      </c>
      <c r="H12" s="66">
        <v>76.957999999999998</v>
      </c>
    </row>
    <row r="13" spans="1:8">
      <c r="A13" s="66" t="s">
        <v>310</v>
      </c>
      <c r="B13" s="66">
        <v>18.851800000000001</v>
      </c>
      <c r="C13" s="66">
        <v>4.0709999999999997</v>
      </c>
      <c r="D13" s="66">
        <v>21.5947</v>
      </c>
      <c r="E13" s="66">
        <v>10</v>
      </c>
      <c r="F13" s="66">
        <v>11.1877</v>
      </c>
      <c r="G13" s="66">
        <v>25</v>
      </c>
      <c r="H13" s="66">
        <v>29.469799999999999</v>
      </c>
    </row>
    <row r="14" spans="1:8">
      <c r="A14" s="66" t="s">
        <v>311</v>
      </c>
      <c r="B14" s="66">
        <v>40.71</v>
      </c>
      <c r="C14" s="66">
        <v>10.9024</v>
      </c>
      <c r="D14" s="66">
        <v>26.7807</v>
      </c>
      <c r="E14" s="66">
        <v>10</v>
      </c>
      <c r="F14" s="66">
        <v>1.28983</v>
      </c>
      <c r="G14" s="66">
        <v>50</v>
      </c>
      <c r="H14" s="66">
        <v>42.874499999999998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0.53939499999999996</v>
      </c>
      <c r="C18" s="66">
        <v>0.102438</v>
      </c>
      <c r="D18" s="66">
        <v>0.189912</v>
      </c>
      <c r="E18" s="66">
        <v>0</v>
      </c>
      <c r="F18" s="66">
        <v>0.43695699999999998</v>
      </c>
      <c r="G18" s="66">
        <v>0</v>
      </c>
      <c r="H18" s="66">
        <v>0.64183199999999996</v>
      </c>
    </row>
    <row r="19" spans="1:8">
      <c r="A19" s="66" t="s">
        <v>316</v>
      </c>
      <c r="B19" s="66">
        <v>0.60710600000000003</v>
      </c>
      <c r="C19" s="66">
        <v>6.4462500000000006E-2</v>
      </c>
      <c r="D19" s="66">
        <v>0.10618</v>
      </c>
      <c r="E19" s="66">
        <v>0</v>
      </c>
      <c r="F19" s="66">
        <v>0.54264400000000002</v>
      </c>
      <c r="G19" s="66">
        <v>0</v>
      </c>
      <c r="H19" s="66">
        <v>0.67156899999999997</v>
      </c>
    </row>
    <row r="20" spans="1:8">
      <c r="A20" s="66" t="s">
        <v>317</v>
      </c>
      <c r="B20" s="66">
        <v>4.9256200000000003E-3</v>
      </c>
      <c r="C20" s="66">
        <v>3.8824200000000003E-2</v>
      </c>
      <c r="D20" s="66">
        <v>7.8820899999999998</v>
      </c>
      <c r="E20" s="66">
        <v>0</v>
      </c>
      <c r="F20" s="66">
        <v>0</v>
      </c>
      <c r="G20" s="66">
        <v>0</v>
      </c>
      <c r="H20" s="66">
        <v>0.29446800000000001</v>
      </c>
    </row>
    <row r="21" spans="1:8">
      <c r="A21" s="66" t="s">
        <v>318</v>
      </c>
      <c r="B21" s="66">
        <v>0.32735399999999998</v>
      </c>
      <c r="C21" s="66">
        <v>0.68841799999999997</v>
      </c>
      <c r="D21" s="66">
        <v>2.1029800000000001</v>
      </c>
      <c r="E21" s="66">
        <v>0</v>
      </c>
      <c r="F21" s="66">
        <v>4.6068100000000002E-3</v>
      </c>
      <c r="G21" s="66">
        <v>0</v>
      </c>
      <c r="H21" s="66">
        <v>3.20221</v>
      </c>
    </row>
    <row r="22" spans="1:8">
      <c r="A22" s="66" t="s">
        <v>319</v>
      </c>
      <c r="B22" s="66">
        <v>45.959099999999999</v>
      </c>
      <c r="C22" s="66">
        <v>14.260999999999999</v>
      </c>
      <c r="D22" s="66">
        <v>0.31029800000000002</v>
      </c>
      <c r="E22" s="66">
        <v>0</v>
      </c>
      <c r="F22" s="66">
        <v>25.261800000000001</v>
      </c>
      <c r="G22" s="66">
        <v>0</v>
      </c>
      <c r="H22" s="66">
        <v>87.675399999999996</v>
      </c>
    </row>
    <row r="23" spans="1:8">
      <c r="A23" s="66" t="s">
        <v>320</v>
      </c>
      <c r="B23" s="66">
        <v>20.353400000000001</v>
      </c>
      <c r="C23" s="66">
        <v>5.2208199999999998</v>
      </c>
      <c r="D23" s="66">
        <v>0.25650899999999999</v>
      </c>
      <c r="E23" s="66">
        <v>0</v>
      </c>
      <c r="F23" s="66">
        <v>15.146599999999999</v>
      </c>
      <c r="G23" s="66">
        <v>0</v>
      </c>
      <c r="H23" s="66">
        <v>34.752400000000002</v>
      </c>
    </row>
    <row r="24" spans="1:8">
      <c r="A24" s="66" t="s">
        <v>321</v>
      </c>
      <c r="B24" s="66">
        <v>8.7448200000000004E-3</v>
      </c>
      <c r="C24" s="66">
        <v>3.2144399999999997E-2</v>
      </c>
      <c r="D24" s="66">
        <v>3.6758199999999999</v>
      </c>
      <c r="E24" s="66">
        <v>0</v>
      </c>
      <c r="F24" s="66">
        <v>1.2169500000000001E-4</v>
      </c>
      <c r="G24" s="66">
        <v>0</v>
      </c>
      <c r="H24" s="66">
        <v>0.20036200000000001</v>
      </c>
    </row>
    <row r="25" spans="1:8">
      <c r="A25" s="66" t="s">
        <v>322</v>
      </c>
      <c r="B25" s="66">
        <v>0.42309200000000002</v>
      </c>
      <c r="C25" s="66">
        <v>0.42842200000000003</v>
      </c>
      <c r="D25" s="66">
        <v>1.0125999999999999</v>
      </c>
      <c r="E25" s="66">
        <v>0</v>
      </c>
      <c r="F25" s="66">
        <v>5.6816899999999997E-2</v>
      </c>
      <c r="G25" s="66">
        <v>0</v>
      </c>
      <c r="H25" s="66">
        <v>1.7278</v>
      </c>
    </row>
    <row r="26" spans="1:8">
      <c r="A26" s="66" t="s">
        <v>323</v>
      </c>
      <c r="B26" s="66">
        <v>1.3934500000000001E-3</v>
      </c>
      <c r="C26" s="66">
        <v>5.7238300000000001E-3</v>
      </c>
      <c r="D26" s="66">
        <v>4.1076699999999997</v>
      </c>
      <c r="E26" s="66">
        <v>0</v>
      </c>
      <c r="F26" s="66">
        <v>0</v>
      </c>
      <c r="G26" s="66">
        <v>0</v>
      </c>
      <c r="H26" s="66">
        <v>3.4870699999999998E-2</v>
      </c>
    </row>
    <row r="27" spans="1:8">
      <c r="A27" s="66" t="s">
        <v>324</v>
      </c>
      <c r="B27" s="196">
        <v>-1.64128E-5</v>
      </c>
      <c r="C27" s="66">
        <v>2.0232200000000001E-3</v>
      </c>
      <c r="D27" s="66">
        <v>-123.271</v>
      </c>
      <c r="E27" s="66">
        <v>0</v>
      </c>
      <c r="F27" s="66">
        <v>-1.40494E-2</v>
      </c>
      <c r="G27" s="66">
        <v>0</v>
      </c>
      <c r="H27" s="66">
        <v>1.8779500000000001E-2</v>
      </c>
    </row>
    <row r="28" spans="1:8">
      <c r="A28" s="66" t="s">
        <v>325</v>
      </c>
      <c r="B28" s="66">
        <v>3.9550799999999997E-2</v>
      </c>
      <c r="C28" s="66">
        <v>4.4427399999999999E-2</v>
      </c>
      <c r="D28" s="66">
        <v>1.1233</v>
      </c>
      <c r="E28" s="66">
        <v>0</v>
      </c>
      <c r="F28" s="66">
        <v>1.68294E-3</v>
      </c>
      <c r="G28" s="66">
        <v>0</v>
      </c>
      <c r="H28" s="66">
        <v>0.182529</v>
      </c>
    </row>
    <row r="29" spans="1:8">
      <c r="A29" s="66" t="s">
        <v>326</v>
      </c>
      <c r="B29" s="66">
        <v>75.634799999999998</v>
      </c>
      <c r="C29" s="66">
        <v>8.1304499999999997</v>
      </c>
      <c r="D29" s="66">
        <v>0.10749599999999999</v>
      </c>
      <c r="E29" s="66">
        <v>0</v>
      </c>
      <c r="F29" s="66">
        <v>58.491399999999999</v>
      </c>
      <c r="G29" s="66">
        <v>0</v>
      </c>
      <c r="H29" s="66">
        <v>99.286799999999999</v>
      </c>
    </row>
    <row r="30" spans="1:8">
      <c r="A30" s="66" t="s">
        <v>327</v>
      </c>
      <c r="B30" s="66">
        <v>29.773900000000001</v>
      </c>
      <c r="C30" s="66">
        <v>5.2364699999999997</v>
      </c>
      <c r="D30" s="66">
        <v>0.175874</v>
      </c>
      <c r="E30" s="66">
        <v>0</v>
      </c>
      <c r="F30" s="66">
        <v>24.4939</v>
      </c>
      <c r="G30" s="66">
        <v>0</v>
      </c>
      <c r="H30" s="66">
        <v>44.823799999999999</v>
      </c>
    </row>
    <row r="31" spans="1:8">
      <c r="A31" s="66" t="s">
        <v>328</v>
      </c>
      <c r="B31" s="66">
        <v>185.38</v>
      </c>
      <c r="C31" s="66">
        <v>17.139399999999998</v>
      </c>
      <c r="D31" s="66">
        <v>9.2455399999999993E-2</v>
      </c>
      <c r="E31" s="66">
        <v>0</v>
      </c>
      <c r="F31" s="66">
        <v>152.262</v>
      </c>
      <c r="G31" s="66">
        <v>0</v>
      </c>
      <c r="H31" s="66">
        <v>219.65700000000001</v>
      </c>
    </row>
    <row r="32" spans="1:8">
      <c r="A32" s="66" t="s">
        <v>329</v>
      </c>
      <c r="B32" s="66">
        <v>0.22014300000000001</v>
      </c>
      <c r="C32" s="66">
        <v>7.4252499999999999E-2</v>
      </c>
      <c r="D32" s="66">
        <v>0.33729199999999998</v>
      </c>
      <c r="E32" s="66">
        <v>0.15</v>
      </c>
      <c r="F32" s="66">
        <v>0.106216</v>
      </c>
      <c r="G32" s="66">
        <v>0.4</v>
      </c>
      <c r="H32" s="66">
        <v>0.48631400000000002</v>
      </c>
    </row>
    <row r="33" spans="1:8">
      <c r="A33" s="66" t="s">
        <v>330</v>
      </c>
      <c r="B33" s="66">
        <v>0.29297000000000001</v>
      </c>
      <c r="C33" s="66">
        <v>5.1854699999999997E-2</v>
      </c>
      <c r="D33" s="66">
        <v>0.17699599999999999</v>
      </c>
      <c r="E33" s="66">
        <v>0</v>
      </c>
      <c r="F33" s="66">
        <v>0.24660299999999999</v>
      </c>
      <c r="G33" s="66">
        <v>0</v>
      </c>
      <c r="H33" s="66">
        <v>0.41048800000000002</v>
      </c>
    </row>
    <row r="34" spans="1:8">
      <c r="A34" s="66" t="s">
        <v>331</v>
      </c>
      <c r="B34" s="66">
        <v>0.18851799999999999</v>
      </c>
      <c r="C34" s="66">
        <v>4.0710000000000003E-2</v>
      </c>
      <c r="D34" s="66">
        <v>0.215947</v>
      </c>
      <c r="E34" s="66">
        <v>0.1</v>
      </c>
      <c r="F34" s="66">
        <v>0.111877</v>
      </c>
      <c r="G34" s="66">
        <v>0.25</v>
      </c>
      <c r="H34" s="66">
        <v>0.29469800000000002</v>
      </c>
    </row>
    <row r="35" spans="1:8">
      <c r="A35" s="66" t="s">
        <v>332</v>
      </c>
      <c r="B35" s="66">
        <v>8.9577699999999996E-2</v>
      </c>
      <c r="C35" s="66">
        <v>3.6175199999999998E-2</v>
      </c>
      <c r="D35" s="66">
        <v>0.40384199999999998</v>
      </c>
      <c r="E35" s="66">
        <v>0</v>
      </c>
      <c r="F35" s="66">
        <v>1.6514500000000001E-2</v>
      </c>
      <c r="G35" s="66">
        <v>0</v>
      </c>
      <c r="H35" s="66">
        <v>0.18187400000000001</v>
      </c>
    </row>
    <row r="36" spans="1:8">
      <c r="A36" s="66" t="s">
        <v>333</v>
      </c>
      <c r="B36" s="66">
        <v>0.15503500000000001</v>
      </c>
      <c r="C36" s="66">
        <v>0.10687199999999999</v>
      </c>
      <c r="D36" s="66">
        <v>0.68934300000000004</v>
      </c>
      <c r="E36" s="66">
        <v>0</v>
      </c>
      <c r="F36" s="66">
        <v>4.5731399999999998E-2</v>
      </c>
      <c r="G36" s="66">
        <v>0</v>
      </c>
      <c r="H36" s="66">
        <v>0.61250400000000005</v>
      </c>
    </row>
    <row r="37" spans="1:8">
      <c r="A37" s="66" t="s">
        <v>334</v>
      </c>
      <c r="B37" s="66">
        <v>0.40710000000000002</v>
      </c>
      <c r="C37" s="66">
        <v>0.109024</v>
      </c>
      <c r="D37" s="66">
        <v>0.26780700000000002</v>
      </c>
      <c r="E37" s="66">
        <v>0.1</v>
      </c>
      <c r="F37" s="66">
        <v>1.28983E-2</v>
      </c>
      <c r="G37" s="66">
        <v>0.5</v>
      </c>
      <c r="H37" s="66">
        <v>0.42874499999999999</v>
      </c>
    </row>
    <row r="38" spans="1:8">
      <c r="A38" s="66" t="s">
        <v>335</v>
      </c>
      <c r="B38" s="66">
        <v>-38.927500000000002</v>
      </c>
      <c r="C38" s="66">
        <v>55.049399999999999</v>
      </c>
      <c r="D38" s="66">
        <v>-1.41415</v>
      </c>
      <c r="E38" s="66">
        <v>0</v>
      </c>
      <c r="F38" s="66">
        <v>-202.76599999999999</v>
      </c>
      <c r="G38" s="66">
        <v>0</v>
      </c>
      <c r="H38" s="66">
        <v>152.59100000000001</v>
      </c>
    </row>
    <row r="39" spans="1:8">
      <c r="A39" s="66" t="s">
        <v>336</v>
      </c>
      <c r="B39" s="66">
        <v>-16.0671</v>
      </c>
      <c r="C39" s="66">
        <v>7.8546899999999997</v>
      </c>
      <c r="D39" s="66">
        <v>-0.488867</v>
      </c>
      <c r="E39" s="66">
        <v>0</v>
      </c>
      <c r="F39" s="66">
        <v>-31.8032</v>
      </c>
      <c r="G39" s="66">
        <v>0</v>
      </c>
      <c r="H39" s="66">
        <v>3.2940800000000001</v>
      </c>
    </row>
    <row r="40" spans="1:8">
      <c r="A40" s="66" t="s">
        <v>337</v>
      </c>
      <c r="B40" s="66">
        <v>-6.8813700000000004</v>
      </c>
      <c r="C40" s="66">
        <v>0.91289699999999996</v>
      </c>
      <c r="D40" s="66">
        <v>-0.132662</v>
      </c>
      <c r="E40" s="66">
        <v>0</v>
      </c>
      <c r="F40" s="66">
        <v>-9.2568199999999994</v>
      </c>
      <c r="G40" s="66">
        <v>0</v>
      </c>
      <c r="H40" s="66">
        <v>-4.60616</v>
      </c>
    </row>
    <row r="41" spans="1:8">
      <c r="A41" s="66" t="s">
        <v>338</v>
      </c>
      <c r="B41" s="66">
        <v>-0.22517999999999999</v>
      </c>
      <c r="C41" s="66">
        <v>0.24721799999999999</v>
      </c>
      <c r="D41" s="66">
        <v>-1.0978699999999999</v>
      </c>
      <c r="E41" s="66">
        <v>0</v>
      </c>
      <c r="F41" s="66">
        <v>-0.96387500000000004</v>
      </c>
      <c r="G41" s="66">
        <v>0</v>
      </c>
      <c r="H41" s="66">
        <v>0.55000000000000004</v>
      </c>
    </row>
    <row r="42" spans="1:8">
      <c r="A42" s="66" t="s">
        <v>339</v>
      </c>
      <c r="B42" s="66">
        <v>-0.23516000000000001</v>
      </c>
      <c r="C42" s="66">
        <v>9.6308099999999994E-2</v>
      </c>
      <c r="D42" s="66">
        <v>-0.40954200000000002</v>
      </c>
      <c r="E42" s="66">
        <v>0</v>
      </c>
      <c r="F42" s="66">
        <v>-0.47478199999999998</v>
      </c>
      <c r="G42" s="66">
        <v>0</v>
      </c>
      <c r="H42" s="66">
        <v>1.7505699999999999E-2</v>
      </c>
    </row>
    <row r="43" spans="1:8">
      <c r="A43" s="66" t="s">
        <v>340</v>
      </c>
      <c r="B43" s="66">
        <v>-0.13534299999999999</v>
      </c>
      <c r="C43" s="66">
        <v>7.4367299999999997E-2</v>
      </c>
      <c r="D43" s="66">
        <v>-0.54947299999999999</v>
      </c>
      <c r="E43" s="66">
        <v>0</v>
      </c>
      <c r="F43" s="66">
        <v>-0.30907299999999999</v>
      </c>
      <c r="G43" s="66">
        <v>0</v>
      </c>
      <c r="H43" s="66">
        <v>-2.99718E-2</v>
      </c>
    </row>
    <row r="44" spans="1:8">
      <c r="A44" s="66" t="s">
        <v>341</v>
      </c>
      <c r="B44" s="66">
        <v>-23.110800000000001</v>
      </c>
      <c r="C44" s="66">
        <v>13.5242</v>
      </c>
      <c r="D44" s="66">
        <v>-0.58519100000000002</v>
      </c>
      <c r="E44" s="66">
        <v>0</v>
      </c>
      <c r="F44" s="66">
        <v>-54.588299999999997</v>
      </c>
      <c r="G44" s="66">
        <v>0</v>
      </c>
      <c r="H44" s="66">
        <v>2.0814499999999998</v>
      </c>
    </row>
    <row r="45" spans="1:8">
      <c r="A45" s="66" t="s">
        <v>342</v>
      </c>
      <c r="B45" s="66">
        <v>40.304299999999998</v>
      </c>
      <c r="C45" s="66">
        <v>5.1410799999999997</v>
      </c>
      <c r="D45" s="66">
        <v>0.127557</v>
      </c>
      <c r="E45" s="66">
        <v>0</v>
      </c>
      <c r="F45" s="66">
        <v>30.961500000000001</v>
      </c>
      <c r="G45" s="66">
        <v>0</v>
      </c>
      <c r="H45" s="66">
        <v>60.402299999999997</v>
      </c>
    </row>
    <row r="46" spans="1:8">
      <c r="A46" s="66" t="s">
        <v>343</v>
      </c>
      <c r="B46" s="66">
        <v>27.346499999999999</v>
      </c>
      <c r="C46" s="66">
        <v>2.0072999999999999</v>
      </c>
      <c r="D46" s="66">
        <v>7.3402400000000007E-2</v>
      </c>
      <c r="E46" s="66">
        <v>0</v>
      </c>
      <c r="F46" s="66">
        <v>25.3429</v>
      </c>
      <c r="G46" s="66">
        <v>0</v>
      </c>
      <c r="H46" s="66">
        <v>34.826500000000003</v>
      </c>
    </row>
    <row r="47" spans="1:8">
      <c r="A47" s="66" t="s">
        <v>344</v>
      </c>
      <c r="B47" s="66">
        <v>1.8757600000000001</v>
      </c>
      <c r="C47" s="66">
        <v>0.80475300000000005</v>
      </c>
      <c r="D47" s="66">
        <v>0.42902800000000002</v>
      </c>
      <c r="E47" s="66">
        <v>0</v>
      </c>
      <c r="F47" s="66">
        <v>0.84192500000000003</v>
      </c>
      <c r="G47" s="66">
        <v>0</v>
      </c>
      <c r="H47" s="66">
        <v>4.7877700000000001</v>
      </c>
    </row>
    <row r="48" spans="1:8">
      <c r="A48" s="66" t="s">
        <v>345</v>
      </c>
      <c r="B48" s="66">
        <v>0.929261</v>
      </c>
      <c r="C48" s="66">
        <v>0.18737799999999999</v>
      </c>
      <c r="D48" s="66">
        <v>0.20164199999999999</v>
      </c>
      <c r="E48" s="66">
        <v>0</v>
      </c>
      <c r="F48" s="66">
        <v>0.579233</v>
      </c>
      <c r="G48" s="66">
        <v>0</v>
      </c>
      <c r="H48" s="66">
        <v>1.31158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349</v>
      </c>
      <c r="B1" s="60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91.971433800740257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1.7747673479685435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0.59525912226691968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159</v>
      </c>
      <c r="B8" s="66">
        <v>159</v>
      </c>
      <c r="D8">
        <f t="shared" si="0"/>
        <v>7.2205117026784011E-4</v>
      </c>
      <c r="E8">
        <f t="shared" si="0"/>
        <v>7.2205117026784011E-4</v>
      </c>
      <c r="G8">
        <f t="shared" ca="1" si="1"/>
        <v>6</v>
      </c>
      <c r="H8">
        <f t="shared" ca="1" si="2"/>
        <v>4.3323070216070405E-3</v>
      </c>
      <c r="I8">
        <f t="shared" ca="1" si="3"/>
        <v>5.336743328206567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304</v>
      </c>
      <c r="B10" s="66">
        <v>304</v>
      </c>
      <c r="D10">
        <f t="shared" si="0"/>
        <v>1.3805255079334805E-3</v>
      </c>
      <c r="E10">
        <f t="shared" si="0"/>
        <v>1.3805255079334805E-3</v>
      </c>
      <c r="G10">
        <f t="shared" ca="1" si="1"/>
        <v>8</v>
      </c>
      <c r="H10">
        <f t="shared" ca="1" si="2"/>
        <v>1.1044204063467844E-2</v>
      </c>
      <c r="I10">
        <f t="shared" ca="1" si="3"/>
        <v>9.7343638009129609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1946</v>
      </c>
      <c r="B13" s="66">
        <v>1946</v>
      </c>
      <c r="D13">
        <f t="shared" si="0"/>
        <v>8.837179731705766E-3</v>
      </c>
      <c r="E13">
        <f t="shared" si="0"/>
        <v>8.837179731705766E-3</v>
      </c>
      <c r="G13">
        <f t="shared" ca="1" si="1"/>
        <v>11</v>
      </c>
      <c r="H13">
        <f t="shared" ca="1" si="2"/>
        <v>9.7208977048763426E-2</v>
      </c>
      <c r="I13">
        <f t="shared" ca="1" si="3"/>
        <v>57.939847399893502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4431</v>
      </c>
      <c r="B15" s="66">
        <v>4431</v>
      </c>
      <c r="D15">
        <f t="shared" si="0"/>
        <v>2.0122067518596222E-2</v>
      </c>
      <c r="E15">
        <f t="shared" si="0"/>
        <v>2.0122067518596222E-2</v>
      </c>
      <c r="G15">
        <f t="shared" ca="1" si="1"/>
        <v>13</v>
      </c>
      <c r="H15">
        <f t="shared" ca="1" si="2"/>
        <v>0.26158687774175088</v>
      </c>
      <c r="I15">
        <f t="shared" ca="1" si="3"/>
        <v>125.49101966726414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8757</v>
      </c>
      <c r="B18" s="66">
        <v>8757</v>
      </c>
      <c r="D18">
        <f t="shared" si="0"/>
        <v>3.9767308792675947E-2</v>
      </c>
      <c r="E18">
        <f t="shared" si="0"/>
        <v>3.9767308792675947E-2</v>
      </c>
      <c r="G18">
        <f t="shared" ca="1" si="1"/>
        <v>16</v>
      </c>
      <c r="H18">
        <f t="shared" ca="1" si="2"/>
        <v>0.63627694068281515</v>
      </c>
      <c r="I18">
        <f t="shared" ca="1" si="3"/>
        <v>229.52333590594012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9952</v>
      </c>
      <c r="B21" s="66">
        <v>9952</v>
      </c>
      <c r="D21">
        <f t="shared" si="0"/>
        <v>4.5194045575506568E-2</v>
      </c>
      <c r="E21">
        <f t="shared" si="0"/>
        <v>4.5194045575506568E-2</v>
      </c>
      <c r="G21">
        <f t="shared" ca="1" si="1"/>
        <v>19</v>
      </c>
      <c r="H21">
        <f t="shared" ca="1" si="2"/>
        <v>0.85868686593462484</v>
      </c>
      <c r="I21">
        <f t="shared" ca="1" si="3"/>
        <v>240.65061652322487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9531</v>
      </c>
      <c r="B23" s="66">
        <v>9531</v>
      </c>
      <c r="D23">
        <f t="shared" si="0"/>
        <v>4.3282199395111846E-2</v>
      </c>
      <c r="E23">
        <f t="shared" si="0"/>
        <v>4.3282199395111846E-2</v>
      </c>
      <c r="G23">
        <f t="shared" ca="1" si="1"/>
        <v>21</v>
      </c>
      <c r="H23">
        <f t="shared" ca="1" si="2"/>
        <v>0.90892618729734875</v>
      </c>
      <c r="I23">
        <f t="shared" ca="1" si="3"/>
        <v>218.01003254384466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11323</v>
      </c>
      <c r="B26" s="66">
        <v>11323</v>
      </c>
      <c r="D26">
        <f t="shared" si="0"/>
        <v>5.1420033968193418E-2</v>
      </c>
      <c r="E26">
        <f t="shared" si="0"/>
        <v>5.1420033968193418E-2</v>
      </c>
      <c r="G26">
        <f t="shared" ca="1" si="1"/>
        <v>24</v>
      </c>
      <c r="H26">
        <f t="shared" ca="1" si="2"/>
        <v>1.234080815236642</v>
      </c>
      <c r="I26">
        <f t="shared" ca="1" si="3"/>
        <v>237.56651203776664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18781</v>
      </c>
      <c r="B28" s="66">
        <v>18781</v>
      </c>
      <c r="D28">
        <f t="shared" si="0"/>
        <v>8.5288320935850981E-2</v>
      </c>
      <c r="E28">
        <f t="shared" si="0"/>
        <v>8.5288320935850981E-2</v>
      </c>
      <c r="G28">
        <f t="shared" ca="1" si="1"/>
        <v>26</v>
      </c>
      <c r="H28">
        <f t="shared" ca="1" si="2"/>
        <v>2.2174963443321256</v>
      </c>
      <c r="I28">
        <f t="shared" ca="1" si="3"/>
        <v>371.19439565571219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26466</v>
      </c>
      <c r="B31" s="66">
        <v>26466</v>
      </c>
      <c r="D31">
        <f t="shared" si="0"/>
        <v>0.12018746083212992</v>
      </c>
      <c r="E31">
        <f t="shared" si="0"/>
        <v>0.12018746083212992</v>
      </c>
      <c r="G31">
        <f t="shared" ca="1" si="1"/>
        <v>29</v>
      </c>
      <c r="H31">
        <f t="shared" ca="1" si="2"/>
        <v>3.4854363641317674</v>
      </c>
      <c r="I31">
        <f t="shared" ca="1" si="3"/>
        <v>476.5915344507394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34599</v>
      </c>
      <c r="B33" s="66">
        <v>34599</v>
      </c>
      <c r="D33">
        <f t="shared" si="0"/>
        <v>0.15712105937167925</v>
      </c>
      <c r="E33">
        <f t="shared" si="0"/>
        <v>0.15712105937167925</v>
      </c>
      <c r="G33">
        <f t="shared" ca="1" si="1"/>
        <v>31</v>
      </c>
      <c r="H33">
        <f t="shared" ca="1" si="2"/>
        <v>4.8707528405220568</v>
      </c>
      <c r="I33">
        <f t="shared" ca="1" si="3"/>
        <v>584.10001125539202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38019</v>
      </c>
      <c r="B36" s="66">
        <v>38019</v>
      </c>
      <c r="D36">
        <f t="shared" si="0"/>
        <v>0.17265197133593091</v>
      </c>
      <c r="E36">
        <f t="shared" si="0"/>
        <v>0.17265197133593091</v>
      </c>
      <c r="G36">
        <f t="shared" ca="1" si="1"/>
        <v>34</v>
      </c>
      <c r="H36">
        <f t="shared" ca="1" si="2"/>
        <v>5.8701670254216509</v>
      </c>
      <c r="I36">
        <f t="shared" ca="1" si="3"/>
        <v>580.22925923144032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48410</v>
      </c>
      <c r="B39" s="66">
        <v>48410</v>
      </c>
      <c r="D39">
        <f t="shared" si="0"/>
        <v>0.21983960473374931</v>
      </c>
      <c r="E39">
        <f t="shared" si="0"/>
        <v>0.21983960473374931</v>
      </c>
      <c r="G39">
        <f t="shared" ca="1" si="1"/>
        <v>37</v>
      </c>
      <c r="H39">
        <f t="shared" ca="1" si="2"/>
        <v>8.1340653751487242</v>
      </c>
      <c r="I39">
        <f t="shared" ca="1" si="3"/>
        <v>664.32418569986669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55877</v>
      </c>
      <c r="B41" s="66">
        <v>55877</v>
      </c>
      <c r="D41">
        <f t="shared" si="0"/>
        <v>0.25374876252236545</v>
      </c>
      <c r="E41">
        <f t="shared" si="0"/>
        <v>0.25374876252236545</v>
      </c>
      <c r="G41">
        <f t="shared" ca="1" si="1"/>
        <v>39</v>
      </c>
      <c r="H41">
        <f t="shared" ca="1" si="2"/>
        <v>9.8962017383722518</v>
      </c>
      <c r="I41">
        <f t="shared" ca="1" si="3"/>
        <v>712.01212539386836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65964</v>
      </c>
      <c r="B44" s="66">
        <v>65964</v>
      </c>
      <c r="D44">
        <f t="shared" si="0"/>
        <v>0.29955587041225035</v>
      </c>
      <c r="E44">
        <f t="shared" si="0"/>
        <v>0.29955587041225035</v>
      </c>
      <c r="G44">
        <f t="shared" ca="1" si="1"/>
        <v>42</v>
      </c>
      <c r="H44">
        <f t="shared" ca="1" si="2"/>
        <v>12.581346557314514</v>
      </c>
      <c r="I44">
        <f t="shared" ca="1" si="3"/>
        <v>748.0342032081636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80752</v>
      </c>
      <c r="B46" s="66">
        <v>80752</v>
      </c>
      <c r="D46">
        <f t="shared" si="0"/>
        <v>0.3667111704494882</v>
      </c>
      <c r="E46">
        <f t="shared" si="0"/>
        <v>0.3667111704494882</v>
      </c>
      <c r="G46">
        <f t="shared" ca="1" si="1"/>
        <v>44</v>
      </c>
      <c r="H46">
        <f t="shared" ca="1" si="2"/>
        <v>16.13529149977748</v>
      </c>
      <c r="I46">
        <f t="shared" ca="1" si="3"/>
        <v>843.89718370298851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96323</v>
      </c>
      <c r="B49" s="66">
        <v>96323</v>
      </c>
      <c r="D49">
        <f t="shared" si="0"/>
        <v>0.43742223191012053</v>
      </c>
      <c r="E49">
        <f t="shared" si="0"/>
        <v>0.43742223191012053</v>
      </c>
      <c r="G49">
        <f t="shared" ca="1" si="1"/>
        <v>47</v>
      </c>
      <c r="H49">
        <f t="shared" ca="1" si="2"/>
        <v>20.558844899775664</v>
      </c>
      <c r="I49">
        <f t="shared" ca="1" si="3"/>
        <v>884.65578240930472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108007</v>
      </c>
      <c r="B51" s="66">
        <v>108007</v>
      </c>
      <c r="D51">
        <f t="shared" si="0"/>
        <v>0.49048163991898497</v>
      </c>
      <c r="E51">
        <f t="shared" si="0"/>
        <v>0.49048163991898497</v>
      </c>
      <c r="G51">
        <f t="shared" ca="1" si="1"/>
        <v>49</v>
      </c>
      <c r="H51">
        <f t="shared" ca="1" si="2"/>
        <v>24.033600356030263</v>
      </c>
      <c r="I51">
        <f t="shared" ca="1" si="3"/>
        <v>905.69598957853873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117659</v>
      </c>
      <c r="B54" s="66">
        <v>117659</v>
      </c>
      <c r="D54">
        <f t="shared" si="0"/>
        <v>0.5343133247958729</v>
      </c>
      <c r="E54">
        <f t="shared" si="0"/>
        <v>0.5343133247958729</v>
      </c>
      <c r="G54">
        <f t="shared" ca="1" si="1"/>
        <v>52</v>
      </c>
      <c r="H54">
        <f t="shared" ca="1" si="2"/>
        <v>27.784292889385391</v>
      </c>
      <c r="I54">
        <f t="shared" ca="1" si="3"/>
        <v>853.6806916156313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125036</v>
      </c>
      <c r="B57" s="66">
        <v>125036</v>
      </c>
      <c r="D57">
        <f t="shared" si="0"/>
        <v>0.56781377437490355</v>
      </c>
      <c r="E57">
        <f t="shared" si="0"/>
        <v>0.56781377437490355</v>
      </c>
      <c r="G57">
        <f t="shared" ca="1" si="1"/>
        <v>55</v>
      </c>
      <c r="H57">
        <f t="shared" ca="1" si="2"/>
        <v>31.229757590619695</v>
      </c>
      <c r="I57">
        <f t="shared" ca="1" si="3"/>
        <v>776.13721964586375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134902</v>
      </c>
      <c r="B59" s="66">
        <v>134902</v>
      </c>
      <c r="D59">
        <f t="shared" si="0"/>
        <v>0.61261727655013942</v>
      </c>
      <c r="E59">
        <f t="shared" si="0"/>
        <v>0.61261727655013942</v>
      </c>
      <c r="G59">
        <f t="shared" ca="1" si="1"/>
        <v>57</v>
      </c>
      <c r="H59">
        <f t="shared" ca="1" si="2"/>
        <v>34.919184763357947</v>
      </c>
      <c r="I59">
        <f t="shared" ca="1" si="3"/>
        <v>749.23165338318017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148112</v>
      </c>
      <c r="B62" s="66">
        <v>148112</v>
      </c>
      <c r="D62">
        <f t="shared" si="0"/>
        <v>0.67260655931264357</v>
      </c>
      <c r="E62">
        <f t="shared" si="0"/>
        <v>0.67260655931264357</v>
      </c>
      <c r="G62">
        <f t="shared" ca="1" si="1"/>
        <v>60</v>
      </c>
      <c r="H62">
        <f t="shared" ca="1" si="2"/>
        <v>40.356393558758612</v>
      </c>
      <c r="I62">
        <f t="shared" ca="1" si="3"/>
        <v>687.5199815699666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174161</v>
      </c>
      <c r="B64" s="66">
        <v>174161</v>
      </c>
      <c r="D64">
        <f t="shared" si="0"/>
        <v>0.7909003387736937</v>
      </c>
      <c r="E64">
        <f t="shared" si="0"/>
        <v>0.7909003387736937</v>
      </c>
      <c r="G64">
        <f t="shared" ca="1" si="1"/>
        <v>62</v>
      </c>
      <c r="H64">
        <f t="shared" ca="1" si="2"/>
        <v>49.035821003969012</v>
      </c>
      <c r="I64">
        <f t="shared" ca="1" si="3"/>
        <v>710.45536929262005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177301</v>
      </c>
      <c r="B67" s="66">
        <v>177301</v>
      </c>
      <c r="D67">
        <f t="shared" ref="D67:E130" si="4">IFERROR( A67/MAX(A$2:A$257), 0 )</f>
        <v>0.80515971408590137</v>
      </c>
      <c r="E67">
        <f t="shared" si="4"/>
        <v>0.80515971408590137</v>
      </c>
      <c r="G67">
        <f t="shared" ref="G67:G130" ca="1" si="5">CELL("row",D67)-2</f>
        <v>65</v>
      </c>
      <c r="H67">
        <f t="shared" ref="H67:H130" ca="1" si="6">D67*G67</f>
        <v>52.335381415583591</v>
      </c>
      <c r="I67">
        <f t="shared" ref="I67:I130" ca="1" si="7">D67*((G67-$L$1)^2)</f>
        <v>585.72006954854533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192074</v>
      </c>
      <c r="B69" s="66">
        <v>192074</v>
      </c>
      <c r="D69">
        <f t="shared" si="4"/>
        <v>0.87224689608820827</v>
      </c>
      <c r="E69">
        <f t="shared" si="4"/>
        <v>0.87224689608820827</v>
      </c>
      <c r="G69">
        <f t="shared" ca="1" si="5"/>
        <v>67</v>
      </c>
      <c r="H69">
        <f t="shared" ca="1" si="6"/>
        <v>58.440542037909957</v>
      </c>
      <c r="I69">
        <f t="shared" ca="1" si="7"/>
        <v>543.90918290092623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201289</v>
      </c>
      <c r="B72" s="66">
        <v>201289</v>
      </c>
      <c r="D72">
        <f t="shared" si="4"/>
        <v>0.91409407554744193</v>
      </c>
      <c r="E72">
        <f t="shared" si="4"/>
        <v>0.91409407554744193</v>
      </c>
      <c r="G72">
        <f t="shared" ca="1" si="5"/>
        <v>70</v>
      </c>
      <c r="H72">
        <f t="shared" ca="1" si="6"/>
        <v>63.986585288320939</v>
      </c>
      <c r="I72">
        <f t="shared" ca="1" si="7"/>
        <v>441.27334197689817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211562</v>
      </c>
      <c r="B75" s="66">
        <v>211562</v>
      </c>
      <c r="D75">
        <f t="shared" si="4"/>
        <v>0.96074584707047039</v>
      </c>
      <c r="E75">
        <f t="shared" si="4"/>
        <v>0.96074584707047039</v>
      </c>
      <c r="G75">
        <f t="shared" ca="1" si="5"/>
        <v>73</v>
      </c>
      <c r="H75">
        <f t="shared" ca="1" si="6"/>
        <v>70.134446836144335</v>
      </c>
      <c r="I75">
        <f t="shared" ca="1" si="7"/>
        <v>345.78713021009764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217130</v>
      </c>
      <c r="B77" s="66">
        <v>217130</v>
      </c>
      <c r="D77">
        <f t="shared" si="4"/>
        <v>0.98603126163683097</v>
      </c>
      <c r="E77">
        <f t="shared" si="4"/>
        <v>0.98603126163683097</v>
      </c>
      <c r="G77">
        <f t="shared" ca="1" si="5"/>
        <v>75</v>
      </c>
      <c r="H77">
        <f t="shared" ca="1" si="6"/>
        <v>73.952344622762325</v>
      </c>
      <c r="I77">
        <f t="shared" ca="1" si="7"/>
        <v>284.00615561503372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215784</v>
      </c>
      <c r="B80" s="66">
        <v>215784</v>
      </c>
      <c r="D80">
        <f t="shared" si="4"/>
        <v>0.97991880330236236</v>
      </c>
      <c r="E80">
        <f t="shared" si="4"/>
        <v>0.97991880330236236</v>
      </c>
      <c r="G80">
        <f t="shared" ca="1" si="5"/>
        <v>78</v>
      </c>
      <c r="H80">
        <f t="shared" ca="1" si="6"/>
        <v>76.433666657584268</v>
      </c>
      <c r="I80">
        <f t="shared" ca="1" si="7"/>
        <v>191.2810935259715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220206</v>
      </c>
      <c r="B82" s="66">
        <v>220206</v>
      </c>
      <c r="D82">
        <f t="shared" si="4"/>
        <v>1</v>
      </c>
      <c r="E82">
        <f t="shared" si="4"/>
        <v>1</v>
      </c>
      <c r="G82">
        <f t="shared" ca="1" si="5"/>
        <v>80</v>
      </c>
      <c r="H82">
        <f t="shared" ca="1" si="6"/>
        <v>80</v>
      </c>
      <c r="I82">
        <f t="shared" ca="1" si="7"/>
        <v>143.31522724550632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198120</v>
      </c>
      <c r="B85" s="66">
        <v>198120</v>
      </c>
      <c r="D85">
        <f t="shared" si="4"/>
        <v>0.8997030053677012</v>
      </c>
      <c r="E85">
        <f t="shared" si="4"/>
        <v>0.8997030053677012</v>
      </c>
      <c r="G85">
        <f t="shared" ca="1" si="5"/>
        <v>83</v>
      </c>
      <c r="H85">
        <f t="shared" ca="1" si="6"/>
        <v>74.675349445519203</v>
      </c>
      <c r="I85">
        <f t="shared" ca="1" si="7"/>
        <v>72.414057901527457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193342</v>
      </c>
      <c r="B88" s="66">
        <v>193342</v>
      </c>
      <c r="D88">
        <f t="shared" si="4"/>
        <v>0.87800514064103607</v>
      </c>
      <c r="E88">
        <f t="shared" si="4"/>
        <v>0.87800514064103607</v>
      </c>
      <c r="G88">
        <f t="shared" ca="1" si="5"/>
        <v>86</v>
      </c>
      <c r="H88">
        <f t="shared" ca="1" si="6"/>
        <v>75.508442095129098</v>
      </c>
      <c r="I88">
        <f t="shared" ca="1" si="7"/>
        <v>31.307926302044496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188286</v>
      </c>
      <c r="B90" s="66">
        <v>188286</v>
      </c>
      <c r="D90">
        <f t="shared" si="4"/>
        <v>0.85504482166698459</v>
      </c>
      <c r="E90">
        <f t="shared" si="4"/>
        <v>0.85504482166698459</v>
      </c>
      <c r="G90">
        <f t="shared" ca="1" si="5"/>
        <v>88</v>
      </c>
      <c r="H90">
        <f t="shared" ca="1" si="6"/>
        <v>75.243944306694644</v>
      </c>
      <c r="I90">
        <f t="shared" ca="1" si="7"/>
        <v>13.486011840951301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188302</v>
      </c>
      <c r="B93" s="66">
        <v>188302</v>
      </c>
      <c r="D93">
        <f t="shared" si="4"/>
        <v>0.85511748090424422</v>
      </c>
      <c r="E93">
        <f t="shared" si="4"/>
        <v>0.85511748090424422</v>
      </c>
      <c r="G93">
        <f t="shared" ca="1" si="5"/>
        <v>91</v>
      </c>
      <c r="H93">
        <f t="shared" ca="1" si="6"/>
        <v>77.815690762286224</v>
      </c>
      <c r="I93">
        <f t="shared" ca="1" si="7"/>
        <v>0.80696036778974745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187363</v>
      </c>
      <c r="B95" s="66">
        <v>187363</v>
      </c>
      <c r="D95">
        <f t="shared" si="4"/>
        <v>0.85085329191756809</v>
      </c>
      <c r="E95">
        <f t="shared" si="4"/>
        <v>0.85085329191756809</v>
      </c>
      <c r="G95">
        <f t="shared" ca="1" si="5"/>
        <v>93</v>
      </c>
      <c r="H95">
        <f t="shared" ca="1" si="6"/>
        <v>79.129356148333827</v>
      </c>
      <c r="I95">
        <f t="shared" ca="1" si="7"/>
        <v>0.90015890116201869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187455</v>
      </c>
      <c r="B98" s="66">
        <v>187455</v>
      </c>
      <c r="D98">
        <f t="shared" si="4"/>
        <v>0.85127108253181116</v>
      </c>
      <c r="E98">
        <f t="shared" si="4"/>
        <v>0.85127108253181116</v>
      </c>
      <c r="G98">
        <f t="shared" ca="1" si="5"/>
        <v>96</v>
      </c>
      <c r="H98">
        <f t="shared" ca="1" si="6"/>
        <v>81.722023923053868</v>
      </c>
      <c r="I98">
        <f t="shared" ca="1" si="7"/>
        <v>13.815572616267993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188305</v>
      </c>
      <c r="B100" s="66">
        <v>188305</v>
      </c>
      <c r="D100">
        <f t="shared" si="4"/>
        <v>0.85513110451123042</v>
      </c>
      <c r="E100">
        <f t="shared" si="4"/>
        <v>0.85513110451123042</v>
      </c>
      <c r="G100">
        <f t="shared" ca="1" si="5"/>
        <v>98</v>
      </c>
      <c r="H100">
        <f t="shared" ca="1" si="6"/>
        <v>83.80284824210058</v>
      </c>
      <c r="I100">
        <f t="shared" ca="1" si="7"/>
        <v>31.078551719403102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178548</v>
      </c>
      <c r="B103" s="66">
        <v>178548</v>
      </c>
      <c r="D103">
        <f t="shared" si="4"/>
        <v>0.81082259338982587</v>
      </c>
      <c r="E103">
        <f t="shared" si="4"/>
        <v>0.81082259338982587</v>
      </c>
      <c r="G103">
        <f t="shared" ca="1" si="5"/>
        <v>101</v>
      </c>
      <c r="H103">
        <f t="shared" ca="1" si="6"/>
        <v>81.893081932372411</v>
      </c>
      <c r="I103">
        <f t="shared" ca="1" si="7"/>
        <v>66.094209874111783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191519</v>
      </c>
      <c r="B106" s="66">
        <v>191519</v>
      </c>
      <c r="D106">
        <f t="shared" si="4"/>
        <v>0.86972652879576395</v>
      </c>
      <c r="E106">
        <f t="shared" si="4"/>
        <v>0.86972652879576395</v>
      </c>
      <c r="G106">
        <f t="shared" ca="1" si="5"/>
        <v>104</v>
      </c>
      <c r="H106">
        <f t="shared" ca="1" si="6"/>
        <v>90.451558994759452</v>
      </c>
      <c r="I106">
        <f t="shared" ca="1" si="7"/>
        <v>125.83760461931737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179066</v>
      </c>
      <c r="B108" s="66">
        <v>179066</v>
      </c>
      <c r="D108">
        <f t="shared" si="4"/>
        <v>0.81317493619610726</v>
      </c>
      <c r="E108">
        <f t="shared" si="4"/>
        <v>0.81317493619610726</v>
      </c>
      <c r="G108">
        <f t="shared" ca="1" si="5"/>
        <v>106</v>
      </c>
      <c r="H108">
        <f t="shared" ca="1" si="6"/>
        <v>86.196543236787363</v>
      </c>
      <c r="I108">
        <f t="shared" ca="1" si="7"/>
        <v>160.03337195103393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178519</v>
      </c>
      <c r="B111" s="66">
        <v>178519</v>
      </c>
      <c r="D111">
        <f t="shared" si="4"/>
        <v>0.81069089852229281</v>
      </c>
      <c r="E111">
        <f t="shared" si="4"/>
        <v>0.81069089852229281</v>
      </c>
      <c r="G111">
        <f t="shared" ca="1" si="5"/>
        <v>109</v>
      </c>
      <c r="H111">
        <f t="shared" ca="1" si="6"/>
        <v>88.365307938929917</v>
      </c>
      <c r="I111">
        <f t="shared" ca="1" si="7"/>
        <v>235.07771538254295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177498</v>
      </c>
      <c r="B113" s="66">
        <v>177498</v>
      </c>
      <c r="D113">
        <f t="shared" si="4"/>
        <v>0.80605433094466095</v>
      </c>
      <c r="E113">
        <f t="shared" si="4"/>
        <v>0.80605433094466095</v>
      </c>
      <c r="G113">
        <f t="shared" ca="1" si="5"/>
        <v>111</v>
      </c>
      <c r="H113">
        <f t="shared" ca="1" si="6"/>
        <v>89.47203073485737</v>
      </c>
      <c r="I113">
        <f t="shared" ca="1" si="7"/>
        <v>291.8612557617306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165240</v>
      </c>
      <c r="B116" s="66">
        <v>165240</v>
      </c>
      <c r="D116">
        <f t="shared" si="4"/>
        <v>0.75038827279910625</v>
      </c>
      <c r="E116">
        <f t="shared" si="4"/>
        <v>0.75038827279910625</v>
      </c>
      <c r="G116">
        <f t="shared" ca="1" si="5"/>
        <v>114</v>
      </c>
      <c r="H116">
        <f t="shared" ca="1" si="6"/>
        <v>85.544263099098117</v>
      </c>
      <c r="I116">
        <f t="shared" ca="1" si="7"/>
        <v>364.13170897302388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153648</v>
      </c>
      <c r="B118" s="66">
        <v>153648</v>
      </c>
      <c r="D118">
        <f t="shared" si="4"/>
        <v>0.69774665540448488</v>
      </c>
      <c r="E118">
        <f t="shared" si="4"/>
        <v>0.69774665540448488</v>
      </c>
      <c r="G118">
        <f t="shared" ca="1" si="5"/>
        <v>116</v>
      </c>
      <c r="H118">
        <f t="shared" ca="1" si="6"/>
        <v>80.938612026920254</v>
      </c>
      <c r="I118">
        <f t="shared" ca="1" si="7"/>
        <v>402.85937745318267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151661</v>
      </c>
      <c r="B121" s="66">
        <v>151661</v>
      </c>
      <c r="D121">
        <f t="shared" si="4"/>
        <v>0.68872328637730129</v>
      </c>
      <c r="E121">
        <f t="shared" si="4"/>
        <v>0.68872328637730129</v>
      </c>
      <c r="G121">
        <f t="shared" ca="1" si="5"/>
        <v>119</v>
      </c>
      <c r="H121">
        <f t="shared" ca="1" si="6"/>
        <v>81.958071078898854</v>
      </c>
      <c r="I121">
        <f t="shared" ca="1" si="7"/>
        <v>503.14224494456749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143712</v>
      </c>
      <c r="B124" s="66">
        <v>143712</v>
      </c>
      <c r="D124">
        <f t="shared" si="4"/>
        <v>0.65262526906623797</v>
      </c>
      <c r="E124">
        <f t="shared" si="4"/>
        <v>0.65262526906623797</v>
      </c>
      <c r="G124">
        <f t="shared" ca="1" si="5"/>
        <v>122</v>
      </c>
      <c r="H124">
        <f t="shared" ca="1" si="6"/>
        <v>79.620282826081038</v>
      </c>
      <c r="I124">
        <f t="shared" ca="1" si="7"/>
        <v>588.48185612862301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129080</v>
      </c>
      <c r="B126" s="66">
        <v>129080</v>
      </c>
      <c r="D126">
        <f t="shared" si="4"/>
        <v>0.58617839659228177</v>
      </c>
      <c r="E126">
        <f t="shared" si="4"/>
        <v>0.58617839659228177</v>
      </c>
      <c r="G126">
        <f t="shared" ca="1" si="5"/>
        <v>124</v>
      </c>
      <c r="H126">
        <f t="shared" ca="1" si="6"/>
        <v>72.686121177442942</v>
      </c>
      <c r="I126">
        <f t="shared" ca="1" si="7"/>
        <v>601.31882933657278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127794</v>
      </c>
      <c r="B129" s="66">
        <v>127794</v>
      </c>
      <c r="D129">
        <f t="shared" si="4"/>
        <v>0.58033841039753686</v>
      </c>
      <c r="E129">
        <f t="shared" si="4"/>
        <v>0.58033841039753686</v>
      </c>
      <c r="G129">
        <f t="shared" ca="1" si="5"/>
        <v>127</v>
      </c>
      <c r="H129">
        <f t="shared" ca="1" si="6"/>
        <v>73.702978120487188</v>
      </c>
      <c r="I129">
        <f t="shared" ca="1" si="7"/>
        <v>712.07549069608899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130869</v>
      </c>
      <c r="B131" s="66">
        <v>130869</v>
      </c>
      <c r="D131">
        <f t="shared" ref="D131:E194" si="8">IFERROR( A131/MAX(A$2:A$257), 0 )</f>
        <v>0.59430260755837716</v>
      </c>
      <c r="E131">
        <f t="shared" si="8"/>
        <v>0.59430260755837716</v>
      </c>
      <c r="G131">
        <f t="shared" ref="G131:G194" ca="1" si="9">CELL("row",D131)-2</f>
        <v>129</v>
      </c>
      <c r="H131">
        <f t="shared" ref="H131:H194" ca="1" si="10">D131*G131</f>
        <v>76.665036375030652</v>
      </c>
      <c r="I131">
        <f t="shared" ref="I131:I194" ca="1" si="11">D131*((G131-$L$1)^2)</f>
        <v>814.85705025123139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122365</v>
      </c>
      <c r="B134" s="66">
        <v>122365</v>
      </c>
      <c r="D134">
        <f t="shared" si="8"/>
        <v>0.55568422295486952</v>
      </c>
      <c r="E134">
        <f t="shared" si="8"/>
        <v>0.55568422295486952</v>
      </c>
      <c r="G134">
        <f t="shared" ca="1" si="9"/>
        <v>132</v>
      </c>
      <c r="H134">
        <f t="shared" ca="1" si="10"/>
        <v>73.350317430042779</v>
      </c>
      <c r="I134">
        <f t="shared" ca="1" si="11"/>
        <v>890.36511308060597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121643</v>
      </c>
      <c r="B136" s="66">
        <v>121643</v>
      </c>
      <c r="D136">
        <f t="shared" si="8"/>
        <v>0.55240547487352754</v>
      </c>
      <c r="E136">
        <f t="shared" si="8"/>
        <v>0.55240547487352754</v>
      </c>
      <c r="G136">
        <f t="shared" ca="1" si="9"/>
        <v>134</v>
      </c>
      <c r="H136">
        <f t="shared" ca="1" si="10"/>
        <v>74.022333633052696</v>
      </c>
      <c r="I136">
        <f t="shared" ca="1" si="11"/>
        <v>975.76923894395634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109848</v>
      </c>
      <c r="B139" s="66">
        <v>109848</v>
      </c>
      <c r="D139">
        <f t="shared" si="8"/>
        <v>0.49884199340617424</v>
      </c>
      <c r="E139">
        <f t="shared" si="8"/>
        <v>0.49884199340617424</v>
      </c>
      <c r="G139">
        <f t="shared" ca="1" si="9"/>
        <v>137</v>
      </c>
      <c r="H139">
        <f t="shared" ca="1" si="10"/>
        <v>68.341353096645875</v>
      </c>
      <c r="I139">
        <f t="shared" ca="1" si="11"/>
        <v>1011.4379454968566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94013</v>
      </c>
      <c r="B142" s="66">
        <v>94013</v>
      </c>
      <c r="D142">
        <f t="shared" si="8"/>
        <v>0.42693205453075755</v>
      </c>
      <c r="E142">
        <f t="shared" si="8"/>
        <v>0.42693205453075755</v>
      </c>
      <c r="G142">
        <f t="shared" ca="1" si="9"/>
        <v>140</v>
      </c>
      <c r="H142">
        <f t="shared" ca="1" si="10"/>
        <v>59.770487634306058</v>
      </c>
      <c r="I142">
        <f t="shared" ca="1" si="11"/>
        <v>984.82260133671446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86197</v>
      </c>
      <c r="B144" s="66">
        <v>86197</v>
      </c>
      <c r="D144">
        <f t="shared" si="8"/>
        <v>0.39143801712941517</v>
      </c>
      <c r="E144">
        <f t="shared" si="8"/>
        <v>0.39143801712941517</v>
      </c>
      <c r="G144">
        <f t="shared" ca="1" si="9"/>
        <v>142</v>
      </c>
      <c r="H144">
        <f t="shared" ca="1" si="10"/>
        <v>55.584198432376951</v>
      </c>
      <c r="I144">
        <f t="shared" ca="1" si="11"/>
        <v>979.71355188733412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76173</v>
      </c>
      <c r="B147" s="66">
        <v>76173</v>
      </c>
      <c r="D147">
        <f t="shared" si="8"/>
        <v>0.34591700498624017</v>
      </c>
      <c r="E147">
        <f t="shared" si="8"/>
        <v>0.34591700498624017</v>
      </c>
      <c r="G147">
        <f t="shared" ca="1" si="9"/>
        <v>145</v>
      </c>
      <c r="H147">
        <f t="shared" ca="1" si="10"/>
        <v>50.157965723004828</v>
      </c>
      <c r="I147">
        <f t="shared" ca="1" si="11"/>
        <v>972.72859189794815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59099</v>
      </c>
      <c r="B149" s="66">
        <v>59099</v>
      </c>
      <c r="D149">
        <f t="shared" si="8"/>
        <v>0.26838051642552885</v>
      </c>
      <c r="E149">
        <f t="shared" si="8"/>
        <v>0.26838051642552885</v>
      </c>
      <c r="G149">
        <f t="shared" ca="1" si="9"/>
        <v>147</v>
      </c>
      <c r="H149">
        <f t="shared" ca="1" si="10"/>
        <v>39.451935914552742</v>
      </c>
      <c r="I149">
        <f t="shared" ca="1" si="11"/>
        <v>812.69460843723186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45763</v>
      </c>
      <c r="B152" s="66">
        <v>45763</v>
      </c>
      <c r="D152">
        <f t="shared" si="8"/>
        <v>0.20781904216960481</v>
      </c>
      <c r="E152">
        <f t="shared" si="8"/>
        <v>0.20781904216960481</v>
      </c>
      <c r="G152">
        <f t="shared" ca="1" si="9"/>
        <v>150</v>
      </c>
      <c r="H152">
        <f t="shared" ca="1" si="10"/>
        <v>31.172856325440723</v>
      </c>
      <c r="I152">
        <f t="shared" ca="1" si="11"/>
        <v>699.79207306420994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39861</v>
      </c>
      <c r="B154" s="66">
        <v>39861</v>
      </c>
      <c r="D154">
        <f t="shared" si="8"/>
        <v>0.18101686602544889</v>
      </c>
      <c r="E154">
        <f t="shared" si="8"/>
        <v>0.18101686602544889</v>
      </c>
      <c r="G154">
        <f t="shared" ca="1" si="9"/>
        <v>152</v>
      </c>
      <c r="H154">
        <f t="shared" ca="1" si="10"/>
        <v>27.514563635868232</v>
      </c>
      <c r="I154">
        <f t="shared" ca="1" si="11"/>
        <v>652.28138107011102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27390</v>
      </c>
      <c r="B157" s="66">
        <v>27390</v>
      </c>
      <c r="D157">
        <f t="shared" si="8"/>
        <v>0.1243835317838751</v>
      </c>
      <c r="E157">
        <f t="shared" si="8"/>
        <v>0.1243835317838751</v>
      </c>
      <c r="G157">
        <f t="shared" ca="1" si="9"/>
        <v>155</v>
      </c>
      <c r="H157">
        <f t="shared" ca="1" si="10"/>
        <v>19.279447426500639</v>
      </c>
      <c r="I157">
        <f t="shared" ca="1" si="11"/>
        <v>494.12603790956229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20380</v>
      </c>
      <c r="B160" s="66">
        <v>20380</v>
      </c>
      <c r="D160">
        <f t="shared" si="8"/>
        <v>9.2549703459487931E-2</v>
      </c>
      <c r="E160">
        <f t="shared" si="8"/>
        <v>9.2549703459487931E-2</v>
      </c>
      <c r="G160">
        <f t="shared" ca="1" si="9"/>
        <v>158</v>
      </c>
      <c r="H160">
        <f t="shared" ca="1" si="10"/>
        <v>14.622853146599093</v>
      </c>
      <c r="I160">
        <f t="shared" ca="1" si="11"/>
        <v>403.49556450435472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13175</v>
      </c>
      <c r="B162" s="66">
        <v>13175</v>
      </c>
      <c r="D162">
        <f t="shared" si="8"/>
        <v>5.9830340680998705E-2</v>
      </c>
      <c r="E162">
        <f t="shared" si="8"/>
        <v>5.9830340680998705E-2</v>
      </c>
      <c r="G162">
        <f t="shared" ca="1" si="9"/>
        <v>160</v>
      </c>
      <c r="H162">
        <f t="shared" ca="1" si="10"/>
        <v>9.572854508959793</v>
      </c>
      <c r="I162">
        <f t="shared" ca="1" si="11"/>
        <v>276.8879851911351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8260</v>
      </c>
      <c r="B165" s="66">
        <v>8260</v>
      </c>
      <c r="D165">
        <f t="shared" si="8"/>
        <v>3.7510331235297859E-2</v>
      </c>
      <c r="E165">
        <f t="shared" si="8"/>
        <v>3.7510331235297859E-2</v>
      </c>
      <c r="G165">
        <f t="shared" ca="1" si="9"/>
        <v>163</v>
      </c>
      <c r="H165">
        <f t="shared" ca="1" si="10"/>
        <v>6.114183991353551</v>
      </c>
      <c r="I165">
        <f t="shared" ca="1" si="11"/>
        <v>189.24176728529136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5960</v>
      </c>
      <c r="B167" s="66">
        <v>5960</v>
      </c>
      <c r="D167">
        <f t="shared" si="8"/>
        <v>2.7065565879222184E-2</v>
      </c>
      <c r="E167">
        <f t="shared" si="8"/>
        <v>2.7065565879222184E-2</v>
      </c>
      <c r="G167">
        <f t="shared" ca="1" si="9"/>
        <v>165</v>
      </c>
      <c r="H167">
        <f t="shared" ca="1" si="10"/>
        <v>4.46581837007166</v>
      </c>
      <c r="I167">
        <f t="shared" ca="1" si="11"/>
        <v>144.34530406743318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6830</v>
      </c>
      <c r="B170" s="66">
        <v>6830</v>
      </c>
      <c r="D170">
        <f t="shared" si="8"/>
        <v>3.1016411905216024E-2</v>
      </c>
      <c r="E170">
        <f t="shared" si="8"/>
        <v>3.1016411905216024E-2</v>
      </c>
      <c r="G170">
        <f t="shared" ca="1" si="9"/>
        <v>168</v>
      </c>
      <c r="H170">
        <f t="shared" ca="1" si="10"/>
        <v>5.2107572000762925</v>
      </c>
      <c r="I170">
        <f t="shared" ca="1" si="11"/>
        <v>179.2854956672069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6581</v>
      </c>
      <c r="B173" s="66">
        <v>6581</v>
      </c>
      <c r="D173">
        <f t="shared" si="8"/>
        <v>2.9885652525362617E-2</v>
      </c>
      <c r="E173">
        <f t="shared" si="8"/>
        <v>2.9885652525362617E-2</v>
      </c>
      <c r="G173">
        <f t="shared" ca="1" si="9"/>
        <v>171</v>
      </c>
      <c r="H173">
        <f t="shared" ca="1" si="10"/>
        <v>5.1104465818370075</v>
      </c>
      <c r="I173">
        <f t="shared" ca="1" si="11"/>
        <v>186.65126948010698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4603</v>
      </c>
      <c r="B175" s="66">
        <v>4603</v>
      </c>
      <c r="D175">
        <f t="shared" si="8"/>
        <v>2.0903154319137536E-2</v>
      </c>
      <c r="E175">
        <f t="shared" si="8"/>
        <v>2.0903154319137536E-2</v>
      </c>
      <c r="G175">
        <f t="shared" ca="1" si="9"/>
        <v>173</v>
      </c>
      <c r="H175">
        <f t="shared" ca="1" si="10"/>
        <v>3.6162456972107937</v>
      </c>
      <c r="I175">
        <f t="shared" ca="1" si="11"/>
        <v>137.24234658018804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2522</v>
      </c>
      <c r="B178" s="66">
        <v>2522</v>
      </c>
      <c r="D178">
        <f t="shared" si="8"/>
        <v>1.1452912273053414E-2</v>
      </c>
      <c r="E178">
        <f t="shared" si="8"/>
        <v>1.1452912273053414E-2</v>
      </c>
      <c r="G178">
        <f t="shared" ca="1" si="9"/>
        <v>176</v>
      </c>
      <c r="H178">
        <f t="shared" ca="1" si="10"/>
        <v>2.0157125600574011</v>
      </c>
      <c r="I178">
        <f t="shared" ca="1" si="11"/>
        <v>80.866722261807197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949</v>
      </c>
      <c r="B180" s="66">
        <v>949</v>
      </c>
      <c r="D180">
        <f t="shared" si="8"/>
        <v>4.3096010099633979E-3</v>
      </c>
      <c r="E180">
        <f t="shared" si="8"/>
        <v>4.3096010099633979E-3</v>
      </c>
      <c r="G180">
        <f t="shared" ca="1" si="9"/>
        <v>178</v>
      </c>
      <c r="H180">
        <f t="shared" ca="1" si="10"/>
        <v>0.7671089797734848</v>
      </c>
      <c r="I180">
        <f t="shared" ca="1" si="11"/>
        <v>31.894987320886329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1618</v>
      </c>
      <c r="B183" s="66">
        <v>1618</v>
      </c>
      <c r="D183">
        <f t="shared" si="8"/>
        <v>7.3476653678828004E-3</v>
      </c>
      <c r="E183">
        <f t="shared" si="8"/>
        <v>7.3476653678828004E-3</v>
      </c>
      <c r="G183">
        <f t="shared" ca="1" si="9"/>
        <v>181</v>
      </c>
      <c r="H183">
        <f t="shared" ca="1" si="10"/>
        <v>1.3299274315867868</v>
      </c>
      <c r="I183">
        <f t="shared" ca="1" si="11"/>
        <v>58.238224662291159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1870</v>
      </c>
      <c r="B185" s="66">
        <v>1870</v>
      </c>
      <c r="D185">
        <f t="shared" si="8"/>
        <v>8.4920483547223959E-3</v>
      </c>
      <c r="E185">
        <f t="shared" si="8"/>
        <v>8.4920483547223959E-3</v>
      </c>
      <c r="G185">
        <f t="shared" ca="1" si="9"/>
        <v>183</v>
      </c>
      <c r="H185">
        <f t="shared" ca="1" si="10"/>
        <v>1.5540448489141985</v>
      </c>
      <c r="I185">
        <f t="shared" ca="1" si="11"/>
        <v>70.366809924470431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2110</v>
      </c>
      <c r="B188" s="66">
        <v>2110</v>
      </c>
      <c r="D188">
        <f t="shared" si="8"/>
        <v>9.5819369136172488E-3</v>
      </c>
      <c r="E188">
        <f t="shared" si="8"/>
        <v>9.5819369136172488E-3</v>
      </c>
      <c r="G188">
        <f t="shared" ca="1" si="9"/>
        <v>186</v>
      </c>
      <c r="H188">
        <f t="shared" ca="1" si="10"/>
        <v>1.7822402659328083</v>
      </c>
      <c r="I188">
        <f t="shared" ca="1" si="11"/>
        <v>84.717461657452048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257</v>
      </c>
      <c r="B191" s="66">
        <v>257</v>
      </c>
      <c r="D191">
        <f t="shared" si="8"/>
        <v>1.1670889984832385E-3</v>
      </c>
      <c r="E191">
        <f t="shared" si="8"/>
        <v>1.1670889984832385E-3</v>
      </c>
      <c r="G191">
        <f t="shared" ca="1" si="9"/>
        <v>189</v>
      </c>
      <c r="H191">
        <f t="shared" ca="1" si="10"/>
        <v>0.22057982071333207</v>
      </c>
      <c r="I191">
        <f t="shared" ca="1" si="11"/>
        <v>10.987609162701386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223</v>
      </c>
      <c r="B193" s="66">
        <v>223</v>
      </c>
      <c r="D193">
        <f t="shared" si="8"/>
        <v>1.0126881193064676E-3</v>
      </c>
      <c r="E193">
        <f t="shared" si="8"/>
        <v>1.0126881193064676E-3</v>
      </c>
      <c r="G193">
        <f t="shared" ca="1" si="9"/>
        <v>191</v>
      </c>
      <c r="H193">
        <f t="shared" ca="1" si="10"/>
        <v>0.19342343078753529</v>
      </c>
      <c r="I193">
        <f t="shared" ca="1" si="11"/>
        <v>9.9310849565238932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323</v>
      </c>
      <c r="B196" s="66">
        <v>323</v>
      </c>
      <c r="D196">
        <f t="shared" si="12"/>
        <v>1.466808352179323E-3</v>
      </c>
      <c r="E196">
        <f t="shared" si="12"/>
        <v>1.466808352179323E-3</v>
      </c>
      <c r="G196">
        <f t="shared" ca="1" si="13"/>
        <v>194</v>
      </c>
      <c r="H196">
        <f t="shared" ca="1" si="14"/>
        <v>0.28456082032278868</v>
      </c>
      <c r="I196">
        <f t="shared" ca="1" si="15"/>
        <v>15.269223125521481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188</v>
      </c>
      <c r="B198" s="66">
        <v>188</v>
      </c>
      <c r="D198">
        <f t="shared" si="12"/>
        <v>8.5374603780096815E-4</v>
      </c>
      <c r="E198">
        <f t="shared" si="12"/>
        <v>8.5374603780096815E-4</v>
      </c>
      <c r="G198">
        <f t="shared" ca="1" si="13"/>
        <v>196</v>
      </c>
      <c r="H198">
        <f t="shared" ca="1" si="14"/>
        <v>0.16733422340898976</v>
      </c>
      <c r="I198">
        <f t="shared" ca="1" si="15"/>
        <v>9.2391906036577947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144</v>
      </c>
      <c r="B201" s="66">
        <v>144</v>
      </c>
      <c r="D201">
        <f t="shared" si="12"/>
        <v>6.539331353369118E-4</v>
      </c>
      <c r="E201">
        <f t="shared" si="12"/>
        <v>6.539331353369118E-4</v>
      </c>
      <c r="G201">
        <f t="shared" ca="1" si="13"/>
        <v>199</v>
      </c>
      <c r="H201">
        <f t="shared" ca="1" si="14"/>
        <v>0.13013269393204546</v>
      </c>
      <c r="I201">
        <f t="shared" ca="1" si="15"/>
        <v>7.4908786023286504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87.484691305899531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1.6881869419716313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0.64011392840954651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132</v>
      </c>
      <c r="B8" s="66">
        <v>132</v>
      </c>
      <c r="D8">
        <f t="shared" si="0"/>
        <v>0.13411499344665373</v>
      </c>
      <c r="E8">
        <f t="shared" si="1"/>
        <v>0.13411499344665373</v>
      </c>
      <c r="G8">
        <f t="shared" ca="1" si="2"/>
        <v>6</v>
      </c>
      <c r="H8">
        <f t="shared" ca="1" si="3"/>
        <v>0.80468996067992238</v>
      </c>
      <c r="I8">
        <f t="shared" ca="1" si="4"/>
        <v>890.49068721004392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264</v>
      </c>
      <c r="B10" s="66">
        <v>264</v>
      </c>
      <c r="D10">
        <f t="shared" si="0"/>
        <v>0.26822998689330746</v>
      </c>
      <c r="E10">
        <f t="shared" si="1"/>
        <v>0.26822998689330746</v>
      </c>
      <c r="G10">
        <f t="shared" ca="1" si="2"/>
        <v>8</v>
      </c>
      <c r="H10">
        <f t="shared" ca="1" si="3"/>
        <v>2.1458398951464597</v>
      </c>
      <c r="I10">
        <f t="shared" ca="1" si="4"/>
        <v>1694.6277436437144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1487</v>
      </c>
      <c r="B13" s="66">
        <v>1487</v>
      </c>
      <c r="D13">
        <f t="shared" si="0"/>
        <v>1.5108257216301069</v>
      </c>
      <c r="E13">
        <f t="shared" si="1"/>
        <v>1.5108257216301069</v>
      </c>
      <c r="G13">
        <f t="shared" ca="1" si="2"/>
        <v>11</v>
      </c>
      <c r="H13">
        <f t="shared" ca="1" si="3"/>
        <v>16.619082937931175</v>
      </c>
      <c r="I13">
        <f t="shared" ca="1" si="4"/>
        <v>8838.1914818528712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3255</v>
      </c>
      <c r="B15" s="66">
        <v>3255</v>
      </c>
      <c r="D15">
        <f t="shared" si="0"/>
        <v>3.3071538156731659</v>
      </c>
      <c r="E15">
        <f t="shared" si="1"/>
        <v>3.3071538156731659</v>
      </c>
      <c r="G15">
        <f t="shared" ca="1" si="2"/>
        <v>13</v>
      </c>
      <c r="H15">
        <f t="shared" ca="1" si="3"/>
        <v>42.992999603751159</v>
      </c>
      <c r="I15">
        <f t="shared" ca="1" si="4"/>
        <v>18347.987637781716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5964</v>
      </c>
      <c r="B18" s="66">
        <v>5964</v>
      </c>
      <c r="D18">
        <f t="shared" si="0"/>
        <v>6.0595592493624455</v>
      </c>
      <c r="E18">
        <f t="shared" si="1"/>
        <v>6.0595592493624455</v>
      </c>
      <c r="G18">
        <f t="shared" ca="1" si="2"/>
        <v>16</v>
      </c>
      <c r="H18">
        <f t="shared" ca="1" si="3"/>
        <v>96.952947989799128</v>
      </c>
      <c r="I18">
        <f t="shared" ca="1" si="4"/>
        <v>30964.717949380632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7089</v>
      </c>
      <c r="B21" s="66">
        <v>7089</v>
      </c>
      <c r="D21">
        <f t="shared" si="0"/>
        <v>7.202584761691881</v>
      </c>
      <c r="E21">
        <f t="shared" si="1"/>
        <v>7.202584761691881</v>
      </c>
      <c r="G21">
        <f t="shared" ca="1" si="2"/>
        <v>19</v>
      </c>
      <c r="H21">
        <f t="shared" ca="1" si="3"/>
        <v>136.84911047214575</v>
      </c>
      <c r="I21">
        <f t="shared" ca="1" si="4"/>
        <v>33781.224119160142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6463</v>
      </c>
      <c r="B23" s="66">
        <v>6463</v>
      </c>
      <c r="D23">
        <f t="shared" si="0"/>
        <v>6.5665545654979018</v>
      </c>
      <c r="E23">
        <f t="shared" si="1"/>
        <v>6.5665545654979018</v>
      </c>
      <c r="G23">
        <f t="shared" ca="1" si="2"/>
        <v>21</v>
      </c>
      <c r="H23">
        <f t="shared" ca="1" si="3"/>
        <v>137.89764587545594</v>
      </c>
      <c r="I23">
        <f t="shared" ca="1" si="4"/>
        <v>29025.577591292062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7240</v>
      </c>
      <c r="B26" s="66">
        <v>7240</v>
      </c>
      <c r="D26">
        <f t="shared" si="0"/>
        <v>7.3560041860134318</v>
      </c>
      <c r="E26">
        <f t="shared" si="1"/>
        <v>7.3560041860134318</v>
      </c>
      <c r="G26">
        <f t="shared" ca="1" si="2"/>
        <v>24</v>
      </c>
      <c r="H26">
        <f t="shared" ca="1" si="3"/>
        <v>176.54410046432236</v>
      </c>
      <c r="I26">
        <f t="shared" ca="1" si="4"/>
        <v>29646.94802910577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12486</v>
      </c>
      <c r="B28" s="66">
        <v>12486</v>
      </c>
      <c r="D28">
        <f t="shared" si="0"/>
        <v>12.686059152840292</v>
      </c>
      <c r="E28">
        <f t="shared" si="1"/>
        <v>12.686059152840292</v>
      </c>
      <c r="G28">
        <f t="shared" ca="1" si="2"/>
        <v>26</v>
      </c>
      <c r="H28">
        <f t="shared" ca="1" si="3"/>
        <v>329.83753797384759</v>
      </c>
      <c r="I28">
        <f t="shared" ca="1" si="4"/>
        <v>47957.962743019641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19480</v>
      </c>
      <c r="B31" s="66">
        <v>19480</v>
      </c>
      <c r="D31">
        <f t="shared" si="0"/>
        <v>19.792121760157688</v>
      </c>
      <c r="E31">
        <f t="shared" si="1"/>
        <v>19.792121760157688</v>
      </c>
      <c r="G31">
        <f t="shared" ca="1" si="2"/>
        <v>29</v>
      </c>
      <c r="H31">
        <f t="shared" ca="1" si="3"/>
        <v>573.971531044573</v>
      </c>
      <c r="I31">
        <f t="shared" ca="1" si="4"/>
        <v>67698.143322202232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25533</v>
      </c>
      <c r="B33" s="66">
        <v>25533</v>
      </c>
      <c r="D33">
        <f t="shared" si="0"/>
        <v>25.942107027828861</v>
      </c>
      <c r="E33">
        <f t="shared" si="1"/>
        <v>25.942107027828861</v>
      </c>
      <c r="G33">
        <f t="shared" ca="1" si="2"/>
        <v>31</v>
      </c>
      <c r="H33">
        <f t="shared" ca="1" si="3"/>
        <v>804.20531786269464</v>
      </c>
      <c r="I33">
        <f t="shared" ca="1" si="4"/>
        <v>82768.820444046491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26503</v>
      </c>
      <c r="B36" s="66">
        <v>26503</v>
      </c>
      <c r="D36">
        <f t="shared" si="0"/>
        <v>26.927649025126239</v>
      </c>
      <c r="E36">
        <f t="shared" si="1"/>
        <v>26.927649025126239</v>
      </c>
      <c r="G36">
        <f t="shared" ca="1" si="2"/>
        <v>34</v>
      </c>
      <c r="H36">
        <f t="shared" ca="1" si="3"/>
        <v>915.54006685429215</v>
      </c>
      <c r="I36">
        <f t="shared" ca="1" si="4"/>
        <v>77029.561428657355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33796</v>
      </c>
      <c r="B39" s="66">
        <v>33796</v>
      </c>
      <c r="D39">
        <f t="shared" si="0"/>
        <v>34.337502413053862</v>
      </c>
      <c r="E39">
        <f t="shared" si="1"/>
        <v>34.337502413053862</v>
      </c>
      <c r="G39">
        <f t="shared" ca="1" si="2"/>
        <v>37</v>
      </c>
      <c r="H39">
        <f t="shared" ca="1" si="3"/>
        <v>1270.487589282993</v>
      </c>
      <c r="I39">
        <f t="shared" ca="1" si="4"/>
        <v>87516.131681712111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37110</v>
      </c>
      <c r="B41" s="66">
        <v>37110</v>
      </c>
      <c r="D41">
        <f t="shared" si="0"/>
        <v>37.70460156670697</v>
      </c>
      <c r="E41">
        <f t="shared" si="1"/>
        <v>37.70460156670697</v>
      </c>
      <c r="G41">
        <f t="shared" ca="1" si="2"/>
        <v>39</v>
      </c>
      <c r="H41">
        <f t="shared" ca="1" si="3"/>
        <v>1470.4794611015718</v>
      </c>
      <c r="I41">
        <f t="shared" ca="1" si="4"/>
        <v>88634.668675068635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42264</v>
      </c>
      <c r="B44" s="66">
        <v>42264</v>
      </c>
      <c r="D44">
        <f t="shared" si="0"/>
        <v>42.941182447192219</v>
      </c>
      <c r="E44">
        <f t="shared" si="1"/>
        <v>42.941182447192219</v>
      </c>
      <c r="G44">
        <f t="shared" ca="1" si="2"/>
        <v>42</v>
      </c>
      <c r="H44">
        <f t="shared" ca="1" si="3"/>
        <v>1803.5296627820733</v>
      </c>
      <c r="I44">
        <f t="shared" ca="1" si="4"/>
        <v>88839.172043026294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50111</v>
      </c>
      <c r="B46" s="66">
        <v>50111</v>
      </c>
      <c r="D46">
        <f t="shared" si="0"/>
        <v>50.913912398524737</v>
      </c>
      <c r="E46">
        <f t="shared" si="1"/>
        <v>50.913912398524737</v>
      </c>
      <c r="G46">
        <f t="shared" ca="1" si="2"/>
        <v>44</v>
      </c>
      <c r="H46">
        <f t="shared" ca="1" si="3"/>
        <v>2240.2121455350884</v>
      </c>
      <c r="I46">
        <f t="shared" ca="1" si="4"/>
        <v>96274.052648693207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50279</v>
      </c>
      <c r="B49" s="66">
        <v>50279</v>
      </c>
      <c r="D49">
        <f t="shared" si="0"/>
        <v>51.084604208365931</v>
      </c>
      <c r="E49">
        <f t="shared" si="1"/>
        <v>51.084604208365931</v>
      </c>
      <c r="G49">
        <f t="shared" ca="1" si="2"/>
        <v>47</v>
      </c>
      <c r="H49">
        <f t="shared" ca="1" si="3"/>
        <v>2400.9763977931989</v>
      </c>
      <c r="I49">
        <f t="shared" ca="1" si="4"/>
        <v>83728.188899856978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60213</v>
      </c>
      <c r="B51" s="66">
        <v>60213</v>
      </c>
      <c r="D51">
        <f t="shared" si="0"/>
        <v>61.177773487904247</v>
      </c>
      <c r="E51">
        <f t="shared" si="1"/>
        <v>61.177773487904247</v>
      </c>
      <c r="G51">
        <f t="shared" ca="1" si="2"/>
        <v>49</v>
      </c>
      <c r="H51">
        <f t="shared" ca="1" si="3"/>
        <v>2997.7109009073083</v>
      </c>
      <c r="I51">
        <f t="shared" ca="1" si="4"/>
        <v>90608.654599685688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65450</v>
      </c>
      <c r="B54" s="66">
        <v>65450</v>
      </c>
      <c r="D54">
        <f t="shared" si="0"/>
        <v>66.498684250632479</v>
      </c>
      <c r="E54">
        <f t="shared" si="1"/>
        <v>66.498684250632479</v>
      </c>
      <c r="G54">
        <f t="shared" ca="1" si="2"/>
        <v>52</v>
      </c>
      <c r="H54">
        <f t="shared" ca="1" si="3"/>
        <v>3457.931581032889</v>
      </c>
      <c r="I54">
        <f t="shared" ca="1" si="4"/>
        <v>83732.703842148243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68213</v>
      </c>
      <c r="B57" s="66">
        <v>68213</v>
      </c>
      <c r="D57">
        <f t="shared" si="0"/>
        <v>69.305954908913563</v>
      </c>
      <c r="E57">
        <f t="shared" si="1"/>
        <v>69.305954908913563</v>
      </c>
      <c r="G57">
        <f t="shared" ca="1" si="2"/>
        <v>55</v>
      </c>
      <c r="H57">
        <f t="shared" ca="1" si="3"/>
        <v>3811.8275199902459</v>
      </c>
      <c r="I57">
        <f t="shared" ca="1" si="4"/>
        <v>73135.4671767166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76348</v>
      </c>
      <c r="B59" s="66">
        <v>76348</v>
      </c>
      <c r="D59">
        <f t="shared" si="0"/>
        <v>77.57129939140242</v>
      </c>
      <c r="E59">
        <f t="shared" si="1"/>
        <v>77.57129939140242</v>
      </c>
      <c r="G59">
        <f t="shared" ca="1" si="2"/>
        <v>57</v>
      </c>
      <c r="H59">
        <f t="shared" ca="1" si="3"/>
        <v>4421.5640653099381</v>
      </c>
      <c r="I59">
        <f t="shared" ca="1" si="4"/>
        <v>72088.28100526557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77162</v>
      </c>
      <c r="B62" s="66">
        <v>77162</v>
      </c>
      <c r="D62">
        <f t="shared" si="0"/>
        <v>78.398341850990107</v>
      </c>
      <c r="E62">
        <f t="shared" si="1"/>
        <v>78.398341850990107</v>
      </c>
      <c r="G62">
        <f t="shared" ca="1" si="2"/>
        <v>60</v>
      </c>
      <c r="H62">
        <f t="shared" ca="1" si="3"/>
        <v>4703.9005110594062</v>
      </c>
      <c r="I62">
        <f t="shared" ca="1" si="4"/>
        <v>59222.754705106148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91083</v>
      </c>
      <c r="B64" s="66">
        <v>91083</v>
      </c>
      <c r="D64">
        <f t="shared" si="0"/>
        <v>92.542393546223948</v>
      </c>
      <c r="E64">
        <f t="shared" si="1"/>
        <v>92.542393546223948</v>
      </c>
      <c r="G64">
        <f t="shared" ca="1" si="2"/>
        <v>62</v>
      </c>
      <c r="H64">
        <f t="shared" ca="1" si="3"/>
        <v>5737.6283998658846</v>
      </c>
      <c r="I64">
        <f t="shared" ca="1" si="4"/>
        <v>60103.461228407614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97340</v>
      </c>
      <c r="B67" s="66">
        <v>97340</v>
      </c>
      <c r="D67">
        <f t="shared" ref="D67:D130" si="5">IFERROR( 100*A67/MAX(A$2:A$257), 0 )</f>
        <v>98.899647440130863</v>
      </c>
      <c r="E67">
        <f t="shared" ref="E67:E130" si="6">IFERROR( 100*B67/MAX(B$2:B$257), 0 )</f>
        <v>98.899647440130863</v>
      </c>
      <c r="G67">
        <f t="shared" ref="G67:G130" ca="1" si="7">CELL("row",D67)-2</f>
        <v>65</v>
      </c>
      <c r="H67">
        <f t="shared" ref="H67:H130" ca="1" si="8">D67*G67</f>
        <v>6428.4770836085063</v>
      </c>
      <c r="I67">
        <f t="shared" ref="I67:I130" ca="1" si="9">D67*((G67-$L$1)^2)</f>
        <v>49999.838594084671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98423</v>
      </c>
      <c r="B69" s="66">
        <v>98423</v>
      </c>
      <c r="D69">
        <f t="shared" si="5"/>
        <v>100</v>
      </c>
      <c r="E69">
        <f t="shared" si="6"/>
        <v>100</v>
      </c>
      <c r="G69">
        <f t="shared" ca="1" si="7"/>
        <v>67</v>
      </c>
      <c r="H69">
        <f t="shared" ca="1" si="8"/>
        <v>6700</v>
      </c>
      <c r="I69">
        <f t="shared" ca="1" si="9"/>
        <v>41962.25778979958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92673</v>
      </c>
      <c r="B72" s="66">
        <v>92673</v>
      </c>
      <c r="D72">
        <f t="shared" si="5"/>
        <v>94.157869603649559</v>
      </c>
      <c r="E72">
        <f t="shared" si="6"/>
        <v>94.157869603649559</v>
      </c>
      <c r="G72">
        <f t="shared" ca="1" si="7"/>
        <v>70</v>
      </c>
      <c r="H72">
        <f t="shared" ca="1" si="8"/>
        <v>6591.0508722554687</v>
      </c>
      <c r="I72">
        <f t="shared" ca="1" si="9"/>
        <v>28785.419441788206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91050</v>
      </c>
      <c r="B75" s="66">
        <v>91050</v>
      </c>
      <c r="D75">
        <f t="shared" si="5"/>
        <v>92.508864797862287</v>
      </c>
      <c r="E75">
        <f t="shared" si="6"/>
        <v>92.508864797862287</v>
      </c>
      <c r="G75">
        <f t="shared" ca="1" si="7"/>
        <v>73</v>
      </c>
      <c r="H75">
        <f t="shared" ca="1" si="8"/>
        <v>6753.1471302439468</v>
      </c>
      <c r="I75">
        <f t="shared" ca="1" si="9"/>
        <v>19408.940996298319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92976</v>
      </c>
      <c r="B77" s="66">
        <v>92976</v>
      </c>
      <c r="D77">
        <f t="shared" si="5"/>
        <v>94.465724474970287</v>
      </c>
      <c r="E77">
        <f t="shared" si="6"/>
        <v>94.465724474970287</v>
      </c>
      <c r="G77">
        <f t="shared" ca="1" si="7"/>
        <v>75</v>
      </c>
      <c r="H77">
        <f t="shared" ca="1" si="8"/>
        <v>7084.9293356227718</v>
      </c>
      <c r="I77">
        <f t="shared" ca="1" si="9"/>
        <v>14724.137915860141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89320</v>
      </c>
      <c r="B80" s="66">
        <v>89320</v>
      </c>
      <c r="D80">
        <f t="shared" si="5"/>
        <v>90.751145565569018</v>
      </c>
      <c r="E80">
        <f t="shared" si="6"/>
        <v>90.751145565569018</v>
      </c>
      <c r="G80">
        <f t="shared" ca="1" si="7"/>
        <v>78</v>
      </c>
      <c r="H80">
        <f t="shared" ca="1" si="8"/>
        <v>7078.5893541143832</v>
      </c>
      <c r="I80">
        <f t="shared" ca="1" si="9"/>
        <v>8163.9158063706382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88700</v>
      </c>
      <c r="B82" s="66">
        <v>88700</v>
      </c>
      <c r="D82">
        <f t="shared" si="5"/>
        <v>90.121211505440797</v>
      </c>
      <c r="E82">
        <f t="shared" si="6"/>
        <v>90.121211505440797</v>
      </c>
      <c r="G82">
        <f t="shared" ca="1" si="7"/>
        <v>80</v>
      </c>
      <c r="H82">
        <f t="shared" ca="1" si="8"/>
        <v>7209.6969204352636</v>
      </c>
      <c r="I82">
        <f t="shared" ca="1" si="9"/>
        <v>5048.6446967545508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77469</v>
      </c>
      <c r="B85" s="66">
        <v>77469</v>
      </c>
      <c r="D85">
        <f t="shared" si="5"/>
        <v>78.71026081302135</v>
      </c>
      <c r="E85">
        <f t="shared" si="6"/>
        <v>78.71026081302135</v>
      </c>
      <c r="G85">
        <f t="shared" ca="1" si="7"/>
        <v>83</v>
      </c>
      <c r="H85">
        <f t="shared" ca="1" si="8"/>
        <v>6532.9516474807724</v>
      </c>
      <c r="I85">
        <f t="shared" ca="1" si="9"/>
        <v>1583.05666594643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72176</v>
      </c>
      <c r="B88" s="66">
        <v>72176</v>
      </c>
      <c r="D88">
        <f t="shared" si="5"/>
        <v>73.33245278034606</v>
      </c>
      <c r="E88">
        <f t="shared" si="6"/>
        <v>73.33245278034606</v>
      </c>
      <c r="G88">
        <f t="shared" ca="1" si="7"/>
        <v>86</v>
      </c>
      <c r="H88">
        <f t="shared" ca="1" si="8"/>
        <v>6306.5909391097612</v>
      </c>
      <c r="I88">
        <f t="shared" ca="1" si="9"/>
        <v>161.64733240276601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67018</v>
      </c>
      <c r="B90" s="66">
        <v>67018</v>
      </c>
      <c r="D90">
        <f t="shared" si="5"/>
        <v>68.091807809150296</v>
      </c>
      <c r="E90">
        <f t="shared" si="6"/>
        <v>68.091807809150296</v>
      </c>
      <c r="G90">
        <f t="shared" ca="1" si="7"/>
        <v>88</v>
      </c>
      <c r="H90">
        <f t="shared" ca="1" si="8"/>
        <v>5992.0790872052257</v>
      </c>
      <c r="I90">
        <f t="shared" ca="1" si="9"/>
        <v>18.081306340331448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64778</v>
      </c>
      <c r="B93" s="66">
        <v>64778</v>
      </c>
      <c r="D93">
        <f t="shared" si="5"/>
        <v>65.815917011267686</v>
      </c>
      <c r="E93">
        <f t="shared" si="6"/>
        <v>65.815917011267686</v>
      </c>
      <c r="G93">
        <f t="shared" ca="1" si="7"/>
        <v>91</v>
      </c>
      <c r="H93">
        <f t="shared" ca="1" si="8"/>
        <v>5989.2484480253597</v>
      </c>
      <c r="I93">
        <f t="shared" ca="1" si="9"/>
        <v>813.31329793392047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62809</v>
      </c>
      <c r="B95" s="66">
        <v>62809</v>
      </c>
      <c r="D95">
        <f t="shared" si="5"/>
        <v>63.815368359021775</v>
      </c>
      <c r="E95">
        <f t="shared" si="6"/>
        <v>63.815368359021775</v>
      </c>
      <c r="G95">
        <f t="shared" ca="1" si="7"/>
        <v>93</v>
      </c>
      <c r="H95">
        <f t="shared" ca="1" si="8"/>
        <v>5934.8292573890249</v>
      </c>
      <c r="I95">
        <f t="shared" ca="1" si="9"/>
        <v>1941.1760778665055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57946</v>
      </c>
      <c r="B98" s="66">
        <v>57946</v>
      </c>
      <c r="D98">
        <f t="shared" si="5"/>
        <v>58.874450077725733</v>
      </c>
      <c r="E98">
        <f t="shared" si="6"/>
        <v>58.874450077725733</v>
      </c>
      <c r="G98">
        <f t="shared" ca="1" si="7"/>
        <v>96</v>
      </c>
      <c r="H98">
        <f t="shared" ca="1" si="8"/>
        <v>5651.9472074616706</v>
      </c>
      <c r="I98">
        <f t="shared" ca="1" si="9"/>
        <v>4269.0147617948251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58787</v>
      </c>
      <c r="B100" s="66">
        <v>58787</v>
      </c>
      <c r="D100">
        <f t="shared" si="5"/>
        <v>59.728925149609339</v>
      </c>
      <c r="E100">
        <f t="shared" si="6"/>
        <v>59.728925149609339</v>
      </c>
      <c r="G100">
        <f t="shared" ca="1" si="7"/>
        <v>98</v>
      </c>
      <c r="H100">
        <f t="shared" ca="1" si="8"/>
        <v>5853.434664661715</v>
      </c>
      <c r="I100">
        <f t="shared" ca="1" si="9"/>
        <v>6604.3298043086525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55469</v>
      </c>
      <c r="B103" s="66">
        <v>55469</v>
      </c>
      <c r="D103">
        <f t="shared" si="5"/>
        <v>56.357761905245724</v>
      </c>
      <c r="E103">
        <f t="shared" si="6"/>
        <v>56.357761905245724</v>
      </c>
      <c r="G103">
        <f t="shared" ca="1" si="7"/>
        <v>101</v>
      </c>
      <c r="H103">
        <f t="shared" ca="1" si="8"/>
        <v>5692.1339524298182</v>
      </c>
      <c r="I103">
        <f t="shared" ca="1" si="9"/>
        <v>10294.509935921418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62927</v>
      </c>
      <c r="B106" s="66">
        <v>62927</v>
      </c>
      <c r="D106">
        <f t="shared" si="5"/>
        <v>63.935259034981662</v>
      </c>
      <c r="E106">
        <f t="shared" si="6"/>
        <v>63.935259034981662</v>
      </c>
      <c r="G106">
        <f t="shared" ca="1" si="7"/>
        <v>104</v>
      </c>
      <c r="H106">
        <f t="shared" ca="1" si="8"/>
        <v>6649.2669396380925</v>
      </c>
      <c r="I106">
        <f t="shared" ca="1" si="9"/>
        <v>17438.688511545104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57441</v>
      </c>
      <c r="B108" s="66">
        <v>57441</v>
      </c>
      <c r="D108">
        <f t="shared" si="5"/>
        <v>58.361358625524524</v>
      </c>
      <c r="E108">
        <f t="shared" si="6"/>
        <v>58.361358625524524</v>
      </c>
      <c r="G108">
        <f t="shared" ca="1" si="7"/>
        <v>106</v>
      </c>
      <c r="H108">
        <f t="shared" ca="1" si="8"/>
        <v>6186.3040143055996</v>
      </c>
      <c r="I108">
        <f t="shared" ca="1" si="9"/>
        <v>20007.245805827024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57304</v>
      </c>
      <c r="B111" s="66">
        <v>57304</v>
      </c>
      <c r="D111">
        <f t="shared" si="5"/>
        <v>58.22216351868974</v>
      </c>
      <c r="E111">
        <f t="shared" si="6"/>
        <v>58.22216351868974</v>
      </c>
      <c r="G111">
        <f t="shared" ca="1" si="7"/>
        <v>109</v>
      </c>
      <c r="H111">
        <f t="shared" ca="1" si="8"/>
        <v>6346.2158235371817</v>
      </c>
      <c r="I111">
        <f t="shared" ca="1" si="9"/>
        <v>26951.534858754912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59869</v>
      </c>
      <c r="B113" s="66">
        <v>59869</v>
      </c>
      <c r="D113">
        <f t="shared" si="5"/>
        <v>60.82826168680085</v>
      </c>
      <c r="E113">
        <f t="shared" si="6"/>
        <v>60.82826168680085</v>
      </c>
      <c r="G113">
        <f t="shared" ca="1" si="7"/>
        <v>111</v>
      </c>
      <c r="H113">
        <f t="shared" ca="1" si="8"/>
        <v>6751.9370472348946</v>
      </c>
      <c r="I113">
        <f t="shared" ca="1" si="9"/>
        <v>33636.188230799708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51971</v>
      </c>
      <c r="B116" s="66">
        <v>51971</v>
      </c>
      <c r="D116">
        <f t="shared" si="5"/>
        <v>52.8037145789094</v>
      </c>
      <c r="E116">
        <f t="shared" si="6"/>
        <v>52.8037145789094</v>
      </c>
      <c r="G116">
        <f t="shared" ca="1" si="7"/>
        <v>114</v>
      </c>
      <c r="H116">
        <f t="shared" ca="1" si="8"/>
        <v>6019.6234619956713</v>
      </c>
      <c r="I116">
        <f t="shared" ca="1" si="9"/>
        <v>37124.263801346955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47172</v>
      </c>
      <c r="B118" s="66">
        <v>47172</v>
      </c>
      <c r="D118">
        <f t="shared" si="5"/>
        <v>47.927821748981437</v>
      </c>
      <c r="E118">
        <f t="shared" si="6"/>
        <v>47.927821748981437</v>
      </c>
      <c r="G118">
        <f t="shared" ca="1" si="7"/>
        <v>116</v>
      </c>
      <c r="H118">
        <f t="shared" ca="1" si="8"/>
        <v>5559.6273228818463</v>
      </c>
      <c r="I118">
        <f t="shared" ca="1" si="9"/>
        <v>38971.206052425528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50145</v>
      </c>
      <c r="B121" s="66">
        <v>50145</v>
      </c>
      <c r="D121">
        <f t="shared" si="5"/>
        <v>50.948457169564023</v>
      </c>
      <c r="E121">
        <f t="shared" si="6"/>
        <v>50.948457169564023</v>
      </c>
      <c r="G121">
        <f t="shared" ca="1" si="7"/>
        <v>119</v>
      </c>
      <c r="H121">
        <f t="shared" ca="1" si="8"/>
        <v>6062.8664031781191</v>
      </c>
      <c r="I121">
        <f t="shared" ca="1" si="9"/>
        <v>50602.755690361475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48624</v>
      </c>
      <c r="B124" s="66">
        <v>48624</v>
      </c>
      <c r="D124">
        <f t="shared" si="5"/>
        <v>49.403086676894631</v>
      </c>
      <c r="E124">
        <f t="shared" si="6"/>
        <v>49.403086676894631</v>
      </c>
      <c r="G124">
        <f t="shared" ca="1" si="7"/>
        <v>122</v>
      </c>
      <c r="H124">
        <f t="shared" ca="1" si="8"/>
        <v>6027.1765745811454</v>
      </c>
      <c r="I124">
        <f t="shared" ca="1" si="9"/>
        <v>58854.219970256636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44497</v>
      </c>
      <c r="B126" s="66">
        <v>44497</v>
      </c>
      <c r="D126">
        <f t="shared" si="5"/>
        <v>45.209961086331447</v>
      </c>
      <c r="E126">
        <f t="shared" si="6"/>
        <v>45.209961086331447</v>
      </c>
      <c r="G126">
        <f t="shared" ca="1" si="7"/>
        <v>124</v>
      </c>
      <c r="H126">
        <f t="shared" ca="1" si="8"/>
        <v>5606.0351747050991</v>
      </c>
      <c r="I126">
        <f t="shared" ca="1" si="9"/>
        <v>60281.504951409137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47471</v>
      </c>
      <c r="B129" s="66">
        <v>47471</v>
      </c>
      <c r="D129">
        <f t="shared" si="5"/>
        <v>48.231612529591658</v>
      </c>
      <c r="E129">
        <f t="shared" si="6"/>
        <v>48.231612529591658</v>
      </c>
      <c r="G129">
        <f t="shared" ca="1" si="7"/>
        <v>127</v>
      </c>
      <c r="H129">
        <f t="shared" ca="1" si="8"/>
        <v>6125.4147912581402</v>
      </c>
      <c r="I129">
        <f t="shared" ca="1" si="9"/>
        <v>75311.715429841555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48366</v>
      </c>
      <c r="B131" s="66">
        <v>48366</v>
      </c>
      <c r="D131">
        <f t="shared" ref="D131:D194" si="10">IFERROR( 100*A131/MAX(A$2:A$257), 0 )</f>
        <v>49.140952826067078</v>
      </c>
      <c r="E131">
        <f t="shared" ref="E131:E194" si="11">IFERROR( 100*B131/MAX(B$2:B$257), 0 )</f>
        <v>49.140952826067078</v>
      </c>
      <c r="G131">
        <f t="shared" ref="G131:G194" ca="1" si="12">CELL("row",D131)-2</f>
        <v>129</v>
      </c>
      <c r="H131">
        <f t="shared" ref="H131:H194" ca="1" si="13">D131*G131</f>
        <v>6339.1829145626534</v>
      </c>
      <c r="I131">
        <f t="shared" ref="I131:I194" ca="1" si="14">D131*((G131-$L$1)^2)</f>
        <v>84695.45707779027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47033</v>
      </c>
      <c r="B134" s="66">
        <v>47033</v>
      </c>
      <c r="D134">
        <f t="shared" si="10"/>
        <v>47.786594596791403</v>
      </c>
      <c r="E134">
        <f t="shared" si="11"/>
        <v>47.786594596791403</v>
      </c>
      <c r="G134">
        <f t="shared" ca="1" si="12"/>
        <v>132</v>
      </c>
      <c r="H134">
        <f t="shared" ca="1" si="13"/>
        <v>6307.8304867764655</v>
      </c>
      <c r="I134">
        <f t="shared" ca="1" si="14"/>
        <v>94694.523131308728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51284</v>
      </c>
      <c r="B136" s="66">
        <v>51284</v>
      </c>
      <c r="D136">
        <f t="shared" si="10"/>
        <v>52.105706999380224</v>
      </c>
      <c r="E136">
        <f t="shared" si="11"/>
        <v>52.105706999380224</v>
      </c>
      <c r="G136">
        <f t="shared" ca="1" si="12"/>
        <v>134</v>
      </c>
      <c r="H136">
        <f t="shared" ca="1" si="13"/>
        <v>6982.1647379169499</v>
      </c>
      <c r="I136">
        <f t="shared" ca="1" si="14"/>
        <v>112739.76051132978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50933</v>
      </c>
      <c r="B139" s="66">
        <v>50933</v>
      </c>
      <c r="D139">
        <f t="shared" si="10"/>
        <v>51.749083039533446</v>
      </c>
      <c r="E139">
        <f t="shared" si="11"/>
        <v>51.749083039533446</v>
      </c>
      <c r="G139">
        <f t="shared" ca="1" si="12"/>
        <v>137</v>
      </c>
      <c r="H139">
        <f t="shared" ca="1" si="13"/>
        <v>7089.6243764160818</v>
      </c>
      <c r="I139">
        <f t="shared" ca="1" si="14"/>
        <v>126876.63172267184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47660</v>
      </c>
      <c r="B142" s="66">
        <v>47660</v>
      </c>
      <c r="D142">
        <f t="shared" si="10"/>
        <v>48.423640815663006</v>
      </c>
      <c r="E142">
        <f t="shared" si="11"/>
        <v>48.423640815663006</v>
      </c>
      <c r="G142">
        <f t="shared" ca="1" si="12"/>
        <v>140</v>
      </c>
      <c r="H142">
        <f t="shared" ca="1" si="13"/>
        <v>6779.309714192821</v>
      </c>
      <c r="I142">
        <f t="shared" ca="1" si="14"/>
        <v>133545.5081305177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48341</v>
      </c>
      <c r="B144" s="66">
        <v>48341</v>
      </c>
      <c r="D144">
        <f t="shared" si="10"/>
        <v>49.115552259126424</v>
      </c>
      <c r="E144">
        <f t="shared" si="11"/>
        <v>49.115552259126424</v>
      </c>
      <c r="G144">
        <f t="shared" ca="1" si="12"/>
        <v>142</v>
      </c>
      <c r="H144">
        <f t="shared" ca="1" si="13"/>
        <v>6974.4084207959522</v>
      </c>
      <c r="I144">
        <f t="shared" ca="1" si="14"/>
        <v>145967.43715939732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43505</v>
      </c>
      <c r="B147" s="66">
        <v>43505</v>
      </c>
      <c r="D147">
        <f t="shared" si="10"/>
        <v>44.202066590126293</v>
      </c>
      <c r="E147">
        <f t="shared" si="11"/>
        <v>44.202066590126293</v>
      </c>
      <c r="G147">
        <f t="shared" ca="1" si="12"/>
        <v>145</v>
      </c>
      <c r="H147">
        <f t="shared" ca="1" si="13"/>
        <v>6409.2996555683121</v>
      </c>
      <c r="I147">
        <f t="shared" ca="1" si="14"/>
        <v>146220.9107529739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32047</v>
      </c>
      <c r="B149" s="66">
        <v>32047</v>
      </c>
      <c r="D149">
        <f t="shared" si="10"/>
        <v>32.560478749885696</v>
      </c>
      <c r="E149">
        <f t="shared" si="11"/>
        <v>32.560478749885696</v>
      </c>
      <c r="G149">
        <f t="shared" ca="1" si="12"/>
        <v>147</v>
      </c>
      <c r="H149">
        <f t="shared" ca="1" si="13"/>
        <v>4786.3903762331975</v>
      </c>
      <c r="I149">
        <f t="shared" ca="1" si="14"/>
        <v>115331.55907569482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22910</v>
      </c>
      <c r="B152" s="66">
        <v>22910</v>
      </c>
      <c r="D152">
        <f t="shared" si="10"/>
        <v>23.277079544415432</v>
      </c>
      <c r="E152">
        <f t="shared" si="11"/>
        <v>23.277079544415432</v>
      </c>
      <c r="G152">
        <f t="shared" ca="1" si="12"/>
        <v>150</v>
      </c>
      <c r="H152">
        <f t="shared" ca="1" si="13"/>
        <v>3491.5619316623147</v>
      </c>
      <c r="I152">
        <f t="shared" ca="1" si="14"/>
        <v>90970.640136785936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16360</v>
      </c>
      <c r="B154" s="66">
        <v>16360</v>
      </c>
      <c r="D154">
        <f t="shared" si="10"/>
        <v>16.622131005964054</v>
      </c>
      <c r="E154">
        <f t="shared" si="11"/>
        <v>16.622131005964054</v>
      </c>
      <c r="G154">
        <f t="shared" ca="1" si="12"/>
        <v>152</v>
      </c>
      <c r="H154">
        <f t="shared" ca="1" si="13"/>
        <v>2526.5639129065362</v>
      </c>
      <c r="I154">
        <f t="shared" ca="1" si="14"/>
        <v>69185.050155393998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12427</v>
      </c>
      <c r="B157" s="66">
        <v>12427</v>
      </c>
      <c r="D157">
        <f t="shared" si="10"/>
        <v>12.626113814860348</v>
      </c>
      <c r="E157">
        <f t="shared" si="11"/>
        <v>12.626113814860348</v>
      </c>
      <c r="G157">
        <f t="shared" ca="1" si="12"/>
        <v>155</v>
      </c>
      <c r="H157">
        <f t="shared" ca="1" si="13"/>
        <v>1957.0476413033539</v>
      </c>
      <c r="I157">
        <f t="shared" ca="1" si="14"/>
        <v>57553.828085363806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8987</v>
      </c>
      <c r="B160" s="66">
        <v>8987</v>
      </c>
      <c r="D160">
        <f t="shared" si="10"/>
        <v>9.130995803826341</v>
      </c>
      <c r="E160">
        <f t="shared" si="11"/>
        <v>9.130995803826341</v>
      </c>
      <c r="G160">
        <f t="shared" ca="1" si="12"/>
        <v>158</v>
      </c>
      <c r="H160">
        <f t="shared" ca="1" si="13"/>
        <v>1442.6973370045619</v>
      </c>
      <c r="I160">
        <f t="shared" ca="1" si="14"/>
        <v>45403.043524517248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5511</v>
      </c>
      <c r="B162" s="66">
        <v>5511</v>
      </c>
      <c r="D162">
        <f t="shared" si="10"/>
        <v>5.5993009763977932</v>
      </c>
      <c r="E162">
        <f t="shared" si="11"/>
        <v>5.5993009763977932</v>
      </c>
      <c r="G162">
        <f t="shared" ca="1" si="12"/>
        <v>160</v>
      </c>
      <c r="H162">
        <f t="shared" ca="1" si="13"/>
        <v>895.88815622364689</v>
      </c>
      <c r="I162">
        <f t="shared" ca="1" si="14"/>
        <v>29443.756177365827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4318</v>
      </c>
      <c r="B165" s="66">
        <v>4318</v>
      </c>
      <c r="D165">
        <f t="shared" si="10"/>
        <v>4.3871859219897784</v>
      </c>
      <c r="E165">
        <f t="shared" si="11"/>
        <v>4.3871859219897784</v>
      </c>
      <c r="G165">
        <f t="shared" ca="1" si="12"/>
        <v>163</v>
      </c>
      <c r="H165">
        <f t="shared" ca="1" si="13"/>
        <v>715.11130528433387</v>
      </c>
      <c r="I165">
        <f t="shared" ca="1" si="14"/>
        <v>25018.19905515957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2140</v>
      </c>
      <c r="B167" s="66">
        <v>2140</v>
      </c>
      <c r="D167">
        <f t="shared" si="10"/>
        <v>2.1742885301199921</v>
      </c>
      <c r="E167">
        <f t="shared" si="11"/>
        <v>2.1742885301199921</v>
      </c>
      <c r="G167">
        <f t="shared" ca="1" si="12"/>
        <v>165</v>
      </c>
      <c r="H167">
        <f t="shared" ca="1" si="13"/>
        <v>358.7576074697987</v>
      </c>
      <c r="I167">
        <f t="shared" ca="1" si="14"/>
        <v>13064.480248880049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1145</v>
      </c>
      <c r="B170" s="66">
        <v>1145</v>
      </c>
      <c r="D170">
        <f t="shared" si="10"/>
        <v>1.1633459658819585</v>
      </c>
      <c r="E170">
        <f t="shared" si="11"/>
        <v>1.1633459658819585</v>
      </c>
      <c r="G170">
        <f t="shared" ca="1" si="12"/>
        <v>168</v>
      </c>
      <c r="H170">
        <f t="shared" ca="1" si="13"/>
        <v>195.44212226816902</v>
      </c>
      <c r="I170">
        <f t="shared" ca="1" si="14"/>
        <v>7541.6402665552796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770</v>
      </c>
      <c r="B173" s="66">
        <v>770</v>
      </c>
      <c r="D173">
        <f t="shared" si="10"/>
        <v>0.7823374617721468</v>
      </c>
      <c r="E173">
        <f t="shared" si="11"/>
        <v>0.7823374617721468</v>
      </c>
      <c r="G173">
        <f t="shared" ca="1" si="12"/>
        <v>171</v>
      </c>
      <c r="H173">
        <f t="shared" ca="1" si="13"/>
        <v>133.77970596303712</v>
      </c>
      <c r="I173">
        <f t="shared" ca="1" si="14"/>
        <v>5456.6526375223148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511</v>
      </c>
      <c r="B175" s="66">
        <v>511</v>
      </c>
      <c r="D175">
        <f t="shared" si="10"/>
        <v>0.51918758826697009</v>
      </c>
      <c r="E175">
        <f t="shared" si="11"/>
        <v>0.51918758826697009</v>
      </c>
      <c r="G175">
        <f t="shared" ca="1" si="12"/>
        <v>173</v>
      </c>
      <c r="H175">
        <f t="shared" ca="1" si="13"/>
        <v>89.819452770185819</v>
      </c>
      <c r="I175">
        <f t="shared" ca="1" si="14"/>
        <v>3796.7503111621954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451</v>
      </c>
      <c r="B178" s="66">
        <v>451</v>
      </c>
      <c r="D178">
        <f t="shared" si="10"/>
        <v>0.45822622760940024</v>
      </c>
      <c r="E178">
        <f t="shared" si="11"/>
        <v>0.45822622760940024</v>
      </c>
      <c r="G178">
        <f t="shared" ca="1" si="12"/>
        <v>176</v>
      </c>
      <c r="H178">
        <f t="shared" ca="1" si="13"/>
        <v>80.647816059254438</v>
      </c>
      <c r="I178">
        <f t="shared" ca="1" si="14"/>
        <v>3590.1841061729128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171</v>
      </c>
      <c r="B180" s="66">
        <v>171</v>
      </c>
      <c r="D180">
        <f t="shared" si="10"/>
        <v>0.17373987787407416</v>
      </c>
      <c r="E180">
        <f t="shared" si="11"/>
        <v>0.17373987787407416</v>
      </c>
      <c r="G180">
        <f t="shared" ca="1" si="12"/>
        <v>178</v>
      </c>
      <c r="H180">
        <f t="shared" ca="1" si="13"/>
        <v>30.9256982615852</v>
      </c>
      <c r="I180">
        <f t="shared" ca="1" si="14"/>
        <v>1423.4544867215989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309</v>
      </c>
      <c r="B183" s="66">
        <v>309</v>
      </c>
      <c r="D183">
        <f t="shared" si="10"/>
        <v>0.31395100738648485</v>
      </c>
      <c r="E183">
        <f t="shared" si="11"/>
        <v>0.31395100738648485</v>
      </c>
      <c r="G183">
        <f t="shared" ca="1" si="12"/>
        <v>181</v>
      </c>
      <c r="H183">
        <f t="shared" ca="1" si="13"/>
        <v>56.825132336953757</v>
      </c>
      <c r="I183">
        <f t="shared" ca="1" si="14"/>
        <v>2745.5370235486084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271</v>
      </c>
      <c r="B185" s="66">
        <v>271</v>
      </c>
      <c r="D185">
        <f t="shared" si="10"/>
        <v>0.27534214563669063</v>
      </c>
      <c r="E185">
        <f t="shared" si="11"/>
        <v>0.27534214563669063</v>
      </c>
      <c r="G185">
        <f t="shared" ca="1" si="12"/>
        <v>183</v>
      </c>
      <c r="H185">
        <f t="shared" ca="1" si="13"/>
        <v>50.387612651514388</v>
      </c>
      <c r="I185">
        <f t="shared" ca="1" si="14"/>
        <v>2511.9943578491225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92</v>
      </c>
      <c r="B188" s="66">
        <v>92</v>
      </c>
      <c r="D188">
        <f t="shared" si="10"/>
        <v>9.3474086341607143E-2</v>
      </c>
      <c r="E188">
        <f t="shared" si="11"/>
        <v>9.3474086341607143E-2</v>
      </c>
      <c r="G188">
        <f t="shared" ca="1" si="12"/>
        <v>186</v>
      </c>
      <c r="H188">
        <f t="shared" ca="1" si="13"/>
        <v>17.38618005953893</v>
      </c>
      <c r="I188">
        <f t="shared" ca="1" si="14"/>
        <v>907.19087645432421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139</v>
      </c>
      <c r="B191" s="66">
        <v>139</v>
      </c>
      <c r="D191">
        <f t="shared" si="10"/>
        <v>0.14122715219003687</v>
      </c>
      <c r="E191">
        <f t="shared" si="11"/>
        <v>0.14122715219003687</v>
      </c>
      <c r="G191">
        <f t="shared" ca="1" si="12"/>
        <v>189</v>
      </c>
      <c r="H191">
        <f t="shared" ca="1" si="13"/>
        <v>26.691931763916969</v>
      </c>
      <c r="I191">
        <f t="shared" ca="1" si="14"/>
        <v>1455.3963484113801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93</v>
      </c>
      <c r="B193" s="66">
        <v>93</v>
      </c>
      <c r="D193">
        <f t="shared" si="10"/>
        <v>9.4490109019233312E-2</v>
      </c>
      <c r="E193">
        <f t="shared" si="11"/>
        <v>9.4490109019233312E-2</v>
      </c>
      <c r="G193">
        <f t="shared" ca="1" si="12"/>
        <v>191</v>
      </c>
      <c r="H193">
        <f t="shared" ca="1" si="13"/>
        <v>18.047610822673562</v>
      </c>
      <c r="I193">
        <f t="shared" ca="1" si="14"/>
        <v>1012.5011221617374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234</v>
      </c>
      <c r="B196" s="66">
        <v>234</v>
      </c>
      <c r="D196">
        <f t="shared" si="15"/>
        <v>0.23774930656452253</v>
      </c>
      <c r="E196">
        <f t="shared" si="16"/>
        <v>0.23774930656452253</v>
      </c>
      <c r="G196">
        <f t="shared" ca="1" si="17"/>
        <v>194</v>
      </c>
      <c r="H196">
        <f t="shared" ca="1" si="18"/>
        <v>46.123365473517374</v>
      </c>
      <c r="I196">
        <f t="shared" ca="1" si="19"/>
        <v>2697.387369589107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94</v>
      </c>
      <c r="B198" s="66">
        <v>94</v>
      </c>
      <c r="D198">
        <f t="shared" si="15"/>
        <v>9.5506131696859467E-2</v>
      </c>
      <c r="E198">
        <f t="shared" si="16"/>
        <v>9.5506131696859467E-2</v>
      </c>
      <c r="G198">
        <f t="shared" ca="1" si="17"/>
        <v>196</v>
      </c>
      <c r="H198">
        <f t="shared" ca="1" si="18"/>
        <v>18.719201812584455</v>
      </c>
      <c r="I198">
        <f t="shared" ca="1" si="19"/>
        <v>1124.6393513424059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96</v>
      </c>
      <c r="B201" s="66">
        <v>96</v>
      </c>
      <c r="D201">
        <f t="shared" si="15"/>
        <v>9.7538177052111805E-2</v>
      </c>
      <c r="E201">
        <f t="shared" si="16"/>
        <v>9.7538177052111805E-2</v>
      </c>
      <c r="G201">
        <f t="shared" ca="1" si="17"/>
        <v>199</v>
      </c>
      <c r="H201">
        <f t="shared" ca="1" si="18"/>
        <v>19.410097233370248</v>
      </c>
      <c r="I201">
        <f t="shared" ca="1" si="19"/>
        <v>1212.952004126566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95.730885195398855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1.8473132603870708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0.55458847054342431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27</v>
      </c>
      <c r="B8" s="66">
        <v>27</v>
      </c>
      <c r="D8">
        <f t="shared" si="0"/>
        <v>2.0332703270552973E-2</v>
      </c>
      <c r="E8">
        <f t="shared" si="1"/>
        <v>2.0332703270552973E-2</v>
      </c>
      <c r="G8">
        <f t="shared" ca="1" si="2"/>
        <v>6</v>
      </c>
      <c r="H8">
        <f t="shared" ca="1" si="3"/>
        <v>0.12199621962331783</v>
      </c>
      <c r="I8">
        <f t="shared" ca="1" si="4"/>
        <v>163.71143937815509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55</v>
      </c>
      <c r="B10" s="66">
        <v>55</v>
      </c>
      <c r="D10">
        <f t="shared" si="0"/>
        <v>4.1418469625200502E-2</v>
      </c>
      <c r="E10">
        <f t="shared" si="1"/>
        <v>4.1418469625200502E-2</v>
      </c>
      <c r="G10">
        <f t="shared" ca="1" si="2"/>
        <v>8</v>
      </c>
      <c r="H10">
        <f t="shared" ca="1" si="3"/>
        <v>0.33134775700160402</v>
      </c>
      <c r="I10">
        <f t="shared" ca="1" si="4"/>
        <v>318.78587550681442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459</v>
      </c>
      <c r="B13" s="66">
        <v>459</v>
      </c>
      <c r="D13">
        <f t="shared" si="0"/>
        <v>0.34565595559940054</v>
      </c>
      <c r="E13">
        <f t="shared" si="1"/>
        <v>0.34565595559940054</v>
      </c>
      <c r="G13">
        <f t="shared" ca="1" si="2"/>
        <v>11</v>
      </c>
      <c r="H13">
        <f t="shared" ca="1" si="3"/>
        <v>3.8022155115934062</v>
      </c>
      <c r="I13">
        <f t="shared" ca="1" si="4"/>
        <v>2481.5757196286645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1200</v>
      </c>
      <c r="B15" s="66">
        <v>1200</v>
      </c>
      <c r="D15">
        <f t="shared" si="0"/>
        <v>0.9036757009134655</v>
      </c>
      <c r="E15">
        <f t="shared" si="1"/>
        <v>0.9036757009134655</v>
      </c>
      <c r="G15">
        <f t="shared" ca="1" si="2"/>
        <v>13</v>
      </c>
      <c r="H15">
        <f t="shared" ca="1" si="3"/>
        <v>11.747784111875051</v>
      </c>
      <c r="I15">
        <f t="shared" ca="1" si="4"/>
        <v>6185.1173936916794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2949</v>
      </c>
      <c r="B18" s="66">
        <v>2949</v>
      </c>
      <c r="D18">
        <f t="shared" si="0"/>
        <v>2.2207830349948416</v>
      </c>
      <c r="E18">
        <f t="shared" si="1"/>
        <v>2.2207830349948416</v>
      </c>
      <c r="G18">
        <f t="shared" ca="1" si="2"/>
        <v>16</v>
      </c>
      <c r="H18">
        <f t="shared" ca="1" si="3"/>
        <v>35.532528559917466</v>
      </c>
      <c r="I18">
        <f t="shared" ca="1" si="4"/>
        <v>14117.548964439971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3013</v>
      </c>
      <c r="B21" s="66">
        <v>3013</v>
      </c>
      <c r="D21">
        <f t="shared" si="0"/>
        <v>2.2689790723768932</v>
      </c>
      <c r="E21">
        <f t="shared" si="1"/>
        <v>2.2689790723768932</v>
      </c>
      <c r="G21">
        <f t="shared" ca="1" si="2"/>
        <v>19</v>
      </c>
      <c r="H21">
        <f t="shared" ca="1" si="3"/>
        <v>43.110602375160973</v>
      </c>
      <c r="I21">
        <f t="shared" ca="1" si="4"/>
        <v>13358.906403495526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3242</v>
      </c>
      <c r="B23" s="66">
        <v>3242</v>
      </c>
      <c r="D23">
        <f t="shared" si="0"/>
        <v>2.441430518634546</v>
      </c>
      <c r="E23">
        <f t="shared" si="1"/>
        <v>2.441430518634546</v>
      </c>
      <c r="G23">
        <f t="shared" ca="1" si="2"/>
        <v>21</v>
      </c>
      <c r="H23">
        <f t="shared" ca="1" si="3"/>
        <v>51.270040891325465</v>
      </c>
      <c r="I23">
        <f t="shared" ca="1" si="4"/>
        <v>13634.669717954468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4212</v>
      </c>
      <c r="B26" s="66">
        <v>4212</v>
      </c>
      <c r="D26">
        <f t="shared" si="0"/>
        <v>3.1719017102062641</v>
      </c>
      <c r="E26">
        <f t="shared" si="1"/>
        <v>3.1719017102062641</v>
      </c>
      <c r="G26">
        <f t="shared" ca="1" si="2"/>
        <v>24</v>
      </c>
      <c r="H26">
        <f t="shared" ca="1" si="3"/>
        <v>76.125641044950342</v>
      </c>
      <c r="I26">
        <f t="shared" ca="1" si="4"/>
        <v>16320.448961553153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6397</v>
      </c>
      <c r="B28" s="66">
        <v>6397</v>
      </c>
      <c r="D28">
        <f t="shared" si="0"/>
        <v>4.8173445489528657</v>
      </c>
      <c r="E28">
        <f t="shared" si="1"/>
        <v>4.8173445489528657</v>
      </c>
      <c r="G28">
        <f t="shared" ca="1" si="2"/>
        <v>26</v>
      </c>
      <c r="H28">
        <f t="shared" ca="1" si="3"/>
        <v>125.25095827277451</v>
      </c>
      <c r="I28">
        <f t="shared" ca="1" si="4"/>
        <v>23423.838552165827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7013</v>
      </c>
      <c r="B31" s="66">
        <v>7013</v>
      </c>
      <c r="D31">
        <f t="shared" si="0"/>
        <v>5.2812314087551115</v>
      </c>
      <c r="E31">
        <f t="shared" si="1"/>
        <v>5.2812314087551115</v>
      </c>
      <c r="G31">
        <f t="shared" ca="1" si="2"/>
        <v>29</v>
      </c>
      <c r="H31">
        <f t="shared" ca="1" si="3"/>
        <v>153.15571085389823</v>
      </c>
      <c r="I31">
        <f t="shared" ca="1" si="4"/>
        <v>23517.381762496716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9114</v>
      </c>
      <c r="B33" s="66">
        <v>9114</v>
      </c>
      <c r="D33">
        <f t="shared" si="0"/>
        <v>6.8634169484377709</v>
      </c>
      <c r="E33">
        <f t="shared" si="1"/>
        <v>6.8634169484377709</v>
      </c>
      <c r="G33">
        <f t="shared" ca="1" si="2"/>
        <v>31</v>
      </c>
      <c r="H33">
        <f t="shared" ca="1" si="3"/>
        <v>212.76592540157091</v>
      </c>
      <c r="I33">
        <f t="shared" ca="1" si="4"/>
        <v>28758.31755044519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11648</v>
      </c>
      <c r="B36" s="66">
        <v>11648</v>
      </c>
      <c r="D36">
        <f t="shared" si="0"/>
        <v>8.7716788035333728</v>
      </c>
      <c r="E36">
        <f t="shared" si="1"/>
        <v>8.7716788035333728</v>
      </c>
      <c r="G36">
        <f t="shared" ca="1" si="2"/>
        <v>34</v>
      </c>
      <c r="H36">
        <f t="shared" ca="1" si="3"/>
        <v>298.23707932013468</v>
      </c>
      <c r="I36">
        <f t="shared" ca="1" si="4"/>
        <v>33426.255600352073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14735</v>
      </c>
      <c r="B39" s="66">
        <v>14735</v>
      </c>
      <c r="D39">
        <f t="shared" si="0"/>
        <v>11.096384544133262</v>
      </c>
      <c r="E39">
        <f t="shared" si="1"/>
        <v>11.096384544133262</v>
      </c>
      <c r="G39">
        <f t="shared" ca="1" si="2"/>
        <v>37</v>
      </c>
      <c r="H39">
        <f t="shared" ca="1" si="3"/>
        <v>410.56622813293069</v>
      </c>
      <c r="I39">
        <f t="shared" ca="1" si="4"/>
        <v>38274.94646883486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19090</v>
      </c>
      <c r="B41" s="66">
        <v>19090</v>
      </c>
      <c r="D41">
        <f t="shared" si="0"/>
        <v>14.375974275365047</v>
      </c>
      <c r="E41">
        <f t="shared" si="1"/>
        <v>14.375974275365047</v>
      </c>
      <c r="G41">
        <f t="shared" ca="1" si="2"/>
        <v>39</v>
      </c>
      <c r="H41">
        <f t="shared" ca="1" si="3"/>
        <v>560.66299673923686</v>
      </c>
      <c r="I41">
        <f t="shared" ca="1" si="4"/>
        <v>46267.539792735799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23976</v>
      </c>
      <c r="B44" s="66">
        <v>23976</v>
      </c>
      <c r="D44">
        <f t="shared" si="0"/>
        <v>18.055440504251042</v>
      </c>
      <c r="E44">
        <f t="shared" si="1"/>
        <v>18.055440504251042</v>
      </c>
      <c r="G44">
        <f t="shared" ca="1" si="2"/>
        <v>42</v>
      </c>
      <c r="H44">
        <f t="shared" ca="1" si="3"/>
        <v>758.32850117854377</v>
      </c>
      <c r="I44">
        <f t="shared" ca="1" si="4"/>
        <v>52126.201610481148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30911</v>
      </c>
      <c r="B46" s="66">
        <v>30911</v>
      </c>
      <c r="D46">
        <f t="shared" si="0"/>
        <v>23.277932992446779</v>
      </c>
      <c r="E46">
        <f t="shared" si="1"/>
        <v>23.277932992446779</v>
      </c>
      <c r="G46">
        <f t="shared" ca="1" si="2"/>
        <v>44</v>
      </c>
      <c r="H46">
        <f t="shared" ca="1" si="3"/>
        <v>1024.2290516676583</v>
      </c>
      <c r="I46">
        <f t="shared" ca="1" si="4"/>
        <v>62293.715279717588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46364</v>
      </c>
      <c r="B49" s="66">
        <v>46364</v>
      </c>
      <c r="D49">
        <f t="shared" si="0"/>
        <v>34.915016830959928</v>
      </c>
      <c r="E49">
        <f t="shared" si="1"/>
        <v>34.915016830959928</v>
      </c>
      <c r="G49">
        <f t="shared" ca="1" si="2"/>
        <v>47</v>
      </c>
      <c r="H49">
        <f t="shared" ca="1" si="3"/>
        <v>1641.0057910551166</v>
      </c>
      <c r="I49">
        <f t="shared" ca="1" si="4"/>
        <v>82912.661556302803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48196</v>
      </c>
      <c r="B51" s="66">
        <v>48196</v>
      </c>
      <c r="D51">
        <f t="shared" si="0"/>
        <v>36.294628401021157</v>
      </c>
      <c r="E51">
        <f t="shared" si="1"/>
        <v>36.294628401021157</v>
      </c>
      <c r="G51">
        <f t="shared" ca="1" si="2"/>
        <v>49</v>
      </c>
      <c r="H51">
        <f t="shared" ca="1" si="3"/>
        <v>1778.4367916500366</v>
      </c>
      <c r="I51">
        <f t="shared" ca="1" si="4"/>
        <v>79259.3250436331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52451</v>
      </c>
      <c r="B54" s="66">
        <v>52451</v>
      </c>
      <c r="D54">
        <f t="shared" si="0"/>
        <v>39.498911823843486</v>
      </c>
      <c r="E54">
        <f t="shared" si="1"/>
        <v>39.498911823843486</v>
      </c>
      <c r="G54">
        <f t="shared" ca="1" si="2"/>
        <v>52</v>
      </c>
      <c r="H54">
        <f t="shared" ca="1" si="3"/>
        <v>2053.9434148398614</v>
      </c>
      <c r="I54">
        <f t="shared" ca="1" si="4"/>
        <v>75537.336621391471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57268</v>
      </c>
      <c r="B57" s="66">
        <v>57268</v>
      </c>
      <c r="D57">
        <f t="shared" si="0"/>
        <v>43.126416699926956</v>
      </c>
      <c r="E57">
        <f t="shared" si="1"/>
        <v>43.126416699926956</v>
      </c>
      <c r="G57">
        <f t="shared" ca="1" si="2"/>
        <v>55</v>
      </c>
      <c r="H57">
        <f t="shared" ca="1" si="3"/>
        <v>2371.9529184959824</v>
      </c>
      <c r="I57">
        <f t="shared" ca="1" si="4"/>
        <v>71546.941316807643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58864</v>
      </c>
      <c r="B59" s="66">
        <v>58864</v>
      </c>
      <c r="D59">
        <f t="shared" si="0"/>
        <v>44.328305382141863</v>
      </c>
      <c r="E59">
        <f t="shared" si="1"/>
        <v>44.328305382141863</v>
      </c>
      <c r="G59">
        <f t="shared" ca="1" si="2"/>
        <v>57</v>
      </c>
      <c r="H59">
        <f t="shared" ca="1" si="3"/>
        <v>2526.7134067820862</v>
      </c>
      <c r="I59">
        <f t="shared" ca="1" si="4"/>
        <v>66496.069412445271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71461</v>
      </c>
      <c r="B62" s="66">
        <v>71461</v>
      </c>
      <c r="D62">
        <f t="shared" si="0"/>
        <v>53.814641052480965</v>
      </c>
      <c r="E62">
        <f t="shared" si="1"/>
        <v>53.814641052480965</v>
      </c>
      <c r="G62">
        <f t="shared" ca="1" si="2"/>
        <v>60</v>
      </c>
      <c r="H62">
        <f t="shared" ca="1" si="3"/>
        <v>3228.8784631488579</v>
      </c>
      <c r="I62">
        <f t="shared" ca="1" si="4"/>
        <v>68704.945413791036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83623</v>
      </c>
      <c r="B64" s="66">
        <v>83623</v>
      </c>
      <c r="D64">
        <f t="shared" si="0"/>
        <v>62.973394281238939</v>
      </c>
      <c r="E64">
        <f t="shared" si="1"/>
        <v>62.973394281238939</v>
      </c>
      <c r="G64">
        <f t="shared" ca="1" si="2"/>
        <v>62</v>
      </c>
      <c r="H64">
        <f t="shared" ca="1" si="3"/>
        <v>3904.350445436814</v>
      </c>
      <c r="I64">
        <f t="shared" ca="1" si="4"/>
        <v>71649.403553869139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80499</v>
      </c>
      <c r="B67" s="66">
        <v>80499</v>
      </c>
      <c r="D67">
        <f t="shared" ref="D67:D130" si="5">IFERROR(100*A67/MAX(A$2:A$257), 0 )</f>
        <v>60.620825206527549</v>
      </c>
      <c r="E67">
        <f t="shared" ref="E67:E130" si="6">IFERROR(100*B67/MAX(B$2:B$257), 0 )</f>
        <v>60.620825206527549</v>
      </c>
      <c r="G67">
        <f t="shared" ref="G67:G130" ca="1" si="7">CELL("row",D67)-2</f>
        <v>65</v>
      </c>
      <c r="H67">
        <f t="shared" ref="H67:H130" ca="1" si="8">D67*G67</f>
        <v>3940.3536384242907</v>
      </c>
      <c r="I67">
        <f t="shared" ref="I67:I130" ca="1" si="9">D67*((G67-$L$1)^2)</f>
        <v>57249.537737169128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94193</v>
      </c>
      <c r="B69" s="66">
        <v>94193</v>
      </c>
      <c r="D69">
        <f t="shared" si="5"/>
        <v>70.933271080118388</v>
      </c>
      <c r="E69">
        <f t="shared" si="6"/>
        <v>70.933271080118388</v>
      </c>
      <c r="G69">
        <f t="shared" ca="1" si="7"/>
        <v>67</v>
      </c>
      <c r="H69">
        <f t="shared" ca="1" si="8"/>
        <v>4752.5291623679323</v>
      </c>
      <c r="I69">
        <f t="shared" ca="1" si="9"/>
        <v>58552.844946513876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109152</v>
      </c>
      <c r="B72" s="66">
        <v>109152</v>
      </c>
      <c r="D72">
        <f t="shared" si="5"/>
        <v>82.198341755088819</v>
      </c>
      <c r="E72">
        <f t="shared" si="6"/>
        <v>82.198341755088819</v>
      </c>
      <c r="G72">
        <f t="shared" ca="1" si="7"/>
        <v>70</v>
      </c>
      <c r="H72">
        <f t="shared" ca="1" si="8"/>
        <v>5753.8839228562174</v>
      </c>
      <c r="I72">
        <f t="shared" ca="1" si="9"/>
        <v>54421.750943343643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121084</v>
      </c>
      <c r="B75" s="66">
        <v>121084</v>
      </c>
      <c r="D75">
        <f t="shared" si="5"/>
        <v>91.183890474505048</v>
      </c>
      <c r="E75">
        <f t="shared" si="6"/>
        <v>91.183890474505048</v>
      </c>
      <c r="G75">
        <f t="shared" ca="1" si="7"/>
        <v>73</v>
      </c>
      <c r="H75">
        <f t="shared" ca="1" si="8"/>
        <v>6656.4240046388686</v>
      </c>
      <c r="I75">
        <f t="shared" ca="1" si="9"/>
        <v>47114.090847755586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125159</v>
      </c>
      <c r="B77" s="66">
        <v>125159</v>
      </c>
      <c r="D77">
        <f t="shared" si="5"/>
        <v>94.252622542190366</v>
      </c>
      <c r="E77">
        <f t="shared" si="6"/>
        <v>94.252622542190366</v>
      </c>
      <c r="G77">
        <f t="shared" ca="1" si="7"/>
        <v>75</v>
      </c>
      <c r="H77">
        <f t="shared" ca="1" si="8"/>
        <v>7068.9466906642774</v>
      </c>
      <c r="I77">
        <f t="shared" ca="1" si="9"/>
        <v>40506.911981728823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127684</v>
      </c>
      <c r="B80" s="66">
        <v>127684</v>
      </c>
      <c r="D80">
        <f t="shared" si="5"/>
        <v>96.154106829529113</v>
      </c>
      <c r="E80">
        <f t="shared" si="6"/>
        <v>96.154106829529113</v>
      </c>
      <c r="G80">
        <f t="shared" ca="1" si="7"/>
        <v>78</v>
      </c>
      <c r="H80">
        <f t="shared" ca="1" si="8"/>
        <v>7500.0203327032705</v>
      </c>
      <c r="I80">
        <f t="shared" ca="1" si="9"/>
        <v>30229.340588148527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132791</v>
      </c>
      <c r="B82" s="66">
        <v>132791</v>
      </c>
      <c r="D82">
        <f t="shared" si="5"/>
        <v>100</v>
      </c>
      <c r="E82">
        <f t="shared" si="6"/>
        <v>100</v>
      </c>
      <c r="G82">
        <f t="shared" ca="1" si="7"/>
        <v>80</v>
      </c>
      <c r="H82">
        <f t="shared" ca="1" si="8"/>
        <v>8000</v>
      </c>
      <c r="I82">
        <f t="shared" ca="1" si="9"/>
        <v>24746.074903081888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121743</v>
      </c>
      <c r="B85" s="66">
        <v>121743</v>
      </c>
      <c r="D85">
        <f t="shared" si="5"/>
        <v>91.680159046923364</v>
      </c>
      <c r="E85">
        <f t="shared" si="6"/>
        <v>91.680159046923364</v>
      </c>
      <c r="G85">
        <f t="shared" ca="1" si="7"/>
        <v>83</v>
      </c>
      <c r="H85">
        <f t="shared" ca="1" si="8"/>
        <v>7609.4532008946389</v>
      </c>
      <c r="I85">
        <f t="shared" ca="1" si="9"/>
        <v>14859.101920460216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122442</v>
      </c>
      <c r="B88" s="66">
        <v>122442</v>
      </c>
      <c r="D88">
        <f t="shared" si="5"/>
        <v>92.206550142705453</v>
      </c>
      <c r="E88">
        <f t="shared" si="6"/>
        <v>92.206550142705453</v>
      </c>
      <c r="G88">
        <f t="shared" ca="1" si="7"/>
        <v>86</v>
      </c>
      <c r="H88">
        <f t="shared" ca="1" si="8"/>
        <v>7929.7633122726693</v>
      </c>
      <c r="I88">
        <f t="shared" ca="1" si="9"/>
        <v>8731.0499142947974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122322</v>
      </c>
      <c r="B90" s="66">
        <v>122322</v>
      </c>
      <c r="D90">
        <f t="shared" si="5"/>
        <v>92.116182572614107</v>
      </c>
      <c r="E90">
        <f t="shared" si="6"/>
        <v>92.116182572614107</v>
      </c>
      <c r="G90">
        <f t="shared" ca="1" si="7"/>
        <v>88</v>
      </c>
      <c r="H90">
        <f t="shared" ca="1" si="8"/>
        <v>8106.2240663900411</v>
      </c>
      <c r="I90">
        <f t="shared" ca="1" si="9"/>
        <v>5505.4697389149615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124908</v>
      </c>
      <c r="B93" s="66">
        <v>124908</v>
      </c>
      <c r="D93">
        <f t="shared" si="5"/>
        <v>94.063603708082624</v>
      </c>
      <c r="E93">
        <f t="shared" si="6"/>
        <v>94.063603708082624</v>
      </c>
      <c r="G93">
        <f t="shared" ca="1" si="7"/>
        <v>91</v>
      </c>
      <c r="H93">
        <f t="shared" ca="1" si="8"/>
        <v>8559.787937435518</v>
      </c>
      <c r="I93">
        <f t="shared" ca="1" si="9"/>
        <v>2105.263356876716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126384</v>
      </c>
      <c r="B95" s="66">
        <v>126384</v>
      </c>
      <c r="D95">
        <f t="shared" si="5"/>
        <v>95.175124820206193</v>
      </c>
      <c r="E95">
        <f t="shared" si="6"/>
        <v>95.175124820206193</v>
      </c>
      <c r="G95">
        <f t="shared" ca="1" si="7"/>
        <v>93</v>
      </c>
      <c r="H95">
        <f t="shared" ca="1" si="8"/>
        <v>8851.2866082791752</v>
      </c>
      <c r="I95">
        <f t="shared" ca="1" si="9"/>
        <v>709.79075960983903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130554</v>
      </c>
      <c r="B98" s="66">
        <v>130554</v>
      </c>
      <c r="D98">
        <f t="shared" si="5"/>
        <v>98.315397880880482</v>
      </c>
      <c r="E98">
        <f t="shared" si="6"/>
        <v>98.315397880880482</v>
      </c>
      <c r="G98">
        <f t="shared" ca="1" si="7"/>
        <v>96</v>
      </c>
      <c r="H98">
        <f t="shared" ca="1" si="8"/>
        <v>9438.2781965645263</v>
      </c>
      <c r="I98">
        <f t="shared" ca="1" si="9"/>
        <v>7.1202742401664008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130847</v>
      </c>
      <c r="B100" s="66">
        <v>130847</v>
      </c>
      <c r="D100">
        <f t="shared" si="5"/>
        <v>98.536045364520191</v>
      </c>
      <c r="E100">
        <f t="shared" si="6"/>
        <v>98.536045364520191</v>
      </c>
      <c r="G100">
        <f t="shared" ca="1" si="7"/>
        <v>98</v>
      </c>
      <c r="H100">
        <f t="shared" ca="1" si="8"/>
        <v>9656.5324457229781</v>
      </c>
      <c r="I100">
        <f t="shared" ca="1" si="9"/>
        <v>507.35046997975286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124014</v>
      </c>
      <c r="B103" s="66">
        <v>124014</v>
      </c>
      <c r="D103">
        <f t="shared" si="5"/>
        <v>93.390365310902098</v>
      </c>
      <c r="E103">
        <f t="shared" si="6"/>
        <v>93.390365310902098</v>
      </c>
      <c r="G103">
        <f t="shared" ca="1" si="7"/>
        <v>101</v>
      </c>
      <c r="H103">
        <f t="shared" ca="1" si="8"/>
        <v>9432.4268964011117</v>
      </c>
      <c r="I103">
        <f t="shared" ca="1" si="9"/>
        <v>2592.8500215947165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129905</v>
      </c>
      <c r="B106" s="66">
        <v>129905</v>
      </c>
      <c r="D106">
        <f t="shared" si="5"/>
        <v>97.826659939303113</v>
      </c>
      <c r="E106">
        <f t="shared" si="6"/>
        <v>97.826659939303113</v>
      </c>
      <c r="G106">
        <f t="shared" ca="1" si="7"/>
        <v>104</v>
      </c>
      <c r="H106">
        <f t="shared" ca="1" si="8"/>
        <v>10173.972633687525</v>
      </c>
      <c r="I106">
        <f t="shared" ca="1" si="9"/>
        <v>6689.216754185667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123034</v>
      </c>
      <c r="B108" s="66">
        <v>123034</v>
      </c>
      <c r="D108">
        <f t="shared" si="5"/>
        <v>92.652363488489428</v>
      </c>
      <c r="E108">
        <f t="shared" si="6"/>
        <v>92.652363488489428</v>
      </c>
      <c r="G108">
        <f t="shared" ca="1" si="7"/>
        <v>106</v>
      </c>
      <c r="H108">
        <f t="shared" ca="1" si="8"/>
        <v>9821.1505297798794</v>
      </c>
      <c r="I108">
        <f t="shared" ca="1" si="9"/>
        <v>9770.6289443269707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123662</v>
      </c>
      <c r="B111" s="66">
        <v>123662</v>
      </c>
      <c r="D111">
        <f t="shared" si="5"/>
        <v>93.125287105300814</v>
      </c>
      <c r="E111">
        <f t="shared" si="6"/>
        <v>93.125287105300814</v>
      </c>
      <c r="G111">
        <f t="shared" ca="1" si="7"/>
        <v>109</v>
      </c>
      <c r="H111">
        <f t="shared" ca="1" si="8"/>
        <v>10150.656294477789</v>
      </c>
      <c r="I111">
        <f t="shared" ca="1" si="9"/>
        <v>16396.514142307202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120581</v>
      </c>
      <c r="B113" s="66">
        <v>120581</v>
      </c>
      <c r="D113">
        <f t="shared" si="5"/>
        <v>90.805099743205488</v>
      </c>
      <c r="E113">
        <f t="shared" si="6"/>
        <v>90.805099743205488</v>
      </c>
      <c r="G113">
        <f t="shared" ca="1" si="7"/>
        <v>111</v>
      </c>
      <c r="H113">
        <f t="shared" ca="1" si="8"/>
        <v>10079.36607149581</v>
      </c>
      <c r="I113">
        <f t="shared" ca="1" si="9"/>
        <v>21170.833700031653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116010</v>
      </c>
      <c r="B116" s="66">
        <v>116010</v>
      </c>
      <c r="D116">
        <f t="shared" si="5"/>
        <v>87.362848385809272</v>
      </c>
      <c r="E116">
        <f t="shared" si="6"/>
        <v>87.362848385809272</v>
      </c>
      <c r="G116">
        <f t="shared" ca="1" si="7"/>
        <v>114</v>
      </c>
      <c r="H116">
        <f t="shared" ca="1" si="8"/>
        <v>9959.3647159822576</v>
      </c>
      <c r="I116">
        <f t="shared" ca="1" si="9"/>
        <v>29158.27282860002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109160</v>
      </c>
      <c r="B118" s="66">
        <v>109160</v>
      </c>
      <c r="D118">
        <f t="shared" si="5"/>
        <v>82.204366259761585</v>
      </c>
      <c r="E118">
        <f t="shared" si="6"/>
        <v>82.204366259761585</v>
      </c>
      <c r="G118">
        <f t="shared" ca="1" si="7"/>
        <v>116</v>
      </c>
      <c r="H118">
        <f t="shared" ca="1" si="8"/>
        <v>9535.7064861323433</v>
      </c>
      <c r="I118">
        <f t="shared" ca="1" si="9"/>
        <v>33772.596451011726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104376</v>
      </c>
      <c r="B121" s="66">
        <v>104376</v>
      </c>
      <c r="D121">
        <f t="shared" si="5"/>
        <v>78.601712465453232</v>
      </c>
      <c r="E121">
        <f t="shared" si="6"/>
        <v>78.601712465453232</v>
      </c>
      <c r="G121">
        <f t="shared" ca="1" si="7"/>
        <v>119</v>
      </c>
      <c r="H121">
        <f t="shared" ca="1" si="8"/>
        <v>9353.603783388935</v>
      </c>
      <c r="I121">
        <f t="shared" ca="1" si="9"/>
        <v>42559.031135208395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98200</v>
      </c>
      <c r="B124" s="66">
        <v>98200</v>
      </c>
      <c r="D124">
        <f t="shared" si="5"/>
        <v>73.95079485808526</v>
      </c>
      <c r="E124">
        <f t="shared" si="6"/>
        <v>73.95079485808526</v>
      </c>
      <c r="G124">
        <f t="shared" ca="1" si="7"/>
        <v>122</v>
      </c>
      <c r="H124">
        <f t="shared" ca="1" si="8"/>
        <v>9021.9969726864019</v>
      </c>
      <c r="I124">
        <f t="shared" ca="1" si="9"/>
        <v>51030.958238901985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86990</v>
      </c>
      <c r="B126" s="66">
        <v>86990</v>
      </c>
      <c r="D126">
        <f t="shared" si="5"/>
        <v>65.508957685385312</v>
      </c>
      <c r="E126">
        <f t="shared" si="6"/>
        <v>65.508957685385312</v>
      </c>
      <c r="G126">
        <f t="shared" ca="1" si="7"/>
        <v>124</v>
      </c>
      <c r="H126">
        <f t="shared" ca="1" si="8"/>
        <v>8123.1107529877791</v>
      </c>
      <c r="I126">
        <f t="shared" ca="1" si="9"/>
        <v>52351.015265484304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84879</v>
      </c>
      <c r="B129" s="66">
        <v>84879</v>
      </c>
      <c r="D129">
        <f t="shared" si="5"/>
        <v>63.919241514861703</v>
      </c>
      <c r="E129">
        <f t="shared" si="6"/>
        <v>63.919241514861703</v>
      </c>
      <c r="G129">
        <f t="shared" ca="1" si="7"/>
        <v>127</v>
      </c>
      <c r="H129">
        <f t="shared" ca="1" si="8"/>
        <v>8117.7436723874362</v>
      </c>
      <c r="I129">
        <f t="shared" ca="1" si="9"/>
        <v>62497.52038463638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87670</v>
      </c>
      <c r="B131" s="66">
        <v>87670</v>
      </c>
      <c r="D131">
        <f t="shared" ref="D131:D194" si="10">IFERROR(100*A131/MAX(A$2:A$257), 0 )</f>
        <v>66.021040582569597</v>
      </c>
      <c r="E131">
        <f t="shared" ref="E131:E194" si="11">IFERROR(100*B131/MAX(B$2:B$257), 0 )</f>
        <v>66.021040582569597</v>
      </c>
      <c r="G131">
        <f t="shared" ref="G131:G194" ca="1" si="12">CELL("row",D131)-2</f>
        <v>129</v>
      </c>
      <c r="H131">
        <f t="shared" ref="H131:H194" ca="1" si="13">D131*G131</f>
        <v>8516.7142351514776</v>
      </c>
      <c r="I131">
        <f t="shared" ref="I131:I194" ca="1" si="14">D131*((G131-$L$1)^2)</f>
        <v>73074.332424359614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78881</v>
      </c>
      <c r="B134" s="66">
        <v>78881</v>
      </c>
      <c r="D134">
        <f t="shared" si="10"/>
        <v>59.402369136462561</v>
      </c>
      <c r="E134">
        <f t="shared" si="11"/>
        <v>59.402369136462561</v>
      </c>
      <c r="G134">
        <f t="shared" ca="1" si="12"/>
        <v>132</v>
      </c>
      <c r="H134">
        <f t="shared" ca="1" si="13"/>
        <v>7841.1127260130579</v>
      </c>
      <c r="I134">
        <f t="shared" ca="1" si="14"/>
        <v>78140.76858678773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74689</v>
      </c>
      <c r="B136" s="66">
        <v>74689</v>
      </c>
      <c r="D136">
        <f t="shared" si="10"/>
        <v>56.24552868793819</v>
      </c>
      <c r="E136">
        <f t="shared" si="11"/>
        <v>56.24552868793819</v>
      </c>
      <c r="G136">
        <f t="shared" ca="1" si="12"/>
        <v>134</v>
      </c>
      <c r="H136">
        <f t="shared" ca="1" si="13"/>
        <v>7536.9008441837177</v>
      </c>
      <c r="I136">
        <f t="shared" ca="1" si="14"/>
        <v>82372.991221976772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62881</v>
      </c>
      <c r="B139" s="66">
        <v>62881</v>
      </c>
      <c r="D139">
        <f t="shared" si="10"/>
        <v>47.353359790949689</v>
      </c>
      <c r="E139">
        <f t="shared" si="11"/>
        <v>47.353359790949689</v>
      </c>
      <c r="G139">
        <f t="shared" ca="1" si="12"/>
        <v>137</v>
      </c>
      <c r="H139">
        <f t="shared" ca="1" si="13"/>
        <v>6487.4102913601073</v>
      </c>
      <c r="I139">
        <f t="shared" ca="1" si="14"/>
        <v>80649.393464175388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48813</v>
      </c>
      <c r="B142" s="66">
        <v>48813</v>
      </c>
      <c r="D142">
        <f t="shared" si="10"/>
        <v>36.759268323907492</v>
      </c>
      <c r="E142">
        <f t="shared" si="11"/>
        <v>36.759268323907492</v>
      </c>
      <c r="G142">
        <f t="shared" ca="1" si="12"/>
        <v>140</v>
      </c>
      <c r="H142">
        <f t="shared" ca="1" si="13"/>
        <v>5146.2975653470485</v>
      </c>
      <c r="I142">
        <f t="shared" ca="1" si="14"/>
        <v>72039.142454895918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41244</v>
      </c>
      <c r="B144" s="66">
        <v>41244</v>
      </c>
      <c r="D144">
        <f t="shared" si="10"/>
        <v>31.059333840395809</v>
      </c>
      <c r="E144">
        <f t="shared" si="11"/>
        <v>31.059333840395809</v>
      </c>
      <c r="G144">
        <f t="shared" ca="1" si="12"/>
        <v>142</v>
      </c>
      <c r="H144">
        <f t="shared" ca="1" si="13"/>
        <v>4410.4254053362047</v>
      </c>
      <c r="I144">
        <f t="shared" ca="1" si="14"/>
        <v>66492.784252808793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35269</v>
      </c>
      <c r="B147" s="66">
        <v>35269</v>
      </c>
      <c r="D147">
        <f t="shared" si="10"/>
        <v>26.559781912930845</v>
      </c>
      <c r="E147">
        <f t="shared" si="11"/>
        <v>26.559781912930845</v>
      </c>
      <c r="G147">
        <f t="shared" ca="1" si="12"/>
        <v>145</v>
      </c>
      <c r="H147">
        <f t="shared" ca="1" si="13"/>
        <v>3851.1683773749724</v>
      </c>
      <c r="I147">
        <f t="shared" ca="1" si="14"/>
        <v>64472.427697072882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30095</v>
      </c>
      <c r="B149" s="66">
        <v>30095</v>
      </c>
      <c r="D149">
        <f t="shared" si="10"/>
        <v>22.66343351582562</v>
      </c>
      <c r="E149">
        <f t="shared" si="11"/>
        <v>22.66343351582562</v>
      </c>
      <c r="G149">
        <f t="shared" ca="1" si="12"/>
        <v>147</v>
      </c>
      <c r="H149">
        <f t="shared" ca="1" si="13"/>
        <v>3331.5247268263661</v>
      </c>
      <c r="I149">
        <f t="shared" ca="1" si="14"/>
        <v>59571.336602662581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24147</v>
      </c>
      <c r="B152" s="66">
        <v>24147</v>
      </c>
      <c r="D152">
        <f t="shared" si="10"/>
        <v>18.184214291631211</v>
      </c>
      <c r="E152">
        <f t="shared" si="11"/>
        <v>18.184214291631211</v>
      </c>
      <c r="G152">
        <f t="shared" ca="1" si="12"/>
        <v>150</v>
      </c>
      <c r="H152">
        <f t="shared" ca="1" si="13"/>
        <v>2727.6321437446818</v>
      </c>
      <c r="I152">
        <f t="shared" ca="1" si="14"/>
        <v>53554.99908351148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24747</v>
      </c>
      <c r="B154" s="66">
        <v>24747</v>
      </c>
      <c r="D154">
        <f t="shared" si="10"/>
        <v>18.636052142087944</v>
      </c>
      <c r="E154">
        <f t="shared" si="11"/>
        <v>18.636052142087944</v>
      </c>
      <c r="G154">
        <f t="shared" ca="1" si="12"/>
        <v>152</v>
      </c>
      <c r="H154">
        <f t="shared" ca="1" si="13"/>
        <v>2832.6799255973674</v>
      </c>
      <c r="I154">
        <f t="shared" ca="1" si="14"/>
        <v>59005.715795700446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16126</v>
      </c>
      <c r="B157" s="66">
        <v>16126</v>
      </c>
      <c r="D157">
        <f t="shared" si="10"/>
        <v>12.143895294108788</v>
      </c>
      <c r="E157">
        <f t="shared" si="11"/>
        <v>12.143895294108788</v>
      </c>
      <c r="G157">
        <f t="shared" ca="1" si="12"/>
        <v>155</v>
      </c>
      <c r="H157">
        <f t="shared" ca="1" si="13"/>
        <v>1882.3037705868621</v>
      </c>
      <c r="I157">
        <f t="shared" ca="1" si="14"/>
        <v>42659.415050508462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12008</v>
      </c>
      <c r="B160" s="66">
        <v>12008</v>
      </c>
      <c r="D160">
        <f t="shared" si="10"/>
        <v>9.0427815138074124</v>
      </c>
      <c r="E160">
        <f t="shared" si="11"/>
        <v>9.0427815138074124</v>
      </c>
      <c r="G160">
        <f t="shared" ca="1" si="12"/>
        <v>158</v>
      </c>
      <c r="H160">
        <f t="shared" ca="1" si="13"/>
        <v>1428.7594791815711</v>
      </c>
      <c r="I160">
        <f t="shared" ca="1" si="14"/>
        <v>35062.866793571528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8255</v>
      </c>
      <c r="B162" s="66">
        <v>8255</v>
      </c>
      <c r="D162">
        <f t="shared" si="10"/>
        <v>6.2165357592005481</v>
      </c>
      <c r="E162">
        <f t="shared" si="11"/>
        <v>6.2165357592005481</v>
      </c>
      <c r="G162">
        <f t="shared" ca="1" si="12"/>
        <v>160</v>
      </c>
      <c r="H162">
        <f t="shared" ca="1" si="13"/>
        <v>994.64572147208764</v>
      </c>
      <c r="I162">
        <f t="shared" ca="1" si="14"/>
        <v>25677.519799660069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4552</v>
      </c>
      <c r="B165" s="66">
        <v>4552</v>
      </c>
      <c r="D165">
        <f t="shared" si="10"/>
        <v>3.4279431587984126</v>
      </c>
      <c r="E165">
        <f t="shared" si="11"/>
        <v>3.4279431587984126</v>
      </c>
      <c r="G165">
        <f t="shared" ca="1" si="12"/>
        <v>163</v>
      </c>
      <c r="H165">
        <f t="shared" ca="1" si="13"/>
        <v>558.75473488414127</v>
      </c>
      <c r="I165">
        <f t="shared" ca="1" si="14"/>
        <v>15511.90147496341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4274</v>
      </c>
      <c r="B167" s="66">
        <v>4274</v>
      </c>
      <c r="D167">
        <f t="shared" si="10"/>
        <v>3.2185916214201264</v>
      </c>
      <c r="E167">
        <f t="shared" si="11"/>
        <v>3.2185916214201264</v>
      </c>
      <c r="G167">
        <f t="shared" ca="1" si="12"/>
        <v>165</v>
      </c>
      <c r="H167">
        <f t="shared" ca="1" si="13"/>
        <v>531.0676175343209</v>
      </c>
      <c r="I167">
        <f t="shared" ca="1" si="14"/>
        <v>15443.479359357803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5786</v>
      </c>
      <c r="B170" s="66">
        <v>5786</v>
      </c>
      <c r="D170">
        <f t="shared" si="10"/>
        <v>4.3572230045710931</v>
      </c>
      <c r="E170">
        <f t="shared" si="11"/>
        <v>4.3572230045710931</v>
      </c>
      <c r="G170">
        <f t="shared" ca="1" si="12"/>
        <v>168</v>
      </c>
      <c r="H170">
        <f t="shared" ca="1" si="13"/>
        <v>732.01346476794367</v>
      </c>
      <c r="I170">
        <f t="shared" ca="1" si="14"/>
        <v>22757.013041208087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5868</v>
      </c>
      <c r="B173" s="66">
        <v>5868</v>
      </c>
      <c r="D173">
        <f t="shared" si="10"/>
        <v>4.4189741774668461</v>
      </c>
      <c r="E173">
        <f t="shared" si="11"/>
        <v>4.4189741774668461</v>
      </c>
      <c r="G173">
        <f t="shared" ca="1" si="12"/>
        <v>171</v>
      </c>
      <c r="H173">
        <f t="shared" ca="1" si="13"/>
        <v>755.6445843468307</v>
      </c>
      <c r="I173">
        <f t="shared" ca="1" si="14"/>
        <v>25035.431488483071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4265</v>
      </c>
      <c r="B175" s="66">
        <v>4265</v>
      </c>
      <c r="D175">
        <f t="shared" si="10"/>
        <v>3.2118140536632755</v>
      </c>
      <c r="E175">
        <f t="shared" si="11"/>
        <v>3.2118140536632755</v>
      </c>
      <c r="G175">
        <f t="shared" ca="1" si="12"/>
        <v>173</v>
      </c>
      <c r="H175">
        <f t="shared" ca="1" si="13"/>
        <v>555.64383128374664</v>
      </c>
      <c r="I175">
        <f t="shared" ca="1" si="14"/>
        <v>19176.187526231814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2141</v>
      </c>
      <c r="B178" s="66">
        <v>2141</v>
      </c>
      <c r="D178">
        <f t="shared" si="10"/>
        <v>1.6123080630464415</v>
      </c>
      <c r="E178">
        <f t="shared" si="11"/>
        <v>1.6123080630464415</v>
      </c>
      <c r="G178">
        <f t="shared" ca="1" si="12"/>
        <v>176</v>
      </c>
      <c r="H178">
        <f t="shared" ca="1" si="13"/>
        <v>283.7662190961737</v>
      </c>
      <c r="I178">
        <f t="shared" ca="1" si="14"/>
        <v>10388.311726421207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820</v>
      </c>
      <c r="B180" s="66">
        <v>820</v>
      </c>
      <c r="D180">
        <f t="shared" si="10"/>
        <v>0.61751172895753481</v>
      </c>
      <c r="E180">
        <f t="shared" si="11"/>
        <v>0.61751172895753481</v>
      </c>
      <c r="G180">
        <f t="shared" ca="1" si="12"/>
        <v>178</v>
      </c>
      <c r="H180">
        <f t="shared" ca="1" si="13"/>
        <v>109.9170877544412</v>
      </c>
      <c r="I180">
        <f t="shared" ca="1" si="14"/>
        <v>4179.4473613428372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1351</v>
      </c>
      <c r="B183" s="66">
        <v>1351</v>
      </c>
      <c r="D183">
        <f t="shared" si="10"/>
        <v>1.0173882266117433</v>
      </c>
      <c r="E183">
        <f t="shared" si="11"/>
        <v>1.0173882266117433</v>
      </c>
      <c r="G183">
        <f t="shared" ca="1" si="12"/>
        <v>181</v>
      </c>
      <c r="H183">
        <f t="shared" ca="1" si="13"/>
        <v>184.14726901672555</v>
      </c>
      <c r="I183">
        <f t="shared" ca="1" si="14"/>
        <v>7397.2486390989588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1599</v>
      </c>
      <c r="B185" s="66">
        <v>1599</v>
      </c>
      <c r="D185">
        <f t="shared" si="10"/>
        <v>1.2041478714671927</v>
      </c>
      <c r="E185">
        <f t="shared" si="11"/>
        <v>1.2041478714671927</v>
      </c>
      <c r="G185">
        <f t="shared" ca="1" si="12"/>
        <v>183</v>
      </c>
      <c r="H185">
        <f t="shared" ca="1" si="13"/>
        <v>220.35906047849627</v>
      </c>
      <c r="I185">
        <f t="shared" ca="1" si="14"/>
        <v>9170.667846199718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2064</v>
      </c>
      <c r="B188" s="66">
        <v>2064</v>
      </c>
      <c r="D188">
        <f t="shared" si="10"/>
        <v>1.5543222055711607</v>
      </c>
      <c r="E188">
        <f t="shared" si="11"/>
        <v>1.5543222055711607</v>
      </c>
      <c r="G188">
        <f t="shared" ca="1" si="12"/>
        <v>186</v>
      </c>
      <c r="H188">
        <f t="shared" ca="1" si="13"/>
        <v>289.1039302362359</v>
      </c>
      <c r="I188">
        <f t="shared" ca="1" si="14"/>
        <v>12665.414834453633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210</v>
      </c>
      <c r="B191" s="66">
        <v>210</v>
      </c>
      <c r="D191">
        <f t="shared" si="10"/>
        <v>0.15814324765985646</v>
      </c>
      <c r="E191">
        <f t="shared" si="11"/>
        <v>0.15814324765985646</v>
      </c>
      <c r="G191">
        <f t="shared" ca="1" si="12"/>
        <v>189</v>
      </c>
      <c r="H191">
        <f t="shared" ca="1" si="13"/>
        <v>29.889073807712872</v>
      </c>
      <c r="I191">
        <f t="shared" ca="1" si="14"/>
        <v>1375.7083183733178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130</v>
      </c>
      <c r="B193" s="66">
        <v>130</v>
      </c>
      <c r="D193">
        <f t="shared" si="10"/>
        <v>9.7898200932292095E-2</v>
      </c>
      <c r="E193">
        <f t="shared" si="11"/>
        <v>9.7898200932292095E-2</v>
      </c>
      <c r="G193">
        <f t="shared" ca="1" si="12"/>
        <v>191</v>
      </c>
      <c r="H193">
        <f t="shared" ca="1" si="13"/>
        <v>18.698556378067789</v>
      </c>
      <c r="I193">
        <f t="shared" ca="1" si="14"/>
        <v>888.54406596440674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89</v>
      </c>
      <c r="B196" s="66">
        <v>89</v>
      </c>
      <c r="D196">
        <f t="shared" si="15"/>
        <v>6.7022614484415363E-2</v>
      </c>
      <c r="E196">
        <f t="shared" si="16"/>
        <v>6.7022614484415363E-2</v>
      </c>
      <c r="G196">
        <f t="shared" ca="1" si="17"/>
        <v>194</v>
      </c>
      <c r="H196">
        <f t="shared" ca="1" si="18"/>
        <v>13.002387209976581</v>
      </c>
      <c r="I196">
        <f t="shared" ca="1" si="19"/>
        <v>647.22525192122157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141</v>
      </c>
      <c r="B198" s="66">
        <v>141</v>
      </c>
      <c r="D198">
        <f t="shared" si="15"/>
        <v>0.1061818948573322</v>
      </c>
      <c r="E198">
        <f t="shared" si="16"/>
        <v>0.1061818948573322</v>
      </c>
      <c r="G198">
        <f t="shared" ca="1" si="17"/>
        <v>196</v>
      </c>
      <c r="H198">
        <f t="shared" ca="1" si="18"/>
        <v>20.811651392037113</v>
      </c>
      <c r="I198">
        <f t="shared" ca="1" si="19"/>
        <v>1067.5416625384687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144</v>
      </c>
      <c r="B201" s="66">
        <v>144</v>
      </c>
      <c r="D201">
        <f t="shared" si="15"/>
        <v>0.10844108410961587</v>
      </c>
      <c r="E201">
        <f t="shared" si="16"/>
        <v>0.10844108410961587</v>
      </c>
      <c r="G201">
        <f t="shared" ca="1" si="17"/>
        <v>199</v>
      </c>
      <c r="H201">
        <f t="shared" ca="1" si="18"/>
        <v>21.579775737813556</v>
      </c>
      <c r="I201">
        <f t="shared" ca="1" si="19"/>
        <v>1156.4710337626257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351</v>
      </c>
      <c r="B1" s="68" t="s">
        <v>352</v>
      </c>
      <c r="C1" s="32" t="s">
        <v>353</v>
      </c>
      <c r="D1" s="32" t="s">
        <v>354</v>
      </c>
      <c r="E1" s="32" t="s">
        <v>355</v>
      </c>
    </row>
    <row r="2" spans="1:5">
      <c r="A2" s="68">
        <v>0.224276</v>
      </c>
      <c r="B2" s="68">
        <v>0.67191900000000004</v>
      </c>
      <c r="C2" s="68">
        <v>0</v>
      </c>
      <c r="D2" s="68">
        <v>1</v>
      </c>
      <c r="E2" s="68" t="s">
        <v>356</v>
      </c>
    </row>
    <row r="3" spans="1:5">
      <c r="A3" s="68">
        <v>0.229046</v>
      </c>
      <c r="B3" s="68">
        <v>0.67239800000000005</v>
      </c>
      <c r="C3" s="68">
        <v>0.38016800000000001</v>
      </c>
      <c r="D3" s="89">
        <v>1</v>
      </c>
      <c r="E3" s="68" t="s">
        <v>357</v>
      </c>
    </row>
    <row r="4" spans="1:5">
      <c r="A4" s="68">
        <v>0.233796</v>
      </c>
      <c r="B4" s="68">
        <v>0.67257800000000001</v>
      </c>
      <c r="C4" s="68">
        <v>0.78143899999999999</v>
      </c>
      <c r="D4" s="89">
        <v>1</v>
      </c>
      <c r="E4" s="68" t="s">
        <v>358</v>
      </c>
    </row>
    <row r="5" spans="1:5">
      <c r="A5" s="89">
        <v>0.23857300000000001</v>
      </c>
      <c r="B5" s="89">
        <v>0.67171999999999998</v>
      </c>
      <c r="C5" s="89">
        <v>1.1885600000000001</v>
      </c>
      <c r="D5" s="89">
        <v>1</v>
      </c>
      <c r="E5" s="68" t="s">
        <v>359</v>
      </c>
    </row>
    <row r="6" spans="1:5">
      <c r="A6" s="68">
        <v>0.24305499999999999</v>
      </c>
      <c r="B6" s="68">
        <v>0.66905899999999996</v>
      </c>
      <c r="C6" s="68">
        <v>1.5968599999999999</v>
      </c>
      <c r="D6" s="68">
        <v>1</v>
      </c>
      <c r="E6" s="68" t="s">
        <v>360</v>
      </c>
    </row>
    <row r="7" spans="1:5">
      <c r="A7" s="68">
        <v>0.247332</v>
      </c>
      <c r="B7" s="68">
        <v>0.66486900000000004</v>
      </c>
      <c r="C7" s="68">
        <v>2.00461</v>
      </c>
      <c r="D7" s="68">
        <v>1</v>
      </c>
      <c r="E7" s="68" t="s">
        <v>361</v>
      </c>
    </row>
    <row r="8" spans="1:5">
      <c r="A8" s="68">
        <v>0.25132900000000002</v>
      </c>
      <c r="B8" s="68">
        <v>0.66012700000000002</v>
      </c>
      <c r="C8" s="68">
        <v>2.40733</v>
      </c>
      <c r="D8" s="68">
        <v>1</v>
      </c>
      <c r="E8" s="68" t="s">
        <v>362</v>
      </c>
    </row>
    <row r="9" spans="1:5">
      <c r="A9" s="68">
        <v>0.255222</v>
      </c>
      <c r="B9" s="68">
        <v>0.65479900000000002</v>
      </c>
      <c r="C9" s="68">
        <v>2.8138999999999998</v>
      </c>
      <c r="D9" s="68">
        <v>1</v>
      </c>
      <c r="E9" s="68" t="s">
        <v>363</v>
      </c>
    </row>
    <row r="10" spans="1:5">
      <c r="A10" s="68">
        <v>0.259154</v>
      </c>
      <c r="B10" s="68">
        <v>0.64895800000000003</v>
      </c>
      <c r="C10" s="68">
        <v>3.2186499999999998</v>
      </c>
      <c r="D10" s="68">
        <v>1</v>
      </c>
      <c r="E10" s="68" t="s">
        <v>364</v>
      </c>
    </row>
    <row r="11" spans="1:5">
      <c r="A11" s="68">
        <v>0.26285500000000001</v>
      </c>
      <c r="B11" s="68">
        <v>0.64317199999999997</v>
      </c>
      <c r="C11" s="68">
        <v>3.6255000000000002</v>
      </c>
      <c r="D11" s="68">
        <v>1</v>
      </c>
      <c r="E11" s="68" t="s">
        <v>365</v>
      </c>
    </row>
    <row r="12" spans="1:5">
      <c r="A12" s="68">
        <v>0.266432</v>
      </c>
      <c r="B12" s="68">
        <v>0.63745399999999997</v>
      </c>
      <c r="C12" s="68">
        <v>4.03139</v>
      </c>
      <c r="D12" s="68">
        <v>1</v>
      </c>
      <c r="E12" s="68" t="s">
        <v>366</v>
      </c>
    </row>
    <row r="13" spans="1:5">
      <c r="A13" s="68">
        <v>0.269318</v>
      </c>
      <c r="B13" s="68">
        <v>0.63240499999999999</v>
      </c>
      <c r="C13" s="68">
        <v>4.4384699999999997</v>
      </c>
      <c r="D13" s="68">
        <v>1</v>
      </c>
      <c r="E13" s="68" t="s">
        <v>367</v>
      </c>
    </row>
    <row r="14" spans="1:5">
      <c r="A14" s="68">
        <v>0.27191100000000001</v>
      </c>
      <c r="B14" s="68">
        <v>0.62673599999999996</v>
      </c>
      <c r="C14" s="68">
        <v>4.8444500000000001</v>
      </c>
      <c r="D14" s="68">
        <v>1</v>
      </c>
      <c r="E14" s="68" t="s">
        <v>368</v>
      </c>
    </row>
    <row r="15" spans="1:5">
      <c r="A15" s="68">
        <v>0.27429100000000001</v>
      </c>
      <c r="B15" s="68">
        <v>0.62096200000000001</v>
      </c>
      <c r="C15" s="68">
        <v>5.2534900000000002</v>
      </c>
      <c r="D15" s="68">
        <v>1</v>
      </c>
      <c r="E15" s="68" t="s">
        <v>369</v>
      </c>
    </row>
    <row r="16" spans="1:5">
      <c r="A16" s="68">
        <v>0.276557</v>
      </c>
      <c r="B16" s="68">
        <v>0.61575000000000002</v>
      </c>
      <c r="C16" s="68">
        <v>5.65794</v>
      </c>
      <c r="D16" s="68">
        <v>1</v>
      </c>
      <c r="E16" s="68" t="s">
        <v>370</v>
      </c>
    </row>
    <row r="17" spans="1:5">
      <c r="A17" s="68">
        <v>0.27880199999999999</v>
      </c>
      <c r="B17" s="68">
        <v>0.61102199999999995</v>
      </c>
      <c r="C17" s="68">
        <v>6.0641600000000002</v>
      </c>
      <c r="D17" s="68">
        <v>1</v>
      </c>
      <c r="E17" s="68" t="s">
        <v>371</v>
      </c>
    </row>
    <row r="18" spans="1:5">
      <c r="A18" s="68">
        <v>0.28090300000000001</v>
      </c>
      <c r="B18" s="68">
        <v>0.60717399999999999</v>
      </c>
      <c r="C18" s="68">
        <v>6.4698099999999998</v>
      </c>
      <c r="D18" s="68">
        <v>1</v>
      </c>
      <c r="E18" s="68" t="s">
        <v>372</v>
      </c>
    </row>
    <row r="19" spans="1:5">
      <c r="A19" s="68">
        <v>0.28304800000000002</v>
      </c>
      <c r="B19" s="68">
        <v>0.60423300000000002</v>
      </c>
      <c r="C19" s="68">
        <v>6.8782100000000002</v>
      </c>
      <c r="D19" s="68">
        <v>1</v>
      </c>
      <c r="E19" s="68" t="s">
        <v>373</v>
      </c>
    </row>
    <row r="20" spans="1:5">
      <c r="A20" s="68">
        <v>0.28522700000000001</v>
      </c>
      <c r="B20" s="68">
        <v>0.60184499999999996</v>
      </c>
      <c r="C20" s="68">
        <v>7.2864199999999997</v>
      </c>
      <c r="D20" s="68">
        <v>1</v>
      </c>
      <c r="E20" s="68" t="s">
        <v>374</v>
      </c>
    </row>
    <row r="21" spans="1:5">
      <c r="A21" s="68">
        <v>0.287769</v>
      </c>
      <c r="B21" s="68">
        <v>0.59868699999999997</v>
      </c>
      <c r="C21" s="68">
        <v>7.6915800000000001</v>
      </c>
      <c r="D21" s="68">
        <v>1</v>
      </c>
      <c r="E21" s="68" t="s">
        <v>375</v>
      </c>
    </row>
    <row r="22" spans="1:5">
      <c r="A22" s="68">
        <v>0.29008800000000001</v>
      </c>
      <c r="B22" s="68">
        <v>0.59581799999999996</v>
      </c>
      <c r="C22" s="68">
        <v>8.0958299999999994</v>
      </c>
      <c r="D22" s="68">
        <v>1</v>
      </c>
      <c r="E22" s="68" t="s">
        <v>376</v>
      </c>
    </row>
    <row r="23" spans="1:5">
      <c r="A23" s="68">
        <v>0.29241200000000001</v>
      </c>
      <c r="B23" s="68">
        <v>0.59272800000000003</v>
      </c>
      <c r="C23" s="68">
        <v>8.50122</v>
      </c>
      <c r="D23" s="68">
        <v>1</v>
      </c>
      <c r="E23" s="68" t="s">
        <v>377</v>
      </c>
    </row>
    <row r="24" spans="1:5">
      <c r="A24" s="68">
        <v>0.29507899999999998</v>
      </c>
      <c r="B24" s="68">
        <v>0.58830300000000002</v>
      </c>
      <c r="C24" s="68">
        <v>8.9089399999999994</v>
      </c>
      <c r="D24" s="68">
        <v>1</v>
      </c>
      <c r="E24" s="68" t="s">
        <v>378</v>
      </c>
    </row>
    <row r="25" spans="1:5">
      <c r="A25" s="68">
        <v>0.29803800000000003</v>
      </c>
      <c r="B25" s="68">
        <v>0.58334299999999994</v>
      </c>
      <c r="C25" s="68">
        <v>9.3165899999999997</v>
      </c>
      <c r="D25" s="68">
        <v>1</v>
      </c>
      <c r="E25" s="68" t="s">
        <v>379</v>
      </c>
    </row>
    <row r="26" spans="1:5">
      <c r="A26" s="68">
        <v>0.30122700000000002</v>
      </c>
      <c r="B26" s="68">
        <v>0.57793499999999998</v>
      </c>
      <c r="C26" s="68">
        <v>9.7228700000000003</v>
      </c>
      <c r="D26" s="68">
        <v>1</v>
      </c>
      <c r="E26" s="68" t="s">
        <v>380</v>
      </c>
    </row>
    <row r="27" spans="1:5">
      <c r="A27" s="68">
        <v>0.30478699999999997</v>
      </c>
      <c r="B27" s="68">
        <v>0.57164800000000004</v>
      </c>
      <c r="C27" s="68">
        <v>10.124599999999999</v>
      </c>
      <c r="D27" s="68">
        <v>1</v>
      </c>
      <c r="E27" s="68" t="s">
        <v>381</v>
      </c>
    </row>
    <row r="28" spans="1:5">
      <c r="A28" s="68">
        <v>0.30876799999999999</v>
      </c>
      <c r="B28" s="68">
        <v>0.56420300000000001</v>
      </c>
      <c r="C28" s="68">
        <v>10.5314</v>
      </c>
      <c r="D28" s="68">
        <v>1</v>
      </c>
      <c r="E28" s="68" t="s">
        <v>382</v>
      </c>
    </row>
    <row r="29" spans="1:5">
      <c r="A29" s="68">
        <v>0.31285099999999999</v>
      </c>
      <c r="B29" s="68">
        <v>0.55642999999999998</v>
      </c>
      <c r="C29" s="68">
        <v>10.9376</v>
      </c>
      <c r="D29" s="68">
        <v>1</v>
      </c>
      <c r="E29" s="68" t="s">
        <v>383</v>
      </c>
    </row>
    <row r="30" spans="1:5">
      <c r="A30" s="68">
        <v>0.31716800000000001</v>
      </c>
      <c r="B30" s="68">
        <v>0.54748399999999997</v>
      </c>
      <c r="C30" s="68">
        <v>11.347300000000001</v>
      </c>
      <c r="D30" s="68">
        <v>1</v>
      </c>
      <c r="E30" s="68" t="s">
        <v>384</v>
      </c>
    </row>
    <row r="31" spans="1:5">
      <c r="A31" s="68">
        <v>0.321963</v>
      </c>
      <c r="B31" s="68">
        <v>0.53736399999999995</v>
      </c>
      <c r="C31" s="68">
        <v>11.7536</v>
      </c>
      <c r="D31" s="68">
        <v>1</v>
      </c>
      <c r="E31" s="68" t="s">
        <v>385</v>
      </c>
    </row>
    <row r="32" spans="1:5">
      <c r="A32" s="68">
        <v>0.32701999999999998</v>
      </c>
      <c r="B32" s="68">
        <v>0.52721799999999996</v>
      </c>
      <c r="C32" s="68">
        <v>12.158300000000001</v>
      </c>
      <c r="D32" s="68">
        <v>1</v>
      </c>
      <c r="E32" s="68" t="s">
        <v>386</v>
      </c>
    </row>
    <row r="33" spans="1:5">
      <c r="A33" s="68">
        <v>0.33247700000000002</v>
      </c>
      <c r="B33" s="68">
        <v>0.51582499999999998</v>
      </c>
      <c r="C33" s="68">
        <v>12.562799999999999</v>
      </c>
      <c r="D33" s="68">
        <v>1</v>
      </c>
      <c r="E33" s="68" t="s">
        <v>387</v>
      </c>
    </row>
    <row r="34" spans="1:5">
      <c r="A34" s="68">
        <v>0.33812500000000001</v>
      </c>
      <c r="B34" s="68">
        <v>0.50400900000000004</v>
      </c>
      <c r="C34" s="68">
        <v>12.9702</v>
      </c>
      <c r="D34" s="68">
        <v>1</v>
      </c>
      <c r="E34" s="68" t="s">
        <v>388</v>
      </c>
    </row>
    <row r="35" spans="1:5">
      <c r="A35" s="68">
        <v>0.34368100000000001</v>
      </c>
      <c r="B35" s="68">
        <v>0.49346600000000002</v>
      </c>
      <c r="C35" s="68">
        <v>13.3779</v>
      </c>
      <c r="D35" s="68">
        <v>1</v>
      </c>
      <c r="E35" s="68" t="s">
        <v>389</v>
      </c>
    </row>
    <row r="36" spans="1:5">
      <c r="A36" s="68">
        <v>0.34938399999999997</v>
      </c>
      <c r="B36" s="68">
        <v>0.48339599999999999</v>
      </c>
      <c r="C36" s="68">
        <v>13.7851</v>
      </c>
      <c r="D36" s="68">
        <v>1</v>
      </c>
      <c r="E36" s="68" t="s">
        <v>390</v>
      </c>
    </row>
    <row r="37" spans="1:5">
      <c r="A37" s="68">
        <v>0.35558299999999998</v>
      </c>
      <c r="B37" s="68">
        <v>0.47185500000000002</v>
      </c>
      <c r="C37" s="68">
        <v>14.189299999999999</v>
      </c>
      <c r="D37" s="68">
        <v>1</v>
      </c>
      <c r="E37" s="68" t="s">
        <v>391</v>
      </c>
    </row>
    <row r="38" spans="1:5">
      <c r="A38" s="68">
        <v>0.362315</v>
      </c>
      <c r="B38" s="68">
        <v>0.46109099999999997</v>
      </c>
      <c r="C38" s="68">
        <v>14.596399999999999</v>
      </c>
      <c r="D38" s="68">
        <v>1</v>
      </c>
      <c r="E38" s="68" t="s">
        <v>392</v>
      </c>
    </row>
    <row r="39" spans="1:5">
      <c r="A39" s="68">
        <v>0.36888199999999999</v>
      </c>
      <c r="B39" s="68">
        <v>0.45228499999999999</v>
      </c>
      <c r="C39" s="68">
        <v>15.002700000000001</v>
      </c>
      <c r="D39" s="68">
        <v>1</v>
      </c>
      <c r="E39" s="68" t="s">
        <v>393</v>
      </c>
    </row>
    <row r="40" spans="1:5">
      <c r="A40" s="68">
        <v>0.37524200000000002</v>
      </c>
      <c r="B40" s="68">
        <v>0.44582300000000002</v>
      </c>
      <c r="C40" s="68">
        <v>15.4099</v>
      </c>
      <c r="D40" s="68">
        <v>1</v>
      </c>
      <c r="E40" s="68" t="s">
        <v>394</v>
      </c>
    </row>
    <row r="41" spans="1:5">
      <c r="A41" s="68">
        <v>0.38185400000000003</v>
      </c>
      <c r="B41" s="68">
        <v>0.439799</v>
      </c>
      <c r="C41" s="68">
        <v>15.817600000000001</v>
      </c>
      <c r="D41" s="68">
        <v>1</v>
      </c>
      <c r="E41" s="68" t="s">
        <v>395</v>
      </c>
    </row>
    <row r="42" spans="1:5">
      <c r="A42" s="68">
        <v>0.38867000000000002</v>
      </c>
      <c r="B42" s="68">
        <v>0.43570399999999998</v>
      </c>
      <c r="C42" s="68">
        <v>16.2211</v>
      </c>
      <c r="D42" s="68">
        <v>1</v>
      </c>
      <c r="E42" s="68" t="s">
        <v>396</v>
      </c>
    </row>
    <row r="43" spans="1:5">
      <c r="A43" s="68">
        <v>0.39551500000000001</v>
      </c>
      <c r="B43" s="68">
        <v>0.433363</v>
      </c>
      <c r="C43" s="68">
        <v>16.626300000000001</v>
      </c>
      <c r="D43" s="68">
        <v>1</v>
      </c>
      <c r="E43" s="68" t="s">
        <v>397</v>
      </c>
    </row>
    <row r="44" spans="1:5">
      <c r="A44" s="68">
        <v>0.40230500000000002</v>
      </c>
      <c r="B44" s="68">
        <v>0.43133199999999999</v>
      </c>
      <c r="C44" s="68">
        <v>17.0319</v>
      </c>
      <c r="D44" s="68">
        <v>1</v>
      </c>
      <c r="E44" s="68" t="s">
        <v>398</v>
      </c>
    </row>
    <row r="45" spans="1:5">
      <c r="A45" s="68">
        <v>0.40894399999999997</v>
      </c>
      <c r="B45" s="68">
        <v>0.43036200000000002</v>
      </c>
      <c r="C45" s="68">
        <v>17.441800000000001</v>
      </c>
      <c r="D45" s="68">
        <v>1</v>
      </c>
      <c r="E45" s="68" t="s">
        <v>399</v>
      </c>
    </row>
    <row r="46" spans="1:5">
      <c r="A46" s="68">
        <v>0.41506599999999999</v>
      </c>
      <c r="B46" s="68">
        <v>0.429508</v>
      </c>
      <c r="C46" s="68">
        <v>17.848199999999999</v>
      </c>
      <c r="D46" s="68">
        <v>1</v>
      </c>
      <c r="E46" s="68" t="s">
        <v>400</v>
      </c>
    </row>
    <row r="47" spans="1:5">
      <c r="A47" s="68">
        <v>0.42100399999999999</v>
      </c>
      <c r="B47" s="68">
        <v>0.43017499999999997</v>
      </c>
      <c r="C47" s="68">
        <v>18.254999999999999</v>
      </c>
      <c r="D47" s="68">
        <v>1</v>
      </c>
      <c r="E47" s="68" t="s">
        <v>401</v>
      </c>
    </row>
    <row r="48" spans="1:5">
      <c r="A48" s="68">
        <v>0.42644300000000002</v>
      </c>
      <c r="B48" s="68">
        <v>0.43172100000000002</v>
      </c>
      <c r="C48" s="68">
        <v>18.6584</v>
      </c>
      <c r="D48" s="68">
        <v>1</v>
      </c>
      <c r="E48" s="68" t="s">
        <v>402</v>
      </c>
    </row>
    <row r="49" spans="1:5">
      <c r="A49" s="68">
        <v>0.43100100000000002</v>
      </c>
      <c r="B49" s="68">
        <v>0.43377100000000002</v>
      </c>
      <c r="C49" s="68">
        <v>19.064499999999999</v>
      </c>
      <c r="D49" s="68">
        <v>1</v>
      </c>
      <c r="E49" s="68" t="s">
        <v>403</v>
      </c>
    </row>
    <row r="50" spans="1:5">
      <c r="A50" s="68">
        <v>0.43525399999999997</v>
      </c>
      <c r="B50" s="68">
        <v>0.43569200000000002</v>
      </c>
      <c r="C50" s="68">
        <v>19.470800000000001</v>
      </c>
      <c r="D50" s="68">
        <v>1</v>
      </c>
      <c r="E50" s="68" t="s">
        <v>404</v>
      </c>
    </row>
    <row r="51" spans="1:5">
      <c r="A51" s="68">
        <v>0.43936700000000001</v>
      </c>
      <c r="B51" s="68">
        <v>0.43736399999999998</v>
      </c>
      <c r="C51" s="68">
        <v>19.874600000000001</v>
      </c>
      <c r="D51" s="68">
        <v>1</v>
      </c>
      <c r="E51" s="68" t="s">
        <v>405</v>
      </c>
    </row>
    <row r="52" spans="1:5">
      <c r="A52" s="68">
        <v>0.44273699999999999</v>
      </c>
      <c r="B52" s="68">
        <v>0.43881999999999999</v>
      </c>
      <c r="C52" s="68">
        <v>20.282</v>
      </c>
      <c r="D52" s="68">
        <v>1</v>
      </c>
      <c r="E52" s="68" t="s">
        <v>406</v>
      </c>
    </row>
    <row r="53" spans="1:5">
      <c r="A53" s="68">
        <v>0.445932</v>
      </c>
      <c r="B53" s="68">
        <v>0.439915</v>
      </c>
      <c r="C53" s="68">
        <v>20.690999999999999</v>
      </c>
      <c r="D53" s="68">
        <v>1</v>
      </c>
      <c r="E53" s="68" t="s">
        <v>407</v>
      </c>
    </row>
    <row r="54" spans="1:5">
      <c r="A54" s="68">
        <v>0.44853100000000001</v>
      </c>
      <c r="B54" s="68">
        <v>0.44129499999999999</v>
      </c>
      <c r="C54" s="68">
        <v>21.095800000000001</v>
      </c>
      <c r="D54" s="68">
        <v>1</v>
      </c>
      <c r="E54" s="68" t="s">
        <v>408</v>
      </c>
    </row>
    <row r="55" spans="1:5">
      <c r="A55" s="68">
        <v>0.45018999999999998</v>
      </c>
      <c r="B55" s="68">
        <v>0.44240600000000002</v>
      </c>
      <c r="C55" s="68">
        <v>21.502300000000002</v>
      </c>
      <c r="D55" s="68">
        <v>1</v>
      </c>
      <c r="E55" s="68" t="s">
        <v>409</v>
      </c>
    </row>
    <row r="56" spans="1:5">
      <c r="A56" s="68">
        <v>0.450766</v>
      </c>
      <c r="B56" s="68">
        <v>0.44303599999999999</v>
      </c>
      <c r="C56" s="68">
        <v>21.907800000000002</v>
      </c>
      <c r="D56" s="68">
        <v>1</v>
      </c>
      <c r="E56" s="68" t="s">
        <v>410</v>
      </c>
    </row>
    <row r="57" spans="1:5">
      <c r="A57" s="68">
        <v>0.45181500000000002</v>
      </c>
      <c r="B57" s="68">
        <v>0.44247500000000001</v>
      </c>
      <c r="C57" s="68">
        <v>22.316800000000001</v>
      </c>
      <c r="D57" s="68">
        <v>1</v>
      </c>
      <c r="E57" s="68" t="s">
        <v>411</v>
      </c>
    </row>
    <row r="58" spans="1:5">
      <c r="A58" s="68">
        <v>0.450878</v>
      </c>
      <c r="B58" s="68">
        <v>0.44223600000000002</v>
      </c>
      <c r="C58" s="68">
        <v>22.7225</v>
      </c>
      <c r="D58" s="68">
        <v>1</v>
      </c>
      <c r="E58" s="68" t="s">
        <v>412</v>
      </c>
    </row>
    <row r="59" spans="1:5">
      <c r="A59" s="68">
        <v>0.45097799999999999</v>
      </c>
      <c r="B59" s="68">
        <v>0.441191</v>
      </c>
      <c r="C59" s="68">
        <v>23.1282</v>
      </c>
      <c r="D59" s="68">
        <v>1</v>
      </c>
      <c r="E59" s="68" t="s">
        <v>413</v>
      </c>
    </row>
    <row r="60" spans="1:5">
      <c r="A60" s="68">
        <v>0.45001099999999999</v>
      </c>
      <c r="B60" s="68">
        <v>0.44015100000000001</v>
      </c>
      <c r="C60" s="68">
        <v>23.5335</v>
      </c>
      <c r="D60" s="68">
        <v>1</v>
      </c>
      <c r="E60" s="68" t="s">
        <v>414</v>
      </c>
    </row>
    <row r="61" spans="1:5">
      <c r="A61" s="68">
        <v>0.44884499999999999</v>
      </c>
      <c r="B61" s="68">
        <v>0.43926300000000001</v>
      </c>
      <c r="C61" s="68">
        <v>23.939399999999999</v>
      </c>
      <c r="D61" s="68">
        <v>1</v>
      </c>
      <c r="E61" s="68" t="s">
        <v>415</v>
      </c>
    </row>
    <row r="62" spans="1:5">
      <c r="A62" s="68">
        <v>0.44700099999999998</v>
      </c>
      <c r="B62" s="68">
        <v>0.438448</v>
      </c>
      <c r="C62" s="68">
        <v>24.3462</v>
      </c>
      <c r="D62" s="68">
        <v>1</v>
      </c>
      <c r="E62" s="68" t="s">
        <v>416</v>
      </c>
    </row>
    <row r="63" spans="1:5">
      <c r="A63" s="68">
        <v>0.44485599999999997</v>
      </c>
      <c r="B63" s="68">
        <v>0.43847399999999997</v>
      </c>
      <c r="C63" s="68">
        <v>24.751000000000001</v>
      </c>
      <c r="D63" s="68">
        <v>1</v>
      </c>
      <c r="E63" s="68" t="s">
        <v>417</v>
      </c>
    </row>
    <row r="64" spans="1:5">
      <c r="A64" s="68">
        <v>0.44151299999999999</v>
      </c>
      <c r="B64" s="68">
        <v>0.43808799999999998</v>
      </c>
      <c r="C64" s="68">
        <v>25.1615</v>
      </c>
      <c r="D64" s="68">
        <v>1</v>
      </c>
      <c r="E64" s="68" t="s">
        <v>418</v>
      </c>
    </row>
    <row r="65" spans="1:5">
      <c r="A65" s="68">
        <v>0.43894899999999998</v>
      </c>
      <c r="B65" s="68">
        <v>0.43783699999999998</v>
      </c>
      <c r="C65" s="68">
        <v>25.564499999999999</v>
      </c>
      <c r="D65" s="68">
        <v>1</v>
      </c>
      <c r="E65" s="68" t="s">
        <v>419</v>
      </c>
    </row>
    <row r="66" spans="1:5">
      <c r="A66" s="68">
        <v>0.43686799999999998</v>
      </c>
      <c r="B66" s="68">
        <v>0.43832900000000002</v>
      </c>
      <c r="C66" s="68">
        <v>25.968800000000002</v>
      </c>
      <c r="D66" s="68">
        <v>1</v>
      </c>
      <c r="E66" s="68" t="s">
        <v>420</v>
      </c>
    </row>
    <row r="67" spans="1:5">
      <c r="A67" s="68">
        <v>0.43213499999999999</v>
      </c>
      <c r="B67" s="68">
        <v>0.437413</v>
      </c>
      <c r="C67" s="68">
        <v>26.377500000000001</v>
      </c>
      <c r="D67" s="68">
        <v>1</v>
      </c>
      <c r="E67" s="68" t="s">
        <v>421</v>
      </c>
    </row>
    <row r="68" spans="1:5">
      <c r="A68" s="68">
        <v>0.428284</v>
      </c>
      <c r="B68" s="68">
        <v>0.43704199999999999</v>
      </c>
      <c r="C68" s="68">
        <v>26.782800000000002</v>
      </c>
      <c r="D68" s="68">
        <v>1</v>
      </c>
      <c r="E68" s="68" t="s">
        <v>422</v>
      </c>
    </row>
    <row r="69" spans="1:5">
      <c r="A69" s="68">
        <v>0.42399399999999998</v>
      </c>
      <c r="B69" s="68">
        <v>0.43733100000000003</v>
      </c>
      <c r="C69" s="68">
        <v>27.191500000000001</v>
      </c>
      <c r="D69" s="68">
        <v>1</v>
      </c>
      <c r="E69" s="68" t="s">
        <v>423</v>
      </c>
    </row>
    <row r="70" spans="1:5">
      <c r="A70" s="68">
        <v>0.42059299999999999</v>
      </c>
      <c r="B70" s="68">
        <v>0.43930599999999997</v>
      </c>
      <c r="C70" s="68">
        <v>27.5962</v>
      </c>
      <c r="D70" s="68">
        <v>1</v>
      </c>
      <c r="E70" s="68" t="s">
        <v>424</v>
      </c>
    </row>
    <row r="71" spans="1:5">
      <c r="A71" s="68">
        <v>0.41570200000000002</v>
      </c>
      <c r="B71" s="68">
        <v>0.43996800000000003</v>
      </c>
      <c r="C71" s="68">
        <v>28.000599999999999</v>
      </c>
      <c r="D71" s="68">
        <v>1</v>
      </c>
      <c r="E71" s="68" t="s">
        <v>425</v>
      </c>
    </row>
    <row r="72" spans="1:5">
      <c r="A72" s="68">
        <v>0.40926800000000002</v>
      </c>
      <c r="B72" s="68">
        <v>0.43962899999999999</v>
      </c>
      <c r="C72" s="68">
        <v>28.4101</v>
      </c>
      <c r="D72" s="68">
        <v>1</v>
      </c>
      <c r="E72" s="68" t="s">
        <v>426</v>
      </c>
    </row>
    <row r="73" spans="1:5">
      <c r="A73" s="68">
        <v>0.40384599999999998</v>
      </c>
      <c r="B73" s="68">
        <v>0.44003500000000001</v>
      </c>
      <c r="C73" s="68">
        <v>28.814900000000002</v>
      </c>
      <c r="D73" s="68">
        <v>1</v>
      </c>
      <c r="E73" s="68" t="s">
        <v>427</v>
      </c>
    </row>
    <row r="74" spans="1:5">
      <c r="A74" s="68">
        <v>0.398316</v>
      </c>
      <c r="B74" s="68">
        <v>0.43873699999999999</v>
      </c>
      <c r="C74" s="68">
        <v>29.2212</v>
      </c>
      <c r="D74" s="68">
        <v>1</v>
      </c>
      <c r="E74" s="68" t="s">
        <v>428</v>
      </c>
    </row>
    <row r="75" spans="1:5">
      <c r="A75" s="68">
        <v>0.39408399999999999</v>
      </c>
      <c r="B75" s="68">
        <v>0.44050299999999998</v>
      </c>
      <c r="C75" s="68">
        <v>29.625599999999999</v>
      </c>
      <c r="D75" s="68">
        <v>1</v>
      </c>
      <c r="E75" s="68" t="s">
        <v>429</v>
      </c>
    </row>
    <row r="76" spans="1:5">
      <c r="A76" s="68">
        <v>0.38803100000000001</v>
      </c>
      <c r="B76" s="68">
        <v>0.44234000000000001</v>
      </c>
      <c r="C76" s="68">
        <v>30.030799999999999</v>
      </c>
      <c r="D76" s="68">
        <v>2</v>
      </c>
      <c r="E76" s="68" t="s">
        <v>430</v>
      </c>
    </row>
    <row r="77" spans="1:5">
      <c r="A77" s="68">
        <v>0.380521</v>
      </c>
      <c r="B77" s="68">
        <v>0.44355</v>
      </c>
      <c r="C77" s="68">
        <v>30.515000000000001</v>
      </c>
      <c r="D77" s="68">
        <v>2</v>
      </c>
      <c r="E77" s="68" t="s">
        <v>431</v>
      </c>
    </row>
    <row r="78" spans="1:5">
      <c r="A78" s="68">
        <v>0.37465300000000001</v>
      </c>
      <c r="B78" s="68">
        <v>0.446048</v>
      </c>
      <c r="C78" s="68">
        <v>30.89</v>
      </c>
      <c r="D78" s="68">
        <v>2</v>
      </c>
      <c r="E78" s="68" t="s">
        <v>432</v>
      </c>
    </row>
    <row r="79" spans="1:5">
      <c r="A79" s="68">
        <v>0.36911899999999997</v>
      </c>
      <c r="B79" s="68">
        <v>0.447828</v>
      </c>
      <c r="C79" s="68">
        <v>31.297699999999999</v>
      </c>
      <c r="D79" s="68">
        <v>2</v>
      </c>
      <c r="E79" s="68" t="s">
        <v>433</v>
      </c>
    </row>
    <row r="80" spans="1:5">
      <c r="A80" s="68">
        <v>0.36400199999999999</v>
      </c>
      <c r="B80" s="68">
        <v>0.44834499999999999</v>
      </c>
      <c r="C80" s="68">
        <v>31.703499999999998</v>
      </c>
      <c r="D80" s="68">
        <v>2</v>
      </c>
      <c r="E80" s="68" t="s">
        <v>434</v>
      </c>
    </row>
    <row r="81" spans="1:5">
      <c r="A81" s="68">
        <v>0.35908800000000002</v>
      </c>
      <c r="B81" s="68">
        <v>0.44887500000000002</v>
      </c>
      <c r="C81" s="68">
        <v>32.111400000000003</v>
      </c>
      <c r="D81" s="68">
        <v>2</v>
      </c>
      <c r="E81" s="68" t="s">
        <v>435</v>
      </c>
    </row>
    <row r="82" spans="1:5">
      <c r="A82" s="68">
        <v>0.35472599999999999</v>
      </c>
      <c r="B82" s="68">
        <v>0.44855200000000001</v>
      </c>
      <c r="C82" s="68">
        <v>32.517499999999998</v>
      </c>
      <c r="D82" s="68">
        <v>2</v>
      </c>
      <c r="E82" s="68" t="s">
        <v>436</v>
      </c>
    </row>
    <row r="83" spans="1:5">
      <c r="A83" s="68">
        <v>0.35059600000000002</v>
      </c>
      <c r="B83" s="68">
        <v>0.44800699999999999</v>
      </c>
      <c r="C83" s="68">
        <v>32.922699999999999</v>
      </c>
      <c r="D83" s="68">
        <v>2</v>
      </c>
      <c r="E83" s="68" t="s">
        <v>437</v>
      </c>
    </row>
    <row r="84" spans="1:5">
      <c r="A84" s="68">
        <v>0.34704800000000002</v>
      </c>
      <c r="B84" s="68">
        <v>0.446961</v>
      </c>
      <c r="C84" s="68">
        <v>33.331400000000002</v>
      </c>
      <c r="D84" s="68">
        <v>2</v>
      </c>
      <c r="E84" s="68" t="s">
        <v>438</v>
      </c>
    </row>
    <row r="85" spans="1:5">
      <c r="A85" s="68">
        <v>0.34385599999999999</v>
      </c>
      <c r="B85" s="68">
        <v>0.44712299999999999</v>
      </c>
      <c r="C85" s="68">
        <v>33.7395</v>
      </c>
      <c r="D85" s="68">
        <v>2</v>
      </c>
      <c r="E85" s="68" t="s">
        <v>439</v>
      </c>
    </row>
    <row r="86" spans="1:5">
      <c r="A86" s="68">
        <v>0.34074199999999999</v>
      </c>
      <c r="B86" s="68">
        <v>0.44775399999999999</v>
      </c>
      <c r="C86" s="68">
        <v>34.142499999999998</v>
      </c>
      <c r="D86" s="68">
        <v>2</v>
      </c>
      <c r="E86" s="68" t="s">
        <v>440</v>
      </c>
    </row>
    <row r="87" spans="1:5">
      <c r="A87" s="68">
        <v>0.33789200000000003</v>
      </c>
      <c r="B87" s="68">
        <v>0.44907999999999998</v>
      </c>
      <c r="C87" s="68">
        <v>34.549599999999998</v>
      </c>
      <c r="D87" s="68">
        <v>2</v>
      </c>
      <c r="E87" s="68" t="s">
        <v>441</v>
      </c>
    </row>
    <row r="88" spans="1:5">
      <c r="A88" s="68">
        <v>0.335119</v>
      </c>
      <c r="B88" s="68">
        <v>0.451652</v>
      </c>
      <c r="C88" s="68">
        <v>34.957299999999996</v>
      </c>
      <c r="D88" s="68">
        <v>2</v>
      </c>
      <c r="E88" s="68" t="s">
        <v>442</v>
      </c>
    </row>
    <row r="89" spans="1:5">
      <c r="A89" s="68">
        <v>0.33270499999999997</v>
      </c>
      <c r="B89" s="68">
        <v>0.454096</v>
      </c>
      <c r="C89" s="68">
        <v>35.364100000000001</v>
      </c>
      <c r="D89" s="68">
        <v>2</v>
      </c>
      <c r="E89" s="68" t="s">
        <v>443</v>
      </c>
    </row>
    <row r="90" spans="1:5">
      <c r="A90" s="68">
        <v>0.33066499999999999</v>
      </c>
      <c r="B90" s="68">
        <v>0.45632400000000001</v>
      </c>
      <c r="C90" s="68">
        <v>35.766800000000003</v>
      </c>
      <c r="D90" s="68">
        <v>2</v>
      </c>
      <c r="E90" s="68" t="s">
        <v>444</v>
      </c>
    </row>
    <row r="91" spans="1:5">
      <c r="A91" s="68">
        <v>0.32928000000000002</v>
      </c>
      <c r="B91" s="68">
        <v>0.45802599999999999</v>
      </c>
      <c r="C91" s="68">
        <v>36.174399999999999</v>
      </c>
      <c r="D91" s="68">
        <v>2</v>
      </c>
      <c r="E91" s="68" t="s">
        <v>445</v>
      </c>
    </row>
    <row r="92" spans="1:5">
      <c r="A92" s="68">
        <v>0.328571</v>
      </c>
      <c r="B92" s="68">
        <v>0.45898499999999998</v>
      </c>
      <c r="C92" s="68">
        <v>36.579900000000002</v>
      </c>
      <c r="D92" s="68">
        <v>2</v>
      </c>
      <c r="E92" s="68" t="s">
        <v>446</v>
      </c>
    </row>
    <row r="93" spans="1:5">
      <c r="A93" s="68">
        <v>0.32828499999999999</v>
      </c>
      <c r="B93" s="68">
        <v>0.45955299999999999</v>
      </c>
      <c r="C93" s="68">
        <v>36.989100000000001</v>
      </c>
      <c r="D93" s="68">
        <v>2</v>
      </c>
      <c r="E93" s="68" t="s">
        <v>447</v>
      </c>
    </row>
    <row r="94" spans="1:5">
      <c r="A94" s="68">
        <v>0.32808799999999999</v>
      </c>
      <c r="B94" s="68">
        <v>0.46036899999999997</v>
      </c>
      <c r="C94" s="68">
        <v>37.394799999999996</v>
      </c>
      <c r="D94" s="68">
        <v>2</v>
      </c>
      <c r="E94" s="68" t="s">
        <v>448</v>
      </c>
    </row>
    <row r="95" spans="1:5">
      <c r="A95" s="68">
        <v>0.32819700000000002</v>
      </c>
      <c r="B95" s="68">
        <v>0.46071800000000002</v>
      </c>
      <c r="C95" s="68">
        <v>37.796399999999998</v>
      </c>
      <c r="D95" s="68">
        <v>2</v>
      </c>
      <c r="E95" s="68" t="s">
        <v>449</v>
      </c>
    </row>
    <row r="96" spans="1:5">
      <c r="A96" s="68">
        <v>0.32858100000000001</v>
      </c>
      <c r="B96" s="68">
        <v>0.46134199999999997</v>
      </c>
      <c r="C96" s="68">
        <v>38.204099999999997</v>
      </c>
      <c r="D96" s="68">
        <v>2</v>
      </c>
      <c r="E96" s="68" t="s">
        <v>450</v>
      </c>
    </row>
    <row r="97" spans="1:5">
      <c r="A97" s="68">
        <v>0.32911400000000002</v>
      </c>
      <c r="B97" s="68">
        <v>0.46180599999999999</v>
      </c>
      <c r="C97" s="68">
        <v>38.6098</v>
      </c>
      <c r="D97" s="68">
        <v>2</v>
      </c>
      <c r="E97" s="68" t="s">
        <v>451</v>
      </c>
    </row>
    <row r="98" spans="1:5">
      <c r="A98" s="68">
        <v>0.33017099999999999</v>
      </c>
      <c r="B98" s="68">
        <v>0.461754</v>
      </c>
      <c r="C98" s="68">
        <v>39.016500000000001</v>
      </c>
      <c r="D98" s="68">
        <v>2</v>
      </c>
      <c r="E98" s="68" t="s">
        <v>452</v>
      </c>
    </row>
    <row r="99" spans="1:5">
      <c r="A99" s="68">
        <v>0.33185399999999998</v>
      </c>
      <c r="B99" s="68">
        <v>0.46127000000000001</v>
      </c>
      <c r="C99" s="68">
        <v>39.425199999999997</v>
      </c>
      <c r="D99" s="68">
        <v>2</v>
      </c>
      <c r="E99" s="68" t="s">
        <v>453</v>
      </c>
    </row>
    <row r="100" spans="1:5">
      <c r="A100" s="68">
        <v>0.333756</v>
      </c>
      <c r="B100" s="68">
        <v>0.46060299999999998</v>
      </c>
      <c r="C100" s="68">
        <v>39.832999999999998</v>
      </c>
      <c r="D100" s="68">
        <v>2</v>
      </c>
      <c r="E100" s="68" t="s">
        <v>454</v>
      </c>
    </row>
    <row r="101" spans="1:5">
      <c r="A101" s="68">
        <v>0.33599499999999999</v>
      </c>
      <c r="B101" s="68">
        <v>0.459229</v>
      </c>
      <c r="C101" s="68">
        <v>40.237299999999998</v>
      </c>
      <c r="D101" s="68">
        <v>2</v>
      </c>
      <c r="E101" s="68" t="s">
        <v>455</v>
      </c>
    </row>
    <row r="102" spans="1:5">
      <c r="A102" s="68">
        <v>0.33849000000000001</v>
      </c>
      <c r="B102" s="68">
        <v>0.458121</v>
      </c>
      <c r="C102" s="68">
        <v>40.643000000000001</v>
      </c>
      <c r="D102" s="68">
        <v>2</v>
      </c>
      <c r="E102" s="68" t="s">
        <v>456</v>
      </c>
    </row>
    <row r="103" spans="1:5">
      <c r="A103" s="68">
        <v>0.34107900000000002</v>
      </c>
      <c r="B103" s="68">
        <v>0.456731</v>
      </c>
      <c r="C103" s="68">
        <v>41.047899999999998</v>
      </c>
      <c r="D103" s="68">
        <v>2</v>
      </c>
      <c r="E103" s="68" t="s">
        <v>457</v>
      </c>
    </row>
    <row r="104" spans="1:5">
      <c r="A104" s="68">
        <v>0.343754</v>
      </c>
      <c r="B104" s="68">
        <v>0.45533899999999999</v>
      </c>
      <c r="C104" s="68">
        <v>41.4572</v>
      </c>
      <c r="D104" s="68">
        <v>2</v>
      </c>
      <c r="E104" s="68" t="s">
        <v>458</v>
      </c>
    </row>
    <row r="105" spans="1:5">
      <c r="A105" s="68">
        <v>0.34634700000000002</v>
      </c>
      <c r="B105" s="68">
        <v>0.45500299999999999</v>
      </c>
      <c r="C105" s="68">
        <v>41.860999999999997</v>
      </c>
      <c r="D105" s="68">
        <v>2</v>
      </c>
      <c r="E105" s="68" t="s">
        <v>459</v>
      </c>
    </row>
    <row r="106" spans="1:5">
      <c r="A106" s="68">
        <v>0.34879300000000002</v>
      </c>
      <c r="B106" s="68">
        <v>0.455376</v>
      </c>
      <c r="C106" s="68">
        <v>42.266599999999997</v>
      </c>
      <c r="D106" s="68">
        <v>2</v>
      </c>
      <c r="E106" s="68" t="s">
        <v>460</v>
      </c>
    </row>
    <row r="107" spans="1:5">
      <c r="A107" s="68">
        <v>0.35121200000000002</v>
      </c>
      <c r="B107" s="68">
        <v>0.45589299999999999</v>
      </c>
      <c r="C107" s="68">
        <v>42.672699999999999</v>
      </c>
      <c r="D107" s="68">
        <v>2</v>
      </c>
      <c r="E107" s="68" t="s">
        <v>461</v>
      </c>
    </row>
    <row r="108" spans="1:5">
      <c r="A108" s="68">
        <v>0.35383100000000001</v>
      </c>
      <c r="B108" s="68">
        <v>0.45616000000000001</v>
      </c>
      <c r="C108" s="68">
        <v>43.077399999999997</v>
      </c>
      <c r="D108" s="68">
        <v>2</v>
      </c>
      <c r="E108" s="68" t="s">
        <v>462</v>
      </c>
    </row>
    <row r="109" spans="1:5">
      <c r="A109" s="68">
        <v>0.35615799999999997</v>
      </c>
      <c r="B109" s="68">
        <v>0.45655499999999999</v>
      </c>
      <c r="C109" s="68">
        <v>43.491399999999999</v>
      </c>
      <c r="D109" s="68">
        <v>2</v>
      </c>
      <c r="E109" s="68" t="s">
        <v>463</v>
      </c>
    </row>
    <row r="110" spans="1:5">
      <c r="A110" s="68">
        <v>0.35856500000000002</v>
      </c>
      <c r="B110" s="68">
        <v>0.45623999999999998</v>
      </c>
      <c r="C110" s="68">
        <v>43.894199999999998</v>
      </c>
      <c r="D110" s="68">
        <v>2</v>
      </c>
      <c r="E110" s="68" t="s">
        <v>464</v>
      </c>
    </row>
    <row r="111" spans="1:5">
      <c r="A111" s="68">
        <v>0.36110900000000001</v>
      </c>
      <c r="B111" s="68">
        <v>0.455766</v>
      </c>
      <c r="C111" s="68">
        <v>44.301400000000001</v>
      </c>
      <c r="D111" s="68">
        <v>2</v>
      </c>
      <c r="E111" s="68" t="s">
        <v>465</v>
      </c>
    </row>
    <row r="112" spans="1:5">
      <c r="A112" s="68">
        <v>0.36346699999999998</v>
      </c>
      <c r="B112" s="68">
        <v>0.45544299999999999</v>
      </c>
      <c r="C112" s="68">
        <v>44.705100000000002</v>
      </c>
      <c r="D112" s="68">
        <v>2</v>
      </c>
      <c r="E112" s="68" t="s">
        <v>466</v>
      </c>
    </row>
    <row r="113" spans="1:5">
      <c r="A113" s="68">
        <v>0.36555100000000001</v>
      </c>
      <c r="B113" s="68">
        <v>0.45555699999999999</v>
      </c>
      <c r="C113" s="68">
        <v>45.108800000000002</v>
      </c>
      <c r="D113" s="68">
        <v>2</v>
      </c>
      <c r="E113" s="68" t="s">
        <v>467</v>
      </c>
    </row>
    <row r="114" spans="1:5">
      <c r="A114" s="68">
        <v>0.36795299999999997</v>
      </c>
      <c r="B114" s="68">
        <v>0.45534200000000002</v>
      </c>
      <c r="C114" s="68">
        <v>45.5169</v>
      </c>
      <c r="D114" s="68">
        <v>2</v>
      </c>
      <c r="E114" s="68" t="s">
        <v>468</v>
      </c>
    </row>
    <row r="115" spans="1:5">
      <c r="A115" s="68">
        <v>0.370338</v>
      </c>
      <c r="B115" s="68">
        <v>0.45536599999999999</v>
      </c>
      <c r="C115" s="68">
        <v>45.924300000000002</v>
      </c>
      <c r="D115" s="68">
        <v>2</v>
      </c>
      <c r="E115" s="68" t="s">
        <v>469</v>
      </c>
    </row>
    <row r="116" spans="1:5">
      <c r="A116" s="68">
        <v>0.37292999999999998</v>
      </c>
      <c r="B116" s="68">
        <v>0.45520699999999997</v>
      </c>
      <c r="C116" s="68">
        <v>46.331400000000002</v>
      </c>
      <c r="D116" s="68">
        <v>2</v>
      </c>
      <c r="E116" s="68" t="s">
        <v>470</v>
      </c>
    </row>
    <row r="117" spans="1:5">
      <c r="A117" s="68">
        <v>0.375415</v>
      </c>
      <c r="B117" s="68">
        <v>0.45504600000000001</v>
      </c>
      <c r="C117" s="68">
        <v>46.735599999999998</v>
      </c>
      <c r="D117" s="68">
        <v>2</v>
      </c>
      <c r="E117" s="68" t="s">
        <v>471</v>
      </c>
    </row>
    <row r="118" spans="1:5">
      <c r="A118" s="68">
        <v>0.37767200000000001</v>
      </c>
      <c r="B118" s="68">
        <v>0.45509899999999998</v>
      </c>
      <c r="C118" s="68">
        <v>47.145699999999998</v>
      </c>
      <c r="D118" s="68">
        <v>2</v>
      </c>
      <c r="E118" s="68" t="s">
        <v>472</v>
      </c>
    </row>
    <row r="119" spans="1:5">
      <c r="A119" s="68">
        <v>0.37965300000000002</v>
      </c>
      <c r="B119" s="68">
        <v>0.45556799999999997</v>
      </c>
      <c r="C119" s="68">
        <v>47.546999999999997</v>
      </c>
      <c r="D119" s="68">
        <v>2</v>
      </c>
      <c r="E119" s="68" t="s">
        <v>473</v>
      </c>
    </row>
    <row r="120" spans="1:5">
      <c r="A120" s="68">
        <v>0.381415</v>
      </c>
      <c r="B120" s="68">
        <v>0.45641399999999999</v>
      </c>
      <c r="C120" s="68">
        <v>47.952300000000001</v>
      </c>
      <c r="D120" s="68">
        <v>2</v>
      </c>
      <c r="E120" s="68" t="s">
        <v>474</v>
      </c>
    </row>
    <row r="121" spans="1:5">
      <c r="A121" s="68">
        <v>0.38337199999999999</v>
      </c>
      <c r="B121" s="68">
        <v>0.45687299999999997</v>
      </c>
      <c r="C121" s="68">
        <v>48.3611</v>
      </c>
      <c r="D121" s="68">
        <v>2</v>
      </c>
      <c r="E121" s="68" t="s">
        <v>475</v>
      </c>
    </row>
    <row r="122" spans="1:5">
      <c r="A122" s="68">
        <v>0.38537700000000003</v>
      </c>
      <c r="B122" s="68">
        <v>0.45730100000000001</v>
      </c>
      <c r="C122" s="68">
        <v>48.769100000000002</v>
      </c>
      <c r="D122" s="68">
        <v>2</v>
      </c>
      <c r="E122" s="68" t="s">
        <v>476</v>
      </c>
    </row>
    <row r="123" spans="1:5">
      <c r="A123" s="68">
        <v>0.38767499999999999</v>
      </c>
      <c r="B123" s="68">
        <v>0.45784200000000003</v>
      </c>
      <c r="C123" s="68">
        <v>49.175899999999999</v>
      </c>
      <c r="D123" s="68">
        <v>2</v>
      </c>
      <c r="E123" s="68" t="s">
        <v>477</v>
      </c>
    </row>
    <row r="124" spans="1:5">
      <c r="A124" s="68">
        <v>0.39003900000000002</v>
      </c>
      <c r="B124" s="68">
        <v>0.45835599999999999</v>
      </c>
      <c r="C124" s="68">
        <v>49.577800000000003</v>
      </c>
      <c r="D124" s="68">
        <v>2</v>
      </c>
      <c r="E124" s="68" t="s">
        <v>478</v>
      </c>
    </row>
    <row r="125" spans="1:5">
      <c r="A125" s="68">
        <v>0.39269799999999999</v>
      </c>
      <c r="B125" s="68">
        <v>0.45827400000000001</v>
      </c>
      <c r="C125" s="68">
        <v>49.984200000000001</v>
      </c>
      <c r="D125" s="68">
        <v>2</v>
      </c>
      <c r="E125" s="68" t="s">
        <v>479</v>
      </c>
    </row>
    <row r="126" spans="1:5">
      <c r="A126" s="68">
        <v>0.39354699999999998</v>
      </c>
      <c r="B126" s="68">
        <v>0.45863500000000001</v>
      </c>
      <c r="C126" s="68">
        <v>50.390900000000002</v>
      </c>
      <c r="D126" s="68">
        <v>2</v>
      </c>
      <c r="E126" s="68" t="s">
        <v>480</v>
      </c>
    </row>
    <row r="127" spans="1:5">
      <c r="A127" s="68">
        <v>0.39428800000000003</v>
      </c>
      <c r="B127" s="68">
        <v>0.459235</v>
      </c>
      <c r="C127" s="68">
        <v>50.801900000000003</v>
      </c>
      <c r="D127" s="68">
        <v>2</v>
      </c>
      <c r="E127" s="68" t="s">
        <v>481</v>
      </c>
    </row>
    <row r="128" spans="1:5">
      <c r="A128" s="68">
        <v>0.394953</v>
      </c>
      <c r="B128" s="68">
        <v>0.46023500000000001</v>
      </c>
      <c r="C128" s="68">
        <v>51.2059</v>
      </c>
      <c r="D128" s="68">
        <v>2</v>
      </c>
      <c r="E128" s="68" t="s">
        <v>482</v>
      </c>
    </row>
    <row r="129" spans="1:5">
      <c r="A129" s="68">
        <v>0.39559100000000003</v>
      </c>
      <c r="B129" s="68">
        <v>0.46157900000000002</v>
      </c>
      <c r="C129" s="68">
        <v>51.613199999999999</v>
      </c>
      <c r="D129" s="68">
        <v>2</v>
      </c>
      <c r="E129" s="68" t="s">
        <v>483</v>
      </c>
    </row>
    <row r="130" spans="1:5">
      <c r="A130" s="68">
        <v>0.39636399999999999</v>
      </c>
      <c r="B130" s="68">
        <v>0.46291599999999999</v>
      </c>
      <c r="C130" s="68">
        <v>52.016500000000001</v>
      </c>
      <c r="D130" s="68">
        <v>2</v>
      </c>
      <c r="E130" s="68" t="s">
        <v>484</v>
      </c>
    </row>
    <row r="131" spans="1:5">
      <c r="A131" s="68">
        <v>0.39729500000000001</v>
      </c>
      <c r="B131" s="68">
        <v>0.46435599999999999</v>
      </c>
      <c r="C131" s="68">
        <v>52.4223</v>
      </c>
      <c r="D131" s="68">
        <v>2</v>
      </c>
      <c r="E131" s="68" t="s">
        <v>485</v>
      </c>
    </row>
    <row r="132" spans="1:5">
      <c r="A132" s="68">
        <v>0.398231</v>
      </c>
      <c r="B132" s="68">
        <v>0.46587699999999999</v>
      </c>
      <c r="C132" s="68">
        <v>52.834200000000003</v>
      </c>
      <c r="D132" s="68">
        <v>2</v>
      </c>
      <c r="E132" s="68" t="s">
        <v>486</v>
      </c>
    </row>
    <row r="133" spans="1:5">
      <c r="A133" s="68">
        <v>0.39905600000000002</v>
      </c>
      <c r="B133" s="68">
        <v>0.46776000000000001</v>
      </c>
      <c r="C133" s="68">
        <v>53.236699999999999</v>
      </c>
      <c r="D133" s="68">
        <v>2</v>
      </c>
      <c r="E133" s="68" t="s">
        <v>487</v>
      </c>
    </row>
    <row r="134" spans="1:5">
      <c r="A134" s="68">
        <v>0.40012799999999998</v>
      </c>
      <c r="B134" s="68">
        <v>0.470084</v>
      </c>
      <c r="C134" s="68">
        <v>53.645600000000002</v>
      </c>
      <c r="D134" s="68">
        <v>2</v>
      </c>
      <c r="E134" s="68" t="s">
        <v>488</v>
      </c>
    </row>
    <row r="135" spans="1:5">
      <c r="A135" s="68">
        <v>0.40101599999999998</v>
      </c>
      <c r="B135" s="68">
        <v>0.47222799999999998</v>
      </c>
      <c r="C135" s="68">
        <v>54.047199999999997</v>
      </c>
      <c r="D135" s="68">
        <v>2</v>
      </c>
      <c r="E135" s="68" t="s">
        <v>489</v>
      </c>
    </row>
    <row r="136" spans="1:5">
      <c r="A136" s="68">
        <v>0.40182400000000001</v>
      </c>
      <c r="B136" s="68">
        <v>0.47450399999999998</v>
      </c>
      <c r="C136" s="68">
        <v>54.455599999999997</v>
      </c>
      <c r="D136" s="68">
        <v>2</v>
      </c>
      <c r="E136" s="68" t="s">
        <v>490</v>
      </c>
    </row>
    <row r="137" spans="1:5">
      <c r="A137" s="68">
        <v>0.40267500000000001</v>
      </c>
      <c r="B137" s="68">
        <v>0.476574</v>
      </c>
      <c r="C137" s="68">
        <v>54.859499999999997</v>
      </c>
      <c r="D137" s="68">
        <v>2</v>
      </c>
      <c r="E137" s="68" t="s">
        <v>491</v>
      </c>
    </row>
    <row r="138" spans="1:5">
      <c r="A138" s="68">
        <v>0.40381400000000001</v>
      </c>
      <c r="B138" s="68">
        <v>0.47821399999999997</v>
      </c>
      <c r="C138" s="68">
        <v>55.272300000000001</v>
      </c>
      <c r="D138" s="68">
        <v>2</v>
      </c>
      <c r="E138" s="68" t="s">
        <v>492</v>
      </c>
    </row>
    <row r="139" spans="1:5">
      <c r="A139" s="68">
        <v>0.40459499999999998</v>
      </c>
      <c r="B139" s="68">
        <v>0.47952899999999998</v>
      </c>
      <c r="C139" s="68">
        <v>55.6755</v>
      </c>
      <c r="D139" s="68">
        <v>2</v>
      </c>
      <c r="E139" s="68" t="s">
        <v>493</v>
      </c>
    </row>
    <row r="140" spans="1:5">
      <c r="A140" s="68">
        <v>0.40522999999999998</v>
      </c>
      <c r="B140" s="68">
        <v>0.47999700000000001</v>
      </c>
      <c r="C140" s="68">
        <v>56.081299999999999</v>
      </c>
      <c r="D140" s="68">
        <v>2</v>
      </c>
      <c r="E140" s="68" t="s">
        <v>494</v>
      </c>
    </row>
    <row r="141" spans="1:5">
      <c r="A141" s="68">
        <v>0.40524300000000002</v>
      </c>
      <c r="B141" s="68">
        <v>0.47898800000000002</v>
      </c>
      <c r="C141" s="68">
        <v>56.485399999999998</v>
      </c>
      <c r="D141" s="68">
        <v>2</v>
      </c>
      <c r="E141" s="68" t="s">
        <v>495</v>
      </c>
    </row>
    <row r="142" spans="1:5">
      <c r="A142" s="68">
        <v>0.40524300000000002</v>
      </c>
      <c r="B142" s="68">
        <v>0.477877</v>
      </c>
      <c r="C142" s="68">
        <v>56.894399999999997</v>
      </c>
      <c r="D142" s="68">
        <v>2</v>
      </c>
      <c r="E142" s="68" t="s">
        <v>496</v>
      </c>
    </row>
    <row r="143" spans="1:5">
      <c r="A143" s="68">
        <v>0.40559499999999998</v>
      </c>
      <c r="B143" s="68">
        <v>0.477101</v>
      </c>
      <c r="C143" s="68">
        <v>57.298200000000001</v>
      </c>
      <c r="D143" s="68">
        <v>2</v>
      </c>
      <c r="E143" s="68" t="s">
        <v>497</v>
      </c>
    </row>
    <row r="144" spans="1:5">
      <c r="A144" s="68">
        <v>0.407051</v>
      </c>
      <c r="B144" s="68">
        <v>0.476356</v>
      </c>
      <c r="C144" s="68">
        <v>57.707799999999999</v>
      </c>
      <c r="D144" s="68">
        <v>2</v>
      </c>
      <c r="E144" s="68" t="s">
        <v>498</v>
      </c>
    </row>
    <row r="145" spans="1:5">
      <c r="A145" s="68">
        <v>0.409578</v>
      </c>
      <c r="B145" s="68">
        <v>0.47558</v>
      </c>
      <c r="C145" s="68">
        <v>58.112200000000001</v>
      </c>
      <c r="D145" s="68">
        <v>2</v>
      </c>
      <c r="E145" s="68" t="s">
        <v>499</v>
      </c>
    </row>
    <row r="146" spans="1:5">
      <c r="A146" s="68">
        <v>0.41252499999999998</v>
      </c>
      <c r="B146" s="68">
        <v>0.47603600000000001</v>
      </c>
      <c r="C146" s="68">
        <v>58.514299999999999</v>
      </c>
      <c r="D146" s="68">
        <v>2</v>
      </c>
      <c r="E146" s="68" t="s">
        <v>500</v>
      </c>
    </row>
    <row r="147" spans="1:5">
      <c r="A147" s="68">
        <v>0.41646300000000003</v>
      </c>
      <c r="B147" s="68">
        <v>0.477634</v>
      </c>
      <c r="C147" s="68">
        <v>58.9251</v>
      </c>
      <c r="D147" s="68">
        <v>2</v>
      </c>
      <c r="E147" s="68" t="s">
        <v>501</v>
      </c>
    </row>
    <row r="148" spans="1:5">
      <c r="A148" s="68">
        <v>0.41983300000000001</v>
      </c>
      <c r="B148" s="68">
        <v>0.477607</v>
      </c>
      <c r="C148" s="68">
        <v>59.334200000000003</v>
      </c>
      <c r="D148" s="68">
        <v>2</v>
      </c>
      <c r="E148" s="68" t="s">
        <v>502</v>
      </c>
    </row>
    <row r="149" spans="1:5">
      <c r="A149" s="68">
        <v>0.42489700000000002</v>
      </c>
      <c r="B149" s="68">
        <v>0.47751900000000003</v>
      </c>
      <c r="C149" s="68">
        <v>59.739800000000002</v>
      </c>
      <c r="D149" s="68">
        <v>2</v>
      </c>
      <c r="E149" s="68" t="s">
        <v>503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353</v>
      </c>
      <c r="B1" s="66" t="s">
        <v>504</v>
      </c>
      <c r="C1" s="66" t="s">
        <v>506</v>
      </c>
      <c r="D1" s="66" t="s">
        <v>507</v>
      </c>
      <c r="E1" s="66" t="s">
        <v>508</v>
      </c>
      <c r="F1" s="66" t="s">
        <v>293</v>
      </c>
      <c r="G1" s="66" t="s">
        <v>294</v>
      </c>
      <c r="H1" s="66" t="s">
        <v>509</v>
      </c>
      <c r="I1" s="66" t="s">
        <v>510</v>
      </c>
      <c r="J1" s="66" t="s">
        <v>511</v>
      </c>
      <c r="K1" s="66" t="s">
        <v>512</v>
      </c>
      <c r="L1" s="66" t="s">
        <v>513</v>
      </c>
      <c r="M1" s="66" t="s">
        <v>514</v>
      </c>
      <c r="N1" s="66"/>
    </row>
    <row r="2" spans="1:14">
      <c r="A2" s="75">
        <v>43628.64744212963</v>
      </c>
      <c r="B2" s="66" t="s">
        <v>505</v>
      </c>
      <c r="C2" s="66"/>
      <c r="D2" s="66"/>
      <c r="E2" s="66">
        <v>4.9207200000000002</v>
      </c>
      <c r="F2" s="66">
        <v>1.84728</v>
      </c>
      <c r="G2" s="66">
        <v>0.55464100000000005</v>
      </c>
      <c r="H2" s="66">
        <v>0</v>
      </c>
      <c r="I2" s="66">
        <v>132791</v>
      </c>
      <c r="J2" s="66">
        <v>80</v>
      </c>
      <c r="K2" s="66">
        <v>80</v>
      </c>
      <c r="L2" s="66">
        <v>0</v>
      </c>
      <c r="M2" s="66" t="s">
        <v>515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2019-06-12T07:32:54Z</cp:lastPrinted>
  <dcterms:created xsi:type="dcterms:W3CDTF">2010-10-29T12:53:05Z</dcterms:created>
  <dcterms:modified xsi:type="dcterms:W3CDTF">2019-06-12T07:33:09Z</dcterms:modified>
</cp:coreProperties>
</file>