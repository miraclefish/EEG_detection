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<sst xmlns="http://schemas.openxmlformats.org/spreadsheetml/2006/main" count="701" uniqueCount="574">
  <si>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</si>
  <si>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</si>
  <si>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</si>
  <si>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</si>
  <si>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</si>
  <si>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</si>
  <si>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</si>
  <si>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</si>
  <si>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</si>
  <si>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</si>
  <si>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</si>
  <si>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</si>
  <si>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</si>
  <si>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</si>
  <si>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</si>
  <si>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</si>
  <si>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</si>
  <si>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</si>
  <si>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</si>
  <si>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</si>
  <si>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</si>
  <si>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</si>
  <si>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</si>
  <si>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</si>
  <si>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</si>
  <si>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</si>
  <si>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</si>
  <si>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</si>
  <si>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</si>
  <si>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</si>
  <si>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</si>
  <si>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</si>
  <si>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</si>
  <si>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</si>
  <si>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</si>
  <si>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</si>
  <si>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</si>
  <si>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</si>
  <si>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</si>
  <si>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</si>
  <si>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</si>
  <si>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</si>
  <si>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</si>
  <si>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</si>
  <si>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</si>
  <si>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</si>
  <si>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</si>
  <si>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</si>
  <si>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</si>
  <si>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</si>
  <si>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</si>
  <si>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</si>
  <si>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</si>
  <si>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</si>
  <si>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</si>
  <si>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</si>
  <si>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</si>
  <si>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</si>
  <si>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</si>
  <si>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</si>
  <si>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</si>
  <si>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</si>
  <si>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</si>
  <si>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</si>
  <si>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</si>
  <si>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</si>
  <si>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</si>
  <si>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</si>
  <si>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</si>
  <si>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</si>
  <si>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</si>
  <si>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</si>
  <si>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</si>
  <si>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</si>
  <si>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</si>
  <si>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</si>
  <si>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</si>
  <si>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</si>
  <si>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</si>
  <si>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</si>
  <si>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</si>
  <si>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</si>
  <si>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</si>
  <si>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</si>
  <si>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</si>
  <si>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</si>
  <si>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</si>
  <si>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</si>
  <si>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</si>
  <si>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</si>
  <si>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</si>
  <si>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</si>
  <si>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</si>
  <si>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</si>
  <si>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</si>
  <si>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</si>
  <si>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</si>
  <si>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</si>
  <si>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</si>
  <si>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</si>
  <si>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</si>
  <si>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</si>
  <si>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</si>
  <si>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</si>
  <si>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</si>
  <si>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</si>
  <si>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</si>
  <si>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</si>
  <si>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</si>
  <si>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</si>
  <si>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</si>
  <si>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</si>
  <si>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</si>
  <si>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</si>
  <si>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</si>
  <si>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</si>
  <si>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</si>
  <si>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</si>
  <si>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</si>
  <si>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</si>
  <si>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</si>
  <si>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</si>
  <si>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</si>
  <si>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</si>
  <si>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</si>
  <si>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</si>
  <si>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</si>
  <si>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</si>
  <si>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</si>
  <si>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</si>
  <si>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</si>
  <si>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</si>
  <si>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</si>
  <si>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</si>
  <si>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</si>
  <si>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</si>
  <si>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</si>
  <si>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</si>
  <si>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</si>
  <si>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</si>
  <si>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</si>
  <si>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</si>
  <si>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</si>
  <si>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</si>
  <si>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</si>
  <si>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</si>
  <si>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</si>
  <si>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</si>
  <si>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</si>
  <si>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</si>
  <si>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</si>
  <si>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</si>
  <si>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</si>
  <si>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</si>
  <si>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</si>
  <si>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</si>
  <si>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</si>
  <si>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</si>
  <si>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</si>
  <si>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</si>
  <si>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</si>
  <si>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</si>
  <si>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</si>
  <si>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</si>
  <si>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</si>
  <si>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</si>
  <si>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</si>
  <si>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</si>
  <si>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</si>
  <si>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</si>
  <si>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</si>
  <si>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</si>
  <si>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</si>
  <si>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</si>
  <si>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</si>
  <si>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</si>
  <si>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</si>
  <si>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</si>
  <si>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</si>
  <si>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</si>
  <si>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</si>
  <si>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</si>
  <si>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</si>
  <si>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</si>
  <si>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</si>
  <si>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</si>
  <si>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</si>
  <si>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</si>
  <si>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</si>
  <si>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</si>
  <si>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</si>
  <si>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</si>
  <si>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</si>
  <si>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</si>
  <si>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</si>
  <si>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</si>
  <si>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</si>
  <si>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</si>
  <si>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</si>
  <si>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</si>
  <si>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</si>
  <si>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</si>
  <si>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</si>
  <si>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</si>
  <si>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</si>
  <si>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</si>
  <si>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</si>
  <si>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</si>
  <si>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</si>
  <si>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</si>
  <si>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</si>
  <si>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</si>
  <si>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</si>
  <si>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</si>
  <si>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</si>
  <si>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</si>
  <si>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</si>
  <si>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</si>
  <si>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</si>
  <si>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</si>
  <si>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</si>
  <si>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</si>
  <si>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</si>
  <si>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</si>
  <si>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</si>
  <si>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</si>
  <si>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</si>
  <si>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</si>
  <si>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</si>
  <si>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</si>
  <si>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</si>
  <si>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</si>
  <si>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</si>
  <si>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</si>
  <si>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</si>
  <si>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</si>
  <si>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</si>
  <si>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</si>
  <si>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</si>
  <si>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</si>
  <si>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</si>
  <si>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</si>
  <si>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</si>
  <si>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</si>
  <si>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</si>
  <si>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</si>
  <si>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</si>
  <si>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</si>
  <si>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</si>
  <si>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</si>
  <si>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</si>
  <si>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</si>
  <si>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</si>
  <si>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</si>
  <si>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</si>
  <si>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</si>
  <si>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</si>
  <si>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</si>
  <si>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</si>
  <si>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</si>
  <si>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</si>
  <si>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</si>
  <si>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</si>
  <si>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</si>
  <si>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</si>
  <si>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</si>
  <si>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</si>
  <si>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</si>
  <si>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</si>
  <si>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</si>
  <si>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</si>
  <si>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</si>
  <si>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</si>
  <si>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</si>
  <si>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</si>
  <si>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</si>
  <si>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</si>
  <si>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</si>
  <si>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</si>
  <si>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</si>
  <si>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</si>
  <si>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</si>
  <si>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</si>
  <si>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</si>
  <si>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</si>
  <si>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</si>
  <si>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</si>
  <si>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</si>
  <si>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</si>
  <si>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</si>
  <si>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</si>
  <si>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</si>
  <si>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</si>
  <si>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</si>
  <si>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</si>
  <si>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</si>
  <si>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</si>
  <si>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</si>
  <si>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</si>
  <si>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</si>
  <si>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</si>
  <si>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</si>
  <si>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</si>
  <si>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</si>
  <si>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</si>
  <si>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</si>
  <si>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</si>
  <si>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</si>
  <si>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</si>
  <si>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</si>
  <si>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</si>
  <si>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</si>
  <si>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</si>
  <si>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</si>
  <si>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</si>
  <si>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</si>
  <si>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</si>
  <si>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</si>
  <si>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</si>
  <si>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</si>
  <si>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</si>
  <si>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</si>
  <si>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</si>
  <si>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</si>
  <si>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</si>
  <si>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</si>
  <si>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</si>
  <si>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</si>
  <si>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</si>
  <si>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</si>
  <si>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</si>
  <si>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</si>
  <si>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</si>
  <si>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</si>
  <si>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</si>
  <si>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</si>
  <si>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</si>
  <si>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</si>
  <si>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</si>
  <si>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</si>
  <si>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</si>
  <si>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</si>
  <si>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</si>
  <si>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</si>
  <si>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</si>
  <si>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</si>
  <si>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</si>
  <si>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</si>
  <si>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</si>
  <si>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</si>
  <si>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</si>
  <si>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</si>
  <si>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</si>
  <si>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</si>
  <si>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</si>
  <si>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</si>
  <si>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</si>
  <si>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</si>
  <si>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</si>
  <si>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</si>
  <si>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</si>
  <si>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</si>
  <si>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</si>
  <si>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</si>
  <si>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</si>
  <si>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</si>
  <si>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</si>
  <si>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</si>
  <si>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</si>
  <si>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</si>
  <si>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</si>
  <si>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</si>
  <si>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</si>
  <si>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</si>
  <si>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</si>
  <si>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</si>
  <si>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</si>
  <si>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</si>
  <si>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</si>
  <si>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</si>
  <si>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</si>
  <si>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</si>
  <si>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</si>
  <si>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</si>
  <si>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</si>
  <si>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</si>
  <si>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</si>
  <si>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</si>
  <si>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</si>
  <si>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</si>
  <si>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</si>
  <si>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</si>
  <si>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</si>
  <si>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</si>
  <si>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</si>
  <si>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</si>
  <si>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</si>
  <si>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</si>
  <si>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</si>
  <si>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</si>
  <si>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</si>
  <si>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M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</si>
  <si>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</si>
  <si>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</si>
  <si>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</si>
  <si>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</si>
  <si>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</si>
  <si>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</si>
  <si>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</si>
  <si>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</si>
  <si>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[0.407035]</t>
  </si>
  <si>
    <t>1 [0.814928]</t>
  </si>
  <si>
    <t>1 [1.218794]</t>
  </si>
  <si>
    <t>1 [1.622771]</t>
  </si>
  <si>
    <t>1 [2.030682]</t>
  </si>
  <si>
    <t>1 [2.438565]</t>
  </si>
  <si>
    <t>1 [2.846780]</t>
  </si>
  <si>
    <t>1 [3.255331]</t>
  </si>
  <si>
    <t>1 [3.655310]</t>
  </si>
  <si>
    <t>1 [4.062186]</t>
  </si>
  <si>
    <t>1 [4.472139]</t>
  </si>
  <si>
    <t>1 [4.878953]</t>
  </si>
  <si>
    <t>1 [5.284933]</t>
  </si>
  <si>
    <t>1 [5.690791]</t>
  </si>
  <si>
    <t>1 [6.095744]</t>
  </si>
  <si>
    <t>1 [6.502653]</t>
  </si>
  <si>
    <t>1 [6.904603]</t>
  </si>
  <si>
    <t>1 [7.313825]</t>
  </si>
  <si>
    <t>1 [7.720409]</t>
  </si>
  <si>
    <t>1 [8.124435]</t>
  </si>
  <si>
    <t>1 [8.533258]</t>
  </si>
  <si>
    <t>1 [8.938077]</t>
  </si>
  <si>
    <t>1 [9.343009]</t>
  </si>
  <si>
    <t>1 [9.753906]</t>
  </si>
  <si>
    <t>1 [10.158874]</t>
  </si>
  <si>
    <t>1 [10.565803]</t>
  </si>
  <si>
    <t>1 [10.969666]</t>
  </si>
  <si>
    <t>1 [11.372648]</t>
  </si>
  <si>
    <t>1 [11.778762]</t>
  </si>
  <si>
    <t>1 [12.187650]</t>
  </si>
  <si>
    <t>1 [12.595429]</t>
  </si>
  <si>
    <t>1 [13.001257]</t>
  </si>
  <si>
    <t>1 [13.408829]</t>
  </si>
  <si>
    <t>1 [13.815183]</t>
  </si>
  <si>
    <t>1 [14.218109]</t>
  </si>
  <si>
    <t>1 [14.625434]</t>
  </si>
  <si>
    <t>1 [15.029101]</t>
  </si>
  <si>
    <t>1 [15.437976]</t>
  </si>
  <si>
    <t>1 [15.845719]</t>
  </si>
  <si>
    <t>1 [16.249656]</t>
  </si>
  <si>
    <t>1 [16.654523]</t>
  </si>
  <si>
    <t>1 [17.064523]</t>
  </si>
  <si>
    <t>1 [17.471335]</t>
  </si>
  <si>
    <t>1 [17.877542]</t>
  </si>
  <si>
    <t>1 [18.281259]</t>
  </si>
  <si>
    <t>1 [18.688426]</t>
  </si>
  <si>
    <t>1 [19.094051]</t>
  </si>
  <si>
    <t>1 [19.501003]</t>
  </si>
  <si>
    <t>1 [19.906642]</t>
  </si>
  <si>
    <t>1 [20.315970]</t>
  </si>
  <si>
    <t>1 [20.722650]</t>
  </si>
  <si>
    <t>1 [21.128514]</t>
  </si>
  <si>
    <t>1 [21.531435]</t>
  </si>
  <si>
    <t>1 [21.935395]</t>
  </si>
  <si>
    <t>1 [22.346596]</t>
  </si>
  <si>
    <t>1 [22.753124]</t>
  </si>
  <si>
    <t>1 [23.156599]</t>
  </si>
  <si>
    <t>1 [23.563330]</t>
  </si>
  <si>
    <t>1 [23.971096]</t>
  </si>
  <si>
    <t>1 [24.372982]</t>
  </si>
  <si>
    <t>1 [24.783742]</t>
  </si>
  <si>
    <t>1 [25.189623]</t>
  </si>
  <si>
    <t>1 [25.593591]</t>
  </si>
  <si>
    <t>1 [26.002693]</t>
  </si>
  <si>
    <t>1 [26.406472]</t>
  </si>
  <si>
    <t>1 [26.813635]</t>
  </si>
  <si>
    <t>1 [27.220367]</t>
  </si>
  <si>
    <t>1 [27.627137]</t>
  </si>
  <si>
    <t>1 [28.034063]</t>
  </si>
  <si>
    <t>1 [28.440075]</t>
  </si>
  <si>
    <t>1 [28.844878]</t>
  </si>
  <si>
    <t>1 [29.251935]</t>
  </si>
  <si>
    <t>1 [29.659719]</t>
  </si>
  <si>
    <t>2 [30.065989]</t>
  </si>
  <si>
    <t>2 [30.643309]</t>
  </si>
  <si>
    <t>2 [31.018089]</t>
  </si>
  <si>
    <t>2 [31.393108]</t>
  </si>
  <si>
    <t>2 [31.772132]</t>
  </si>
  <si>
    <t>2 [32.158200]</t>
  </si>
  <si>
    <t>2 [32.565021]</t>
  </si>
  <si>
    <t>2 [32.970904]</t>
  </si>
  <si>
    <t>2 [33.375870]</t>
  </si>
  <si>
    <t>2 [33.782821]</t>
  </si>
  <si>
    <t>2 [34.188648]</t>
  </si>
  <si>
    <t>2 [34.593646]</t>
  </si>
  <si>
    <t>2 [35.000510]</t>
  </si>
  <si>
    <t>2 [35.409040]</t>
  </si>
  <si>
    <t>2 [35.813702]</t>
  </si>
  <si>
    <t>2 [36.219348]</t>
  </si>
  <si>
    <t>2 [36.626427]</t>
  </si>
  <si>
    <t>2 [37.030890]</t>
  </si>
  <si>
    <t>2 [37.438280]</t>
  </si>
  <si>
    <t>2 [37.842896]</t>
  </si>
  <si>
    <t>2 [38.250849]</t>
  </si>
  <si>
    <t>2 [38.655793]</t>
  </si>
  <si>
    <t>2 [39.062872]</t>
  </si>
  <si>
    <t>2 [39.470568]</t>
  </si>
  <si>
    <t>2 [39.877779]</t>
  </si>
  <si>
    <t>2 [40.283435]</t>
  </si>
  <si>
    <t>2 [40.689526]</t>
  </si>
  <si>
    <t>2 [41.093344]</t>
  </si>
  <si>
    <t>2 [41.498121]</t>
  </si>
  <si>
    <t>2 [41.905410]</t>
  </si>
  <si>
    <t>2 [42.315026]</t>
  </si>
  <si>
    <t>2 [42.721962]</t>
  </si>
  <si>
    <t>2 [43.126848]</t>
  </si>
  <si>
    <t>2 [43.531782]</t>
  </si>
  <si>
    <t>2 [43.935562]</t>
  </si>
  <si>
    <t>2 [44.341570]</t>
  </si>
  <si>
    <t>2 [44.753540]</t>
  </si>
  <si>
    <t>2 [45.157493]</t>
  </si>
  <si>
    <t>2 [45.561305]</t>
  </si>
  <si>
    <t>2 [45.968440]</t>
  </si>
  <si>
    <t>2 [46.371939]</t>
  </si>
  <si>
    <t>2 [46.783074]</t>
  </si>
  <si>
    <t>2 [47.186997]</t>
  </si>
  <si>
    <t>2 [47.597393]</t>
  </si>
  <si>
    <t>2 [48.003735]</t>
  </si>
  <si>
    <t>2 [48.407809]</t>
  </si>
  <si>
    <t>2 [48.811539]</t>
  </si>
  <si>
    <t>2 [49.218631]</t>
  </si>
  <si>
    <t>2 [49.623209]</t>
  </si>
  <si>
    <t>2 [50.035007]</t>
  </si>
  <si>
    <t>2 [50.440931]</t>
  </si>
  <si>
    <t>2 [50.846177]</t>
  </si>
  <si>
    <t>2 [51.249084]</t>
  </si>
  <si>
    <t>2 [51.658858]</t>
  </si>
  <si>
    <t>2 [52.064253]</t>
  </si>
  <si>
    <t>2 [52.471744]</t>
  </si>
  <si>
    <t>2 [52.872661]</t>
  </si>
  <si>
    <t>2 [53.283723]</t>
  </si>
  <si>
    <t>2 [53.687600]</t>
  </si>
  <si>
    <t>2 [54.092337]</t>
  </si>
  <si>
    <t>2 [54.501408]</t>
  </si>
  <si>
    <t>2 [54.909235]</t>
  </si>
  <si>
    <t>2 [55.314245]</t>
  </si>
  <si>
    <t>2 [55.718994]</t>
  </si>
  <si>
    <t>2 [56.125917]</t>
  </si>
  <si>
    <t>2 [56.532029]</t>
  </si>
  <si>
    <t>2 [56.940794]</t>
  </si>
  <si>
    <t>2 [57.347021]</t>
  </si>
  <si>
    <t>2 [57.749243]</t>
  </si>
  <si>
    <t>2 [58.155571]</t>
  </si>
  <si>
    <t>2 [58.564673]</t>
  </si>
  <si>
    <t>2 [58.972328]</t>
  </si>
  <si>
    <t>2 [59.377300]</t>
  </si>
  <si>
    <t>2 [59.782182]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</si>
  <si>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</si>
  <si>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</si>
  <si>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</si>
  <si>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</si>
  <si>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</si>
  <si>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</si>
  <si>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</si>
  <si>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</si>
  <si>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</si>
  <si>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</si>
  <si>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</si>
  <si>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</si>
  <si>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</si>
  <si>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</si>
  <si>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</si>
  <si>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</si>
  <si>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董建会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</si>
</sst>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38.509900000000002</c:v>
                </c:pt>
                <c:pt idx="1">
                  <c:v>21.287700000000001</c:v>
                </c:pt>
                <c:pt idx="2">
                  <c:v>21.329499999999999</c:v>
                </c:pt>
                <c:pt idx="3">
                  <c:v>26.4529</c:v>
                </c:pt>
                <c:pt idx="4">
                  <c:v>66.895399999999995</c:v>
                </c:pt>
                <c:pt idx="5">
                  <c:v>81.778000000000006</c:v>
                </c:pt>
                <c:pt idx="6">
                  <c:v>30.264500000000002</c:v>
                </c:pt>
                <c:pt idx="7">
                  <c:v>73.687200000000004</c:v>
                </c:pt>
                <c:pt idx="8">
                  <c:v>19.6767</c:v>
                </c:pt>
                <c:pt idx="9">
                  <c:v>32.15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0.54461673117987486</c:v>
                </c:pt>
                <c:pt idx="1">
                  <c:v>0.23192417515255187</c:v>
                </c:pt>
                <c:pt idx="2">
                  <c:v>0.22345909366757319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138</c:v>
                </c:pt>
                <c:pt idx="7">
                  <c:v>0</c:v>
                </c:pt>
                <c:pt idx="8">
                  <c:v>743</c:v>
                </c:pt>
                <c:pt idx="9">
                  <c:v>0</c:v>
                </c:pt>
                <c:pt idx="10">
                  <c:v>0</c:v>
                </c:pt>
                <c:pt idx="11">
                  <c:v>1560</c:v>
                </c:pt>
                <c:pt idx="12">
                  <c:v>0</c:v>
                </c:pt>
                <c:pt idx="13">
                  <c:v>2962</c:v>
                </c:pt>
                <c:pt idx="14">
                  <c:v>0</c:v>
                </c:pt>
                <c:pt idx="15">
                  <c:v>0</c:v>
                </c:pt>
                <c:pt idx="16">
                  <c:v>6526</c:v>
                </c:pt>
                <c:pt idx="17">
                  <c:v>0</c:v>
                </c:pt>
                <c:pt idx="18">
                  <c:v>0</c:v>
                </c:pt>
                <c:pt idx="19">
                  <c:v>8791</c:v>
                </c:pt>
                <c:pt idx="20">
                  <c:v>0</c:v>
                </c:pt>
                <c:pt idx="21">
                  <c:v>13467</c:v>
                </c:pt>
                <c:pt idx="22">
                  <c:v>0</c:v>
                </c:pt>
                <c:pt idx="23">
                  <c:v>0</c:v>
                </c:pt>
                <c:pt idx="24">
                  <c:v>16659</c:v>
                </c:pt>
                <c:pt idx="25">
                  <c:v>0</c:v>
                </c:pt>
                <c:pt idx="26">
                  <c:v>21705</c:v>
                </c:pt>
                <c:pt idx="27">
                  <c:v>0</c:v>
                </c:pt>
                <c:pt idx="28">
                  <c:v>0</c:v>
                </c:pt>
                <c:pt idx="29">
                  <c:v>29176</c:v>
                </c:pt>
                <c:pt idx="30">
                  <c:v>0</c:v>
                </c:pt>
                <c:pt idx="31">
                  <c:v>31640</c:v>
                </c:pt>
                <c:pt idx="32">
                  <c:v>0</c:v>
                </c:pt>
                <c:pt idx="33">
                  <c:v>0</c:v>
                </c:pt>
                <c:pt idx="34">
                  <c:v>46102</c:v>
                </c:pt>
                <c:pt idx="35">
                  <c:v>0</c:v>
                </c:pt>
                <c:pt idx="36">
                  <c:v>0</c:v>
                </c:pt>
                <c:pt idx="37">
                  <c:v>48888</c:v>
                </c:pt>
                <c:pt idx="38">
                  <c:v>0</c:v>
                </c:pt>
                <c:pt idx="39">
                  <c:v>58338</c:v>
                </c:pt>
                <c:pt idx="40">
                  <c:v>0</c:v>
                </c:pt>
                <c:pt idx="41">
                  <c:v>0</c:v>
                </c:pt>
                <c:pt idx="42">
                  <c:v>66288</c:v>
                </c:pt>
                <c:pt idx="43">
                  <c:v>0</c:v>
                </c:pt>
                <c:pt idx="44">
                  <c:v>82495</c:v>
                </c:pt>
                <c:pt idx="45">
                  <c:v>0</c:v>
                </c:pt>
                <c:pt idx="46">
                  <c:v>0</c:v>
                </c:pt>
                <c:pt idx="47">
                  <c:v>74738</c:v>
                </c:pt>
                <c:pt idx="48">
                  <c:v>0</c:v>
                </c:pt>
                <c:pt idx="49">
                  <c:v>74289</c:v>
                </c:pt>
                <c:pt idx="50">
                  <c:v>0</c:v>
                </c:pt>
                <c:pt idx="51">
                  <c:v>0</c:v>
                </c:pt>
                <c:pt idx="52">
                  <c:v>80222</c:v>
                </c:pt>
                <c:pt idx="53">
                  <c:v>0</c:v>
                </c:pt>
                <c:pt idx="54">
                  <c:v>0</c:v>
                </c:pt>
                <c:pt idx="55">
                  <c:v>82608</c:v>
                </c:pt>
                <c:pt idx="56">
                  <c:v>0</c:v>
                </c:pt>
                <c:pt idx="57">
                  <c:v>100164</c:v>
                </c:pt>
                <c:pt idx="58">
                  <c:v>0</c:v>
                </c:pt>
                <c:pt idx="59">
                  <c:v>0</c:v>
                </c:pt>
                <c:pt idx="60">
                  <c:v>98623</c:v>
                </c:pt>
                <c:pt idx="61">
                  <c:v>0</c:v>
                </c:pt>
                <c:pt idx="62">
                  <c:v>98289</c:v>
                </c:pt>
                <c:pt idx="63">
                  <c:v>0</c:v>
                </c:pt>
                <c:pt idx="64">
                  <c:v>0</c:v>
                </c:pt>
                <c:pt idx="65">
                  <c:v>98304</c:v>
                </c:pt>
                <c:pt idx="66">
                  <c:v>0</c:v>
                </c:pt>
                <c:pt idx="67">
                  <c:v>105065</c:v>
                </c:pt>
                <c:pt idx="68">
                  <c:v>0</c:v>
                </c:pt>
                <c:pt idx="69">
                  <c:v>0</c:v>
                </c:pt>
                <c:pt idx="70">
                  <c:v>111524</c:v>
                </c:pt>
                <c:pt idx="71">
                  <c:v>0</c:v>
                </c:pt>
                <c:pt idx="72">
                  <c:v>0</c:v>
                </c:pt>
                <c:pt idx="73">
                  <c:v>117368</c:v>
                </c:pt>
                <c:pt idx="74">
                  <c:v>0</c:v>
                </c:pt>
                <c:pt idx="75">
                  <c:v>137035</c:v>
                </c:pt>
                <c:pt idx="76">
                  <c:v>0</c:v>
                </c:pt>
                <c:pt idx="77">
                  <c:v>0</c:v>
                </c:pt>
                <c:pt idx="78">
                  <c:v>134806</c:v>
                </c:pt>
                <c:pt idx="79">
                  <c:v>0</c:v>
                </c:pt>
                <c:pt idx="80">
                  <c:v>156255</c:v>
                </c:pt>
                <c:pt idx="81">
                  <c:v>0</c:v>
                </c:pt>
                <c:pt idx="82">
                  <c:v>0</c:v>
                </c:pt>
                <c:pt idx="83">
                  <c:v>166541</c:v>
                </c:pt>
                <c:pt idx="84">
                  <c:v>0</c:v>
                </c:pt>
                <c:pt idx="85">
                  <c:v>0</c:v>
                </c:pt>
                <c:pt idx="86">
                  <c:v>171067</c:v>
                </c:pt>
                <c:pt idx="87">
                  <c:v>0</c:v>
                </c:pt>
                <c:pt idx="88">
                  <c:v>169280</c:v>
                </c:pt>
                <c:pt idx="89">
                  <c:v>0</c:v>
                </c:pt>
                <c:pt idx="90">
                  <c:v>0</c:v>
                </c:pt>
                <c:pt idx="91">
                  <c:v>182051</c:v>
                </c:pt>
                <c:pt idx="92">
                  <c:v>0</c:v>
                </c:pt>
                <c:pt idx="93">
                  <c:v>187761</c:v>
                </c:pt>
                <c:pt idx="94">
                  <c:v>0</c:v>
                </c:pt>
                <c:pt idx="95">
                  <c:v>0</c:v>
                </c:pt>
                <c:pt idx="96">
                  <c:v>189511</c:v>
                </c:pt>
                <c:pt idx="97">
                  <c:v>0</c:v>
                </c:pt>
                <c:pt idx="98">
                  <c:v>194924</c:v>
                </c:pt>
                <c:pt idx="99">
                  <c:v>0</c:v>
                </c:pt>
                <c:pt idx="100">
                  <c:v>0</c:v>
                </c:pt>
                <c:pt idx="101">
                  <c:v>201364</c:v>
                </c:pt>
                <c:pt idx="102">
                  <c:v>0</c:v>
                </c:pt>
                <c:pt idx="103">
                  <c:v>0</c:v>
                </c:pt>
                <c:pt idx="104">
                  <c:v>207080</c:v>
                </c:pt>
                <c:pt idx="105">
                  <c:v>0</c:v>
                </c:pt>
                <c:pt idx="106">
                  <c:v>215327</c:v>
                </c:pt>
                <c:pt idx="107">
                  <c:v>0</c:v>
                </c:pt>
                <c:pt idx="108">
                  <c:v>0</c:v>
                </c:pt>
                <c:pt idx="109">
                  <c:v>214677</c:v>
                </c:pt>
                <c:pt idx="110">
                  <c:v>0</c:v>
                </c:pt>
                <c:pt idx="111">
                  <c:v>227767</c:v>
                </c:pt>
                <c:pt idx="112">
                  <c:v>0</c:v>
                </c:pt>
                <c:pt idx="113">
                  <c:v>0</c:v>
                </c:pt>
                <c:pt idx="114">
                  <c:v>226476</c:v>
                </c:pt>
                <c:pt idx="115">
                  <c:v>0</c:v>
                </c:pt>
                <c:pt idx="116">
                  <c:v>214967</c:v>
                </c:pt>
                <c:pt idx="117">
                  <c:v>0</c:v>
                </c:pt>
                <c:pt idx="118">
                  <c:v>0</c:v>
                </c:pt>
                <c:pt idx="119">
                  <c:v>219395</c:v>
                </c:pt>
                <c:pt idx="120">
                  <c:v>0</c:v>
                </c:pt>
                <c:pt idx="121">
                  <c:v>0</c:v>
                </c:pt>
                <c:pt idx="122">
                  <c:v>227778</c:v>
                </c:pt>
                <c:pt idx="123">
                  <c:v>0</c:v>
                </c:pt>
                <c:pt idx="124">
                  <c:v>229091</c:v>
                </c:pt>
                <c:pt idx="125">
                  <c:v>0</c:v>
                </c:pt>
                <c:pt idx="126">
                  <c:v>0</c:v>
                </c:pt>
                <c:pt idx="127">
                  <c:v>227170</c:v>
                </c:pt>
                <c:pt idx="128">
                  <c:v>0</c:v>
                </c:pt>
                <c:pt idx="129">
                  <c:v>217250</c:v>
                </c:pt>
                <c:pt idx="130">
                  <c:v>0</c:v>
                </c:pt>
                <c:pt idx="131">
                  <c:v>0</c:v>
                </c:pt>
                <c:pt idx="132">
                  <c:v>201732</c:v>
                </c:pt>
                <c:pt idx="133">
                  <c:v>0</c:v>
                </c:pt>
                <c:pt idx="134">
                  <c:v>181813</c:v>
                </c:pt>
                <c:pt idx="135">
                  <c:v>0</c:v>
                </c:pt>
                <c:pt idx="136">
                  <c:v>0</c:v>
                </c:pt>
                <c:pt idx="137">
                  <c:v>153664</c:v>
                </c:pt>
                <c:pt idx="138">
                  <c:v>0</c:v>
                </c:pt>
                <c:pt idx="139">
                  <c:v>0</c:v>
                </c:pt>
                <c:pt idx="140">
                  <c:v>133105</c:v>
                </c:pt>
                <c:pt idx="141">
                  <c:v>0</c:v>
                </c:pt>
                <c:pt idx="142">
                  <c:v>115529</c:v>
                </c:pt>
                <c:pt idx="143">
                  <c:v>0</c:v>
                </c:pt>
                <c:pt idx="144">
                  <c:v>0</c:v>
                </c:pt>
                <c:pt idx="145">
                  <c:v>96099</c:v>
                </c:pt>
                <c:pt idx="146">
                  <c:v>0</c:v>
                </c:pt>
                <c:pt idx="147">
                  <c:v>68269</c:v>
                </c:pt>
                <c:pt idx="148">
                  <c:v>0</c:v>
                </c:pt>
                <c:pt idx="149">
                  <c:v>0</c:v>
                </c:pt>
                <c:pt idx="150">
                  <c:v>48800</c:v>
                </c:pt>
                <c:pt idx="151">
                  <c:v>0</c:v>
                </c:pt>
                <c:pt idx="152">
                  <c:v>37336</c:v>
                </c:pt>
                <c:pt idx="153">
                  <c:v>0</c:v>
                </c:pt>
                <c:pt idx="154">
                  <c:v>0</c:v>
                </c:pt>
                <c:pt idx="155">
                  <c:v>22183</c:v>
                </c:pt>
                <c:pt idx="156">
                  <c:v>0</c:v>
                </c:pt>
                <c:pt idx="157">
                  <c:v>0</c:v>
                </c:pt>
                <c:pt idx="158">
                  <c:v>14901</c:v>
                </c:pt>
                <c:pt idx="159">
                  <c:v>0</c:v>
                </c:pt>
                <c:pt idx="160">
                  <c:v>6594</c:v>
                </c:pt>
                <c:pt idx="161">
                  <c:v>0</c:v>
                </c:pt>
                <c:pt idx="162">
                  <c:v>0</c:v>
                </c:pt>
                <c:pt idx="163">
                  <c:v>3538</c:v>
                </c:pt>
                <c:pt idx="164">
                  <c:v>0</c:v>
                </c:pt>
                <c:pt idx="165">
                  <c:v>1927</c:v>
                </c:pt>
                <c:pt idx="166">
                  <c:v>0</c:v>
                </c:pt>
                <c:pt idx="167">
                  <c:v>0</c:v>
                </c:pt>
                <c:pt idx="168">
                  <c:v>1096</c:v>
                </c:pt>
                <c:pt idx="169">
                  <c:v>0</c:v>
                </c:pt>
                <c:pt idx="170">
                  <c:v>0</c:v>
                </c:pt>
                <c:pt idx="171">
                  <c:v>296</c:v>
                </c:pt>
                <c:pt idx="172">
                  <c:v>0</c:v>
                </c:pt>
                <c:pt idx="173">
                  <c:v>218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1.91547</c:v>
                </c:pt>
                <c:pt idx="1">
                  <c:v>1.96888</c:v>
                </c:pt>
                <c:pt idx="2">
                  <c:v>2.0227999999999997</c:v>
                </c:pt>
                <c:pt idx="3">
                  <c:v>2.07443</c:v>
                </c:pt>
                <c:pt idx="4">
                  <c:v>2.1225700000000001</c:v>
                </c:pt>
                <c:pt idx="5">
                  <c:v>2.1680299999999999</c:v>
                </c:pt>
                <c:pt idx="6">
                  <c:v>2.2130399999999999</c:v>
                </c:pt>
                <c:pt idx="7">
                  <c:v>2.2597</c:v>
                </c:pt>
                <c:pt idx="8">
                  <c:v>2.3056199999999998</c:v>
                </c:pt>
                <c:pt idx="9">
                  <c:v>2.3508</c:v>
                </c:pt>
                <c:pt idx="10">
                  <c:v>2.3967900000000002</c:v>
                </c:pt>
                <c:pt idx="11">
                  <c:v>2.4427699999999999</c:v>
                </c:pt>
                <c:pt idx="12">
                  <c:v>2.4879699999999998</c:v>
                </c:pt>
                <c:pt idx="13">
                  <c:v>2.5323099999999998</c:v>
                </c:pt>
                <c:pt idx="14">
                  <c:v>2.5774900000000001</c:v>
                </c:pt>
                <c:pt idx="15">
                  <c:v>2.62554</c:v>
                </c:pt>
                <c:pt idx="16">
                  <c:v>2.6775900000000004</c:v>
                </c:pt>
                <c:pt idx="17">
                  <c:v>2.7316000000000003</c:v>
                </c:pt>
                <c:pt idx="18">
                  <c:v>2.7863300000000004</c:v>
                </c:pt>
                <c:pt idx="19">
                  <c:v>2.8389100000000003</c:v>
                </c:pt>
                <c:pt idx="20">
                  <c:v>2.8866100000000001</c:v>
                </c:pt>
                <c:pt idx="21">
                  <c:v>2.9344100000000002</c:v>
                </c:pt>
                <c:pt idx="22">
                  <c:v>2.9830299999999998</c:v>
                </c:pt>
                <c:pt idx="23">
                  <c:v>3.03037</c:v>
                </c:pt>
                <c:pt idx="24">
                  <c:v>3.0790600000000001</c:v>
                </c:pt>
                <c:pt idx="25">
                  <c:v>3.1262800000000004</c:v>
                </c:pt>
                <c:pt idx="26">
                  <c:v>3.17354</c:v>
                </c:pt>
                <c:pt idx="27">
                  <c:v>3.21909</c:v>
                </c:pt>
                <c:pt idx="28">
                  <c:v>3.2640099999999999</c:v>
                </c:pt>
                <c:pt idx="29">
                  <c:v>3.3088499999999996</c:v>
                </c:pt>
                <c:pt idx="30">
                  <c:v>3.3549600000000002</c:v>
                </c:pt>
                <c:pt idx="31">
                  <c:v>3.40482</c:v>
                </c:pt>
                <c:pt idx="32">
                  <c:v>3.4571000000000001</c:v>
                </c:pt>
                <c:pt idx="33">
                  <c:v>3.5078999999999998</c:v>
                </c:pt>
                <c:pt idx="34">
                  <c:v>3.5547200000000001</c:v>
                </c:pt>
                <c:pt idx="35">
                  <c:v>3.6009200000000003</c:v>
                </c:pt>
                <c:pt idx="36">
                  <c:v>3.6468400000000001</c:v>
                </c:pt>
                <c:pt idx="37">
                  <c:v>3.6929299999999996</c:v>
                </c:pt>
                <c:pt idx="38">
                  <c:v>3.7397100000000001</c:v>
                </c:pt>
                <c:pt idx="39">
                  <c:v>3.7866899999999997</c:v>
                </c:pt>
                <c:pt idx="40">
                  <c:v>3.8339699999999999</c:v>
                </c:pt>
                <c:pt idx="41">
                  <c:v>3.8782100000000002</c:v>
                </c:pt>
                <c:pt idx="42">
                  <c:v>3.9170600000000002</c:v>
                </c:pt>
                <c:pt idx="43">
                  <c:v>3.9541199999999996</c:v>
                </c:pt>
                <c:pt idx="44">
                  <c:v>3.9937499999999999</c:v>
                </c:pt>
                <c:pt idx="45">
                  <c:v>4.0339499999999999</c:v>
                </c:pt>
                <c:pt idx="46">
                  <c:v>4.0740800000000004</c:v>
                </c:pt>
                <c:pt idx="47">
                  <c:v>4.11524</c:v>
                </c:pt>
                <c:pt idx="48">
                  <c:v>4.1545199999999998</c:v>
                </c:pt>
                <c:pt idx="49">
                  <c:v>4.1873100000000001</c:v>
                </c:pt>
                <c:pt idx="50">
                  <c:v>4.2135699999999998</c:v>
                </c:pt>
                <c:pt idx="51">
                  <c:v>4.2469000000000001</c:v>
                </c:pt>
                <c:pt idx="52">
                  <c:v>4.2788500000000003</c:v>
                </c:pt>
                <c:pt idx="53">
                  <c:v>4.31203</c:v>
                </c:pt>
                <c:pt idx="54">
                  <c:v>4.3453400000000002</c:v>
                </c:pt>
                <c:pt idx="55">
                  <c:v>4.37683</c:v>
                </c:pt>
                <c:pt idx="56">
                  <c:v>4.4024400000000004</c:v>
                </c:pt>
                <c:pt idx="57">
                  <c:v>4.4221399999999997</c:v>
                </c:pt>
                <c:pt idx="58">
                  <c:v>4.4412200000000004</c:v>
                </c:pt>
                <c:pt idx="59">
                  <c:v>4.4614599999999998</c:v>
                </c:pt>
                <c:pt idx="60">
                  <c:v>4.4787999999999997</c:v>
                </c:pt>
                <c:pt idx="61">
                  <c:v>4.4937100000000001</c:v>
                </c:pt>
                <c:pt idx="62">
                  <c:v>4.5067500000000003</c:v>
                </c:pt>
                <c:pt idx="63">
                  <c:v>4.5182000000000002</c:v>
                </c:pt>
                <c:pt idx="64">
                  <c:v>4.5271099999999995</c:v>
                </c:pt>
                <c:pt idx="65">
                  <c:v>4.5320599999999995</c:v>
                </c:pt>
                <c:pt idx="66">
                  <c:v>4.5342199999999995</c:v>
                </c:pt>
                <c:pt idx="67">
                  <c:v>4.5367899999999999</c:v>
                </c:pt>
                <c:pt idx="68">
                  <c:v>4.5381499999999999</c:v>
                </c:pt>
                <c:pt idx="69">
                  <c:v>4.5392399999999995</c:v>
                </c:pt>
                <c:pt idx="70">
                  <c:v>4.5429300000000001</c:v>
                </c:pt>
                <c:pt idx="71">
                  <c:v>4.5444100000000001</c:v>
                </c:pt>
                <c:pt idx="72">
                  <c:v>4.5442</c:v>
                </c:pt>
                <c:pt idx="73">
                  <c:v>4.5459800000000001</c:v>
                </c:pt>
                <c:pt idx="74">
                  <c:v>4.5501699999999996</c:v>
                </c:pt>
                <c:pt idx="75">
                  <c:v>4.5529299999999999</c:v>
                </c:pt>
                <c:pt idx="76">
                  <c:v>4.5516299999999994</c:v>
                </c:pt>
                <c:pt idx="77">
                  <c:v>4.5470500000000005</c:v>
                </c:pt>
                <c:pt idx="78">
                  <c:v>4.5393299999999996</c:v>
                </c:pt>
                <c:pt idx="79">
                  <c:v>4.5307199999999996</c:v>
                </c:pt>
                <c:pt idx="80">
                  <c:v>4.5203699999999998</c:v>
                </c:pt>
                <c:pt idx="81">
                  <c:v>4.5119300000000004</c:v>
                </c:pt>
                <c:pt idx="82">
                  <c:v>4.5013500000000004</c:v>
                </c:pt>
                <c:pt idx="83">
                  <c:v>4.4867900000000001</c:v>
                </c:pt>
                <c:pt idx="84">
                  <c:v>4.4717799999999999</c:v>
                </c:pt>
                <c:pt idx="85">
                  <c:v>4.4555299999999995</c:v>
                </c:pt>
                <c:pt idx="86">
                  <c:v>4.4404300000000001</c:v>
                </c:pt>
                <c:pt idx="87">
                  <c:v>4.4235299999999995</c:v>
                </c:pt>
                <c:pt idx="88">
                  <c:v>4.4058799999999998</c:v>
                </c:pt>
                <c:pt idx="89">
                  <c:v>4.3858600000000001</c:v>
                </c:pt>
                <c:pt idx="90">
                  <c:v>4.3647599999999995</c:v>
                </c:pt>
                <c:pt idx="91">
                  <c:v>4.3441200000000002</c:v>
                </c:pt>
                <c:pt idx="92">
                  <c:v>4.3231999999999999</c:v>
                </c:pt>
                <c:pt idx="93">
                  <c:v>4.3011499999999998</c:v>
                </c:pt>
                <c:pt idx="94">
                  <c:v>4.2764600000000002</c:v>
                </c:pt>
                <c:pt idx="95">
                  <c:v>4.2507799999999998</c:v>
                </c:pt>
                <c:pt idx="96">
                  <c:v>4.2232099999999999</c:v>
                </c:pt>
                <c:pt idx="97">
                  <c:v>4.1912500000000001</c:v>
                </c:pt>
                <c:pt idx="98">
                  <c:v>4.1566000000000001</c:v>
                </c:pt>
                <c:pt idx="99">
                  <c:v>4.1188399999999996</c:v>
                </c:pt>
                <c:pt idx="100">
                  <c:v>4.0817999999999994</c:v>
                </c:pt>
                <c:pt idx="101">
                  <c:v>4.04657</c:v>
                </c:pt>
                <c:pt idx="102">
                  <c:v>4.0124399999999998</c:v>
                </c:pt>
                <c:pt idx="103">
                  <c:v>3.9804599999999999</c:v>
                </c:pt>
                <c:pt idx="104">
                  <c:v>3.95173</c:v>
                </c:pt>
                <c:pt idx="105">
                  <c:v>3.9273099999999999</c:v>
                </c:pt>
                <c:pt idx="106">
                  <c:v>3.9052700000000002</c:v>
                </c:pt>
                <c:pt idx="107">
                  <c:v>3.8883099999999997</c:v>
                </c:pt>
                <c:pt idx="108">
                  <c:v>3.8782199999999998</c:v>
                </c:pt>
                <c:pt idx="109">
                  <c:v>3.8754100000000005</c:v>
                </c:pt>
                <c:pt idx="110">
                  <c:v>3.87758</c:v>
                </c:pt>
                <c:pt idx="111">
                  <c:v>3.8814599999999997</c:v>
                </c:pt>
                <c:pt idx="112">
                  <c:v>3.88801</c:v>
                </c:pt>
                <c:pt idx="113">
                  <c:v>3.8946999999999998</c:v>
                </c:pt>
                <c:pt idx="114">
                  <c:v>3.9066000000000001</c:v>
                </c:pt>
                <c:pt idx="115">
                  <c:v>3.9257499999999999</c:v>
                </c:pt>
                <c:pt idx="116">
                  <c:v>3.9460699999999997</c:v>
                </c:pt>
                <c:pt idx="117">
                  <c:v>3.9706900000000003</c:v>
                </c:pt>
                <c:pt idx="118">
                  <c:v>3.99437</c:v>
                </c:pt>
                <c:pt idx="119">
                  <c:v>4.0173800000000002</c:v>
                </c:pt>
                <c:pt idx="120">
                  <c:v>4.0396999999999998</c:v>
                </c:pt>
                <c:pt idx="121">
                  <c:v>4.0643000000000002</c:v>
                </c:pt>
                <c:pt idx="122">
                  <c:v>4.0933199999999994</c:v>
                </c:pt>
                <c:pt idx="123">
                  <c:v>4.12263</c:v>
                </c:pt>
                <c:pt idx="124">
                  <c:v>4.1407500000000006</c:v>
                </c:pt>
                <c:pt idx="125">
                  <c:v>4.1608900000000002</c:v>
                </c:pt>
                <c:pt idx="126">
                  <c:v>4.1820300000000001</c:v>
                </c:pt>
                <c:pt idx="127">
                  <c:v>4.2062300000000006</c:v>
                </c:pt>
                <c:pt idx="128">
                  <c:v>4.2308699999999995</c:v>
                </c:pt>
                <c:pt idx="129">
                  <c:v>4.2539999999999996</c:v>
                </c:pt>
                <c:pt idx="130">
                  <c:v>4.2766900000000003</c:v>
                </c:pt>
                <c:pt idx="131">
                  <c:v>4.2999700000000001</c:v>
                </c:pt>
                <c:pt idx="132">
                  <c:v>4.32219</c:v>
                </c:pt>
                <c:pt idx="133">
                  <c:v>4.3431199999999999</c:v>
                </c:pt>
                <c:pt idx="134">
                  <c:v>4.3595499999999996</c:v>
                </c:pt>
                <c:pt idx="135">
                  <c:v>4.3735499999999998</c:v>
                </c:pt>
                <c:pt idx="136">
                  <c:v>4.3876400000000002</c:v>
                </c:pt>
                <c:pt idx="137">
                  <c:v>4.4002099999999995</c:v>
                </c:pt>
                <c:pt idx="138">
                  <c:v>4.4166499999999997</c:v>
                </c:pt>
                <c:pt idx="139">
                  <c:v>4.4339899999999997</c:v>
                </c:pt>
                <c:pt idx="140">
                  <c:v>4.4422099999999993</c:v>
                </c:pt>
                <c:pt idx="141">
                  <c:v>4.4490099999999995</c:v>
                </c:pt>
                <c:pt idx="142">
                  <c:v>4.4435500000000001</c:v>
                </c:pt>
                <c:pt idx="143">
                  <c:v>4.4420599999999997</c:v>
                </c:pt>
                <c:pt idx="144">
                  <c:v>4.4432700000000001</c:v>
                </c:pt>
                <c:pt idx="145">
                  <c:v>4.4520799999999996</c:v>
                </c:pt>
                <c:pt idx="146">
                  <c:v>4.4616400000000001</c:v>
                </c:pt>
                <c:pt idx="147">
                  <c:v>4.4492900000000004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67.402299999999997</c:v>
                </c:pt>
                <c:pt idx="1">
                  <c:v>67.279199999999989</c:v>
                </c:pt>
                <c:pt idx="2">
                  <c:v>66.904899999999998</c:v>
                </c:pt>
                <c:pt idx="3">
                  <c:v>66.395400000000009</c:v>
                </c:pt>
                <c:pt idx="4">
                  <c:v>65.844499999999996</c:v>
                </c:pt>
                <c:pt idx="5">
                  <c:v>65.357299999999995</c:v>
                </c:pt>
                <c:pt idx="6">
                  <c:v>64.890199999999993</c:v>
                </c:pt>
                <c:pt idx="7">
                  <c:v>64.297300000000007</c:v>
                </c:pt>
                <c:pt idx="8">
                  <c:v>63.574100000000001</c:v>
                </c:pt>
                <c:pt idx="9">
                  <c:v>62.746900000000004</c:v>
                </c:pt>
                <c:pt idx="10">
                  <c:v>61.838099999999997</c:v>
                </c:pt>
                <c:pt idx="11">
                  <c:v>60.903500000000001</c:v>
                </c:pt>
                <c:pt idx="12">
                  <c:v>60.015500000000003</c:v>
                </c:pt>
                <c:pt idx="13">
                  <c:v>59.122799999999998</c:v>
                </c:pt>
                <c:pt idx="14">
                  <c:v>58.158699999999996</c:v>
                </c:pt>
                <c:pt idx="15">
                  <c:v>57.086800000000004</c:v>
                </c:pt>
                <c:pt idx="16">
                  <c:v>55.917799999999993</c:v>
                </c:pt>
                <c:pt idx="17">
                  <c:v>54.645900000000005</c:v>
                </c:pt>
                <c:pt idx="18">
                  <c:v>53.440399999999997</c:v>
                </c:pt>
                <c:pt idx="19">
                  <c:v>52.549800000000005</c:v>
                </c:pt>
                <c:pt idx="20">
                  <c:v>51.9621</c:v>
                </c:pt>
                <c:pt idx="21">
                  <c:v>51.443099999999994</c:v>
                </c:pt>
                <c:pt idx="22">
                  <c:v>50.958800000000004</c:v>
                </c:pt>
                <c:pt idx="23">
                  <c:v>50.601900000000001</c:v>
                </c:pt>
                <c:pt idx="24">
                  <c:v>50.216000000000008</c:v>
                </c:pt>
                <c:pt idx="25">
                  <c:v>49.872199999999999</c:v>
                </c:pt>
                <c:pt idx="26">
                  <c:v>49.656399999999998</c:v>
                </c:pt>
                <c:pt idx="27">
                  <c:v>49.587399999999995</c:v>
                </c:pt>
                <c:pt idx="28">
                  <c:v>49.576700000000002</c:v>
                </c:pt>
                <c:pt idx="29">
                  <c:v>49.626899999999999</c:v>
                </c:pt>
                <c:pt idx="30">
                  <c:v>49.730400000000003</c:v>
                </c:pt>
                <c:pt idx="31">
                  <c:v>49.788399999999996</c:v>
                </c:pt>
                <c:pt idx="32">
                  <c:v>49.815100000000001</c:v>
                </c:pt>
                <c:pt idx="33">
                  <c:v>49.980400000000003</c:v>
                </c:pt>
                <c:pt idx="34">
                  <c:v>50.353200000000001</c:v>
                </c:pt>
                <c:pt idx="35">
                  <c:v>50.773900000000005</c:v>
                </c:pt>
                <c:pt idx="36">
                  <c:v>51.173900000000003</c:v>
                </c:pt>
                <c:pt idx="37">
                  <c:v>51.538600000000002</c:v>
                </c:pt>
                <c:pt idx="38">
                  <c:v>51.870199999999997</c:v>
                </c:pt>
                <c:pt idx="39">
                  <c:v>52.192799999999991</c:v>
                </c:pt>
                <c:pt idx="40">
                  <c:v>52.437599999999996</c:v>
                </c:pt>
                <c:pt idx="41">
                  <c:v>52.689500000000002</c:v>
                </c:pt>
                <c:pt idx="42">
                  <c:v>53.012899999999995</c:v>
                </c:pt>
                <c:pt idx="43">
                  <c:v>53.25</c:v>
                </c:pt>
                <c:pt idx="44">
                  <c:v>53.410699999999999</c:v>
                </c:pt>
                <c:pt idx="45">
                  <c:v>53.647999999999996</c:v>
                </c:pt>
                <c:pt idx="46">
                  <c:v>53.857299999999995</c:v>
                </c:pt>
                <c:pt idx="47">
                  <c:v>53.979200000000006</c:v>
                </c:pt>
                <c:pt idx="48">
                  <c:v>54.121900000000004</c:v>
                </c:pt>
                <c:pt idx="49">
                  <c:v>54.343799999999995</c:v>
                </c:pt>
                <c:pt idx="50">
                  <c:v>54.630900000000004</c:v>
                </c:pt>
                <c:pt idx="51">
                  <c:v>54.724200000000003</c:v>
                </c:pt>
                <c:pt idx="52">
                  <c:v>54.778499999999994</c:v>
                </c:pt>
                <c:pt idx="53">
                  <c:v>54.797899999999998</c:v>
                </c:pt>
                <c:pt idx="54">
                  <c:v>54.798999999999999</c:v>
                </c:pt>
                <c:pt idx="55">
                  <c:v>54.791500000000006</c:v>
                </c:pt>
                <c:pt idx="56">
                  <c:v>54.772100000000002</c:v>
                </c:pt>
                <c:pt idx="57">
                  <c:v>54.690899999999999</c:v>
                </c:pt>
                <c:pt idx="58">
                  <c:v>54.5443</c:v>
                </c:pt>
                <c:pt idx="59">
                  <c:v>54.3718</c:v>
                </c:pt>
                <c:pt idx="60">
                  <c:v>54.173499999999997</c:v>
                </c:pt>
                <c:pt idx="61">
                  <c:v>53.950200000000002</c:v>
                </c:pt>
                <c:pt idx="62">
                  <c:v>53.73</c:v>
                </c:pt>
                <c:pt idx="63">
                  <c:v>53.515100000000004</c:v>
                </c:pt>
                <c:pt idx="64">
                  <c:v>53.283800000000006</c:v>
                </c:pt>
                <c:pt idx="65">
                  <c:v>53.018200000000007</c:v>
                </c:pt>
                <c:pt idx="66">
                  <c:v>52.730900000000005</c:v>
                </c:pt>
                <c:pt idx="67">
                  <c:v>52.488599999999998</c:v>
                </c:pt>
                <c:pt idx="68">
                  <c:v>52.296900000000001</c:v>
                </c:pt>
                <c:pt idx="69">
                  <c:v>52.166400000000003</c:v>
                </c:pt>
                <c:pt idx="70">
                  <c:v>52.033799999999999</c:v>
                </c:pt>
                <c:pt idx="71">
                  <c:v>51.948099999999997</c:v>
                </c:pt>
                <c:pt idx="72">
                  <c:v>51.930600000000005</c:v>
                </c:pt>
                <c:pt idx="73">
                  <c:v>51.936000000000007</c:v>
                </c:pt>
                <c:pt idx="74">
                  <c:v>51.980400000000003</c:v>
                </c:pt>
                <c:pt idx="75">
                  <c:v>52.1374</c:v>
                </c:pt>
                <c:pt idx="76">
                  <c:v>52.271999999999998</c:v>
                </c:pt>
                <c:pt idx="77">
                  <c:v>52.401600000000002</c:v>
                </c:pt>
                <c:pt idx="78">
                  <c:v>52.557600000000008</c:v>
                </c:pt>
                <c:pt idx="79">
                  <c:v>52.745699999999992</c:v>
                </c:pt>
                <c:pt idx="80">
                  <c:v>52.904799999999994</c:v>
                </c:pt>
                <c:pt idx="81">
                  <c:v>53.017499999999998</c:v>
                </c:pt>
                <c:pt idx="82">
                  <c:v>53.1967</c:v>
                </c:pt>
                <c:pt idx="83">
                  <c:v>53.366</c:v>
                </c:pt>
                <c:pt idx="84">
                  <c:v>53.519599999999997</c:v>
                </c:pt>
                <c:pt idx="85">
                  <c:v>53.694200000000002</c:v>
                </c:pt>
                <c:pt idx="86">
                  <c:v>53.896100000000004</c:v>
                </c:pt>
                <c:pt idx="87">
                  <c:v>54.144499999999994</c:v>
                </c:pt>
                <c:pt idx="88">
                  <c:v>54.282699999999991</c:v>
                </c:pt>
                <c:pt idx="89">
                  <c:v>54.323399999999999</c:v>
                </c:pt>
                <c:pt idx="90">
                  <c:v>54.337299999999999</c:v>
                </c:pt>
                <c:pt idx="91">
                  <c:v>54.312899999999999</c:v>
                </c:pt>
                <c:pt idx="92">
                  <c:v>54.237500000000004</c:v>
                </c:pt>
                <c:pt idx="93">
                  <c:v>54.144199999999998</c:v>
                </c:pt>
                <c:pt idx="94">
                  <c:v>54.019600000000004</c:v>
                </c:pt>
                <c:pt idx="95">
                  <c:v>53.884200000000007</c:v>
                </c:pt>
                <c:pt idx="96">
                  <c:v>53.664199999999994</c:v>
                </c:pt>
                <c:pt idx="97">
                  <c:v>53.380200000000002</c:v>
                </c:pt>
                <c:pt idx="98">
                  <c:v>53.066199999999995</c:v>
                </c:pt>
                <c:pt idx="99">
                  <c:v>52.719700000000003</c:v>
                </c:pt>
                <c:pt idx="100">
                  <c:v>52.3401</c:v>
                </c:pt>
                <c:pt idx="101">
                  <c:v>51.903299999999994</c:v>
                </c:pt>
                <c:pt idx="102">
                  <c:v>51.393900000000002</c:v>
                </c:pt>
                <c:pt idx="103">
                  <c:v>50.947400000000002</c:v>
                </c:pt>
                <c:pt idx="104">
                  <c:v>50.601500000000001</c:v>
                </c:pt>
                <c:pt idx="105">
                  <c:v>50.2791</c:v>
                </c:pt>
                <c:pt idx="106">
                  <c:v>50.1038</c:v>
                </c:pt>
                <c:pt idx="107">
                  <c:v>49.952300000000001</c:v>
                </c:pt>
                <c:pt idx="108">
                  <c:v>49.712499999999999</c:v>
                </c:pt>
                <c:pt idx="109">
                  <c:v>49.467700000000001</c:v>
                </c:pt>
                <c:pt idx="110">
                  <c:v>49.2224</c:v>
                </c:pt>
                <c:pt idx="111">
                  <c:v>48.947699999999998</c:v>
                </c:pt>
                <c:pt idx="112">
                  <c:v>48.644599999999997</c:v>
                </c:pt>
                <c:pt idx="113">
                  <c:v>48.478200000000001</c:v>
                </c:pt>
                <c:pt idx="114">
                  <c:v>48.337000000000003</c:v>
                </c:pt>
                <c:pt idx="115">
                  <c:v>48.151200000000003</c:v>
                </c:pt>
                <c:pt idx="116">
                  <c:v>47.999199999999995</c:v>
                </c:pt>
                <c:pt idx="117">
                  <c:v>47.8279</c:v>
                </c:pt>
                <c:pt idx="118">
                  <c:v>47.756500000000003</c:v>
                </c:pt>
                <c:pt idx="119">
                  <c:v>47.735699999999994</c:v>
                </c:pt>
                <c:pt idx="120">
                  <c:v>47.7943</c:v>
                </c:pt>
                <c:pt idx="121">
                  <c:v>47.939500000000002</c:v>
                </c:pt>
                <c:pt idx="122">
                  <c:v>48.207699999999996</c:v>
                </c:pt>
                <c:pt idx="123">
                  <c:v>48.639800000000001</c:v>
                </c:pt>
                <c:pt idx="124">
                  <c:v>48.935499999999998</c:v>
                </c:pt>
                <c:pt idx="125">
                  <c:v>49.325200000000002</c:v>
                </c:pt>
                <c:pt idx="126">
                  <c:v>49.816700000000004</c:v>
                </c:pt>
                <c:pt idx="127">
                  <c:v>50.479399999999998</c:v>
                </c:pt>
                <c:pt idx="128">
                  <c:v>51.189900000000002</c:v>
                </c:pt>
                <c:pt idx="129">
                  <c:v>51.855200000000004</c:v>
                </c:pt>
                <c:pt idx="130">
                  <c:v>52.555799999999998</c:v>
                </c:pt>
                <c:pt idx="131">
                  <c:v>53.152100000000004</c:v>
                </c:pt>
                <c:pt idx="132">
                  <c:v>53.633499999999998</c:v>
                </c:pt>
                <c:pt idx="133">
                  <c:v>54.133600000000001</c:v>
                </c:pt>
                <c:pt idx="134">
                  <c:v>54.473199999999999</c:v>
                </c:pt>
                <c:pt idx="135">
                  <c:v>54.729399999999998</c:v>
                </c:pt>
                <c:pt idx="136">
                  <c:v>55.027899999999995</c:v>
                </c:pt>
                <c:pt idx="137">
                  <c:v>55.339799999999997</c:v>
                </c:pt>
                <c:pt idx="138">
                  <c:v>55.598899999999993</c:v>
                </c:pt>
                <c:pt idx="139">
                  <c:v>55.879599999999996</c:v>
                </c:pt>
                <c:pt idx="140">
                  <c:v>56.087299999999999</c:v>
                </c:pt>
                <c:pt idx="141">
                  <c:v>56.242000000000004</c:v>
                </c:pt>
                <c:pt idx="142">
                  <c:v>56.3461</c:v>
                </c:pt>
                <c:pt idx="143">
                  <c:v>56.337499999999999</c:v>
                </c:pt>
                <c:pt idx="144">
                  <c:v>56.454999999999998</c:v>
                </c:pt>
                <c:pt idx="145">
                  <c:v>56.7256</c:v>
                </c:pt>
                <c:pt idx="146">
                  <c:v>57.158099999999997</c:v>
                </c:pt>
                <c:pt idx="147">
                  <c:v>57.854300000000002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1.91547</c:v>
                </c:pt>
                <c:pt idx="1">
                  <c:v>1.96888</c:v>
                </c:pt>
                <c:pt idx="2">
                  <c:v>2.0227999999999997</c:v>
                </c:pt>
                <c:pt idx="3">
                  <c:v>2.07443</c:v>
                </c:pt>
                <c:pt idx="4">
                  <c:v>2.1225700000000001</c:v>
                </c:pt>
                <c:pt idx="5">
                  <c:v>2.1680299999999999</c:v>
                </c:pt>
                <c:pt idx="6">
                  <c:v>2.2130399999999999</c:v>
                </c:pt>
                <c:pt idx="7">
                  <c:v>2.2597</c:v>
                </c:pt>
                <c:pt idx="8">
                  <c:v>2.3056199999999998</c:v>
                </c:pt>
                <c:pt idx="9">
                  <c:v>2.3508</c:v>
                </c:pt>
                <c:pt idx="10">
                  <c:v>2.3967900000000002</c:v>
                </c:pt>
                <c:pt idx="11">
                  <c:v>2.4427699999999999</c:v>
                </c:pt>
                <c:pt idx="12">
                  <c:v>2.4879699999999998</c:v>
                </c:pt>
                <c:pt idx="13">
                  <c:v>2.5323099999999998</c:v>
                </c:pt>
                <c:pt idx="14">
                  <c:v>2.5774900000000001</c:v>
                </c:pt>
                <c:pt idx="15">
                  <c:v>2.62554</c:v>
                </c:pt>
                <c:pt idx="16">
                  <c:v>2.6775900000000004</c:v>
                </c:pt>
                <c:pt idx="17">
                  <c:v>2.7316000000000003</c:v>
                </c:pt>
                <c:pt idx="18">
                  <c:v>2.7863300000000004</c:v>
                </c:pt>
                <c:pt idx="19">
                  <c:v>2.8389100000000003</c:v>
                </c:pt>
                <c:pt idx="20">
                  <c:v>2.8866100000000001</c:v>
                </c:pt>
                <c:pt idx="21">
                  <c:v>2.9344100000000002</c:v>
                </c:pt>
                <c:pt idx="22">
                  <c:v>2.9830299999999998</c:v>
                </c:pt>
                <c:pt idx="23">
                  <c:v>3.03037</c:v>
                </c:pt>
                <c:pt idx="24">
                  <c:v>3.0790600000000001</c:v>
                </c:pt>
                <c:pt idx="25">
                  <c:v>3.1262800000000004</c:v>
                </c:pt>
                <c:pt idx="26">
                  <c:v>3.17354</c:v>
                </c:pt>
                <c:pt idx="27">
                  <c:v>3.21909</c:v>
                </c:pt>
                <c:pt idx="28">
                  <c:v>3.2640099999999999</c:v>
                </c:pt>
                <c:pt idx="29">
                  <c:v>3.3088499999999996</c:v>
                </c:pt>
                <c:pt idx="30">
                  <c:v>3.3549600000000002</c:v>
                </c:pt>
                <c:pt idx="31">
                  <c:v>3.40482</c:v>
                </c:pt>
                <c:pt idx="32">
                  <c:v>3.4571000000000001</c:v>
                </c:pt>
                <c:pt idx="33">
                  <c:v>3.5078999999999998</c:v>
                </c:pt>
                <c:pt idx="34">
                  <c:v>3.5547200000000001</c:v>
                </c:pt>
                <c:pt idx="35">
                  <c:v>3.6009200000000003</c:v>
                </c:pt>
                <c:pt idx="36">
                  <c:v>3.6468400000000001</c:v>
                </c:pt>
                <c:pt idx="37">
                  <c:v>3.6929299999999996</c:v>
                </c:pt>
                <c:pt idx="38">
                  <c:v>3.7397100000000001</c:v>
                </c:pt>
                <c:pt idx="39">
                  <c:v>3.7866899999999997</c:v>
                </c:pt>
                <c:pt idx="40">
                  <c:v>3.8339699999999999</c:v>
                </c:pt>
                <c:pt idx="41">
                  <c:v>3.8782100000000002</c:v>
                </c:pt>
                <c:pt idx="42">
                  <c:v>3.9170600000000002</c:v>
                </c:pt>
                <c:pt idx="43">
                  <c:v>3.9541199999999996</c:v>
                </c:pt>
                <c:pt idx="44">
                  <c:v>3.9937499999999999</c:v>
                </c:pt>
                <c:pt idx="45">
                  <c:v>4.0339499999999999</c:v>
                </c:pt>
                <c:pt idx="46">
                  <c:v>4.0740800000000004</c:v>
                </c:pt>
                <c:pt idx="47">
                  <c:v>4.11524</c:v>
                </c:pt>
                <c:pt idx="48">
                  <c:v>4.1545199999999998</c:v>
                </c:pt>
                <c:pt idx="49">
                  <c:v>4.1873100000000001</c:v>
                </c:pt>
                <c:pt idx="50">
                  <c:v>4.2135699999999998</c:v>
                </c:pt>
                <c:pt idx="51">
                  <c:v>4.2469000000000001</c:v>
                </c:pt>
                <c:pt idx="52">
                  <c:v>4.2788500000000003</c:v>
                </c:pt>
                <c:pt idx="53">
                  <c:v>4.31203</c:v>
                </c:pt>
                <c:pt idx="54">
                  <c:v>4.3453400000000002</c:v>
                </c:pt>
                <c:pt idx="55">
                  <c:v>4.37683</c:v>
                </c:pt>
                <c:pt idx="56">
                  <c:v>4.4024400000000004</c:v>
                </c:pt>
                <c:pt idx="57">
                  <c:v>4.4221399999999997</c:v>
                </c:pt>
                <c:pt idx="58">
                  <c:v>4.4412200000000004</c:v>
                </c:pt>
                <c:pt idx="59">
                  <c:v>4.4614599999999998</c:v>
                </c:pt>
                <c:pt idx="60">
                  <c:v>4.4787999999999997</c:v>
                </c:pt>
                <c:pt idx="61">
                  <c:v>4.4937100000000001</c:v>
                </c:pt>
                <c:pt idx="62">
                  <c:v>4.5067500000000003</c:v>
                </c:pt>
                <c:pt idx="63">
                  <c:v>4.5182000000000002</c:v>
                </c:pt>
                <c:pt idx="64">
                  <c:v>4.5271099999999995</c:v>
                </c:pt>
                <c:pt idx="65">
                  <c:v>4.5320599999999995</c:v>
                </c:pt>
                <c:pt idx="66">
                  <c:v>4.5342199999999995</c:v>
                </c:pt>
                <c:pt idx="67">
                  <c:v>4.5367899999999999</c:v>
                </c:pt>
                <c:pt idx="68">
                  <c:v>4.5381499999999999</c:v>
                </c:pt>
                <c:pt idx="69">
                  <c:v>4.5392399999999995</c:v>
                </c:pt>
                <c:pt idx="70">
                  <c:v>4.5429300000000001</c:v>
                </c:pt>
                <c:pt idx="71">
                  <c:v>4.5444100000000001</c:v>
                </c:pt>
                <c:pt idx="72">
                  <c:v>4.5442</c:v>
                </c:pt>
                <c:pt idx="73">
                  <c:v>4.5459800000000001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67.402299999999997</c:v>
                </c:pt>
                <c:pt idx="1">
                  <c:v>67.279199999999989</c:v>
                </c:pt>
                <c:pt idx="2">
                  <c:v>66.904899999999998</c:v>
                </c:pt>
                <c:pt idx="3">
                  <c:v>66.395400000000009</c:v>
                </c:pt>
                <c:pt idx="4">
                  <c:v>65.844499999999996</c:v>
                </c:pt>
                <c:pt idx="5">
                  <c:v>65.357299999999995</c:v>
                </c:pt>
                <c:pt idx="6">
                  <c:v>64.890199999999993</c:v>
                </c:pt>
                <c:pt idx="7">
                  <c:v>64.297300000000007</c:v>
                </c:pt>
                <c:pt idx="8">
                  <c:v>63.574100000000001</c:v>
                </c:pt>
                <c:pt idx="9">
                  <c:v>62.746900000000004</c:v>
                </c:pt>
                <c:pt idx="10">
                  <c:v>61.838099999999997</c:v>
                </c:pt>
                <c:pt idx="11">
                  <c:v>60.903500000000001</c:v>
                </c:pt>
                <c:pt idx="12">
                  <c:v>60.015500000000003</c:v>
                </c:pt>
                <c:pt idx="13">
                  <c:v>59.122799999999998</c:v>
                </c:pt>
                <c:pt idx="14">
                  <c:v>58.158699999999996</c:v>
                </c:pt>
                <c:pt idx="15">
                  <c:v>57.086800000000004</c:v>
                </c:pt>
                <c:pt idx="16">
                  <c:v>55.917799999999993</c:v>
                </c:pt>
                <c:pt idx="17">
                  <c:v>54.645900000000005</c:v>
                </c:pt>
                <c:pt idx="18">
                  <c:v>53.440399999999997</c:v>
                </c:pt>
                <c:pt idx="19">
                  <c:v>52.549800000000005</c:v>
                </c:pt>
                <c:pt idx="20">
                  <c:v>51.9621</c:v>
                </c:pt>
                <c:pt idx="21">
                  <c:v>51.443099999999994</c:v>
                </c:pt>
                <c:pt idx="22">
                  <c:v>50.958800000000004</c:v>
                </c:pt>
                <c:pt idx="23">
                  <c:v>50.601900000000001</c:v>
                </c:pt>
                <c:pt idx="24">
                  <c:v>50.216000000000008</c:v>
                </c:pt>
                <c:pt idx="25">
                  <c:v>49.872199999999999</c:v>
                </c:pt>
                <c:pt idx="26">
                  <c:v>49.656399999999998</c:v>
                </c:pt>
                <c:pt idx="27">
                  <c:v>49.587399999999995</c:v>
                </c:pt>
                <c:pt idx="28">
                  <c:v>49.576700000000002</c:v>
                </c:pt>
                <c:pt idx="29">
                  <c:v>49.626899999999999</c:v>
                </c:pt>
                <c:pt idx="30">
                  <c:v>49.730400000000003</c:v>
                </c:pt>
                <c:pt idx="31">
                  <c:v>49.788399999999996</c:v>
                </c:pt>
                <c:pt idx="32">
                  <c:v>49.815100000000001</c:v>
                </c:pt>
                <c:pt idx="33">
                  <c:v>49.980400000000003</c:v>
                </c:pt>
                <c:pt idx="34">
                  <c:v>50.353200000000001</c:v>
                </c:pt>
                <c:pt idx="35">
                  <c:v>50.773900000000005</c:v>
                </c:pt>
                <c:pt idx="36">
                  <c:v>51.173900000000003</c:v>
                </c:pt>
                <c:pt idx="37">
                  <c:v>51.538600000000002</c:v>
                </c:pt>
                <c:pt idx="38">
                  <c:v>51.870199999999997</c:v>
                </c:pt>
                <c:pt idx="39">
                  <c:v>52.192799999999991</c:v>
                </c:pt>
                <c:pt idx="40">
                  <c:v>52.437599999999996</c:v>
                </c:pt>
                <c:pt idx="41">
                  <c:v>52.689500000000002</c:v>
                </c:pt>
                <c:pt idx="42">
                  <c:v>53.012899999999995</c:v>
                </c:pt>
                <c:pt idx="43">
                  <c:v>53.25</c:v>
                </c:pt>
                <c:pt idx="44">
                  <c:v>53.410699999999999</c:v>
                </c:pt>
                <c:pt idx="45">
                  <c:v>53.647999999999996</c:v>
                </c:pt>
                <c:pt idx="46">
                  <c:v>53.857299999999995</c:v>
                </c:pt>
                <c:pt idx="47">
                  <c:v>53.979200000000006</c:v>
                </c:pt>
                <c:pt idx="48">
                  <c:v>54.121900000000004</c:v>
                </c:pt>
                <c:pt idx="49">
                  <c:v>54.343799999999995</c:v>
                </c:pt>
                <c:pt idx="50">
                  <c:v>54.630900000000004</c:v>
                </c:pt>
                <c:pt idx="51">
                  <c:v>54.724200000000003</c:v>
                </c:pt>
                <c:pt idx="52">
                  <c:v>54.778499999999994</c:v>
                </c:pt>
                <c:pt idx="53">
                  <c:v>54.797899999999998</c:v>
                </c:pt>
                <c:pt idx="54">
                  <c:v>54.798999999999999</c:v>
                </c:pt>
                <c:pt idx="55">
                  <c:v>54.791500000000006</c:v>
                </c:pt>
                <c:pt idx="56">
                  <c:v>54.772100000000002</c:v>
                </c:pt>
                <c:pt idx="57">
                  <c:v>54.690899999999999</c:v>
                </c:pt>
                <c:pt idx="58">
                  <c:v>54.5443</c:v>
                </c:pt>
                <c:pt idx="59">
                  <c:v>54.3718</c:v>
                </c:pt>
                <c:pt idx="60">
                  <c:v>54.173499999999997</c:v>
                </c:pt>
                <c:pt idx="61">
                  <c:v>53.950200000000002</c:v>
                </c:pt>
                <c:pt idx="62">
                  <c:v>53.73</c:v>
                </c:pt>
                <c:pt idx="63">
                  <c:v>53.515100000000004</c:v>
                </c:pt>
                <c:pt idx="64">
                  <c:v>53.283800000000006</c:v>
                </c:pt>
                <c:pt idx="65">
                  <c:v>53.018200000000007</c:v>
                </c:pt>
                <c:pt idx="66">
                  <c:v>52.730900000000005</c:v>
                </c:pt>
                <c:pt idx="67">
                  <c:v>52.488599999999998</c:v>
                </c:pt>
                <c:pt idx="68">
                  <c:v>52.296900000000001</c:v>
                </c:pt>
                <c:pt idx="69">
                  <c:v>52.166400000000003</c:v>
                </c:pt>
                <c:pt idx="70">
                  <c:v>52.033799999999999</c:v>
                </c:pt>
                <c:pt idx="71">
                  <c:v>51.948099999999997</c:v>
                </c:pt>
                <c:pt idx="72">
                  <c:v>51.930600000000005</c:v>
                </c:pt>
                <c:pt idx="73">
                  <c:v>51.936000000000007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4.5459800000000001</c:v>
                </c:pt>
                <c:pt idx="1">
                  <c:v>4.5501699999999996</c:v>
                </c:pt>
                <c:pt idx="2">
                  <c:v>4.5529299999999999</c:v>
                </c:pt>
                <c:pt idx="3">
                  <c:v>4.5516299999999994</c:v>
                </c:pt>
                <c:pt idx="4">
                  <c:v>4.5470500000000005</c:v>
                </c:pt>
                <c:pt idx="5">
                  <c:v>4.5393299999999996</c:v>
                </c:pt>
                <c:pt idx="6">
                  <c:v>4.5307199999999996</c:v>
                </c:pt>
                <c:pt idx="7">
                  <c:v>4.5203699999999998</c:v>
                </c:pt>
                <c:pt idx="8">
                  <c:v>4.5119300000000004</c:v>
                </c:pt>
                <c:pt idx="9">
                  <c:v>4.5013500000000004</c:v>
                </c:pt>
                <c:pt idx="10">
                  <c:v>4.4867900000000001</c:v>
                </c:pt>
                <c:pt idx="11">
                  <c:v>4.4717799999999999</c:v>
                </c:pt>
                <c:pt idx="12">
                  <c:v>4.4555299999999995</c:v>
                </c:pt>
                <c:pt idx="13">
                  <c:v>4.4404300000000001</c:v>
                </c:pt>
                <c:pt idx="14">
                  <c:v>4.4235299999999995</c:v>
                </c:pt>
                <c:pt idx="15">
                  <c:v>4.4058799999999998</c:v>
                </c:pt>
                <c:pt idx="16">
                  <c:v>4.3858600000000001</c:v>
                </c:pt>
                <c:pt idx="17">
                  <c:v>4.3647599999999995</c:v>
                </c:pt>
                <c:pt idx="18">
                  <c:v>4.3441200000000002</c:v>
                </c:pt>
                <c:pt idx="19">
                  <c:v>4.3231999999999999</c:v>
                </c:pt>
                <c:pt idx="20">
                  <c:v>4.3011499999999998</c:v>
                </c:pt>
                <c:pt idx="21">
                  <c:v>4.2764600000000002</c:v>
                </c:pt>
                <c:pt idx="22">
                  <c:v>4.2507799999999998</c:v>
                </c:pt>
                <c:pt idx="23">
                  <c:v>4.2232099999999999</c:v>
                </c:pt>
                <c:pt idx="24">
                  <c:v>4.1912500000000001</c:v>
                </c:pt>
                <c:pt idx="25">
                  <c:v>4.1566000000000001</c:v>
                </c:pt>
                <c:pt idx="26">
                  <c:v>4.1188399999999996</c:v>
                </c:pt>
                <c:pt idx="27">
                  <c:v>4.0817999999999994</c:v>
                </c:pt>
                <c:pt idx="28">
                  <c:v>4.04657</c:v>
                </c:pt>
                <c:pt idx="29">
                  <c:v>4.0124399999999998</c:v>
                </c:pt>
                <c:pt idx="30">
                  <c:v>3.9804599999999999</c:v>
                </c:pt>
                <c:pt idx="31">
                  <c:v>3.95173</c:v>
                </c:pt>
                <c:pt idx="32">
                  <c:v>3.9273099999999999</c:v>
                </c:pt>
                <c:pt idx="33">
                  <c:v>3.9052700000000002</c:v>
                </c:pt>
                <c:pt idx="34">
                  <c:v>3.8883099999999997</c:v>
                </c:pt>
                <c:pt idx="35">
                  <c:v>3.8782199999999998</c:v>
                </c:pt>
                <c:pt idx="36">
                  <c:v>3.8754100000000005</c:v>
                </c:pt>
                <c:pt idx="37">
                  <c:v>3.87758</c:v>
                </c:pt>
                <c:pt idx="38">
                  <c:v>3.8814599999999997</c:v>
                </c:pt>
                <c:pt idx="39">
                  <c:v>3.88801</c:v>
                </c:pt>
                <c:pt idx="40">
                  <c:v>3.8946999999999998</c:v>
                </c:pt>
                <c:pt idx="41">
                  <c:v>3.9066000000000001</c:v>
                </c:pt>
                <c:pt idx="42">
                  <c:v>3.9257499999999999</c:v>
                </c:pt>
                <c:pt idx="43">
                  <c:v>3.9460699999999997</c:v>
                </c:pt>
                <c:pt idx="44">
                  <c:v>3.9706900000000003</c:v>
                </c:pt>
                <c:pt idx="45">
                  <c:v>3.99437</c:v>
                </c:pt>
                <c:pt idx="46">
                  <c:v>4.0173800000000002</c:v>
                </c:pt>
                <c:pt idx="47">
                  <c:v>4.0396999999999998</c:v>
                </c:pt>
                <c:pt idx="48">
                  <c:v>4.0643000000000002</c:v>
                </c:pt>
                <c:pt idx="49">
                  <c:v>4.0933199999999994</c:v>
                </c:pt>
                <c:pt idx="50">
                  <c:v>4.12263</c:v>
                </c:pt>
                <c:pt idx="51">
                  <c:v>4.1407500000000006</c:v>
                </c:pt>
                <c:pt idx="52">
                  <c:v>4.1608900000000002</c:v>
                </c:pt>
                <c:pt idx="53">
                  <c:v>4.1820300000000001</c:v>
                </c:pt>
                <c:pt idx="54">
                  <c:v>4.2062300000000006</c:v>
                </c:pt>
                <c:pt idx="55">
                  <c:v>4.2308699999999995</c:v>
                </c:pt>
                <c:pt idx="56">
                  <c:v>4.2539999999999996</c:v>
                </c:pt>
                <c:pt idx="57">
                  <c:v>4.2766900000000003</c:v>
                </c:pt>
                <c:pt idx="58">
                  <c:v>4.2999700000000001</c:v>
                </c:pt>
                <c:pt idx="59">
                  <c:v>4.32219</c:v>
                </c:pt>
                <c:pt idx="60">
                  <c:v>4.3431199999999999</c:v>
                </c:pt>
                <c:pt idx="61">
                  <c:v>4.3595499999999996</c:v>
                </c:pt>
                <c:pt idx="62">
                  <c:v>4.3735499999999998</c:v>
                </c:pt>
                <c:pt idx="63">
                  <c:v>4.3876400000000002</c:v>
                </c:pt>
                <c:pt idx="64">
                  <c:v>4.4002099999999995</c:v>
                </c:pt>
                <c:pt idx="65">
                  <c:v>4.4166499999999997</c:v>
                </c:pt>
                <c:pt idx="66">
                  <c:v>4.4339899999999997</c:v>
                </c:pt>
                <c:pt idx="67">
                  <c:v>4.4422099999999993</c:v>
                </c:pt>
                <c:pt idx="68">
                  <c:v>4.4490099999999995</c:v>
                </c:pt>
                <c:pt idx="69">
                  <c:v>4.4435500000000001</c:v>
                </c:pt>
                <c:pt idx="70">
                  <c:v>4.4420599999999997</c:v>
                </c:pt>
                <c:pt idx="71">
                  <c:v>4.4432700000000001</c:v>
                </c:pt>
                <c:pt idx="72">
                  <c:v>4.4520799999999996</c:v>
                </c:pt>
                <c:pt idx="73">
                  <c:v>4.4616400000000001</c:v>
                </c:pt>
                <c:pt idx="74">
                  <c:v>4.4492900000000004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51.936000000000007</c:v>
                </c:pt>
                <c:pt idx="1">
                  <c:v>51.980400000000003</c:v>
                </c:pt>
                <c:pt idx="2">
                  <c:v>52.1374</c:v>
                </c:pt>
                <c:pt idx="3">
                  <c:v>52.271999999999998</c:v>
                </c:pt>
                <c:pt idx="4">
                  <c:v>52.401600000000002</c:v>
                </c:pt>
                <c:pt idx="5">
                  <c:v>52.557600000000008</c:v>
                </c:pt>
                <c:pt idx="6">
                  <c:v>52.745699999999992</c:v>
                </c:pt>
                <c:pt idx="7">
                  <c:v>52.904799999999994</c:v>
                </c:pt>
                <c:pt idx="8">
                  <c:v>53.017499999999998</c:v>
                </c:pt>
                <c:pt idx="9">
                  <c:v>53.1967</c:v>
                </c:pt>
                <c:pt idx="10">
                  <c:v>53.366</c:v>
                </c:pt>
                <c:pt idx="11">
                  <c:v>53.519599999999997</c:v>
                </c:pt>
                <c:pt idx="12">
                  <c:v>53.694200000000002</c:v>
                </c:pt>
                <c:pt idx="13">
                  <c:v>53.896100000000004</c:v>
                </c:pt>
                <c:pt idx="14">
                  <c:v>54.144499999999994</c:v>
                </c:pt>
                <c:pt idx="15">
                  <c:v>54.282699999999991</c:v>
                </c:pt>
                <c:pt idx="16">
                  <c:v>54.323399999999999</c:v>
                </c:pt>
                <c:pt idx="17">
                  <c:v>54.337299999999999</c:v>
                </c:pt>
                <c:pt idx="18">
                  <c:v>54.312899999999999</c:v>
                </c:pt>
                <c:pt idx="19">
                  <c:v>54.237500000000004</c:v>
                </c:pt>
                <c:pt idx="20">
                  <c:v>54.144199999999998</c:v>
                </c:pt>
                <c:pt idx="21">
                  <c:v>54.019600000000004</c:v>
                </c:pt>
                <c:pt idx="22">
                  <c:v>53.884200000000007</c:v>
                </c:pt>
                <c:pt idx="23">
                  <c:v>53.664199999999994</c:v>
                </c:pt>
                <c:pt idx="24">
                  <c:v>53.380200000000002</c:v>
                </c:pt>
                <c:pt idx="25">
                  <c:v>53.066199999999995</c:v>
                </c:pt>
                <c:pt idx="26">
                  <c:v>52.719700000000003</c:v>
                </c:pt>
                <c:pt idx="27">
                  <c:v>52.3401</c:v>
                </c:pt>
                <c:pt idx="28">
                  <c:v>51.903299999999994</c:v>
                </c:pt>
                <c:pt idx="29">
                  <c:v>51.393900000000002</c:v>
                </c:pt>
                <c:pt idx="30">
                  <c:v>50.947400000000002</c:v>
                </c:pt>
                <c:pt idx="31">
                  <c:v>50.601500000000001</c:v>
                </c:pt>
                <c:pt idx="32">
                  <c:v>50.2791</c:v>
                </c:pt>
                <c:pt idx="33">
                  <c:v>50.1038</c:v>
                </c:pt>
                <c:pt idx="34">
                  <c:v>49.952300000000001</c:v>
                </c:pt>
                <c:pt idx="35">
                  <c:v>49.712499999999999</c:v>
                </c:pt>
                <c:pt idx="36">
                  <c:v>49.467700000000001</c:v>
                </c:pt>
                <c:pt idx="37">
                  <c:v>49.2224</c:v>
                </c:pt>
                <c:pt idx="38">
                  <c:v>48.947699999999998</c:v>
                </c:pt>
                <c:pt idx="39">
                  <c:v>48.644599999999997</c:v>
                </c:pt>
                <c:pt idx="40">
                  <c:v>48.478200000000001</c:v>
                </c:pt>
                <c:pt idx="41">
                  <c:v>48.337000000000003</c:v>
                </c:pt>
                <c:pt idx="42">
                  <c:v>48.151200000000003</c:v>
                </c:pt>
                <c:pt idx="43">
                  <c:v>47.999199999999995</c:v>
                </c:pt>
                <c:pt idx="44">
                  <c:v>47.8279</c:v>
                </c:pt>
                <c:pt idx="45">
                  <c:v>47.756500000000003</c:v>
                </c:pt>
                <c:pt idx="46">
                  <c:v>47.735699999999994</c:v>
                </c:pt>
                <c:pt idx="47">
                  <c:v>47.7943</c:v>
                </c:pt>
                <c:pt idx="48">
                  <c:v>47.939500000000002</c:v>
                </c:pt>
                <c:pt idx="49">
                  <c:v>48.207699999999996</c:v>
                </c:pt>
                <c:pt idx="50">
                  <c:v>48.639800000000001</c:v>
                </c:pt>
                <c:pt idx="51">
                  <c:v>48.935499999999998</c:v>
                </c:pt>
                <c:pt idx="52">
                  <c:v>49.325200000000002</c:v>
                </c:pt>
                <c:pt idx="53">
                  <c:v>49.816700000000004</c:v>
                </c:pt>
                <c:pt idx="54">
                  <c:v>50.479399999999998</c:v>
                </c:pt>
                <c:pt idx="55">
                  <c:v>51.189900000000002</c:v>
                </c:pt>
                <c:pt idx="56">
                  <c:v>51.855200000000004</c:v>
                </c:pt>
                <c:pt idx="57">
                  <c:v>52.555799999999998</c:v>
                </c:pt>
                <c:pt idx="58">
                  <c:v>53.152100000000004</c:v>
                </c:pt>
                <c:pt idx="59">
                  <c:v>53.633499999999998</c:v>
                </c:pt>
                <c:pt idx="60">
                  <c:v>54.133600000000001</c:v>
                </c:pt>
                <c:pt idx="61">
                  <c:v>54.473199999999999</c:v>
                </c:pt>
                <c:pt idx="62">
                  <c:v>54.729399999999998</c:v>
                </c:pt>
                <c:pt idx="63">
                  <c:v>55.027899999999995</c:v>
                </c:pt>
                <c:pt idx="64">
                  <c:v>55.339799999999997</c:v>
                </c:pt>
                <c:pt idx="65">
                  <c:v>55.598899999999993</c:v>
                </c:pt>
                <c:pt idx="66">
                  <c:v>55.879599999999996</c:v>
                </c:pt>
                <c:pt idx="67">
                  <c:v>56.087299999999999</c:v>
                </c:pt>
                <c:pt idx="68">
                  <c:v>56.242000000000004</c:v>
                </c:pt>
                <c:pt idx="69">
                  <c:v>56.3461</c:v>
                </c:pt>
                <c:pt idx="70">
                  <c:v>56.337499999999999</c:v>
                </c:pt>
                <c:pt idx="71">
                  <c:v>56.454999999999998</c:v>
                </c:pt>
                <c:pt idx="72">
                  <c:v>56.7256</c:v>
                </c:pt>
                <c:pt idx="73">
                  <c:v>57.158099999999997</c:v>
                </c:pt>
                <c:pt idx="74">
                  <c:v>57.854300000000002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1.91547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3.5307570270270272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54.864106756756769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4.2427995945945955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52.296231081081089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4.2427995945945955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52.296231081081089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0.22626246601484137</c:v>
                </c:pt>
                <c:pt idx="1">
                  <c:v>0.37205589373063636</c:v>
                </c:pt>
                <c:pt idx="2">
                  <c:v>0.40168164025452224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0.40703499999999998</c:v>
                </c:pt>
                <c:pt idx="2">
                  <c:v>0.81492799999999999</c:v>
                </c:pt>
                <c:pt idx="3">
                  <c:v>1.21879</c:v>
                </c:pt>
                <c:pt idx="4">
                  <c:v>1.62277</c:v>
                </c:pt>
                <c:pt idx="5">
                  <c:v>2.0306799999999998</c:v>
                </c:pt>
                <c:pt idx="6">
                  <c:v>2.4385699999999999</c:v>
                </c:pt>
                <c:pt idx="7">
                  <c:v>2.8467799999999999</c:v>
                </c:pt>
                <c:pt idx="8">
                  <c:v>3.2553299999999998</c:v>
                </c:pt>
                <c:pt idx="9">
                  <c:v>3.6553100000000001</c:v>
                </c:pt>
                <c:pt idx="10">
                  <c:v>4.0621900000000002</c:v>
                </c:pt>
                <c:pt idx="11">
                  <c:v>4.4721399999999996</c:v>
                </c:pt>
                <c:pt idx="12">
                  <c:v>4.8789499999999997</c:v>
                </c:pt>
                <c:pt idx="13">
                  <c:v>5.2849300000000001</c:v>
                </c:pt>
                <c:pt idx="14">
                  <c:v>5.6907899999999998</c:v>
                </c:pt>
                <c:pt idx="15">
                  <c:v>6.0957400000000002</c:v>
                </c:pt>
                <c:pt idx="16">
                  <c:v>6.50265</c:v>
                </c:pt>
                <c:pt idx="17">
                  <c:v>6.9046000000000003</c:v>
                </c:pt>
                <c:pt idx="18">
                  <c:v>7.3138199999999998</c:v>
                </c:pt>
                <c:pt idx="19">
                  <c:v>7.7204100000000002</c:v>
                </c:pt>
                <c:pt idx="20">
                  <c:v>8.1244399999999999</c:v>
                </c:pt>
                <c:pt idx="21">
                  <c:v>8.5332600000000003</c:v>
                </c:pt>
                <c:pt idx="22">
                  <c:v>8.9380799999999994</c:v>
                </c:pt>
                <c:pt idx="23">
                  <c:v>9.3430099999999996</c:v>
                </c:pt>
                <c:pt idx="24">
                  <c:v>9.7539099999999994</c:v>
                </c:pt>
                <c:pt idx="25">
                  <c:v>10.158899999999999</c:v>
                </c:pt>
                <c:pt idx="26">
                  <c:v>10.565799999999999</c:v>
                </c:pt>
                <c:pt idx="27">
                  <c:v>10.9697</c:v>
                </c:pt>
                <c:pt idx="28">
                  <c:v>11.3726</c:v>
                </c:pt>
                <c:pt idx="29">
                  <c:v>11.7788</c:v>
                </c:pt>
                <c:pt idx="30">
                  <c:v>12.1877</c:v>
                </c:pt>
                <c:pt idx="31">
                  <c:v>12.5954</c:v>
                </c:pt>
                <c:pt idx="32">
                  <c:v>13.001300000000001</c:v>
                </c:pt>
                <c:pt idx="33">
                  <c:v>13.408799999999999</c:v>
                </c:pt>
                <c:pt idx="34">
                  <c:v>13.815200000000001</c:v>
                </c:pt>
                <c:pt idx="35">
                  <c:v>14.2181</c:v>
                </c:pt>
                <c:pt idx="36">
                  <c:v>14.625400000000001</c:v>
                </c:pt>
                <c:pt idx="37">
                  <c:v>15.0291</c:v>
                </c:pt>
                <c:pt idx="38">
                  <c:v>15.438000000000001</c:v>
                </c:pt>
                <c:pt idx="39">
                  <c:v>15.845700000000001</c:v>
                </c:pt>
                <c:pt idx="40">
                  <c:v>16.249700000000001</c:v>
                </c:pt>
                <c:pt idx="41">
                  <c:v>16.654499999999999</c:v>
                </c:pt>
                <c:pt idx="42">
                  <c:v>17.064499999999999</c:v>
                </c:pt>
                <c:pt idx="43">
                  <c:v>17.471299999999999</c:v>
                </c:pt>
                <c:pt idx="44">
                  <c:v>17.877500000000001</c:v>
                </c:pt>
                <c:pt idx="45">
                  <c:v>18.281300000000002</c:v>
                </c:pt>
                <c:pt idx="46">
                  <c:v>18.688400000000001</c:v>
                </c:pt>
                <c:pt idx="47">
                  <c:v>19.094100000000001</c:v>
                </c:pt>
                <c:pt idx="48">
                  <c:v>19.501000000000001</c:v>
                </c:pt>
                <c:pt idx="49">
                  <c:v>19.906600000000001</c:v>
                </c:pt>
                <c:pt idx="50">
                  <c:v>20.315999999999999</c:v>
                </c:pt>
                <c:pt idx="51">
                  <c:v>20.7226</c:v>
                </c:pt>
                <c:pt idx="52">
                  <c:v>21.128499999999999</c:v>
                </c:pt>
                <c:pt idx="53">
                  <c:v>21.531400000000001</c:v>
                </c:pt>
                <c:pt idx="54">
                  <c:v>21.935400000000001</c:v>
                </c:pt>
                <c:pt idx="55">
                  <c:v>22.346599999999999</c:v>
                </c:pt>
                <c:pt idx="56">
                  <c:v>22.7531</c:v>
                </c:pt>
                <c:pt idx="57">
                  <c:v>23.156600000000001</c:v>
                </c:pt>
                <c:pt idx="58">
                  <c:v>23.563300000000002</c:v>
                </c:pt>
                <c:pt idx="59">
                  <c:v>23.9711</c:v>
                </c:pt>
                <c:pt idx="60">
                  <c:v>24.373000000000001</c:v>
                </c:pt>
                <c:pt idx="61">
                  <c:v>24.7837</c:v>
                </c:pt>
                <c:pt idx="62">
                  <c:v>25.189599999999999</c:v>
                </c:pt>
                <c:pt idx="63">
                  <c:v>25.593599999999999</c:v>
                </c:pt>
                <c:pt idx="64">
                  <c:v>26.002700000000001</c:v>
                </c:pt>
                <c:pt idx="65">
                  <c:v>26.406500000000001</c:v>
                </c:pt>
                <c:pt idx="66">
                  <c:v>26.813600000000001</c:v>
                </c:pt>
                <c:pt idx="67">
                  <c:v>27.220400000000001</c:v>
                </c:pt>
                <c:pt idx="68">
                  <c:v>27.627099999999999</c:v>
                </c:pt>
                <c:pt idx="69">
                  <c:v>28.034099999999999</c:v>
                </c:pt>
                <c:pt idx="70">
                  <c:v>28.440100000000001</c:v>
                </c:pt>
                <c:pt idx="71">
                  <c:v>28.844899999999999</c:v>
                </c:pt>
                <c:pt idx="72">
                  <c:v>29.251899999999999</c:v>
                </c:pt>
                <c:pt idx="73">
                  <c:v>29.659700000000001</c:v>
                </c:pt>
                <c:pt idx="74">
                  <c:v>30.065999999999999</c:v>
                </c:pt>
                <c:pt idx="75">
                  <c:v>30.6433</c:v>
                </c:pt>
                <c:pt idx="76">
                  <c:v>31.0181</c:v>
                </c:pt>
                <c:pt idx="77">
                  <c:v>31.3931</c:v>
                </c:pt>
                <c:pt idx="78">
                  <c:v>31.772099999999998</c:v>
                </c:pt>
                <c:pt idx="79">
                  <c:v>32.158200000000001</c:v>
                </c:pt>
                <c:pt idx="80">
                  <c:v>32.564999999999998</c:v>
                </c:pt>
                <c:pt idx="81">
                  <c:v>32.9709</c:v>
                </c:pt>
                <c:pt idx="82">
                  <c:v>33.375900000000001</c:v>
                </c:pt>
                <c:pt idx="83">
                  <c:v>33.782800000000002</c:v>
                </c:pt>
                <c:pt idx="84">
                  <c:v>34.188600000000001</c:v>
                </c:pt>
                <c:pt idx="85">
                  <c:v>34.593600000000002</c:v>
                </c:pt>
                <c:pt idx="86">
                  <c:v>35.000500000000002</c:v>
                </c:pt>
                <c:pt idx="87">
                  <c:v>35.408999999999999</c:v>
                </c:pt>
                <c:pt idx="88">
                  <c:v>35.813699999999997</c:v>
                </c:pt>
                <c:pt idx="89">
                  <c:v>36.219299999999997</c:v>
                </c:pt>
                <c:pt idx="90">
                  <c:v>36.626399999999997</c:v>
                </c:pt>
                <c:pt idx="91">
                  <c:v>37.030900000000003</c:v>
                </c:pt>
                <c:pt idx="92">
                  <c:v>37.438299999999998</c:v>
                </c:pt>
                <c:pt idx="93">
                  <c:v>37.8429</c:v>
                </c:pt>
                <c:pt idx="94">
                  <c:v>38.250799999999998</c:v>
                </c:pt>
                <c:pt idx="95">
                  <c:v>38.655799999999999</c:v>
                </c:pt>
                <c:pt idx="96">
                  <c:v>39.062899999999999</c:v>
                </c:pt>
                <c:pt idx="97">
                  <c:v>39.470599999999997</c:v>
                </c:pt>
                <c:pt idx="98">
                  <c:v>39.877800000000001</c:v>
                </c:pt>
                <c:pt idx="99">
                  <c:v>40.2834</c:v>
                </c:pt>
                <c:pt idx="100">
                  <c:v>40.689500000000002</c:v>
                </c:pt>
                <c:pt idx="101">
                  <c:v>41.093299999999999</c:v>
                </c:pt>
                <c:pt idx="102">
                  <c:v>41.498100000000001</c:v>
                </c:pt>
                <c:pt idx="103">
                  <c:v>41.9054</c:v>
                </c:pt>
                <c:pt idx="104">
                  <c:v>42.314999999999998</c:v>
                </c:pt>
                <c:pt idx="105">
                  <c:v>42.722000000000001</c:v>
                </c:pt>
                <c:pt idx="106">
                  <c:v>43.126800000000003</c:v>
                </c:pt>
                <c:pt idx="107">
                  <c:v>43.531799999999997</c:v>
                </c:pt>
                <c:pt idx="108">
                  <c:v>43.935600000000001</c:v>
                </c:pt>
                <c:pt idx="109">
                  <c:v>44.3416</c:v>
                </c:pt>
                <c:pt idx="110">
                  <c:v>44.753500000000003</c:v>
                </c:pt>
                <c:pt idx="111">
                  <c:v>45.157499999999999</c:v>
                </c:pt>
                <c:pt idx="112">
                  <c:v>45.561300000000003</c:v>
                </c:pt>
                <c:pt idx="113">
                  <c:v>45.968400000000003</c:v>
                </c:pt>
                <c:pt idx="114">
                  <c:v>46.371899999999997</c:v>
                </c:pt>
                <c:pt idx="115">
                  <c:v>46.783099999999997</c:v>
                </c:pt>
                <c:pt idx="116">
                  <c:v>47.186999999999998</c:v>
                </c:pt>
                <c:pt idx="117">
                  <c:v>47.5974</c:v>
                </c:pt>
                <c:pt idx="118">
                  <c:v>48.003700000000002</c:v>
                </c:pt>
                <c:pt idx="119">
                  <c:v>48.407800000000002</c:v>
                </c:pt>
                <c:pt idx="120">
                  <c:v>48.811500000000002</c:v>
                </c:pt>
                <c:pt idx="121">
                  <c:v>49.218600000000002</c:v>
                </c:pt>
                <c:pt idx="122">
                  <c:v>49.623199999999997</c:v>
                </c:pt>
                <c:pt idx="123">
                  <c:v>50.034999999999997</c:v>
                </c:pt>
                <c:pt idx="124">
                  <c:v>50.440899999999999</c:v>
                </c:pt>
                <c:pt idx="125">
                  <c:v>50.846200000000003</c:v>
                </c:pt>
                <c:pt idx="126">
                  <c:v>51.249099999999999</c:v>
                </c:pt>
                <c:pt idx="127">
                  <c:v>51.658900000000003</c:v>
                </c:pt>
                <c:pt idx="128">
                  <c:v>52.064300000000003</c:v>
                </c:pt>
                <c:pt idx="129">
                  <c:v>52.471699999999998</c:v>
                </c:pt>
                <c:pt idx="130">
                  <c:v>52.872700000000002</c:v>
                </c:pt>
                <c:pt idx="131">
                  <c:v>53.283700000000003</c:v>
                </c:pt>
                <c:pt idx="132">
                  <c:v>53.687600000000003</c:v>
                </c:pt>
                <c:pt idx="133">
                  <c:v>54.092300000000002</c:v>
                </c:pt>
                <c:pt idx="134">
                  <c:v>54.501399999999997</c:v>
                </c:pt>
                <c:pt idx="135">
                  <c:v>54.909199999999998</c:v>
                </c:pt>
                <c:pt idx="136">
                  <c:v>55.3142</c:v>
                </c:pt>
                <c:pt idx="137">
                  <c:v>55.719000000000001</c:v>
                </c:pt>
                <c:pt idx="138">
                  <c:v>56.125900000000001</c:v>
                </c:pt>
                <c:pt idx="139">
                  <c:v>56.531999999999996</c:v>
                </c:pt>
                <c:pt idx="140">
                  <c:v>56.940800000000003</c:v>
                </c:pt>
                <c:pt idx="141">
                  <c:v>57.347000000000001</c:v>
                </c:pt>
                <c:pt idx="142">
                  <c:v>57.749200000000002</c:v>
                </c:pt>
                <c:pt idx="143">
                  <c:v>58.1556</c:v>
                </c:pt>
                <c:pt idx="144">
                  <c:v>58.564700000000002</c:v>
                </c:pt>
                <c:pt idx="145">
                  <c:v>58.972299999999997</c:v>
                </c:pt>
                <c:pt idx="146">
                  <c:v>59.377299999999998</c:v>
                </c:pt>
                <c:pt idx="147">
                  <c:v>59.782200000000003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1.91547</c:v>
                </c:pt>
                <c:pt idx="1">
                  <c:v>1.96888</c:v>
                </c:pt>
                <c:pt idx="2">
                  <c:v>2.0227999999999997</c:v>
                </c:pt>
                <c:pt idx="3">
                  <c:v>2.07443</c:v>
                </c:pt>
                <c:pt idx="4">
                  <c:v>2.1225700000000001</c:v>
                </c:pt>
                <c:pt idx="5">
                  <c:v>2.1680299999999999</c:v>
                </c:pt>
                <c:pt idx="6">
                  <c:v>2.2130399999999999</c:v>
                </c:pt>
                <c:pt idx="7">
                  <c:v>2.2597</c:v>
                </c:pt>
                <c:pt idx="8">
                  <c:v>2.3056199999999998</c:v>
                </c:pt>
                <c:pt idx="9">
                  <c:v>2.3508</c:v>
                </c:pt>
                <c:pt idx="10">
                  <c:v>2.3967900000000002</c:v>
                </c:pt>
                <c:pt idx="11">
                  <c:v>2.4427699999999999</c:v>
                </c:pt>
                <c:pt idx="12">
                  <c:v>2.4879699999999998</c:v>
                </c:pt>
                <c:pt idx="13">
                  <c:v>2.5323099999999998</c:v>
                </c:pt>
                <c:pt idx="14">
                  <c:v>2.5774900000000001</c:v>
                </c:pt>
                <c:pt idx="15">
                  <c:v>2.62554</c:v>
                </c:pt>
                <c:pt idx="16">
                  <c:v>2.6775900000000004</c:v>
                </c:pt>
                <c:pt idx="17">
                  <c:v>2.7316000000000003</c:v>
                </c:pt>
                <c:pt idx="18">
                  <c:v>2.7863300000000004</c:v>
                </c:pt>
                <c:pt idx="19">
                  <c:v>2.8389100000000003</c:v>
                </c:pt>
                <c:pt idx="20">
                  <c:v>2.8866100000000001</c:v>
                </c:pt>
                <c:pt idx="21">
                  <c:v>2.9344100000000002</c:v>
                </c:pt>
                <c:pt idx="22">
                  <c:v>2.9830299999999998</c:v>
                </c:pt>
                <c:pt idx="23">
                  <c:v>3.03037</c:v>
                </c:pt>
                <c:pt idx="24">
                  <c:v>3.0790600000000001</c:v>
                </c:pt>
                <c:pt idx="25">
                  <c:v>3.1262800000000004</c:v>
                </c:pt>
                <c:pt idx="26">
                  <c:v>3.17354</c:v>
                </c:pt>
                <c:pt idx="27">
                  <c:v>3.21909</c:v>
                </c:pt>
                <c:pt idx="28">
                  <c:v>3.2640099999999999</c:v>
                </c:pt>
                <c:pt idx="29">
                  <c:v>3.3088499999999996</c:v>
                </c:pt>
                <c:pt idx="30">
                  <c:v>3.3549600000000002</c:v>
                </c:pt>
                <c:pt idx="31">
                  <c:v>3.40482</c:v>
                </c:pt>
                <c:pt idx="32">
                  <c:v>3.4571000000000001</c:v>
                </c:pt>
                <c:pt idx="33">
                  <c:v>3.5078999999999998</c:v>
                </c:pt>
                <c:pt idx="34">
                  <c:v>3.5547200000000001</c:v>
                </c:pt>
                <c:pt idx="35">
                  <c:v>3.6009200000000003</c:v>
                </c:pt>
                <c:pt idx="36">
                  <c:v>3.6468400000000001</c:v>
                </c:pt>
                <c:pt idx="37">
                  <c:v>3.6929299999999996</c:v>
                </c:pt>
                <c:pt idx="38">
                  <c:v>3.7397100000000001</c:v>
                </c:pt>
                <c:pt idx="39">
                  <c:v>3.7866899999999997</c:v>
                </c:pt>
                <c:pt idx="40">
                  <c:v>3.8339699999999999</c:v>
                </c:pt>
                <c:pt idx="41">
                  <c:v>3.8782100000000002</c:v>
                </c:pt>
                <c:pt idx="42">
                  <c:v>3.9170600000000002</c:v>
                </c:pt>
                <c:pt idx="43">
                  <c:v>3.9541199999999996</c:v>
                </c:pt>
                <c:pt idx="44">
                  <c:v>3.9937499999999999</c:v>
                </c:pt>
                <c:pt idx="45">
                  <c:v>4.0339499999999999</c:v>
                </c:pt>
                <c:pt idx="46">
                  <c:v>4.0740800000000004</c:v>
                </c:pt>
                <c:pt idx="47">
                  <c:v>4.11524</c:v>
                </c:pt>
                <c:pt idx="48">
                  <c:v>4.1545199999999998</c:v>
                </c:pt>
                <c:pt idx="49">
                  <c:v>4.1873100000000001</c:v>
                </c:pt>
                <c:pt idx="50">
                  <c:v>4.2135699999999998</c:v>
                </c:pt>
                <c:pt idx="51">
                  <c:v>4.2469000000000001</c:v>
                </c:pt>
                <c:pt idx="52">
                  <c:v>4.2788500000000003</c:v>
                </c:pt>
                <c:pt idx="53">
                  <c:v>4.31203</c:v>
                </c:pt>
                <c:pt idx="54">
                  <c:v>4.3453400000000002</c:v>
                </c:pt>
                <c:pt idx="55">
                  <c:v>4.37683</c:v>
                </c:pt>
                <c:pt idx="56">
                  <c:v>4.4024400000000004</c:v>
                </c:pt>
                <c:pt idx="57">
                  <c:v>4.4221399999999997</c:v>
                </c:pt>
                <c:pt idx="58">
                  <c:v>4.4412200000000004</c:v>
                </c:pt>
                <c:pt idx="59">
                  <c:v>4.4614599999999998</c:v>
                </c:pt>
                <c:pt idx="60">
                  <c:v>4.4787999999999997</c:v>
                </c:pt>
                <c:pt idx="61">
                  <c:v>4.4937100000000001</c:v>
                </c:pt>
                <c:pt idx="62">
                  <c:v>4.5067500000000003</c:v>
                </c:pt>
                <c:pt idx="63">
                  <c:v>4.5182000000000002</c:v>
                </c:pt>
                <c:pt idx="64">
                  <c:v>4.5271099999999995</c:v>
                </c:pt>
                <c:pt idx="65">
                  <c:v>4.5320599999999995</c:v>
                </c:pt>
                <c:pt idx="66">
                  <c:v>4.5342199999999995</c:v>
                </c:pt>
                <c:pt idx="67">
                  <c:v>4.5367899999999999</c:v>
                </c:pt>
                <c:pt idx="68">
                  <c:v>4.5381499999999999</c:v>
                </c:pt>
                <c:pt idx="69">
                  <c:v>4.5392399999999995</c:v>
                </c:pt>
                <c:pt idx="70">
                  <c:v>4.5429300000000001</c:v>
                </c:pt>
                <c:pt idx="71">
                  <c:v>4.5444100000000001</c:v>
                </c:pt>
                <c:pt idx="72">
                  <c:v>4.5442</c:v>
                </c:pt>
                <c:pt idx="73">
                  <c:v>4.5459800000000001</c:v>
                </c:pt>
                <c:pt idx="74">
                  <c:v>4.5501699999999996</c:v>
                </c:pt>
                <c:pt idx="75">
                  <c:v>4.5529299999999999</c:v>
                </c:pt>
                <c:pt idx="76">
                  <c:v>4.5516299999999994</c:v>
                </c:pt>
                <c:pt idx="77">
                  <c:v>4.5470500000000005</c:v>
                </c:pt>
                <c:pt idx="78">
                  <c:v>4.5393299999999996</c:v>
                </c:pt>
                <c:pt idx="79">
                  <c:v>4.5307199999999996</c:v>
                </c:pt>
                <c:pt idx="80">
                  <c:v>4.5203699999999998</c:v>
                </c:pt>
                <c:pt idx="81">
                  <c:v>4.5119300000000004</c:v>
                </c:pt>
                <c:pt idx="82">
                  <c:v>4.5013500000000004</c:v>
                </c:pt>
                <c:pt idx="83">
                  <c:v>4.4867900000000001</c:v>
                </c:pt>
                <c:pt idx="84">
                  <c:v>4.4717799999999999</c:v>
                </c:pt>
                <c:pt idx="85">
                  <c:v>4.4555299999999995</c:v>
                </c:pt>
                <c:pt idx="86">
                  <c:v>4.4404300000000001</c:v>
                </c:pt>
                <c:pt idx="87">
                  <c:v>4.4235299999999995</c:v>
                </c:pt>
                <c:pt idx="88">
                  <c:v>4.4058799999999998</c:v>
                </c:pt>
                <c:pt idx="89">
                  <c:v>4.3858600000000001</c:v>
                </c:pt>
                <c:pt idx="90">
                  <c:v>4.3647599999999995</c:v>
                </c:pt>
                <c:pt idx="91">
                  <c:v>4.3441200000000002</c:v>
                </c:pt>
                <c:pt idx="92">
                  <c:v>4.3231999999999999</c:v>
                </c:pt>
                <c:pt idx="93">
                  <c:v>4.3011499999999998</c:v>
                </c:pt>
                <c:pt idx="94">
                  <c:v>4.2764600000000002</c:v>
                </c:pt>
                <c:pt idx="95">
                  <c:v>4.2507799999999998</c:v>
                </c:pt>
                <c:pt idx="96">
                  <c:v>4.2232099999999999</c:v>
                </c:pt>
                <c:pt idx="97">
                  <c:v>4.1912500000000001</c:v>
                </c:pt>
                <c:pt idx="98">
                  <c:v>4.1566000000000001</c:v>
                </c:pt>
                <c:pt idx="99">
                  <c:v>4.1188399999999996</c:v>
                </c:pt>
                <c:pt idx="100">
                  <c:v>4.0817999999999994</c:v>
                </c:pt>
                <c:pt idx="101">
                  <c:v>4.04657</c:v>
                </c:pt>
                <c:pt idx="102">
                  <c:v>4.0124399999999998</c:v>
                </c:pt>
                <c:pt idx="103">
                  <c:v>3.9804599999999999</c:v>
                </c:pt>
                <c:pt idx="104">
                  <c:v>3.95173</c:v>
                </c:pt>
                <c:pt idx="105">
                  <c:v>3.9273099999999999</c:v>
                </c:pt>
                <c:pt idx="106">
                  <c:v>3.9052700000000002</c:v>
                </c:pt>
                <c:pt idx="107">
                  <c:v>3.8883099999999997</c:v>
                </c:pt>
                <c:pt idx="108">
                  <c:v>3.8782199999999998</c:v>
                </c:pt>
                <c:pt idx="109">
                  <c:v>3.8754100000000005</c:v>
                </c:pt>
                <c:pt idx="110">
                  <c:v>3.87758</c:v>
                </c:pt>
                <c:pt idx="111">
                  <c:v>3.8814599999999997</c:v>
                </c:pt>
                <c:pt idx="112">
                  <c:v>3.88801</c:v>
                </c:pt>
                <c:pt idx="113">
                  <c:v>3.8946999999999998</c:v>
                </c:pt>
                <c:pt idx="114">
                  <c:v>3.9066000000000001</c:v>
                </c:pt>
                <c:pt idx="115">
                  <c:v>3.9257499999999999</c:v>
                </c:pt>
                <c:pt idx="116">
                  <c:v>3.9460699999999997</c:v>
                </c:pt>
                <c:pt idx="117">
                  <c:v>3.9706900000000003</c:v>
                </c:pt>
                <c:pt idx="118">
                  <c:v>3.99437</c:v>
                </c:pt>
                <c:pt idx="119">
                  <c:v>4.0173800000000002</c:v>
                </c:pt>
                <c:pt idx="120">
                  <c:v>4.0396999999999998</c:v>
                </c:pt>
                <c:pt idx="121">
                  <c:v>4.0643000000000002</c:v>
                </c:pt>
                <c:pt idx="122">
                  <c:v>4.0933199999999994</c:v>
                </c:pt>
                <c:pt idx="123">
                  <c:v>4.12263</c:v>
                </c:pt>
                <c:pt idx="124">
                  <c:v>4.1407500000000006</c:v>
                </c:pt>
                <c:pt idx="125">
                  <c:v>4.1608900000000002</c:v>
                </c:pt>
                <c:pt idx="126">
                  <c:v>4.1820300000000001</c:v>
                </c:pt>
                <c:pt idx="127">
                  <c:v>4.2062300000000006</c:v>
                </c:pt>
                <c:pt idx="128">
                  <c:v>4.2308699999999995</c:v>
                </c:pt>
                <c:pt idx="129">
                  <c:v>4.2539999999999996</c:v>
                </c:pt>
                <c:pt idx="130">
                  <c:v>4.2766900000000003</c:v>
                </c:pt>
                <c:pt idx="131">
                  <c:v>4.2999700000000001</c:v>
                </c:pt>
                <c:pt idx="132">
                  <c:v>4.32219</c:v>
                </c:pt>
                <c:pt idx="133">
                  <c:v>4.3431199999999999</c:v>
                </c:pt>
                <c:pt idx="134">
                  <c:v>4.3595499999999996</c:v>
                </c:pt>
                <c:pt idx="135">
                  <c:v>4.3735499999999998</c:v>
                </c:pt>
                <c:pt idx="136">
                  <c:v>4.3876400000000002</c:v>
                </c:pt>
                <c:pt idx="137">
                  <c:v>4.4002099999999995</c:v>
                </c:pt>
                <c:pt idx="138">
                  <c:v>4.4166499999999997</c:v>
                </c:pt>
                <c:pt idx="139">
                  <c:v>4.4339899999999997</c:v>
                </c:pt>
                <c:pt idx="140">
                  <c:v>4.4422099999999993</c:v>
                </c:pt>
                <c:pt idx="141">
                  <c:v>4.4490099999999995</c:v>
                </c:pt>
                <c:pt idx="142">
                  <c:v>4.4435500000000001</c:v>
                </c:pt>
                <c:pt idx="143">
                  <c:v>4.4420599999999997</c:v>
                </c:pt>
                <c:pt idx="144">
                  <c:v>4.4432700000000001</c:v>
                </c:pt>
                <c:pt idx="145">
                  <c:v>4.4520799999999996</c:v>
                </c:pt>
                <c:pt idx="146">
                  <c:v>4.4616400000000001</c:v>
                </c:pt>
                <c:pt idx="147">
                  <c:v>4.4492900000000004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0.40703499999999998</c:v>
                </c:pt>
                <c:pt idx="2">
                  <c:v>0.81492799999999999</c:v>
                </c:pt>
                <c:pt idx="3">
                  <c:v>1.21879</c:v>
                </c:pt>
                <c:pt idx="4">
                  <c:v>1.62277</c:v>
                </c:pt>
                <c:pt idx="5">
                  <c:v>2.0306799999999998</c:v>
                </c:pt>
                <c:pt idx="6">
                  <c:v>2.4385699999999999</c:v>
                </c:pt>
                <c:pt idx="7">
                  <c:v>2.8467799999999999</c:v>
                </c:pt>
                <c:pt idx="8">
                  <c:v>3.2553299999999998</c:v>
                </c:pt>
                <c:pt idx="9">
                  <c:v>3.6553100000000001</c:v>
                </c:pt>
                <c:pt idx="10">
                  <c:v>4.0621900000000002</c:v>
                </c:pt>
                <c:pt idx="11">
                  <c:v>4.4721399999999996</c:v>
                </c:pt>
                <c:pt idx="12">
                  <c:v>4.8789499999999997</c:v>
                </c:pt>
                <c:pt idx="13">
                  <c:v>5.2849300000000001</c:v>
                </c:pt>
                <c:pt idx="14">
                  <c:v>5.6907899999999998</c:v>
                </c:pt>
                <c:pt idx="15">
                  <c:v>6.0957400000000002</c:v>
                </c:pt>
                <c:pt idx="16">
                  <c:v>6.50265</c:v>
                </c:pt>
                <c:pt idx="17">
                  <c:v>6.9046000000000003</c:v>
                </c:pt>
                <c:pt idx="18">
                  <c:v>7.3138199999999998</c:v>
                </c:pt>
                <c:pt idx="19">
                  <c:v>7.7204100000000002</c:v>
                </c:pt>
                <c:pt idx="20">
                  <c:v>8.1244399999999999</c:v>
                </c:pt>
                <c:pt idx="21">
                  <c:v>8.5332600000000003</c:v>
                </c:pt>
                <c:pt idx="22">
                  <c:v>8.9380799999999994</c:v>
                </c:pt>
                <c:pt idx="23">
                  <c:v>9.3430099999999996</c:v>
                </c:pt>
                <c:pt idx="24">
                  <c:v>9.7539099999999994</c:v>
                </c:pt>
                <c:pt idx="25">
                  <c:v>10.158899999999999</c:v>
                </c:pt>
                <c:pt idx="26">
                  <c:v>10.565799999999999</c:v>
                </c:pt>
                <c:pt idx="27">
                  <c:v>10.9697</c:v>
                </c:pt>
                <c:pt idx="28">
                  <c:v>11.3726</c:v>
                </c:pt>
                <c:pt idx="29">
                  <c:v>11.7788</c:v>
                </c:pt>
                <c:pt idx="30">
                  <c:v>12.1877</c:v>
                </c:pt>
                <c:pt idx="31">
                  <c:v>12.5954</c:v>
                </c:pt>
                <c:pt idx="32">
                  <c:v>13.001300000000001</c:v>
                </c:pt>
                <c:pt idx="33">
                  <c:v>13.408799999999999</c:v>
                </c:pt>
                <c:pt idx="34">
                  <c:v>13.815200000000001</c:v>
                </c:pt>
                <c:pt idx="35">
                  <c:v>14.2181</c:v>
                </c:pt>
                <c:pt idx="36">
                  <c:v>14.625400000000001</c:v>
                </c:pt>
                <c:pt idx="37">
                  <c:v>15.0291</c:v>
                </c:pt>
                <c:pt idx="38">
                  <c:v>15.438000000000001</c:v>
                </c:pt>
                <c:pt idx="39">
                  <c:v>15.845700000000001</c:v>
                </c:pt>
                <c:pt idx="40">
                  <c:v>16.249700000000001</c:v>
                </c:pt>
                <c:pt idx="41">
                  <c:v>16.654499999999999</c:v>
                </c:pt>
                <c:pt idx="42">
                  <c:v>17.064499999999999</c:v>
                </c:pt>
                <c:pt idx="43">
                  <c:v>17.471299999999999</c:v>
                </c:pt>
                <c:pt idx="44">
                  <c:v>17.877500000000001</c:v>
                </c:pt>
                <c:pt idx="45">
                  <c:v>18.281300000000002</c:v>
                </c:pt>
                <c:pt idx="46">
                  <c:v>18.688400000000001</c:v>
                </c:pt>
                <c:pt idx="47">
                  <c:v>19.094100000000001</c:v>
                </c:pt>
                <c:pt idx="48">
                  <c:v>19.501000000000001</c:v>
                </c:pt>
                <c:pt idx="49">
                  <c:v>19.906600000000001</c:v>
                </c:pt>
                <c:pt idx="50">
                  <c:v>20.315999999999999</c:v>
                </c:pt>
                <c:pt idx="51">
                  <c:v>20.7226</c:v>
                </c:pt>
                <c:pt idx="52">
                  <c:v>21.128499999999999</c:v>
                </c:pt>
                <c:pt idx="53">
                  <c:v>21.531400000000001</c:v>
                </c:pt>
                <c:pt idx="54">
                  <c:v>21.935400000000001</c:v>
                </c:pt>
                <c:pt idx="55">
                  <c:v>22.346599999999999</c:v>
                </c:pt>
                <c:pt idx="56">
                  <c:v>22.7531</c:v>
                </c:pt>
                <c:pt idx="57">
                  <c:v>23.156600000000001</c:v>
                </c:pt>
                <c:pt idx="58">
                  <c:v>23.563300000000002</c:v>
                </c:pt>
                <c:pt idx="59">
                  <c:v>23.9711</c:v>
                </c:pt>
                <c:pt idx="60">
                  <c:v>24.373000000000001</c:v>
                </c:pt>
                <c:pt idx="61">
                  <c:v>24.7837</c:v>
                </c:pt>
                <c:pt idx="62">
                  <c:v>25.189599999999999</c:v>
                </c:pt>
                <c:pt idx="63">
                  <c:v>25.593599999999999</c:v>
                </c:pt>
                <c:pt idx="64">
                  <c:v>26.002700000000001</c:v>
                </c:pt>
                <c:pt idx="65">
                  <c:v>26.406500000000001</c:v>
                </c:pt>
                <c:pt idx="66">
                  <c:v>26.813600000000001</c:v>
                </c:pt>
                <c:pt idx="67">
                  <c:v>27.220400000000001</c:v>
                </c:pt>
                <c:pt idx="68">
                  <c:v>27.627099999999999</c:v>
                </c:pt>
                <c:pt idx="69">
                  <c:v>28.034099999999999</c:v>
                </c:pt>
                <c:pt idx="70">
                  <c:v>28.440100000000001</c:v>
                </c:pt>
                <c:pt idx="71">
                  <c:v>28.844899999999999</c:v>
                </c:pt>
                <c:pt idx="72">
                  <c:v>29.251899999999999</c:v>
                </c:pt>
                <c:pt idx="73">
                  <c:v>29.659700000000001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1.91547</c:v>
                </c:pt>
                <c:pt idx="1">
                  <c:v>1.96888</c:v>
                </c:pt>
                <c:pt idx="2">
                  <c:v>2.0227999999999997</c:v>
                </c:pt>
                <c:pt idx="3">
                  <c:v>2.07443</c:v>
                </c:pt>
                <c:pt idx="4">
                  <c:v>2.1225700000000001</c:v>
                </c:pt>
                <c:pt idx="5">
                  <c:v>2.1680299999999999</c:v>
                </c:pt>
                <c:pt idx="6">
                  <c:v>2.2130399999999999</c:v>
                </c:pt>
                <c:pt idx="7">
                  <c:v>2.2597</c:v>
                </c:pt>
                <c:pt idx="8">
                  <c:v>2.3056199999999998</c:v>
                </c:pt>
                <c:pt idx="9">
                  <c:v>2.3508</c:v>
                </c:pt>
                <c:pt idx="10">
                  <c:v>2.3967900000000002</c:v>
                </c:pt>
                <c:pt idx="11">
                  <c:v>2.4427699999999999</c:v>
                </c:pt>
                <c:pt idx="12">
                  <c:v>2.4879699999999998</c:v>
                </c:pt>
                <c:pt idx="13">
                  <c:v>2.5323099999999998</c:v>
                </c:pt>
                <c:pt idx="14">
                  <c:v>2.5774900000000001</c:v>
                </c:pt>
                <c:pt idx="15">
                  <c:v>2.62554</c:v>
                </c:pt>
                <c:pt idx="16">
                  <c:v>2.6775900000000004</c:v>
                </c:pt>
                <c:pt idx="17">
                  <c:v>2.7316000000000003</c:v>
                </c:pt>
                <c:pt idx="18">
                  <c:v>2.7863300000000004</c:v>
                </c:pt>
                <c:pt idx="19">
                  <c:v>2.8389100000000003</c:v>
                </c:pt>
                <c:pt idx="20">
                  <c:v>2.8866100000000001</c:v>
                </c:pt>
                <c:pt idx="21">
                  <c:v>2.9344100000000002</c:v>
                </c:pt>
                <c:pt idx="22">
                  <c:v>2.9830299999999998</c:v>
                </c:pt>
                <c:pt idx="23">
                  <c:v>3.03037</c:v>
                </c:pt>
                <c:pt idx="24">
                  <c:v>3.0790600000000001</c:v>
                </c:pt>
                <c:pt idx="25">
                  <c:v>3.1262800000000004</c:v>
                </c:pt>
                <c:pt idx="26">
                  <c:v>3.17354</c:v>
                </c:pt>
                <c:pt idx="27">
                  <c:v>3.21909</c:v>
                </c:pt>
                <c:pt idx="28">
                  <c:v>3.2640099999999999</c:v>
                </c:pt>
                <c:pt idx="29">
                  <c:v>3.3088499999999996</c:v>
                </c:pt>
                <c:pt idx="30">
                  <c:v>3.3549600000000002</c:v>
                </c:pt>
                <c:pt idx="31">
                  <c:v>3.40482</c:v>
                </c:pt>
                <c:pt idx="32">
                  <c:v>3.4571000000000001</c:v>
                </c:pt>
                <c:pt idx="33">
                  <c:v>3.5078999999999998</c:v>
                </c:pt>
                <c:pt idx="34">
                  <c:v>3.5547200000000001</c:v>
                </c:pt>
                <c:pt idx="35">
                  <c:v>3.6009200000000003</c:v>
                </c:pt>
                <c:pt idx="36">
                  <c:v>3.6468400000000001</c:v>
                </c:pt>
                <c:pt idx="37">
                  <c:v>3.6929299999999996</c:v>
                </c:pt>
                <c:pt idx="38">
                  <c:v>3.7397100000000001</c:v>
                </c:pt>
                <c:pt idx="39">
                  <c:v>3.7866899999999997</c:v>
                </c:pt>
                <c:pt idx="40">
                  <c:v>3.8339699999999999</c:v>
                </c:pt>
                <c:pt idx="41">
                  <c:v>3.8782100000000002</c:v>
                </c:pt>
                <c:pt idx="42">
                  <c:v>3.9170600000000002</c:v>
                </c:pt>
                <c:pt idx="43">
                  <c:v>3.9541199999999996</c:v>
                </c:pt>
                <c:pt idx="44">
                  <c:v>3.9937499999999999</c:v>
                </c:pt>
                <c:pt idx="45">
                  <c:v>4.0339499999999999</c:v>
                </c:pt>
                <c:pt idx="46">
                  <c:v>4.0740800000000004</c:v>
                </c:pt>
                <c:pt idx="47">
                  <c:v>4.11524</c:v>
                </c:pt>
                <c:pt idx="48">
                  <c:v>4.1545199999999998</c:v>
                </c:pt>
                <c:pt idx="49">
                  <c:v>4.1873100000000001</c:v>
                </c:pt>
                <c:pt idx="50">
                  <c:v>4.2135699999999998</c:v>
                </c:pt>
                <c:pt idx="51">
                  <c:v>4.2469000000000001</c:v>
                </c:pt>
                <c:pt idx="52">
                  <c:v>4.2788500000000003</c:v>
                </c:pt>
                <c:pt idx="53">
                  <c:v>4.31203</c:v>
                </c:pt>
                <c:pt idx="54">
                  <c:v>4.3453400000000002</c:v>
                </c:pt>
                <c:pt idx="55">
                  <c:v>4.37683</c:v>
                </c:pt>
                <c:pt idx="56">
                  <c:v>4.4024400000000004</c:v>
                </c:pt>
                <c:pt idx="57">
                  <c:v>4.4221399999999997</c:v>
                </c:pt>
                <c:pt idx="58">
                  <c:v>4.4412200000000004</c:v>
                </c:pt>
                <c:pt idx="59">
                  <c:v>4.4614599999999998</c:v>
                </c:pt>
                <c:pt idx="60">
                  <c:v>4.4787999999999997</c:v>
                </c:pt>
                <c:pt idx="61">
                  <c:v>4.4937100000000001</c:v>
                </c:pt>
                <c:pt idx="62">
                  <c:v>4.5067500000000003</c:v>
                </c:pt>
                <c:pt idx="63">
                  <c:v>4.5182000000000002</c:v>
                </c:pt>
                <c:pt idx="64">
                  <c:v>4.5271099999999995</c:v>
                </c:pt>
                <c:pt idx="65">
                  <c:v>4.5320599999999995</c:v>
                </c:pt>
                <c:pt idx="66">
                  <c:v>4.5342199999999995</c:v>
                </c:pt>
                <c:pt idx="67">
                  <c:v>4.5367899999999999</c:v>
                </c:pt>
                <c:pt idx="68">
                  <c:v>4.5381499999999999</c:v>
                </c:pt>
                <c:pt idx="69">
                  <c:v>4.5392399999999995</c:v>
                </c:pt>
                <c:pt idx="70">
                  <c:v>4.5429300000000001</c:v>
                </c:pt>
                <c:pt idx="71">
                  <c:v>4.5444100000000001</c:v>
                </c:pt>
                <c:pt idx="72">
                  <c:v>4.5442</c:v>
                </c:pt>
                <c:pt idx="73">
                  <c:v>4.5459800000000001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29.659700000000001</c:v>
                </c:pt>
                <c:pt idx="1">
                  <c:v>30.065999999999999</c:v>
                </c:pt>
                <c:pt idx="2">
                  <c:v>30.6433</c:v>
                </c:pt>
                <c:pt idx="3">
                  <c:v>31.0181</c:v>
                </c:pt>
                <c:pt idx="4">
                  <c:v>31.3931</c:v>
                </c:pt>
                <c:pt idx="5">
                  <c:v>31.772099999999998</c:v>
                </c:pt>
                <c:pt idx="6">
                  <c:v>32.158200000000001</c:v>
                </c:pt>
                <c:pt idx="7">
                  <c:v>32.564999999999998</c:v>
                </c:pt>
                <c:pt idx="8">
                  <c:v>32.9709</c:v>
                </c:pt>
                <c:pt idx="9">
                  <c:v>33.375900000000001</c:v>
                </c:pt>
                <c:pt idx="10">
                  <c:v>33.782800000000002</c:v>
                </c:pt>
                <c:pt idx="11">
                  <c:v>34.188600000000001</c:v>
                </c:pt>
                <c:pt idx="12">
                  <c:v>34.593600000000002</c:v>
                </c:pt>
                <c:pt idx="13">
                  <c:v>35.000500000000002</c:v>
                </c:pt>
                <c:pt idx="14">
                  <c:v>35.408999999999999</c:v>
                </c:pt>
                <c:pt idx="15">
                  <c:v>35.813699999999997</c:v>
                </c:pt>
                <c:pt idx="16">
                  <c:v>36.219299999999997</c:v>
                </c:pt>
                <c:pt idx="17">
                  <c:v>36.626399999999997</c:v>
                </c:pt>
                <c:pt idx="18">
                  <c:v>37.030900000000003</c:v>
                </c:pt>
                <c:pt idx="19">
                  <c:v>37.438299999999998</c:v>
                </c:pt>
                <c:pt idx="20">
                  <c:v>37.8429</c:v>
                </c:pt>
                <c:pt idx="21">
                  <c:v>38.250799999999998</c:v>
                </c:pt>
                <c:pt idx="22">
                  <c:v>38.655799999999999</c:v>
                </c:pt>
                <c:pt idx="23">
                  <c:v>39.062899999999999</c:v>
                </c:pt>
                <c:pt idx="24">
                  <c:v>39.470599999999997</c:v>
                </c:pt>
                <c:pt idx="25">
                  <c:v>39.877800000000001</c:v>
                </c:pt>
                <c:pt idx="26">
                  <c:v>40.2834</c:v>
                </c:pt>
                <c:pt idx="27">
                  <c:v>40.689500000000002</c:v>
                </c:pt>
                <c:pt idx="28">
                  <c:v>41.093299999999999</c:v>
                </c:pt>
                <c:pt idx="29">
                  <c:v>41.498100000000001</c:v>
                </c:pt>
                <c:pt idx="30">
                  <c:v>41.9054</c:v>
                </c:pt>
                <c:pt idx="31">
                  <c:v>42.314999999999998</c:v>
                </c:pt>
                <c:pt idx="32">
                  <c:v>42.722000000000001</c:v>
                </c:pt>
                <c:pt idx="33">
                  <c:v>43.126800000000003</c:v>
                </c:pt>
                <c:pt idx="34">
                  <c:v>43.531799999999997</c:v>
                </c:pt>
                <c:pt idx="35">
                  <c:v>43.935600000000001</c:v>
                </c:pt>
                <c:pt idx="36">
                  <c:v>44.3416</c:v>
                </c:pt>
                <c:pt idx="37">
                  <c:v>44.753500000000003</c:v>
                </c:pt>
                <c:pt idx="38">
                  <c:v>45.157499999999999</c:v>
                </c:pt>
                <c:pt idx="39">
                  <c:v>45.561300000000003</c:v>
                </c:pt>
                <c:pt idx="40">
                  <c:v>45.968400000000003</c:v>
                </c:pt>
                <c:pt idx="41">
                  <c:v>46.371899999999997</c:v>
                </c:pt>
                <c:pt idx="42">
                  <c:v>46.783099999999997</c:v>
                </c:pt>
                <c:pt idx="43">
                  <c:v>47.186999999999998</c:v>
                </c:pt>
                <c:pt idx="44">
                  <c:v>47.5974</c:v>
                </c:pt>
                <c:pt idx="45">
                  <c:v>48.003700000000002</c:v>
                </c:pt>
                <c:pt idx="46">
                  <c:v>48.407800000000002</c:v>
                </c:pt>
                <c:pt idx="47">
                  <c:v>48.811500000000002</c:v>
                </c:pt>
                <c:pt idx="48">
                  <c:v>49.218600000000002</c:v>
                </c:pt>
                <c:pt idx="49">
                  <c:v>49.623199999999997</c:v>
                </c:pt>
                <c:pt idx="50">
                  <c:v>50.034999999999997</c:v>
                </c:pt>
                <c:pt idx="51">
                  <c:v>50.440899999999999</c:v>
                </c:pt>
                <c:pt idx="52">
                  <c:v>50.846200000000003</c:v>
                </c:pt>
                <c:pt idx="53">
                  <c:v>51.249099999999999</c:v>
                </c:pt>
                <c:pt idx="54">
                  <c:v>51.658900000000003</c:v>
                </c:pt>
                <c:pt idx="55">
                  <c:v>52.064300000000003</c:v>
                </c:pt>
                <c:pt idx="56">
                  <c:v>52.471699999999998</c:v>
                </c:pt>
                <c:pt idx="57">
                  <c:v>52.872700000000002</c:v>
                </c:pt>
                <c:pt idx="58">
                  <c:v>53.283700000000003</c:v>
                </c:pt>
                <c:pt idx="59">
                  <c:v>53.687600000000003</c:v>
                </c:pt>
                <c:pt idx="60">
                  <c:v>54.092300000000002</c:v>
                </c:pt>
                <c:pt idx="61">
                  <c:v>54.501399999999997</c:v>
                </c:pt>
                <c:pt idx="62">
                  <c:v>54.909199999999998</c:v>
                </c:pt>
                <c:pt idx="63">
                  <c:v>55.3142</c:v>
                </c:pt>
                <c:pt idx="64">
                  <c:v>55.719000000000001</c:v>
                </c:pt>
                <c:pt idx="65">
                  <c:v>56.125900000000001</c:v>
                </c:pt>
                <c:pt idx="66">
                  <c:v>56.531999999999996</c:v>
                </c:pt>
                <c:pt idx="67">
                  <c:v>56.940800000000003</c:v>
                </c:pt>
                <c:pt idx="68">
                  <c:v>57.347000000000001</c:v>
                </c:pt>
                <c:pt idx="69">
                  <c:v>57.749200000000002</c:v>
                </c:pt>
                <c:pt idx="70">
                  <c:v>58.1556</c:v>
                </c:pt>
                <c:pt idx="71">
                  <c:v>58.564700000000002</c:v>
                </c:pt>
                <c:pt idx="72">
                  <c:v>58.972299999999997</c:v>
                </c:pt>
                <c:pt idx="73">
                  <c:v>59.377299999999998</c:v>
                </c:pt>
                <c:pt idx="74">
                  <c:v>59.782200000000003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4.5459800000000001</c:v>
                </c:pt>
                <c:pt idx="1">
                  <c:v>4.5501699999999996</c:v>
                </c:pt>
                <c:pt idx="2">
                  <c:v>4.5529299999999999</c:v>
                </c:pt>
                <c:pt idx="3">
                  <c:v>4.5516299999999994</c:v>
                </c:pt>
                <c:pt idx="4">
                  <c:v>4.5470500000000005</c:v>
                </c:pt>
                <c:pt idx="5">
                  <c:v>4.5393299999999996</c:v>
                </c:pt>
                <c:pt idx="6">
                  <c:v>4.5307199999999996</c:v>
                </c:pt>
                <c:pt idx="7">
                  <c:v>4.5203699999999998</c:v>
                </c:pt>
                <c:pt idx="8">
                  <c:v>4.5119300000000004</c:v>
                </c:pt>
                <c:pt idx="9">
                  <c:v>4.5013500000000004</c:v>
                </c:pt>
                <c:pt idx="10">
                  <c:v>4.4867900000000001</c:v>
                </c:pt>
                <c:pt idx="11">
                  <c:v>4.4717799999999999</c:v>
                </c:pt>
                <c:pt idx="12">
                  <c:v>4.4555299999999995</c:v>
                </c:pt>
                <c:pt idx="13">
                  <c:v>4.4404300000000001</c:v>
                </c:pt>
                <c:pt idx="14">
                  <c:v>4.4235299999999995</c:v>
                </c:pt>
                <c:pt idx="15">
                  <c:v>4.4058799999999998</c:v>
                </c:pt>
                <c:pt idx="16">
                  <c:v>4.3858600000000001</c:v>
                </c:pt>
                <c:pt idx="17">
                  <c:v>4.3647599999999995</c:v>
                </c:pt>
                <c:pt idx="18">
                  <c:v>4.3441200000000002</c:v>
                </c:pt>
                <c:pt idx="19">
                  <c:v>4.3231999999999999</c:v>
                </c:pt>
                <c:pt idx="20">
                  <c:v>4.3011499999999998</c:v>
                </c:pt>
                <c:pt idx="21">
                  <c:v>4.2764600000000002</c:v>
                </c:pt>
                <c:pt idx="22">
                  <c:v>4.2507799999999998</c:v>
                </c:pt>
                <c:pt idx="23">
                  <c:v>4.2232099999999999</c:v>
                </c:pt>
                <c:pt idx="24">
                  <c:v>4.1912500000000001</c:v>
                </c:pt>
                <c:pt idx="25">
                  <c:v>4.1566000000000001</c:v>
                </c:pt>
                <c:pt idx="26">
                  <c:v>4.1188399999999996</c:v>
                </c:pt>
                <c:pt idx="27">
                  <c:v>4.0817999999999994</c:v>
                </c:pt>
                <c:pt idx="28">
                  <c:v>4.04657</c:v>
                </c:pt>
                <c:pt idx="29">
                  <c:v>4.0124399999999998</c:v>
                </c:pt>
                <c:pt idx="30">
                  <c:v>3.9804599999999999</c:v>
                </c:pt>
                <c:pt idx="31">
                  <c:v>3.95173</c:v>
                </c:pt>
                <c:pt idx="32">
                  <c:v>3.9273099999999999</c:v>
                </c:pt>
                <c:pt idx="33">
                  <c:v>3.9052700000000002</c:v>
                </c:pt>
                <c:pt idx="34">
                  <c:v>3.8883099999999997</c:v>
                </c:pt>
                <c:pt idx="35">
                  <c:v>3.8782199999999998</c:v>
                </c:pt>
                <c:pt idx="36">
                  <c:v>3.8754100000000005</c:v>
                </c:pt>
                <c:pt idx="37">
                  <c:v>3.87758</c:v>
                </c:pt>
                <c:pt idx="38">
                  <c:v>3.8814599999999997</c:v>
                </c:pt>
                <c:pt idx="39">
                  <c:v>3.88801</c:v>
                </c:pt>
                <c:pt idx="40">
                  <c:v>3.8946999999999998</c:v>
                </c:pt>
                <c:pt idx="41">
                  <c:v>3.9066000000000001</c:v>
                </c:pt>
                <c:pt idx="42">
                  <c:v>3.9257499999999999</c:v>
                </c:pt>
                <c:pt idx="43">
                  <c:v>3.9460699999999997</c:v>
                </c:pt>
                <c:pt idx="44">
                  <c:v>3.9706900000000003</c:v>
                </c:pt>
                <c:pt idx="45">
                  <c:v>3.99437</c:v>
                </c:pt>
                <c:pt idx="46">
                  <c:v>4.0173800000000002</c:v>
                </c:pt>
                <c:pt idx="47">
                  <c:v>4.0396999999999998</c:v>
                </c:pt>
                <c:pt idx="48">
                  <c:v>4.0643000000000002</c:v>
                </c:pt>
                <c:pt idx="49">
                  <c:v>4.0933199999999994</c:v>
                </c:pt>
                <c:pt idx="50">
                  <c:v>4.12263</c:v>
                </c:pt>
                <c:pt idx="51">
                  <c:v>4.1407500000000006</c:v>
                </c:pt>
                <c:pt idx="52">
                  <c:v>4.1608900000000002</c:v>
                </c:pt>
                <c:pt idx="53">
                  <c:v>4.1820300000000001</c:v>
                </c:pt>
                <c:pt idx="54">
                  <c:v>4.2062300000000006</c:v>
                </c:pt>
                <c:pt idx="55">
                  <c:v>4.2308699999999995</c:v>
                </c:pt>
                <c:pt idx="56">
                  <c:v>4.2539999999999996</c:v>
                </c:pt>
                <c:pt idx="57">
                  <c:v>4.2766900000000003</c:v>
                </c:pt>
                <c:pt idx="58">
                  <c:v>4.2999700000000001</c:v>
                </c:pt>
                <c:pt idx="59">
                  <c:v>4.32219</c:v>
                </c:pt>
                <c:pt idx="60">
                  <c:v>4.3431199999999999</c:v>
                </c:pt>
                <c:pt idx="61">
                  <c:v>4.3595499999999996</c:v>
                </c:pt>
                <c:pt idx="62">
                  <c:v>4.3735499999999998</c:v>
                </c:pt>
                <c:pt idx="63">
                  <c:v>4.3876400000000002</c:v>
                </c:pt>
                <c:pt idx="64">
                  <c:v>4.4002099999999995</c:v>
                </c:pt>
                <c:pt idx="65">
                  <c:v>4.4166499999999997</c:v>
                </c:pt>
                <c:pt idx="66">
                  <c:v>4.4339899999999997</c:v>
                </c:pt>
                <c:pt idx="67">
                  <c:v>4.4422099999999993</c:v>
                </c:pt>
                <c:pt idx="68">
                  <c:v>4.4490099999999995</c:v>
                </c:pt>
                <c:pt idx="69">
                  <c:v>4.4435500000000001</c:v>
                </c:pt>
                <c:pt idx="70">
                  <c:v>4.4420599999999997</c:v>
                </c:pt>
                <c:pt idx="71">
                  <c:v>4.4432700000000001</c:v>
                </c:pt>
                <c:pt idx="72">
                  <c:v>4.4520799999999996</c:v>
                </c:pt>
                <c:pt idx="73">
                  <c:v>4.4616400000000001</c:v>
                </c:pt>
                <c:pt idx="74">
                  <c:v>4.4492900000000004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14.945550000000001</c:v>
                </c:pt>
                <c:pt idx="1">
                  <c:v>44.836650000000006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3.5307570270270272</c:v>
                </c:pt>
                <c:pt idx="1">
                  <c:v>4.2427995945945955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0.40703499999999998</c:v>
                </c:pt>
                <c:pt idx="2">
                  <c:v>0.81492799999999999</c:v>
                </c:pt>
                <c:pt idx="3">
                  <c:v>1.21879</c:v>
                </c:pt>
                <c:pt idx="4">
                  <c:v>1.62277</c:v>
                </c:pt>
                <c:pt idx="5">
                  <c:v>2.0306799999999998</c:v>
                </c:pt>
                <c:pt idx="6">
                  <c:v>2.4385699999999999</c:v>
                </c:pt>
                <c:pt idx="7">
                  <c:v>2.8467799999999999</c:v>
                </c:pt>
                <c:pt idx="8">
                  <c:v>3.2553299999999998</c:v>
                </c:pt>
                <c:pt idx="9">
                  <c:v>3.6553100000000001</c:v>
                </c:pt>
                <c:pt idx="10">
                  <c:v>4.0621900000000002</c:v>
                </c:pt>
                <c:pt idx="11">
                  <c:v>4.4721399999999996</c:v>
                </c:pt>
                <c:pt idx="12">
                  <c:v>4.8789499999999997</c:v>
                </c:pt>
                <c:pt idx="13">
                  <c:v>5.2849300000000001</c:v>
                </c:pt>
                <c:pt idx="14">
                  <c:v>5.6907899999999998</c:v>
                </c:pt>
                <c:pt idx="15">
                  <c:v>6.0957400000000002</c:v>
                </c:pt>
                <c:pt idx="16">
                  <c:v>6.50265</c:v>
                </c:pt>
                <c:pt idx="17">
                  <c:v>6.9046000000000003</c:v>
                </c:pt>
                <c:pt idx="18">
                  <c:v>7.3138199999999998</c:v>
                </c:pt>
                <c:pt idx="19">
                  <c:v>7.7204100000000002</c:v>
                </c:pt>
                <c:pt idx="20">
                  <c:v>8.1244399999999999</c:v>
                </c:pt>
                <c:pt idx="21">
                  <c:v>8.5332600000000003</c:v>
                </c:pt>
                <c:pt idx="22">
                  <c:v>8.9380799999999994</c:v>
                </c:pt>
                <c:pt idx="23">
                  <c:v>9.3430099999999996</c:v>
                </c:pt>
                <c:pt idx="24">
                  <c:v>9.7539099999999994</c:v>
                </c:pt>
                <c:pt idx="25">
                  <c:v>10.158899999999999</c:v>
                </c:pt>
                <c:pt idx="26">
                  <c:v>10.565799999999999</c:v>
                </c:pt>
                <c:pt idx="27">
                  <c:v>10.9697</c:v>
                </c:pt>
                <c:pt idx="28">
                  <c:v>11.3726</c:v>
                </c:pt>
                <c:pt idx="29">
                  <c:v>11.7788</c:v>
                </c:pt>
                <c:pt idx="30">
                  <c:v>12.1877</c:v>
                </c:pt>
                <c:pt idx="31">
                  <c:v>12.5954</c:v>
                </c:pt>
                <c:pt idx="32">
                  <c:v>13.001300000000001</c:v>
                </c:pt>
                <c:pt idx="33">
                  <c:v>13.408799999999999</c:v>
                </c:pt>
                <c:pt idx="34">
                  <c:v>13.815200000000001</c:v>
                </c:pt>
                <c:pt idx="35">
                  <c:v>14.2181</c:v>
                </c:pt>
                <c:pt idx="36">
                  <c:v>14.625400000000001</c:v>
                </c:pt>
                <c:pt idx="37">
                  <c:v>15.0291</c:v>
                </c:pt>
                <c:pt idx="38">
                  <c:v>15.438000000000001</c:v>
                </c:pt>
                <c:pt idx="39">
                  <c:v>15.845700000000001</c:v>
                </c:pt>
                <c:pt idx="40">
                  <c:v>16.249700000000001</c:v>
                </c:pt>
                <c:pt idx="41">
                  <c:v>16.654499999999999</c:v>
                </c:pt>
                <c:pt idx="42">
                  <c:v>17.064499999999999</c:v>
                </c:pt>
                <c:pt idx="43">
                  <c:v>17.471299999999999</c:v>
                </c:pt>
                <c:pt idx="44">
                  <c:v>17.877500000000001</c:v>
                </c:pt>
                <c:pt idx="45">
                  <c:v>18.281300000000002</c:v>
                </c:pt>
                <c:pt idx="46">
                  <c:v>18.688400000000001</c:v>
                </c:pt>
                <c:pt idx="47">
                  <c:v>19.094100000000001</c:v>
                </c:pt>
                <c:pt idx="48">
                  <c:v>19.501000000000001</c:v>
                </c:pt>
                <c:pt idx="49">
                  <c:v>19.906600000000001</c:v>
                </c:pt>
                <c:pt idx="50">
                  <c:v>20.315999999999999</c:v>
                </c:pt>
                <c:pt idx="51">
                  <c:v>20.7226</c:v>
                </c:pt>
                <c:pt idx="52">
                  <c:v>21.128499999999999</c:v>
                </c:pt>
                <c:pt idx="53">
                  <c:v>21.531400000000001</c:v>
                </c:pt>
                <c:pt idx="54">
                  <c:v>21.935400000000001</c:v>
                </c:pt>
                <c:pt idx="55">
                  <c:v>22.346599999999999</c:v>
                </c:pt>
                <c:pt idx="56">
                  <c:v>22.7531</c:v>
                </c:pt>
                <c:pt idx="57">
                  <c:v>23.156600000000001</c:v>
                </c:pt>
                <c:pt idx="58">
                  <c:v>23.563300000000002</c:v>
                </c:pt>
                <c:pt idx="59">
                  <c:v>23.9711</c:v>
                </c:pt>
                <c:pt idx="60">
                  <c:v>24.373000000000001</c:v>
                </c:pt>
                <c:pt idx="61">
                  <c:v>24.7837</c:v>
                </c:pt>
                <c:pt idx="62">
                  <c:v>25.189599999999999</c:v>
                </c:pt>
                <c:pt idx="63">
                  <c:v>25.593599999999999</c:v>
                </c:pt>
                <c:pt idx="64">
                  <c:v>26.002700000000001</c:v>
                </c:pt>
                <c:pt idx="65">
                  <c:v>26.406500000000001</c:v>
                </c:pt>
                <c:pt idx="66">
                  <c:v>26.813600000000001</c:v>
                </c:pt>
                <c:pt idx="67">
                  <c:v>27.220400000000001</c:v>
                </c:pt>
                <c:pt idx="68">
                  <c:v>27.627099999999999</c:v>
                </c:pt>
                <c:pt idx="69">
                  <c:v>28.034099999999999</c:v>
                </c:pt>
                <c:pt idx="70">
                  <c:v>28.440100000000001</c:v>
                </c:pt>
                <c:pt idx="71">
                  <c:v>28.844899999999999</c:v>
                </c:pt>
                <c:pt idx="72">
                  <c:v>29.251899999999999</c:v>
                </c:pt>
                <c:pt idx="73">
                  <c:v>29.659700000000001</c:v>
                </c:pt>
                <c:pt idx="74">
                  <c:v>30.065999999999999</c:v>
                </c:pt>
                <c:pt idx="75">
                  <c:v>30.6433</c:v>
                </c:pt>
                <c:pt idx="76">
                  <c:v>31.0181</c:v>
                </c:pt>
                <c:pt idx="77">
                  <c:v>31.3931</c:v>
                </c:pt>
                <c:pt idx="78">
                  <c:v>31.772099999999998</c:v>
                </c:pt>
                <c:pt idx="79">
                  <c:v>32.158200000000001</c:v>
                </c:pt>
                <c:pt idx="80">
                  <c:v>32.564999999999998</c:v>
                </c:pt>
                <c:pt idx="81">
                  <c:v>32.9709</c:v>
                </c:pt>
                <c:pt idx="82">
                  <c:v>33.375900000000001</c:v>
                </c:pt>
                <c:pt idx="83">
                  <c:v>33.782800000000002</c:v>
                </c:pt>
                <c:pt idx="84">
                  <c:v>34.188600000000001</c:v>
                </c:pt>
                <c:pt idx="85">
                  <c:v>34.593600000000002</c:v>
                </c:pt>
                <c:pt idx="86">
                  <c:v>35.000500000000002</c:v>
                </c:pt>
                <c:pt idx="87">
                  <c:v>35.408999999999999</c:v>
                </c:pt>
                <c:pt idx="88">
                  <c:v>35.813699999999997</c:v>
                </c:pt>
                <c:pt idx="89">
                  <c:v>36.219299999999997</c:v>
                </c:pt>
                <c:pt idx="90">
                  <c:v>36.626399999999997</c:v>
                </c:pt>
                <c:pt idx="91">
                  <c:v>37.030900000000003</c:v>
                </c:pt>
                <c:pt idx="92">
                  <c:v>37.438299999999998</c:v>
                </c:pt>
                <c:pt idx="93">
                  <c:v>37.8429</c:v>
                </c:pt>
                <c:pt idx="94">
                  <c:v>38.250799999999998</c:v>
                </c:pt>
                <c:pt idx="95">
                  <c:v>38.655799999999999</c:v>
                </c:pt>
                <c:pt idx="96">
                  <c:v>39.062899999999999</c:v>
                </c:pt>
                <c:pt idx="97">
                  <c:v>39.470599999999997</c:v>
                </c:pt>
                <c:pt idx="98">
                  <c:v>39.877800000000001</c:v>
                </c:pt>
                <c:pt idx="99">
                  <c:v>40.2834</c:v>
                </c:pt>
                <c:pt idx="100">
                  <c:v>40.689500000000002</c:v>
                </c:pt>
                <c:pt idx="101">
                  <c:v>41.093299999999999</c:v>
                </c:pt>
                <c:pt idx="102">
                  <c:v>41.498100000000001</c:v>
                </c:pt>
                <c:pt idx="103">
                  <c:v>41.9054</c:v>
                </c:pt>
                <c:pt idx="104">
                  <c:v>42.314999999999998</c:v>
                </c:pt>
                <c:pt idx="105">
                  <c:v>42.722000000000001</c:v>
                </c:pt>
                <c:pt idx="106">
                  <c:v>43.126800000000003</c:v>
                </c:pt>
                <c:pt idx="107">
                  <c:v>43.531799999999997</c:v>
                </c:pt>
                <c:pt idx="108">
                  <c:v>43.935600000000001</c:v>
                </c:pt>
                <c:pt idx="109">
                  <c:v>44.3416</c:v>
                </c:pt>
                <c:pt idx="110">
                  <c:v>44.753500000000003</c:v>
                </c:pt>
                <c:pt idx="111">
                  <c:v>45.157499999999999</c:v>
                </c:pt>
                <c:pt idx="112">
                  <c:v>45.561300000000003</c:v>
                </c:pt>
                <c:pt idx="113">
                  <c:v>45.968400000000003</c:v>
                </c:pt>
                <c:pt idx="114">
                  <c:v>46.371899999999997</c:v>
                </c:pt>
                <c:pt idx="115">
                  <c:v>46.783099999999997</c:v>
                </c:pt>
                <c:pt idx="116">
                  <c:v>47.186999999999998</c:v>
                </c:pt>
                <c:pt idx="117">
                  <c:v>47.5974</c:v>
                </c:pt>
                <c:pt idx="118">
                  <c:v>48.003700000000002</c:v>
                </c:pt>
                <c:pt idx="119">
                  <c:v>48.407800000000002</c:v>
                </c:pt>
                <c:pt idx="120">
                  <c:v>48.811500000000002</c:v>
                </c:pt>
                <c:pt idx="121">
                  <c:v>49.218600000000002</c:v>
                </c:pt>
                <c:pt idx="122">
                  <c:v>49.623199999999997</c:v>
                </c:pt>
                <c:pt idx="123">
                  <c:v>50.034999999999997</c:v>
                </c:pt>
                <c:pt idx="124">
                  <c:v>50.440899999999999</c:v>
                </c:pt>
                <c:pt idx="125">
                  <c:v>50.846200000000003</c:v>
                </c:pt>
                <c:pt idx="126">
                  <c:v>51.249099999999999</c:v>
                </c:pt>
                <c:pt idx="127">
                  <c:v>51.658900000000003</c:v>
                </c:pt>
                <c:pt idx="128">
                  <c:v>52.064300000000003</c:v>
                </c:pt>
                <c:pt idx="129">
                  <c:v>52.471699999999998</c:v>
                </c:pt>
                <c:pt idx="130">
                  <c:v>52.872700000000002</c:v>
                </c:pt>
                <c:pt idx="131">
                  <c:v>53.283700000000003</c:v>
                </c:pt>
                <c:pt idx="132">
                  <c:v>53.687600000000003</c:v>
                </c:pt>
                <c:pt idx="133">
                  <c:v>54.092300000000002</c:v>
                </c:pt>
                <c:pt idx="134">
                  <c:v>54.501399999999997</c:v>
                </c:pt>
                <c:pt idx="135">
                  <c:v>54.909199999999998</c:v>
                </c:pt>
                <c:pt idx="136">
                  <c:v>55.3142</c:v>
                </c:pt>
                <c:pt idx="137">
                  <c:v>55.719000000000001</c:v>
                </c:pt>
                <c:pt idx="138">
                  <c:v>56.125900000000001</c:v>
                </c:pt>
                <c:pt idx="139">
                  <c:v>56.531999999999996</c:v>
                </c:pt>
                <c:pt idx="140">
                  <c:v>56.940800000000003</c:v>
                </c:pt>
                <c:pt idx="141">
                  <c:v>57.347000000000001</c:v>
                </c:pt>
                <c:pt idx="142">
                  <c:v>57.749200000000002</c:v>
                </c:pt>
                <c:pt idx="143">
                  <c:v>58.1556</c:v>
                </c:pt>
                <c:pt idx="144">
                  <c:v>58.564700000000002</c:v>
                </c:pt>
                <c:pt idx="145">
                  <c:v>58.972299999999997</c:v>
                </c:pt>
                <c:pt idx="146">
                  <c:v>59.377299999999998</c:v>
                </c:pt>
                <c:pt idx="147">
                  <c:v>59.782200000000003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67.402299999999997</c:v>
                </c:pt>
                <c:pt idx="1">
                  <c:v>67.279199999999989</c:v>
                </c:pt>
                <c:pt idx="2">
                  <c:v>66.904899999999998</c:v>
                </c:pt>
                <c:pt idx="3">
                  <c:v>66.395400000000009</c:v>
                </c:pt>
                <c:pt idx="4">
                  <c:v>65.844499999999996</c:v>
                </c:pt>
                <c:pt idx="5">
                  <c:v>65.357299999999995</c:v>
                </c:pt>
                <c:pt idx="6">
                  <c:v>64.890199999999993</c:v>
                </c:pt>
                <c:pt idx="7">
                  <c:v>64.297300000000007</c:v>
                </c:pt>
                <c:pt idx="8">
                  <c:v>63.574100000000001</c:v>
                </c:pt>
                <c:pt idx="9">
                  <c:v>62.746900000000004</c:v>
                </c:pt>
                <c:pt idx="10">
                  <c:v>61.838099999999997</c:v>
                </c:pt>
                <c:pt idx="11">
                  <c:v>60.903500000000001</c:v>
                </c:pt>
                <c:pt idx="12">
                  <c:v>60.015500000000003</c:v>
                </c:pt>
                <c:pt idx="13">
                  <c:v>59.122799999999998</c:v>
                </c:pt>
                <c:pt idx="14">
                  <c:v>58.158699999999996</c:v>
                </c:pt>
                <c:pt idx="15">
                  <c:v>57.086800000000004</c:v>
                </c:pt>
                <c:pt idx="16">
                  <c:v>55.917799999999993</c:v>
                </c:pt>
                <c:pt idx="17">
                  <c:v>54.645900000000005</c:v>
                </c:pt>
                <c:pt idx="18">
                  <c:v>53.440399999999997</c:v>
                </c:pt>
                <c:pt idx="19">
                  <c:v>52.549800000000005</c:v>
                </c:pt>
                <c:pt idx="20">
                  <c:v>51.9621</c:v>
                </c:pt>
                <c:pt idx="21">
                  <c:v>51.443099999999994</c:v>
                </c:pt>
                <c:pt idx="22">
                  <c:v>50.958800000000004</c:v>
                </c:pt>
                <c:pt idx="23">
                  <c:v>50.601900000000001</c:v>
                </c:pt>
                <c:pt idx="24">
                  <c:v>50.216000000000008</c:v>
                </c:pt>
                <c:pt idx="25">
                  <c:v>49.872199999999999</c:v>
                </c:pt>
                <c:pt idx="26">
                  <c:v>49.656399999999998</c:v>
                </c:pt>
                <c:pt idx="27">
                  <c:v>49.587399999999995</c:v>
                </c:pt>
                <c:pt idx="28">
                  <c:v>49.576700000000002</c:v>
                </c:pt>
                <c:pt idx="29">
                  <c:v>49.626899999999999</c:v>
                </c:pt>
                <c:pt idx="30">
                  <c:v>49.730400000000003</c:v>
                </c:pt>
                <c:pt idx="31">
                  <c:v>49.788399999999996</c:v>
                </c:pt>
                <c:pt idx="32">
                  <c:v>49.815100000000001</c:v>
                </c:pt>
                <c:pt idx="33">
                  <c:v>49.980400000000003</c:v>
                </c:pt>
                <c:pt idx="34">
                  <c:v>50.353200000000001</c:v>
                </c:pt>
                <c:pt idx="35">
                  <c:v>50.773900000000005</c:v>
                </c:pt>
                <c:pt idx="36">
                  <c:v>51.173900000000003</c:v>
                </c:pt>
                <c:pt idx="37">
                  <c:v>51.538600000000002</c:v>
                </c:pt>
                <c:pt idx="38">
                  <c:v>51.870199999999997</c:v>
                </c:pt>
                <c:pt idx="39">
                  <c:v>52.192799999999991</c:v>
                </c:pt>
                <c:pt idx="40">
                  <c:v>52.437599999999996</c:v>
                </c:pt>
                <c:pt idx="41">
                  <c:v>52.689500000000002</c:v>
                </c:pt>
                <c:pt idx="42">
                  <c:v>53.012899999999995</c:v>
                </c:pt>
                <c:pt idx="43">
                  <c:v>53.25</c:v>
                </c:pt>
                <c:pt idx="44">
                  <c:v>53.410699999999999</c:v>
                </c:pt>
                <c:pt idx="45">
                  <c:v>53.647999999999996</c:v>
                </c:pt>
                <c:pt idx="46">
                  <c:v>53.857299999999995</c:v>
                </c:pt>
                <c:pt idx="47">
                  <c:v>53.979200000000006</c:v>
                </c:pt>
                <c:pt idx="48">
                  <c:v>54.121900000000004</c:v>
                </c:pt>
                <c:pt idx="49">
                  <c:v>54.343799999999995</c:v>
                </c:pt>
                <c:pt idx="50">
                  <c:v>54.630900000000004</c:v>
                </c:pt>
                <c:pt idx="51">
                  <c:v>54.724200000000003</c:v>
                </c:pt>
                <c:pt idx="52">
                  <c:v>54.778499999999994</c:v>
                </c:pt>
                <c:pt idx="53">
                  <c:v>54.797899999999998</c:v>
                </c:pt>
                <c:pt idx="54">
                  <c:v>54.798999999999999</c:v>
                </c:pt>
                <c:pt idx="55">
                  <c:v>54.791500000000006</c:v>
                </c:pt>
                <c:pt idx="56">
                  <c:v>54.772100000000002</c:v>
                </c:pt>
                <c:pt idx="57">
                  <c:v>54.690899999999999</c:v>
                </c:pt>
                <c:pt idx="58">
                  <c:v>54.5443</c:v>
                </c:pt>
                <c:pt idx="59">
                  <c:v>54.3718</c:v>
                </c:pt>
                <c:pt idx="60">
                  <c:v>54.173499999999997</c:v>
                </c:pt>
                <c:pt idx="61">
                  <c:v>53.950200000000002</c:v>
                </c:pt>
                <c:pt idx="62">
                  <c:v>53.73</c:v>
                </c:pt>
                <c:pt idx="63">
                  <c:v>53.515100000000004</c:v>
                </c:pt>
                <c:pt idx="64">
                  <c:v>53.283800000000006</c:v>
                </c:pt>
                <c:pt idx="65">
                  <c:v>53.018200000000007</c:v>
                </c:pt>
                <c:pt idx="66">
                  <c:v>52.730900000000005</c:v>
                </c:pt>
                <c:pt idx="67">
                  <c:v>52.488599999999998</c:v>
                </c:pt>
                <c:pt idx="68">
                  <c:v>52.296900000000001</c:v>
                </c:pt>
                <c:pt idx="69">
                  <c:v>52.166400000000003</c:v>
                </c:pt>
                <c:pt idx="70">
                  <c:v>52.033799999999999</c:v>
                </c:pt>
                <c:pt idx="71">
                  <c:v>51.948099999999997</c:v>
                </c:pt>
                <c:pt idx="72">
                  <c:v>51.930600000000005</c:v>
                </c:pt>
                <c:pt idx="73">
                  <c:v>51.936000000000007</c:v>
                </c:pt>
                <c:pt idx="74">
                  <c:v>51.980400000000003</c:v>
                </c:pt>
                <c:pt idx="75">
                  <c:v>52.1374</c:v>
                </c:pt>
                <c:pt idx="76">
                  <c:v>52.271999999999998</c:v>
                </c:pt>
                <c:pt idx="77">
                  <c:v>52.401600000000002</c:v>
                </c:pt>
                <c:pt idx="78">
                  <c:v>52.557600000000008</c:v>
                </c:pt>
                <c:pt idx="79">
                  <c:v>52.745699999999992</c:v>
                </c:pt>
                <c:pt idx="80">
                  <c:v>52.904799999999994</c:v>
                </c:pt>
                <c:pt idx="81">
                  <c:v>53.017499999999998</c:v>
                </c:pt>
                <c:pt idx="82">
                  <c:v>53.1967</c:v>
                </c:pt>
                <c:pt idx="83">
                  <c:v>53.366</c:v>
                </c:pt>
                <c:pt idx="84">
                  <c:v>53.519599999999997</c:v>
                </c:pt>
                <c:pt idx="85">
                  <c:v>53.694200000000002</c:v>
                </c:pt>
                <c:pt idx="86">
                  <c:v>53.896100000000004</c:v>
                </c:pt>
                <c:pt idx="87">
                  <c:v>54.144499999999994</c:v>
                </c:pt>
                <c:pt idx="88">
                  <c:v>54.282699999999991</c:v>
                </c:pt>
                <c:pt idx="89">
                  <c:v>54.323399999999999</c:v>
                </c:pt>
                <c:pt idx="90">
                  <c:v>54.337299999999999</c:v>
                </c:pt>
                <c:pt idx="91">
                  <c:v>54.312899999999999</c:v>
                </c:pt>
                <c:pt idx="92">
                  <c:v>54.237500000000004</c:v>
                </c:pt>
                <c:pt idx="93">
                  <c:v>54.144199999999998</c:v>
                </c:pt>
                <c:pt idx="94">
                  <c:v>54.019600000000004</c:v>
                </c:pt>
                <c:pt idx="95">
                  <c:v>53.884200000000007</c:v>
                </c:pt>
                <c:pt idx="96">
                  <c:v>53.664199999999994</c:v>
                </c:pt>
                <c:pt idx="97">
                  <c:v>53.380200000000002</c:v>
                </c:pt>
                <c:pt idx="98">
                  <c:v>53.066199999999995</c:v>
                </c:pt>
                <c:pt idx="99">
                  <c:v>52.719700000000003</c:v>
                </c:pt>
                <c:pt idx="100">
                  <c:v>52.3401</c:v>
                </c:pt>
                <c:pt idx="101">
                  <c:v>51.903299999999994</c:v>
                </c:pt>
                <c:pt idx="102">
                  <c:v>51.393900000000002</c:v>
                </c:pt>
                <c:pt idx="103">
                  <c:v>50.947400000000002</c:v>
                </c:pt>
                <c:pt idx="104">
                  <c:v>50.601500000000001</c:v>
                </c:pt>
                <c:pt idx="105">
                  <c:v>50.2791</c:v>
                </c:pt>
                <c:pt idx="106">
                  <c:v>50.1038</c:v>
                </c:pt>
                <c:pt idx="107">
                  <c:v>49.952300000000001</c:v>
                </c:pt>
                <c:pt idx="108">
                  <c:v>49.712499999999999</c:v>
                </c:pt>
                <c:pt idx="109">
                  <c:v>49.467700000000001</c:v>
                </c:pt>
                <c:pt idx="110">
                  <c:v>49.2224</c:v>
                </c:pt>
                <c:pt idx="111">
                  <c:v>48.947699999999998</c:v>
                </c:pt>
                <c:pt idx="112">
                  <c:v>48.644599999999997</c:v>
                </c:pt>
                <c:pt idx="113">
                  <c:v>48.478200000000001</c:v>
                </c:pt>
                <c:pt idx="114">
                  <c:v>48.337000000000003</c:v>
                </c:pt>
                <c:pt idx="115">
                  <c:v>48.151200000000003</c:v>
                </c:pt>
                <c:pt idx="116">
                  <c:v>47.999199999999995</c:v>
                </c:pt>
                <c:pt idx="117">
                  <c:v>47.8279</c:v>
                </c:pt>
                <c:pt idx="118">
                  <c:v>47.756500000000003</c:v>
                </c:pt>
                <c:pt idx="119">
                  <c:v>47.735699999999994</c:v>
                </c:pt>
                <c:pt idx="120">
                  <c:v>47.7943</c:v>
                </c:pt>
                <c:pt idx="121">
                  <c:v>47.939500000000002</c:v>
                </c:pt>
                <c:pt idx="122">
                  <c:v>48.207699999999996</c:v>
                </c:pt>
                <c:pt idx="123">
                  <c:v>48.639800000000001</c:v>
                </c:pt>
                <c:pt idx="124">
                  <c:v>48.935499999999998</c:v>
                </c:pt>
                <c:pt idx="125">
                  <c:v>49.325200000000002</c:v>
                </c:pt>
                <c:pt idx="126">
                  <c:v>49.816700000000004</c:v>
                </c:pt>
                <c:pt idx="127">
                  <c:v>50.479399999999998</c:v>
                </c:pt>
                <c:pt idx="128">
                  <c:v>51.189900000000002</c:v>
                </c:pt>
                <c:pt idx="129">
                  <c:v>51.855200000000004</c:v>
                </c:pt>
                <c:pt idx="130">
                  <c:v>52.555799999999998</c:v>
                </c:pt>
                <c:pt idx="131">
                  <c:v>53.152100000000004</c:v>
                </c:pt>
                <c:pt idx="132">
                  <c:v>53.633499999999998</c:v>
                </c:pt>
                <c:pt idx="133">
                  <c:v>54.133600000000001</c:v>
                </c:pt>
                <c:pt idx="134">
                  <c:v>54.473199999999999</c:v>
                </c:pt>
                <c:pt idx="135">
                  <c:v>54.729399999999998</c:v>
                </c:pt>
                <c:pt idx="136">
                  <c:v>55.027899999999995</c:v>
                </c:pt>
                <c:pt idx="137">
                  <c:v>55.339799999999997</c:v>
                </c:pt>
                <c:pt idx="138">
                  <c:v>55.598899999999993</c:v>
                </c:pt>
                <c:pt idx="139">
                  <c:v>55.879599999999996</c:v>
                </c:pt>
                <c:pt idx="140">
                  <c:v>56.087299999999999</c:v>
                </c:pt>
                <c:pt idx="141">
                  <c:v>56.242000000000004</c:v>
                </c:pt>
                <c:pt idx="142">
                  <c:v>56.3461</c:v>
                </c:pt>
                <c:pt idx="143">
                  <c:v>56.337499999999999</c:v>
                </c:pt>
                <c:pt idx="144">
                  <c:v>56.454999999999998</c:v>
                </c:pt>
                <c:pt idx="145">
                  <c:v>56.7256</c:v>
                </c:pt>
                <c:pt idx="146">
                  <c:v>57.158099999999997</c:v>
                </c:pt>
                <c:pt idx="147">
                  <c:v>57.854300000000002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0.40703499999999998</c:v>
                </c:pt>
                <c:pt idx="2">
                  <c:v>0.81492799999999999</c:v>
                </c:pt>
                <c:pt idx="3">
                  <c:v>1.21879</c:v>
                </c:pt>
                <c:pt idx="4">
                  <c:v>1.62277</c:v>
                </c:pt>
                <c:pt idx="5">
                  <c:v>2.0306799999999998</c:v>
                </c:pt>
                <c:pt idx="6">
                  <c:v>2.4385699999999999</c:v>
                </c:pt>
                <c:pt idx="7">
                  <c:v>2.8467799999999999</c:v>
                </c:pt>
                <c:pt idx="8">
                  <c:v>3.2553299999999998</c:v>
                </c:pt>
                <c:pt idx="9">
                  <c:v>3.6553100000000001</c:v>
                </c:pt>
                <c:pt idx="10">
                  <c:v>4.0621900000000002</c:v>
                </c:pt>
                <c:pt idx="11">
                  <c:v>4.4721399999999996</c:v>
                </c:pt>
                <c:pt idx="12">
                  <c:v>4.8789499999999997</c:v>
                </c:pt>
                <c:pt idx="13">
                  <c:v>5.2849300000000001</c:v>
                </c:pt>
                <c:pt idx="14">
                  <c:v>5.6907899999999998</c:v>
                </c:pt>
                <c:pt idx="15">
                  <c:v>6.0957400000000002</c:v>
                </c:pt>
                <c:pt idx="16">
                  <c:v>6.50265</c:v>
                </c:pt>
                <c:pt idx="17">
                  <c:v>6.9046000000000003</c:v>
                </c:pt>
                <c:pt idx="18">
                  <c:v>7.3138199999999998</c:v>
                </c:pt>
                <c:pt idx="19">
                  <c:v>7.7204100000000002</c:v>
                </c:pt>
                <c:pt idx="20">
                  <c:v>8.1244399999999999</c:v>
                </c:pt>
                <c:pt idx="21">
                  <c:v>8.5332600000000003</c:v>
                </c:pt>
                <c:pt idx="22">
                  <c:v>8.9380799999999994</c:v>
                </c:pt>
                <c:pt idx="23">
                  <c:v>9.3430099999999996</c:v>
                </c:pt>
                <c:pt idx="24">
                  <c:v>9.7539099999999994</c:v>
                </c:pt>
                <c:pt idx="25">
                  <c:v>10.158899999999999</c:v>
                </c:pt>
                <c:pt idx="26">
                  <c:v>10.565799999999999</c:v>
                </c:pt>
                <c:pt idx="27">
                  <c:v>10.9697</c:v>
                </c:pt>
                <c:pt idx="28">
                  <c:v>11.3726</c:v>
                </c:pt>
                <c:pt idx="29">
                  <c:v>11.7788</c:v>
                </c:pt>
                <c:pt idx="30">
                  <c:v>12.1877</c:v>
                </c:pt>
                <c:pt idx="31">
                  <c:v>12.5954</c:v>
                </c:pt>
                <c:pt idx="32">
                  <c:v>13.001300000000001</c:v>
                </c:pt>
                <c:pt idx="33">
                  <c:v>13.408799999999999</c:v>
                </c:pt>
                <c:pt idx="34">
                  <c:v>13.815200000000001</c:v>
                </c:pt>
                <c:pt idx="35">
                  <c:v>14.2181</c:v>
                </c:pt>
                <c:pt idx="36">
                  <c:v>14.625400000000001</c:v>
                </c:pt>
                <c:pt idx="37">
                  <c:v>15.0291</c:v>
                </c:pt>
                <c:pt idx="38">
                  <c:v>15.438000000000001</c:v>
                </c:pt>
                <c:pt idx="39">
                  <c:v>15.845700000000001</c:v>
                </c:pt>
                <c:pt idx="40">
                  <c:v>16.249700000000001</c:v>
                </c:pt>
                <c:pt idx="41">
                  <c:v>16.654499999999999</c:v>
                </c:pt>
                <c:pt idx="42">
                  <c:v>17.064499999999999</c:v>
                </c:pt>
                <c:pt idx="43">
                  <c:v>17.471299999999999</c:v>
                </c:pt>
                <c:pt idx="44">
                  <c:v>17.877500000000001</c:v>
                </c:pt>
                <c:pt idx="45">
                  <c:v>18.281300000000002</c:v>
                </c:pt>
                <c:pt idx="46">
                  <c:v>18.688400000000001</c:v>
                </c:pt>
                <c:pt idx="47">
                  <c:v>19.094100000000001</c:v>
                </c:pt>
                <c:pt idx="48">
                  <c:v>19.501000000000001</c:v>
                </c:pt>
                <c:pt idx="49">
                  <c:v>19.906600000000001</c:v>
                </c:pt>
                <c:pt idx="50">
                  <c:v>20.315999999999999</c:v>
                </c:pt>
                <c:pt idx="51">
                  <c:v>20.7226</c:v>
                </c:pt>
                <c:pt idx="52">
                  <c:v>21.128499999999999</c:v>
                </c:pt>
                <c:pt idx="53">
                  <c:v>21.531400000000001</c:v>
                </c:pt>
                <c:pt idx="54">
                  <c:v>21.935400000000001</c:v>
                </c:pt>
                <c:pt idx="55">
                  <c:v>22.346599999999999</c:v>
                </c:pt>
                <c:pt idx="56">
                  <c:v>22.7531</c:v>
                </c:pt>
                <c:pt idx="57">
                  <c:v>23.156600000000001</c:v>
                </c:pt>
                <c:pt idx="58">
                  <c:v>23.563300000000002</c:v>
                </c:pt>
                <c:pt idx="59">
                  <c:v>23.9711</c:v>
                </c:pt>
                <c:pt idx="60">
                  <c:v>24.373000000000001</c:v>
                </c:pt>
                <c:pt idx="61">
                  <c:v>24.7837</c:v>
                </c:pt>
                <c:pt idx="62">
                  <c:v>25.189599999999999</c:v>
                </c:pt>
                <c:pt idx="63">
                  <c:v>25.593599999999999</c:v>
                </c:pt>
                <c:pt idx="64">
                  <c:v>26.002700000000001</c:v>
                </c:pt>
                <c:pt idx="65">
                  <c:v>26.406500000000001</c:v>
                </c:pt>
                <c:pt idx="66">
                  <c:v>26.813600000000001</c:v>
                </c:pt>
                <c:pt idx="67">
                  <c:v>27.220400000000001</c:v>
                </c:pt>
                <c:pt idx="68">
                  <c:v>27.627099999999999</c:v>
                </c:pt>
                <c:pt idx="69">
                  <c:v>28.034099999999999</c:v>
                </c:pt>
                <c:pt idx="70">
                  <c:v>28.440100000000001</c:v>
                </c:pt>
                <c:pt idx="71">
                  <c:v>28.844899999999999</c:v>
                </c:pt>
                <c:pt idx="72">
                  <c:v>29.251899999999999</c:v>
                </c:pt>
                <c:pt idx="73">
                  <c:v>29.659700000000001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67.402299999999997</c:v>
                </c:pt>
                <c:pt idx="1">
                  <c:v>67.279199999999989</c:v>
                </c:pt>
                <c:pt idx="2">
                  <c:v>66.904899999999998</c:v>
                </c:pt>
                <c:pt idx="3">
                  <c:v>66.395400000000009</c:v>
                </c:pt>
                <c:pt idx="4">
                  <c:v>65.844499999999996</c:v>
                </c:pt>
                <c:pt idx="5">
                  <c:v>65.357299999999995</c:v>
                </c:pt>
                <c:pt idx="6">
                  <c:v>64.890199999999993</c:v>
                </c:pt>
                <c:pt idx="7">
                  <c:v>64.297300000000007</c:v>
                </c:pt>
                <c:pt idx="8">
                  <c:v>63.574100000000001</c:v>
                </c:pt>
                <c:pt idx="9">
                  <c:v>62.746900000000004</c:v>
                </c:pt>
                <c:pt idx="10">
                  <c:v>61.838099999999997</c:v>
                </c:pt>
                <c:pt idx="11">
                  <c:v>60.903500000000001</c:v>
                </c:pt>
                <c:pt idx="12">
                  <c:v>60.015500000000003</c:v>
                </c:pt>
                <c:pt idx="13">
                  <c:v>59.122799999999998</c:v>
                </c:pt>
                <c:pt idx="14">
                  <c:v>58.158699999999996</c:v>
                </c:pt>
                <c:pt idx="15">
                  <c:v>57.086800000000004</c:v>
                </c:pt>
                <c:pt idx="16">
                  <c:v>55.917799999999993</c:v>
                </c:pt>
                <c:pt idx="17">
                  <c:v>54.645900000000005</c:v>
                </c:pt>
                <c:pt idx="18">
                  <c:v>53.440399999999997</c:v>
                </c:pt>
                <c:pt idx="19">
                  <c:v>52.549800000000005</c:v>
                </c:pt>
                <c:pt idx="20">
                  <c:v>51.9621</c:v>
                </c:pt>
                <c:pt idx="21">
                  <c:v>51.443099999999994</c:v>
                </c:pt>
                <c:pt idx="22">
                  <c:v>50.958800000000004</c:v>
                </c:pt>
                <c:pt idx="23">
                  <c:v>50.601900000000001</c:v>
                </c:pt>
                <c:pt idx="24">
                  <c:v>50.216000000000008</c:v>
                </c:pt>
                <c:pt idx="25">
                  <c:v>49.872199999999999</c:v>
                </c:pt>
                <c:pt idx="26">
                  <c:v>49.656399999999998</c:v>
                </c:pt>
                <c:pt idx="27">
                  <c:v>49.587399999999995</c:v>
                </c:pt>
                <c:pt idx="28">
                  <c:v>49.576700000000002</c:v>
                </c:pt>
                <c:pt idx="29">
                  <c:v>49.626899999999999</c:v>
                </c:pt>
                <c:pt idx="30">
                  <c:v>49.730400000000003</c:v>
                </c:pt>
                <c:pt idx="31">
                  <c:v>49.788399999999996</c:v>
                </c:pt>
                <c:pt idx="32">
                  <c:v>49.815100000000001</c:v>
                </c:pt>
                <c:pt idx="33">
                  <c:v>49.980400000000003</c:v>
                </c:pt>
                <c:pt idx="34">
                  <c:v>50.353200000000001</c:v>
                </c:pt>
                <c:pt idx="35">
                  <c:v>50.773900000000005</c:v>
                </c:pt>
                <c:pt idx="36">
                  <c:v>51.173900000000003</c:v>
                </c:pt>
                <c:pt idx="37">
                  <c:v>51.538600000000002</c:v>
                </c:pt>
                <c:pt idx="38">
                  <c:v>51.870199999999997</c:v>
                </c:pt>
                <c:pt idx="39">
                  <c:v>52.192799999999991</c:v>
                </c:pt>
                <c:pt idx="40">
                  <c:v>52.437599999999996</c:v>
                </c:pt>
                <c:pt idx="41">
                  <c:v>52.689500000000002</c:v>
                </c:pt>
                <c:pt idx="42">
                  <c:v>53.012899999999995</c:v>
                </c:pt>
                <c:pt idx="43">
                  <c:v>53.25</c:v>
                </c:pt>
                <c:pt idx="44">
                  <c:v>53.410699999999999</c:v>
                </c:pt>
                <c:pt idx="45">
                  <c:v>53.647999999999996</c:v>
                </c:pt>
                <c:pt idx="46">
                  <c:v>53.857299999999995</c:v>
                </c:pt>
                <c:pt idx="47">
                  <c:v>53.979200000000006</c:v>
                </c:pt>
                <c:pt idx="48">
                  <c:v>54.121900000000004</c:v>
                </c:pt>
                <c:pt idx="49">
                  <c:v>54.343799999999995</c:v>
                </c:pt>
                <c:pt idx="50">
                  <c:v>54.630900000000004</c:v>
                </c:pt>
                <c:pt idx="51">
                  <c:v>54.724200000000003</c:v>
                </c:pt>
                <c:pt idx="52">
                  <c:v>54.778499999999994</c:v>
                </c:pt>
                <c:pt idx="53">
                  <c:v>54.797899999999998</c:v>
                </c:pt>
                <c:pt idx="54">
                  <c:v>54.798999999999999</c:v>
                </c:pt>
                <c:pt idx="55">
                  <c:v>54.791500000000006</c:v>
                </c:pt>
                <c:pt idx="56">
                  <c:v>54.772100000000002</c:v>
                </c:pt>
                <c:pt idx="57">
                  <c:v>54.690899999999999</c:v>
                </c:pt>
                <c:pt idx="58">
                  <c:v>54.5443</c:v>
                </c:pt>
                <c:pt idx="59">
                  <c:v>54.3718</c:v>
                </c:pt>
                <c:pt idx="60">
                  <c:v>54.173499999999997</c:v>
                </c:pt>
                <c:pt idx="61">
                  <c:v>53.950200000000002</c:v>
                </c:pt>
                <c:pt idx="62">
                  <c:v>53.73</c:v>
                </c:pt>
                <c:pt idx="63">
                  <c:v>53.515100000000004</c:v>
                </c:pt>
                <c:pt idx="64">
                  <c:v>53.283800000000006</c:v>
                </c:pt>
                <c:pt idx="65">
                  <c:v>53.018200000000007</c:v>
                </c:pt>
                <c:pt idx="66">
                  <c:v>52.730900000000005</c:v>
                </c:pt>
                <c:pt idx="67">
                  <c:v>52.488599999999998</c:v>
                </c:pt>
                <c:pt idx="68">
                  <c:v>52.296900000000001</c:v>
                </c:pt>
                <c:pt idx="69">
                  <c:v>52.166400000000003</c:v>
                </c:pt>
                <c:pt idx="70">
                  <c:v>52.033799999999999</c:v>
                </c:pt>
                <c:pt idx="71">
                  <c:v>51.948099999999997</c:v>
                </c:pt>
                <c:pt idx="72">
                  <c:v>51.930600000000005</c:v>
                </c:pt>
                <c:pt idx="73">
                  <c:v>51.936000000000007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29.659700000000001</c:v>
                </c:pt>
                <c:pt idx="1">
                  <c:v>30.065999999999999</c:v>
                </c:pt>
                <c:pt idx="2">
                  <c:v>30.6433</c:v>
                </c:pt>
                <c:pt idx="3">
                  <c:v>31.0181</c:v>
                </c:pt>
                <c:pt idx="4">
                  <c:v>31.3931</c:v>
                </c:pt>
                <c:pt idx="5">
                  <c:v>31.772099999999998</c:v>
                </c:pt>
                <c:pt idx="6">
                  <c:v>32.158200000000001</c:v>
                </c:pt>
                <c:pt idx="7">
                  <c:v>32.564999999999998</c:v>
                </c:pt>
                <c:pt idx="8">
                  <c:v>32.9709</c:v>
                </c:pt>
                <c:pt idx="9">
                  <c:v>33.375900000000001</c:v>
                </c:pt>
                <c:pt idx="10">
                  <c:v>33.782800000000002</c:v>
                </c:pt>
                <c:pt idx="11">
                  <c:v>34.188600000000001</c:v>
                </c:pt>
                <c:pt idx="12">
                  <c:v>34.593600000000002</c:v>
                </c:pt>
                <c:pt idx="13">
                  <c:v>35.000500000000002</c:v>
                </c:pt>
                <c:pt idx="14">
                  <c:v>35.408999999999999</c:v>
                </c:pt>
                <c:pt idx="15">
                  <c:v>35.813699999999997</c:v>
                </c:pt>
                <c:pt idx="16">
                  <c:v>36.219299999999997</c:v>
                </c:pt>
                <c:pt idx="17">
                  <c:v>36.626399999999997</c:v>
                </c:pt>
                <c:pt idx="18">
                  <c:v>37.030900000000003</c:v>
                </c:pt>
                <c:pt idx="19">
                  <c:v>37.438299999999998</c:v>
                </c:pt>
                <c:pt idx="20">
                  <c:v>37.8429</c:v>
                </c:pt>
                <c:pt idx="21">
                  <c:v>38.250799999999998</c:v>
                </c:pt>
                <c:pt idx="22">
                  <c:v>38.655799999999999</c:v>
                </c:pt>
                <c:pt idx="23">
                  <c:v>39.062899999999999</c:v>
                </c:pt>
                <c:pt idx="24">
                  <c:v>39.470599999999997</c:v>
                </c:pt>
                <c:pt idx="25">
                  <c:v>39.877800000000001</c:v>
                </c:pt>
                <c:pt idx="26">
                  <c:v>40.2834</c:v>
                </c:pt>
                <c:pt idx="27">
                  <c:v>40.689500000000002</c:v>
                </c:pt>
                <c:pt idx="28">
                  <c:v>41.093299999999999</c:v>
                </c:pt>
                <c:pt idx="29">
                  <c:v>41.498100000000001</c:v>
                </c:pt>
                <c:pt idx="30">
                  <c:v>41.9054</c:v>
                </c:pt>
                <c:pt idx="31">
                  <c:v>42.314999999999998</c:v>
                </c:pt>
                <c:pt idx="32">
                  <c:v>42.722000000000001</c:v>
                </c:pt>
                <c:pt idx="33">
                  <c:v>43.126800000000003</c:v>
                </c:pt>
                <c:pt idx="34">
                  <c:v>43.531799999999997</c:v>
                </c:pt>
                <c:pt idx="35">
                  <c:v>43.935600000000001</c:v>
                </c:pt>
                <c:pt idx="36">
                  <c:v>44.3416</c:v>
                </c:pt>
                <c:pt idx="37">
                  <c:v>44.753500000000003</c:v>
                </c:pt>
                <c:pt idx="38">
                  <c:v>45.157499999999999</c:v>
                </c:pt>
                <c:pt idx="39">
                  <c:v>45.561300000000003</c:v>
                </c:pt>
                <c:pt idx="40">
                  <c:v>45.968400000000003</c:v>
                </c:pt>
                <c:pt idx="41">
                  <c:v>46.371899999999997</c:v>
                </c:pt>
                <c:pt idx="42">
                  <c:v>46.783099999999997</c:v>
                </c:pt>
                <c:pt idx="43">
                  <c:v>47.186999999999998</c:v>
                </c:pt>
                <c:pt idx="44">
                  <c:v>47.5974</c:v>
                </c:pt>
                <c:pt idx="45">
                  <c:v>48.003700000000002</c:v>
                </c:pt>
                <c:pt idx="46">
                  <c:v>48.407800000000002</c:v>
                </c:pt>
                <c:pt idx="47">
                  <c:v>48.811500000000002</c:v>
                </c:pt>
                <c:pt idx="48">
                  <c:v>49.218600000000002</c:v>
                </c:pt>
                <c:pt idx="49">
                  <c:v>49.623199999999997</c:v>
                </c:pt>
                <c:pt idx="50">
                  <c:v>50.034999999999997</c:v>
                </c:pt>
                <c:pt idx="51">
                  <c:v>50.440899999999999</c:v>
                </c:pt>
                <c:pt idx="52">
                  <c:v>50.846200000000003</c:v>
                </c:pt>
                <c:pt idx="53">
                  <c:v>51.249099999999999</c:v>
                </c:pt>
                <c:pt idx="54">
                  <c:v>51.658900000000003</c:v>
                </c:pt>
                <c:pt idx="55">
                  <c:v>52.064300000000003</c:v>
                </c:pt>
                <c:pt idx="56">
                  <c:v>52.471699999999998</c:v>
                </c:pt>
                <c:pt idx="57">
                  <c:v>52.872700000000002</c:v>
                </c:pt>
                <c:pt idx="58">
                  <c:v>53.283700000000003</c:v>
                </c:pt>
                <c:pt idx="59">
                  <c:v>53.687600000000003</c:v>
                </c:pt>
                <c:pt idx="60">
                  <c:v>54.092300000000002</c:v>
                </c:pt>
                <c:pt idx="61">
                  <c:v>54.501399999999997</c:v>
                </c:pt>
                <c:pt idx="62">
                  <c:v>54.909199999999998</c:v>
                </c:pt>
                <c:pt idx="63">
                  <c:v>55.3142</c:v>
                </c:pt>
                <c:pt idx="64">
                  <c:v>55.719000000000001</c:v>
                </c:pt>
                <c:pt idx="65">
                  <c:v>56.125900000000001</c:v>
                </c:pt>
                <c:pt idx="66">
                  <c:v>56.531999999999996</c:v>
                </c:pt>
                <c:pt idx="67">
                  <c:v>56.940800000000003</c:v>
                </c:pt>
                <c:pt idx="68">
                  <c:v>57.347000000000001</c:v>
                </c:pt>
                <c:pt idx="69">
                  <c:v>57.749200000000002</c:v>
                </c:pt>
                <c:pt idx="70">
                  <c:v>58.1556</c:v>
                </c:pt>
                <c:pt idx="71">
                  <c:v>58.564700000000002</c:v>
                </c:pt>
                <c:pt idx="72">
                  <c:v>58.972299999999997</c:v>
                </c:pt>
                <c:pt idx="73">
                  <c:v>59.377299999999998</c:v>
                </c:pt>
                <c:pt idx="74">
                  <c:v>59.782200000000003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51.936000000000007</c:v>
                </c:pt>
                <c:pt idx="1">
                  <c:v>51.980400000000003</c:v>
                </c:pt>
                <c:pt idx="2">
                  <c:v>52.1374</c:v>
                </c:pt>
                <c:pt idx="3">
                  <c:v>52.271999999999998</c:v>
                </c:pt>
                <c:pt idx="4">
                  <c:v>52.401600000000002</c:v>
                </c:pt>
                <c:pt idx="5">
                  <c:v>52.557600000000008</c:v>
                </c:pt>
                <c:pt idx="6">
                  <c:v>52.745699999999992</c:v>
                </c:pt>
                <c:pt idx="7">
                  <c:v>52.904799999999994</c:v>
                </c:pt>
                <c:pt idx="8">
                  <c:v>53.017499999999998</c:v>
                </c:pt>
                <c:pt idx="9">
                  <c:v>53.1967</c:v>
                </c:pt>
                <c:pt idx="10">
                  <c:v>53.366</c:v>
                </c:pt>
                <c:pt idx="11">
                  <c:v>53.519599999999997</c:v>
                </c:pt>
                <c:pt idx="12">
                  <c:v>53.694200000000002</c:v>
                </c:pt>
                <c:pt idx="13">
                  <c:v>53.896100000000004</c:v>
                </c:pt>
                <c:pt idx="14">
                  <c:v>54.144499999999994</c:v>
                </c:pt>
                <c:pt idx="15">
                  <c:v>54.282699999999991</c:v>
                </c:pt>
                <c:pt idx="16">
                  <c:v>54.323399999999999</c:v>
                </c:pt>
                <c:pt idx="17">
                  <c:v>54.337299999999999</c:v>
                </c:pt>
                <c:pt idx="18">
                  <c:v>54.312899999999999</c:v>
                </c:pt>
                <c:pt idx="19">
                  <c:v>54.237500000000004</c:v>
                </c:pt>
                <c:pt idx="20">
                  <c:v>54.144199999999998</c:v>
                </c:pt>
                <c:pt idx="21">
                  <c:v>54.019600000000004</c:v>
                </c:pt>
                <c:pt idx="22">
                  <c:v>53.884200000000007</c:v>
                </c:pt>
                <c:pt idx="23">
                  <c:v>53.664199999999994</c:v>
                </c:pt>
                <c:pt idx="24">
                  <c:v>53.380200000000002</c:v>
                </c:pt>
                <c:pt idx="25">
                  <c:v>53.066199999999995</c:v>
                </c:pt>
                <c:pt idx="26">
                  <c:v>52.719700000000003</c:v>
                </c:pt>
                <c:pt idx="27">
                  <c:v>52.3401</c:v>
                </c:pt>
                <c:pt idx="28">
                  <c:v>51.903299999999994</c:v>
                </c:pt>
                <c:pt idx="29">
                  <c:v>51.393900000000002</c:v>
                </c:pt>
                <c:pt idx="30">
                  <c:v>50.947400000000002</c:v>
                </c:pt>
                <c:pt idx="31">
                  <c:v>50.601500000000001</c:v>
                </c:pt>
                <c:pt idx="32">
                  <c:v>50.2791</c:v>
                </c:pt>
                <c:pt idx="33">
                  <c:v>50.1038</c:v>
                </c:pt>
                <c:pt idx="34">
                  <c:v>49.952300000000001</c:v>
                </c:pt>
                <c:pt idx="35">
                  <c:v>49.712499999999999</c:v>
                </c:pt>
                <c:pt idx="36">
                  <c:v>49.467700000000001</c:v>
                </c:pt>
                <c:pt idx="37">
                  <c:v>49.2224</c:v>
                </c:pt>
                <c:pt idx="38">
                  <c:v>48.947699999999998</c:v>
                </c:pt>
                <c:pt idx="39">
                  <c:v>48.644599999999997</c:v>
                </c:pt>
                <c:pt idx="40">
                  <c:v>48.478200000000001</c:v>
                </c:pt>
                <c:pt idx="41">
                  <c:v>48.337000000000003</c:v>
                </c:pt>
                <c:pt idx="42">
                  <c:v>48.151200000000003</c:v>
                </c:pt>
                <c:pt idx="43">
                  <c:v>47.999199999999995</c:v>
                </c:pt>
                <c:pt idx="44">
                  <c:v>47.8279</c:v>
                </c:pt>
                <c:pt idx="45">
                  <c:v>47.756500000000003</c:v>
                </c:pt>
                <c:pt idx="46">
                  <c:v>47.735699999999994</c:v>
                </c:pt>
                <c:pt idx="47">
                  <c:v>47.7943</c:v>
                </c:pt>
                <c:pt idx="48">
                  <c:v>47.939500000000002</c:v>
                </c:pt>
                <c:pt idx="49">
                  <c:v>48.207699999999996</c:v>
                </c:pt>
                <c:pt idx="50">
                  <c:v>48.639800000000001</c:v>
                </c:pt>
                <c:pt idx="51">
                  <c:v>48.935499999999998</c:v>
                </c:pt>
                <c:pt idx="52">
                  <c:v>49.325200000000002</c:v>
                </c:pt>
                <c:pt idx="53">
                  <c:v>49.816700000000004</c:v>
                </c:pt>
                <c:pt idx="54">
                  <c:v>50.479399999999998</c:v>
                </c:pt>
                <c:pt idx="55">
                  <c:v>51.189900000000002</c:v>
                </c:pt>
                <c:pt idx="56">
                  <c:v>51.855200000000004</c:v>
                </c:pt>
                <c:pt idx="57">
                  <c:v>52.555799999999998</c:v>
                </c:pt>
                <c:pt idx="58">
                  <c:v>53.152100000000004</c:v>
                </c:pt>
                <c:pt idx="59">
                  <c:v>53.633499999999998</c:v>
                </c:pt>
                <c:pt idx="60">
                  <c:v>54.133600000000001</c:v>
                </c:pt>
                <c:pt idx="61">
                  <c:v>54.473199999999999</c:v>
                </c:pt>
                <c:pt idx="62">
                  <c:v>54.729399999999998</c:v>
                </c:pt>
                <c:pt idx="63">
                  <c:v>55.027899999999995</c:v>
                </c:pt>
                <c:pt idx="64">
                  <c:v>55.339799999999997</c:v>
                </c:pt>
                <c:pt idx="65">
                  <c:v>55.598899999999993</c:v>
                </c:pt>
                <c:pt idx="66">
                  <c:v>55.879599999999996</c:v>
                </c:pt>
                <c:pt idx="67">
                  <c:v>56.087299999999999</c:v>
                </c:pt>
                <c:pt idx="68">
                  <c:v>56.242000000000004</c:v>
                </c:pt>
                <c:pt idx="69">
                  <c:v>56.3461</c:v>
                </c:pt>
                <c:pt idx="70">
                  <c:v>56.337499999999999</c:v>
                </c:pt>
                <c:pt idx="71">
                  <c:v>56.454999999999998</c:v>
                </c:pt>
                <c:pt idx="72">
                  <c:v>56.7256</c:v>
                </c:pt>
                <c:pt idx="73">
                  <c:v>57.158099999999997</c:v>
                </c:pt>
                <c:pt idx="74">
                  <c:v>57.854300000000002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14.945550000000001</c:v>
                </c:pt>
                <c:pt idx="1">
                  <c:v>44.836650000000006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54.864106756756769</c:v>
                </c:pt>
                <c:pt idx="1">
                  <c:v>52.296231081081089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33.546599999999998</c:v>
                </c:pt>
                <c:pt idx="1">
                  <c:v>23.289000000000001</c:v>
                </c:pt>
                <c:pt idx="2">
                  <c:v>21.134799999999998</c:v>
                </c:pt>
                <c:pt idx="3">
                  <c:v>25.987300000000001</c:v>
                </c:pt>
                <c:pt idx="4">
                  <c:v>66.848799999999997</c:v>
                </c:pt>
                <c:pt idx="5">
                  <c:v>82.276899999999998</c:v>
                </c:pt>
                <c:pt idx="6">
                  <c:v>20.0791</c:v>
                </c:pt>
                <c:pt idx="7">
                  <c:v>73.354399999999998</c:v>
                </c:pt>
                <c:pt idx="8">
                  <c:v>18.995200000000001</c:v>
                </c:pt>
                <c:pt idx="9">
                  <c:v>21.960599999999999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39.3964</c:v>
                </c:pt>
                <c:pt idx="1">
                  <c:v>20.455500000000001</c:v>
                </c:pt>
                <c:pt idx="2">
                  <c:v>21.7242</c:v>
                </c:pt>
                <c:pt idx="3">
                  <c:v>27.906300000000002</c:v>
                </c:pt>
                <c:pt idx="4">
                  <c:v>67.167199999999994</c:v>
                </c:pt>
                <c:pt idx="5">
                  <c:v>81.515900000000002</c:v>
                </c:pt>
                <c:pt idx="6">
                  <c:v>34.692500000000003</c:v>
                </c:pt>
                <c:pt idx="7">
                  <c:v>73.815600000000003</c:v>
                </c:pt>
                <c:pt idx="8">
                  <c:v>20.503</c:v>
                </c:pt>
                <c:pt idx="9">
                  <c:v>38.189700000000002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0.56616028112042038</c:v>
                </c:pt>
                <c:pt idx="1">
                  <c:v>0.24264889007150553</c:v>
                </c:pt>
                <c:pt idx="2">
                  <c:v>0.19119082880807414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108</c:v>
                </c:pt>
                <c:pt idx="7">
                  <c:v>0</c:v>
                </c:pt>
                <c:pt idx="8">
                  <c:v>491</c:v>
                </c:pt>
                <c:pt idx="9">
                  <c:v>0</c:v>
                </c:pt>
                <c:pt idx="10">
                  <c:v>0</c:v>
                </c:pt>
                <c:pt idx="11">
                  <c:v>1449</c:v>
                </c:pt>
                <c:pt idx="12">
                  <c:v>0</c:v>
                </c:pt>
                <c:pt idx="13">
                  <c:v>2620</c:v>
                </c:pt>
                <c:pt idx="14">
                  <c:v>0</c:v>
                </c:pt>
                <c:pt idx="15">
                  <c:v>0</c:v>
                </c:pt>
                <c:pt idx="16">
                  <c:v>6376</c:v>
                </c:pt>
                <c:pt idx="17">
                  <c:v>0</c:v>
                </c:pt>
                <c:pt idx="18">
                  <c:v>0</c:v>
                </c:pt>
                <c:pt idx="19">
                  <c:v>8492</c:v>
                </c:pt>
                <c:pt idx="20">
                  <c:v>0</c:v>
                </c:pt>
                <c:pt idx="21">
                  <c:v>12704</c:v>
                </c:pt>
                <c:pt idx="22">
                  <c:v>0</c:v>
                </c:pt>
                <c:pt idx="23">
                  <c:v>0</c:v>
                </c:pt>
                <c:pt idx="24">
                  <c:v>16074</c:v>
                </c:pt>
                <c:pt idx="25">
                  <c:v>0</c:v>
                </c:pt>
                <c:pt idx="26">
                  <c:v>20951</c:v>
                </c:pt>
                <c:pt idx="27">
                  <c:v>0</c:v>
                </c:pt>
                <c:pt idx="28">
                  <c:v>0</c:v>
                </c:pt>
                <c:pt idx="29">
                  <c:v>27720</c:v>
                </c:pt>
                <c:pt idx="30">
                  <c:v>0</c:v>
                </c:pt>
                <c:pt idx="31">
                  <c:v>29282</c:v>
                </c:pt>
                <c:pt idx="32">
                  <c:v>0</c:v>
                </c:pt>
                <c:pt idx="33">
                  <c:v>0</c:v>
                </c:pt>
                <c:pt idx="34">
                  <c:v>42096</c:v>
                </c:pt>
                <c:pt idx="35">
                  <c:v>0</c:v>
                </c:pt>
                <c:pt idx="36">
                  <c:v>0</c:v>
                </c:pt>
                <c:pt idx="37">
                  <c:v>44908</c:v>
                </c:pt>
                <c:pt idx="38">
                  <c:v>0</c:v>
                </c:pt>
                <c:pt idx="39">
                  <c:v>52503</c:v>
                </c:pt>
                <c:pt idx="40">
                  <c:v>0</c:v>
                </c:pt>
                <c:pt idx="41">
                  <c:v>0</c:v>
                </c:pt>
                <c:pt idx="42">
                  <c:v>60530</c:v>
                </c:pt>
                <c:pt idx="43">
                  <c:v>0</c:v>
                </c:pt>
                <c:pt idx="44">
                  <c:v>74585</c:v>
                </c:pt>
                <c:pt idx="45">
                  <c:v>0</c:v>
                </c:pt>
                <c:pt idx="46">
                  <c:v>0</c:v>
                </c:pt>
                <c:pt idx="47">
                  <c:v>65679</c:v>
                </c:pt>
                <c:pt idx="48">
                  <c:v>0</c:v>
                </c:pt>
                <c:pt idx="49">
                  <c:v>61873</c:v>
                </c:pt>
                <c:pt idx="50">
                  <c:v>0</c:v>
                </c:pt>
                <c:pt idx="51">
                  <c:v>0</c:v>
                </c:pt>
                <c:pt idx="52">
                  <c:v>63744</c:v>
                </c:pt>
                <c:pt idx="53">
                  <c:v>0</c:v>
                </c:pt>
                <c:pt idx="54">
                  <c:v>0</c:v>
                </c:pt>
                <c:pt idx="55">
                  <c:v>61690</c:v>
                </c:pt>
                <c:pt idx="56">
                  <c:v>0</c:v>
                </c:pt>
                <c:pt idx="57">
                  <c:v>72068</c:v>
                </c:pt>
                <c:pt idx="58">
                  <c:v>0</c:v>
                </c:pt>
                <c:pt idx="59">
                  <c:v>0</c:v>
                </c:pt>
                <c:pt idx="60">
                  <c:v>65872</c:v>
                </c:pt>
                <c:pt idx="61">
                  <c:v>0</c:v>
                </c:pt>
                <c:pt idx="62">
                  <c:v>59767</c:v>
                </c:pt>
                <c:pt idx="63">
                  <c:v>0</c:v>
                </c:pt>
                <c:pt idx="64">
                  <c:v>0</c:v>
                </c:pt>
                <c:pt idx="65">
                  <c:v>55046</c:v>
                </c:pt>
                <c:pt idx="66">
                  <c:v>0</c:v>
                </c:pt>
                <c:pt idx="67">
                  <c:v>55676</c:v>
                </c:pt>
                <c:pt idx="68">
                  <c:v>0</c:v>
                </c:pt>
                <c:pt idx="69">
                  <c:v>0</c:v>
                </c:pt>
                <c:pt idx="70">
                  <c:v>56467</c:v>
                </c:pt>
                <c:pt idx="71">
                  <c:v>0</c:v>
                </c:pt>
                <c:pt idx="72">
                  <c:v>0</c:v>
                </c:pt>
                <c:pt idx="73">
                  <c:v>59736</c:v>
                </c:pt>
                <c:pt idx="74">
                  <c:v>0</c:v>
                </c:pt>
                <c:pt idx="75">
                  <c:v>63187</c:v>
                </c:pt>
                <c:pt idx="76">
                  <c:v>0</c:v>
                </c:pt>
                <c:pt idx="77">
                  <c:v>0</c:v>
                </c:pt>
                <c:pt idx="78">
                  <c:v>59994</c:v>
                </c:pt>
                <c:pt idx="79">
                  <c:v>0</c:v>
                </c:pt>
                <c:pt idx="80">
                  <c:v>67653</c:v>
                </c:pt>
                <c:pt idx="81">
                  <c:v>0</c:v>
                </c:pt>
                <c:pt idx="82">
                  <c:v>0</c:v>
                </c:pt>
                <c:pt idx="83">
                  <c:v>67708</c:v>
                </c:pt>
                <c:pt idx="84">
                  <c:v>0</c:v>
                </c:pt>
                <c:pt idx="85">
                  <c:v>0</c:v>
                </c:pt>
                <c:pt idx="86">
                  <c:v>66476</c:v>
                </c:pt>
                <c:pt idx="87">
                  <c:v>0</c:v>
                </c:pt>
                <c:pt idx="88">
                  <c:v>65037</c:v>
                </c:pt>
                <c:pt idx="89">
                  <c:v>0</c:v>
                </c:pt>
                <c:pt idx="90">
                  <c:v>0</c:v>
                </c:pt>
                <c:pt idx="91">
                  <c:v>67442</c:v>
                </c:pt>
                <c:pt idx="92">
                  <c:v>0</c:v>
                </c:pt>
                <c:pt idx="93">
                  <c:v>69063</c:v>
                </c:pt>
                <c:pt idx="94">
                  <c:v>0</c:v>
                </c:pt>
                <c:pt idx="95">
                  <c:v>0</c:v>
                </c:pt>
                <c:pt idx="96">
                  <c:v>72355</c:v>
                </c:pt>
                <c:pt idx="97">
                  <c:v>0</c:v>
                </c:pt>
                <c:pt idx="98">
                  <c:v>81161</c:v>
                </c:pt>
                <c:pt idx="99">
                  <c:v>0</c:v>
                </c:pt>
                <c:pt idx="100">
                  <c:v>0</c:v>
                </c:pt>
                <c:pt idx="101">
                  <c:v>87066</c:v>
                </c:pt>
                <c:pt idx="102">
                  <c:v>0</c:v>
                </c:pt>
                <c:pt idx="103">
                  <c:v>0</c:v>
                </c:pt>
                <c:pt idx="104">
                  <c:v>83089</c:v>
                </c:pt>
                <c:pt idx="105">
                  <c:v>0</c:v>
                </c:pt>
                <c:pt idx="106">
                  <c:v>85295</c:v>
                </c:pt>
                <c:pt idx="107">
                  <c:v>0</c:v>
                </c:pt>
                <c:pt idx="108">
                  <c:v>0</c:v>
                </c:pt>
                <c:pt idx="109">
                  <c:v>81936</c:v>
                </c:pt>
                <c:pt idx="110">
                  <c:v>0</c:v>
                </c:pt>
                <c:pt idx="111">
                  <c:v>82623</c:v>
                </c:pt>
                <c:pt idx="112">
                  <c:v>0</c:v>
                </c:pt>
                <c:pt idx="113">
                  <c:v>0</c:v>
                </c:pt>
                <c:pt idx="114">
                  <c:v>86230</c:v>
                </c:pt>
                <c:pt idx="115">
                  <c:v>0</c:v>
                </c:pt>
                <c:pt idx="116">
                  <c:v>75427</c:v>
                </c:pt>
                <c:pt idx="117">
                  <c:v>0</c:v>
                </c:pt>
                <c:pt idx="118">
                  <c:v>0</c:v>
                </c:pt>
                <c:pt idx="119">
                  <c:v>79668</c:v>
                </c:pt>
                <c:pt idx="120">
                  <c:v>0</c:v>
                </c:pt>
                <c:pt idx="121">
                  <c:v>0</c:v>
                </c:pt>
                <c:pt idx="122">
                  <c:v>76386</c:v>
                </c:pt>
                <c:pt idx="123">
                  <c:v>0</c:v>
                </c:pt>
                <c:pt idx="124">
                  <c:v>74199</c:v>
                </c:pt>
                <c:pt idx="125">
                  <c:v>0</c:v>
                </c:pt>
                <c:pt idx="126">
                  <c:v>0</c:v>
                </c:pt>
                <c:pt idx="127">
                  <c:v>67064</c:v>
                </c:pt>
                <c:pt idx="128">
                  <c:v>0</c:v>
                </c:pt>
                <c:pt idx="129">
                  <c:v>53223</c:v>
                </c:pt>
                <c:pt idx="130">
                  <c:v>0</c:v>
                </c:pt>
                <c:pt idx="131">
                  <c:v>0</c:v>
                </c:pt>
                <c:pt idx="132">
                  <c:v>45201</c:v>
                </c:pt>
                <c:pt idx="133">
                  <c:v>0</c:v>
                </c:pt>
                <c:pt idx="134">
                  <c:v>36848</c:v>
                </c:pt>
                <c:pt idx="135">
                  <c:v>0</c:v>
                </c:pt>
                <c:pt idx="136">
                  <c:v>0</c:v>
                </c:pt>
                <c:pt idx="137">
                  <c:v>30653</c:v>
                </c:pt>
                <c:pt idx="138">
                  <c:v>0</c:v>
                </c:pt>
                <c:pt idx="139">
                  <c:v>0</c:v>
                </c:pt>
                <c:pt idx="140">
                  <c:v>21615</c:v>
                </c:pt>
                <c:pt idx="141">
                  <c:v>0</c:v>
                </c:pt>
                <c:pt idx="142">
                  <c:v>17372</c:v>
                </c:pt>
                <c:pt idx="143">
                  <c:v>0</c:v>
                </c:pt>
                <c:pt idx="144">
                  <c:v>0</c:v>
                </c:pt>
                <c:pt idx="145">
                  <c:v>11043</c:v>
                </c:pt>
                <c:pt idx="146">
                  <c:v>0</c:v>
                </c:pt>
                <c:pt idx="147">
                  <c:v>7944</c:v>
                </c:pt>
                <c:pt idx="148">
                  <c:v>0</c:v>
                </c:pt>
                <c:pt idx="149">
                  <c:v>0</c:v>
                </c:pt>
                <c:pt idx="150">
                  <c:v>5864</c:v>
                </c:pt>
                <c:pt idx="151">
                  <c:v>0</c:v>
                </c:pt>
                <c:pt idx="152">
                  <c:v>5000</c:v>
                </c:pt>
                <c:pt idx="153">
                  <c:v>0</c:v>
                </c:pt>
                <c:pt idx="154">
                  <c:v>0</c:v>
                </c:pt>
                <c:pt idx="155">
                  <c:v>2905</c:v>
                </c:pt>
                <c:pt idx="156">
                  <c:v>0</c:v>
                </c:pt>
                <c:pt idx="157">
                  <c:v>0</c:v>
                </c:pt>
                <c:pt idx="158">
                  <c:v>2055</c:v>
                </c:pt>
                <c:pt idx="159">
                  <c:v>0</c:v>
                </c:pt>
                <c:pt idx="160">
                  <c:v>707</c:v>
                </c:pt>
                <c:pt idx="161">
                  <c:v>0</c:v>
                </c:pt>
                <c:pt idx="162">
                  <c:v>0</c:v>
                </c:pt>
                <c:pt idx="163">
                  <c:v>267</c:v>
                </c:pt>
                <c:pt idx="164">
                  <c:v>0</c:v>
                </c:pt>
                <c:pt idx="165">
                  <c:v>138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</c:v>
                </c:pt>
                <c:pt idx="7">
                  <c:v>0</c:v>
                </c:pt>
                <c:pt idx="8">
                  <c:v>252</c:v>
                </c:pt>
                <c:pt idx="9">
                  <c:v>0</c:v>
                </c:pt>
                <c:pt idx="10">
                  <c:v>0</c:v>
                </c:pt>
                <c:pt idx="11">
                  <c:v>111</c:v>
                </c:pt>
                <c:pt idx="12">
                  <c:v>0</c:v>
                </c:pt>
                <c:pt idx="13">
                  <c:v>342</c:v>
                </c:pt>
                <c:pt idx="14">
                  <c:v>0</c:v>
                </c:pt>
                <c:pt idx="15">
                  <c:v>0</c:v>
                </c:pt>
                <c:pt idx="16">
                  <c:v>150</c:v>
                </c:pt>
                <c:pt idx="17">
                  <c:v>0</c:v>
                </c:pt>
                <c:pt idx="18">
                  <c:v>0</c:v>
                </c:pt>
                <c:pt idx="19">
                  <c:v>358</c:v>
                </c:pt>
                <c:pt idx="20">
                  <c:v>0</c:v>
                </c:pt>
                <c:pt idx="21">
                  <c:v>850</c:v>
                </c:pt>
                <c:pt idx="22">
                  <c:v>0</c:v>
                </c:pt>
                <c:pt idx="23">
                  <c:v>0</c:v>
                </c:pt>
                <c:pt idx="24">
                  <c:v>645</c:v>
                </c:pt>
                <c:pt idx="25">
                  <c:v>0</c:v>
                </c:pt>
                <c:pt idx="26">
                  <c:v>796</c:v>
                </c:pt>
                <c:pt idx="27">
                  <c:v>0</c:v>
                </c:pt>
                <c:pt idx="28">
                  <c:v>0</c:v>
                </c:pt>
                <c:pt idx="29">
                  <c:v>1478</c:v>
                </c:pt>
                <c:pt idx="30">
                  <c:v>0</c:v>
                </c:pt>
                <c:pt idx="31">
                  <c:v>2465</c:v>
                </c:pt>
                <c:pt idx="32">
                  <c:v>0</c:v>
                </c:pt>
                <c:pt idx="33">
                  <c:v>0</c:v>
                </c:pt>
                <c:pt idx="34">
                  <c:v>4145</c:v>
                </c:pt>
                <c:pt idx="35">
                  <c:v>0</c:v>
                </c:pt>
                <c:pt idx="36">
                  <c:v>0</c:v>
                </c:pt>
                <c:pt idx="37">
                  <c:v>4163</c:v>
                </c:pt>
                <c:pt idx="38">
                  <c:v>0</c:v>
                </c:pt>
                <c:pt idx="39">
                  <c:v>5917</c:v>
                </c:pt>
                <c:pt idx="40">
                  <c:v>0</c:v>
                </c:pt>
                <c:pt idx="41">
                  <c:v>0</c:v>
                </c:pt>
                <c:pt idx="42">
                  <c:v>6198</c:v>
                </c:pt>
                <c:pt idx="43">
                  <c:v>0</c:v>
                </c:pt>
                <c:pt idx="44">
                  <c:v>8756</c:v>
                </c:pt>
                <c:pt idx="45">
                  <c:v>0</c:v>
                </c:pt>
                <c:pt idx="46">
                  <c:v>0</c:v>
                </c:pt>
                <c:pt idx="47">
                  <c:v>9522</c:v>
                </c:pt>
                <c:pt idx="48">
                  <c:v>0</c:v>
                </c:pt>
                <c:pt idx="49">
                  <c:v>13333</c:v>
                </c:pt>
                <c:pt idx="50">
                  <c:v>0</c:v>
                </c:pt>
                <c:pt idx="51">
                  <c:v>0</c:v>
                </c:pt>
                <c:pt idx="52">
                  <c:v>17308</c:v>
                </c:pt>
                <c:pt idx="53">
                  <c:v>0</c:v>
                </c:pt>
                <c:pt idx="54">
                  <c:v>0</c:v>
                </c:pt>
                <c:pt idx="55">
                  <c:v>21481</c:v>
                </c:pt>
                <c:pt idx="56">
                  <c:v>0</c:v>
                </c:pt>
                <c:pt idx="57">
                  <c:v>28717</c:v>
                </c:pt>
                <c:pt idx="58">
                  <c:v>0</c:v>
                </c:pt>
                <c:pt idx="59">
                  <c:v>0</c:v>
                </c:pt>
                <c:pt idx="60">
                  <c:v>33354</c:v>
                </c:pt>
                <c:pt idx="61">
                  <c:v>0</c:v>
                </c:pt>
                <c:pt idx="62">
                  <c:v>39371</c:v>
                </c:pt>
                <c:pt idx="63">
                  <c:v>0</c:v>
                </c:pt>
                <c:pt idx="64">
                  <c:v>0</c:v>
                </c:pt>
                <c:pt idx="65">
                  <c:v>44187</c:v>
                </c:pt>
                <c:pt idx="66">
                  <c:v>0</c:v>
                </c:pt>
                <c:pt idx="67">
                  <c:v>50012</c:v>
                </c:pt>
                <c:pt idx="68">
                  <c:v>0</c:v>
                </c:pt>
                <c:pt idx="69">
                  <c:v>0</c:v>
                </c:pt>
                <c:pt idx="70">
                  <c:v>56000</c:v>
                </c:pt>
                <c:pt idx="71">
                  <c:v>0</c:v>
                </c:pt>
                <c:pt idx="72">
                  <c:v>0</c:v>
                </c:pt>
                <c:pt idx="73">
                  <c:v>58447</c:v>
                </c:pt>
                <c:pt idx="74">
                  <c:v>0</c:v>
                </c:pt>
                <c:pt idx="75">
                  <c:v>75145</c:v>
                </c:pt>
                <c:pt idx="76">
                  <c:v>0</c:v>
                </c:pt>
                <c:pt idx="77">
                  <c:v>0</c:v>
                </c:pt>
                <c:pt idx="78">
                  <c:v>76211</c:v>
                </c:pt>
                <c:pt idx="79">
                  <c:v>0</c:v>
                </c:pt>
                <c:pt idx="80">
                  <c:v>90237</c:v>
                </c:pt>
                <c:pt idx="81">
                  <c:v>0</c:v>
                </c:pt>
                <c:pt idx="82">
                  <c:v>0</c:v>
                </c:pt>
                <c:pt idx="83">
                  <c:v>99914</c:v>
                </c:pt>
                <c:pt idx="84">
                  <c:v>0</c:v>
                </c:pt>
                <c:pt idx="85">
                  <c:v>0</c:v>
                </c:pt>
                <c:pt idx="86">
                  <c:v>106239</c:v>
                </c:pt>
                <c:pt idx="87">
                  <c:v>0</c:v>
                </c:pt>
                <c:pt idx="88">
                  <c:v>106376</c:v>
                </c:pt>
                <c:pt idx="89">
                  <c:v>0</c:v>
                </c:pt>
                <c:pt idx="90">
                  <c:v>0</c:v>
                </c:pt>
                <c:pt idx="91">
                  <c:v>117461</c:v>
                </c:pt>
                <c:pt idx="92">
                  <c:v>0</c:v>
                </c:pt>
                <c:pt idx="93">
                  <c:v>121350</c:v>
                </c:pt>
                <c:pt idx="94">
                  <c:v>0</c:v>
                </c:pt>
                <c:pt idx="95">
                  <c:v>0</c:v>
                </c:pt>
                <c:pt idx="96">
                  <c:v>120277</c:v>
                </c:pt>
                <c:pt idx="97">
                  <c:v>0</c:v>
                </c:pt>
                <c:pt idx="98">
                  <c:v>117989</c:v>
                </c:pt>
                <c:pt idx="99">
                  <c:v>0</c:v>
                </c:pt>
                <c:pt idx="100">
                  <c:v>0</c:v>
                </c:pt>
                <c:pt idx="101">
                  <c:v>120774</c:v>
                </c:pt>
                <c:pt idx="102">
                  <c:v>0</c:v>
                </c:pt>
                <c:pt idx="103">
                  <c:v>0</c:v>
                </c:pt>
                <c:pt idx="104">
                  <c:v>130195</c:v>
                </c:pt>
                <c:pt idx="105">
                  <c:v>0</c:v>
                </c:pt>
                <c:pt idx="106">
                  <c:v>135823</c:v>
                </c:pt>
                <c:pt idx="107">
                  <c:v>0</c:v>
                </c:pt>
                <c:pt idx="108">
                  <c:v>0</c:v>
                </c:pt>
                <c:pt idx="109">
                  <c:v>138754</c:v>
                </c:pt>
                <c:pt idx="110">
                  <c:v>0</c:v>
                </c:pt>
                <c:pt idx="111">
                  <c:v>150215</c:v>
                </c:pt>
                <c:pt idx="112">
                  <c:v>0</c:v>
                </c:pt>
                <c:pt idx="113">
                  <c:v>0</c:v>
                </c:pt>
                <c:pt idx="114">
                  <c:v>146321</c:v>
                </c:pt>
                <c:pt idx="115">
                  <c:v>0</c:v>
                </c:pt>
                <c:pt idx="116">
                  <c:v>146786</c:v>
                </c:pt>
                <c:pt idx="117">
                  <c:v>0</c:v>
                </c:pt>
                <c:pt idx="118">
                  <c:v>0</c:v>
                </c:pt>
                <c:pt idx="119">
                  <c:v>148219</c:v>
                </c:pt>
                <c:pt idx="120">
                  <c:v>0</c:v>
                </c:pt>
                <c:pt idx="121">
                  <c:v>0</c:v>
                </c:pt>
                <c:pt idx="122">
                  <c:v>161667</c:v>
                </c:pt>
                <c:pt idx="123">
                  <c:v>0</c:v>
                </c:pt>
                <c:pt idx="124">
                  <c:v>165092</c:v>
                </c:pt>
                <c:pt idx="125">
                  <c:v>0</c:v>
                </c:pt>
                <c:pt idx="126">
                  <c:v>0</c:v>
                </c:pt>
                <c:pt idx="127">
                  <c:v>170166</c:v>
                </c:pt>
                <c:pt idx="128">
                  <c:v>0</c:v>
                </c:pt>
                <c:pt idx="129">
                  <c:v>171651</c:v>
                </c:pt>
                <c:pt idx="130">
                  <c:v>0</c:v>
                </c:pt>
                <c:pt idx="131">
                  <c:v>0</c:v>
                </c:pt>
                <c:pt idx="132">
                  <c:v>163513</c:v>
                </c:pt>
                <c:pt idx="133">
                  <c:v>0</c:v>
                </c:pt>
                <c:pt idx="134">
                  <c:v>152350</c:v>
                </c:pt>
                <c:pt idx="135">
                  <c:v>0</c:v>
                </c:pt>
                <c:pt idx="136">
                  <c:v>0</c:v>
                </c:pt>
                <c:pt idx="137">
                  <c:v>129608</c:v>
                </c:pt>
                <c:pt idx="138">
                  <c:v>0</c:v>
                </c:pt>
                <c:pt idx="139">
                  <c:v>0</c:v>
                </c:pt>
                <c:pt idx="140">
                  <c:v>116113</c:v>
                </c:pt>
                <c:pt idx="141">
                  <c:v>0</c:v>
                </c:pt>
                <c:pt idx="142">
                  <c:v>102541</c:v>
                </c:pt>
                <c:pt idx="143">
                  <c:v>0</c:v>
                </c:pt>
                <c:pt idx="144">
                  <c:v>0</c:v>
                </c:pt>
                <c:pt idx="145">
                  <c:v>87774</c:v>
                </c:pt>
                <c:pt idx="146">
                  <c:v>0</c:v>
                </c:pt>
                <c:pt idx="147">
                  <c:v>62943</c:v>
                </c:pt>
                <c:pt idx="148">
                  <c:v>0</c:v>
                </c:pt>
                <c:pt idx="149">
                  <c:v>0</c:v>
                </c:pt>
                <c:pt idx="150">
                  <c:v>45255</c:v>
                </c:pt>
                <c:pt idx="151">
                  <c:v>0</c:v>
                </c:pt>
                <c:pt idx="152">
                  <c:v>34155</c:v>
                </c:pt>
                <c:pt idx="153">
                  <c:v>0</c:v>
                </c:pt>
                <c:pt idx="154">
                  <c:v>0</c:v>
                </c:pt>
                <c:pt idx="155">
                  <c:v>20219</c:v>
                </c:pt>
                <c:pt idx="156">
                  <c:v>0</c:v>
                </c:pt>
                <c:pt idx="157">
                  <c:v>0</c:v>
                </c:pt>
                <c:pt idx="158">
                  <c:v>14039</c:v>
                </c:pt>
                <c:pt idx="159">
                  <c:v>0</c:v>
                </c:pt>
                <c:pt idx="160">
                  <c:v>6311</c:v>
                </c:pt>
                <c:pt idx="161">
                  <c:v>0</c:v>
                </c:pt>
                <c:pt idx="162">
                  <c:v>0</c:v>
                </c:pt>
                <c:pt idx="163">
                  <c:v>3492</c:v>
                </c:pt>
                <c:pt idx="164">
                  <c:v>0</c:v>
                </c:pt>
                <c:pt idx="165">
                  <c:v>1881</c:v>
                </c:pt>
                <c:pt idx="166">
                  <c:v>0</c:v>
                </c:pt>
                <c:pt idx="167">
                  <c:v>0</c:v>
                </c:pt>
                <c:pt idx="168">
                  <c:v>1096</c:v>
                </c:pt>
                <c:pt idx="169">
                  <c:v>0</c:v>
                </c:pt>
                <c:pt idx="170">
                  <c:v>0</c:v>
                </c:pt>
                <c:pt idx="171">
                  <c:v>296</c:v>
                </c:pt>
                <c:pt idx="172">
                  <c:v>0</c:v>
                </c:pt>
                <c:pt idx="173">
                  <c:v>218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0.28808576115591583</c:v>
                </c:pt>
                <c:pt idx="1">
                  <c:v>0.34703816623925537</c:v>
                </c:pt>
                <c:pt idx="2">
                  <c:v>0.36487607260482885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0.53132200826758724</c:v>
                </c:pt>
                <c:pt idx="1">
                  <c:v>0.22617573477613268</c:v>
                </c:pt>
                <c:pt idx="2">
                  <c:v>0.24250225695628014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7.6359724999999994</c:v>
                </c:pt>
                <c:pt idx="1">
                  <c:v>17.1416325</c:v>
                </c:pt>
                <c:pt idx="2">
                  <c:v>22.7986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0.40703499999999998</c:v>
                </c:pt>
                <c:pt idx="2">
                  <c:v>0.81492799999999999</c:v>
                </c:pt>
                <c:pt idx="3">
                  <c:v>1.21879</c:v>
                </c:pt>
                <c:pt idx="4">
                  <c:v>1.62277</c:v>
                </c:pt>
                <c:pt idx="5">
                  <c:v>2.0306799999999998</c:v>
                </c:pt>
                <c:pt idx="6">
                  <c:v>2.4385699999999999</c:v>
                </c:pt>
                <c:pt idx="7">
                  <c:v>2.8467799999999999</c:v>
                </c:pt>
                <c:pt idx="8">
                  <c:v>3.2553299999999998</c:v>
                </c:pt>
                <c:pt idx="9">
                  <c:v>3.6553100000000001</c:v>
                </c:pt>
                <c:pt idx="10">
                  <c:v>4.0621900000000002</c:v>
                </c:pt>
                <c:pt idx="11">
                  <c:v>4.4721399999999996</c:v>
                </c:pt>
                <c:pt idx="12">
                  <c:v>4.8789499999999997</c:v>
                </c:pt>
                <c:pt idx="13">
                  <c:v>5.2849300000000001</c:v>
                </c:pt>
                <c:pt idx="14">
                  <c:v>5.6907899999999998</c:v>
                </c:pt>
                <c:pt idx="15">
                  <c:v>6.0957400000000002</c:v>
                </c:pt>
                <c:pt idx="16">
                  <c:v>6.50265</c:v>
                </c:pt>
                <c:pt idx="17">
                  <c:v>6.9046000000000003</c:v>
                </c:pt>
                <c:pt idx="18">
                  <c:v>7.3138199999999998</c:v>
                </c:pt>
                <c:pt idx="19">
                  <c:v>7.7204100000000002</c:v>
                </c:pt>
                <c:pt idx="20">
                  <c:v>8.1244399999999999</c:v>
                </c:pt>
                <c:pt idx="21">
                  <c:v>8.5332600000000003</c:v>
                </c:pt>
                <c:pt idx="22">
                  <c:v>8.9380799999999994</c:v>
                </c:pt>
                <c:pt idx="23">
                  <c:v>9.3430099999999996</c:v>
                </c:pt>
                <c:pt idx="24">
                  <c:v>9.7539099999999994</c:v>
                </c:pt>
                <c:pt idx="25">
                  <c:v>10.158899999999999</c:v>
                </c:pt>
                <c:pt idx="26">
                  <c:v>10.565799999999999</c:v>
                </c:pt>
                <c:pt idx="27">
                  <c:v>10.9697</c:v>
                </c:pt>
                <c:pt idx="28">
                  <c:v>11.3726</c:v>
                </c:pt>
                <c:pt idx="29">
                  <c:v>11.7788</c:v>
                </c:pt>
                <c:pt idx="30">
                  <c:v>12.1877</c:v>
                </c:pt>
                <c:pt idx="31">
                  <c:v>12.5954</c:v>
                </c:pt>
                <c:pt idx="32">
                  <c:v>13.001300000000001</c:v>
                </c:pt>
                <c:pt idx="33">
                  <c:v>13.408799999999999</c:v>
                </c:pt>
                <c:pt idx="34">
                  <c:v>13.815200000000001</c:v>
                </c:pt>
                <c:pt idx="35">
                  <c:v>14.2181</c:v>
                </c:pt>
                <c:pt idx="36">
                  <c:v>14.625400000000001</c:v>
                </c:pt>
                <c:pt idx="37">
                  <c:v>15.0291</c:v>
                </c:pt>
                <c:pt idx="38">
                  <c:v>15.438000000000001</c:v>
                </c:pt>
                <c:pt idx="39">
                  <c:v>15.845700000000001</c:v>
                </c:pt>
                <c:pt idx="40">
                  <c:v>16.249700000000001</c:v>
                </c:pt>
                <c:pt idx="41">
                  <c:v>16.654499999999999</c:v>
                </c:pt>
                <c:pt idx="42">
                  <c:v>17.064499999999999</c:v>
                </c:pt>
                <c:pt idx="43">
                  <c:v>17.471299999999999</c:v>
                </c:pt>
                <c:pt idx="44">
                  <c:v>17.877500000000001</c:v>
                </c:pt>
                <c:pt idx="45">
                  <c:v>18.281300000000002</c:v>
                </c:pt>
                <c:pt idx="46">
                  <c:v>18.688400000000001</c:v>
                </c:pt>
                <c:pt idx="47">
                  <c:v>19.094100000000001</c:v>
                </c:pt>
                <c:pt idx="48">
                  <c:v>19.501000000000001</c:v>
                </c:pt>
                <c:pt idx="49">
                  <c:v>19.906600000000001</c:v>
                </c:pt>
                <c:pt idx="50">
                  <c:v>20.315999999999999</c:v>
                </c:pt>
                <c:pt idx="51">
                  <c:v>20.7226</c:v>
                </c:pt>
                <c:pt idx="52">
                  <c:v>21.128499999999999</c:v>
                </c:pt>
                <c:pt idx="53">
                  <c:v>21.531400000000001</c:v>
                </c:pt>
                <c:pt idx="54">
                  <c:v>21.935400000000001</c:v>
                </c:pt>
                <c:pt idx="55">
                  <c:v>22.346599999999999</c:v>
                </c:pt>
                <c:pt idx="56">
                  <c:v>22.7531</c:v>
                </c:pt>
                <c:pt idx="57">
                  <c:v>23.156600000000001</c:v>
                </c:pt>
                <c:pt idx="58">
                  <c:v>23.563300000000002</c:v>
                </c:pt>
                <c:pt idx="59">
                  <c:v>23.9711</c:v>
                </c:pt>
                <c:pt idx="60">
                  <c:v>24.373000000000001</c:v>
                </c:pt>
                <c:pt idx="61">
                  <c:v>24.7837</c:v>
                </c:pt>
                <c:pt idx="62">
                  <c:v>25.189599999999999</c:v>
                </c:pt>
                <c:pt idx="63">
                  <c:v>25.593599999999999</c:v>
                </c:pt>
                <c:pt idx="64">
                  <c:v>26.002700000000001</c:v>
                </c:pt>
                <c:pt idx="65">
                  <c:v>26.406500000000001</c:v>
                </c:pt>
                <c:pt idx="66">
                  <c:v>26.813600000000001</c:v>
                </c:pt>
                <c:pt idx="67">
                  <c:v>27.220400000000001</c:v>
                </c:pt>
                <c:pt idx="68">
                  <c:v>27.627099999999999</c:v>
                </c:pt>
                <c:pt idx="69">
                  <c:v>28.034099999999999</c:v>
                </c:pt>
                <c:pt idx="70">
                  <c:v>28.440100000000001</c:v>
                </c:pt>
                <c:pt idx="71">
                  <c:v>28.844899999999999</c:v>
                </c:pt>
                <c:pt idx="72">
                  <c:v>29.251899999999999</c:v>
                </c:pt>
                <c:pt idx="73">
                  <c:v>29.659700000000001</c:v>
                </c:pt>
                <c:pt idx="74">
                  <c:v>30.065999999999999</c:v>
                </c:pt>
                <c:pt idx="75">
                  <c:v>30.6433</c:v>
                </c:pt>
                <c:pt idx="76">
                  <c:v>31.0181</c:v>
                </c:pt>
                <c:pt idx="77">
                  <c:v>31.3931</c:v>
                </c:pt>
                <c:pt idx="78">
                  <c:v>31.772099999999998</c:v>
                </c:pt>
                <c:pt idx="79">
                  <c:v>32.158200000000001</c:v>
                </c:pt>
                <c:pt idx="80">
                  <c:v>32.564999999999998</c:v>
                </c:pt>
                <c:pt idx="81">
                  <c:v>32.9709</c:v>
                </c:pt>
                <c:pt idx="82">
                  <c:v>33.375900000000001</c:v>
                </c:pt>
                <c:pt idx="83">
                  <c:v>33.782800000000002</c:v>
                </c:pt>
                <c:pt idx="84">
                  <c:v>34.188600000000001</c:v>
                </c:pt>
                <c:pt idx="85">
                  <c:v>34.593600000000002</c:v>
                </c:pt>
                <c:pt idx="86">
                  <c:v>35.000500000000002</c:v>
                </c:pt>
                <c:pt idx="87">
                  <c:v>35.408999999999999</c:v>
                </c:pt>
                <c:pt idx="88">
                  <c:v>35.813699999999997</c:v>
                </c:pt>
                <c:pt idx="89">
                  <c:v>36.219299999999997</c:v>
                </c:pt>
                <c:pt idx="90">
                  <c:v>36.626399999999997</c:v>
                </c:pt>
                <c:pt idx="91">
                  <c:v>37.030900000000003</c:v>
                </c:pt>
                <c:pt idx="92">
                  <c:v>37.438299999999998</c:v>
                </c:pt>
                <c:pt idx="93">
                  <c:v>37.8429</c:v>
                </c:pt>
                <c:pt idx="94">
                  <c:v>38.250799999999998</c:v>
                </c:pt>
                <c:pt idx="95">
                  <c:v>38.655799999999999</c:v>
                </c:pt>
                <c:pt idx="96">
                  <c:v>39.062899999999999</c:v>
                </c:pt>
                <c:pt idx="97">
                  <c:v>39.470599999999997</c:v>
                </c:pt>
                <c:pt idx="98">
                  <c:v>39.877800000000001</c:v>
                </c:pt>
                <c:pt idx="99">
                  <c:v>40.2834</c:v>
                </c:pt>
                <c:pt idx="100">
                  <c:v>40.689500000000002</c:v>
                </c:pt>
                <c:pt idx="101">
                  <c:v>41.093299999999999</c:v>
                </c:pt>
                <c:pt idx="102">
                  <c:v>41.498100000000001</c:v>
                </c:pt>
                <c:pt idx="103">
                  <c:v>41.9054</c:v>
                </c:pt>
                <c:pt idx="104">
                  <c:v>42.314999999999998</c:v>
                </c:pt>
                <c:pt idx="105">
                  <c:v>42.722000000000001</c:v>
                </c:pt>
                <c:pt idx="106">
                  <c:v>43.126800000000003</c:v>
                </c:pt>
                <c:pt idx="107">
                  <c:v>43.531799999999997</c:v>
                </c:pt>
                <c:pt idx="108">
                  <c:v>43.935600000000001</c:v>
                </c:pt>
                <c:pt idx="109">
                  <c:v>44.3416</c:v>
                </c:pt>
                <c:pt idx="110">
                  <c:v>44.753500000000003</c:v>
                </c:pt>
                <c:pt idx="111">
                  <c:v>45.157499999999999</c:v>
                </c:pt>
                <c:pt idx="112">
                  <c:v>45.561300000000003</c:v>
                </c:pt>
                <c:pt idx="113">
                  <c:v>45.968400000000003</c:v>
                </c:pt>
                <c:pt idx="114">
                  <c:v>46.371899999999997</c:v>
                </c:pt>
                <c:pt idx="115">
                  <c:v>46.783099999999997</c:v>
                </c:pt>
                <c:pt idx="116">
                  <c:v>47.186999999999998</c:v>
                </c:pt>
                <c:pt idx="117">
                  <c:v>47.5974</c:v>
                </c:pt>
                <c:pt idx="118">
                  <c:v>48.003700000000002</c:v>
                </c:pt>
                <c:pt idx="119">
                  <c:v>48.407800000000002</c:v>
                </c:pt>
                <c:pt idx="120">
                  <c:v>48.811500000000002</c:v>
                </c:pt>
                <c:pt idx="121">
                  <c:v>49.218600000000002</c:v>
                </c:pt>
                <c:pt idx="122">
                  <c:v>49.623199999999997</c:v>
                </c:pt>
                <c:pt idx="123">
                  <c:v>50.034999999999997</c:v>
                </c:pt>
                <c:pt idx="124">
                  <c:v>50.440899999999999</c:v>
                </c:pt>
                <c:pt idx="125">
                  <c:v>50.846200000000003</c:v>
                </c:pt>
                <c:pt idx="126">
                  <c:v>51.249099999999999</c:v>
                </c:pt>
                <c:pt idx="127">
                  <c:v>51.658900000000003</c:v>
                </c:pt>
                <c:pt idx="128">
                  <c:v>52.064300000000003</c:v>
                </c:pt>
                <c:pt idx="129">
                  <c:v>52.471699999999998</c:v>
                </c:pt>
                <c:pt idx="130">
                  <c:v>52.872700000000002</c:v>
                </c:pt>
                <c:pt idx="131">
                  <c:v>53.283700000000003</c:v>
                </c:pt>
                <c:pt idx="132">
                  <c:v>53.687600000000003</c:v>
                </c:pt>
                <c:pt idx="133">
                  <c:v>54.092300000000002</c:v>
                </c:pt>
                <c:pt idx="134">
                  <c:v>54.501399999999997</c:v>
                </c:pt>
                <c:pt idx="135">
                  <c:v>54.909199999999998</c:v>
                </c:pt>
                <c:pt idx="136">
                  <c:v>55.3142</c:v>
                </c:pt>
                <c:pt idx="137">
                  <c:v>55.719000000000001</c:v>
                </c:pt>
                <c:pt idx="138">
                  <c:v>56.125900000000001</c:v>
                </c:pt>
                <c:pt idx="139">
                  <c:v>56.531999999999996</c:v>
                </c:pt>
                <c:pt idx="140">
                  <c:v>56.940800000000003</c:v>
                </c:pt>
                <c:pt idx="141">
                  <c:v>57.347000000000001</c:v>
                </c:pt>
                <c:pt idx="142">
                  <c:v>57.749200000000002</c:v>
                </c:pt>
                <c:pt idx="143">
                  <c:v>58.1556</c:v>
                </c:pt>
                <c:pt idx="144">
                  <c:v>58.564700000000002</c:v>
                </c:pt>
                <c:pt idx="145">
                  <c:v>58.972299999999997</c:v>
                </c:pt>
                <c:pt idx="146">
                  <c:v>59.377299999999998</c:v>
                </c:pt>
                <c:pt idx="147">
                  <c:v>59.782200000000003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1.91547</c:v>
                </c:pt>
                <c:pt idx="1">
                  <c:v>1.96888</c:v>
                </c:pt>
                <c:pt idx="2">
                  <c:v>2.0227999999999997</c:v>
                </c:pt>
                <c:pt idx="3">
                  <c:v>2.07443</c:v>
                </c:pt>
                <c:pt idx="4">
                  <c:v>2.1225700000000001</c:v>
                </c:pt>
                <c:pt idx="5">
                  <c:v>2.1680299999999999</c:v>
                </c:pt>
                <c:pt idx="6">
                  <c:v>2.2130399999999999</c:v>
                </c:pt>
                <c:pt idx="7">
                  <c:v>2.2597</c:v>
                </c:pt>
                <c:pt idx="8">
                  <c:v>2.3056199999999998</c:v>
                </c:pt>
                <c:pt idx="9">
                  <c:v>2.3508</c:v>
                </c:pt>
                <c:pt idx="10">
                  <c:v>2.3967900000000002</c:v>
                </c:pt>
                <c:pt idx="11">
                  <c:v>2.4427699999999999</c:v>
                </c:pt>
                <c:pt idx="12">
                  <c:v>2.4879699999999998</c:v>
                </c:pt>
                <c:pt idx="13">
                  <c:v>2.5323099999999998</c:v>
                </c:pt>
                <c:pt idx="14">
                  <c:v>2.5774900000000001</c:v>
                </c:pt>
                <c:pt idx="15">
                  <c:v>2.62554</c:v>
                </c:pt>
                <c:pt idx="16">
                  <c:v>2.6775900000000004</c:v>
                </c:pt>
                <c:pt idx="17">
                  <c:v>2.7316000000000003</c:v>
                </c:pt>
                <c:pt idx="18">
                  <c:v>2.7863300000000004</c:v>
                </c:pt>
                <c:pt idx="19">
                  <c:v>2.8389100000000003</c:v>
                </c:pt>
                <c:pt idx="20">
                  <c:v>2.8866100000000001</c:v>
                </c:pt>
                <c:pt idx="21">
                  <c:v>2.9344100000000002</c:v>
                </c:pt>
                <c:pt idx="22">
                  <c:v>2.9830299999999998</c:v>
                </c:pt>
                <c:pt idx="23">
                  <c:v>3.03037</c:v>
                </c:pt>
                <c:pt idx="24">
                  <c:v>3.0790600000000001</c:v>
                </c:pt>
                <c:pt idx="25">
                  <c:v>3.1262800000000004</c:v>
                </c:pt>
                <c:pt idx="26">
                  <c:v>3.17354</c:v>
                </c:pt>
                <c:pt idx="27">
                  <c:v>3.21909</c:v>
                </c:pt>
                <c:pt idx="28">
                  <c:v>3.2640099999999999</c:v>
                </c:pt>
                <c:pt idx="29">
                  <c:v>3.3088499999999996</c:v>
                </c:pt>
                <c:pt idx="30">
                  <c:v>3.3549600000000002</c:v>
                </c:pt>
                <c:pt idx="31">
                  <c:v>3.40482</c:v>
                </c:pt>
                <c:pt idx="32">
                  <c:v>3.4571000000000001</c:v>
                </c:pt>
                <c:pt idx="33">
                  <c:v>3.5078999999999998</c:v>
                </c:pt>
                <c:pt idx="34">
                  <c:v>3.5547200000000001</c:v>
                </c:pt>
                <c:pt idx="35">
                  <c:v>3.6009200000000003</c:v>
                </c:pt>
                <c:pt idx="36">
                  <c:v>3.6468400000000001</c:v>
                </c:pt>
                <c:pt idx="37">
                  <c:v>3.6929299999999996</c:v>
                </c:pt>
                <c:pt idx="38">
                  <c:v>3.7397100000000001</c:v>
                </c:pt>
                <c:pt idx="39">
                  <c:v>3.7866899999999997</c:v>
                </c:pt>
                <c:pt idx="40">
                  <c:v>3.8339699999999999</c:v>
                </c:pt>
                <c:pt idx="41">
                  <c:v>3.8782100000000002</c:v>
                </c:pt>
                <c:pt idx="42">
                  <c:v>3.9170600000000002</c:v>
                </c:pt>
                <c:pt idx="43">
                  <c:v>3.9541199999999996</c:v>
                </c:pt>
                <c:pt idx="44">
                  <c:v>3.9937499999999999</c:v>
                </c:pt>
                <c:pt idx="45">
                  <c:v>4.0339499999999999</c:v>
                </c:pt>
                <c:pt idx="46">
                  <c:v>4.0740800000000004</c:v>
                </c:pt>
                <c:pt idx="47">
                  <c:v>4.11524</c:v>
                </c:pt>
                <c:pt idx="48">
                  <c:v>4.1545199999999998</c:v>
                </c:pt>
                <c:pt idx="49">
                  <c:v>4.1873100000000001</c:v>
                </c:pt>
                <c:pt idx="50">
                  <c:v>4.2135699999999998</c:v>
                </c:pt>
                <c:pt idx="51">
                  <c:v>4.2469000000000001</c:v>
                </c:pt>
                <c:pt idx="52">
                  <c:v>4.2788500000000003</c:v>
                </c:pt>
                <c:pt idx="53">
                  <c:v>4.31203</c:v>
                </c:pt>
                <c:pt idx="54">
                  <c:v>4.3453400000000002</c:v>
                </c:pt>
                <c:pt idx="55">
                  <c:v>4.37683</c:v>
                </c:pt>
                <c:pt idx="56">
                  <c:v>4.4024400000000004</c:v>
                </c:pt>
                <c:pt idx="57">
                  <c:v>4.4221399999999997</c:v>
                </c:pt>
                <c:pt idx="58">
                  <c:v>4.4412200000000004</c:v>
                </c:pt>
                <c:pt idx="59">
                  <c:v>4.4614599999999998</c:v>
                </c:pt>
                <c:pt idx="60">
                  <c:v>4.4787999999999997</c:v>
                </c:pt>
                <c:pt idx="61">
                  <c:v>4.4937100000000001</c:v>
                </c:pt>
                <c:pt idx="62">
                  <c:v>4.5067500000000003</c:v>
                </c:pt>
                <c:pt idx="63">
                  <c:v>4.5182000000000002</c:v>
                </c:pt>
                <c:pt idx="64">
                  <c:v>4.5271099999999995</c:v>
                </c:pt>
                <c:pt idx="65">
                  <c:v>4.5320599999999995</c:v>
                </c:pt>
                <c:pt idx="66">
                  <c:v>4.5342199999999995</c:v>
                </c:pt>
                <c:pt idx="67">
                  <c:v>4.5367899999999999</c:v>
                </c:pt>
                <c:pt idx="68">
                  <c:v>4.5381499999999999</c:v>
                </c:pt>
                <c:pt idx="69">
                  <c:v>4.5392399999999995</c:v>
                </c:pt>
                <c:pt idx="70">
                  <c:v>4.5429300000000001</c:v>
                </c:pt>
                <c:pt idx="71">
                  <c:v>4.5444100000000001</c:v>
                </c:pt>
                <c:pt idx="72">
                  <c:v>4.5442</c:v>
                </c:pt>
                <c:pt idx="73">
                  <c:v>4.5459800000000001</c:v>
                </c:pt>
                <c:pt idx="74">
                  <c:v>4.5501699999999996</c:v>
                </c:pt>
                <c:pt idx="75">
                  <c:v>4.5529299999999999</c:v>
                </c:pt>
                <c:pt idx="76">
                  <c:v>4.5516299999999994</c:v>
                </c:pt>
                <c:pt idx="77">
                  <c:v>4.5470500000000005</c:v>
                </c:pt>
                <c:pt idx="78">
                  <c:v>4.5393299999999996</c:v>
                </c:pt>
                <c:pt idx="79">
                  <c:v>4.5307199999999996</c:v>
                </c:pt>
                <c:pt idx="80">
                  <c:v>4.5203699999999998</c:v>
                </c:pt>
                <c:pt idx="81">
                  <c:v>4.5119300000000004</c:v>
                </c:pt>
                <c:pt idx="82">
                  <c:v>4.5013500000000004</c:v>
                </c:pt>
                <c:pt idx="83">
                  <c:v>4.4867900000000001</c:v>
                </c:pt>
                <c:pt idx="84">
                  <c:v>4.4717799999999999</c:v>
                </c:pt>
                <c:pt idx="85">
                  <c:v>4.4555299999999995</c:v>
                </c:pt>
                <c:pt idx="86">
                  <c:v>4.4404300000000001</c:v>
                </c:pt>
                <c:pt idx="87">
                  <c:v>4.4235299999999995</c:v>
                </c:pt>
                <c:pt idx="88">
                  <c:v>4.4058799999999998</c:v>
                </c:pt>
                <c:pt idx="89">
                  <c:v>4.3858600000000001</c:v>
                </c:pt>
                <c:pt idx="90">
                  <c:v>4.3647599999999995</c:v>
                </c:pt>
                <c:pt idx="91">
                  <c:v>4.3441200000000002</c:v>
                </c:pt>
                <c:pt idx="92">
                  <c:v>4.3231999999999999</c:v>
                </c:pt>
                <c:pt idx="93">
                  <c:v>4.3011499999999998</c:v>
                </c:pt>
                <c:pt idx="94">
                  <c:v>4.2764600000000002</c:v>
                </c:pt>
                <c:pt idx="95">
                  <c:v>4.2507799999999998</c:v>
                </c:pt>
                <c:pt idx="96">
                  <c:v>4.2232099999999999</c:v>
                </c:pt>
                <c:pt idx="97">
                  <c:v>4.1912500000000001</c:v>
                </c:pt>
                <c:pt idx="98">
                  <c:v>4.1566000000000001</c:v>
                </c:pt>
                <c:pt idx="99">
                  <c:v>4.1188399999999996</c:v>
                </c:pt>
                <c:pt idx="100">
                  <c:v>4.0817999999999994</c:v>
                </c:pt>
                <c:pt idx="101">
                  <c:v>4.04657</c:v>
                </c:pt>
                <c:pt idx="102">
                  <c:v>4.0124399999999998</c:v>
                </c:pt>
                <c:pt idx="103">
                  <c:v>3.9804599999999999</c:v>
                </c:pt>
                <c:pt idx="104">
                  <c:v>3.95173</c:v>
                </c:pt>
                <c:pt idx="105">
                  <c:v>3.9273099999999999</c:v>
                </c:pt>
                <c:pt idx="106">
                  <c:v>3.9052700000000002</c:v>
                </c:pt>
                <c:pt idx="107">
                  <c:v>3.8883099999999997</c:v>
                </c:pt>
                <c:pt idx="108">
                  <c:v>3.8782199999999998</c:v>
                </c:pt>
                <c:pt idx="109">
                  <c:v>3.8754100000000005</c:v>
                </c:pt>
                <c:pt idx="110">
                  <c:v>3.87758</c:v>
                </c:pt>
                <c:pt idx="111">
                  <c:v>3.8814599999999997</c:v>
                </c:pt>
                <c:pt idx="112">
                  <c:v>3.88801</c:v>
                </c:pt>
                <c:pt idx="113">
                  <c:v>3.8946999999999998</c:v>
                </c:pt>
                <c:pt idx="114">
                  <c:v>3.9066000000000001</c:v>
                </c:pt>
                <c:pt idx="115">
                  <c:v>3.9257499999999999</c:v>
                </c:pt>
                <c:pt idx="116">
                  <c:v>3.9460699999999997</c:v>
                </c:pt>
                <c:pt idx="117">
                  <c:v>3.9706900000000003</c:v>
                </c:pt>
                <c:pt idx="118">
                  <c:v>3.99437</c:v>
                </c:pt>
                <c:pt idx="119">
                  <c:v>4.0173800000000002</c:v>
                </c:pt>
                <c:pt idx="120">
                  <c:v>4.0396999999999998</c:v>
                </c:pt>
                <c:pt idx="121">
                  <c:v>4.0643000000000002</c:v>
                </c:pt>
                <c:pt idx="122">
                  <c:v>4.0933199999999994</c:v>
                </c:pt>
                <c:pt idx="123">
                  <c:v>4.12263</c:v>
                </c:pt>
                <c:pt idx="124">
                  <c:v>4.1407500000000006</c:v>
                </c:pt>
                <c:pt idx="125">
                  <c:v>4.1608900000000002</c:v>
                </c:pt>
                <c:pt idx="126">
                  <c:v>4.1820300000000001</c:v>
                </c:pt>
                <c:pt idx="127">
                  <c:v>4.2062300000000006</c:v>
                </c:pt>
                <c:pt idx="128">
                  <c:v>4.2308699999999995</c:v>
                </c:pt>
                <c:pt idx="129">
                  <c:v>4.2539999999999996</c:v>
                </c:pt>
                <c:pt idx="130">
                  <c:v>4.2766900000000003</c:v>
                </c:pt>
                <c:pt idx="131">
                  <c:v>4.2999700000000001</c:v>
                </c:pt>
                <c:pt idx="132">
                  <c:v>4.32219</c:v>
                </c:pt>
                <c:pt idx="133">
                  <c:v>4.3431199999999999</c:v>
                </c:pt>
                <c:pt idx="134">
                  <c:v>4.3595499999999996</c:v>
                </c:pt>
                <c:pt idx="135">
                  <c:v>4.3735499999999998</c:v>
                </c:pt>
                <c:pt idx="136">
                  <c:v>4.3876400000000002</c:v>
                </c:pt>
                <c:pt idx="137">
                  <c:v>4.4002099999999995</c:v>
                </c:pt>
                <c:pt idx="138">
                  <c:v>4.4166499999999997</c:v>
                </c:pt>
                <c:pt idx="139">
                  <c:v>4.4339899999999997</c:v>
                </c:pt>
                <c:pt idx="140">
                  <c:v>4.4422099999999993</c:v>
                </c:pt>
                <c:pt idx="141">
                  <c:v>4.4490099999999995</c:v>
                </c:pt>
                <c:pt idx="142">
                  <c:v>4.4435500000000001</c:v>
                </c:pt>
                <c:pt idx="143">
                  <c:v>4.4420599999999997</c:v>
                </c:pt>
                <c:pt idx="144">
                  <c:v>4.4432700000000001</c:v>
                </c:pt>
                <c:pt idx="145">
                  <c:v>4.4520799999999996</c:v>
                </c:pt>
                <c:pt idx="146">
                  <c:v>4.4616400000000001</c:v>
                </c:pt>
                <c:pt idx="147">
                  <c:v>4.4492900000000004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0.40703499999999998</c:v>
                </c:pt>
                <c:pt idx="2">
                  <c:v>0.81492799999999999</c:v>
                </c:pt>
                <c:pt idx="3">
                  <c:v>1.21879</c:v>
                </c:pt>
                <c:pt idx="4">
                  <c:v>1.62277</c:v>
                </c:pt>
                <c:pt idx="5">
                  <c:v>2.0306799999999998</c:v>
                </c:pt>
                <c:pt idx="6">
                  <c:v>2.4385699999999999</c:v>
                </c:pt>
                <c:pt idx="7">
                  <c:v>2.8467799999999999</c:v>
                </c:pt>
                <c:pt idx="8">
                  <c:v>3.2553299999999998</c:v>
                </c:pt>
                <c:pt idx="9">
                  <c:v>3.6553100000000001</c:v>
                </c:pt>
                <c:pt idx="10">
                  <c:v>4.0621900000000002</c:v>
                </c:pt>
                <c:pt idx="11">
                  <c:v>4.4721399999999996</c:v>
                </c:pt>
                <c:pt idx="12">
                  <c:v>4.8789499999999997</c:v>
                </c:pt>
                <c:pt idx="13">
                  <c:v>5.2849300000000001</c:v>
                </c:pt>
                <c:pt idx="14">
                  <c:v>5.6907899999999998</c:v>
                </c:pt>
                <c:pt idx="15">
                  <c:v>6.0957400000000002</c:v>
                </c:pt>
                <c:pt idx="16">
                  <c:v>6.50265</c:v>
                </c:pt>
                <c:pt idx="17">
                  <c:v>6.9046000000000003</c:v>
                </c:pt>
                <c:pt idx="18">
                  <c:v>7.3138199999999998</c:v>
                </c:pt>
                <c:pt idx="19">
                  <c:v>7.7204100000000002</c:v>
                </c:pt>
                <c:pt idx="20">
                  <c:v>8.1244399999999999</c:v>
                </c:pt>
                <c:pt idx="21">
                  <c:v>8.5332600000000003</c:v>
                </c:pt>
                <c:pt idx="22">
                  <c:v>8.9380799999999994</c:v>
                </c:pt>
                <c:pt idx="23">
                  <c:v>9.3430099999999996</c:v>
                </c:pt>
                <c:pt idx="24">
                  <c:v>9.7539099999999994</c:v>
                </c:pt>
                <c:pt idx="25">
                  <c:v>10.158899999999999</c:v>
                </c:pt>
                <c:pt idx="26">
                  <c:v>10.565799999999999</c:v>
                </c:pt>
                <c:pt idx="27">
                  <c:v>10.9697</c:v>
                </c:pt>
                <c:pt idx="28">
                  <c:v>11.3726</c:v>
                </c:pt>
                <c:pt idx="29">
                  <c:v>11.7788</c:v>
                </c:pt>
                <c:pt idx="30">
                  <c:v>12.1877</c:v>
                </c:pt>
                <c:pt idx="31">
                  <c:v>12.5954</c:v>
                </c:pt>
                <c:pt idx="32">
                  <c:v>13.001300000000001</c:v>
                </c:pt>
                <c:pt idx="33">
                  <c:v>13.408799999999999</c:v>
                </c:pt>
                <c:pt idx="34">
                  <c:v>13.815200000000001</c:v>
                </c:pt>
                <c:pt idx="35">
                  <c:v>14.2181</c:v>
                </c:pt>
                <c:pt idx="36">
                  <c:v>14.625400000000001</c:v>
                </c:pt>
                <c:pt idx="37">
                  <c:v>15.0291</c:v>
                </c:pt>
                <c:pt idx="38">
                  <c:v>15.438000000000001</c:v>
                </c:pt>
                <c:pt idx="39">
                  <c:v>15.845700000000001</c:v>
                </c:pt>
                <c:pt idx="40">
                  <c:v>16.249700000000001</c:v>
                </c:pt>
                <c:pt idx="41">
                  <c:v>16.654499999999999</c:v>
                </c:pt>
                <c:pt idx="42">
                  <c:v>17.064499999999999</c:v>
                </c:pt>
                <c:pt idx="43">
                  <c:v>17.471299999999999</c:v>
                </c:pt>
                <c:pt idx="44">
                  <c:v>17.877500000000001</c:v>
                </c:pt>
                <c:pt idx="45">
                  <c:v>18.281300000000002</c:v>
                </c:pt>
                <c:pt idx="46">
                  <c:v>18.688400000000001</c:v>
                </c:pt>
                <c:pt idx="47">
                  <c:v>19.094100000000001</c:v>
                </c:pt>
                <c:pt idx="48">
                  <c:v>19.501000000000001</c:v>
                </c:pt>
                <c:pt idx="49">
                  <c:v>19.906600000000001</c:v>
                </c:pt>
                <c:pt idx="50">
                  <c:v>20.315999999999999</c:v>
                </c:pt>
                <c:pt idx="51">
                  <c:v>20.7226</c:v>
                </c:pt>
                <c:pt idx="52">
                  <c:v>21.128499999999999</c:v>
                </c:pt>
                <c:pt idx="53">
                  <c:v>21.531400000000001</c:v>
                </c:pt>
                <c:pt idx="54">
                  <c:v>21.935400000000001</c:v>
                </c:pt>
                <c:pt idx="55">
                  <c:v>22.346599999999999</c:v>
                </c:pt>
                <c:pt idx="56">
                  <c:v>22.7531</c:v>
                </c:pt>
                <c:pt idx="57">
                  <c:v>23.156600000000001</c:v>
                </c:pt>
                <c:pt idx="58">
                  <c:v>23.563300000000002</c:v>
                </c:pt>
                <c:pt idx="59">
                  <c:v>23.9711</c:v>
                </c:pt>
                <c:pt idx="60">
                  <c:v>24.373000000000001</c:v>
                </c:pt>
                <c:pt idx="61">
                  <c:v>24.7837</c:v>
                </c:pt>
                <c:pt idx="62">
                  <c:v>25.189599999999999</c:v>
                </c:pt>
                <c:pt idx="63">
                  <c:v>25.593599999999999</c:v>
                </c:pt>
                <c:pt idx="64">
                  <c:v>26.002700000000001</c:v>
                </c:pt>
                <c:pt idx="65">
                  <c:v>26.406500000000001</c:v>
                </c:pt>
                <c:pt idx="66">
                  <c:v>26.813600000000001</c:v>
                </c:pt>
                <c:pt idx="67">
                  <c:v>27.220400000000001</c:v>
                </c:pt>
                <c:pt idx="68">
                  <c:v>27.627099999999999</c:v>
                </c:pt>
                <c:pt idx="69">
                  <c:v>28.034099999999999</c:v>
                </c:pt>
                <c:pt idx="70">
                  <c:v>28.440100000000001</c:v>
                </c:pt>
                <c:pt idx="71">
                  <c:v>28.844899999999999</c:v>
                </c:pt>
                <c:pt idx="72">
                  <c:v>29.251899999999999</c:v>
                </c:pt>
                <c:pt idx="73">
                  <c:v>29.659700000000001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1.91547</c:v>
                </c:pt>
                <c:pt idx="1">
                  <c:v>1.96888</c:v>
                </c:pt>
                <c:pt idx="2">
                  <c:v>2.0227999999999997</c:v>
                </c:pt>
                <c:pt idx="3">
                  <c:v>2.07443</c:v>
                </c:pt>
                <c:pt idx="4">
                  <c:v>2.1225700000000001</c:v>
                </c:pt>
                <c:pt idx="5">
                  <c:v>2.1680299999999999</c:v>
                </c:pt>
                <c:pt idx="6">
                  <c:v>2.2130399999999999</c:v>
                </c:pt>
                <c:pt idx="7">
                  <c:v>2.2597</c:v>
                </c:pt>
                <c:pt idx="8">
                  <c:v>2.3056199999999998</c:v>
                </c:pt>
                <c:pt idx="9">
                  <c:v>2.3508</c:v>
                </c:pt>
                <c:pt idx="10">
                  <c:v>2.3967900000000002</c:v>
                </c:pt>
                <c:pt idx="11">
                  <c:v>2.4427699999999999</c:v>
                </c:pt>
                <c:pt idx="12">
                  <c:v>2.4879699999999998</c:v>
                </c:pt>
                <c:pt idx="13">
                  <c:v>2.5323099999999998</c:v>
                </c:pt>
                <c:pt idx="14">
                  <c:v>2.5774900000000001</c:v>
                </c:pt>
                <c:pt idx="15">
                  <c:v>2.62554</c:v>
                </c:pt>
                <c:pt idx="16">
                  <c:v>2.6775900000000004</c:v>
                </c:pt>
                <c:pt idx="17">
                  <c:v>2.7316000000000003</c:v>
                </c:pt>
                <c:pt idx="18">
                  <c:v>2.7863300000000004</c:v>
                </c:pt>
                <c:pt idx="19">
                  <c:v>2.8389100000000003</c:v>
                </c:pt>
                <c:pt idx="20">
                  <c:v>2.8866100000000001</c:v>
                </c:pt>
                <c:pt idx="21">
                  <c:v>2.9344100000000002</c:v>
                </c:pt>
                <c:pt idx="22">
                  <c:v>2.9830299999999998</c:v>
                </c:pt>
                <c:pt idx="23">
                  <c:v>3.03037</c:v>
                </c:pt>
                <c:pt idx="24">
                  <c:v>3.0790600000000001</c:v>
                </c:pt>
                <c:pt idx="25">
                  <c:v>3.1262800000000004</c:v>
                </c:pt>
                <c:pt idx="26">
                  <c:v>3.17354</c:v>
                </c:pt>
                <c:pt idx="27">
                  <c:v>3.21909</c:v>
                </c:pt>
                <c:pt idx="28">
                  <c:v>3.2640099999999999</c:v>
                </c:pt>
                <c:pt idx="29">
                  <c:v>3.3088499999999996</c:v>
                </c:pt>
                <c:pt idx="30">
                  <c:v>3.3549600000000002</c:v>
                </c:pt>
                <c:pt idx="31">
                  <c:v>3.40482</c:v>
                </c:pt>
                <c:pt idx="32">
                  <c:v>3.4571000000000001</c:v>
                </c:pt>
                <c:pt idx="33">
                  <c:v>3.5078999999999998</c:v>
                </c:pt>
                <c:pt idx="34">
                  <c:v>3.5547200000000001</c:v>
                </c:pt>
                <c:pt idx="35">
                  <c:v>3.6009200000000003</c:v>
                </c:pt>
                <c:pt idx="36">
                  <c:v>3.6468400000000001</c:v>
                </c:pt>
                <c:pt idx="37">
                  <c:v>3.6929299999999996</c:v>
                </c:pt>
                <c:pt idx="38">
                  <c:v>3.7397100000000001</c:v>
                </c:pt>
                <c:pt idx="39">
                  <c:v>3.7866899999999997</c:v>
                </c:pt>
                <c:pt idx="40">
                  <c:v>3.8339699999999999</c:v>
                </c:pt>
                <c:pt idx="41">
                  <c:v>3.8782100000000002</c:v>
                </c:pt>
                <c:pt idx="42">
                  <c:v>3.9170600000000002</c:v>
                </c:pt>
                <c:pt idx="43">
                  <c:v>3.9541199999999996</c:v>
                </c:pt>
                <c:pt idx="44">
                  <c:v>3.9937499999999999</c:v>
                </c:pt>
                <c:pt idx="45">
                  <c:v>4.0339499999999999</c:v>
                </c:pt>
                <c:pt idx="46">
                  <c:v>4.0740800000000004</c:v>
                </c:pt>
                <c:pt idx="47">
                  <c:v>4.11524</c:v>
                </c:pt>
                <c:pt idx="48">
                  <c:v>4.1545199999999998</c:v>
                </c:pt>
                <c:pt idx="49">
                  <c:v>4.1873100000000001</c:v>
                </c:pt>
                <c:pt idx="50">
                  <c:v>4.2135699999999998</c:v>
                </c:pt>
                <c:pt idx="51">
                  <c:v>4.2469000000000001</c:v>
                </c:pt>
                <c:pt idx="52">
                  <c:v>4.2788500000000003</c:v>
                </c:pt>
                <c:pt idx="53">
                  <c:v>4.31203</c:v>
                </c:pt>
                <c:pt idx="54">
                  <c:v>4.3453400000000002</c:v>
                </c:pt>
                <c:pt idx="55">
                  <c:v>4.37683</c:v>
                </c:pt>
                <c:pt idx="56">
                  <c:v>4.4024400000000004</c:v>
                </c:pt>
                <c:pt idx="57">
                  <c:v>4.4221399999999997</c:v>
                </c:pt>
                <c:pt idx="58">
                  <c:v>4.4412200000000004</c:v>
                </c:pt>
                <c:pt idx="59">
                  <c:v>4.4614599999999998</c:v>
                </c:pt>
                <c:pt idx="60">
                  <c:v>4.4787999999999997</c:v>
                </c:pt>
                <c:pt idx="61">
                  <c:v>4.4937100000000001</c:v>
                </c:pt>
                <c:pt idx="62">
                  <c:v>4.5067500000000003</c:v>
                </c:pt>
                <c:pt idx="63">
                  <c:v>4.5182000000000002</c:v>
                </c:pt>
                <c:pt idx="64">
                  <c:v>4.5271099999999995</c:v>
                </c:pt>
                <c:pt idx="65">
                  <c:v>4.5320599999999995</c:v>
                </c:pt>
                <c:pt idx="66">
                  <c:v>4.5342199999999995</c:v>
                </c:pt>
                <c:pt idx="67">
                  <c:v>4.5367899999999999</c:v>
                </c:pt>
                <c:pt idx="68">
                  <c:v>4.5381499999999999</c:v>
                </c:pt>
                <c:pt idx="69">
                  <c:v>4.5392399999999995</c:v>
                </c:pt>
                <c:pt idx="70">
                  <c:v>4.5429300000000001</c:v>
                </c:pt>
                <c:pt idx="71">
                  <c:v>4.5444100000000001</c:v>
                </c:pt>
                <c:pt idx="72">
                  <c:v>4.5442</c:v>
                </c:pt>
                <c:pt idx="73">
                  <c:v>4.5459800000000001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29.659700000000001</c:v>
                </c:pt>
                <c:pt idx="1">
                  <c:v>30.065999999999999</c:v>
                </c:pt>
                <c:pt idx="2">
                  <c:v>30.6433</c:v>
                </c:pt>
                <c:pt idx="3">
                  <c:v>31.0181</c:v>
                </c:pt>
                <c:pt idx="4">
                  <c:v>31.3931</c:v>
                </c:pt>
                <c:pt idx="5">
                  <c:v>31.772099999999998</c:v>
                </c:pt>
                <c:pt idx="6">
                  <c:v>32.158200000000001</c:v>
                </c:pt>
                <c:pt idx="7">
                  <c:v>32.564999999999998</c:v>
                </c:pt>
                <c:pt idx="8">
                  <c:v>32.9709</c:v>
                </c:pt>
                <c:pt idx="9">
                  <c:v>33.375900000000001</c:v>
                </c:pt>
                <c:pt idx="10">
                  <c:v>33.782800000000002</c:v>
                </c:pt>
                <c:pt idx="11">
                  <c:v>34.188600000000001</c:v>
                </c:pt>
                <c:pt idx="12">
                  <c:v>34.593600000000002</c:v>
                </c:pt>
                <c:pt idx="13">
                  <c:v>35.000500000000002</c:v>
                </c:pt>
                <c:pt idx="14">
                  <c:v>35.408999999999999</c:v>
                </c:pt>
                <c:pt idx="15">
                  <c:v>35.813699999999997</c:v>
                </c:pt>
                <c:pt idx="16">
                  <c:v>36.219299999999997</c:v>
                </c:pt>
                <c:pt idx="17">
                  <c:v>36.626399999999997</c:v>
                </c:pt>
                <c:pt idx="18">
                  <c:v>37.030900000000003</c:v>
                </c:pt>
                <c:pt idx="19">
                  <c:v>37.438299999999998</c:v>
                </c:pt>
                <c:pt idx="20">
                  <c:v>37.8429</c:v>
                </c:pt>
                <c:pt idx="21">
                  <c:v>38.250799999999998</c:v>
                </c:pt>
                <c:pt idx="22">
                  <c:v>38.655799999999999</c:v>
                </c:pt>
                <c:pt idx="23">
                  <c:v>39.062899999999999</c:v>
                </c:pt>
                <c:pt idx="24">
                  <c:v>39.470599999999997</c:v>
                </c:pt>
                <c:pt idx="25">
                  <c:v>39.877800000000001</c:v>
                </c:pt>
                <c:pt idx="26">
                  <c:v>40.2834</c:v>
                </c:pt>
                <c:pt idx="27">
                  <c:v>40.689500000000002</c:v>
                </c:pt>
                <c:pt idx="28">
                  <c:v>41.093299999999999</c:v>
                </c:pt>
                <c:pt idx="29">
                  <c:v>41.498100000000001</c:v>
                </c:pt>
                <c:pt idx="30">
                  <c:v>41.9054</c:v>
                </c:pt>
                <c:pt idx="31">
                  <c:v>42.314999999999998</c:v>
                </c:pt>
                <c:pt idx="32">
                  <c:v>42.722000000000001</c:v>
                </c:pt>
                <c:pt idx="33">
                  <c:v>43.126800000000003</c:v>
                </c:pt>
                <c:pt idx="34">
                  <c:v>43.531799999999997</c:v>
                </c:pt>
                <c:pt idx="35">
                  <c:v>43.935600000000001</c:v>
                </c:pt>
                <c:pt idx="36">
                  <c:v>44.3416</c:v>
                </c:pt>
                <c:pt idx="37">
                  <c:v>44.753500000000003</c:v>
                </c:pt>
                <c:pt idx="38">
                  <c:v>45.157499999999999</c:v>
                </c:pt>
                <c:pt idx="39">
                  <c:v>45.561300000000003</c:v>
                </c:pt>
                <c:pt idx="40">
                  <c:v>45.968400000000003</c:v>
                </c:pt>
                <c:pt idx="41">
                  <c:v>46.371899999999997</c:v>
                </c:pt>
                <c:pt idx="42">
                  <c:v>46.783099999999997</c:v>
                </c:pt>
                <c:pt idx="43">
                  <c:v>47.186999999999998</c:v>
                </c:pt>
                <c:pt idx="44">
                  <c:v>47.5974</c:v>
                </c:pt>
                <c:pt idx="45">
                  <c:v>48.003700000000002</c:v>
                </c:pt>
                <c:pt idx="46">
                  <c:v>48.407800000000002</c:v>
                </c:pt>
                <c:pt idx="47">
                  <c:v>48.811500000000002</c:v>
                </c:pt>
                <c:pt idx="48">
                  <c:v>49.218600000000002</c:v>
                </c:pt>
                <c:pt idx="49">
                  <c:v>49.623199999999997</c:v>
                </c:pt>
                <c:pt idx="50">
                  <c:v>50.034999999999997</c:v>
                </c:pt>
                <c:pt idx="51">
                  <c:v>50.440899999999999</c:v>
                </c:pt>
                <c:pt idx="52">
                  <c:v>50.846200000000003</c:v>
                </c:pt>
                <c:pt idx="53">
                  <c:v>51.249099999999999</c:v>
                </c:pt>
                <c:pt idx="54">
                  <c:v>51.658900000000003</c:v>
                </c:pt>
                <c:pt idx="55">
                  <c:v>52.064300000000003</c:v>
                </c:pt>
                <c:pt idx="56">
                  <c:v>52.471699999999998</c:v>
                </c:pt>
                <c:pt idx="57">
                  <c:v>52.872700000000002</c:v>
                </c:pt>
                <c:pt idx="58">
                  <c:v>53.283700000000003</c:v>
                </c:pt>
                <c:pt idx="59">
                  <c:v>53.687600000000003</c:v>
                </c:pt>
                <c:pt idx="60">
                  <c:v>54.092300000000002</c:v>
                </c:pt>
                <c:pt idx="61">
                  <c:v>54.501399999999997</c:v>
                </c:pt>
                <c:pt idx="62">
                  <c:v>54.909199999999998</c:v>
                </c:pt>
                <c:pt idx="63">
                  <c:v>55.3142</c:v>
                </c:pt>
                <c:pt idx="64">
                  <c:v>55.719000000000001</c:v>
                </c:pt>
                <c:pt idx="65">
                  <c:v>56.125900000000001</c:v>
                </c:pt>
                <c:pt idx="66">
                  <c:v>56.531999999999996</c:v>
                </c:pt>
                <c:pt idx="67">
                  <c:v>56.940800000000003</c:v>
                </c:pt>
                <c:pt idx="68">
                  <c:v>57.347000000000001</c:v>
                </c:pt>
                <c:pt idx="69">
                  <c:v>57.749200000000002</c:v>
                </c:pt>
                <c:pt idx="70">
                  <c:v>58.1556</c:v>
                </c:pt>
                <c:pt idx="71">
                  <c:v>58.564700000000002</c:v>
                </c:pt>
                <c:pt idx="72">
                  <c:v>58.972299999999997</c:v>
                </c:pt>
                <c:pt idx="73">
                  <c:v>59.377299999999998</c:v>
                </c:pt>
                <c:pt idx="74">
                  <c:v>59.782200000000003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4.5459800000000001</c:v>
                </c:pt>
                <c:pt idx="1">
                  <c:v>4.5501699999999996</c:v>
                </c:pt>
                <c:pt idx="2">
                  <c:v>4.5529299999999999</c:v>
                </c:pt>
                <c:pt idx="3">
                  <c:v>4.5516299999999994</c:v>
                </c:pt>
                <c:pt idx="4">
                  <c:v>4.5470500000000005</c:v>
                </c:pt>
                <c:pt idx="5">
                  <c:v>4.5393299999999996</c:v>
                </c:pt>
                <c:pt idx="6">
                  <c:v>4.5307199999999996</c:v>
                </c:pt>
                <c:pt idx="7">
                  <c:v>4.5203699999999998</c:v>
                </c:pt>
                <c:pt idx="8">
                  <c:v>4.5119300000000004</c:v>
                </c:pt>
                <c:pt idx="9">
                  <c:v>4.5013500000000004</c:v>
                </c:pt>
                <c:pt idx="10">
                  <c:v>4.4867900000000001</c:v>
                </c:pt>
                <c:pt idx="11">
                  <c:v>4.4717799999999999</c:v>
                </c:pt>
                <c:pt idx="12">
                  <c:v>4.4555299999999995</c:v>
                </c:pt>
                <c:pt idx="13">
                  <c:v>4.4404300000000001</c:v>
                </c:pt>
                <c:pt idx="14">
                  <c:v>4.4235299999999995</c:v>
                </c:pt>
                <c:pt idx="15">
                  <c:v>4.4058799999999998</c:v>
                </c:pt>
                <c:pt idx="16">
                  <c:v>4.3858600000000001</c:v>
                </c:pt>
                <c:pt idx="17">
                  <c:v>4.3647599999999995</c:v>
                </c:pt>
                <c:pt idx="18">
                  <c:v>4.3441200000000002</c:v>
                </c:pt>
                <c:pt idx="19">
                  <c:v>4.3231999999999999</c:v>
                </c:pt>
                <c:pt idx="20">
                  <c:v>4.3011499999999998</c:v>
                </c:pt>
                <c:pt idx="21">
                  <c:v>4.2764600000000002</c:v>
                </c:pt>
                <c:pt idx="22">
                  <c:v>4.2507799999999998</c:v>
                </c:pt>
                <c:pt idx="23">
                  <c:v>4.2232099999999999</c:v>
                </c:pt>
                <c:pt idx="24">
                  <c:v>4.1912500000000001</c:v>
                </c:pt>
                <c:pt idx="25">
                  <c:v>4.1566000000000001</c:v>
                </c:pt>
                <c:pt idx="26">
                  <c:v>4.1188399999999996</c:v>
                </c:pt>
                <c:pt idx="27">
                  <c:v>4.0817999999999994</c:v>
                </c:pt>
                <c:pt idx="28">
                  <c:v>4.04657</c:v>
                </c:pt>
                <c:pt idx="29">
                  <c:v>4.0124399999999998</c:v>
                </c:pt>
                <c:pt idx="30">
                  <c:v>3.9804599999999999</c:v>
                </c:pt>
                <c:pt idx="31">
                  <c:v>3.95173</c:v>
                </c:pt>
                <c:pt idx="32">
                  <c:v>3.9273099999999999</c:v>
                </c:pt>
                <c:pt idx="33">
                  <c:v>3.9052700000000002</c:v>
                </c:pt>
                <c:pt idx="34">
                  <c:v>3.8883099999999997</c:v>
                </c:pt>
                <c:pt idx="35">
                  <c:v>3.8782199999999998</c:v>
                </c:pt>
                <c:pt idx="36">
                  <c:v>3.8754100000000005</c:v>
                </c:pt>
                <c:pt idx="37">
                  <c:v>3.87758</c:v>
                </c:pt>
                <c:pt idx="38">
                  <c:v>3.8814599999999997</c:v>
                </c:pt>
                <c:pt idx="39">
                  <c:v>3.88801</c:v>
                </c:pt>
                <c:pt idx="40">
                  <c:v>3.8946999999999998</c:v>
                </c:pt>
                <c:pt idx="41">
                  <c:v>3.9066000000000001</c:v>
                </c:pt>
                <c:pt idx="42">
                  <c:v>3.9257499999999999</c:v>
                </c:pt>
                <c:pt idx="43">
                  <c:v>3.9460699999999997</c:v>
                </c:pt>
                <c:pt idx="44">
                  <c:v>3.9706900000000003</c:v>
                </c:pt>
                <c:pt idx="45">
                  <c:v>3.99437</c:v>
                </c:pt>
                <c:pt idx="46">
                  <c:v>4.0173800000000002</c:v>
                </c:pt>
                <c:pt idx="47">
                  <c:v>4.0396999999999998</c:v>
                </c:pt>
                <c:pt idx="48">
                  <c:v>4.0643000000000002</c:v>
                </c:pt>
                <c:pt idx="49">
                  <c:v>4.0933199999999994</c:v>
                </c:pt>
                <c:pt idx="50">
                  <c:v>4.12263</c:v>
                </c:pt>
                <c:pt idx="51">
                  <c:v>4.1407500000000006</c:v>
                </c:pt>
                <c:pt idx="52">
                  <c:v>4.1608900000000002</c:v>
                </c:pt>
                <c:pt idx="53">
                  <c:v>4.1820300000000001</c:v>
                </c:pt>
                <c:pt idx="54">
                  <c:v>4.2062300000000006</c:v>
                </c:pt>
                <c:pt idx="55">
                  <c:v>4.2308699999999995</c:v>
                </c:pt>
                <c:pt idx="56">
                  <c:v>4.2539999999999996</c:v>
                </c:pt>
                <c:pt idx="57">
                  <c:v>4.2766900000000003</c:v>
                </c:pt>
                <c:pt idx="58">
                  <c:v>4.2999700000000001</c:v>
                </c:pt>
                <c:pt idx="59">
                  <c:v>4.32219</c:v>
                </c:pt>
                <c:pt idx="60">
                  <c:v>4.3431199999999999</c:v>
                </c:pt>
                <c:pt idx="61">
                  <c:v>4.3595499999999996</c:v>
                </c:pt>
                <c:pt idx="62">
                  <c:v>4.3735499999999998</c:v>
                </c:pt>
                <c:pt idx="63">
                  <c:v>4.3876400000000002</c:v>
                </c:pt>
                <c:pt idx="64">
                  <c:v>4.4002099999999995</c:v>
                </c:pt>
                <c:pt idx="65">
                  <c:v>4.4166499999999997</c:v>
                </c:pt>
                <c:pt idx="66">
                  <c:v>4.4339899999999997</c:v>
                </c:pt>
                <c:pt idx="67">
                  <c:v>4.4422099999999993</c:v>
                </c:pt>
                <c:pt idx="68">
                  <c:v>4.4490099999999995</c:v>
                </c:pt>
                <c:pt idx="69">
                  <c:v>4.4435500000000001</c:v>
                </c:pt>
                <c:pt idx="70">
                  <c:v>4.4420599999999997</c:v>
                </c:pt>
                <c:pt idx="71">
                  <c:v>4.4432700000000001</c:v>
                </c:pt>
                <c:pt idx="72">
                  <c:v>4.4520799999999996</c:v>
                </c:pt>
                <c:pt idx="73">
                  <c:v>4.4616400000000001</c:v>
                </c:pt>
                <c:pt idx="74">
                  <c:v>4.4492900000000004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14.945550000000001</c:v>
                </c:pt>
                <c:pt idx="1">
                  <c:v>44.836650000000006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3.5307570270270272</c:v>
                </c:pt>
                <c:pt idx="1">
                  <c:v>4.2427995945945955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0.40703499999999998</c:v>
                </c:pt>
                <c:pt idx="2">
                  <c:v>0.81492799999999999</c:v>
                </c:pt>
                <c:pt idx="3">
                  <c:v>1.21879</c:v>
                </c:pt>
                <c:pt idx="4">
                  <c:v>1.62277</c:v>
                </c:pt>
                <c:pt idx="5">
                  <c:v>2.0306799999999998</c:v>
                </c:pt>
                <c:pt idx="6">
                  <c:v>2.4385699999999999</c:v>
                </c:pt>
                <c:pt idx="7">
                  <c:v>2.8467799999999999</c:v>
                </c:pt>
                <c:pt idx="8">
                  <c:v>3.2553299999999998</c:v>
                </c:pt>
                <c:pt idx="9">
                  <c:v>3.6553100000000001</c:v>
                </c:pt>
                <c:pt idx="10">
                  <c:v>4.0621900000000002</c:v>
                </c:pt>
                <c:pt idx="11">
                  <c:v>4.4721399999999996</c:v>
                </c:pt>
                <c:pt idx="12">
                  <c:v>4.8789499999999997</c:v>
                </c:pt>
                <c:pt idx="13">
                  <c:v>5.2849300000000001</c:v>
                </c:pt>
                <c:pt idx="14">
                  <c:v>5.6907899999999998</c:v>
                </c:pt>
                <c:pt idx="15">
                  <c:v>6.0957400000000002</c:v>
                </c:pt>
                <c:pt idx="16">
                  <c:v>6.50265</c:v>
                </c:pt>
                <c:pt idx="17">
                  <c:v>6.9046000000000003</c:v>
                </c:pt>
                <c:pt idx="18">
                  <c:v>7.3138199999999998</c:v>
                </c:pt>
                <c:pt idx="19">
                  <c:v>7.7204100000000002</c:v>
                </c:pt>
                <c:pt idx="20">
                  <c:v>8.1244399999999999</c:v>
                </c:pt>
                <c:pt idx="21">
                  <c:v>8.5332600000000003</c:v>
                </c:pt>
                <c:pt idx="22">
                  <c:v>8.9380799999999994</c:v>
                </c:pt>
                <c:pt idx="23">
                  <c:v>9.3430099999999996</c:v>
                </c:pt>
                <c:pt idx="24">
                  <c:v>9.7539099999999994</c:v>
                </c:pt>
                <c:pt idx="25">
                  <c:v>10.158899999999999</c:v>
                </c:pt>
                <c:pt idx="26">
                  <c:v>10.565799999999999</c:v>
                </c:pt>
                <c:pt idx="27">
                  <c:v>10.9697</c:v>
                </c:pt>
                <c:pt idx="28">
                  <c:v>11.3726</c:v>
                </c:pt>
                <c:pt idx="29">
                  <c:v>11.7788</c:v>
                </c:pt>
                <c:pt idx="30">
                  <c:v>12.1877</c:v>
                </c:pt>
                <c:pt idx="31">
                  <c:v>12.5954</c:v>
                </c:pt>
                <c:pt idx="32">
                  <c:v>13.001300000000001</c:v>
                </c:pt>
                <c:pt idx="33">
                  <c:v>13.408799999999999</c:v>
                </c:pt>
                <c:pt idx="34">
                  <c:v>13.815200000000001</c:v>
                </c:pt>
                <c:pt idx="35">
                  <c:v>14.2181</c:v>
                </c:pt>
                <c:pt idx="36">
                  <c:v>14.625400000000001</c:v>
                </c:pt>
                <c:pt idx="37">
                  <c:v>15.0291</c:v>
                </c:pt>
                <c:pt idx="38">
                  <c:v>15.438000000000001</c:v>
                </c:pt>
                <c:pt idx="39">
                  <c:v>15.845700000000001</c:v>
                </c:pt>
                <c:pt idx="40">
                  <c:v>16.249700000000001</c:v>
                </c:pt>
                <c:pt idx="41">
                  <c:v>16.654499999999999</c:v>
                </c:pt>
                <c:pt idx="42">
                  <c:v>17.064499999999999</c:v>
                </c:pt>
                <c:pt idx="43">
                  <c:v>17.471299999999999</c:v>
                </c:pt>
                <c:pt idx="44">
                  <c:v>17.877500000000001</c:v>
                </c:pt>
                <c:pt idx="45">
                  <c:v>18.281300000000002</c:v>
                </c:pt>
                <c:pt idx="46">
                  <c:v>18.688400000000001</c:v>
                </c:pt>
                <c:pt idx="47">
                  <c:v>19.094100000000001</c:v>
                </c:pt>
                <c:pt idx="48">
                  <c:v>19.501000000000001</c:v>
                </c:pt>
                <c:pt idx="49">
                  <c:v>19.906600000000001</c:v>
                </c:pt>
                <c:pt idx="50">
                  <c:v>20.315999999999999</c:v>
                </c:pt>
                <c:pt idx="51">
                  <c:v>20.7226</c:v>
                </c:pt>
                <c:pt idx="52">
                  <c:v>21.128499999999999</c:v>
                </c:pt>
                <c:pt idx="53">
                  <c:v>21.531400000000001</c:v>
                </c:pt>
                <c:pt idx="54">
                  <c:v>21.935400000000001</c:v>
                </c:pt>
                <c:pt idx="55">
                  <c:v>22.346599999999999</c:v>
                </c:pt>
                <c:pt idx="56">
                  <c:v>22.7531</c:v>
                </c:pt>
                <c:pt idx="57">
                  <c:v>23.156600000000001</c:v>
                </c:pt>
                <c:pt idx="58">
                  <c:v>23.563300000000002</c:v>
                </c:pt>
                <c:pt idx="59">
                  <c:v>23.9711</c:v>
                </c:pt>
                <c:pt idx="60">
                  <c:v>24.373000000000001</c:v>
                </c:pt>
                <c:pt idx="61">
                  <c:v>24.7837</c:v>
                </c:pt>
                <c:pt idx="62">
                  <c:v>25.189599999999999</c:v>
                </c:pt>
                <c:pt idx="63">
                  <c:v>25.593599999999999</c:v>
                </c:pt>
                <c:pt idx="64">
                  <c:v>26.002700000000001</c:v>
                </c:pt>
                <c:pt idx="65">
                  <c:v>26.406500000000001</c:v>
                </c:pt>
                <c:pt idx="66">
                  <c:v>26.813600000000001</c:v>
                </c:pt>
                <c:pt idx="67">
                  <c:v>27.220400000000001</c:v>
                </c:pt>
                <c:pt idx="68">
                  <c:v>27.627099999999999</c:v>
                </c:pt>
                <c:pt idx="69">
                  <c:v>28.034099999999999</c:v>
                </c:pt>
                <c:pt idx="70">
                  <c:v>28.440100000000001</c:v>
                </c:pt>
                <c:pt idx="71">
                  <c:v>28.844899999999999</c:v>
                </c:pt>
                <c:pt idx="72">
                  <c:v>29.251899999999999</c:v>
                </c:pt>
                <c:pt idx="73">
                  <c:v>29.659700000000001</c:v>
                </c:pt>
                <c:pt idx="74">
                  <c:v>30.065999999999999</c:v>
                </c:pt>
                <c:pt idx="75">
                  <c:v>30.6433</c:v>
                </c:pt>
                <c:pt idx="76">
                  <c:v>31.0181</c:v>
                </c:pt>
                <c:pt idx="77">
                  <c:v>31.3931</c:v>
                </c:pt>
                <c:pt idx="78">
                  <c:v>31.772099999999998</c:v>
                </c:pt>
                <c:pt idx="79">
                  <c:v>32.158200000000001</c:v>
                </c:pt>
                <c:pt idx="80">
                  <c:v>32.564999999999998</c:v>
                </c:pt>
                <c:pt idx="81">
                  <c:v>32.9709</c:v>
                </c:pt>
                <c:pt idx="82">
                  <c:v>33.375900000000001</c:v>
                </c:pt>
                <c:pt idx="83">
                  <c:v>33.782800000000002</c:v>
                </c:pt>
                <c:pt idx="84">
                  <c:v>34.188600000000001</c:v>
                </c:pt>
                <c:pt idx="85">
                  <c:v>34.593600000000002</c:v>
                </c:pt>
                <c:pt idx="86">
                  <c:v>35.000500000000002</c:v>
                </c:pt>
                <c:pt idx="87">
                  <c:v>35.408999999999999</c:v>
                </c:pt>
                <c:pt idx="88">
                  <c:v>35.813699999999997</c:v>
                </c:pt>
                <c:pt idx="89">
                  <c:v>36.219299999999997</c:v>
                </c:pt>
                <c:pt idx="90">
                  <c:v>36.626399999999997</c:v>
                </c:pt>
                <c:pt idx="91">
                  <c:v>37.030900000000003</c:v>
                </c:pt>
                <c:pt idx="92">
                  <c:v>37.438299999999998</c:v>
                </c:pt>
                <c:pt idx="93">
                  <c:v>37.8429</c:v>
                </c:pt>
                <c:pt idx="94">
                  <c:v>38.250799999999998</c:v>
                </c:pt>
                <c:pt idx="95">
                  <c:v>38.655799999999999</c:v>
                </c:pt>
                <c:pt idx="96">
                  <c:v>39.062899999999999</c:v>
                </c:pt>
                <c:pt idx="97">
                  <c:v>39.470599999999997</c:v>
                </c:pt>
                <c:pt idx="98">
                  <c:v>39.877800000000001</c:v>
                </c:pt>
                <c:pt idx="99">
                  <c:v>40.2834</c:v>
                </c:pt>
                <c:pt idx="100">
                  <c:v>40.689500000000002</c:v>
                </c:pt>
                <c:pt idx="101">
                  <c:v>41.093299999999999</c:v>
                </c:pt>
                <c:pt idx="102">
                  <c:v>41.498100000000001</c:v>
                </c:pt>
                <c:pt idx="103">
                  <c:v>41.9054</c:v>
                </c:pt>
                <c:pt idx="104">
                  <c:v>42.314999999999998</c:v>
                </c:pt>
                <c:pt idx="105">
                  <c:v>42.722000000000001</c:v>
                </c:pt>
                <c:pt idx="106">
                  <c:v>43.126800000000003</c:v>
                </c:pt>
                <c:pt idx="107">
                  <c:v>43.531799999999997</c:v>
                </c:pt>
                <c:pt idx="108">
                  <c:v>43.935600000000001</c:v>
                </c:pt>
                <c:pt idx="109">
                  <c:v>44.3416</c:v>
                </c:pt>
                <c:pt idx="110">
                  <c:v>44.753500000000003</c:v>
                </c:pt>
                <c:pt idx="111">
                  <c:v>45.157499999999999</c:v>
                </c:pt>
                <c:pt idx="112">
                  <c:v>45.561300000000003</c:v>
                </c:pt>
                <c:pt idx="113">
                  <c:v>45.968400000000003</c:v>
                </c:pt>
                <c:pt idx="114">
                  <c:v>46.371899999999997</c:v>
                </c:pt>
                <c:pt idx="115">
                  <c:v>46.783099999999997</c:v>
                </c:pt>
                <c:pt idx="116">
                  <c:v>47.186999999999998</c:v>
                </c:pt>
                <c:pt idx="117">
                  <c:v>47.5974</c:v>
                </c:pt>
                <c:pt idx="118">
                  <c:v>48.003700000000002</c:v>
                </c:pt>
                <c:pt idx="119">
                  <c:v>48.407800000000002</c:v>
                </c:pt>
                <c:pt idx="120">
                  <c:v>48.811500000000002</c:v>
                </c:pt>
                <c:pt idx="121">
                  <c:v>49.218600000000002</c:v>
                </c:pt>
                <c:pt idx="122">
                  <c:v>49.623199999999997</c:v>
                </c:pt>
                <c:pt idx="123">
                  <c:v>50.034999999999997</c:v>
                </c:pt>
                <c:pt idx="124">
                  <c:v>50.440899999999999</c:v>
                </c:pt>
                <c:pt idx="125">
                  <c:v>50.846200000000003</c:v>
                </c:pt>
                <c:pt idx="126">
                  <c:v>51.249099999999999</c:v>
                </c:pt>
                <c:pt idx="127">
                  <c:v>51.658900000000003</c:v>
                </c:pt>
                <c:pt idx="128">
                  <c:v>52.064300000000003</c:v>
                </c:pt>
                <c:pt idx="129">
                  <c:v>52.471699999999998</c:v>
                </c:pt>
                <c:pt idx="130">
                  <c:v>52.872700000000002</c:v>
                </c:pt>
                <c:pt idx="131">
                  <c:v>53.283700000000003</c:v>
                </c:pt>
                <c:pt idx="132">
                  <c:v>53.687600000000003</c:v>
                </c:pt>
                <c:pt idx="133">
                  <c:v>54.092300000000002</c:v>
                </c:pt>
                <c:pt idx="134">
                  <c:v>54.501399999999997</c:v>
                </c:pt>
                <c:pt idx="135">
                  <c:v>54.909199999999998</c:v>
                </c:pt>
                <c:pt idx="136">
                  <c:v>55.3142</c:v>
                </c:pt>
                <c:pt idx="137">
                  <c:v>55.719000000000001</c:v>
                </c:pt>
                <c:pt idx="138">
                  <c:v>56.125900000000001</c:v>
                </c:pt>
                <c:pt idx="139">
                  <c:v>56.531999999999996</c:v>
                </c:pt>
                <c:pt idx="140">
                  <c:v>56.940800000000003</c:v>
                </c:pt>
                <c:pt idx="141">
                  <c:v>57.347000000000001</c:v>
                </c:pt>
                <c:pt idx="142">
                  <c:v>57.749200000000002</c:v>
                </c:pt>
                <c:pt idx="143">
                  <c:v>58.1556</c:v>
                </c:pt>
                <c:pt idx="144">
                  <c:v>58.564700000000002</c:v>
                </c:pt>
                <c:pt idx="145">
                  <c:v>58.972299999999997</c:v>
                </c:pt>
                <c:pt idx="146">
                  <c:v>59.377299999999998</c:v>
                </c:pt>
                <c:pt idx="147">
                  <c:v>59.782200000000003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67.402299999999997</c:v>
                </c:pt>
                <c:pt idx="1">
                  <c:v>67.279199999999989</c:v>
                </c:pt>
                <c:pt idx="2">
                  <c:v>66.904899999999998</c:v>
                </c:pt>
                <c:pt idx="3">
                  <c:v>66.395400000000009</c:v>
                </c:pt>
                <c:pt idx="4">
                  <c:v>65.844499999999996</c:v>
                </c:pt>
                <c:pt idx="5">
                  <c:v>65.357299999999995</c:v>
                </c:pt>
                <c:pt idx="6">
                  <c:v>64.890199999999993</c:v>
                </c:pt>
                <c:pt idx="7">
                  <c:v>64.297300000000007</c:v>
                </c:pt>
                <c:pt idx="8">
                  <c:v>63.574100000000001</c:v>
                </c:pt>
                <c:pt idx="9">
                  <c:v>62.746900000000004</c:v>
                </c:pt>
                <c:pt idx="10">
                  <c:v>61.838099999999997</c:v>
                </c:pt>
                <c:pt idx="11">
                  <c:v>60.903500000000001</c:v>
                </c:pt>
                <c:pt idx="12">
                  <c:v>60.015500000000003</c:v>
                </c:pt>
                <c:pt idx="13">
                  <c:v>59.122799999999998</c:v>
                </c:pt>
                <c:pt idx="14">
                  <c:v>58.158699999999996</c:v>
                </c:pt>
                <c:pt idx="15">
                  <c:v>57.086800000000004</c:v>
                </c:pt>
                <c:pt idx="16">
                  <c:v>55.917799999999993</c:v>
                </c:pt>
                <c:pt idx="17">
                  <c:v>54.645900000000005</c:v>
                </c:pt>
                <c:pt idx="18">
                  <c:v>53.440399999999997</c:v>
                </c:pt>
                <c:pt idx="19">
                  <c:v>52.549800000000005</c:v>
                </c:pt>
                <c:pt idx="20">
                  <c:v>51.9621</c:v>
                </c:pt>
                <c:pt idx="21">
                  <c:v>51.443099999999994</c:v>
                </c:pt>
                <c:pt idx="22">
                  <c:v>50.958800000000004</c:v>
                </c:pt>
                <c:pt idx="23">
                  <c:v>50.601900000000001</c:v>
                </c:pt>
                <c:pt idx="24">
                  <c:v>50.216000000000008</c:v>
                </c:pt>
                <c:pt idx="25">
                  <c:v>49.872199999999999</c:v>
                </c:pt>
                <c:pt idx="26">
                  <c:v>49.656399999999998</c:v>
                </c:pt>
                <c:pt idx="27">
                  <c:v>49.587399999999995</c:v>
                </c:pt>
                <c:pt idx="28">
                  <c:v>49.576700000000002</c:v>
                </c:pt>
                <c:pt idx="29">
                  <c:v>49.626899999999999</c:v>
                </c:pt>
                <c:pt idx="30">
                  <c:v>49.730400000000003</c:v>
                </c:pt>
                <c:pt idx="31">
                  <c:v>49.788399999999996</c:v>
                </c:pt>
                <c:pt idx="32">
                  <c:v>49.815100000000001</c:v>
                </c:pt>
                <c:pt idx="33">
                  <c:v>49.980400000000003</c:v>
                </c:pt>
                <c:pt idx="34">
                  <c:v>50.353200000000001</c:v>
                </c:pt>
                <c:pt idx="35">
                  <c:v>50.773900000000005</c:v>
                </c:pt>
                <c:pt idx="36">
                  <c:v>51.173900000000003</c:v>
                </c:pt>
                <c:pt idx="37">
                  <c:v>51.538600000000002</c:v>
                </c:pt>
                <c:pt idx="38">
                  <c:v>51.870199999999997</c:v>
                </c:pt>
                <c:pt idx="39">
                  <c:v>52.192799999999991</c:v>
                </c:pt>
                <c:pt idx="40">
                  <c:v>52.437599999999996</c:v>
                </c:pt>
                <c:pt idx="41">
                  <c:v>52.689500000000002</c:v>
                </c:pt>
                <c:pt idx="42">
                  <c:v>53.012899999999995</c:v>
                </c:pt>
                <c:pt idx="43">
                  <c:v>53.25</c:v>
                </c:pt>
                <c:pt idx="44">
                  <c:v>53.410699999999999</c:v>
                </c:pt>
                <c:pt idx="45">
                  <c:v>53.647999999999996</c:v>
                </c:pt>
                <c:pt idx="46">
                  <c:v>53.857299999999995</c:v>
                </c:pt>
                <c:pt idx="47">
                  <c:v>53.979200000000006</c:v>
                </c:pt>
                <c:pt idx="48">
                  <c:v>54.121900000000004</c:v>
                </c:pt>
                <c:pt idx="49">
                  <c:v>54.343799999999995</c:v>
                </c:pt>
                <c:pt idx="50">
                  <c:v>54.630900000000004</c:v>
                </c:pt>
                <c:pt idx="51">
                  <c:v>54.724200000000003</c:v>
                </c:pt>
                <c:pt idx="52">
                  <c:v>54.778499999999994</c:v>
                </c:pt>
                <c:pt idx="53">
                  <c:v>54.797899999999998</c:v>
                </c:pt>
                <c:pt idx="54">
                  <c:v>54.798999999999999</c:v>
                </c:pt>
                <c:pt idx="55">
                  <c:v>54.791500000000006</c:v>
                </c:pt>
                <c:pt idx="56">
                  <c:v>54.772100000000002</c:v>
                </c:pt>
                <c:pt idx="57">
                  <c:v>54.690899999999999</c:v>
                </c:pt>
                <c:pt idx="58">
                  <c:v>54.5443</c:v>
                </c:pt>
                <c:pt idx="59">
                  <c:v>54.3718</c:v>
                </c:pt>
                <c:pt idx="60">
                  <c:v>54.173499999999997</c:v>
                </c:pt>
                <c:pt idx="61">
                  <c:v>53.950200000000002</c:v>
                </c:pt>
                <c:pt idx="62">
                  <c:v>53.73</c:v>
                </c:pt>
                <c:pt idx="63">
                  <c:v>53.515100000000004</c:v>
                </c:pt>
                <c:pt idx="64">
                  <c:v>53.283800000000006</c:v>
                </c:pt>
                <c:pt idx="65">
                  <c:v>53.018200000000007</c:v>
                </c:pt>
                <c:pt idx="66">
                  <c:v>52.730900000000005</c:v>
                </c:pt>
                <c:pt idx="67">
                  <c:v>52.488599999999998</c:v>
                </c:pt>
                <c:pt idx="68">
                  <c:v>52.296900000000001</c:v>
                </c:pt>
                <c:pt idx="69">
                  <c:v>52.166400000000003</c:v>
                </c:pt>
                <c:pt idx="70">
                  <c:v>52.033799999999999</c:v>
                </c:pt>
                <c:pt idx="71">
                  <c:v>51.948099999999997</c:v>
                </c:pt>
                <c:pt idx="72">
                  <c:v>51.930600000000005</c:v>
                </c:pt>
                <c:pt idx="73">
                  <c:v>51.936000000000007</c:v>
                </c:pt>
                <c:pt idx="74">
                  <c:v>51.980400000000003</c:v>
                </c:pt>
                <c:pt idx="75">
                  <c:v>52.1374</c:v>
                </c:pt>
                <c:pt idx="76">
                  <c:v>52.271999999999998</c:v>
                </c:pt>
                <c:pt idx="77">
                  <c:v>52.401600000000002</c:v>
                </c:pt>
                <c:pt idx="78">
                  <c:v>52.557600000000008</c:v>
                </c:pt>
                <c:pt idx="79">
                  <c:v>52.745699999999992</c:v>
                </c:pt>
                <c:pt idx="80">
                  <c:v>52.904799999999994</c:v>
                </c:pt>
                <c:pt idx="81">
                  <c:v>53.017499999999998</c:v>
                </c:pt>
                <c:pt idx="82">
                  <c:v>53.1967</c:v>
                </c:pt>
                <c:pt idx="83">
                  <c:v>53.366</c:v>
                </c:pt>
                <c:pt idx="84">
                  <c:v>53.519599999999997</c:v>
                </c:pt>
                <c:pt idx="85">
                  <c:v>53.694200000000002</c:v>
                </c:pt>
                <c:pt idx="86">
                  <c:v>53.896100000000004</c:v>
                </c:pt>
                <c:pt idx="87">
                  <c:v>54.144499999999994</c:v>
                </c:pt>
                <c:pt idx="88">
                  <c:v>54.282699999999991</c:v>
                </c:pt>
                <c:pt idx="89">
                  <c:v>54.323399999999999</c:v>
                </c:pt>
                <c:pt idx="90">
                  <c:v>54.337299999999999</c:v>
                </c:pt>
                <c:pt idx="91">
                  <c:v>54.312899999999999</c:v>
                </c:pt>
                <c:pt idx="92">
                  <c:v>54.237500000000004</c:v>
                </c:pt>
                <c:pt idx="93">
                  <c:v>54.144199999999998</c:v>
                </c:pt>
                <c:pt idx="94">
                  <c:v>54.019600000000004</c:v>
                </c:pt>
                <c:pt idx="95">
                  <c:v>53.884200000000007</c:v>
                </c:pt>
                <c:pt idx="96">
                  <c:v>53.664199999999994</c:v>
                </c:pt>
                <c:pt idx="97">
                  <c:v>53.380200000000002</c:v>
                </c:pt>
                <c:pt idx="98">
                  <c:v>53.066199999999995</c:v>
                </c:pt>
                <c:pt idx="99">
                  <c:v>52.719700000000003</c:v>
                </c:pt>
                <c:pt idx="100">
                  <c:v>52.3401</c:v>
                </c:pt>
                <c:pt idx="101">
                  <c:v>51.903299999999994</c:v>
                </c:pt>
                <c:pt idx="102">
                  <c:v>51.393900000000002</c:v>
                </c:pt>
                <c:pt idx="103">
                  <c:v>50.947400000000002</c:v>
                </c:pt>
                <c:pt idx="104">
                  <c:v>50.601500000000001</c:v>
                </c:pt>
                <c:pt idx="105">
                  <c:v>50.2791</c:v>
                </c:pt>
                <c:pt idx="106">
                  <c:v>50.1038</c:v>
                </c:pt>
                <c:pt idx="107">
                  <c:v>49.952300000000001</c:v>
                </c:pt>
                <c:pt idx="108">
                  <c:v>49.712499999999999</c:v>
                </c:pt>
                <c:pt idx="109">
                  <c:v>49.467700000000001</c:v>
                </c:pt>
                <c:pt idx="110">
                  <c:v>49.2224</c:v>
                </c:pt>
                <c:pt idx="111">
                  <c:v>48.947699999999998</c:v>
                </c:pt>
                <c:pt idx="112">
                  <c:v>48.644599999999997</c:v>
                </c:pt>
                <c:pt idx="113">
                  <c:v>48.478200000000001</c:v>
                </c:pt>
                <c:pt idx="114">
                  <c:v>48.337000000000003</c:v>
                </c:pt>
                <c:pt idx="115">
                  <c:v>48.151200000000003</c:v>
                </c:pt>
                <c:pt idx="116">
                  <c:v>47.999199999999995</c:v>
                </c:pt>
                <c:pt idx="117">
                  <c:v>47.8279</c:v>
                </c:pt>
                <c:pt idx="118">
                  <c:v>47.756500000000003</c:v>
                </c:pt>
                <c:pt idx="119">
                  <c:v>47.735699999999994</c:v>
                </c:pt>
                <c:pt idx="120">
                  <c:v>47.7943</c:v>
                </c:pt>
                <c:pt idx="121">
                  <c:v>47.939500000000002</c:v>
                </c:pt>
                <c:pt idx="122">
                  <c:v>48.207699999999996</c:v>
                </c:pt>
                <c:pt idx="123">
                  <c:v>48.639800000000001</c:v>
                </c:pt>
                <c:pt idx="124">
                  <c:v>48.935499999999998</c:v>
                </c:pt>
                <c:pt idx="125">
                  <c:v>49.325200000000002</c:v>
                </c:pt>
                <c:pt idx="126">
                  <c:v>49.816700000000004</c:v>
                </c:pt>
                <c:pt idx="127">
                  <c:v>50.479399999999998</c:v>
                </c:pt>
                <c:pt idx="128">
                  <c:v>51.189900000000002</c:v>
                </c:pt>
                <c:pt idx="129">
                  <c:v>51.855200000000004</c:v>
                </c:pt>
                <c:pt idx="130">
                  <c:v>52.555799999999998</c:v>
                </c:pt>
                <c:pt idx="131">
                  <c:v>53.152100000000004</c:v>
                </c:pt>
                <c:pt idx="132">
                  <c:v>53.633499999999998</c:v>
                </c:pt>
                <c:pt idx="133">
                  <c:v>54.133600000000001</c:v>
                </c:pt>
                <c:pt idx="134">
                  <c:v>54.473199999999999</c:v>
                </c:pt>
                <c:pt idx="135">
                  <c:v>54.729399999999998</c:v>
                </c:pt>
                <c:pt idx="136">
                  <c:v>55.027899999999995</c:v>
                </c:pt>
                <c:pt idx="137">
                  <c:v>55.339799999999997</c:v>
                </c:pt>
                <c:pt idx="138">
                  <c:v>55.598899999999993</c:v>
                </c:pt>
                <c:pt idx="139">
                  <c:v>55.879599999999996</c:v>
                </c:pt>
                <c:pt idx="140">
                  <c:v>56.087299999999999</c:v>
                </c:pt>
                <c:pt idx="141">
                  <c:v>56.242000000000004</c:v>
                </c:pt>
                <c:pt idx="142">
                  <c:v>56.3461</c:v>
                </c:pt>
                <c:pt idx="143">
                  <c:v>56.337499999999999</c:v>
                </c:pt>
                <c:pt idx="144">
                  <c:v>56.454999999999998</c:v>
                </c:pt>
                <c:pt idx="145">
                  <c:v>56.7256</c:v>
                </c:pt>
                <c:pt idx="146">
                  <c:v>57.158099999999997</c:v>
                </c:pt>
                <c:pt idx="147">
                  <c:v>57.854300000000002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0.40703499999999998</c:v>
                </c:pt>
                <c:pt idx="2">
                  <c:v>0.81492799999999999</c:v>
                </c:pt>
                <c:pt idx="3">
                  <c:v>1.21879</c:v>
                </c:pt>
                <c:pt idx="4">
                  <c:v>1.62277</c:v>
                </c:pt>
                <c:pt idx="5">
                  <c:v>2.0306799999999998</c:v>
                </c:pt>
                <c:pt idx="6">
                  <c:v>2.4385699999999999</c:v>
                </c:pt>
                <c:pt idx="7">
                  <c:v>2.8467799999999999</c:v>
                </c:pt>
                <c:pt idx="8">
                  <c:v>3.2553299999999998</c:v>
                </c:pt>
                <c:pt idx="9">
                  <c:v>3.6553100000000001</c:v>
                </c:pt>
                <c:pt idx="10">
                  <c:v>4.0621900000000002</c:v>
                </c:pt>
                <c:pt idx="11">
                  <c:v>4.4721399999999996</c:v>
                </c:pt>
                <c:pt idx="12">
                  <c:v>4.8789499999999997</c:v>
                </c:pt>
                <c:pt idx="13">
                  <c:v>5.2849300000000001</c:v>
                </c:pt>
                <c:pt idx="14">
                  <c:v>5.6907899999999998</c:v>
                </c:pt>
                <c:pt idx="15">
                  <c:v>6.0957400000000002</c:v>
                </c:pt>
                <c:pt idx="16">
                  <c:v>6.50265</c:v>
                </c:pt>
                <c:pt idx="17">
                  <c:v>6.9046000000000003</c:v>
                </c:pt>
                <c:pt idx="18">
                  <c:v>7.3138199999999998</c:v>
                </c:pt>
                <c:pt idx="19">
                  <c:v>7.7204100000000002</c:v>
                </c:pt>
                <c:pt idx="20">
                  <c:v>8.1244399999999999</c:v>
                </c:pt>
                <c:pt idx="21">
                  <c:v>8.5332600000000003</c:v>
                </c:pt>
                <c:pt idx="22">
                  <c:v>8.9380799999999994</c:v>
                </c:pt>
                <c:pt idx="23">
                  <c:v>9.3430099999999996</c:v>
                </c:pt>
                <c:pt idx="24">
                  <c:v>9.7539099999999994</c:v>
                </c:pt>
                <c:pt idx="25">
                  <c:v>10.158899999999999</c:v>
                </c:pt>
                <c:pt idx="26">
                  <c:v>10.565799999999999</c:v>
                </c:pt>
                <c:pt idx="27">
                  <c:v>10.9697</c:v>
                </c:pt>
                <c:pt idx="28">
                  <c:v>11.3726</c:v>
                </c:pt>
                <c:pt idx="29">
                  <c:v>11.7788</c:v>
                </c:pt>
                <c:pt idx="30">
                  <c:v>12.1877</c:v>
                </c:pt>
                <c:pt idx="31">
                  <c:v>12.5954</c:v>
                </c:pt>
                <c:pt idx="32">
                  <c:v>13.001300000000001</c:v>
                </c:pt>
                <c:pt idx="33">
                  <c:v>13.408799999999999</c:v>
                </c:pt>
                <c:pt idx="34">
                  <c:v>13.815200000000001</c:v>
                </c:pt>
                <c:pt idx="35">
                  <c:v>14.2181</c:v>
                </c:pt>
                <c:pt idx="36">
                  <c:v>14.625400000000001</c:v>
                </c:pt>
                <c:pt idx="37">
                  <c:v>15.0291</c:v>
                </c:pt>
                <c:pt idx="38">
                  <c:v>15.438000000000001</c:v>
                </c:pt>
                <c:pt idx="39">
                  <c:v>15.845700000000001</c:v>
                </c:pt>
                <c:pt idx="40">
                  <c:v>16.249700000000001</c:v>
                </c:pt>
                <c:pt idx="41">
                  <c:v>16.654499999999999</c:v>
                </c:pt>
                <c:pt idx="42">
                  <c:v>17.064499999999999</c:v>
                </c:pt>
                <c:pt idx="43">
                  <c:v>17.471299999999999</c:v>
                </c:pt>
                <c:pt idx="44">
                  <c:v>17.877500000000001</c:v>
                </c:pt>
                <c:pt idx="45">
                  <c:v>18.281300000000002</c:v>
                </c:pt>
                <c:pt idx="46">
                  <c:v>18.688400000000001</c:v>
                </c:pt>
                <c:pt idx="47">
                  <c:v>19.094100000000001</c:v>
                </c:pt>
                <c:pt idx="48">
                  <c:v>19.501000000000001</c:v>
                </c:pt>
                <c:pt idx="49">
                  <c:v>19.906600000000001</c:v>
                </c:pt>
                <c:pt idx="50">
                  <c:v>20.315999999999999</c:v>
                </c:pt>
                <c:pt idx="51">
                  <c:v>20.7226</c:v>
                </c:pt>
                <c:pt idx="52">
                  <c:v>21.128499999999999</c:v>
                </c:pt>
                <c:pt idx="53">
                  <c:v>21.531400000000001</c:v>
                </c:pt>
                <c:pt idx="54">
                  <c:v>21.935400000000001</c:v>
                </c:pt>
                <c:pt idx="55">
                  <c:v>22.346599999999999</c:v>
                </c:pt>
                <c:pt idx="56">
                  <c:v>22.7531</c:v>
                </c:pt>
                <c:pt idx="57">
                  <c:v>23.156600000000001</c:v>
                </c:pt>
                <c:pt idx="58">
                  <c:v>23.563300000000002</c:v>
                </c:pt>
                <c:pt idx="59">
                  <c:v>23.9711</c:v>
                </c:pt>
                <c:pt idx="60">
                  <c:v>24.373000000000001</c:v>
                </c:pt>
                <c:pt idx="61">
                  <c:v>24.7837</c:v>
                </c:pt>
                <c:pt idx="62">
                  <c:v>25.189599999999999</c:v>
                </c:pt>
                <c:pt idx="63">
                  <c:v>25.593599999999999</c:v>
                </c:pt>
                <c:pt idx="64">
                  <c:v>26.002700000000001</c:v>
                </c:pt>
                <c:pt idx="65">
                  <c:v>26.406500000000001</c:v>
                </c:pt>
                <c:pt idx="66">
                  <c:v>26.813600000000001</c:v>
                </c:pt>
                <c:pt idx="67">
                  <c:v>27.220400000000001</c:v>
                </c:pt>
                <c:pt idx="68">
                  <c:v>27.627099999999999</c:v>
                </c:pt>
                <c:pt idx="69">
                  <c:v>28.034099999999999</c:v>
                </c:pt>
                <c:pt idx="70">
                  <c:v>28.440100000000001</c:v>
                </c:pt>
                <c:pt idx="71">
                  <c:v>28.844899999999999</c:v>
                </c:pt>
                <c:pt idx="72">
                  <c:v>29.251899999999999</c:v>
                </c:pt>
                <c:pt idx="73">
                  <c:v>29.659700000000001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67.402299999999997</c:v>
                </c:pt>
                <c:pt idx="1">
                  <c:v>67.279199999999989</c:v>
                </c:pt>
                <c:pt idx="2">
                  <c:v>66.904899999999998</c:v>
                </c:pt>
                <c:pt idx="3">
                  <c:v>66.395400000000009</c:v>
                </c:pt>
                <c:pt idx="4">
                  <c:v>65.844499999999996</c:v>
                </c:pt>
                <c:pt idx="5">
                  <c:v>65.357299999999995</c:v>
                </c:pt>
                <c:pt idx="6">
                  <c:v>64.890199999999993</c:v>
                </c:pt>
                <c:pt idx="7">
                  <c:v>64.297300000000007</c:v>
                </c:pt>
                <c:pt idx="8">
                  <c:v>63.574100000000001</c:v>
                </c:pt>
                <c:pt idx="9">
                  <c:v>62.746900000000004</c:v>
                </c:pt>
                <c:pt idx="10">
                  <c:v>61.838099999999997</c:v>
                </c:pt>
                <c:pt idx="11">
                  <c:v>60.903500000000001</c:v>
                </c:pt>
                <c:pt idx="12">
                  <c:v>60.015500000000003</c:v>
                </c:pt>
                <c:pt idx="13">
                  <c:v>59.122799999999998</c:v>
                </c:pt>
                <c:pt idx="14">
                  <c:v>58.158699999999996</c:v>
                </c:pt>
                <c:pt idx="15">
                  <c:v>57.086800000000004</c:v>
                </c:pt>
                <c:pt idx="16">
                  <c:v>55.917799999999993</c:v>
                </c:pt>
                <c:pt idx="17">
                  <c:v>54.645900000000005</c:v>
                </c:pt>
                <c:pt idx="18">
                  <c:v>53.440399999999997</c:v>
                </c:pt>
                <c:pt idx="19">
                  <c:v>52.549800000000005</c:v>
                </c:pt>
                <c:pt idx="20">
                  <c:v>51.9621</c:v>
                </c:pt>
                <c:pt idx="21">
                  <c:v>51.443099999999994</c:v>
                </c:pt>
                <c:pt idx="22">
                  <c:v>50.958800000000004</c:v>
                </c:pt>
                <c:pt idx="23">
                  <c:v>50.601900000000001</c:v>
                </c:pt>
                <c:pt idx="24">
                  <c:v>50.216000000000008</c:v>
                </c:pt>
                <c:pt idx="25">
                  <c:v>49.872199999999999</c:v>
                </c:pt>
                <c:pt idx="26">
                  <c:v>49.656399999999998</c:v>
                </c:pt>
                <c:pt idx="27">
                  <c:v>49.587399999999995</c:v>
                </c:pt>
                <c:pt idx="28">
                  <c:v>49.576700000000002</c:v>
                </c:pt>
                <c:pt idx="29">
                  <c:v>49.626899999999999</c:v>
                </c:pt>
                <c:pt idx="30">
                  <c:v>49.730400000000003</c:v>
                </c:pt>
                <c:pt idx="31">
                  <c:v>49.788399999999996</c:v>
                </c:pt>
                <c:pt idx="32">
                  <c:v>49.815100000000001</c:v>
                </c:pt>
                <c:pt idx="33">
                  <c:v>49.980400000000003</c:v>
                </c:pt>
                <c:pt idx="34">
                  <c:v>50.353200000000001</c:v>
                </c:pt>
                <c:pt idx="35">
                  <c:v>50.773900000000005</c:v>
                </c:pt>
                <c:pt idx="36">
                  <c:v>51.173900000000003</c:v>
                </c:pt>
                <c:pt idx="37">
                  <c:v>51.538600000000002</c:v>
                </c:pt>
                <c:pt idx="38">
                  <c:v>51.870199999999997</c:v>
                </c:pt>
                <c:pt idx="39">
                  <c:v>52.192799999999991</c:v>
                </c:pt>
                <c:pt idx="40">
                  <c:v>52.437599999999996</c:v>
                </c:pt>
                <c:pt idx="41">
                  <c:v>52.689500000000002</c:v>
                </c:pt>
                <c:pt idx="42">
                  <c:v>53.012899999999995</c:v>
                </c:pt>
                <c:pt idx="43">
                  <c:v>53.25</c:v>
                </c:pt>
                <c:pt idx="44">
                  <c:v>53.410699999999999</c:v>
                </c:pt>
                <c:pt idx="45">
                  <c:v>53.647999999999996</c:v>
                </c:pt>
                <c:pt idx="46">
                  <c:v>53.857299999999995</c:v>
                </c:pt>
                <c:pt idx="47">
                  <c:v>53.979200000000006</c:v>
                </c:pt>
                <c:pt idx="48">
                  <c:v>54.121900000000004</c:v>
                </c:pt>
                <c:pt idx="49">
                  <c:v>54.343799999999995</c:v>
                </c:pt>
                <c:pt idx="50">
                  <c:v>54.630900000000004</c:v>
                </c:pt>
                <c:pt idx="51">
                  <c:v>54.724200000000003</c:v>
                </c:pt>
                <c:pt idx="52">
                  <c:v>54.778499999999994</c:v>
                </c:pt>
                <c:pt idx="53">
                  <c:v>54.797899999999998</c:v>
                </c:pt>
                <c:pt idx="54">
                  <c:v>54.798999999999999</c:v>
                </c:pt>
                <c:pt idx="55">
                  <c:v>54.791500000000006</c:v>
                </c:pt>
                <c:pt idx="56">
                  <c:v>54.772100000000002</c:v>
                </c:pt>
                <c:pt idx="57">
                  <c:v>54.690899999999999</c:v>
                </c:pt>
                <c:pt idx="58">
                  <c:v>54.5443</c:v>
                </c:pt>
                <c:pt idx="59">
                  <c:v>54.3718</c:v>
                </c:pt>
                <c:pt idx="60">
                  <c:v>54.173499999999997</c:v>
                </c:pt>
                <c:pt idx="61">
                  <c:v>53.950200000000002</c:v>
                </c:pt>
                <c:pt idx="62">
                  <c:v>53.73</c:v>
                </c:pt>
                <c:pt idx="63">
                  <c:v>53.515100000000004</c:v>
                </c:pt>
                <c:pt idx="64">
                  <c:v>53.283800000000006</c:v>
                </c:pt>
                <c:pt idx="65">
                  <c:v>53.018200000000007</c:v>
                </c:pt>
                <c:pt idx="66">
                  <c:v>52.730900000000005</c:v>
                </c:pt>
                <c:pt idx="67">
                  <c:v>52.488599999999998</c:v>
                </c:pt>
                <c:pt idx="68">
                  <c:v>52.296900000000001</c:v>
                </c:pt>
                <c:pt idx="69">
                  <c:v>52.166400000000003</c:v>
                </c:pt>
                <c:pt idx="70">
                  <c:v>52.033799999999999</c:v>
                </c:pt>
                <c:pt idx="71">
                  <c:v>51.948099999999997</c:v>
                </c:pt>
                <c:pt idx="72">
                  <c:v>51.930600000000005</c:v>
                </c:pt>
                <c:pt idx="73">
                  <c:v>51.936000000000007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29.659700000000001</c:v>
                </c:pt>
                <c:pt idx="1">
                  <c:v>30.065999999999999</c:v>
                </c:pt>
                <c:pt idx="2">
                  <c:v>30.6433</c:v>
                </c:pt>
                <c:pt idx="3">
                  <c:v>31.0181</c:v>
                </c:pt>
                <c:pt idx="4">
                  <c:v>31.3931</c:v>
                </c:pt>
                <c:pt idx="5">
                  <c:v>31.772099999999998</c:v>
                </c:pt>
                <c:pt idx="6">
                  <c:v>32.158200000000001</c:v>
                </c:pt>
                <c:pt idx="7">
                  <c:v>32.564999999999998</c:v>
                </c:pt>
                <c:pt idx="8">
                  <c:v>32.9709</c:v>
                </c:pt>
                <c:pt idx="9">
                  <c:v>33.375900000000001</c:v>
                </c:pt>
                <c:pt idx="10">
                  <c:v>33.782800000000002</c:v>
                </c:pt>
                <c:pt idx="11">
                  <c:v>34.188600000000001</c:v>
                </c:pt>
                <c:pt idx="12">
                  <c:v>34.593600000000002</c:v>
                </c:pt>
                <c:pt idx="13">
                  <c:v>35.000500000000002</c:v>
                </c:pt>
                <c:pt idx="14">
                  <c:v>35.408999999999999</c:v>
                </c:pt>
                <c:pt idx="15">
                  <c:v>35.813699999999997</c:v>
                </c:pt>
                <c:pt idx="16">
                  <c:v>36.219299999999997</c:v>
                </c:pt>
                <c:pt idx="17">
                  <c:v>36.626399999999997</c:v>
                </c:pt>
                <c:pt idx="18">
                  <c:v>37.030900000000003</c:v>
                </c:pt>
                <c:pt idx="19">
                  <c:v>37.438299999999998</c:v>
                </c:pt>
                <c:pt idx="20">
                  <c:v>37.8429</c:v>
                </c:pt>
                <c:pt idx="21">
                  <c:v>38.250799999999998</c:v>
                </c:pt>
                <c:pt idx="22">
                  <c:v>38.655799999999999</c:v>
                </c:pt>
                <c:pt idx="23">
                  <c:v>39.062899999999999</c:v>
                </c:pt>
                <c:pt idx="24">
                  <c:v>39.470599999999997</c:v>
                </c:pt>
                <c:pt idx="25">
                  <c:v>39.877800000000001</c:v>
                </c:pt>
                <c:pt idx="26">
                  <c:v>40.2834</c:v>
                </c:pt>
                <c:pt idx="27">
                  <c:v>40.689500000000002</c:v>
                </c:pt>
                <c:pt idx="28">
                  <c:v>41.093299999999999</c:v>
                </c:pt>
                <c:pt idx="29">
                  <c:v>41.498100000000001</c:v>
                </c:pt>
                <c:pt idx="30">
                  <c:v>41.9054</c:v>
                </c:pt>
                <c:pt idx="31">
                  <c:v>42.314999999999998</c:v>
                </c:pt>
                <c:pt idx="32">
                  <c:v>42.722000000000001</c:v>
                </c:pt>
                <c:pt idx="33">
                  <c:v>43.126800000000003</c:v>
                </c:pt>
                <c:pt idx="34">
                  <c:v>43.531799999999997</c:v>
                </c:pt>
                <c:pt idx="35">
                  <c:v>43.935600000000001</c:v>
                </c:pt>
                <c:pt idx="36">
                  <c:v>44.3416</c:v>
                </c:pt>
                <c:pt idx="37">
                  <c:v>44.753500000000003</c:v>
                </c:pt>
                <c:pt idx="38">
                  <c:v>45.157499999999999</c:v>
                </c:pt>
                <c:pt idx="39">
                  <c:v>45.561300000000003</c:v>
                </c:pt>
                <c:pt idx="40">
                  <c:v>45.968400000000003</c:v>
                </c:pt>
                <c:pt idx="41">
                  <c:v>46.371899999999997</c:v>
                </c:pt>
                <c:pt idx="42">
                  <c:v>46.783099999999997</c:v>
                </c:pt>
                <c:pt idx="43">
                  <c:v>47.186999999999998</c:v>
                </c:pt>
                <c:pt idx="44">
                  <c:v>47.5974</c:v>
                </c:pt>
                <c:pt idx="45">
                  <c:v>48.003700000000002</c:v>
                </c:pt>
                <c:pt idx="46">
                  <c:v>48.407800000000002</c:v>
                </c:pt>
                <c:pt idx="47">
                  <c:v>48.811500000000002</c:v>
                </c:pt>
                <c:pt idx="48">
                  <c:v>49.218600000000002</c:v>
                </c:pt>
                <c:pt idx="49">
                  <c:v>49.623199999999997</c:v>
                </c:pt>
                <c:pt idx="50">
                  <c:v>50.034999999999997</c:v>
                </c:pt>
                <c:pt idx="51">
                  <c:v>50.440899999999999</c:v>
                </c:pt>
                <c:pt idx="52">
                  <c:v>50.846200000000003</c:v>
                </c:pt>
                <c:pt idx="53">
                  <c:v>51.249099999999999</c:v>
                </c:pt>
                <c:pt idx="54">
                  <c:v>51.658900000000003</c:v>
                </c:pt>
                <c:pt idx="55">
                  <c:v>52.064300000000003</c:v>
                </c:pt>
                <c:pt idx="56">
                  <c:v>52.471699999999998</c:v>
                </c:pt>
                <c:pt idx="57">
                  <c:v>52.872700000000002</c:v>
                </c:pt>
                <c:pt idx="58">
                  <c:v>53.283700000000003</c:v>
                </c:pt>
                <c:pt idx="59">
                  <c:v>53.687600000000003</c:v>
                </c:pt>
                <c:pt idx="60">
                  <c:v>54.092300000000002</c:v>
                </c:pt>
                <c:pt idx="61">
                  <c:v>54.501399999999997</c:v>
                </c:pt>
                <c:pt idx="62">
                  <c:v>54.909199999999998</c:v>
                </c:pt>
                <c:pt idx="63">
                  <c:v>55.3142</c:v>
                </c:pt>
                <c:pt idx="64">
                  <c:v>55.719000000000001</c:v>
                </c:pt>
                <c:pt idx="65">
                  <c:v>56.125900000000001</c:v>
                </c:pt>
                <c:pt idx="66">
                  <c:v>56.531999999999996</c:v>
                </c:pt>
                <c:pt idx="67">
                  <c:v>56.940800000000003</c:v>
                </c:pt>
                <c:pt idx="68">
                  <c:v>57.347000000000001</c:v>
                </c:pt>
                <c:pt idx="69">
                  <c:v>57.749200000000002</c:v>
                </c:pt>
                <c:pt idx="70">
                  <c:v>58.1556</c:v>
                </c:pt>
                <c:pt idx="71">
                  <c:v>58.564700000000002</c:v>
                </c:pt>
                <c:pt idx="72">
                  <c:v>58.972299999999997</c:v>
                </c:pt>
                <c:pt idx="73">
                  <c:v>59.377299999999998</c:v>
                </c:pt>
                <c:pt idx="74">
                  <c:v>59.782200000000003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51.936000000000007</c:v>
                </c:pt>
                <c:pt idx="1">
                  <c:v>51.980400000000003</c:v>
                </c:pt>
                <c:pt idx="2">
                  <c:v>52.1374</c:v>
                </c:pt>
                <c:pt idx="3">
                  <c:v>52.271999999999998</c:v>
                </c:pt>
                <c:pt idx="4">
                  <c:v>52.401600000000002</c:v>
                </c:pt>
                <c:pt idx="5">
                  <c:v>52.557600000000008</c:v>
                </c:pt>
                <c:pt idx="6">
                  <c:v>52.745699999999992</c:v>
                </c:pt>
                <c:pt idx="7">
                  <c:v>52.904799999999994</c:v>
                </c:pt>
                <c:pt idx="8">
                  <c:v>53.017499999999998</c:v>
                </c:pt>
                <c:pt idx="9">
                  <c:v>53.1967</c:v>
                </c:pt>
                <c:pt idx="10">
                  <c:v>53.366</c:v>
                </c:pt>
                <c:pt idx="11">
                  <c:v>53.519599999999997</c:v>
                </c:pt>
                <c:pt idx="12">
                  <c:v>53.694200000000002</c:v>
                </c:pt>
                <c:pt idx="13">
                  <c:v>53.896100000000004</c:v>
                </c:pt>
                <c:pt idx="14">
                  <c:v>54.144499999999994</c:v>
                </c:pt>
                <c:pt idx="15">
                  <c:v>54.282699999999991</c:v>
                </c:pt>
                <c:pt idx="16">
                  <c:v>54.323399999999999</c:v>
                </c:pt>
                <c:pt idx="17">
                  <c:v>54.337299999999999</c:v>
                </c:pt>
                <c:pt idx="18">
                  <c:v>54.312899999999999</c:v>
                </c:pt>
                <c:pt idx="19">
                  <c:v>54.237500000000004</c:v>
                </c:pt>
                <c:pt idx="20">
                  <c:v>54.144199999999998</c:v>
                </c:pt>
                <c:pt idx="21">
                  <c:v>54.019600000000004</c:v>
                </c:pt>
                <c:pt idx="22">
                  <c:v>53.884200000000007</c:v>
                </c:pt>
                <c:pt idx="23">
                  <c:v>53.664199999999994</c:v>
                </c:pt>
                <c:pt idx="24">
                  <c:v>53.380200000000002</c:v>
                </c:pt>
                <c:pt idx="25">
                  <c:v>53.066199999999995</c:v>
                </c:pt>
                <c:pt idx="26">
                  <c:v>52.719700000000003</c:v>
                </c:pt>
                <c:pt idx="27">
                  <c:v>52.3401</c:v>
                </c:pt>
                <c:pt idx="28">
                  <c:v>51.903299999999994</c:v>
                </c:pt>
                <c:pt idx="29">
                  <c:v>51.393900000000002</c:v>
                </c:pt>
                <c:pt idx="30">
                  <c:v>50.947400000000002</c:v>
                </c:pt>
                <c:pt idx="31">
                  <c:v>50.601500000000001</c:v>
                </c:pt>
                <c:pt idx="32">
                  <c:v>50.2791</c:v>
                </c:pt>
                <c:pt idx="33">
                  <c:v>50.1038</c:v>
                </c:pt>
                <c:pt idx="34">
                  <c:v>49.952300000000001</c:v>
                </c:pt>
                <c:pt idx="35">
                  <c:v>49.712499999999999</c:v>
                </c:pt>
                <c:pt idx="36">
                  <c:v>49.467700000000001</c:v>
                </c:pt>
                <c:pt idx="37">
                  <c:v>49.2224</c:v>
                </c:pt>
                <c:pt idx="38">
                  <c:v>48.947699999999998</c:v>
                </c:pt>
                <c:pt idx="39">
                  <c:v>48.644599999999997</c:v>
                </c:pt>
                <c:pt idx="40">
                  <c:v>48.478200000000001</c:v>
                </c:pt>
                <c:pt idx="41">
                  <c:v>48.337000000000003</c:v>
                </c:pt>
                <c:pt idx="42">
                  <c:v>48.151200000000003</c:v>
                </c:pt>
                <c:pt idx="43">
                  <c:v>47.999199999999995</c:v>
                </c:pt>
                <c:pt idx="44">
                  <c:v>47.8279</c:v>
                </c:pt>
                <c:pt idx="45">
                  <c:v>47.756500000000003</c:v>
                </c:pt>
                <c:pt idx="46">
                  <c:v>47.735699999999994</c:v>
                </c:pt>
                <c:pt idx="47">
                  <c:v>47.7943</c:v>
                </c:pt>
                <c:pt idx="48">
                  <c:v>47.939500000000002</c:v>
                </c:pt>
                <c:pt idx="49">
                  <c:v>48.207699999999996</c:v>
                </c:pt>
                <c:pt idx="50">
                  <c:v>48.639800000000001</c:v>
                </c:pt>
                <c:pt idx="51">
                  <c:v>48.935499999999998</c:v>
                </c:pt>
                <c:pt idx="52">
                  <c:v>49.325200000000002</c:v>
                </c:pt>
                <c:pt idx="53">
                  <c:v>49.816700000000004</c:v>
                </c:pt>
                <c:pt idx="54">
                  <c:v>50.479399999999998</c:v>
                </c:pt>
                <c:pt idx="55">
                  <c:v>51.189900000000002</c:v>
                </c:pt>
                <c:pt idx="56">
                  <c:v>51.855200000000004</c:v>
                </c:pt>
                <c:pt idx="57">
                  <c:v>52.555799999999998</c:v>
                </c:pt>
                <c:pt idx="58">
                  <c:v>53.152100000000004</c:v>
                </c:pt>
                <c:pt idx="59">
                  <c:v>53.633499999999998</c:v>
                </c:pt>
                <c:pt idx="60">
                  <c:v>54.133600000000001</c:v>
                </c:pt>
                <c:pt idx="61">
                  <c:v>54.473199999999999</c:v>
                </c:pt>
                <c:pt idx="62">
                  <c:v>54.729399999999998</c:v>
                </c:pt>
                <c:pt idx="63">
                  <c:v>55.027899999999995</c:v>
                </c:pt>
                <c:pt idx="64">
                  <c:v>55.339799999999997</c:v>
                </c:pt>
                <c:pt idx="65">
                  <c:v>55.598899999999993</c:v>
                </c:pt>
                <c:pt idx="66">
                  <c:v>55.879599999999996</c:v>
                </c:pt>
                <c:pt idx="67">
                  <c:v>56.087299999999999</c:v>
                </c:pt>
                <c:pt idx="68">
                  <c:v>56.242000000000004</c:v>
                </c:pt>
                <c:pt idx="69">
                  <c:v>56.3461</c:v>
                </c:pt>
                <c:pt idx="70">
                  <c:v>56.337499999999999</c:v>
                </c:pt>
                <c:pt idx="71">
                  <c:v>56.454999999999998</c:v>
                </c:pt>
                <c:pt idx="72">
                  <c:v>56.7256</c:v>
                </c:pt>
                <c:pt idx="73">
                  <c:v>57.158099999999997</c:v>
                </c:pt>
                <c:pt idx="74">
                  <c:v>57.854300000000002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14.945550000000001</c:v>
                </c:pt>
                <c:pt idx="1">
                  <c:v>44.836650000000006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54.864106756756769</c:v>
                </c:pt>
                <c:pt idx="1">
                  <c:v>52.296231081081089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1.91547</c:v>
                </c:pt>
                <c:pt idx="1">
                  <c:v>1.96888</c:v>
                </c:pt>
                <c:pt idx="2">
                  <c:v>2.0227999999999997</c:v>
                </c:pt>
                <c:pt idx="3">
                  <c:v>2.07443</c:v>
                </c:pt>
                <c:pt idx="4">
                  <c:v>2.1225700000000001</c:v>
                </c:pt>
                <c:pt idx="5">
                  <c:v>2.1680299999999999</c:v>
                </c:pt>
                <c:pt idx="6">
                  <c:v>2.2130399999999999</c:v>
                </c:pt>
                <c:pt idx="7">
                  <c:v>2.2597</c:v>
                </c:pt>
                <c:pt idx="8">
                  <c:v>2.3056199999999998</c:v>
                </c:pt>
                <c:pt idx="9">
                  <c:v>2.3508</c:v>
                </c:pt>
                <c:pt idx="10">
                  <c:v>2.3967900000000002</c:v>
                </c:pt>
                <c:pt idx="11">
                  <c:v>2.4427699999999999</c:v>
                </c:pt>
                <c:pt idx="12">
                  <c:v>2.4879699999999998</c:v>
                </c:pt>
                <c:pt idx="13">
                  <c:v>2.5323099999999998</c:v>
                </c:pt>
                <c:pt idx="14">
                  <c:v>2.5774900000000001</c:v>
                </c:pt>
                <c:pt idx="15">
                  <c:v>2.62554</c:v>
                </c:pt>
                <c:pt idx="16">
                  <c:v>2.6775900000000004</c:v>
                </c:pt>
                <c:pt idx="17">
                  <c:v>2.7316000000000003</c:v>
                </c:pt>
                <c:pt idx="18">
                  <c:v>2.7863300000000004</c:v>
                </c:pt>
                <c:pt idx="19">
                  <c:v>2.8389100000000003</c:v>
                </c:pt>
                <c:pt idx="20">
                  <c:v>2.8866100000000001</c:v>
                </c:pt>
                <c:pt idx="21">
                  <c:v>2.9344100000000002</c:v>
                </c:pt>
                <c:pt idx="22">
                  <c:v>2.9830299999999998</c:v>
                </c:pt>
                <c:pt idx="23">
                  <c:v>3.03037</c:v>
                </c:pt>
                <c:pt idx="24">
                  <c:v>3.0790600000000001</c:v>
                </c:pt>
                <c:pt idx="25">
                  <c:v>3.1262800000000004</c:v>
                </c:pt>
                <c:pt idx="26">
                  <c:v>3.17354</c:v>
                </c:pt>
                <c:pt idx="27">
                  <c:v>3.21909</c:v>
                </c:pt>
                <c:pt idx="28">
                  <c:v>3.2640099999999999</c:v>
                </c:pt>
                <c:pt idx="29">
                  <c:v>3.3088499999999996</c:v>
                </c:pt>
                <c:pt idx="30">
                  <c:v>3.3549600000000002</c:v>
                </c:pt>
                <c:pt idx="31">
                  <c:v>3.40482</c:v>
                </c:pt>
                <c:pt idx="32">
                  <c:v>3.4571000000000001</c:v>
                </c:pt>
                <c:pt idx="33">
                  <c:v>3.5078999999999998</c:v>
                </c:pt>
                <c:pt idx="34">
                  <c:v>3.5547200000000001</c:v>
                </c:pt>
                <c:pt idx="35">
                  <c:v>3.6009200000000003</c:v>
                </c:pt>
                <c:pt idx="36">
                  <c:v>3.6468400000000001</c:v>
                </c:pt>
                <c:pt idx="37">
                  <c:v>3.6929299999999996</c:v>
                </c:pt>
                <c:pt idx="38">
                  <c:v>3.7397100000000001</c:v>
                </c:pt>
                <c:pt idx="39">
                  <c:v>3.7866899999999997</c:v>
                </c:pt>
                <c:pt idx="40">
                  <c:v>3.8339699999999999</c:v>
                </c:pt>
                <c:pt idx="41">
                  <c:v>3.8782100000000002</c:v>
                </c:pt>
                <c:pt idx="42">
                  <c:v>3.9170600000000002</c:v>
                </c:pt>
                <c:pt idx="43">
                  <c:v>3.9541199999999996</c:v>
                </c:pt>
                <c:pt idx="44">
                  <c:v>3.9937499999999999</c:v>
                </c:pt>
                <c:pt idx="45">
                  <c:v>4.0339499999999999</c:v>
                </c:pt>
                <c:pt idx="46">
                  <c:v>4.0740800000000004</c:v>
                </c:pt>
                <c:pt idx="47">
                  <c:v>4.11524</c:v>
                </c:pt>
                <c:pt idx="48">
                  <c:v>4.1545199999999998</c:v>
                </c:pt>
                <c:pt idx="49">
                  <c:v>4.1873100000000001</c:v>
                </c:pt>
                <c:pt idx="50">
                  <c:v>4.2135699999999998</c:v>
                </c:pt>
                <c:pt idx="51">
                  <c:v>4.2469000000000001</c:v>
                </c:pt>
                <c:pt idx="52">
                  <c:v>4.2788500000000003</c:v>
                </c:pt>
                <c:pt idx="53">
                  <c:v>4.31203</c:v>
                </c:pt>
                <c:pt idx="54">
                  <c:v>4.3453400000000002</c:v>
                </c:pt>
                <c:pt idx="55">
                  <c:v>4.37683</c:v>
                </c:pt>
                <c:pt idx="56">
                  <c:v>4.4024400000000004</c:v>
                </c:pt>
                <c:pt idx="57">
                  <c:v>4.4221399999999997</c:v>
                </c:pt>
                <c:pt idx="58">
                  <c:v>4.4412200000000004</c:v>
                </c:pt>
                <c:pt idx="59">
                  <c:v>4.4614599999999998</c:v>
                </c:pt>
                <c:pt idx="60">
                  <c:v>4.4787999999999997</c:v>
                </c:pt>
                <c:pt idx="61">
                  <c:v>4.4937100000000001</c:v>
                </c:pt>
                <c:pt idx="62">
                  <c:v>4.5067500000000003</c:v>
                </c:pt>
                <c:pt idx="63">
                  <c:v>4.5182000000000002</c:v>
                </c:pt>
                <c:pt idx="64">
                  <c:v>4.5271099999999995</c:v>
                </c:pt>
                <c:pt idx="65">
                  <c:v>4.5320599999999995</c:v>
                </c:pt>
                <c:pt idx="66">
                  <c:v>4.5342199999999995</c:v>
                </c:pt>
                <c:pt idx="67">
                  <c:v>4.5367899999999999</c:v>
                </c:pt>
                <c:pt idx="68">
                  <c:v>4.5381499999999999</c:v>
                </c:pt>
                <c:pt idx="69">
                  <c:v>4.5392399999999995</c:v>
                </c:pt>
                <c:pt idx="70">
                  <c:v>4.5429300000000001</c:v>
                </c:pt>
                <c:pt idx="71">
                  <c:v>4.5444100000000001</c:v>
                </c:pt>
                <c:pt idx="72">
                  <c:v>4.5442</c:v>
                </c:pt>
                <c:pt idx="73">
                  <c:v>4.5459800000000001</c:v>
                </c:pt>
                <c:pt idx="74">
                  <c:v>4.5501699999999996</c:v>
                </c:pt>
                <c:pt idx="75">
                  <c:v>4.5529299999999999</c:v>
                </c:pt>
                <c:pt idx="76">
                  <c:v>4.5516299999999994</c:v>
                </c:pt>
                <c:pt idx="77">
                  <c:v>4.5470500000000005</c:v>
                </c:pt>
                <c:pt idx="78">
                  <c:v>4.5393299999999996</c:v>
                </c:pt>
                <c:pt idx="79">
                  <c:v>4.5307199999999996</c:v>
                </c:pt>
                <c:pt idx="80">
                  <c:v>4.5203699999999998</c:v>
                </c:pt>
                <c:pt idx="81">
                  <c:v>4.5119300000000004</c:v>
                </c:pt>
                <c:pt idx="82">
                  <c:v>4.5013500000000004</c:v>
                </c:pt>
                <c:pt idx="83">
                  <c:v>4.4867900000000001</c:v>
                </c:pt>
                <c:pt idx="84">
                  <c:v>4.4717799999999999</c:v>
                </c:pt>
                <c:pt idx="85">
                  <c:v>4.4555299999999995</c:v>
                </c:pt>
                <c:pt idx="86">
                  <c:v>4.4404300000000001</c:v>
                </c:pt>
                <c:pt idx="87">
                  <c:v>4.4235299999999995</c:v>
                </c:pt>
                <c:pt idx="88">
                  <c:v>4.4058799999999998</c:v>
                </c:pt>
                <c:pt idx="89">
                  <c:v>4.3858600000000001</c:v>
                </c:pt>
                <c:pt idx="90">
                  <c:v>4.3647599999999995</c:v>
                </c:pt>
                <c:pt idx="91">
                  <c:v>4.3441200000000002</c:v>
                </c:pt>
                <c:pt idx="92">
                  <c:v>4.3231999999999999</c:v>
                </c:pt>
                <c:pt idx="93">
                  <c:v>4.3011499999999998</c:v>
                </c:pt>
                <c:pt idx="94">
                  <c:v>4.2764600000000002</c:v>
                </c:pt>
                <c:pt idx="95">
                  <c:v>4.2507799999999998</c:v>
                </c:pt>
                <c:pt idx="96">
                  <c:v>4.2232099999999999</c:v>
                </c:pt>
                <c:pt idx="97">
                  <c:v>4.1912500000000001</c:v>
                </c:pt>
                <c:pt idx="98">
                  <c:v>4.1566000000000001</c:v>
                </c:pt>
                <c:pt idx="99">
                  <c:v>4.1188399999999996</c:v>
                </c:pt>
                <c:pt idx="100">
                  <c:v>4.0817999999999994</c:v>
                </c:pt>
                <c:pt idx="101">
                  <c:v>4.04657</c:v>
                </c:pt>
                <c:pt idx="102">
                  <c:v>4.0124399999999998</c:v>
                </c:pt>
                <c:pt idx="103">
                  <c:v>3.9804599999999999</c:v>
                </c:pt>
                <c:pt idx="104">
                  <c:v>3.95173</c:v>
                </c:pt>
                <c:pt idx="105">
                  <c:v>3.9273099999999999</c:v>
                </c:pt>
                <c:pt idx="106">
                  <c:v>3.9052700000000002</c:v>
                </c:pt>
                <c:pt idx="107">
                  <c:v>3.8883099999999997</c:v>
                </c:pt>
                <c:pt idx="108">
                  <c:v>3.8782199999999998</c:v>
                </c:pt>
                <c:pt idx="109">
                  <c:v>3.8754100000000005</c:v>
                </c:pt>
                <c:pt idx="110">
                  <c:v>3.87758</c:v>
                </c:pt>
                <c:pt idx="111">
                  <c:v>3.8814599999999997</c:v>
                </c:pt>
                <c:pt idx="112">
                  <c:v>3.88801</c:v>
                </c:pt>
                <c:pt idx="113">
                  <c:v>3.8946999999999998</c:v>
                </c:pt>
                <c:pt idx="114">
                  <c:v>3.9066000000000001</c:v>
                </c:pt>
                <c:pt idx="115">
                  <c:v>3.9257499999999999</c:v>
                </c:pt>
                <c:pt idx="116">
                  <c:v>3.9460699999999997</c:v>
                </c:pt>
                <c:pt idx="117">
                  <c:v>3.9706900000000003</c:v>
                </c:pt>
                <c:pt idx="118">
                  <c:v>3.99437</c:v>
                </c:pt>
                <c:pt idx="119">
                  <c:v>4.0173800000000002</c:v>
                </c:pt>
                <c:pt idx="120">
                  <c:v>4.0396999999999998</c:v>
                </c:pt>
                <c:pt idx="121">
                  <c:v>4.0643000000000002</c:v>
                </c:pt>
                <c:pt idx="122">
                  <c:v>4.0933199999999994</c:v>
                </c:pt>
                <c:pt idx="123">
                  <c:v>4.12263</c:v>
                </c:pt>
                <c:pt idx="124">
                  <c:v>4.1407500000000006</c:v>
                </c:pt>
                <c:pt idx="125">
                  <c:v>4.1608900000000002</c:v>
                </c:pt>
                <c:pt idx="126">
                  <c:v>4.1820300000000001</c:v>
                </c:pt>
                <c:pt idx="127">
                  <c:v>4.2062300000000006</c:v>
                </c:pt>
                <c:pt idx="128">
                  <c:v>4.2308699999999995</c:v>
                </c:pt>
                <c:pt idx="129">
                  <c:v>4.2539999999999996</c:v>
                </c:pt>
                <c:pt idx="130">
                  <c:v>4.2766900000000003</c:v>
                </c:pt>
                <c:pt idx="131">
                  <c:v>4.2999700000000001</c:v>
                </c:pt>
                <c:pt idx="132">
                  <c:v>4.32219</c:v>
                </c:pt>
                <c:pt idx="133">
                  <c:v>4.3431199999999999</c:v>
                </c:pt>
                <c:pt idx="134">
                  <c:v>4.3595499999999996</c:v>
                </c:pt>
                <c:pt idx="135">
                  <c:v>4.3735499999999998</c:v>
                </c:pt>
                <c:pt idx="136">
                  <c:v>4.3876400000000002</c:v>
                </c:pt>
                <c:pt idx="137">
                  <c:v>4.4002099999999995</c:v>
                </c:pt>
                <c:pt idx="138">
                  <c:v>4.4166499999999997</c:v>
                </c:pt>
                <c:pt idx="139">
                  <c:v>4.4339899999999997</c:v>
                </c:pt>
                <c:pt idx="140">
                  <c:v>4.4422099999999993</c:v>
                </c:pt>
                <c:pt idx="141">
                  <c:v>4.4490099999999995</c:v>
                </c:pt>
                <c:pt idx="142">
                  <c:v>4.4435500000000001</c:v>
                </c:pt>
                <c:pt idx="143">
                  <c:v>4.4420599999999997</c:v>
                </c:pt>
                <c:pt idx="144">
                  <c:v>4.4432700000000001</c:v>
                </c:pt>
                <c:pt idx="145">
                  <c:v>4.4520799999999996</c:v>
                </c:pt>
                <c:pt idx="146">
                  <c:v>4.4616400000000001</c:v>
                </c:pt>
                <c:pt idx="147">
                  <c:v>4.4492900000000004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67.402299999999997</c:v>
                </c:pt>
                <c:pt idx="1">
                  <c:v>67.279199999999989</c:v>
                </c:pt>
                <c:pt idx="2">
                  <c:v>66.904899999999998</c:v>
                </c:pt>
                <c:pt idx="3">
                  <c:v>66.395400000000009</c:v>
                </c:pt>
                <c:pt idx="4">
                  <c:v>65.844499999999996</c:v>
                </c:pt>
                <c:pt idx="5">
                  <c:v>65.357299999999995</c:v>
                </c:pt>
                <c:pt idx="6">
                  <c:v>64.890199999999993</c:v>
                </c:pt>
                <c:pt idx="7">
                  <c:v>64.297300000000007</c:v>
                </c:pt>
                <c:pt idx="8">
                  <c:v>63.574100000000001</c:v>
                </c:pt>
                <c:pt idx="9">
                  <c:v>62.746900000000004</c:v>
                </c:pt>
                <c:pt idx="10">
                  <c:v>61.838099999999997</c:v>
                </c:pt>
                <c:pt idx="11">
                  <c:v>60.903500000000001</c:v>
                </c:pt>
                <c:pt idx="12">
                  <c:v>60.015500000000003</c:v>
                </c:pt>
                <c:pt idx="13">
                  <c:v>59.122799999999998</c:v>
                </c:pt>
                <c:pt idx="14">
                  <c:v>58.158699999999996</c:v>
                </c:pt>
                <c:pt idx="15">
                  <c:v>57.086800000000004</c:v>
                </c:pt>
                <c:pt idx="16">
                  <c:v>55.917799999999993</c:v>
                </c:pt>
                <c:pt idx="17">
                  <c:v>54.645900000000005</c:v>
                </c:pt>
                <c:pt idx="18">
                  <c:v>53.440399999999997</c:v>
                </c:pt>
                <c:pt idx="19">
                  <c:v>52.549800000000005</c:v>
                </c:pt>
                <c:pt idx="20">
                  <c:v>51.9621</c:v>
                </c:pt>
                <c:pt idx="21">
                  <c:v>51.443099999999994</c:v>
                </c:pt>
                <c:pt idx="22">
                  <c:v>50.958800000000004</c:v>
                </c:pt>
                <c:pt idx="23">
                  <c:v>50.601900000000001</c:v>
                </c:pt>
                <c:pt idx="24">
                  <c:v>50.216000000000008</c:v>
                </c:pt>
                <c:pt idx="25">
                  <c:v>49.872199999999999</c:v>
                </c:pt>
                <c:pt idx="26">
                  <c:v>49.656399999999998</c:v>
                </c:pt>
                <c:pt idx="27">
                  <c:v>49.587399999999995</c:v>
                </c:pt>
                <c:pt idx="28">
                  <c:v>49.576700000000002</c:v>
                </c:pt>
                <c:pt idx="29">
                  <c:v>49.626899999999999</c:v>
                </c:pt>
                <c:pt idx="30">
                  <c:v>49.730400000000003</c:v>
                </c:pt>
                <c:pt idx="31">
                  <c:v>49.788399999999996</c:v>
                </c:pt>
                <c:pt idx="32">
                  <c:v>49.815100000000001</c:v>
                </c:pt>
                <c:pt idx="33">
                  <c:v>49.980400000000003</c:v>
                </c:pt>
                <c:pt idx="34">
                  <c:v>50.353200000000001</c:v>
                </c:pt>
                <c:pt idx="35">
                  <c:v>50.773900000000005</c:v>
                </c:pt>
                <c:pt idx="36">
                  <c:v>51.173900000000003</c:v>
                </c:pt>
                <c:pt idx="37">
                  <c:v>51.538600000000002</c:v>
                </c:pt>
                <c:pt idx="38">
                  <c:v>51.870199999999997</c:v>
                </c:pt>
                <c:pt idx="39">
                  <c:v>52.192799999999991</c:v>
                </c:pt>
                <c:pt idx="40">
                  <c:v>52.437599999999996</c:v>
                </c:pt>
                <c:pt idx="41">
                  <c:v>52.689500000000002</c:v>
                </c:pt>
                <c:pt idx="42">
                  <c:v>53.012899999999995</c:v>
                </c:pt>
                <c:pt idx="43">
                  <c:v>53.25</c:v>
                </c:pt>
                <c:pt idx="44">
                  <c:v>53.410699999999999</c:v>
                </c:pt>
                <c:pt idx="45">
                  <c:v>53.647999999999996</c:v>
                </c:pt>
                <c:pt idx="46">
                  <c:v>53.857299999999995</c:v>
                </c:pt>
                <c:pt idx="47">
                  <c:v>53.979200000000006</c:v>
                </c:pt>
                <c:pt idx="48">
                  <c:v>54.121900000000004</c:v>
                </c:pt>
                <c:pt idx="49">
                  <c:v>54.343799999999995</c:v>
                </c:pt>
                <c:pt idx="50">
                  <c:v>54.630900000000004</c:v>
                </c:pt>
                <c:pt idx="51">
                  <c:v>54.724200000000003</c:v>
                </c:pt>
                <c:pt idx="52">
                  <c:v>54.778499999999994</c:v>
                </c:pt>
                <c:pt idx="53">
                  <c:v>54.797899999999998</c:v>
                </c:pt>
                <c:pt idx="54">
                  <c:v>54.798999999999999</c:v>
                </c:pt>
                <c:pt idx="55">
                  <c:v>54.791500000000006</c:v>
                </c:pt>
                <c:pt idx="56">
                  <c:v>54.772100000000002</c:v>
                </c:pt>
                <c:pt idx="57">
                  <c:v>54.690899999999999</c:v>
                </c:pt>
                <c:pt idx="58">
                  <c:v>54.5443</c:v>
                </c:pt>
                <c:pt idx="59">
                  <c:v>54.3718</c:v>
                </c:pt>
                <c:pt idx="60">
                  <c:v>54.173499999999997</c:v>
                </c:pt>
                <c:pt idx="61">
                  <c:v>53.950200000000002</c:v>
                </c:pt>
                <c:pt idx="62">
                  <c:v>53.73</c:v>
                </c:pt>
                <c:pt idx="63">
                  <c:v>53.515100000000004</c:v>
                </c:pt>
                <c:pt idx="64">
                  <c:v>53.283800000000006</c:v>
                </c:pt>
                <c:pt idx="65">
                  <c:v>53.018200000000007</c:v>
                </c:pt>
                <c:pt idx="66">
                  <c:v>52.730900000000005</c:v>
                </c:pt>
                <c:pt idx="67">
                  <c:v>52.488599999999998</c:v>
                </c:pt>
                <c:pt idx="68">
                  <c:v>52.296900000000001</c:v>
                </c:pt>
                <c:pt idx="69">
                  <c:v>52.166400000000003</c:v>
                </c:pt>
                <c:pt idx="70">
                  <c:v>52.033799999999999</c:v>
                </c:pt>
                <c:pt idx="71">
                  <c:v>51.948099999999997</c:v>
                </c:pt>
                <c:pt idx="72">
                  <c:v>51.930600000000005</c:v>
                </c:pt>
                <c:pt idx="73">
                  <c:v>51.936000000000007</c:v>
                </c:pt>
                <c:pt idx="74">
                  <c:v>51.980400000000003</c:v>
                </c:pt>
                <c:pt idx="75">
                  <c:v>52.1374</c:v>
                </c:pt>
                <c:pt idx="76">
                  <c:v>52.271999999999998</c:v>
                </c:pt>
                <c:pt idx="77">
                  <c:v>52.401600000000002</c:v>
                </c:pt>
                <c:pt idx="78">
                  <c:v>52.557600000000008</c:v>
                </c:pt>
                <c:pt idx="79">
                  <c:v>52.745699999999992</c:v>
                </c:pt>
                <c:pt idx="80">
                  <c:v>52.904799999999994</c:v>
                </c:pt>
                <c:pt idx="81">
                  <c:v>53.017499999999998</c:v>
                </c:pt>
                <c:pt idx="82">
                  <c:v>53.1967</c:v>
                </c:pt>
                <c:pt idx="83">
                  <c:v>53.366</c:v>
                </c:pt>
                <c:pt idx="84">
                  <c:v>53.519599999999997</c:v>
                </c:pt>
                <c:pt idx="85">
                  <c:v>53.694200000000002</c:v>
                </c:pt>
                <c:pt idx="86">
                  <c:v>53.896100000000004</c:v>
                </c:pt>
                <c:pt idx="87">
                  <c:v>54.144499999999994</c:v>
                </c:pt>
                <c:pt idx="88">
                  <c:v>54.282699999999991</c:v>
                </c:pt>
                <c:pt idx="89">
                  <c:v>54.323399999999999</c:v>
                </c:pt>
                <c:pt idx="90">
                  <c:v>54.337299999999999</c:v>
                </c:pt>
                <c:pt idx="91">
                  <c:v>54.312899999999999</c:v>
                </c:pt>
                <c:pt idx="92">
                  <c:v>54.237500000000004</c:v>
                </c:pt>
                <c:pt idx="93">
                  <c:v>54.144199999999998</c:v>
                </c:pt>
                <c:pt idx="94">
                  <c:v>54.019600000000004</c:v>
                </c:pt>
                <c:pt idx="95">
                  <c:v>53.884200000000007</c:v>
                </c:pt>
                <c:pt idx="96">
                  <c:v>53.664199999999994</c:v>
                </c:pt>
                <c:pt idx="97">
                  <c:v>53.380200000000002</c:v>
                </c:pt>
                <c:pt idx="98">
                  <c:v>53.066199999999995</c:v>
                </c:pt>
                <c:pt idx="99">
                  <c:v>52.719700000000003</c:v>
                </c:pt>
                <c:pt idx="100">
                  <c:v>52.3401</c:v>
                </c:pt>
                <c:pt idx="101">
                  <c:v>51.903299999999994</c:v>
                </c:pt>
                <c:pt idx="102">
                  <c:v>51.393900000000002</c:v>
                </c:pt>
                <c:pt idx="103">
                  <c:v>50.947400000000002</c:v>
                </c:pt>
                <c:pt idx="104">
                  <c:v>50.601500000000001</c:v>
                </c:pt>
                <c:pt idx="105">
                  <c:v>50.2791</c:v>
                </c:pt>
                <c:pt idx="106">
                  <c:v>50.1038</c:v>
                </c:pt>
                <c:pt idx="107">
                  <c:v>49.952300000000001</c:v>
                </c:pt>
                <c:pt idx="108">
                  <c:v>49.712499999999999</c:v>
                </c:pt>
                <c:pt idx="109">
                  <c:v>49.467700000000001</c:v>
                </c:pt>
                <c:pt idx="110">
                  <c:v>49.2224</c:v>
                </c:pt>
                <c:pt idx="111">
                  <c:v>48.947699999999998</c:v>
                </c:pt>
                <c:pt idx="112">
                  <c:v>48.644599999999997</c:v>
                </c:pt>
                <c:pt idx="113">
                  <c:v>48.478200000000001</c:v>
                </c:pt>
                <c:pt idx="114">
                  <c:v>48.337000000000003</c:v>
                </c:pt>
                <c:pt idx="115">
                  <c:v>48.151200000000003</c:v>
                </c:pt>
                <c:pt idx="116">
                  <c:v>47.999199999999995</c:v>
                </c:pt>
                <c:pt idx="117">
                  <c:v>47.8279</c:v>
                </c:pt>
                <c:pt idx="118">
                  <c:v>47.756500000000003</c:v>
                </c:pt>
                <c:pt idx="119">
                  <c:v>47.735699999999994</c:v>
                </c:pt>
                <c:pt idx="120">
                  <c:v>47.7943</c:v>
                </c:pt>
                <c:pt idx="121">
                  <c:v>47.939500000000002</c:v>
                </c:pt>
                <c:pt idx="122">
                  <c:v>48.207699999999996</c:v>
                </c:pt>
                <c:pt idx="123">
                  <c:v>48.639800000000001</c:v>
                </c:pt>
                <c:pt idx="124">
                  <c:v>48.935499999999998</c:v>
                </c:pt>
                <c:pt idx="125">
                  <c:v>49.325200000000002</c:v>
                </c:pt>
                <c:pt idx="126">
                  <c:v>49.816700000000004</c:v>
                </c:pt>
                <c:pt idx="127">
                  <c:v>50.479399999999998</c:v>
                </c:pt>
                <c:pt idx="128">
                  <c:v>51.189900000000002</c:v>
                </c:pt>
                <c:pt idx="129">
                  <c:v>51.855200000000004</c:v>
                </c:pt>
                <c:pt idx="130">
                  <c:v>52.555799999999998</c:v>
                </c:pt>
                <c:pt idx="131">
                  <c:v>53.152100000000004</c:v>
                </c:pt>
                <c:pt idx="132">
                  <c:v>53.633499999999998</c:v>
                </c:pt>
                <c:pt idx="133">
                  <c:v>54.133600000000001</c:v>
                </c:pt>
                <c:pt idx="134">
                  <c:v>54.473199999999999</c:v>
                </c:pt>
                <c:pt idx="135">
                  <c:v>54.729399999999998</c:v>
                </c:pt>
                <c:pt idx="136">
                  <c:v>55.027899999999995</c:v>
                </c:pt>
                <c:pt idx="137">
                  <c:v>55.339799999999997</c:v>
                </c:pt>
                <c:pt idx="138">
                  <c:v>55.598899999999993</c:v>
                </c:pt>
                <c:pt idx="139">
                  <c:v>55.879599999999996</c:v>
                </c:pt>
                <c:pt idx="140">
                  <c:v>56.087299999999999</c:v>
                </c:pt>
                <c:pt idx="141">
                  <c:v>56.242000000000004</c:v>
                </c:pt>
                <c:pt idx="142">
                  <c:v>56.3461</c:v>
                </c:pt>
                <c:pt idx="143">
                  <c:v>56.337499999999999</c:v>
                </c:pt>
                <c:pt idx="144">
                  <c:v>56.454999999999998</c:v>
                </c:pt>
                <c:pt idx="145">
                  <c:v>56.7256</c:v>
                </c:pt>
                <c:pt idx="146">
                  <c:v>57.158099999999997</c:v>
                </c:pt>
                <c:pt idx="147">
                  <c:v>57.854300000000002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1.91547</c:v>
                </c:pt>
                <c:pt idx="1">
                  <c:v>1.96888</c:v>
                </c:pt>
                <c:pt idx="2">
                  <c:v>2.0227999999999997</c:v>
                </c:pt>
                <c:pt idx="3">
                  <c:v>2.07443</c:v>
                </c:pt>
                <c:pt idx="4">
                  <c:v>2.1225700000000001</c:v>
                </c:pt>
                <c:pt idx="5">
                  <c:v>2.1680299999999999</c:v>
                </c:pt>
                <c:pt idx="6">
                  <c:v>2.2130399999999999</c:v>
                </c:pt>
                <c:pt idx="7">
                  <c:v>2.2597</c:v>
                </c:pt>
                <c:pt idx="8">
                  <c:v>2.3056199999999998</c:v>
                </c:pt>
                <c:pt idx="9">
                  <c:v>2.3508</c:v>
                </c:pt>
                <c:pt idx="10">
                  <c:v>2.3967900000000002</c:v>
                </c:pt>
                <c:pt idx="11">
                  <c:v>2.4427699999999999</c:v>
                </c:pt>
                <c:pt idx="12">
                  <c:v>2.4879699999999998</c:v>
                </c:pt>
                <c:pt idx="13">
                  <c:v>2.5323099999999998</c:v>
                </c:pt>
                <c:pt idx="14">
                  <c:v>2.5774900000000001</c:v>
                </c:pt>
                <c:pt idx="15">
                  <c:v>2.62554</c:v>
                </c:pt>
                <c:pt idx="16">
                  <c:v>2.6775900000000004</c:v>
                </c:pt>
                <c:pt idx="17">
                  <c:v>2.7316000000000003</c:v>
                </c:pt>
                <c:pt idx="18">
                  <c:v>2.7863300000000004</c:v>
                </c:pt>
                <c:pt idx="19">
                  <c:v>2.8389100000000003</c:v>
                </c:pt>
                <c:pt idx="20">
                  <c:v>2.8866100000000001</c:v>
                </c:pt>
                <c:pt idx="21">
                  <c:v>2.9344100000000002</c:v>
                </c:pt>
                <c:pt idx="22">
                  <c:v>2.9830299999999998</c:v>
                </c:pt>
                <c:pt idx="23">
                  <c:v>3.03037</c:v>
                </c:pt>
                <c:pt idx="24">
                  <c:v>3.0790600000000001</c:v>
                </c:pt>
                <c:pt idx="25">
                  <c:v>3.1262800000000004</c:v>
                </c:pt>
                <c:pt idx="26">
                  <c:v>3.17354</c:v>
                </c:pt>
                <c:pt idx="27">
                  <c:v>3.21909</c:v>
                </c:pt>
                <c:pt idx="28">
                  <c:v>3.2640099999999999</c:v>
                </c:pt>
                <c:pt idx="29">
                  <c:v>3.3088499999999996</c:v>
                </c:pt>
                <c:pt idx="30">
                  <c:v>3.3549600000000002</c:v>
                </c:pt>
                <c:pt idx="31">
                  <c:v>3.40482</c:v>
                </c:pt>
                <c:pt idx="32">
                  <c:v>3.4571000000000001</c:v>
                </c:pt>
                <c:pt idx="33">
                  <c:v>3.5078999999999998</c:v>
                </c:pt>
                <c:pt idx="34">
                  <c:v>3.5547200000000001</c:v>
                </c:pt>
                <c:pt idx="35">
                  <c:v>3.6009200000000003</c:v>
                </c:pt>
                <c:pt idx="36">
                  <c:v>3.6468400000000001</c:v>
                </c:pt>
                <c:pt idx="37">
                  <c:v>3.6929299999999996</c:v>
                </c:pt>
                <c:pt idx="38">
                  <c:v>3.7397100000000001</c:v>
                </c:pt>
                <c:pt idx="39">
                  <c:v>3.7866899999999997</c:v>
                </c:pt>
                <c:pt idx="40">
                  <c:v>3.8339699999999999</c:v>
                </c:pt>
                <c:pt idx="41">
                  <c:v>3.8782100000000002</c:v>
                </c:pt>
                <c:pt idx="42">
                  <c:v>3.9170600000000002</c:v>
                </c:pt>
                <c:pt idx="43">
                  <c:v>3.9541199999999996</c:v>
                </c:pt>
                <c:pt idx="44">
                  <c:v>3.9937499999999999</c:v>
                </c:pt>
                <c:pt idx="45">
                  <c:v>4.0339499999999999</c:v>
                </c:pt>
                <c:pt idx="46">
                  <c:v>4.0740800000000004</c:v>
                </c:pt>
                <c:pt idx="47">
                  <c:v>4.11524</c:v>
                </c:pt>
                <c:pt idx="48">
                  <c:v>4.1545199999999998</c:v>
                </c:pt>
                <c:pt idx="49">
                  <c:v>4.1873100000000001</c:v>
                </c:pt>
                <c:pt idx="50">
                  <c:v>4.2135699999999998</c:v>
                </c:pt>
                <c:pt idx="51">
                  <c:v>4.2469000000000001</c:v>
                </c:pt>
                <c:pt idx="52">
                  <c:v>4.2788500000000003</c:v>
                </c:pt>
                <c:pt idx="53">
                  <c:v>4.31203</c:v>
                </c:pt>
                <c:pt idx="54">
                  <c:v>4.3453400000000002</c:v>
                </c:pt>
                <c:pt idx="55">
                  <c:v>4.37683</c:v>
                </c:pt>
                <c:pt idx="56">
                  <c:v>4.4024400000000004</c:v>
                </c:pt>
                <c:pt idx="57">
                  <c:v>4.4221399999999997</c:v>
                </c:pt>
                <c:pt idx="58">
                  <c:v>4.4412200000000004</c:v>
                </c:pt>
                <c:pt idx="59">
                  <c:v>4.4614599999999998</c:v>
                </c:pt>
                <c:pt idx="60">
                  <c:v>4.4787999999999997</c:v>
                </c:pt>
                <c:pt idx="61">
                  <c:v>4.4937100000000001</c:v>
                </c:pt>
                <c:pt idx="62">
                  <c:v>4.5067500000000003</c:v>
                </c:pt>
                <c:pt idx="63">
                  <c:v>4.5182000000000002</c:v>
                </c:pt>
                <c:pt idx="64">
                  <c:v>4.5271099999999995</c:v>
                </c:pt>
                <c:pt idx="65">
                  <c:v>4.5320599999999995</c:v>
                </c:pt>
                <c:pt idx="66">
                  <c:v>4.5342199999999995</c:v>
                </c:pt>
                <c:pt idx="67">
                  <c:v>4.5367899999999999</c:v>
                </c:pt>
                <c:pt idx="68">
                  <c:v>4.5381499999999999</c:v>
                </c:pt>
                <c:pt idx="69">
                  <c:v>4.5392399999999995</c:v>
                </c:pt>
                <c:pt idx="70">
                  <c:v>4.5429300000000001</c:v>
                </c:pt>
                <c:pt idx="71">
                  <c:v>4.5444100000000001</c:v>
                </c:pt>
                <c:pt idx="72">
                  <c:v>4.5442</c:v>
                </c:pt>
                <c:pt idx="73">
                  <c:v>4.5459800000000001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67.402299999999997</c:v>
                </c:pt>
                <c:pt idx="1">
                  <c:v>67.279199999999989</c:v>
                </c:pt>
                <c:pt idx="2">
                  <c:v>66.904899999999998</c:v>
                </c:pt>
                <c:pt idx="3">
                  <c:v>66.395400000000009</c:v>
                </c:pt>
                <c:pt idx="4">
                  <c:v>65.844499999999996</c:v>
                </c:pt>
                <c:pt idx="5">
                  <c:v>65.357299999999995</c:v>
                </c:pt>
                <c:pt idx="6">
                  <c:v>64.890199999999993</c:v>
                </c:pt>
                <c:pt idx="7">
                  <c:v>64.297300000000007</c:v>
                </c:pt>
                <c:pt idx="8">
                  <c:v>63.574100000000001</c:v>
                </c:pt>
                <c:pt idx="9">
                  <c:v>62.746900000000004</c:v>
                </c:pt>
                <c:pt idx="10">
                  <c:v>61.838099999999997</c:v>
                </c:pt>
                <c:pt idx="11">
                  <c:v>60.903500000000001</c:v>
                </c:pt>
                <c:pt idx="12">
                  <c:v>60.015500000000003</c:v>
                </c:pt>
                <c:pt idx="13">
                  <c:v>59.122799999999998</c:v>
                </c:pt>
                <c:pt idx="14">
                  <c:v>58.158699999999996</c:v>
                </c:pt>
                <c:pt idx="15">
                  <c:v>57.086800000000004</c:v>
                </c:pt>
                <c:pt idx="16">
                  <c:v>55.917799999999993</c:v>
                </c:pt>
                <c:pt idx="17">
                  <c:v>54.645900000000005</c:v>
                </c:pt>
                <c:pt idx="18">
                  <c:v>53.440399999999997</c:v>
                </c:pt>
                <c:pt idx="19">
                  <c:v>52.549800000000005</c:v>
                </c:pt>
                <c:pt idx="20">
                  <c:v>51.9621</c:v>
                </c:pt>
                <c:pt idx="21">
                  <c:v>51.443099999999994</c:v>
                </c:pt>
                <c:pt idx="22">
                  <c:v>50.958800000000004</c:v>
                </c:pt>
                <c:pt idx="23">
                  <c:v>50.601900000000001</c:v>
                </c:pt>
                <c:pt idx="24">
                  <c:v>50.216000000000008</c:v>
                </c:pt>
                <c:pt idx="25">
                  <c:v>49.872199999999999</c:v>
                </c:pt>
                <c:pt idx="26">
                  <c:v>49.656399999999998</c:v>
                </c:pt>
                <c:pt idx="27">
                  <c:v>49.587399999999995</c:v>
                </c:pt>
                <c:pt idx="28">
                  <c:v>49.576700000000002</c:v>
                </c:pt>
                <c:pt idx="29">
                  <c:v>49.626899999999999</c:v>
                </c:pt>
                <c:pt idx="30">
                  <c:v>49.730400000000003</c:v>
                </c:pt>
                <c:pt idx="31">
                  <c:v>49.788399999999996</c:v>
                </c:pt>
                <c:pt idx="32">
                  <c:v>49.815100000000001</c:v>
                </c:pt>
                <c:pt idx="33">
                  <c:v>49.980400000000003</c:v>
                </c:pt>
                <c:pt idx="34">
                  <c:v>50.353200000000001</c:v>
                </c:pt>
                <c:pt idx="35">
                  <c:v>50.773900000000005</c:v>
                </c:pt>
                <c:pt idx="36">
                  <c:v>51.173900000000003</c:v>
                </c:pt>
                <c:pt idx="37">
                  <c:v>51.538600000000002</c:v>
                </c:pt>
                <c:pt idx="38">
                  <c:v>51.870199999999997</c:v>
                </c:pt>
                <c:pt idx="39">
                  <c:v>52.192799999999991</c:v>
                </c:pt>
                <c:pt idx="40">
                  <c:v>52.437599999999996</c:v>
                </c:pt>
                <c:pt idx="41">
                  <c:v>52.689500000000002</c:v>
                </c:pt>
                <c:pt idx="42">
                  <c:v>53.012899999999995</c:v>
                </c:pt>
                <c:pt idx="43">
                  <c:v>53.25</c:v>
                </c:pt>
                <c:pt idx="44">
                  <c:v>53.410699999999999</c:v>
                </c:pt>
                <c:pt idx="45">
                  <c:v>53.647999999999996</c:v>
                </c:pt>
                <c:pt idx="46">
                  <c:v>53.857299999999995</c:v>
                </c:pt>
                <c:pt idx="47">
                  <c:v>53.979200000000006</c:v>
                </c:pt>
                <c:pt idx="48">
                  <c:v>54.121900000000004</c:v>
                </c:pt>
                <c:pt idx="49">
                  <c:v>54.343799999999995</c:v>
                </c:pt>
                <c:pt idx="50">
                  <c:v>54.630900000000004</c:v>
                </c:pt>
                <c:pt idx="51">
                  <c:v>54.724200000000003</c:v>
                </c:pt>
                <c:pt idx="52">
                  <c:v>54.778499999999994</c:v>
                </c:pt>
                <c:pt idx="53">
                  <c:v>54.797899999999998</c:v>
                </c:pt>
                <c:pt idx="54">
                  <c:v>54.798999999999999</c:v>
                </c:pt>
                <c:pt idx="55">
                  <c:v>54.791500000000006</c:v>
                </c:pt>
                <c:pt idx="56">
                  <c:v>54.772100000000002</c:v>
                </c:pt>
                <c:pt idx="57">
                  <c:v>54.690899999999999</c:v>
                </c:pt>
                <c:pt idx="58">
                  <c:v>54.5443</c:v>
                </c:pt>
                <c:pt idx="59">
                  <c:v>54.3718</c:v>
                </c:pt>
                <c:pt idx="60">
                  <c:v>54.173499999999997</c:v>
                </c:pt>
                <c:pt idx="61">
                  <c:v>53.950200000000002</c:v>
                </c:pt>
                <c:pt idx="62">
                  <c:v>53.73</c:v>
                </c:pt>
                <c:pt idx="63">
                  <c:v>53.515100000000004</c:v>
                </c:pt>
                <c:pt idx="64">
                  <c:v>53.283800000000006</c:v>
                </c:pt>
                <c:pt idx="65">
                  <c:v>53.018200000000007</c:v>
                </c:pt>
                <c:pt idx="66">
                  <c:v>52.730900000000005</c:v>
                </c:pt>
                <c:pt idx="67">
                  <c:v>52.488599999999998</c:v>
                </c:pt>
                <c:pt idx="68">
                  <c:v>52.296900000000001</c:v>
                </c:pt>
                <c:pt idx="69">
                  <c:v>52.166400000000003</c:v>
                </c:pt>
                <c:pt idx="70">
                  <c:v>52.033799999999999</c:v>
                </c:pt>
                <c:pt idx="71">
                  <c:v>51.948099999999997</c:v>
                </c:pt>
                <c:pt idx="72">
                  <c:v>51.930600000000005</c:v>
                </c:pt>
                <c:pt idx="73">
                  <c:v>51.936000000000007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4.5459800000000001</c:v>
                </c:pt>
                <c:pt idx="1">
                  <c:v>4.5501699999999996</c:v>
                </c:pt>
                <c:pt idx="2">
                  <c:v>4.5529299999999999</c:v>
                </c:pt>
                <c:pt idx="3">
                  <c:v>4.5516299999999994</c:v>
                </c:pt>
                <c:pt idx="4">
                  <c:v>4.5470500000000005</c:v>
                </c:pt>
                <c:pt idx="5">
                  <c:v>4.5393299999999996</c:v>
                </c:pt>
                <c:pt idx="6">
                  <c:v>4.5307199999999996</c:v>
                </c:pt>
                <c:pt idx="7">
                  <c:v>4.5203699999999998</c:v>
                </c:pt>
                <c:pt idx="8">
                  <c:v>4.5119300000000004</c:v>
                </c:pt>
                <c:pt idx="9">
                  <c:v>4.5013500000000004</c:v>
                </c:pt>
                <c:pt idx="10">
                  <c:v>4.4867900000000001</c:v>
                </c:pt>
                <c:pt idx="11">
                  <c:v>4.4717799999999999</c:v>
                </c:pt>
                <c:pt idx="12">
                  <c:v>4.4555299999999995</c:v>
                </c:pt>
                <c:pt idx="13">
                  <c:v>4.4404300000000001</c:v>
                </c:pt>
                <c:pt idx="14">
                  <c:v>4.4235299999999995</c:v>
                </c:pt>
                <c:pt idx="15">
                  <c:v>4.4058799999999998</c:v>
                </c:pt>
                <c:pt idx="16">
                  <c:v>4.3858600000000001</c:v>
                </c:pt>
                <c:pt idx="17">
                  <c:v>4.3647599999999995</c:v>
                </c:pt>
                <c:pt idx="18">
                  <c:v>4.3441200000000002</c:v>
                </c:pt>
                <c:pt idx="19">
                  <c:v>4.3231999999999999</c:v>
                </c:pt>
                <c:pt idx="20">
                  <c:v>4.3011499999999998</c:v>
                </c:pt>
                <c:pt idx="21">
                  <c:v>4.2764600000000002</c:v>
                </c:pt>
                <c:pt idx="22">
                  <c:v>4.2507799999999998</c:v>
                </c:pt>
                <c:pt idx="23">
                  <c:v>4.2232099999999999</c:v>
                </c:pt>
                <c:pt idx="24">
                  <c:v>4.1912500000000001</c:v>
                </c:pt>
                <c:pt idx="25">
                  <c:v>4.1566000000000001</c:v>
                </c:pt>
                <c:pt idx="26">
                  <c:v>4.1188399999999996</c:v>
                </c:pt>
                <c:pt idx="27">
                  <c:v>4.0817999999999994</c:v>
                </c:pt>
                <c:pt idx="28">
                  <c:v>4.04657</c:v>
                </c:pt>
                <c:pt idx="29">
                  <c:v>4.0124399999999998</c:v>
                </c:pt>
                <c:pt idx="30">
                  <c:v>3.9804599999999999</c:v>
                </c:pt>
                <c:pt idx="31">
                  <c:v>3.95173</c:v>
                </c:pt>
                <c:pt idx="32">
                  <c:v>3.9273099999999999</c:v>
                </c:pt>
                <c:pt idx="33">
                  <c:v>3.9052700000000002</c:v>
                </c:pt>
                <c:pt idx="34">
                  <c:v>3.8883099999999997</c:v>
                </c:pt>
                <c:pt idx="35">
                  <c:v>3.8782199999999998</c:v>
                </c:pt>
                <c:pt idx="36">
                  <c:v>3.8754100000000005</c:v>
                </c:pt>
                <c:pt idx="37">
                  <c:v>3.87758</c:v>
                </c:pt>
                <c:pt idx="38">
                  <c:v>3.8814599999999997</c:v>
                </c:pt>
                <c:pt idx="39">
                  <c:v>3.88801</c:v>
                </c:pt>
                <c:pt idx="40">
                  <c:v>3.8946999999999998</c:v>
                </c:pt>
                <c:pt idx="41">
                  <c:v>3.9066000000000001</c:v>
                </c:pt>
                <c:pt idx="42">
                  <c:v>3.9257499999999999</c:v>
                </c:pt>
                <c:pt idx="43">
                  <c:v>3.9460699999999997</c:v>
                </c:pt>
                <c:pt idx="44">
                  <c:v>3.9706900000000003</c:v>
                </c:pt>
                <c:pt idx="45">
                  <c:v>3.99437</c:v>
                </c:pt>
                <c:pt idx="46">
                  <c:v>4.0173800000000002</c:v>
                </c:pt>
                <c:pt idx="47">
                  <c:v>4.0396999999999998</c:v>
                </c:pt>
                <c:pt idx="48">
                  <c:v>4.0643000000000002</c:v>
                </c:pt>
                <c:pt idx="49">
                  <c:v>4.0933199999999994</c:v>
                </c:pt>
                <c:pt idx="50">
                  <c:v>4.12263</c:v>
                </c:pt>
                <c:pt idx="51">
                  <c:v>4.1407500000000006</c:v>
                </c:pt>
                <c:pt idx="52">
                  <c:v>4.1608900000000002</c:v>
                </c:pt>
                <c:pt idx="53">
                  <c:v>4.1820300000000001</c:v>
                </c:pt>
                <c:pt idx="54">
                  <c:v>4.2062300000000006</c:v>
                </c:pt>
                <c:pt idx="55">
                  <c:v>4.2308699999999995</c:v>
                </c:pt>
                <c:pt idx="56">
                  <c:v>4.2539999999999996</c:v>
                </c:pt>
                <c:pt idx="57">
                  <c:v>4.2766900000000003</c:v>
                </c:pt>
                <c:pt idx="58">
                  <c:v>4.2999700000000001</c:v>
                </c:pt>
                <c:pt idx="59">
                  <c:v>4.32219</c:v>
                </c:pt>
                <c:pt idx="60">
                  <c:v>4.3431199999999999</c:v>
                </c:pt>
                <c:pt idx="61">
                  <c:v>4.3595499999999996</c:v>
                </c:pt>
                <c:pt idx="62">
                  <c:v>4.3735499999999998</c:v>
                </c:pt>
                <c:pt idx="63">
                  <c:v>4.3876400000000002</c:v>
                </c:pt>
                <c:pt idx="64">
                  <c:v>4.4002099999999995</c:v>
                </c:pt>
                <c:pt idx="65">
                  <c:v>4.4166499999999997</c:v>
                </c:pt>
                <c:pt idx="66">
                  <c:v>4.4339899999999997</c:v>
                </c:pt>
                <c:pt idx="67">
                  <c:v>4.4422099999999993</c:v>
                </c:pt>
                <c:pt idx="68">
                  <c:v>4.4490099999999995</c:v>
                </c:pt>
                <c:pt idx="69">
                  <c:v>4.4435500000000001</c:v>
                </c:pt>
                <c:pt idx="70">
                  <c:v>4.4420599999999997</c:v>
                </c:pt>
                <c:pt idx="71">
                  <c:v>4.4432700000000001</c:v>
                </c:pt>
                <c:pt idx="72">
                  <c:v>4.4520799999999996</c:v>
                </c:pt>
                <c:pt idx="73">
                  <c:v>4.4616400000000001</c:v>
                </c:pt>
                <c:pt idx="74">
                  <c:v>4.4492900000000004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51.936000000000007</c:v>
                </c:pt>
                <c:pt idx="1">
                  <c:v>51.980400000000003</c:v>
                </c:pt>
                <c:pt idx="2">
                  <c:v>52.1374</c:v>
                </c:pt>
                <c:pt idx="3">
                  <c:v>52.271999999999998</c:v>
                </c:pt>
                <c:pt idx="4">
                  <c:v>52.401600000000002</c:v>
                </c:pt>
                <c:pt idx="5">
                  <c:v>52.557600000000008</c:v>
                </c:pt>
                <c:pt idx="6">
                  <c:v>52.745699999999992</c:v>
                </c:pt>
                <c:pt idx="7">
                  <c:v>52.904799999999994</c:v>
                </c:pt>
                <c:pt idx="8">
                  <c:v>53.017499999999998</c:v>
                </c:pt>
                <c:pt idx="9">
                  <c:v>53.1967</c:v>
                </c:pt>
                <c:pt idx="10">
                  <c:v>53.366</c:v>
                </c:pt>
                <c:pt idx="11">
                  <c:v>53.519599999999997</c:v>
                </c:pt>
                <c:pt idx="12">
                  <c:v>53.694200000000002</c:v>
                </c:pt>
                <c:pt idx="13">
                  <c:v>53.896100000000004</c:v>
                </c:pt>
                <c:pt idx="14">
                  <c:v>54.144499999999994</c:v>
                </c:pt>
                <c:pt idx="15">
                  <c:v>54.282699999999991</c:v>
                </c:pt>
                <c:pt idx="16">
                  <c:v>54.323399999999999</c:v>
                </c:pt>
                <c:pt idx="17">
                  <c:v>54.337299999999999</c:v>
                </c:pt>
                <c:pt idx="18">
                  <c:v>54.312899999999999</c:v>
                </c:pt>
                <c:pt idx="19">
                  <c:v>54.237500000000004</c:v>
                </c:pt>
                <c:pt idx="20">
                  <c:v>54.144199999999998</c:v>
                </c:pt>
                <c:pt idx="21">
                  <c:v>54.019600000000004</c:v>
                </c:pt>
                <c:pt idx="22">
                  <c:v>53.884200000000007</c:v>
                </c:pt>
                <c:pt idx="23">
                  <c:v>53.664199999999994</c:v>
                </c:pt>
                <c:pt idx="24">
                  <c:v>53.380200000000002</c:v>
                </c:pt>
                <c:pt idx="25">
                  <c:v>53.066199999999995</c:v>
                </c:pt>
                <c:pt idx="26">
                  <c:v>52.719700000000003</c:v>
                </c:pt>
                <c:pt idx="27">
                  <c:v>52.3401</c:v>
                </c:pt>
                <c:pt idx="28">
                  <c:v>51.903299999999994</c:v>
                </c:pt>
                <c:pt idx="29">
                  <c:v>51.393900000000002</c:v>
                </c:pt>
                <c:pt idx="30">
                  <c:v>50.947400000000002</c:v>
                </c:pt>
                <c:pt idx="31">
                  <c:v>50.601500000000001</c:v>
                </c:pt>
                <c:pt idx="32">
                  <c:v>50.2791</c:v>
                </c:pt>
                <c:pt idx="33">
                  <c:v>50.1038</c:v>
                </c:pt>
                <c:pt idx="34">
                  <c:v>49.952300000000001</c:v>
                </c:pt>
                <c:pt idx="35">
                  <c:v>49.712499999999999</c:v>
                </c:pt>
                <c:pt idx="36">
                  <c:v>49.467700000000001</c:v>
                </c:pt>
                <c:pt idx="37">
                  <c:v>49.2224</c:v>
                </c:pt>
                <c:pt idx="38">
                  <c:v>48.947699999999998</c:v>
                </c:pt>
                <c:pt idx="39">
                  <c:v>48.644599999999997</c:v>
                </c:pt>
                <c:pt idx="40">
                  <c:v>48.478200000000001</c:v>
                </c:pt>
                <c:pt idx="41">
                  <c:v>48.337000000000003</c:v>
                </c:pt>
                <c:pt idx="42">
                  <c:v>48.151200000000003</c:v>
                </c:pt>
                <c:pt idx="43">
                  <c:v>47.999199999999995</c:v>
                </c:pt>
                <c:pt idx="44">
                  <c:v>47.8279</c:v>
                </c:pt>
                <c:pt idx="45">
                  <c:v>47.756500000000003</c:v>
                </c:pt>
                <c:pt idx="46">
                  <c:v>47.735699999999994</c:v>
                </c:pt>
                <c:pt idx="47">
                  <c:v>47.7943</c:v>
                </c:pt>
                <c:pt idx="48">
                  <c:v>47.939500000000002</c:v>
                </c:pt>
                <c:pt idx="49">
                  <c:v>48.207699999999996</c:v>
                </c:pt>
                <c:pt idx="50">
                  <c:v>48.639800000000001</c:v>
                </c:pt>
                <c:pt idx="51">
                  <c:v>48.935499999999998</c:v>
                </c:pt>
                <c:pt idx="52">
                  <c:v>49.325200000000002</c:v>
                </c:pt>
                <c:pt idx="53">
                  <c:v>49.816700000000004</c:v>
                </c:pt>
                <c:pt idx="54">
                  <c:v>50.479399999999998</c:v>
                </c:pt>
                <c:pt idx="55">
                  <c:v>51.189900000000002</c:v>
                </c:pt>
                <c:pt idx="56">
                  <c:v>51.855200000000004</c:v>
                </c:pt>
                <c:pt idx="57">
                  <c:v>52.555799999999998</c:v>
                </c:pt>
                <c:pt idx="58">
                  <c:v>53.152100000000004</c:v>
                </c:pt>
                <c:pt idx="59">
                  <c:v>53.633499999999998</c:v>
                </c:pt>
                <c:pt idx="60">
                  <c:v>54.133600000000001</c:v>
                </c:pt>
                <c:pt idx="61">
                  <c:v>54.473199999999999</c:v>
                </c:pt>
                <c:pt idx="62">
                  <c:v>54.729399999999998</c:v>
                </c:pt>
                <c:pt idx="63">
                  <c:v>55.027899999999995</c:v>
                </c:pt>
                <c:pt idx="64">
                  <c:v>55.339799999999997</c:v>
                </c:pt>
                <c:pt idx="65">
                  <c:v>55.598899999999993</c:v>
                </c:pt>
                <c:pt idx="66">
                  <c:v>55.879599999999996</c:v>
                </c:pt>
                <c:pt idx="67">
                  <c:v>56.087299999999999</c:v>
                </c:pt>
                <c:pt idx="68">
                  <c:v>56.242000000000004</c:v>
                </c:pt>
                <c:pt idx="69">
                  <c:v>56.3461</c:v>
                </c:pt>
                <c:pt idx="70">
                  <c:v>56.337499999999999</c:v>
                </c:pt>
                <c:pt idx="71">
                  <c:v>56.454999999999998</c:v>
                </c:pt>
                <c:pt idx="72">
                  <c:v>56.7256</c:v>
                </c:pt>
                <c:pt idx="73">
                  <c:v>57.158099999999997</c:v>
                </c:pt>
                <c:pt idx="74">
                  <c:v>57.854300000000002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1.91547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67.402299999999997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3.5307570270270272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54.864106756756769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4.2427995945945955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52.296231081081089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4.2427995945945955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52.296231081081089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573</v>
      </c>
      <c r="D5" s="151"/>
      <c r="E5" s="151"/>
      <c r="F5" s="152"/>
      <c r="G5" s="48" t="str">
        <f>lang!B27</f>
        <v>编号</v>
      </c>
      <c r="H5" s="150">
        <v>59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572</v>
      </c>
      <c r="D6" s="188"/>
      <c r="E6" s="188"/>
      <c r="F6" s="189"/>
      <c r="G6" s="49" t="str">
        <f>lang!B28</f>
        <v xml:space="preserve"> 日期</v>
      </c>
      <c r="H6" s="172">
        <f>FH_info!A2</f>
        <v>43607.700925925928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54</v>
      </c>
      <c r="D7" s="191"/>
      <c r="E7" s="191"/>
      <c r="F7" s="192"/>
      <c r="G7" s="50" t="str">
        <f>lang!B29</f>
        <v>误差率（%）</v>
      </c>
      <c r="H7" s="175">
        <f>M!B17*1</f>
        <v>17.379000000000001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38.509900000000002</v>
      </c>
      <c r="O8" s="59">
        <f>M!C5*1</f>
        <v>8.7704900000000006</v>
      </c>
      <c r="P8" s="59">
        <f>M!D5*1</f>
        <v>22.7746</v>
      </c>
      <c r="Q8" s="59">
        <f>M!E5*1</f>
        <v>20</v>
      </c>
      <c r="R8" s="59">
        <f>M!F5*1</f>
        <v>7.8054899999999998</v>
      </c>
      <c r="S8" s="59">
        <f>M!G5*1</f>
        <v>50</v>
      </c>
      <c r="T8" s="59">
        <f>M!H5*1</f>
        <v>46.9696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21.287700000000001</v>
      </c>
      <c r="O9" s="59">
        <f>M!C6*1</f>
        <v>1.9590000000000001</v>
      </c>
      <c r="P9" s="59">
        <f>M!D6*1</f>
        <v>9.2025000000000006</v>
      </c>
      <c r="Q9" s="59">
        <f>M!E6*1</f>
        <v>20</v>
      </c>
      <c r="R9" s="59">
        <f>M!F6*1</f>
        <v>18.117699999999999</v>
      </c>
      <c r="S9" s="59">
        <f>M!G6*1</f>
        <v>40</v>
      </c>
      <c r="T9" s="59">
        <f>M!H6*1</f>
        <v>25.430099999999999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7.8054899999999998</v>
      </c>
      <c r="D10" s="99">
        <f>N8</f>
        <v>38.509900000000002</v>
      </c>
      <c r="E10" s="100">
        <f>T8</f>
        <v>46.9696</v>
      </c>
      <c r="F10" s="91">
        <f>P8</f>
        <v>22.7746</v>
      </c>
      <c r="G10" s="81" t="str">
        <f>CONCATENATE(M9,"
(20 ~ 40)")</f>
        <v>压力
(20 ~ 40)</v>
      </c>
      <c r="H10" s="98">
        <f>R9</f>
        <v>18.117699999999999</v>
      </c>
      <c r="I10" s="108">
        <f>N9</f>
        <v>21.287700000000001</v>
      </c>
      <c r="J10" s="98">
        <f>T9</f>
        <v>25.430099999999999</v>
      </c>
      <c r="K10" s="92">
        <f>P9</f>
        <v>9.2025000000000006</v>
      </c>
      <c r="L10" s="6"/>
      <c r="M10" s="27" t="str">
        <f>lang!B16</f>
        <v>焦虑</v>
      </c>
      <c r="N10" s="59">
        <f>M!B7*1</f>
        <v>21.329499999999999</v>
      </c>
      <c r="O10" s="59">
        <f>M!C7*1</f>
        <v>7.9567600000000001</v>
      </c>
      <c r="P10" s="59">
        <f>M!D7*1</f>
        <v>37.304099999999998</v>
      </c>
      <c r="Q10" s="59">
        <f>M!E7*1</f>
        <v>15</v>
      </c>
      <c r="R10" s="59">
        <f>M!F7*1</f>
        <v>5.5254899999999996</v>
      </c>
      <c r="S10" s="59">
        <f>M!G7*1</f>
        <v>40</v>
      </c>
      <c r="T10" s="59">
        <f>M!H7*1</f>
        <v>44.627200000000002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5.5254899999999996</v>
      </c>
      <c r="D11" s="102">
        <f>N10</f>
        <v>21.329499999999999</v>
      </c>
      <c r="E11" s="103">
        <f>T10</f>
        <v>44.627200000000002</v>
      </c>
      <c r="F11" s="94">
        <f>P10</f>
        <v>37.304099999999998</v>
      </c>
      <c r="G11" s="52" t="str">
        <f>CONCATENATE(M11,"
(20 ~ 50)")</f>
        <v>可疑
(20 ~ 50)</v>
      </c>
      <c r="H11" s="101">
        <f>R11</f>
        <v>16.399999999999999</v>
      </c>
      <c r="I11" s="104">
        <f>N11</f>
        <v>26.4529</v>
      </c>
      <c r="J11" s="101">
        <f>T11</f>
        <v>34.410299999999999</v>
      </c>
      <c r="K11" s="95">
        <f>P11</f>
        <v>11.628399999999999</v>
      </c>
      <c r="L11" s="4"/>
      <c r="M11" s="27" t="str">
        <f>lang!B17</f>
        <v>可疑</v>
      </c>
      <c r="N11" s="59">
        <f>M!B8*1</f>
        <v>26.4529</v>
      </c>
      <c r="O11" s="59">
        <f>M!C8*1</f>
        <v>3.07606</v>
      </c>
      <c r="P11" s="59">
        <f>M!D8*1</f>
        <v>11.628399999999999</v>
      </c>
      <c r="Q11" s="59">
        <f>M!E8*1</f>
        <v>20</v>
      </c>
      <c r="R11" s="59">
        <f>M!F8*1</f>
        <v>16.399999999999999</v>
      </c>
      <c r="S11" s="59">
        <f>M!G8*1</f>
        <v>50</v>
      </c>
      <c r="T11" s="59">
        <f>M!H8*1</f>
        <v>34.410299999999999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48.656300000000002</v>
      </c>
      <c r="D12" s="104">
        <f>N12</f>
        <v>66.895399999999995</v>
      </c>
      <c r="E12" s="101">
        <f>T12</f>
        <v>87.458399999999997</v>
      </c>
      <c r="F12" s="93">
        <f>P12</f>
        <v>12.1983</v>
      </c>
      <c r="G12" s="52" t="str">
        <f>CONCATENATE(M13,"
(40 ~ 100)")</f>
        <v>自信
(40 ~ 100)</v>
      </c>
      <c r="H12" s="101">
        <f>R13</f>
        <v>77.2761</v>
      </c>
      <c r="I12" s="104">
        <f>N13</f>
        <v>81.778000000000006</v>
      </c>
      <c r="J12" s="101">
        <f>T13</f>
        <v>88.058700000000002</v>
      </c>
      <c r="K12" s="95">
        <f>P13</f>
        <v>3.1608499999999999</v>
      </c>
      <c r="L12" s="4"/>
      <c r="M12" s="27" t="str">
        <f>lang!B18</f>
        <v>平衡</v>
      </c>
      <c r="N12" s="59">
        <f>M!B9*1</f>
        <v>66.895399999999995</v>
      </c>
      <c r="O12" s="59">
        <f>M!C9*1</f>
        <v>8.1601199999999992</v>
      </c>
      <c r="P12" s="59">
        <f>M!D9*1</f>
        <v>12.1983</v>
      </c>
      <c r="Q12" s="59">
        <f>M!E9*1</f>
        <v>50</v>
      </c>
      <c r="R12" s="59">
        <f>M!F9*1</f>
        <v>48.656300000000002</v>
      </c>
      <c r="S12" s="59">
        <f>M!G9*1</f>
        <v>100</v>
      </c>
      <c r="T12" s="59">
        <f>M!H9*1</f>
        <v>87.458399999999997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6.2041599999999999</v>
      </c>
      <c r="D13" s="102">
        <f>N14</f>
        <v>30.264500000000002</v>
      </c>
      <c r="E13" s="103">
        <f>T14</f>
        <v>37.201999999999998</v>
      </c>
      <c r="F13" s="94">
        <f>P14</f>
        <v>27.609000000000002</v>
      </c>
      <c r="G13" s="52" t="str">
        <f>CONCATENATE(M15,"
(50 ~ 100)")</f>
        <v>自我调节
(50 ~ 100)</v>
      </c>
      <c r="H13" s="101">
        <f>R15</f>
        <v>65.464600000000004</v>
      </c>
      <c r="I13" s="104">
        <f>N15</f>
        <v>73.687200000000004</v>
      </c>
      <c r="J13" s="101">
        <f>T15</f>
        <v>86.742199999999997</v>
      </c>
      <c r="K13" s="95">
        <f>P15</f>
        <v>6.2363</v>
      </c>
      <c r="L13" s="4"/>
      <c r="M13" s="27" t="str">
        <f>lang!B19</f>
        <v>自信</v>
      </c>
      <c r="N13" s="59">
        <f>M!B10*1</f>
        <v>81.778000000000006</v>
      </c>
      <c r="O13" s="59">
        <f>M!C10*1</f>
        <v>2.5848800000000001</v>
      </c>
      <c r="P13" s="59">
        <f>M!D10*1</f>
        <v>3.1608499999999999</v>
      </c>
      <c r="Q13" s="59">
        <f>M!E10*1</f>
        <v>40</v>
      </c>
      <c r="R13" s="59">
        <f>M!F10*1</f>
        <v>77.2761</v>
      </c>
      <c r="S13" s="59">
        <f>M!G10*1</f>
        <v>100</v>
      </c>
      <c r="T13" s="59">
        <f>M!H10*1</f>
        <v>88.058700000000002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15.239000000000001</v>
      </c>
      <c r="D14" s="106">
        <f>N16</f>
        <v>19.6767</v>
      </c>
      <c r="E14" s="107">
        <f>T16</f>
        <v>33.337600000000002</v>
      </c>
      <c r="F14" s="96">
        <f>P16</f>
        <v>16.339099999999998</v>
      </c>
      <c r="G14" s="112" t="str">
        <f>CONCATENATE(M17,"
(10 ~ 50)")</f>
        <v>神经质
(10 ~ 50)</v>
      </c>
      <c r="H14" s="105">
        <f>R17</f>
        <v>2.7718500000000001</v>
      </c>
      <c r="I14" s="106">
        <f>N17</f>
        <v>32.15</v>
      </c>
      <c r="J14" s="107">
        <f>T17</f>
        <v>32.896700000000003</v>
      </c>
      <c r="K14" s="97">
        <f>P17</f>
        <v>27.337</v>
      </c>
      <c r="M14" s="27" t="str">
        <f>lang!B20</f>
        <v>活力</v>
      </c>
      <c r="N14" s="59">
        <f>M!B11*1</f>
        <v>30.264500000000002</v>
      </c>
      <c r="O14" s="59">
        <f>M!C11*1</f>
        <v>8.3557199999999998</v>
      </c>
      <c r="P14" s="59">
        <f>M!D11*1</f>
        <v>27.609000000000002</v>
      </c>
      <c r="Q14" s="59">
        <f>M!E11*1</f>
        <v>10</v>
      </c>
      <c r="R14" s="59">
        <f>M!F11*1</f>
        <v>6.2041599999999999</v>
      </c>
      <c r="S14" s="59">
        <f>M!G11*1</f>
        <v>50</v>
      </c>
      <c r="T14" s="59">
        <f>M!H11*1</f>
        <v>37.201999999999998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73.687200000000004</v>
      </c>
      <c r="O15" s="59">
        <f>M!C12*1</f>
        <v>4.5953600000000003</v>
      </c>
      <c r="P15" s="59">
        <f>M!D12*1</f>
        <v>6.2363</v>
      </c>
      <c r="Q15" s="59">
        <f>M!E12*1</f>
        <v>50</v>
      </c>
      <c r="R15" s="59">
        <f>M!F12*1</f>
        <v>65.464600000000004</v>
      </c>
      <c r="S15" s="59">
        <f>M!G12*1</f>
        <v>100</v>
      </c>
      <c r="T15" s="59">
        <f>M!H12*1</f>
        <v>86.742199999999997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19.6767</v>
      </c>
      <c r="O16" s="59">
        <f>M!C13*1</f>
        <v>3.2149999999999999</v>
      </c>
      <c r="P16" s="59">
        <f>M!D13*1</f>
        <v>16.339099999999998</v>
      </c>
      <c r="Q16" s="59">
        <f>M!E13*1</f>
        <v>10</v>
      </c>
      <c r="R16" s="59">
        <f>M!F13*1</f>
        <v>15.239000000000001</v>
      </c>
      <c r="S16" s="59">
        <f>M!G13*1</f>
        <v>25</v>
      </c>
      <c r="T16" s="59">
        <f>M!H13*1</f>
        <v>33.337600000000002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32.15</v>
      </c>
      <c r="O17" s="59">
        <f>M!C14*1</f>
        <v>8.7888599999999997</v>
      </c>
      <c r="P17" s="59">
        <f>M!D14*1</f>
        <v>27.337</v>
      </c>
      <c r="Q17" s="59">
        <f>M!E14*1</f>
        <v>10</v>
      </c>
      <c r="R17" s="59">
        <f>M!F14*1</f>
        <v>2.7718500000000001</v>
      </c>
      <c r="S17" s="59">
        <f>M!G14*1</f>
        <v>50</v>
      </c>
      <c r="T17" s="59">
        <f>M!H14*1</f>
        <v>32.896700000000003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63.156275000000008</v>
      </c>
      <c r="O18" s="22">
        <f>N18/(N18+N19+N20)</f>
        <v>0.54461673117987486</v>
      </c>
      <c r="P18" s="65">
        <f>SUM(P12:P15)/4</f>
        <v>12.3011125</v>
      </c>
      <c r="Q18" s="22">
        <f>P18/(P18+P19+P20)</f>
        <v>0.22626246601484137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26.895</v>
      </c>
      <c r="O19" s="22">
        <f>N19/(N18+N19+N20)</f>
        <v>0.23192417515255187</v>
      </c>
      <c r="P19" s="18">
        <f>SUM(P8:P11)/4</f>
        <v>20.227399999999999</v>
      </c>
      <c r="Q19" s="22">
        <f>P19/(P18+P19+P20)</f>
        <v>0.37205589373063636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25.913350000000001</v>
      </c>
      <c r="O20" s="22">
        <f>N20/(N18+N19+N20)</f>
        <v>0.22345909366757319</v>
      </c>
      <c r="P20" s="18">
        <f>(P16+P17)/2</f>
        <v>21.838049999999999</v>
      </c>
      <c r="Q20" s="22">
        <f>P20/(P18+P19+P20)</f>
        <v>0.40168164025452224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-9.6883013513513583E-2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1.9143559192231381</v>
      </c>
      <c r="D25" s="44" t="str">
        <f>lang!B11</f>
        <v>频率方差</v>
      </c>
      <c r="E25" s="142">
        <f ca="1">FH!L3</f>
        <v>0.59102632820907119</v>
      </c>
      <c r="F25" s="143"/>
      <c r="G25" s="134" t="str">
        <f>lang!B12</f>
        <v>生理变化率</v>
      </c>
      <c r="H25" s="135"/>
      <c r="I25" s="62" t="str">
        <f ca="1">CONCATENATE(info!M7,"-",info!M8)</f>
        <v>47.7-67.4</v>
      </c>
      <c r="J25" s="42" t="str">
        <f>lang!B13</f>
        <v>千卡l/分钟</v>
      </c>
      <c r="K25" s="41" t="str">
        <f ca="1">CONCATENATE(info!M5,"-",info!M6)</f>
        <v>1.9-4.6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99%]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57.843800000000002</v>
      </c>
      <c r="F28" s="164"/>
      <c r="G28" s="178" t="str">
        <f>lang!B33</f>
        <v>稳定性</v>
      </c>
      <c r="H28" s="179"/>
      <c r="I28" s="180"/>
      <c r="J28" s="181">
        <f>M!B19*100</f>
        <v>53.195599999999999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43607.700925925928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5.8498000000000019</v>
      </c>
      <c r="O7" s="59">
        <f t="shared" ref="O7:T7" si="2">AG7-X7</f>
        <v>-6.9291799999999997</v>
      </c>
      <c r="P7" s="59">
        <f t="shared" si="2"/>
        <v>-22.03227</v>
      </c>
      <c r="Q7" s="59">
        <f t="shared" si="2"/>
        <v>0</v>
      </c>
      <c r="R7" s="59">
        <f t="shared" si="2"/>
        <v>25.689410000000002</v>
      </c>
      <c r="S7" s="59">
        <f t="shared" si="2"/>
        <v>0</v>
      </c>
      <c r="T7" s="59">
        <f t="shared" si="2"/>
        <v>3.3252999999999986</v>
      </c>
      <c r="U7" s="14"/>
      <c r="V7" s="27" t="str">
        <f>M7</f>
        <v>攻击性</v>
      </c>
      <c r="W7" s="59">
        <f>'M1'!B5*1</f>
        <v>33.546599999999998</v>
      </c>
      <c r="X7" s="59">
        <f>'M1'!C5*1</f>
        <v>10.0397</v>
      </c>
      <c r="Y7" s="59">
        <f>'M1'!D5*1</f>
        <v>29.927700000000002</v>
      </c>
      <c r="Z7" s="59">
        <f>'M1'!E5*1</f>
        <v>20</v>
      </c>
      <c r="AA7" s="59">
        <f>'M1'!F5*1</f>
        <v>7.8054899999999998</v>
      </c>
      <c r="AB7" s="59">
        <f>'M1'!G5*1</f>
        <v>50</v>
      </c>
      <c r="AC7" s="59">
        <f>'M1'!H5*1</f>
        <v>43.644300000000001</v>
      </c>
      <c r="AE7" s="27" t="str">
        <f>V7</f>
        <v>攻击性</v>
      </c>
      <c r="AF7" s="59">
        <f>'M2'!B5*1</f>
        <v>39.3964</v>
      </c>
      <c r="AG7" s="59">
        <f>'M2'!C5*1</f>
        <v>3.1105200000000002</v>
      </c>
      <c r="AH7" s="59">
        <f>'M2'!D5*1</f>
        <v>7.8954300000000002</v>
      </c>
      <c r="AI7" s="59">
        <f>'M2'!E5*1</f>
        <v>20</v>
      </c>
      <c r="AJ7" s="59">
        <f>'M2'!F5*1</f>
        <v>33.494900000000001</v>
      </c>
      <c r="AK7" s="59">
        <f>'M2'!G5*1</f>
        <v>50</v>
      </c>
      <c r="AL7" s="59">
        <f>'M2'!H5*1</f>
        <v>46.9696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-2.8335000000000008</v>
      </c>
      <c r="O8" s="59">
        <f t="shared" ref="O8:O16" si="5">AG8-X8</f>
        <v>0.29727000000000015</v>
      </c>
      <c r="P8" s="59">
        <f t="shared" ref="P8:P16" si="6">AH8-Y8</f>
        <v>2.3185899999999995</v>
      </c>
      <c r="Q8" s="59">
        <f t="shared" ref="Q8:Q16" si="7">AI8-Z8</f>
        <v>0</v>
      </c>
      <c r="R8" s="59">
        <f t="shared" ref="R8:R16" si="8">AJ8-AA8</f>
        <v>-2.4451999999999998</v>
      </c>
      <c r="S8" s="59">
        <f t="shared" ref="S8:S16" si="9">AK8-AB8</f>
        <v>0</v>
      </c>
      <c r="T8" s="59">
        <f t="shared" ref="T8:T16" si="10">AL8-AC8</f>
        <v>-1.3491999999999997</v>
      </c>
      <c r="U8" s="15"/>
      <c r="V8" s="27" t="str">
        <f t="shared" ref="V8:V16" si="11">M8</f>
        <v>压力</v>
      </c>
      <c r="W8" s="59">
        <f>'M1'!B6*1</f>
        <v>23.289000000000001</v>
      </c>
      <c r="X8" s="59">
        <f>'M1'!C6*1</f>
        <v>1.4549099999999999</v>
      </c>
      <c r="Y8" s="59">
        <f>'M1'!D6*1</f>
        <v>6.2472099999999999</v>
      </c>
      <c r="Z8" s="59">
        <f>'M1'!E6*1</f>
        <v>20</v>
      </c>
      <c r="AA8" s="59">
        <f>'M1'!F6*1</f>
        <v>20.562899999999999</v>
      </c>
      <c r="AB8" s="59">
        <f>'M1'!G6*1</f>
        <v>40</v>
      </c>
      <c r="AC8" s="59">
        <f>'M1'!H6*1</f>
        <v>25.430099999999999</v>
      </c>
      <c r="AE8" s="27" t="str">
        <f t="shared" ref="AE8:AE16" si="12">V8</f>
        <v>压力</v>
      </c>
      <c r="AF8" s="59">
        <f>'M2'!B6*1</f>
        <v>20.455500000000001</v>
      </c>
      <c r="AG8" s="59">
        <f>'M2'!C6*1</f>
        <v>1.7521800000000001</v>
      </c>
      <c r="AH8" s="59">
        <f>'M2'!D6*1</f>
        <v>8.5657999999999994</v>
      </c>
      <c r="AI8" s="59">
        <f>'M2'!E6*1</f>
        <v>20</v>
      </c>
      <c r="AJ8" s="59">
        <f>'M2'!F6*1</f>
        <v>18.117699999999999</v>
      </c>
      <c r="AK8" s="59">
        <f>'M2'!G6*1</f>
        <v>40</v>
      </c>
      <c r="AL8" s="59">
        <f>'M2'!H6*1</f>
        <v>24.0809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25.689410000000002</v>
      </c>
      <c r="D9" s="78">
        <f>N7</f>
        <v>5.8498000000000019</v>
      </c>
      <c r="E9" s="79">
        <f>T7</f>
        <v>3.3252999999999986</v>
      </c>
      <c r="F9" s="79">
        <f>P7</f>
        <v>-22.03227</v>
      </c>
      <c r="G9" s="80" t="str">
        <f>CONCATENATE(M8,"
(20 ~ 40)")</f>
        <v>压力
(20 ~ 40)</v>
      </c>
      <c r="H9" s="77">
        <f>R8</f>
        <v>-2.4451999999999998</v>
      </c>
      <c r="I9" s="81">
        <f>N8</f>
        <v>-2.8335000000000008</v>
      </c>
      <c r="J9" s="77">
        <f>T8</f>
        <v>-1.3491999999999997</v>
      </c>
      <c r="K9" s="82">
        <f>P8</f>
        <v>2.3185899999999995</v>
      </c>
      <c r="L9" s="6"/>
      <c r="M9" s="27" t="str">
        <f>lang!B16</f>
        <v>焦虑</v>
      </c>
      <c r="N9" s="59">
        <f t="shared" si="4"/>
        <v>0.58940000000000126</v>
      </c>
      <c r="O9" s="59">
        <f t="shared" si="5"/>
        <v>2.109</v>
      </c>
      <c r="P9" s="59">
        <f t="shared" si="6"/>
        <v>8.8361999999999981</v>
      </c>
      <c r="Q9" s="59">
        <f t="shared" si="7"/>
        <v>0</v>
      </c>
      <c r="R9" s="59">
        <f t="shared" si="8"/>
        <v>-3.4619099999999996</v>
      </c>
      <c r="S9" s="59">
        <f t="shared" si="9"/>
        <v>0</v>
      </c>
      <c r="T9" s="59">
        <f t="shared" si="10"/>
        <v>-6.7845000000000013</v>
      </c>
      <c r="U9" s="14"/>
      <c r="V9" s="27" t="str">
        <f t="shared" si="11"/>
        <v>焦虑</v>
      </c>
      <c r="W9" s="59">
        <f>'M1'!B7*1</f>
        <v>21.134799999999998</v>
      </c>
      <c r="X9" s="59">
        <f>'M1'!C7*1</f>
        <v>6.7918900000000004</v>
      </c>
      <c r="Y9" s="59">
        <f>'M1'!D7*1</f>
        <v>32.136099999999999</v>
      </c>
      <c r="Z9" s="59">
        <f>'M1'!E7*1</f>
        <v>15</v>
      </c>
      <c r="AA9" s="59">
        <f>'M1'!F7*1</f>
        <v>8.9873999999999992</v>
      </c>
      <c r="AB9" s="59">
        <f>'M1'!G7*1</f>
        <v>40</v>
      </c>
      <c r="AC9" s="59">
        <f>'M1'!H7*1</f>
        <v>44.627200000000002</v>
      </c>
      <c r="AE9" s="27" t="str">
        <f t="shared" si="12"/>
        <v>焦虑</v>
      </c>
      <c r="AF9" s="59">
        <f>'M2'!B7*1</f>
        <v>21.7242</v>
      </c>
      <c r="AG9" s="59">
        <f>'M2'!C7*1</f>
        <v>8.9008900000000004</v>
      </c>
      <c r="AH9" s="59">
        <f>'M2'!D7*1</f>
        <v>40.972299999999997</v>
      </c>
      <c r="AI9" s="59">
        <f>'M2'!E7*1</f>
        <v>15</v>
      </c>
      <c r="AJ9" s="59">
        <f>'M2'!F7*1</f>
        <v>5.5254899999999996</v>
      </c>
      <c r="AK9" s="59">
        <f>'M2'!G7*1</f>
        <v>40</v>
      </c>
      <c r="AL9" s="59">
        <f>'M2'!H7*1</f>
        <v>37.842700000000001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-3.4619099999999996</v>
      </c>
      <c r="D10" s="51">
        <f>N9</f>
        <v>0.58940000000000126</v>
      </c>
      <c r="E10" s="53">
        <f>T9</f>
        <v>-6.7845000000000013</v>
      </c>
      <c r="F10" s="53">
        <f>P9</f>
        <v>8.8361999999999981</v>
      </c>
      <c r="G10" s="73" t="str">
        <f>CONCATENATE(M10,"
(20 ~ 50)")</f>
        <v>可疑
(20 ~ 50)</v>
      </c>
      <c r="H10" s="24">
        <f>R10</f>
        <v>5.7550000000000026</v>
      </c>
      <c r="I10" s="52">
        <f>N10</f>
        <v>1.9190000000000005</v>
      </c>
      <c r="J10" s="24">
        <f>T10</f>
        <v>4.7063999999999986</v>
      </c>
      <c r="K10" s="25">
        <f>P10</f>
        <v>1.2637099999999997</v>
      </c>
      <c r="L10" s="4"/>
      <c r="M10" s="27" t="str">
        <f>lang!B17</f>
        <v>可疑</v>
      </c>
      <c r="N10" s="59">
        <f t="shared" si="4"/>
        <v>1.9190000000000005</v>
      </c>
      <c r="O10" s="59">
        <f t="shared" si="5"/>
        <v>0.54202999999999957</v>
      </c>
      <c r="P10" s="59">
        <f t="shared" si="6"/>
        <v>1.2637099999999997</v>
      </c>
      <c r="Q10" s="59">
        <f t="shared" si="7"/>
        <v>0</v>
      </c>
      <c r="R10" s="59">
        <f t="shared" si="8"/>
        <v>5.7550000000000026</v>
      </c>
      <c r="S10" s="59">
        <f t="shared" si="9"/>
        <v>0</v>
      </c>
      <c r="T10" s="59">
        <f t="shared" si="10"/>
        <v>4.7063999999999986</v>
      </c>
      <c r="U10" s="14"/>
      <c r="V10" s="27" t="str">
        <f t="shared" si="11"/>
        <v>可疑</v>
      </c>
      <c r="W10" s="59">
        <f>'M1'!B8*1</f>
        <v>25.987300000000001</v>
      </c>
      <c r="X10" s="59">
        <f>'M1'!C8*1</f>
        <v>2.5647700000000002</v>
      </c>
      <c r="Y10" s="59">
        <f>'M1'!D8*1</f>
        <v>9.8692899999999995</v>
      </c>
      <c r="Z10" s="59">
        <f>'M1'!E8*1</f>
        <v>20</v>
      </c>
      <c r="AA10" s="59">
        <f>'M1'!F8*1</f>
        <v>16.399999999999999</v>
      </c>
      <c r="AB10" s="59">
        <f>'M1'!G8*1</f>
        <v>50</v>
      </c>
      <c r="AC10" s="59">
        <f>'M1'!H8*1</f>
        <v>29.703900000000001</v>
      </c>
      <c r="AE10" s="27" t="str">
        <f t="shared" si="12"/>
        <v>可疑</v>
      </c>
      <c r="AF10" s="59">
        <f>'M2'!B8*1</f>
        <v>27.906300000000002</v>
      </c>
      <c r="AG10" s="59">
        <f>'M2'!C8*1</f>
        <v>3.1067999999999998</v>
      </c>
      <c r="AH10" s="59">
        <f>'M2'!D8*1</f>
        <v>11.132999999999999</v>
      </c>
      <c r="AI10" s="59">
        <f>'M2'!E8*1</f>
        <v>20</v>
      </c>
      <c r="AJ10" s="59">
        <f>'M2'!F8*1</f>
        <v>22.155000000000001</v>
      </c>
      <c r="AK10" s="59">
        <f>'M2'!G8*1</f>
        <v>50</v>
      </c>
      <c r="AL10" s="59">
        <f>'M2'!H8*1</f>
        <v>34.410299999999999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-4.9769000000000005</v>
      </c>
      <c r="D11" s="52">
        <f>N11</f>
        <v>0.31839999999999691</v>
      </c>
      <c r="E11" s="24">
        <f>T11</f>
        <v>-4.3815999999999917</v>
      </c>
      <c r="F11" s="24">
        <f>P11</f>
        <v>-0.37260000000000026</v>
      </c>
      <c r="G11" s="73" t="str">
        <f>CONCATENATE(M12,"
(40 ~ 100)")</f>
        <v>自信
(40 ~ 100)</v>
      </c>
      <c r="H11" s="24">
        <f>R12</f>
        <v>-0.34269999999999357</v>
      </c>
      <c r="I11" s="52">
        <f>N12</f>
        <v>-0.76099999999999568</v>
      </c>
      <c r="J11" s="24">
        <f>T12</f>
        <v>-5.2643000000000058</v>
      </c>
      <c r="K11" s="25">
        <f>P12</f>
        <v>-1.2077599999999999</v>
      </c>
      <c r="L11" s="4"/>
      <c r="M11" s="27" t="str">
        <f>lang!B18</f>
        <v>平衡</v>
      </c>
      <c r="N11" s="59">
        <f t="shared" si="4"/>
        <v>0.31839999999999691</v>
      </c>
      <c r="O11" s="59">
        <f t="shared" si="5"/>
        <v>-0.21099999999999852</v>
      </c>
      <c r="P11" s="59">
        <f t="shared" si="6"/>
        <v>-0.37260000000000026</v>
      </c>
      <c r="Q11" s="59">
        <f t="shared" si="7"/>
        <v>0</v>
      </c>
      <c r="R11" s="59">
        <f t="shared" si="8"/>
        <v>-4.9769000000000005</v>
      </c>
      <c r="S11" s="59">
        <f t="shared" si="9"/>
        <v>0</v>
      </c>
      <c r="T11" s="59">
        <f t="shared" si="10"/>
        <v>-4.3815999999999917</v>
      </c>
      <c r="U11" s="14"/>
      <c r="V11" s="27" t="str">
        <f t="shared" si="11"/>
        <v>平衡</v>
      </c>
      <c r="W11" s="59">
        <f>'M1'!B9*1</f>
        <v>66.848799999999997</v>
      </c>
      <c r="X11" s="59">
        <f>'M1'!C9*1</f>
        <v>8.2543799999999994</v>
      </c>
      <c r="Y11" s="59">
        <f>'M1'!D9*1</f>
        <v>12.347799999999999</v>
      </c>
      <c r="Z11" s="59">
        <f>'M1'!E9*1</f>
        <v>50</v>
      </c>
      <c r="AA11" s="59">
        <f>'M1'!F9*1</f>
        <v>53.633200000000002</v>
      </c>
      <c r="AB11" s="59">
        <f>'M1'!G9*1</f>
        <v>100</v>
      </c>
      <c r="AC11" s="59">
        <f>'M1'!H9*1</f>
        <v>87.458399999999997</v>
      </c>
      <c r="AE11" s="27" t="str">
        <f t="shared" si="12"/>
        <v>平衡</v>
      </c>
      <c r="AF11" s="59">
        <f>'M2'!B9*1</f>
        <v>67.167199999999994</v>
      </c>
      <c r="AG11" s="59">
        <f>'M2'!C9*1</f>
        <v>8.0433800000000009</v>
      </c>
      <c r="AH11" s="59">
        <f>'M2'!D9*1</f>
        <v>11.975199999999999</v>
      </c>
      <c r="AI11" s="59">
        <f>'M2'!E9*1</f>
        <v>50</v>
      </c>
      <c r="AJ11" s="59">
        <f>'M2'!F9*1</f>
        <v>48.656300000000002</v>
      </c>
      <c r="AK11" s="59">
        <f>'M2'!G9*1</f>
        <v>100</v>
      </c>
      <c r="AL11" s="59">
        <f>'M2'!H9*1</f>
        <v>83.076800000000006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18.376040000000003</v>
      </c>
      <c r="D12" s="51">
        <f>N13</f>
        <v>14.613400000000002</v>
      </c>
      <c r="E12" s="53">
        <f>T13</f>
        <v>0.709699999999998</v>
      </c>
      <c r="F12" s="53">
        <f>P13</f>
        <v>-32.048099999999998</v>
      </c>
      <c r="G12" s="73" t="str">
        <f>CONCATENATE(M14,"
(50 ~ 100)")</f>
        <v>自我调节
(50 ~ 100)</v>
      </c>
      <c r="H12" s="24">
        <f>R14</f>
        <v>-2.7091999999999956</v>
      </c>
      <c r="I12" s="52">
        <f>N14</f>
        <v>0.46120000000000516</v>
      </c>
      <c r="J12" s="24">
        <f>T14</f>
        <v>-5.0127999999999986</v>
      </c>
      <c r="K12" s="25">
        <f>P14</f>
        <v>-0.7272299999999996</v>
      </c>
      <c r="L12" s="4"/>
      <c r="M12" s="27" t="str">
        <f>lang!B19</f>
        <v>自信</v>
      </c>
      <c r="N12" s="59">
        <f t="shared" si="4"/>
        <v>-0.76099999999999568</v>
      </c>
      <c r="O12" s="59">
        <f t="shared" si="5"/>
        <v>-1.0114800000000002</v>
      </c>
      <c r="P12" s="59">
        <f t="shared" si="6"/>
        <v>-1.2077599999999999</v>
      </c>
      <c r="Q12" s="59">
        <f t="shared" si="7"/>
        <v>0</v>
      </c>
      <c r="R12" s="59">
        <f t="shared" si="8"/>
        <v>-0.34269999999999357</v>
      </c>
      <c r="S12" s="59">
        <f t="shared" si="9"/>
        <v>0</v>
      </c>
      <c r="T12" s="59">
        <f t="shared" si="10"/>
        <v>-5.2643000000000058</v>
      </c>
      <c r="U12" s="15"/>
      <c r="V12" s="27" t="str">
        <f t="shared" si="11"/>
        <v>自信</v>
      </c>
      <c r="W12" s="59">
        <f>'M1'!B10*1</f>
        <v>82.276899999999998</v>
      </c>
      <c r="X12" s="59">
        <f>'M1'!C10*1</f>
        <v>2.9147500000000002</v>
      </c>
      <c r="Y12" s="59">
        <f>'M1'!D10*1</f>
        <v>3.5426099999999998</v>
      </c>
      <c r="Z12" s="59">
        <f>'M1'!E10*1</f>
        <v>40</v>
      </c>
      <c r="AA12" s="59">
        <f>'M1'!F10*1</f>
        <v>77.618799999999993</v>
      </c>
      <c r="AB12" s="59">
        <f>'M1'!G10*1</f>
        <v>100</v>
      </c>
      <c r="AC12" s="59">
        <f>'M1'!H10*1</f>
        <v>88.058700000000002</v>
      </c>
      <c r="AE12" s="27" t="str">
        <f t="shared" si="12"/>
        <v>自信</v>
      </c>
      <c r="AF12" s="59">
        <f>'M2'!B10*1</f>
        <v>81.515900000000002</v>
      </c>
      <c r="AG12" s="59">
        <f>'M2'!C10*1</f>
        <v>1.90327</v>
      </c>
      <c r="AH12" s="59">
        <f>'M2'!D10*1</f>
        <v>2.3348499999999999</v>
      </c>
      <c r="AI12" s="59">
        <f>'M2'!E10*1</f>
        <v>40</v>
      </c>
      <c r="AJ12" s="59">
        <f>'M2'!F10*1</f>
        <v>77.2761</v>
      </c>
      <c r="AK12" s="59">
        <f>'M2'!G10*1</f>
        <v>100</v>
      </c>
      <c r="AL12" s="59">
        <f>'M2'!H10*1</f>
        <v>82.794399999999996</v>
      </c>
    </row>
    <row r="13" spans="2:38" ht="25.5" customHeight="1" thickBot="1">
      <c r="B13" s="72" t="str">
        <f>CONCATENATE(M15,"
(10 ~ 25)")</f>
        <v>抑郁
(10 ~ 25)</v>
      </c>
      <c r="C13" s="54">
        <f>R15</f>
        <v>0.61969999999999992</v>
      </c>
      <c r="D13" s="55">
        <f>N15</f>
        <v>1.5077999999999996</v>
      </c>
      <c r="E13" s="56">
        <f>T15</f>
        <v>7.867600000000003</v>
      </c>
      <c r="F13" s="56">
        <f>P15</f>
        <v>7.0652000000000008</v>
      </c>
      <c r="G13" s="74" t="str">
        <f>CONCATENATE(M16,"
(10 ~ 50)")</f>
        <v>神经质
(10 ~ 50)</v>
      </c>
      <c r="H13" s="54">
        <f>R16</f>
        <v>1.3279999999999959E-2</v>
      </c>
      <c r="I13" s="55">
        <f>N16</f>
        <v>16.229100000000003</v>
      </c>
      <c r="J13" s="56">
        <f>T16</f>
        <v>5.8799000000000028</v>
      </c>
      <c r="K13" s="57">
        <f>P16</f>
        <v>-2.5673999999999992</v>
      </c>
      <c r="M13" s="27" t="str">
        <f>lang!B20</f>
        <v>活力</v>
      </c>
      <c r="N13" s="59">
        <f t="shared" si="4"/>
        <v>14.613400000000002</v>
      </c>
      <c r="O13" s="59">
        <f t="shared" si="5"/>
        <v>-4.9132300000000004</v>
      </c>
      <c r="P13" s="59">
        <f t="shared" si="6"/>
        <v>-32.048099999999998</v>
      </c>
      <c r="Q13" s="59">
        <f t="shared" si="7"/>
        <v>0</v>
      </c>
      <c r="R13" s="59">
        <f t="shared" si="8"/>
        <v>18.376040000000003</v>
      </c>
      <c r="S13" s="59">
        <f t="shared" si="9"/>
        <v>0</v>
      </c>
      <c r="T13" s="59">
        <f t="shared" si="10"/>
        <v>0.709699999999998</v>
      </c>
      <c r="U13" s="14"/>
      <c r="V13" s="27" t="str">
        <f t="shared" si="11"/>
        <v>活力</v>
      </c>
      <c r="W13" s="59">
        <f>'M1'!B11*1</f>
        <v>20.0791</v>
      </c>
      <c r="X13" s="59">
        <f>'M1'!C11*1</f>
        <v>8.5258599999999998</v>
      </c>
      <c r="Y13" s="59">
        <f>'M1'!D11*1</f>
        <v>42.461399999999998</v>
      </c>
      <c r="Z13" s="59">
        <f>'M1'!E11*1</f>
        <v>10</v>
      </c>
      <c r="AA13" s="59">
        <f>'M1'!F11*1</f>
        <v>6.2041599999999999</v>
      </c>
      <c r="AB13" s="59">
        <f>'M1'!G11*1</f>
        <v>50</v>
      </c>
      <c r="AC13" s="59">
        <f>'M1'!H11*1</f>
        <v>36.4923</v>
      </c>
      <c r="AE13" s="27" t="str">
        <f t="shared" si="12"/>
        <v>活力</v>
      </c>
      <c r="AF13" s="59">
        <f>'M2'!B11*1</f>
        <v>34.692500000000003</v>
      </c>
      <c r="AG13" s="59">
        <f>'M2'!C11*1</f>
        <v>3.6126299999999998</v>
      </c>
      <c r="AH13" s="59">
        <f>'M2'!D11*1</f>
        <v>10.4133</v>
      </c>
      <c r="AI13" s="59">
        <f>'M2'!E11*1</f>
        <v>10</v>
      </c>
      <c r="AJ13" s="59">
        <f>'M2'!F11*1</f>
        <v>24.580200000000001</v>
      </c>
      <c r="AK13" s="59">
        <f>'M2'!G11*1</f>
        <v>50</v>
      </c>
      <c r="AL13" s="59">
        <f>'M2'!H11*1</f>
        <v>37.201999999999998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0.46120000000000516</v>
      </c>
      <c r="O14" s="59">
        <f t="shared" si="5"/>
        <v>-0.50660999999999934</v>
      </c>
      <c r="P14" s="59">
        <f t="shared" si="6"/>
        <v>-0.7272299999999996</v>
      </c>
      <c r="Q14" s="59">
        <f t="shared" si="7"/>
        <v>0</v>
      </c>
      <c r="R14" s="59">
        <f t="shared" si="8"/>
        <v>-2.7091999999999956</v>
      </c>
      <c r="S14" s="59">
        <f t="shared" si="9"/>
        <v>0</v>
      </c>
      <c r="T14" s="59">
        <f t="shared" si="10"/>
        <v>-5.0127999999999986</v>
      </c>
      <c r="U14" s="14"/>
      <c r="V14" s="27" t="str">
        <f t="shared" si="11"/>
        <v>自我调节</v>
      </c>
      <c r="W14" s="59">
        <f>'M1'!B12*1</f>
        <v>73.354399999999998</v>
      </c>
      <c r="X14" s="59">
        <f>'M1'!C12*1</f>
        <v>4.8030799999999996</v>
      </c>
      <c r="Y14" s="59">
        <f>'M1'!D12*1</f>
        <v>6.5477699999999999</v>
      </c>
      <c r="Z14" s="59">
        <f>'M1'!E12*1</f>
        <v>50</v>
      </c>
      <c r="AA14" s="59">
        <f>'M1'!F12*1</f>
        <v>68.1738</v>
      </c>
      <c r="AB14" s="59">
        <f>'M1'!G12*1</f>
        <v>100</v>
      </c>
      <c r="AC14" s="59">
        <f>'M1'!H12*1</f>
        <v>86.742199999999997</v>
      </c>
      <c r="AE14" s="27" t="str">
        <f t="shared" si="12"/>
        <v>自我调节</v>
      </c>
      <c r="AF14" s="59">
        <f>'M2'!B12*1</f>
        <v>73.815600000000003</v>
      </c>
      <c r="AG14" s="59">
        <f>'M2'!C12*1</f>
        <v>4.2964700000000002</v>
      </c>
      <c r="AH14" s="59">
        <f>'M2'!D12*1</f>
        <v>5.8205400000000003</v>
      </c>
      <c r="AI14" s="59">
        <f>'M2'!E12*1</f>
        <v>50</v>
      </c>
      <c r="AJ14" s="59">
        <f>'M2'!F12*1</f>
        <v>65.464600000000004</v>
      </c>
      <c r="AK14" s="59">
        <f>'M2'!G12*1</f>
        <v>100</v>
      </c>
      <c r="AL14" s="59">
        <f>'M2'!H12*1</f>
        <v>81.729399999999998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1.5077999999999996</v>
      </c>
      <c r="O15" s="59">
        <f t="shared" si="5"/>
        <v>1.6229100000000001</v>
      </c>
      <c r="P15" s="59">
        <f t="shared" si="6"/>
        <v>7.0652000000000008</v>
      </c>
      <c r="Q15" s="59">
        <f t="shared" si="7"/>
        <v>0</v>
      </c>
      <c r="R15" s="59">
        <f t="shared" si="8"/>
        <v>0.61969999999999992</v>
      </c>
      <c r="S15" s="59">
        <f t="shared" si="9"/>
        <v>0</v>
      </c>
      <c r="T15" s="59">
        <f t="shared" si="10"/>
        <v>7.867600000000003</v>
      </c>
      <c r="U15" s="14"/>
      <c r="V15" s="27" t="str">
        <f t="shared" si="11"/>
        <v>抑郁</v>
      </c>
      <c r="W15" s="59">
        <f>'M1'!B13*1</f>
        <v>18.995200000000001</v>
      </c>
      <c r="X15" s="59">
        <f>'M1'!C13*1</f>
        <v>2.1960600000000001</v>
      </c>
      <c r="Y15" s="59">
        <f>'M1'!D13*1</f>
        <v>11.561199999999999</v>
      </c>
      <c r="Z15" s="59">
        <f>'M1'!E13*1</f>
        <v>10</v>
      </c>
      <c r="AA15" s="59">
        <f>'M1'!F13*1</f>
        <v>15.239000000000001</v>
      </c>
      <c r="AB15" s="59">
        <f>'M1'!G13*1</f>
        <v>25</v>
      </c>
      <c r="AC15" s="59">
        <f>'M1'!H13*1</f>
        <v>25.47</v>
      </c>
      <c r="AE15" s="27" t="str">
        <f t="shared" si="12"/>
        <v>抑郁</v>
      </c>
      <c r="AF15" s="59">
        <f>'M2'!B13*1</f>
        <v>20.503</v>
      </c>
      <c r="AG15" s="59">
        <f>'M2'!C13*1</f>
        <v>3.8189700000000002</v>
      </c>
      <c r="AH15" s="59">
        <f>'M2'!D13*1</f>
        <v>18.6264</v>
      </c>
      <c r="AI15" s="59">
        <f>'M2'!E13*1</f>
        <v>10</v>
      </c>
      <c r="AJ15" s="59">
        <f>'M2'!F13*1</f>
        <v>15.858700000000001</v>
      </c>
      <c r="AK15" s="59">
        <f>'M2'!G13*1</f>
        <v>25</v>
      </c>
      <c r="AL15" s="59">
        <f>'M2'!H13*1</f>
        <v>33.337600000000002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16.229100000000003</v>
      </c>
      <c r="O16" s="59">
        <f t="shared" si="5"/>
        <v>3.8133100000000004</v>
      </c>
      <c r="P16" s="59">
        <f t="shared" si="6"/>
        <v>-2.5673999999999992</v>
      </c>
      <c r="Q16" s="59">
        <f t="shared" si="7"/>
        <v>0</v>
      </c>
      <c r="R16" s="59">
        <f t="shared" si="8"/>
        <v>1.3279999999999959E-2</v>
      </c>
      <c r="S16" s="59">
        <f t="shared" si="9"/>
        <v>0</v>
      </c>
      <c r="T16" s="59">
        <f t="shared" si="10"/>
        <v>5.8799000000000028</v>
      </c>
      <c r="U16" s="15"/>
      <c r="V16" s="27" t="str">
        <f t="shared" si="11"/>
        <v>神经质</v>
      </c>
      <c r="W16" s="59">
        <f>'M1'!B14*1</f>
        <v>21.960599999999999</v>
      </c>
      <c r="X16" s="59">
        <f>'M1'!C14*1</f>
        <v>6.4867900000000001</v>
      </c>
      <c r="Y16" s="59">
        <f>'M1'!D14*1</f>
        <v>29.5382</v>
      </c>
      <c r="Z16" s="59">
        <f>'M1'!E14*1</f>
        <v>10</v>
      </c>
      <c r="AA16" s="59">
        <f>'M1'!F14*1</f>
        <v>2.7718500000000001</v>
      </c>
      <c r="AB16" s="59">
        <f>'M1'!G14*1</f>
        <v>50</v>
      </c>
      <c r="AC16" s="59">
        <f>'M1'!H14*1</f>
        <v>27.0168</v>
      </c>
      <c r="AE16" s="27" t="str">
        <f t="shared" si="12"/>
        <v>神经质</v>
      </c>
      <c r="AF16" s="59">
        <f>'M2'!B14*1</f>
        <v>38.189700000000002</v>
      </c>
      <c r="AG16" s="59">
        <f>'M2'!C14*1</f>
        <v>10.3001</v>
      </c>
      <c r="AH16" s="59">
        <f>'M2'!D14*1</f>
        <v>26.970800000000001</v>
      </c>
      <c r="AI16" s="59">
        <f>'M2'!E14*1</f>
        <v>10</v>
      </c>
      <c r="AJ16" s="59">
        <f>'M2'!F14*1</f>
        <v>2.7851300000000001</v>
      </c>
      <c r="AK16" s="59">
        <f>'M2'!G14*1</f>
        <v>50</v>
      </c>
      <c r="AL16" s="59">
        <f>'M2'!H14*1</f>
        <v>32.896700000000003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3.6580000000000021</v>
      </c>
      <c r="O17" s="22">
        <f>N17/(N17+N18+N19)</f>
        <v>0.2630211844222145</v>
      </c>
      <c r="P17" s="65">
        <f>SUM(P11:P14)/4</f>
        <v>-8.5889224999999989</v>
      </c>
      <c r="Q17" s="22">
        <f>P17/(P17+P18+P19)</f>
        <v>0.98232479914999371</v>
      </c>
      <c r="R17" s="14"/>
      <c r="S17" s="14"/>
      <c r="T17" s="14"/>
      <c r="U17" s="14"/>
      <c r="V17" s="21" t="str">
        <f>M17</f>
        <v>Positive</v>
      </c>
      <c r="W17" s="65">
        <f>SUM(W11:W14)/4</f>
        <v>60.639800000000001</v>
      </c>
      <c r="X17" s="22">
        <f>W17/(W17+W18+W19)</f>
        <v>0.56616028112042038</v>
      </c>
      <c r="Y17" s="65">
        <f>SUM(Y11:Y14)/4</f>
        <v>16.224895</v>
      </c>
      <c r="Z17" s="22">
        <f>Y17/(Y17+Y18+Y19)</f>
        <v>0.28808576115591583</v>
      </c>
      <c r="AA17" s="14"/>
      <c r="AB17" s="14"/>
      <c r="AC17" s="14"/>
      <c r="AE17" s="21" t="str">
        <f>V17</f>
        <v>Positive</v>
      </c>
      <c r="AF17" s="65">
        <f>SUM(AF11:AF14)/4</f>
        <v>64.297799999999995</v>
      </c>
      <c r="AG17" s="22">
        <f>AF17/(AF17+AF18+AF19)</f>
        <v>0.53132200826758724</v>
      </c>
      <c r="AH17" s="65">
        <f>SUM(AH11:AH14)/4</f>
        <v>7.6359724999999994</v>
      </c>
      <c r="AI17" s="22">
        <f>AH17/(AH17+AH18+AH19)</f>
        <v>0.16049982338860358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1.3811750000000007</v>
      </c>
      <c r="O18" s="22">
        <f>N18/(N17+N18+N19)</f>
        <v>9.9310629960183736E-2</v>
      </c>
      <c r="P18" s="18">
        <f>SUM(P7:P10)/4</f>
        <v>-2.4034425000000006</v>
      </c>
      <c r="Q18" s="22">
        <f>P18/(P17+P18+P19)</f>
        <v>0.27488444226630987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25.989425000000001</v>
      </c>
      <c r="X18" s="22">
        <f>W18/(W17+W18+W19)</f>
        <v>0.24264889007150553</v>
      </c>
      <c r="Y18" s="18">
        <f>SUM(Y7:Y10)/4</f>
        <v>19.545075000000004</v>
      </c>
      <c r="Z18" s="22">
        <f>Y18/(Y17+Y18+Y19)</f>
        <v>0.34703816623925537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27.3706</v>
      </c>
      <c r="AG18" s="22">
        <f>AF18/(AF17+AF18+AF19)</f>
        <v>0.22617573477613268</v>
      </c>
      <c r="AH18" s="18">
        <f>SUM(AH7:AH10)/4</f>
        <v>17.1416325</v>
      </c>
      <c r="AI18" s="22">
        <f>AH18/(AH17+AH18+AH19)</f>
        <v>0.36029844120606086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8.8684500000000011</v>
      </c>
      <c r="O19" s="22">
        <f>N19/(N17+N18+N19)</f>
        <v>0.63766818561760175</v>
      </c>
      <c r="P19" s="18">
        <f>(P15+P16)/2</f>
        <v>2.2489000000000008</v>
      </c>
      <c r="Q19" s="22">
        <f>P19/(P17+P18+P19)</f>
        <v>-0.25720924141630364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20.477899999999998</v>
      </c>
      <c r="X19" s="22">
        <f>W19/(W17+W18+W19)</f>
        <v>0.19119082880807414</v>
      </c>
      <c r="Y19" s="18">
        <f>(Y15+Y16)/2</f>
        <v>20.549700000000001</v>
      </c>
      <c r="Z19" s="22">
        <f>Y19/(Y17+Y18+Y19)</f>
        <v>0.36487607260482885</v>
      </c>
      <c r="AA19" s="14"/>
      <c r="AB19" s="14"/>
      <c r="AC19" s="14"/>
      <c r="AE19" s="21" t="str">
        <f t="shared" si="14"/>
        <v>Physiological</v>
      </c>
      <c r="AF19" s="18">
        <f>(AF15+AF16)/2</f>
        <v>29.346350000000001</v>
      </c>
      <c r="AG19" s="22">
        <f>AF19/(AF17+AF18+AF19)</f>
        <v>0.24250225695628014</v>
      </c>
      <c r="AH19" s="18">
        <f>(AH15+AH16)/2</f>
        <v>22.7986</v>
      </c>
      <c r="AI19" s="22">
        <f>AH19/(AH17+AH18+AH19)</f>
        <v>0.4792017354053355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1.65/2.11</v>
      </c>
      <c r="D24" s="44" t="str">
        <f>lang!B11</f>
        <v>频率方差</v>
      </c>
      <c r="E24" s="142" t="str">
        <f ca="1">CONCATENATE(ROUND('FH1'!L3,2),"/",ROUND('FH2'!L3,2))</f>
        <v>0.62/0.49</v>
      </c>
      <c r="F24" s="143"/>
      <c r="G24" s="134" t="str">
        <f>lang!B12</f>
        <v>生理变化率</v>
      </c>
      <c r="H24" s="135"/>
      <c r="I24" s="62" t="str">
        <f ca="1">CONCATENATE(info!M7,"-",info!M8)</f>
        <v>47.7-67.4</v>
      </c>
      <c r="J24" s="42" t="str">
        <f>lang!B13</f>
        <v>千卡l/分钟</v>
      </c>
      <c r="K24" s="41" t="str">
        <f ca="1">CONCATENATE(info!M5,"-",info!M6)</f>
        <v>1.9-4.6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99%]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-7.5632999999999946</v>
      </c>
      <c r="F27" s="164"/>
      <c r="G27" s="178" t="str">
        <f>lang!B33</f>
        <v>稳定性</v>
      </c>
      <c r="H27" s="179"/>
      <c r="I27" s="180"/>
      <c r="J27" s="181">
        <f>dM!B19*100</f>
        <v>6.3691999999999975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-0.63285380989096751</v>
      </c>
      <c r="C2">
        <f t="array" aca="1" ref="C2" ca="1">CORREL(FT_E02,FT_PH02)</f>
        <v>0.7642056563551054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1.91547</v>
      </c>
      <c r="G2" s="61">
        <f>IF(FT!B2&lt;&gt;"",FT!B2*100,"")</f>
        <v>67.402299999999997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1.96888</v>
      </c>
      <c r="G3" s="61">
        <f>IF(FT!B3&lt;&gt;"",FT!B3*100,"")</f>
        <v>67.279199999999989</v>
      </c>
      <c r="H3" s="61">
        <f t="shared" ref="H3:H66" si="1">(IF(F3&lt;&gt;"",1,""))</f>
        <v>1</v>
      </c>
      <c r="I3" t="str">
        <f>IF(FT!B3&lt;&gt;"",FT!E3,"")</f>
        <v>1 [0.407035]</v>
      </c>
      <c r="J3">
        <f>IF(FT!B3&lt;&gt;"",FT!C3,"")</f>
        <v>0.40703499999999998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0.5486410675675677</v>
      </c>
      <c r="V3">
        <f ca="1">AVERAGE(OFFSET(FT!B2,info!$L$3/2,0,info!$L$3/2,1))</f>
        <v>0.5229623108108109</v>
      </c>
      <c r="W3">
        <f ca="1">AVERAGE(OFFSET(FT!A2,0,0,info!$L$3/2,1))</f>
        <v>0.35307570270270272</v>
      </c>
      <c r="X3">
        <f ca="1">AVERAGE(OFFSET(FT!A2,info!$L$3/2,0,info!$L$3/2,1))</f>
        <v>0.42427995945945951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2.0227999999999997</v>
      </c>
      <c r="G4" s="61">
        <f>IF(FT!B4&lt;&gt;"",FT!B4*100,"")</f>
        <v>66.904899999999998</v>
      </c>
      <c r="H4" s="61">
        <f t="shared" si="1"/>
        <v>1</v>
      </c>
      <c r="I4" t="str">
        <f>IF(FT!B4&lt;&gt;"",FT!E4,"")</f>
        <v>1 [0.814928]</v>
      </c>
      <c r="J4">
        <f>IF(FT!B4&lt;&gt;"",FT!C4,"")</f>
        <v>0.81492799999999999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14.945550000000001</v>
      </c>
      <c r="V4">
        <f>U4*3</f>
        <v>44.836650000000006</v>
      </c>
      <c r="W4">
        <f>U4</f>
        <v>14.945550000000001</v>
      </c>
      <c r="X4">
        <f>V4</f>
        <v>44.836650000000006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2.07443</v>
      </c>
      <c r="G5" s="61">
        <f>IF(FT!B5&lt;&gt;"",FT!B5*100,"")</f>
        <v>66.395400000000009</v>
      </c>
      <c r="H5" s="61">
        <f t="shared" si="1"/>
        <v>1</v>
      </c>
      <c r="I5" t="str">
        <f>IF(FT!B5&lt;&gt;"",FT!E5,"")</f>
        <v>1 [1.218794]</v>
      </c>
      <c r="J5">
        <f>IF(FT!B5&lt;&gt;"",FT!C5,"")</f>
        <v>1.21879</v>
      </c>
      <c r="K5" t="s">
        <v>53</v>
      </c>
      <c r="L5" s="63">
        <f ca="1">MIN(FT_E)</f>
        <v>1.91547</v>
      </c>
      <c r="M5" s="63">
        <f ca="1">ROUND(L5,1)</f>
        <v>1.9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54.864106756756769</v>
      </c>
      <c r="V5">
        <f ca="1">V3*100</f>
        <v>52.296231081081089</v>
      </c>
      <c r="W5">
        <f ca="1">W3*10</f>
        <v>3.5307570270270272</v>
      </c>
      <c r="X5">
        <f ca="1">X3*10</f>
        <v>4.2427995945945955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2.1225700000000001</v>
      </c>
      <c r="G6" s="61">
        <f>IF(FT!B6&lt;&gt;"",FT!B6*100,"")</f>
        <v>65.844499999999996</v>
      </c>
      <c r="H6" s="61">
        <f t="shared" si="1"/>
        <v>1</v>
      </c>
      <c r="I6" t="str">
        <f>IF(FT!B6&lt;&gt;"",FT!E6,"")</f>
        <v>1 [1.622771]</v>
      </c>
      <c r="J6">
        <f>IF(FT!B6&lt;&gt;"",FT!C6,"")</f>
        <v>1.62277</v>
      </c>
      <c r="K6" t="s">
        <v>54</v>
      </c>
      <c r="L6" s="63">
        <f ca="1">MAX(FT_E)</f>
        <v>4.5529299999999999</v>
      </c>
      <c r="M6" s="63">
        <f ca="1">ROUND(L6,1)</f>
        <v>4.5999999999999996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2.1680299999999999</v>
      </c>
      <c r="G7" s="61">
        <f>IF(FT!B7&lt;&gt;"",FT!B7*100,"")</f>
        <v>65.357299999999995</v>
      </c>
      <c r="H7" s="61">
        <f t="shared" si="1"/>
        <v>1</v>
      </c>
      <c r="I7" t="str">
        <f>IF(FT!B7&lt;&gt;"",FT!E7,"")</f>
        <v>1 [2.030682]</v>
      </c>
      <c r="J7">
        <f>IF(FT!B7&lt;&gt;"",FT!C7,"")</f>
        <v>2.0306799999999998</v>
      </c>
      <c r="K7" t="s">
        <v>55</v>
      </c>
      <c r="L7" s="63">
        <f ca="1">MIN(FT_PH)</f>
        <v>47.735699999999994</v>
      </c>
      <c r="M7" s="63">
        <f ca="1">ROUND(L7,1)</f>
        <v>47.7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138</v>
      </c>
      <c r="D8" s="61">
        <f>FH!B8*1</f>
        <v>138</v>
      </c>
      <c r="E8">
        <f t="shared" si="3"/>
        <v>6</v>
      </c>
      <c r="F8" s="61">
        <f>IF(FT!A8&lt;&gt;"",FT!A8*10,"")</f>
        <v>2.2130399999999999</v>
      </c>
      <c r="G8" s="61">
        <f>IF(FT!B8&lt;&gt;"",FT!B8*100,"")</f>
        <v>64.890199999999993</v>
      </c>
      <c r="H8" s="61">
        <f t="shared" si="1"/>
        <v>1</v>
      </c>
      <c r="I8" t="str">
        <f>IF(FT!B8&lt;&gt;"",FT!E8,"")</f>
        <v>1 [2.438565]</v>
      </c>
      <c r="J8">
        <f>IF(FT!B8&lt;&gt;"",FT!C8,"")</f>
        <v>2.4385699999999999</v>
      </c>
      <c r="K8" t="s">
        <v>56</v>
      </c>
      <c r="L8" s="63">
        <f ca="1">MAX(FT_PH)</f>
        <v>67.402299999999997</v>
      </c>
      <c r="M8" s="63">
        <f ca="1">ROUND(L8,1)</f>
        <v>67.400000000000006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2.2597</v>
      </c>
      <c r="G9" s="61">
        <f>IF(FT!B9&lt;&gt;"",FT!B9*100,"")</f>
        <v>64.297300000000007</v>
      </c>
      <c r="H9" s="61">
        <f t="shared" si="1"/>
        <v>1</v>
      </c>
      <c r="I9" t="str">
        <f>IF(FT!B9&lt;&gt;"",FT!E9,"")</f>
        <v>1 [2.846780]</v>
      </c>
      <c r="J9">
        <f>IF(FT!B9&lt;&gt;"",FT!C9,"")</f>
        <v>2.8467799999999999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743</v>
      </c>
      <c r="D10" s="61">
        <f>FH!B10*1</f>
        <v>743</v>
      </c>
      <c r="E10">
        <f t="shared" si="3"/>
        <v>8</v>
      </c>
      <c r="F10" s="61">
        <f>IF(FT!A10&lt;&gt;"",FT!A10*10,"")</f>
        <v>2.3056199999999998</v>
      </c>
      <c r="G10" s="61">
        <f>IF(FT!B10&lt;&gt;"",FT!B10*100,"")</f>
        <v>63.574100000000001</v>
      </c>
      <c r="H10" s="61">
        <f t="shared" si="1"/>
        <v>1</v>
      </c>
      <c r="I10" t="str">
        <f>IF(FT!B10&lt;&gt;"",FT!E10,"")</f>
        <v>1 [3.255331]</v>
      </c>
      <c r="J10">
        <f>IF(FT!B10&lt;&gt;"",FT!C10,"")</f>
        <v>3.2553299999999998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2.3508</v>
      </c>
      <c r="G11" s="61">
        <f>IF(FT!B11&lt;&gt;"",FT!B11*100,"")</f>
        <v>62.746900000000004</v>
      </c>
      <c r="H11" s="61">
        <f t="shared" si="1"/>
        <v>1</v>
      </c>
      <c r="I11" t="str">
        <f>IF(FT!B11&lt;&gt;"",FT!E11,"")</f>
        <v>1 [3.655310]</v>
      </c>
      <c r="J11">
        <f>IF(FT!B11&lt;&gt;"",FT!C11,"")</f>
        <v>3.6553100000000001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2.3967900000000002</v>
      </c>
      <c r="G12" s="61">
        <f>IF(FT!B12&lt;&gt;"",FT!B12*100,"")</f>
        <v>61.838099999999997</v>
      </c>
      <c r="H12" s="61">
        <f t="shared" si="1"/>
        <v>1</v>
      </c>
      <c r="I12" t="str">
        <f>IF(FT!B12&lt;&gt;"",FT!E12,"")</f>
        <v>1 [4.062186]</v>
      </c>
      <c r="J12">
        <f>IF(FT!B12&lt;&gt;"",FT!C12,"")</f>
        <v>4.0621900000000002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1560</v>
      </c>
      <c r="D13" s="61">
        <f>FH!B13*1</f>
        <v>1560</v>
      </c>
      <c r="E13">
        <f t="shared" si="3"/>
        <v>11</v>
      </c>
      <c r="F13" s="61">
        <f>IF(FT!A13&lt;&gt;"",FT!A13*10,"")</f>
        <v>2.4427699999999999</v>
      </c>
      <c r="G13" s="61">
        <f>IF(FT!B13&lt;&gt;"",FT!B13*100,"")</f>
        <v>60.903500000000001</v>
      </c>
      <c r="H13" s="61">
        <f t="shared" si="1"/>
        <v>1</v>
      </c>
      <c r="I13" t="str">
        <f>IF(FT!B13&lt;&gt;"",FT!E13,"")</f>
        <v>1 [4.472139]</v>
      </c>
      <c r="J13">
        <f>IF(FT!B13&lt;&gt;"",FT!C13,"")</f>
        <v>4.4721399999999996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2.4879699999999998</v>
      </c>
      <c r="G14" s="61">
        <f>IF(FT!B14&lt;&gt;"",FT!B14*100,"")</f>
        <v>60.015500000000003</v>
      </c>
      <c r="H14" s="61">
        <f t="shared" si="1"/>
        <v>1</v>
      </c>
      <c r="I14" t="str">
        <f>IF(FT!B14&lt;&gt;"",FT!E14,"")</f>
        <v>1 [4.878953]</v>
      </c>
      <c r="J14">
        <f>IF(FT!B14&lt;&gt;"",FT!C14,"")</f>
        <v>4.8789499999999997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2962</v>
      </c>
      <c r="D15" s="61">
        <f>FH!B15*1</f>
        <v>2962</v>
      </c>
      <c r="E15">
        <f t="shared" si="3"/>
        <v>13</v>
      </c>
      <c r="F15" s="61">
        <f>IF(FT!A15&lt;&gt;"",FT!A15*10,"")</f>
        <v>2.5323099999999998</v>
      </c>
      <c r="G15" s="61">
        <f>IF(FT!B15&lt;&gt;"",FT!B15*100,"")</f>
        <v>59.122799999999998</v>
      </c>
      <c r="H15" s="61">
        <f t="shared" si="1"/>
        <v>1</v>
      </c>
      <c r="I15" t="str">
        <f>IF(FT!B15&lt;&gt;"",FT!E15,"")</f>
        <v>1 [5.284933]</v>
      </c>
      <c r="J15">
        <f>IF(FT!B15&lt;&gt;"",FT!C15,"")</f>
        <v>5.2849300000000001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2.5774900000000001</v>
      </c>
      <c r="G16" s="61">
        <f>IF(FT!B16&lt;&gt;"",FT!B16*100,"")</f>
        <v>58.158699999999996</v>
      </c>
      <c r="H16" s="61">
        <f t="shared" si="1"/>
        <v>1</v>
      </c>
      <c r="I16" t="str">
        <f>IF(FT!B16&lt;&gt;"",FT!E16,"")</f>
        <v>1 [5.690791]</v>
      </c>
      <c r="J16">
        <f>IF(FT!B16&lt;&gt;"",FT!C16,"")</f>
        <v>5.6907899999999998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2.62554</v>
      </c>
      <c r="G17" s="61">
        <f>IF(FT!B17&lt;&gt;"",FT!B17*100,"")</f>
        <v>57.086800000000004</v>
      </c>
      <c r="H17" s="61">
        <f t="shared" si="1"/>
        <v>1</v>
      </c>
      <c r="I17" t="str">
        <f>IF(FT!B17&lt;&gt;"",FT!E17,"")</f>
        <v>1 [6.095744]</v>
      </c>
      <c r="J17">
        <f>IF(FT!B17&lt;&gt;"",FT!C17,"")</f>
        <v>6.0957400000000002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6526</v>
      </c>
      <c r="D18" s="61">
        <f>FH!B18*1</f>
        <v>6526</v>
      </c>
      <c r="E18">
        <f t="shared" si="3"/>
        <v>16</v>
      </c>
      <c r="F18" s="61">
        <f>IF(FT!A18&lt;&gt;"",FT!A18*10,"")</f>
        <v>2.6775900000000004</v>
      </c>
      <c r="G18" s="61">
        <f>IF(FT!B18&lt;&gt;"",FT!B18*100,"")</f>
        <v>55.917799999999993</v>
      </c>
      <c r="H18" s="61">
        <f t="shared" si="1"/>
        <v>1</v>
      </c>
      <c r="I18" t="str">
        <f>IF(FT!B18&lt;&gt;"",FT!E18,"")</f>
        <v>1 [6.502653]</v>
      </c>
      <c r="J18">
        <f>IF(FT!B18&lt;&gt;"",FT!C18,"")</f>
        <v>6.50265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2.7316000000000003</v>
      </c>
      <c r="G19" s="61">
        <f>IF(FT!B19&lt;&gt;"",FT!B19*100,"")</f>
        <v>54.645900000000005</v>
      </c>
      <c r="H19" s="61">
        <f t="shared" si="1"/>
        <v>1</v>
      </c>
      <c r="I19" t="str">
        <f>IF(FT!B19&lt;&gt;"",FT!E19,"")</f>
        <v>1 [6.904603]</v>
      </c>
      <c r="J19">
        <f>IF(FT!B19&lt;&gt;"",FT!C19,"")</f>
        <v>6.9046000000000003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2.7863300000000004</v>
      </c>
      <c r="G20" s="61">
        <f>IF(FT!B20&lt;&gt;"",FT!B20*100,"")</f>
        <v>53.440399999999997</v>
      </c>
      <c r="H20" s="61">
        <f t="shared" si="1"/>
        <v>1</v>
      </c>
      <c r="I20" t="str">
        <f>IF(FT!B20&lt;&gt;"",FT!E20,"")</f>
        <v>1 [7.313825]</v>
      </c>
      <c r="J20">
        <f>IF(FT!B20&lt;&gt;"",FT!C20,"")</f>
        <v>7.3138199999999998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8791</v>
      </c>
      <c r="D21" s="61">
        <f>FH!B21*1</f>
        <v>8791</v>
      </c>
      <c r="E21">
        <f t="shared" si="3"/>
        <v>19</v>
      </c>
      <c r="F21" s="61">
        <f>IF(FT!A21&lt;&gt;"",FT!A21*10,"")</f>
        <v>2.8389100000000003</v>
      </c>
      <c r="G21" s="61">
        <f>IF(FT!B21&lt;&gt;"",FT!B21*100,"")</f>
        <v>52.549800000000005</v>
      </c>
      <c r="H21" s="61">
        <f t="shared" si="1"/>
        <v>1</v>
      </c>
      <c r="I21" t="str">
        <f>IF(FT!B21&lt;&gt;"",FT!E21,"")</f>
        <v>1 [7.720409]</v>
      </c>
      <c r="J21">
        <f>IF(FT!B21&lt;&gt;"",FT!C21,"")</f>
        <v>7.7204100000000002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2.8866100000000001</v>
      </c>
      <c r="G22" s="61">
        <f>IF(FT!B22&lt;&gt;"",FT!B22*100,"")</f>
        <v>51.9621</v>
      </c>
      <c r="H22" s="61">
        <f t="shared" si="1"/>
        <v>1</v>
      </c>
      <c r="I22" t="str">
        <f>IF(FT!B22&lt;&gt;"",FT!E22,"")</f>
        <v>1 [8.124435]</v>
      </c>
      <c r="J22">
        <f>IF(FT!B22&lt;&gt;"",FT!C22,"")</f>
        <v>8.1244399999999999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13467</v>
      </c>
      <c r="D23" s="61">
        <f>FH!B23*1</f>
        <v>13467</v>
      </c>
      <c r="E23">
        <f t="shared" si="3"/>
        <v>21</v>
      </c>
      <c r="F23" s="61">
        <f>IF(FT!A23&lt;&gt;"",FT!A23*10,"")</f>
        <v>2.9344100000000002</v>
      </c>
      <c r="G23" s="61">
        <f>IF(FT!B23&lt;&gt;"",FT!B23*100,"")</f>
        <v>51.443099999999994</v>
      </c>
      <c r="H23" s="61">
        <f t="shared" si="1"/>
        <v>1</v>
      </c>
      <c r="I23" t="str">
        <f>IF(FT!B23&lt;&gt;"",FT!E23,"")</f>
        <v>1 [8.533258]</v>
      </c>
      <c r="J23">
        <f>IF(FT!B23&lt;&gt;"",FT!C23,"")</f>
        <v>8.5332600000000003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2.9830299999999998</v>
      </c>
      <c r="G24" s="61">
        <f>IF(FT!B24&lt;&gt;"",FT!B24*100,"")</f>
        <v>50.958800000000004</v>
      </c>
      <c r="H24" s="61">
        <f t="shared" si="1"/>
        <v>1</v>
      </c>
      <c r="I24" t="str">
        <f>IF(FT!B24&lt;&gt;"",FT!E24,"")</f>
        <v>1 [8.938077]</v>
      </c>
      <c r="J24">
        <f>IF(FT!B24&lt;&gt;"",FT!C24,"")</f>
        <v>8.9380799999999994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3.03037</v>
      </c>
      <c r="G25" s="61">
        <f>IF(FT!B25&lt;&gt;"",FT!B25*100,"")</f>
        <v>50.601900000000001</v>
      </c>
      <c r="H25" s="61">
        <f t="shared" si="1"/>
        <v>1</v>
      </c>
      <c r="I25" t="str">
        <f>IF(FT!B25&lt;&gt;"",FT!E25,"")</f>
        <v>1 [9.343009]</v>
      </c>
      <c r="J25">
        <f>IF(FT!B25&lt;&gt;"",FT!C25,"")</f>
        <v>9.3430099999999996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16659</v>
      </c>
      <c r="D26" s="61">
        <f>FH!B26*1</f>
        <v>16659</v>
      </c>
      <c r="E26">
        <f t="shared" si="3"/>
        <v>24</v>
      </c>
      <c r="F26" s="61">
        <f>IF(FT!A26&lt;&gt;"",FT!A26*10,"")</f>
        <v>3.0790600000000001</v>
      </c>
      <c r="G26" s="61">
        <f>IF(FT!B26&lt;&gt;"",FT!B26*100,"")</f>
        <v>50.216000000000008</v>
      </c>
      <c r="H26" s="61">
        <f t="shared" si="1"/>
        <v>1</v>
      </c>
      <c r="I26" t="str">
        <f>IF(FT!B26&lt;&gt;"",FT!E26,"")</f>
        <v>1 [9.753906]</v>
      </c>
      <c r="J26">
        <f>IF(FT!B26&lt;&gt;"",FT!C26,"")</f>
        <v>9.7539099999999994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3.1262800000000004</v>
      </c>
      <c r="G27" s="61">
        <f>IF(FT!B27&lt;&gt;"",FT!B27*100,"")</f>
        <v>49.872199999999999</v>
      </c>
      <c r="H27" s="61">
        <f t="shared" si="1"/>
        <v>1</v>
      </c>
      <c r="I27" t="str">
        <f>IF(FT!B27&lt;&gt;"",FT!E27,"")</f>
        <v>1 [10.158874]</v>
      </c>
      <c r="J27">
        <f>IF(FT!B27&lt;&gt;"",FT!C27,"")</f>
        <v>10.158899999999999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21705</v>
      </c>
      <c r="D28" s="61">
        <f>FH!B28*1</f>
        <v>21705</v>
      </c>
      <c r="E28">
        <f t="shared" si="3"/>
        <v>26</v>
      </c>
      <c r="F28" s="61">
        <f>IF(FT!A28&lt;&gt;"",FT!A28*10,"")</f>
        <v>3.17354</v>
      </c>
      <c r="G28" s="61">
        <f>IF(FT!B28&lt;&gt;"",FT!B28*100,"")</f>
        <v>49.656399999999998</v>
      </c>
      <c r="H28" s="61">
        <f t="shared" si="1"/>
        <v>1</v>
      </c>
      <c r="I28" t="str">
        <f>IF(FT!B28&lt;&gt;"",FT!E28,"")</f>
        <v>1 [10.565803]</v>
      </c>
      <c r="J28">
        <f>IF(FT!B28&lt;&gt;"",FT!C28,"")</f>
        <v>10.565799999999999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3.21909</v>
      </c>
      <c r="G29" s="61">
        <f>IF(FT!B29&lt;&gt;"",FT!B29*100,"")</f>
        <v>49.587399999999995</v>
      </c>
      <c r="H29" s="61">
        <f t="shared" si="1"/>
        <v>1</v>
      </c>
      <c r="I29" t="str">
        <f>IF(FT!B29&lt;&gt;"",FT!E29,"")</f>
        <v>1 [10.969666]</v>
      </c>
      <c r="J29">
        <f>IF(FT!B29&lt;&gt;"",FT!C29,"")</f>
        <v>10.9697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3.2640099999999999</v>
      </c>
      <c r="G30" s="61">
        <f>IF(FT!B30&lt;&gt;"",FT!B30*100,"")</f>
        <v>49.576700000000002</v>
      </c>
      <c r="H30" s="61">
        <f t="shared" si="1"/>
        <v>1</v>
      </c>
      <c r="I30" t="str">
        <f>IF(FT!B30&lt;&gt;"",FT!E30,"")</f>
        <v>1 [11.372648]</v>
      </c>
      <c r="J30">
        <f>IF(FT!B30&lt;&gt;"",FT!C30,"")</f>
        <v>11.3726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29176</v>
      </c>
      <c r="D31" s="61">
        <f>FH!B31*1</f>
        <v>29176</v>
      </c>
      <c r="E31">
        <f t="shared" si="3"/>
        <v>29</v>
      </c>
      <c r="F31" s="61">
        <f>IF(FT!A31&lt;&gt;"",FT!A31*10,"")</f>
        <v>3.3088499999999996</v>
      </c>
      <c r="G31" s="61">
        <f>IF(FT!B31&lt;&gt;"",FT!B31*100,"")</f>
        <v>49.626899999999999</v>
      </c>
      <c r="H31" s="61">
        <f t="shared" si="1"/>
        <v>1</v>
      </c>
      <c r="I31" t="str">
        <f>IF(FT!B31&lt;&gt;"",FT!E31,"")</f>
        <v>1 [11.778762]</v>
      </c>
      <c r="J31">
        <f>IF(FT!B31&lt;&gt;"",FT!C31,"")</f>
        <v>11.7788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3.3549600000000002</v>
      </c>
      <c r="G32" s="61">
        <f>IF(FT!B32&lt;&gt;"",FT!B32*100,"")</f>
        <v>49.730400000000003</v>
      </c>
      <c r="H32" s="61">
        <f t="shared" si="1"/>
        <v>1</v>
      </c>
      <c r="I32" t="str">
        <f>IF(FT!B32&lt;&gt;"",FT!E32,"")</f>
        <v>1 [12.187650]</v>
      </c>
      <c r="J32">
        <f>IF(FT!B32&lt;&gt;"",FT!C32,"")</f>
        <v>12.1877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31640</v>
      </c>
      <c r="D33" s="61">
        <f>FH!B33*1</f>
        <v>31640</v>
      </c>
      <c r="E33">
        <f t="shared" si="3"/>
        <v>31</v>
      </c>
      <c r="F33" s="61">
        <f>IF(FT!A33&lt;&gt;"",FT!A33*10,"")</f>
        <v>3.40482</v>
      </c>
      <c r="G33" s="61">
        <f>IF(FT!B33&lt;&gt;"",FT!B33*100,"")</f>
        <v>49.788399999999996</v>
      </c>
      <c r="H33" s="61">
        <f t="shared" si="1"/>
        <v>1</v>
      </c>
      <c r="I33" t="str">
        <f>IF(FT!B33&lt;&gt;"",FT!E33,"")</f>
        <v>1 [12.595429]</v>
      </c>
      <c r="J33">
        <f>IF(FT!B33&lt;&gt;"",FT!C33,"")</f>
        <v>12.5954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3.4571000000000001</v>
      </c>
      <c r="G34" s="61">
        <f>IF(FT!B34&lt;&gt;"",FT!B34*100,"")</f>
        <v>49.815100000000001</v>
      </c>
      <c r="H34" s="61">
        <f t="shared" si="1"/>
        <v>1</v>
      </c>
      <c r="I34" t="str">
        <f>IF(FT!B34&lt;&gt;"",FT!E34,"")</f>
        <v>1 [13.001257]</v>
      </c>
      <c r="J34">
        <f>IF(FT!B34&lt;&gt;"",FT!C34,"")</f>
        <v>13.001300000000001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3.5078999999999998</v>
      </c>
      <c r="G35" s="61">
        <f>IF(FT!B35&lt;&gt;"",FT!B35*100,"")</f>
        <v>49.980400000000003</v>
      </c>
      <c r="H35" s="61">
        <f t="shared" si="1"/>
        <v>1</v>
      </c>
      <c r="I35" t="str">
        <f>IF(FT!B35&lt;&gt;"",FT!E35,"")</f>
        <v>1 [13.408829]</v>
      </c>
      <c r="J35">
        <f>IF(FT!B35&lt;&gt;"",FT!C35,"")</f>
        <v>13.408799999999999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46102</v>
      </c>
      <c r="D36" s="61">
        <f>FH!B36*1</f>
        <v>46102</v>
      </c>
      <c r="E36">
        <f t="shared" si="3"/>
        <v>34</v>
      </c>
      <c r="F36" s="61">
        <f>IF(FT!A36&lt;&gt;"",FT!A36*10,"")</f>
        <v>3.5547200000000001</v>
      </c>
      <c r="G36" s="61">
        <f>IF(FT!B36&lt;&gt;"",FT!B36*100,"")</f>
        <v>50.353200000000001</v>
      </c>
      <c r="H36" s="61">
        <f t="shared" si="1"/>
        <v>1</v>
      </c>
      <c r="I36" t="str">
        <f>IF(FT!B36&lt;&gt;"",FT!E36,"")</f>
        <v>1 [13.815183]</v>
      </c>
      <c r="J36">
        <f>IF(FT!B36&lt;&gt;"",FT!C36,"")</f>
        <v>13.815200000000001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3.6009200000000003</v>
      </c>
      <c r="G37" s="61">
        <f>IF(FT!B37&lt;&gt;"",FT!B37*100,"")</f>
        <v>50.773900000000005</v>
      </c>
      <c r="H37" s="61">
        <f t="shared" si="1"/>
        <v>1</v>
      </c>
      <c r="I37" t="str">
        <f>IF(FT!B37&lt;&gt;"",FT!E37,"")</f>
        <v>1 [14.218109]</v>
      </c>
      <c r="J37">
        <f>IF(FT!B37&lt;&gt;"",FT!C37,"")</f>
        <v>14.2181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3.6468400000000001</v>
      </c>
      <c r="G38" s="61">
        <f>IF(FT!B38&lt;&gt;"",FT!B38*100,"")</f>
        <v>51.173900000000003</v>
      </c>
      <c r="H38" s="61">
        <f t="shared" si="1"/>
        <v>1</v>
      </c>
      <c r="I38" t="str">
        <f>IF(FT!B38&lt;&gt;"",FT!E38,"")</f>
        <v>1 [14.625434]</v>
      </c>
      <c r="J38">
        <f>IF(FT!B38&lt;&gt;"",FT!C38,"")</f>
        <v>14.625400000000001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48888</v>
      </c>
      <c r="D39" s="61">
        <f>FH!B39*1</f>
        <v>48888</v>
      </c>
      <c r="E39">
        <f t="shared" si="3"/>
        <v>37</v>
      </c>
      <c r="F39" s="61">
        <f>IF(FT!A39&lt;&gt;"",FT!A39*10,"")</f>
        <v>3.6929299999999996</v>
      </c>
      <c r="G39" s="61">
        <f>IF(FT!B39&lt;&gt;"",FT!B39*100,"")</f>
        <v>51.538600000000002</v>
      </c>
      <c r="H39" s="61">
        <f t="shared" si="1"/>
        <v>1</v>
      </c>
      <c r="I39" t="str">
        <f>IF(FT!B39&lt;&gt;"",FT!E39,"")</f>
        <v>1 [15.029101]</v>
      </c>
      <c r="J39">
        <f>IF(FT!B39&lt;&gt;"",FT!C39,"")</f>
        <v>15.0291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3.7397100000000001</v>
      </c>
      <c r="G40" s="61">
        <f>IF(FT!B40&lt;&gt;"",FT!B40*100,"")</f>
        <v>51.870199999999997</v>
      </c>
      <c r="H40" s="61">
        <f t="shared" si="1"/>
        <v>1</v>
      </c>
      <c r="I40" t="str">
        <f>IF(FT!B40&lt;&gt;"",FT!E40,"")</f>
        <v>1 [15.437976]</v>
      </c>
      <c r="J40">
        <f>IF(FT!B40&lt;&gt;"",FT!C40,"")</f>
        <v>15.438000000000001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58338</v>
      </c>
      <c r="D41" s="61">
        <f>FH!B41*1</f>
        <v>58338</v>
      </c>
      <c r="E41">
        <f t="shared" si="3"/>
        <v>39</v>
      </c>
      <c r="F41" s="61">
        <f>IF(FT!A41&lt;&gt;"",FT!A41*10,"")</f>
        <v>3.7866899999999997</v>
      </c>
      <c r="G41" s="61">
        <f>IF(FT!B41&lt;&gt;"",FT!B41*100,"")</f>
        <v>52.192799999999991</v>
      </c>
      <c r="H41" s="61">
        <f t="shared" si="1"/>
        <v>1</v>
      </c>
      <c r="I41" t="str">
        <f>IF(FT!B41&lt;&gt;"",FT!E41,"")</f>
        <v>1 [15.845719]</v>
      </c>
      <c r="J41">
        <f>IF(FT!B41&lt;&gt;"",FT!C41,"")</f>
        <v>15.845700000000001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3.8339699999999999</v>
      </c>
      <c r="G42" s="61">
        <f>IF(FT!B42&lt;&gt;"",FT!B42*100,"")</f>
        <v>52.437599999999996</v>
      </c>
      <c r="H42" s="61">
        <f t="shared" si="1"/>
        <v>1</v>
      </c>
      <c r="I42" t="str">
        <f>IF(FT!B42&lt;&gt;"",FT!E42,"")</f>
        <v>1 [16.249656]</v>
      </c>
      <c r="J42">
        <f>IF(FT!B42&lt;&gt;"",FT!C42,"")</f>
        <v>16.249700000000001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3.8782100000000002</v>
      </c>
      <c r="G43" s="61">
        <f>IF(FT!B43&lt;&gt;"",FT!B43*100,"")</f>
        <v>52.689500000000002</v>
      </c>
      <c r="H43" s="61">
        <f t="shared" si="1"/>
        <v>1</v>
      </c>
      <c r="I43" t="str">
        <f>IF(FT!B43&lt;&gt;"",FT!E43,"")</f>
        <v>1 [16.654523]</v>
      </c>
      <c r="J43">
        <f>IF(FT!B43&lt;&gt;"",FT!C43,"")</f>
        <v>16.654499999999999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66288</v>
      </c>
      <c r="D44" s="61">
        <f>FH!B44*1</f>
        <v>66288</v>
      </c>
      <c r="E44">
        <f t="shared" si="3"/>
        <v>42</v>
      </c>
      <c r="F44" s="61">
        <f>IF(FT!A44&lt;&gt;"",FT!A44*10,"")</f>
        <v>3.9170600000000002</v>
      </c>
      <c r="G44" s="61">
        <f>IF(FT!B44&lt;&gt;"",FT!B44*100,"")</f>
        <v>53.012899999999995</v>
      </c>
      <c r="H44" s="61">
        <f t="shared" si="1"/>
        <v>1</v>
      </c>
      <c r="I44" t="str">
        <f>IF(FT!B44&lt;&gt;"",FT!E44,"")</f>
        <v>1 [17.064523]</v>
      </c>
      <c r="J44">
        <f>IF(FT!B44&lt;&gt;"",FT!C44,"")</f>
        <v>17.064499999999999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3.9541199999999996</v>
      </c>
      <c r="G45" s="61">
        <f>IF(FT!B45&lt;&gt;"",FT!B45*100,"")</f>
        <v>53.25</v>
      </c>
      <c r="H45" s="61">
        <f t="shared" si="1"/>
        <v>1</v>
      </c>
      <c r="I45" t="str">
        <f>IF(FT!B45&lt;&gt;"",FT!E45,"")</f>
        <v>1 [17.471335]</v>
      </c>
      <c r="J45">
        <f>IF(FT!B45&lt;&gt;"",FT!C45,"")</f>
        <v>17.471299999999999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82495</v>
      </c>
      <c r="D46" s="61">
        <f>FH!B46*1</f>
        <v>82495</v>
      </c>
      <c r="E46">
        <f t="shared" si="3"/>
        <v>44</v>
      </c>
      <c r="F46" s="61">
        <f>IF(FT!A46&lt;&gt;"",FT!A46*10,"")</f>
        <v>3.9937499999999999</v>
      </c>
      <c r="G46" s="61">
        <f>IF(FT!B46&lt;&gt;"",FT!B46*100,"")</f>
        <v>53.410699999999999</v>
      </c>
      <c r="H46" s="61">
        <f t="shared" si="1"/>
        <v>1</v>
      </c>
      <c r="I46" t="str">
        <f>IF(FT!B46&lt;&gt;"",FT!E46,"")</f>
        <v>1 [17.877542]</v>
      </c>
      <c r="J46">
        <f>IF(FT!B46&lt;&gt;"",FT!C46,"")</f>
        <v>17.877500000000001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4.0339499999999999</v>
      </c>
      <c r="G47" s="61">
        <f>IF(FT!B47&lt;&gt;"",FT!B47*100,"")</f>
        <v>53.647999999999996</v>
      </c>
      <c r="H47" s="61">
        <f t="shared" si="1"/>
        <v>1</v>
      </c>
      <c r="I47" t="str">
        <f>IF(FT!B47&lt;&gt;"",FT!E47,"")</f>
        <v>1 [18.281259]</v>
      </c>
      <c r="J47">
        <f>IF(FT!B47&lt;&gt;"",FT!C47,"")</f>
        <v>18.281300000000002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4.0740800000000004</v>
      </c>
      <c r="G48" s="61">
        <f>IF(FT!B48&lt;&gt;"",FT!B48*100,"")</f>
        <v>53.857299999999995</v>
      </c>
      <c r="H48" s="61">
        <f t="shared" si="1"/>
        <v>1</v>
      </c>
      <c r="I48" t="str">
        <f>IF(FT!B48&lt;&gt;"",FT!E48,"")</f>
        <v>1 [18.688426]</v>
      </c>
      <c r="J48">
        <f>IF(FT!B48&lt;&gt;"",FT!C48,"")</f>
        <v>18.688400000000001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74738</v>
      </c>
      <c r="D49" s="61">
        <f>FH!B49*1</f>
        <v>74738</v>
      </c>
      <c r="E49">
        <f t="shared" si="3"/>
        <v>47</v>
      </c>
      <c r="F49" s="61">
        <f>IF(FT!A49&lt;&gt;"",FT!A49*10,"")</f>
        <v>4.11524</v>
      </c>
      <c r="G49" s="61">
        <f>IF(FT!B49&lt;&gt;"",FT!B49*100,"")</f>
        <v>53.979200000000006</v>
      </c>
      <c r="H49" s="61">
        <f t="shared" si="1"/>
        <v>1</v>
      </c>
      <c r="I49" t="str">
        <f>IF(FT!B49&lt;&gt;"",FT!E49,"")</f>
        <v>1 [19.094051]</v>
      </c>
      <c r="J49">
        <f>IF(FT!B49&lt;&gt;"",FT!C49,"")</f>
        <v>19.094100000000001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4.1545199999999998</v>
      </c>
      <c r="G50" s="61">
        <f>IF(FT!B50&lt;&gt;"",FT!B50*100,"")</f>
        <v>54.121900000000004</v>
      </c>
      <c r="H50" s="61">
        <f t="shared" si="1"/>
        <v>1</v>
      </c>
      <c r="I50" t="str">
        <f>IF(FT!B50&lt;&gt;"",FT!E50,"")</f>
        <v>1 [19.501003]</v>
      </c>
      <c r="J50">
        <f>IF(FT!B50&lt;&gt;"",FT!C50,"")</f>
        <v>19.501000000000001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74289</v>
      </c>
      <c r="D51" s="61">
        <f>FH!B51*1</f>
        <v>74289</v>
      </c>
      <c r="E51">
        <f t="shared" si="3"/>
        <v>49</v>
      </c>
      <c r="F51" s="61">
        <f>IF(FT!A51&lt;&gt;"",FT!A51*10,"")</f>
        <v>4.1873100000000001</v>
      </c>
      <c r="G51" s="61">
        <f>IF(FT!B51&lt;&gt;"",FT!B51*100,"")</f>
        <v>54.343799999999995</v>
      </c>
      <c r="H51" s="61">
        <f t="shared" si="1"/>
        <v>1</v>
      </c>
      <c r="I51" t="str">
        <f>IF(FT!B51&lt;&gt;"",FT!E51,"")</f>
        <v>1 [19.906642]</v>
      </c>
      <c r="J51">
        <f>IF(FT!B51&lt;&gt;"",FT!C51,"")</f>
        <v>19.906600000000001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4.2135699999999998</v>
      </c>
      <c r="G52" s="61">
        <f>IF(FT!B52&lt;&gt;"",FT!B52*100,"")</f>
        <v>54.630900000000004</v>
      </c>
      <c r="H52" s="61">
        <f t="shared" si="1"/>
        <v>1</v>
      </c>
      <c r="I52" t="str">
        <f>IF(FT!B52&lt;&gt;"",FT!E52,"")</f>
        <v>1 [20.315970]</v>
      </c>
      <c r="J52">
        <f>IF(FT!B52&lt;&gt;"",FT!C52,"")</f>
        <v>20.315999999999999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4.2469000000000001</v>
      </c>
      <c r="G53" s="61">
        <f>IF(FT!B53&lt;&gt;"",FT!B53*100,"")</f>
        <v>54.724200000000003</v>
      </c>
      <c r="H53" s="61">
        <f t="shared" si="1"/>
        <v>1</v>
      </c>
      <c r="I53" t="str">
        <f>IF(FT!B53&lt;&gt;"",FT!E53,"")</f>
        <v>1 [20.722650]</v>
      </c>
      <c r="J53">
        <f>IF(FT!B53&lt;&gt;"",FT!C53,"")</f>
        <v>20.7226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80222</v>
      </c>
      <c r="D54" s="61">
        <f>FH!B54*1</f>
        <v>80222</v>
      </c>
      <c r="E54">
        <f t="shared" si="3"/>
        <v>52</v>
      </c>
      <c r="F54" s="61">
        <f>IF(FT!A54&lt;&gt;"",FT!A54*10,"")</f>
        <v>4.2788500000000003</v>
      </c>
      <c r="G54" s="61">
        <f>IF(FT!B54&lt;&gt;"",FT!B54*100,"")</f>
        <v>54.778499999999994</v>
      </c>
      <c r="H54" s="61">
        <f t="shared" si="1"/>
        <v>1</v>
      </c>
      <c r="I54" t="str">
        <f>IF(FT!B54&lt;&gt;"",FT!E54,"")</f>
        <v>1 [21.128514]</v>
      </c>
      <c r="J54">
        <f>IF(FT!B54&lt;&gt;"",FT!C54,"")</f>
        <v>21.128499999999999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4.31203</v>
      </c>
      <c r="G55" s="61">
        <f>IF(FT!B55&lt;&gt;"",FT!B55*100,"")</f>
        <v>54.797899999999998</v>
      </c>
      <c r="H55" s="61">
        <f t="shared" si="1"/>
        <v>1</v>
      </c>
      <c r="I55" t="str">
        <f>IF(FT!B55&lt;&gt;"",FT!E55,"")</f>
        <v>1 [21.531435]</v>
      </c>
      <c r="J55">
        <f>IF(FT!B55&lt;&gt;"",FT!C55,"")</f>
        <v>21.531400000000001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4.3453400000000002</v>
      </c>
      <c r="G56" s="61">
        <f>IF(FT!B56&lt;&gt;"",FT!B56*100,"")</f>
        <v>54.798999999999999</v>
      </c>
      <c r="H56" s="61">
        <f t="shared" si="1"/>
        <v>1</v>
      </c>
      <c r="I56" t="str">
        <f>IF(FT!B56&lt;&gt;"",FT!E56,"")</f>
        <v>1 [21.935395]</v>
      </c>
      <c r="J56">
        <f>IF(FT!B56&lt;&gt;"",FT!C56,"")</f>
        <v>21.935400000000001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82608</v>
      </c>
      <c r="D57" s="61">
        <f>FH!B57*1</f>
        <v>82608</v>
      </c>
      <c r="E57">
        <f t="shared" si="3"/>
        <v>55</v>
      </c>
      <c r="F57" s="61">
        <f>IF(FT!A57&lt;&gt;"",FT!A57*10,"")</f>
        <v>4.37683</v>
      </c>
      <c r="G57" s="61">
        <f>IF(FT!B57&lt;&gt;"",FT!B57*100,"")</f>
        <v>54.791500000000006</v>
      </c>
      <c r="H57" s="61">
        <f t="shared" si="1"/>
        <v>1</v>
      </c>
      <c r="I57" t="str">
        <f>IF(FT!B57&lt;&gt;"",FT!E57,"")</f>
        <v>1 [22.346596]</v>
      </c>
      <c r="J57">
        <f>IF(FT!B57&lt;&gt;"",FT!C57,"")</f>
        <v>22.346599999999999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4.4024400000000004</v>
      </c>
      <c r="G58" s="61">
        <f>IF(FT!B58&lt;&gt;"",FT!B58*100,"")</f>
        <v>54.772100000000002</v>
      </c>
      <c r="H58" s="61">
        <f t="shared" si="1"/>
        <v>1</v>
      </c>
      <c r="I58" t="str">
        <f>IF(FT!B58&lt;&gt;"",FT!E58,"")</f>
        <v>1 [22.753124]</v>
      </c>
      <c r="J58">
        <f>IF(FT!B58&lt;&gt;"",FT!C58,"")</f>
        <v>22.7531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100164</v>
      </c>
      <c r="D59" s="61">
        <f>FH!B59*1</f>
        <v>100164</v>
      </c>
      <c r="E59">
        <f t="shared" si="3"/>
        <v>57</v>
      </c>
      <c r="F59" s="61">
        <f>IF(FT!A59&lt;&gt;"",FT!A59*10,"")</f>
        <v>4.4221399999999997</v>
      </c>
      <c r="G59" s="61">
        <f>IF(FT!B59&lt;&gt;"",FT!B59*100,"")</f>
        <v>54.690899999999999</v>
      </c>
      <c r="H59" s="61">
        <f t="shared" si="1"/>
        <v>1</v>
      </c>
      <c r="I59" t="str">
        <f>IF(FT!B59&lt;&gt;"",FT!E59,"")</f>
        <v>1 [23.156599]</v>
      </c>
      <c r="J59">
        <f>IF(FT!B59&lt;&gt;"",FT!C59,"")</f>
        <v>23.156600000000001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4.4412200000000004</v>
      </c>
      <c r="G60" s="61">
        <f>IF(FT!B60&lt;&gt;"",FT!B60*100,"")</f>
        <v>54.5443</v>
      </c>
      <c r="H60" s="61">
        <f t="shared" si="1"/>
        <v>1</v>
      </c>
      <c r="I60" t="str">
        <f>IF(FT!B60&lt;&gt;"",FT!E60,"")</f>
        <v>1 [23.563330]</v>
      </c>
      <c r="J60">
        <f>IF(FT!B60&lt;&gt;"",FT!C60,"")</f>
        <v>23.563300000000002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4.4614599999999998</v>
      </c>
      <c r="G61" s="61">
        <f>IF(FT!B61&lt;&gt;"",FT!B61*100,"")</f>
        <v>54.3718</v>
      </c>
      <c r="H61" s="61">
        <f t="shared" si="1"/>
        <v>1</v>
      </c>
      <c r="I61" t="str">
        <f>IF(FT!B61&lt;&gt;"",FT!E61,"")</f>
        <v>1 [23.971096]</v>
      </c>
      <c r="J61">
        <f>IF(FT!B61&lt;&gt;"",FT!C61,"")</f>
        <v>23.9711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98623</v>
      </c>
      <c r="D62" s="61">
        <f>FH!B62*1</f>
        <v>98623</v>
      </c>
      <c r="E62">
        <f t="shared" si="3"/>
        <v>60</v>
      </c>
      <c r="F62" s="61">
        <f>IF(FT!A62&lt;&gt;"",FT!A62*10,"")</f>
        <v>4.4787999999999997</v>
      </c>
      <c r="G62" s="61">
        <f>IF(FT!B62&lt;&gt;"",FT!B62*100,"")</f>
        <v>54.173499999999997</v>
      </c>
      <c r="H62" s="61">
        <f t="shared" si="1"/>
        <v>1</v>
      </c>
      <c r="I62" t="str">
        <f>IF(FT!B62&lt;&gt;"",FT!E62,"")</f>
        <v>1 [24.372982]</v>
      </c>
      <c r="J62">
        <f>IF(FT!B62&lt;&gt;"",FT!C62,"")</f>
        <v>24.373000000000001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4.4937100000000001</v>
      </c>
      <c r="G63" s="61">
        <f>IF(FT!B63&lt;&gt;"",FT!B63*100,"")</f>
        <v>53.950200000000002</v>
      </c>
      <c r="H63" s="61">
        <f t="shared" si="1"/>
        <v>1</v>
      </c>
      <c r="I63" t="str">
        <f>IF(FT!B63&lt;&gt;"",FT!E63,"")</f>
        <v>1 [24.783742]</v>
      </c>
      <c r="J63">
        <f>IF(FT!B63&lt;&gt;"",FT!C63,"")</f>
        <v>24.7837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98289</v>
      </c>
      <c r="D64" s="61">
        <f>FH!B64*1</f>
        <v>98289</v>
      </c>
      <c r="E64">
        <f t="shared" si="3"/>
        <v>62</v>
      </c>
      <c r="F64" s="61">
        <f>IF(FT!A64&lt;&gt;"",FT!A64*10,"")</f>
        <v>4.5067500000000003</v>
      </c>
      <c r="G64" s="61">
        <f>IF(FT!B64&lt;&gt;"",FT!B64*100,"")</f>
        <v>53.73</v>
      </c>
      <c r="H64" s="61">
        <f t="shared" si="1"/>
        <v>1</v>
      </c>
      <c r="I64" t="str">
        <f>IF(FT!B64&lt;&gt;"",FT!E64,"")</f>
        <v>1 [25.189623]</v>
      </c>
      <c r="J64">
        <f>IF(FT!B64&lt;&gt;"",FT!C64,"")</f>
        <v>25.189599999999999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4.5182000000000002</v>
      </c>
      <c r="G65" s="61">
        <f>IF(FT!B65&lt;&gt;"",FT!B65*100,"")</f>
        <v>53.515100000000004</v>
      </c>
      <c r="H65" s="61">
        <f t="shared" si="1"/>
        <v>1</v>
      </c>
      <c r="I65" t="str">
        <f>IF(FT!B65&lt;&gt;"",FT!E65,"")</f>
        <v>1 [25.593591]</v>
      </c>
      <c r="J65">
        <f>IF(FT!B65&lt;&gt;"",FT!C65,"")</f>
        <v>25.593599999999999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4.5271099999999995</v>
      </c>
      <c r="G66" s="61">
        <f>IF(FT!B66&lt;&gt;"",FT!B66*100,"")</f>
        <v>53.283800000000006</v>
      </c>
      <c r="H66" s="61">
        <f t="shared" si="1"/>
        <v>1</v>
      </c>
      <c r="I66" t="str">
        <f>IF(FT!B66&lt;&gt;"",FT!E66,"")</f>
        <v>1 [26.002693]</v>
      </c>
      <c r="J66">
        <f>IF(FT!B66&lt;&gt;"",FT!C66,"")</f>
        <v>26.002700000000001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98304</v>
      </c>
      <c r="D67" s="61">
        <f>FH!B67*1</f>
        <v>98304</v>
      </c>
      <c r="E67">
        <f t="shared" si="3"/>
        <v>65</v>
      </c>
      <c r="F67" s="61">
        <f>IF(FT!A67&lt;&gt;"",FT!A67*10,"")</f>
        <v>4.5320599999999995</v>
      </c>
      <c r="G67" s="61">
        <f>IF(FT!B67&lt;&gt;"",FT!B67*100,"")</f>
        <v>53.018200000000007</v>
      </c>
      <c r="H67" s="61">
        <f t="shared" ref="H67:H130" si="9">(IF(F67&lt;&gt;"",1,""))</f>
        <v>1</v>
      </c>
      <c r="I67" t="str">
        <f>IF(FT!B67&lt;&gt;"",FT!E67,"")</f>
        <v>1 [26.406472]</v>
      </c>
      <c r="J67">
        <f>IF(FT!B67&lt;&gt;"",FT!C67,"")</f>
        <v>26.406500000000001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4.5342199999999995</v>
      </c>
      <c r="G68" s="61">
        <f>IF(FT!B68&lt;&gt;"",FT!B68*100,"")</f>
        <v>52.730900000000005</v>
      </c>
      <c r="H68" s="61">
        <f t="shared" si="9"/>
        <v>1</v>
      </c>
      <c r="I68" t="str">
        <f>IF(FT!B68&lt;&gt;"",FT!E68,"")</f>
        <v>1 [26.813635]</v>
      </c>
      <c r="J68">
        <f>IF(FT!B68&lt;&gt;"",FT!C68,"")</f>
        <v>26.813600000000001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105065</v>
      </c>
      <c r="D69" s="61">
        <f>FH!B69*1</f>
        <v>105065</v>
      </c>
      <c r="E69">
        <f t="shared" si="11"/>
        <v>67</v>
      </c>
      <c r="F69" s="61">
        <f>IF(FT!A69&lt;&gt;"",FT!A69*10,"")</f>
        <v>4.5367899999999999</v>
      </c>
      <c r="G69" s="61">
        <f>IF(FT!B69&lt;&gt;"",FT!B69*100,"")</f>
        <v>52.488599999999998</v>
      </c>
      <c r="H69" s="61">
        <f t="shared" si="9"/>
        <v>1</v>
      </c>
      <c r="I69" t="str">
        <f>IF(FT!B69&lt;&gt;"",FT!E69,"")</f>
        <v>1 [27.220367]</v>
      </c>
      <c r="J69">
        <f>IF(FT!B69&lt;&gt;"",FT!C69,"")</f>
        <v>27.220400000000001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4.5381499999999999</v>
      </c>
      <c r="G70" s="61">
        <f>IF(FT!B70&lt;&gt;"",FT!B70*100,"")</f>
        <v>52.296900000000001</v>
      </c>
      <c r="H70" s="61">
        <f t="shared" si="9"/>
        <v>1</v>
      </c>
      <c r="I70" t="str">
        <f>IF(FT!B70&lt;&gt;"",FT!E70,"")</f>
        <v>1 [27.627137]</v>
      </c>
      <c r="J70">
        <f>IF(FT!B70&lt;&gt;"",FT!C70,"")</f>
        <v>27.627099999999999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4.5392399999999995</v>
      </c>
      <c r="G71" s="61">
        <f>IF(FT!B71&lt;&gt;"",FT!B71*100,"")</f>
        <v>52.166400000000003</v>
      </c>
      <c r="H71" s="61">
        <f t="shared" si="9"/>
        <v>1</v>
      </c>
      <c r="I71" t="str">
        <f>IF(FT!B71&lt;&gt;"",FT!E71,"")</f>
        <v>1 [28.034063]</v>
      </c>
      <c r="J71">
        <f>IF(FT!B71&lt;&gt;"",FT!C71,"")</f>
        <v>28.034099999999999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111524</v>
      </c>
      <c r="D72" s="61">
        <f>FH!B72*1</f>
        <v>111524</v>
      </c>
      <c r="E72">
        <f t="shared" si="11"/>
        <v>70</v>
      </c>
      <c r="F72" s="61">
        <f>IF(FT!A72&lt;&gt;"",FT!A72*10,"")</f>
        <v>4.5429300000000001</v>
      </c>
      <c r="G72" s="61">
        <f>IF(FT!B72&lt;&gt;"",FT!B72*100,"")</f>
        <v>52.033799999999999</v>
      </c>
      <c r="H72" s="61">
        <f t="shared" si="9"/>
        <v>1</v>
      </c>
      <c r="I72" t="str">
        <f>IF(FT!B72&lt;&gt;"",FT!E72,"")</f>
        <v>1 [28.440075]</v>
      </c>
      <c r="J72">
        <f>IF(FT!B72&lt;&gt;"",FT!C72,"")</f>
        <v>28.440100000000001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4.5444100000000001</v>
      </c>
      <c r="G73" s="61">
        <f>IF(FT!B73&lt;&gt;"",FT!B73*100,"")</f>
        <v>51.948099999999997</v>
      </c>
      <c r="H73" s="61">
        <f t="shared" si="9"/>
        <v>1</v>
      </c>
      <c r="I73" t="str">
        <f>IF(FT!B73&lt;&gt;"",FT!E73,"")</f>
        <v>1 [28.844878]</v>
      </c>
      <c r="J73">
        <f>IF(FT!B73&lt;&gt;"",FT!C73,"")</f>
        <v>28.844899999999999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4.5442</v>
      </c>
      <c r="G74" s="61">
        <f>IF(FT!B74&lt;&gt;"",FT!B74*100,"")</f>
        <v>51.930600000000005</v>
      </c>
      <c r="H74" s="61">
        <f t="shared" si="9"/>
        <v>1</v>
      </c>
      <c r="I74" t="str">
        <f>IF(FT!B74&lt;&gt;"",FT!E74,"")</f>
        <v>1 [29.251935]</v>
      </c>
      <c r="J74">
        <f>IF(FT!B74&lt;&gt;"",FT!C74,"")</f>
        <v>29.251899999999999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117368</v>
      </c>
      <c r="D75" s="61">
        <f>FH!B75*1</f>
        <v>117368</v>
      </c>
      <c r="E75">
        <f t="shared" si="11"/>
        <v>73</v>
      </c>
      <c r="F75" s="61">
        <f>IF(FT!A75&lt;&gt;"",FT!A75*10,"")</f>
        <v>4.5459800000000001</v>
      </c>
      <c r="G75" s="61">
        <f>IF(FT!B75&lt;&gt;"",FT!B75*100,"")</f>
        <v>51.936000000000007</v>
      </c>
      <c r="H75" s="61">
        <f t="shared" si="9"/>
        <v>1</v>
      </c>
      <c r="I75" t="str">
        <f>IF(FT!B75&lt;&gt;"",FT!E75,"")</f>
        <v>1 [29.659719]</v>
      </c>
      <c r="J75">
        <f>IF(FT!B75&lt;&gt;"",FT!C75,"")</f>
        <v>29.659700000000001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4.5501699999999996</v>
      </c>
      <c r="G76" s="61">
        <f>IF(FT!B76&lt;&gt;"",FT!B76*100,"")</f>
        <v>51.980400000000003</v>
      </c>
      <c r="H76" s="61">
        <f t="shared" si="9"/>
        <v>1</v>
      </c>
      <c r="I76" t="str">
        <f>IF(FT!B76&lt;&gt;"",FT!E76,"")</f>
        <v>2 [30.065989]</v>
      </c>
      <c r="J76">
        <f>IF(FT!B76&lt;&gt;"",FT!C76,"")</f>
        <v>30.065999999999999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137035</v>
      </c>
      <c r="D77" s="61">
        <f>FH!B77*1</f>
        <v>137035</v>
      </c>
      <c r="E77">
        <f t="shared" si="11"/>
        <v>75</v>
      </c>
      <c r="F77" s="61">
        <f>IF(FT!A77&lt;&gt;"",FT!A77*10,"")</f>
        <v>4.5529299999999999</v>
      </c>
      <c r="G77" s="61">
        <f>IF(FT!B77&lt;&gt;"",FT!B77*100,"")</f>
        <v>52.1374</v>
      </c>
      <c r="H77" s="61">
        <f t="shared" si="9"/>
        <v>1</v>
      </c>
      <c r="I77" t="str">
        <f>IF(FT!B77&lt;&gt;"",FT!E77,"")</f>
        <v>2 [30.643309]</v>
      </c>
      <c r="J77">
        <f>IF(FT!B77&lt;&gt;"",FT!C77,"")</f>
        <v>30.6433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4.5516299999999994</v>
      </c>
      <c r="G78" s="61">
        <f>IF(FT!B78&lt;&gt;"",FT!B78*100,"")</f>
        <v>52.271999999999998</v>
      </c>
      <c r="H78" s="61">
        <f t="shared" si="9"/>
        <v>1</v>
      </c>
      <c r="I78" t="str">
        <f>IF(FT!B78&lt;&gt;"",FT!E78,"")</f>
        <v>2 [31.018089]</v>
      </c>
      <c r="J78">
        <f>IF(FT!B78&lt;&gt;"",FT!C78,"")</f>
        <v>31.0181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4.5470500000000005</v>
      </c>
      <c r="G79" s="61">
        <f>IF(FT!B79&lt;&gt;"",FT!B79*100,"")</f>
        <v>52.401600000000002</v>
      </c>
      <c r="H79" s="61">
        <f t="shared" si="9"/>
        <v>1</v>
      </c>
      <c r="I79" t="str">
        <f>IF(FT!B79&lt;&gt;"",FT!E79,"")</f>
        <v>2 [31.393108]</v>
      </c>
      <c r="J79">
        <f>IF(FT!B79&lt;&gt;"",FT!C79,"")</f>
        <v>31.3931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134806</v>
      </c>
      <c r="D80" s="61">
        <f>FH!B80*1</f>
        <v>134806</v>
      </c>
      <c r="E80">
        <f t="shared" si="11"/>
        <v>78</v>
      </c>
      <c r="F80" s="61">
        <f>IF(FT!A80&lt;&gt;"",FT!A80*10,"")</f>
        <v>4.5393299999999996</v>
      </c>
      <c r="G80" s="61">
        <f>IF(FT!B80&lt;&gt;"",FT!B80*100,"")</f>
        <v>52.557600000000008</v>
      </c>
      <c r="H80" s="61">
        <f t="shared" si="9"/>
        <v>1</v>
      </c>
      <c r="I80" t="str">
        <f>IF(FT!B80&lt;&gt;"",FT!E80,"")</f>
        <v>2 [31.772132]</v>
      </c>
      <c r="J80">
        <f>IF(FT!B80&lt;&gt;"",FT!C80,"")</f>
        <v>31.772099999999998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4.5307199999999996</v>
      </c>
      <c r="G81" s="61">
        <f>IF(FT!B81&lt;&gt;"",FT!B81*100,"")</f>
        <v>52.745699999999992</v>
      </c>
      <c r="H81" s="61">
        <f t="shared" si="9"/>
        <v>1</v>
      </c>
      <c r="I81" t="str">
        <f>IF(FT!B81&lt;&gt;"",FT!E81,"")</f>
        <v>2 [32.158200]</v>
      </c>
      <c r="J81">
        <f>IF(FT!B81&lt;&gt;"",FT!C81,"")</f>
        <v>32.158200000000001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156255</v>
      </c>
      <c r="D82" s="61">
        <f>FH!B82*1</f>
        <v>156255</v>
      </c>
      <c r="E82">
        <f t="shared" si="11"/>
        <v>80</v>
      </c>
      <c r="F82" s="61">
        <f>IF(FT!A82&lt;&gt;"",FT!A82*10,"")</f>
        <v>4.5203699999999998</v>
      </c>
      <c r="G82" s="61">
        <f>IF(FT!B82&lt;&gt;"",FT!B82*100,"")</f>
        <v>52.904799999999994</v>
      </c>
      <c r="H82" s="61">
        <f t="shared" si="9"/>
        <v>1</v>
      </c>
      <c r="I82" t="str">
        <f>IF(FT!B82&lt;&gt;"",FT!E82,"")</f>
        <v>2 [32.565021]</v>
      </c>
      <c r="J82">
        <f>IF(FT!B82&lt;&gt;"",FT!C82,"")</f>
        <v>32.564999999999998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4.5119300000000004</v>
      </c>
      <c r="G83" s="61">
        <f>IF(FT!B83&lt;&gt;"",FT!B83*100,"")</f>
        <v>53.017499999999998</v>
      </c>
      <c r="H83" s="61">
        <f t="shared" si="9"/>
        <v>1</v>
      </c>
      <c r="I83" t="str">
        <f>IF(FT!B83&lt;&gt;"",FT!E83,"")</f>
        <v>2 [32.970904]</v>
      </c>
      <c r="J83">
        <f>IF(FT!B83&lt;&gt;"",FT!C83,"")</f>
        <v>32.9709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4.5013500000000004</v>
      </c>
      <c r="G84" s="61">
        <f>IF(FT!B84&lt;&gt;"",FT!B84*100,"")</f>
        <v>53.1967</v>
      </c>
      <c r="H84" s="61">
        <f t="shared" si="9"/>
        <v>1</v>
      </c>
      <c r="I84" t="str">
        <f>IF(FT!B84&lt;&gt;"",FT!E84,"")</f>
        <v>2 [33.375870]</v>
      </c>
      <c r="J84">
        <f>IF(FT!B84&lt;&gt;"",FT!C84,"")</f>
        <v>33.375900000000001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166541</v>
      </c>
      <c r="D85" s="61">
        <f>FH!B85*1</f>
        <v>166541</v>
      </c>
      <c r="E85">
        <f t="shared" si="11"/>
        <v>83</v>
      </c>
      <c r="F85" s="61">
        <f>IF(FT!A85&lt;&gt;"",FT!A85*10,"")</f>
        <v>4.4867900000000001</v>
      </c>
      <c r="G85" s="61">
        <f>IF(FT!B85&lt;&gt;"",FT!B85*100,"")</f>
        <v>53.366</v>
      </c>
      <c r="H85" s="61">
        <f t="shared" si="9"/>
        <v>1</v>
      </c>
      <c r="I85" t="str">
        <f>IF(FT!B85&lt;&gt;"",FT!E85,"")</f>
        <v>2 [33.782821]</v>
      </c>
      <c r="J85">
        <f>IF(FT!B85&lt;&gt;"",FT!C85,"")</f>
        <v>33.782800000000002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4.4717799999999999</v>
      </c>
      <c r="G86" s="61">
        <f>IF(FT!B86&lt;&gt;"",FT!B86*100,"")</f>
        <v>53.519599999999997</v>
      </c>
      <c r="H86" s="61">
        <f t="shared" si="9"/>
        <v>1</v>
      </c>
      <c r="I86" t="str">
        <f>IF(FT!B86&lt;&gt;"",FT!E86,"")</f>
        <v>2 [34.188648]</v>
      </c>
      <c r="J86">
        <f>IF(FT!B86&lt;&gt;"",FT!C86,"")</f>
        <v>34.188600000000001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4.4555299999999995</v>
      </c>
      <c r="G87" s="61">
        <f>IF(FT!B87&lt;&gt;"",FT!B87*100,"")</f>
        <v>53.694200000000002</v>
      </c>
      <c r="H87" s="61">
        <f t="shared" si="9"/>
        <v>1</v>
      </c>
      <c r="I87" t="str">
        <f>IF(FT!B87&lt;&gt;"",FT!E87,"")</f>
        <v>2 [34.593646]</v>
      </c>
      <c r="J87">
        <f>IF(FT!B87&lt;&gt;"",FT!C87,"")</f>
        <v>34.593600000000002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171067</v>
      </c>
      <c r="D88" s="61">
        <f>FH!B88*1</f>
        <v>171067</v>
      </c>
      <c r="E88">
        <f t="shared" si="11"/>
        <v>86</v>
      </c>
      <c r="F88" s="61">
        <f>IF(FT!A88&lt;&gt;"",FT!A88*10,"")</f>
        <v>4.4404300000000001</v>
      </c>
      <c r="G88" s="61">
        <f>IF(FT!B88&lt;&gt;"",FT!B88*100,"")</f>
        <v>53.896100000000004</v>
      </c>
      <c r="H88" s="61">
        <f t="shared" si="9"/>
        <v>1</v>
      </c>
      <c r="I88" t="str">
        <f>IF(FT!B88&lt;&gt;"",FT!E88,"")</f>
        <v>2 [35.000510]</v>
      </c>
      <c r="J88">
        <f>IF(FT!B88&lt;&gt;"",FT!C88,"")</f>
        <v>35.000500000000002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4.4235299999999995</v>
      </c>
      <c r="G89" s="61">
        <f>IF(FT!B89&lt;&gt;"",FT!B89*100,"")</f>
        <v>54.144499999999994</v>
      </c>
      <c r="H89" s="61">
        <f t="shared" si="9"/>
        <v>1</v>
      </c>
      <c r="I89" t="str">
        <f>IF(FT!B89&lt;&gt;"",FT!E89,"")</f>
        <v>2 [35.409040]</v>
      </c>
      <c r="J89">
        <f>IF(FT!B89&lt;&gt;"",FT!C89,"")</f>
        <v>35.408999999999999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169280</v>
      </c>
      <c r="D90" s="61">
        <f>FH!B90*1</f>
        <v>169280</v>
      </c>
      <c r="E90">
        <f t="shared" si="11"/>
        <v>88</v>
      </c>
      <c r="F90" s="61">
        <f>IF(FT!A90&lt;&gt;"",FT!A90*10,"")</f>
        <v>4.4058799999999998</v>
      </c>
      <c r="G90" s="61">
        <f>IF(FT!B90&lt;&gt;"",FT!B90*100,"")</f>
        <v>54.282699999999991</v>
      </c>
      <c r="H90" s="61">
        <f t="shared" si="9"/>
        <v>1</v>
      </c>
      <c r="I90" t="str">
        <f>IF(FT!B90&lt;&gt;"",FT!E90,"")</f>
        <v>2 [35.813702]</v>
      </c>
      <c r="J90">
        <f>IF(FT!B90&lt;&gt;"",FT!C90,"")</f>
        <v>35.813699999999997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4.3858600000000001</v>
      </c>
      <c r="G91" s="61">
        <f>IF(FT!B91&lt;&gt;"",FT!B91*100,"")</f>
        <v>54.323399999999999</v>
      </c>
      <c r="H91" s="61">
        <f t="shared" si="9"/>
        <v>1</v>
      </c>
      <c r="I91" t="str">
        <f>IF(FT!B91&lt;&gt;"",FT!E91,"")</f>
        <v>2 [36.219348]</v>
      </c>
      <c r="J91">
        <f>IF(FT!B91&lt;&gt;"",FT!C91,"")</f>
        <v>36.219299999999997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4.3647599999999995</v>
      </c>
      <c r="G92" s="61">
        <f>IF(FT!B92&lt;&gt;"",FT!B92*100,"")</f>
        <v>54.337299999999999</v>
      </c>
      <c r="H92" s="61">
        <f t="shared" si="9"/>
        <v>1</v>
      </c>
      <c r="I92" t="str">
        <f>IF(FT!B92&lt;&gt;"",FT!E92,"")</f>
        <v>2 [36.626427]</v>
      </c>
      <c r="J92">
        <f>IF(FT!B92&lt;&gt;"",FT!C92,"")</f>
        <v>36.626399999999997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182051</v>
      </c>
      <c r="D93" s="61">
        <f>FH!B93*1</f>
        <v>182051</v>
      </c>
      <c r="E93">
        <f t="shared" si="11"/>
        <v>91</v>
      </c>
      <c r="F93" s="61">
        <f>IF(FT!A93&lt;&gt;"",FT!A93*10,"")</f>
        <v>4.3441200000000002</v>
      </c>
      <c r="G93" s="61">
        <f>IF(FT!B93&lt;&gt;"",FT!B93*100,"")</f>
        <v>54.312899999999999</v>
      </c>
      <c r="H93" s="61">
        <f t="shared" si="9"/>
        <v>1</v>
      </c>
      <c r="I93" t="str">
        <f>IF(FT!B93&lt;&gt;"",FT!E93,"")</f>
        <v>2 [37.030890]</v>
      </c>
      <c r="J93">
        <f>IF(FT!B93&lt;&gt;"",FT!C93,"")</f>
        <v>37.030900000000003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4.3231999999999999</v>
      </c>
      <c r="G94" s="61">
        <f>IF(FT!B94&lt;&gt;"",FT!B94*100,"")</f>
        <v>54.237500000000004</v>
      </c>
      <c r="H94" s="61">
        <f t="shared" si="9"/>
        <v>1</v>
      </c>
      <c r="I94" t="str">
        <f>IF(FT!B94&lt;&gt;"",FT!E94,"")</f>
        <v>2 [37.438280]</v>
      </c>
      <c r="J94">
        <f>IF(FT!B94&lt;&gt;"",FT!C94,"")</f>
        <v>37.438299999999998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187761</v>
      </c>
      <c r="D95" s="61">
        <f>FH!B95*1</f>
        <v>187761</v>
      </c>
      <c r="E95">
        <f t="shared" si="11"/>
        <v>93</v>
      </c>
      <c r="F95" s="61">
        <f>IF(FT!A95&lt;&gt;"",FT!A95*10,"")</f>
        <v>4.3011499999999998</v>
      </c>
      <c r="G95" s="61">
        <f>IF(FT!B95&lt;&gt;"",FT!B95*100,"")</f>
        <v>54.144199999999998</v>
      </c>
      <c r="H95" s="61">
        <f t="shared" si="9"/>
        <v>1</v>
      </c>
      <c r="I95" t="str">
        <f>IF(FT!B95&lt;&gt;"",FT!E95,"")</f>
        <v>2 [37.842896]</v>
      </c>
      <c r="J95">
        <f>IF(FT!B95&lt;&gt;"",FT!C95,"")</f>
        <v>37.8429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4.2764600000000002</v>
      </c>
      <c r="G96" s="61">
        <f>IF(FT!B96&lt;&gt;"",FT!B96*100,"")</f>
        <v>54.019600000000004</v>
      </c>
      <c r="H96" s="61">
        <f t="shared" si="9"/>
        <v>1</v>
      </c>
      <c r="I96" t="str">
        <f>IF(FT!B96&lt;&gt;"",FT!E96,"")</f>
        <v>2 [38.250849]</v>
      </c>
      <c r="J96">
        <f>IF(FT!B96&lt;&gt;"",FT!C96,"")</f>
        <v>38.250799999999998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4.2507799999999998</v>
      </c>
      <c r="G97" s="61">
        <f>IF(FT!B97&lt;&gt;"",FT!B97*100,"")</f>
        <v>53.884200000000007</v>
      </c>
      <c r="H97" s="61">
        <f t="shared" si="9"/>
        <v>1</v>
      </c>
      <c r="I97" t="str">
        <f>IF(FT!B97&lt;&gt;"",FT!E97,"")</f>
        <v>2 [38.655793]</v>
      </c>
      <c r="J97">
        <f>IF(FT!B97&lt;&gt;"",FT!C97,"")</f>
        <v>38.655799999999999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189511</v>
      </c>
      <c r="D98" s="61">
        <f>FH!B98*1</f>
        <v>189511</v>
      </c>
      <c r="E98">
        <f t="shared" si="11"/>
        <v>96</v>
      </c>
      <c r="F98" s="61">
        <f>IF(FT!A98&lt;&gt;"",FT!A98*10,"")</f>
        <v>4.2232099999999999</v>
      </c>
      <c r="G98" s="61">
        <f>IF(FT!B98&lt;&gt;"",FT!B98*100,"")</f>
        <v>53.664199999999994</v>
      </c>
      <c r="H98" s="61">
        <f t="shared" si="9"/>
        <v>1</v>
      </c>
      <c r="I98" t="str">
        <f>IF(FT!B98&lt;&gt;"",FT!E98,"")</f>
        <v>2 [39.062872]</v>
      </c>
      <c r="J98">
        <f>IF(FT!B98&lt;&gt;"",FT!C98,"")</f>
        <v>39.062899999999999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4.1912500000000001</v>
      </c>
      <c r="G99" s="61">
        <f>IF(FT!B99&lt;&gt;"",FT!B99*100,"")</f>
        <v>53.380200000000002</v>
      </c>
      <c r="H99" s="61">
        <f t="shared" si="9"/>
        <v>1</v>
      </c>
      <c r="I99" t="str">
        <f>IF(FT!B99&lt;&gt;"",FT!E99,"")</f>
        <v>2 [39.470568]</v>
      </c>
      <c r="J99">
        <f>IF(FT!B99&lt;&gt;"",FT!C99,"")</f>
        <v>39.470599999999997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194924</v>
      </c>
      <c r="D100" s="61">
        <f>FH!B100*1</f>
        <v>194924</v>
      </c>
      <c r="E100">
        <f t="shared" si="11"/>
        <v>98</v>
      </c>
      <c r="F100" s="61">
        <f>IF(FT!A100&lt;&gt;"",FT!A100*10,"")</f>
        <v>4.1566000000000001</v>
      </c>
      <c r="G100" s="61">
        <f>IF(FT!B100&lt;&gt;"",FT!B100*100,"")</f>
        <v>53.066199999999995</v>
      </c>
      <c r="H100" s="61">
        <f t="shared" si="9"/>
        <v>1</v>
      </c>
      <c r="I100" t="str">
        <f>IF(FT!B100&lt;&gt;"",FT!E100,"")</f>
        <v>2 [39.877779]</v>
      </c>
      <c r="J100">
        <f>IF(FT!B100&lt;&gt;"",FT!C100,"")</f>
        <v>39.877800000000001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4.1188399999999996</v>
      </c>
      <c r="G101" s="61">
        <f>IF(FT!B101&lt;&gt;"",FT!B101*100,"")</f>
        <v>52.719700000000003</v>
      </c>
      <c r="H101" s="61">
        <f t="shared" si="9"/>
        <v>1</v>
      </c>
      <c r="I101" t="str">
        <f>IF(FT!B101&lt;&gt;"",FT!E101,"")</f>
        <v>2 [40.283435]</v>
      </c>
      <c r="J101">
        <f>IF(FT!B101&lt;&gt;"",FT!C101,"")</f>
        <v>40.2834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4.0817999999999994</v>
      </c>
      <c r="G102" s="61">
        <f>IF(FT!B102&lt;&gt;"",FT!B102*100,"")</f>
        <v>52.3401</v>
      </c>
      <c r="H102" s="61">
        <f t="shared" si="9"/>
        <v>1</v>
      </c>
      <c r="I102" t="str">
        <f>IF(FT!B102&lt;&gt;"",FT!E102,"")</f>
        <v>2 [40.689526]</v>
      </c>
      <c r="J102">
        <f>IF(FT!B102&lt;&gt;"",FT!C102,"")</f>
        <v>40.689500000000002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201364</v>
      </c>
      <c r="D103" s="61">
        <f>FH!B103*1</f>
        <v>201364</v>
      </c>
      <c r="E103">
        <f t="shared" si="11"/>
        <v>101</v>
      </c>
      <c r="F103" s="61">
        <f>IF(FT!A103&lt;&gt;"",FT!A103*10,"")</f>
        <v>4.04657</v>
      </c>
      <c r="G103" s="61">
        <f>IF(FT!B103&lt;&gt;"",FT!B103*100,"")</f>
        <v>51.903299999999994</v>
      </c>
      <c r="H103" s="61">
        <f t="shared" si="9"/>
        <v>1</v>
      </c>
      <c r="I103" t="str">
        <f>IF(FT!B103&lt;&gt;"",FT!E103,"")</f>
        <v>2 [41.093344]</v>
      </c>
      <c r="J103">
        <f>IF(FT!B103&lt;&gt;"",FT!C103,"")</f>
        <v>41.093299999999999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4.0124399999999998</v>
      </c>
      <c r="G104" s="61">
        <f>IF(FT!B104&lt;&gt;"",FT!B104*100,"")</f>
        <v>51.393900000000002</v>
      </c>
      <c r="H104" s="61">
        <f t="shared" si="9"/>
        <v>1</v>
      </c>
      <c r="I104" t="str">
        <f>IF(FT!B104&lt;&gt;"",FT!E104,"")</f>
        <v>2 [41.498121]</v>
      </c>
      <c r="J104">
        <f>IF(FT!B104&lt;&gt;"",FT!C104,"")</f>
        <v>41.498100000000001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3.9804599999999999</v>
      </c>
      <c r="G105" s="61">
        <f>IF(FT!B105&lt;&gt;"",FT!B105*100,"")</f>
        <v>50.947400000000002</v>
      </c>
      <c r="H105" s="61">
        <f t="shared" si="9"/>
        <v>1</v>
      </c>
      <c r="I105" t="str">
        <f>IF(FT!B105&lt;&gt;"",FT!E105,"")</f>
        <v>2 [41.905410]</v>
      </c>
      <c r="J105">
        <f>IF(FT!B105&lt;&gt;"",FT!C105,"")</f>
        <v>41.9054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207080</v>
      </c>
      <c r="D106" s="61">
        <f>FH!B106*1</f>
        <v>207080</v>
      </c>
      <c r="E106">
        <f t="shared" si="11"/>
        <v>104</v>
      </c>
      <c r="F106" s="61">
        <f>IF(FT!A106&lt;&gt;"",FT!A106*10,"")</f>
        <v>3.95173</v>
      </c>
      <c r="G106" s="61">
        <f>IF(FT!B106&lt;&gt;"",FT!B106*100,"")</f>
        <v>50.601500000000001</v>
      </c>
      <c r="H106" s="61">
        <f t="shared" si="9"/>
        <v>1</v>
      </c>
      <c r="I106" t="str">
        <f>IF(FT!B106&lt;&gt;"",FT!E106,"")</f>
        <v>2 [42.315026]</v>
      </c>
      <c r="J106">
        <f>IF(FT!B106&lt;&gt;"",FT!C106,"")</f>
        <v>42.314999999999998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3.9273099999999999</v>
      </c>
      <c r="G107" s="61">
        <f>IF(FT!B107&lt;&gt;"",FT!B107*100,"")</f>
        <v>50.2791</v>
      </c>
      <c r="H107" s="61">
        <f t="shared" si="9"/>
        <v>1</v>
      </c>
      <c r="I107" t="str">
        <f>IF(FT!B107&lt;&gt;"",FT!E107,"")</f>
        <v>2 [42.721962]</v>
      </c>
      <c r="J107">
        <f>IF(FT!B107&lt;&gt;"",FT!C107,"")</f>
        <v>42.722000000000001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215327</v>
      </c>
      <c r="D108" s="61">
        <f>FH!B108*1</f>
        <v>215327</v>
      </c>
      <c r="E108">
        <f t="shared" si="11"/>
        <v>106</v>
      </c>
      <c r="F108" s="61">
        <f>IF(FT!A108&lt;&gt;"",FT!A108*10,"")</f>
        <v>3.9052700000000002</v>
      </c>
      <c r="G108" s="61">
        <f>IF(FT!B108&lt;&gt;"",FT!B108*100,"")</f>
        <v>50.1038</v>
      </c>
      <c r="H108" s="61">
        <f t="shared" si="9"/>
        <v>1</v>
      </c>
      <c r="I108" t="str">
        <f>IF(FT!B108&lt;&gt;"",FT!E108,"")</f>
        <v>2 [43.126848]</v>
      </c>
      <c r="J108">
        <f>IF(FT!B108&lt;&gt;"",FT!C108,"")</f>
        <v>43.126800000000003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3.8883099999999997</v>
      </c>
      <c r="G109" s="61">
        <f>IF(FT!B109&lt;&gt;"",FT!B109*100,"")</f>
        <v>49.952300000000001</v>
      </c>
      <c r="H109" s="61">
        <f t="shared" si="9"/>
        <v>1</v>
      </c>
      <c r="I109" t="str">
        <f>IF(FT!B109&lt;&gt;"",FT!E109,"")</f>
        <v>2 [43.531782]</v>
      </c>
      <c r="J109">
        <f>IF(FT!B109&lt;&gt;"",FT!C109,"")</f>
        <v>43.531799999999997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3.8782199999999998</v>
      </c>
      <c r="G110" s="61">
        <f>IF(FT!B110&lt;&gt;"",FT!B110*100,"")</f>
        <v>49.712499999999999</v>
      </c>
      <c r="H110" s="61">
        <f t="shared" si="9"/>
        <v>1</v>
      </c>
      <c r="I110" t="str">
        <f>IF(FT!B110&lt;&gt;"",FT!E110,"")</f>
        <v>2 [43.935562]</v>
      </c>
      <c r="J110">
        <f>IF(FT!B110&lt;&gt;"",FT!C110,"")</f>
        <v>43.935600000000001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214677</v>
      </c>
      <c r="D111" s="61">
        <f>FH!B111*1</f>
        <v>214677</v>
      </c>
      <c r="E111">
        <f t="shared" si="11"/>
        <v>109</v>
      </c>
      <c r="F111" s="61">
        <f>IF(FT!A111&lt;&gt;"",FT!A111*10,"")</f>
        <v>3.8754100000000005</v>
      </c>
      <c r="G111" s="61">
        <f>IF(FT!B111&lt;&gt;"",FT!B111*100,"")</f>
        <v>49.467700000000001</v>
      </c>
      <c r="H111" s="61">
        <f t="shared" si="9"/>
        <v>1</v>
      </c>
      <c r="I111" t="str">
        <f>IF(FT!B111&lt;&gt;"",FT!E111,"")</f>
        <v>2 [44.341570]</v>
      </c>
      <c r="J111">
        <f>IF(FT!B111&lt;&gt;"",FT!C111,"")</f>
        <v>44.3416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3.87758</v>
      </c>
      <c r="G112" s="61">
        <f>IF(FT!B112&lt;&gt;"",FT!B112*100,"")</f>
        <v>49.2224</v>
      </c>
      <c r="H112" s="61">
        <f t="shared" si="9"/>
        <v>1</v>
      </c>
      <c r="I112" t="str">
        <f>IF(FT!B112&lt;&gt;"",FT!E112,"")</f>
        <v>2 [44.753540]</v>
      </c>
      <c r="J112">
        <f>IF(FT!B112&lt;&gt;"",FT!C112,"")</f>
        <v>44.753500000000003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227767</v>
      </c>
      <c r="D113" s="61">
        <f>FH!B113*1</f>
        <v>227767</v>
      </c>
      <c r="E113">
        <f t="shared" si="11"/>
        <v>111</v>
      </c>
      <c r="F113" s="61">
        <f>IF(FT!A113&lt;&gt;"",FT!A113*10,"")</f>
        <v>3.8814599999999997</v>
      </c>
      <c r="G113" s="61">
        <f>IF(FT!B113&lt;&gt;"",FT!B113*100,"")</f>
        <v>48.947699999999998</v>
      </c>
      <c r="H113" s="61">
        <f t="shared" si="9"/>
        <v>1</v>
      </c>
      <c r="I113" t="str">
        <f>IF(FT!B113&lt;&gt;"",FT!E113,"")</f>
        <v>2 [45.157493]</v>
      </c>
      <c r="J113">
        <f>IF(FT!B113&lt;&gt;"",FT!C113,"")</f>
        <v>45.157499999999999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3.88801</v>
      </c>
      <c r="G114" s="61">
        <f>IF(FT!B114&lt;&gt;"",FT!B114*100,"")</f>
        <v>48.644599999999997</v>
      </c>
      <c r="H114" s="61">
        <f t="shared" si="9"/>
        <v>1</v>
      </c>
      <c r="I114" t="str">
        <f>IF(FT!B114&lt;&gt;"",FT!E114,"")</f>
        <v>2 [45.561305]</v>
      </c>
      <c r="J114">
        <f>IF(FT!B114&lt;&gt;"",FT!C114,"")</f>
        <v>45.561300000000003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3.8946999999999998</v>
      </c>
      <c r="G115" s="61">
        <f>IF(FT!B115&lt;&gt;"",FT!B115*100,"")</f>
        <v>48.478200000000001</v>
      </c>
      <c r="H115" s="61">
        <f t="shared" si="9"/>
        <v>1</v>
      </c>
      <c r="I115" t="str">
        <f>IF(FT!B115&lt;&gt;"",FT!E115,"")</f>
        <v>2 [45.968440]</v>
      </c>
      <c r="J115">
        <f>IF(FT!B115&lt;&gt;"",FT!C115,"")</f>
        <v>45.968400000000003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226476</v>
      </c>
      <c r="D116" s="61">
        <f>FH!B116*1</f>
        <v>226476</v>
      </c>
      <c r="E116">
        <f t="shared" si="11"/>
        <v>114</v>
      </c>
      <c r="F116" s="61">
        <f>IF(FT!A116&lt;&gt;"",FT!A116*10,"")</f>
        <v>3.9066000000000001</v>
      </c>
      <c r="G116" s="61">
        <f>IF(FT!B116&lt;&gt;"",FT!B116*100,"")</f>
        <v>48.337000000000003</v>
      </c>
      <c r="H116" s="61">
        <f t="shared" si="9"/>
        <v>1</v>
      </c>
      <c r="I116" t="str">
        <f>IF(FT!B116&lt;&gt;"",FT!E116,"")</f>
        <v>2 [46.371939]</v>
      </c>
      <c r="J116">
        <f>IF(FT!B116&lt;&gt;"",FT!C116,"")</f>
        <v>46.371899999999997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3.9257499999999999</v>
      </c>
      <c r="G117" s="61">
        <f>IF(FT!B117&lt;&gt;"",FT!B117*100,"")</f>
        <v>48.151200000000003</v>
      </c>
      <c r="H117" s="61">
        <f t="shared" si="9"/>
        <v>1</v>
      </c>
      <c r="I117" t="str">
        <f>IF(FT!B117&lt;&gt;"",FT!E117,"")</f>
        <v>2 [46.783074]</v>
      </c>
      <c r="J117">
        <f>IF(FT!B117&lt;&gt;"",FT!C117,"")</f>
        <v>46.783099999999997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214967</v>
      </c>
      <c r="D118" s="61">
        <f>FH!B118*1</f>
        <v>214967</v>
      </c>
      <c r="E118">
        <f t="shared" si="11"/>
        <v>116</v>
      </c>
      <c r="F118" s="61">
        <f>IF(FT!A118&lt;&gt;"",FT!A118*10,"")</f>
        <v>3.9460699999999997</v>
      </c>
      <c r="G118" s="61">
        <f>IF(FT!B118&lt;&gt;"",FT!B118*100,"")</f>
        <v>47.999199999999995</v>
      </c>
      <c r="H118" s="61">
        <f t="shared" si="9"/>
        <v>1</v>
      </c>
      <c r="I118" t="str">
        <f>IF(FT!B118&lt;&gt;"",FT!E118,"")</f>
        <v>2 [47.186997]</v>
      </c>
      <c r="J118">
        <f>IF(FT!B118&lt;&gt;"",FT!C118,"")</f>
        <v>47.186999999999998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3.9706900000000003</v>
      </c>
      <c r="G119" s="61">
        <f>IF(FT!B119&lt;&gt;"",FT!B119*100,"")</f>
        <v>47.8279</v>
      </c>
      <c r="H119" s="61">
        <f t="shared" si="9"/>
        <v>1</v>
      </c>
      <c r="I119" t="str">
        <f>IF(FT!B119&lt;&gt;"",FT!E119,"")</f>
        <v>2 [47.597393]</v>
      </c>
      <c r="J119">
        <f>IF(FT!B119&lt;&gt;"",FT!C119,"")</f>
        <v>47.5974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3.99437</v>
      </c>
      <c r="G120" s="61">
        <f>IF(FT!B120&lt;&gt;"",FT!B120*100,"")</f>
        <v>47.756500000000003</v>
      </c>
      <c r="H120" s="61">
        <f t="shared" si="9"/>
        <v>1</v>
      </c>
      <c r="I120" t="str">
        <f>IF(FT!B120&lt;&gt;"",FT!E120,"")</f>
        <v>2 [48.003735]</v>
      </c>
      <c r="J120">
        <f>IF(FT!B120&lt;&gt;"",FT!C120,"")</f>
        <v>48.003700000000002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219395</v>
      </c>
      <c r="D121" s="61">
        <f>FH!B121*1</f>
        <v>219395</v>
      </c>
      <c r="E121">
        <f t="shared" si="11"/>
        <v>119</v>
      </c>
      <c r="F121" s="61">
        <f>IF(FT!A121&lt;&gt;"",FT!A121*10,"")</f>
        <v>4.0173800000000002</v>
      </c>
      <c r="G121" s="61">
        <f>IF(FT!B121&lt;&gt;"",FT!B121*100,"")</f>
        <v>47.735699999999994</v>
      </c>
      <c r="H121" s="61">
        <f t="shared" si="9"/>
        <v>1</v>
      </c>
      <c r="I121" t="str">
        <f>IF(FT!B121&lt;&gt;"",FT!E121,"")</f>
        <v>2 [48.407809]</v>
      </c>
      <c r="J121">
        <f>IF(FT!B121&lt;&gt;"",FT!C121,"")</f>
        <v>48.407800000000002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4.0396999999999998</v>
      </c>
      <c r="G122" s="61">
        <f>IF(FT!B122&lt;&gt;"",FT!B122*100,"")</f>
        <v>47.7943</v>
      </c>
      <c r="H122" s="61">
        <f t="shared" si="9"/>
        <v>1</v>
      </c>
      <c r="I122" t="str">
        <f>IF(FT!B122&lt;&gt;"",FT!E122,"")</f>
        <v>2 [48.811539]</v>
      </c>
      <c r="J122">
        <f>IF(FT!B122&lt;&gt;"",FT!C122,"")</f>
        <v>48.811500000000002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4.0643000000000002</v>
      </c>
      <c r="G123" s="61">
        <f>IF(FT!B123&lt;&gt;"",FT!B123*100,"")</f>
        <v>47.939500000000002</v>
      </c>
      <c r="H123" s="61">
        <f t="shared" si="9"/>
        <v>1</v>
      </c>
      <c r="I123" t="str">
        <f>IF(FT!B123&lt;&gt;"",FT!E123,"")</f>
        <v>2 [49.218631]</v>
      </c>
      <c r="J123">
        <f>IF(FT!B123&lt;&gt;"",FT!C123,"")</f>
        <v>49.218600000000002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227778</v>
      </c>
      <c r="D124" s="61">
        <f>FH!B124*1</f>
        <v>227778</v>
      </c>
      <c r="E124">
        <f t="shared" si="11"/>
        <v>122</v>
      </c>
      <c r="F124" s="61">
        <f>IF(FT!A124&lt;&gt;"",FT!A124*10,"")</f>
        <v>4.0933199999999994</v>
      </c>
      <c r="G124" s="61">
        <f>IF(FT!B124&lt;&gt;"",FT!B124*100,"")</f>
        <v>48.207699999999996</v>
      </c>
      <c r="H124" s="61">
        <f t="shared" si="9"/>
        <v>1</v>
      </c>
      <c r="I124" t="str">
        <f>IF(FT!B124&lt;&gt;"",FT!E124,"")</f>
        <v>2 [49.623209]</v>
      </c>
      <c r="J124">
        <f>IF(FT!B124&lt;&gt;"",FT!C124,"")</f>
        <v>49.623199999999997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4.12263</v>
      </c>
      <c r="G125" s="61">
        <f>IF(FT!B125&lt;&gt;"",FT!B125*100,"")</f>
        <v>48.639800000000001</v>
      </c>
      <c r="H125" s="61">
        <f t="shared" si="9"/>
        <v>1</v>
      </c>
      <c r="I125" t="str">
        <f>IF(FT!B125&lt;&gt;"",FT!E125,"")</f>
        <v>2 [50.035007]</v>
      </c>
      <c r="J125">
        <f>IF(FT!B125&lt;&gt;"",FT!C125,"")</f>
        <v>50.034999999999997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229091</v>
      </c>
      <c r="D126" s="61">
        <f>FH!B126*1</f>
        <v>229091</v>
      </c>
      <c r="E126">
        <f t="shared" si="11"/>
        <v>124</v>
      </c>
      <c r="F126" s="61">
        <f>IF(FT!A126&lt;&gt;"",FT!A126*10,"")</f>
        <v>4.1407500000000006</v>
      </c>
      <c r="G126" s="61">
        <f>IF(FT!B126&lt;&gt;"",FT!B126*100,"")</f>
        <v>48.935499999999998</v>
      </c>
      <c r="H126" s="61">
        <f t="shared" si="9"/>
        <v>1</v>
      </c>
      <c r="I126" t="str">
        <f>IF(FT!B126&lt;&gt;"",FT!E126,"")</f>
        <v>2 [50.440931]</v>
      </c>
      <c r="J126">
        <f>IF(FT!B126&lt;&gt;"",FT!C126,"")</f>
        <v>50.440899999999999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4.1608900000000002</v>
      </c>
      <c r="G127" s="61">
        <f>IF(FT!B127&lt;&gt;"",FT!B127*100,"")</f>
        <v>49.325200000000002</v>
      </c>
      <c r="H127" s="61">
        <f t="shared" si="9"/>
        <v>1</v>
      </c>
      <c r="I127" t="str">
        <f>IF(FT!B127&lt;&gt;"",FT!E127,"")</f>
        <v>2 [50.846177]</v>
      </c>
      <c r="J127">
        <f>IF(FT!B127&lt;&gt;"",FT!C127,"")</f>
        <v>50.846200000000003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4.1820300000000001</v>
      </c>
      <c r="G128" s="61">
        <f>IF(FT!B128&lt;&gt;"",FT!B128*100,"")</f>
        <v>49.816700000000004</v>
      </c>
      <c r="H128" s="61">
        <f t="shared" si="9"/>
        <v>1</v>
      </c>
      <c r="I128" t="str">
        <f>IF(FT!B128&lt;&gt;"",FT!E128,"")</f>
        <v>2 [51.249084]</v>
      </c>
      <c r="J128">
        <f>IF(FT!B128&lt;&gt;"",FT!C128,"")</f>
        <v>51.249099999999999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227170</v>
      </c>
      <c r="D129" s="61">
        <f>FH!B129*1</f>
        <v>227170</v>
      </c>
      <c r="E129">
        <f t="shared" si="11"/>
        <v>127</v>
      </c>
      <c r="F129" s="61">
        <f>IF(FT!A129&lt;&gt;"",FT!A129*10,"")</f>
        <v>4.2062300000000006</v>
      </c>
      <c r="G129" s="61">
        <f>IF(FT!B129&lt;&gt;"",FT!B129*100,"")</f>
        <v>50.479399999999998</v>
      </c>
      <c r="H129" s="61">
        <f t="shared" si="9"/>
        <v>1</v>
      </c>
      <c r="I129" t="str">
        <f>IF(FT!B129&lt;&gt;"",FT!E129,"")</f>
        <v>2 [51.658858]</v>
      </c>
      <c r="J129">
        <f>IF(FT!B129&lt;&gt;"",FT!C129,"")</f>
        <v>51.658900000000003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4.2308699999999995</v>
      </c>
      <c r="G130" s="61">
        <f>IF(FT!B130&lt;&gt;"",FT!B130*100,"")</f>
        <v>51.189900000000002</v>
      </c>
      <c r="H130" s="61">
        <f t="shared" si="9"/>
        <v>1</v>
      </c>
      <c r="I130" t="str">
        <f>IF(FT!B130&lt;&gt;"",FT!E130,"")</f>
        <v>2 [52.064253]</v>
      </c>
      <c r="J130">
        <f>IF(FT!B130&lt;&gt;"",FT!C130,"")</f>
        <v>52.064300000000003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217250</v>
      </c>
      <c r="D131" s="61">
        <f>FH!B131*1</f>
        <v>217250</v>
      </c>
      <c r="E131">
        <f t="shared" si="11"/>
        <v>129</v>
      </c>
      <c r="F131" s="61">
        <f>IF(FT!A131&lt;&gt;"",FT!A131*10,"")</f>
        <v>4.2539999999999996</v>
      </c>
      <c r="G131" s="61">
        <f>IF(FT!B131&lt;&gt;"",FT!B131*100,"")</f>
        <v>51.855200000000004</v>
      </c>
      <c r="H131" s="61">
        <f t="shared" ref="H131:H194" si="13">(IF(F131&lt;&gt;"",1,""))</f>
        <v>1</v>
      </c>
      <c r="I131" t="str">
        <f>IF(FT!B131&lt;&gt;"",FT!E131,"")</f>
        <v>2 [52.471744]</v>
      </c>
      <c r="J131">
        <f>IF(FT!B131&lt;&gt;"",FT!C131,"")</f>
        <v>52.471699999999998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4.2766900000000003</v>
      </c>
      <c r="G132" s="61">
        <f>IF(FT!B132&lt;&gt;"",FT!B132*100,"")</f>
        <v>52.555799999999998</v>
      </c>
      <c r="H132" s="61">
        <f t="shared" si="13"/>
        <v>1</v>
      </c>
      <c r="I132" t="str">
        <f>IF(FT!B132&lt;&gt;"",FT!E132,"")</f>
        <v>2 [52.872661]</v>
      </c>
      <c r="J132">
        <f>IF(FT!B132&lt;&gt;"",FT!C132,"")</f>
        <v>52.872700000000002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4.2999700000000001</v>
      </c>
      <c r="G133" s="61">
        <f>IF(FT!B133&lt;&gt;"",FT!B133*100,"")</f>
        <v>53.152100000000004</v>
      </c>
      <c r="H133" s="61">
        <f t="shared" si="13"/>
        <v>1</v>
      </c>
      <c r="I133" t="str">
        <f>IF(FT!B133&lt;&gt;"",FT!E133,"")</f>
        <v>2 [53.283723]</v>
      </c>
      <c r="J133">
        <f>IF(FT!B133&lt;&gt;"",FT!C133,"")</f>
        <v>53.283700000000003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201732</v>
      </c>
      <c r="D134" s="61">
        <f>FH!B134*1</f>
        <v>201732</v>
      </c>
      <c r="E134">
        <f t="shared" si="15"/>
        <v>132</v>
      </c>
      <c r="F134" s="61">
        <f>IF(FT!A134&lt;&gt;"",FT!A134*10,"")</f>
        <v>4.32219</v>
      </c>
      <c r="G134" s="61">
        <f>IF(FT!B134&lt;&gt;"",FT!B134*100,"")</f>
        <v>53.633499999999998</v>
      </c>
      <c r="H134" s="61">
        <f t="shared" si="13"/>
        <v>1</v>
      </c>
      <c r="I134" t="str">
        <f>IF(FT!B134&lt;&gt;"",FT!E134,"")</f>
        <v>2 [53.687600]</v>
      </c>
      <c r="J134">
        <f>IF(FT!B134&lt;&gt;"",FT!C134,"")</f>
        <v>53.687600000000003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4.3431199999999999</v>
      </c>
      <c r="G135" s="61">
        <f>IF(FT!B135&lt;&gt;"",FT!B135*100,"")</f>
        <v>54.133600000000001</v>
      </c>
      <c r="H135" s="61">
        <f t="shared" si="13"/>
        <v>1</v>
      </c>
      <c r="I135" t="str">
        <f>IF(FT!B135&lt;&gt;"",FT!E135,"")</f>
        <v>2 [54.092337]</v>
      </c>
      <c r="J135">
        <f>IF(FT!B135&lt;&gt;"",FT!C135,"")</f>
        <v>54.092300000000002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181813</v>
      </c>
      <c r="D136" s="61">
        <f>FH!B136*1</f>
        <v>181813</v>
      </c>
      <c r="E136">
        <f t="shared" si="15"/>
        <v>134</v>
      </c>
      <c r="F136" s="61">
        <f>IF(FT!A136&lt;&gt;"",FT!A136*10,"")</f>
        <v>4.3595499999999996</v>
      </c>
      <c r="G136" s="61">
        <f>IF(FT!B136&lt;&gt;"",FT!B136*100,"")</f>
        <v>54.473199999999999</v>
      </c>
      <c r="H136" s="61">
        <f t="shared" si="13"/>
        <v>1</v>
      </c>
      <c r="I136" t="str">
        <f>IF(FT!B136&lt;&gt;"",FT!E136,"")</f>
        <v>2 [54.501408]</v>
      </c>
      <c r="J136">
        <f>IF(FT!B136&lt;&gt;"",FT!C136,"")</f>
        <v>54.501399999999997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4.3735499999999998</v>
      </c>
      <c r="G137" s="61">
        <f>IF(FT!B137&lt;&gt;"",FT!B137*100,"")</f>
        <v>54.729399999999998</v>
      </c>
      <c r="H137" s="61">
        <f t="shared" si="13"/>
        <v>1</v>
      </c>
      <c r="I137" t="str">
        <f>IF(FT!B137&lt;&gt;"",FT!E137,"")</f>
        <v>2 [54.909235]</v>
      </c>
      <c r="J137">
        <f>IF(FT!B137&lt;&gt;"",FT!C137,"")</f>
        <v>54.909199999999998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4.3876400000000002</v>
      </c>
      <c r="G138" s="61">
        <f>IF(FT!B138&lt;&gt;"",FT!B138*100,"")</f>
        <v>55.027899999999995</v>
      </c>
      <c r="H138" s="61">
        <f t="shared" si="13"/>
        <v>1</v>
      </c>
      <c r="I138" t="str">
        <f>IF(FT!B138&lt;&gt;"",FT!E138,"")</f>
        <v>2 [55.314245]</v>
      </c>
      <c r="J138">
        <f>IF(FT!B138&lt;&gt;"",FT!C138,"")</f>
        <v>55.3142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153664</v>
      </c>
      <c r="D139" s="61">
        <f>FH!B139*1</f>
        <v>153664</v>
      </c>
      <c r="E139">
        <f t="shared" si="15"/>
        <v>137</v>
      </c>
      <c r="F139" s="61">
        <f>IF(FT!A139&lt;&gt;"",FT!A139*10,"")</f>
        <v>4.4002099999999995</v>
      </c>
      <c r="G139" s="61">
        <f>IF(FT!B139&lt;&gt;"",FT!B139*100,"")</f>
        <v>55.339799999999997</v>
      </c>
      <c r="H139" s="61">
        <f t="shared" si="13"/>
        <v>1</v>
      </c>
      <c r="I139" t="str">
        <f>IF(FT!B139&lt;&gt;"",FT!E139,"")</f>
        <v>2 [55.718994]</v>
      </c>
      <c r="J139">
        <f>IF(FT!B139&lt;&gt;"",FT!C139,"")</f>
        <v>55.719000000000001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4.4166499999999997</v>
      </c>
      <c r="G140" s="61">
        <f>IF(FT!B140&lt;&gt;"",FT!B140*100,"")</f>
        <v>55.598899999999993</v>
      </c>
      <c r="H140" s="61">
        <f t="shared" si="13"/>
        <v>1</v>
      </c>
      <c r="I140" t="str">
        <f>IF(FT!B140&lt;&gt;"",FT!E140,"")</f>
        <v>2 [56.125917]</v>
      </c>
      <c r="J140">
        <f>IF(FT!B140&lt;&gt;"",FT!C140,"")</f>
        <v>56.125900000000001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4.4339899999999997</v>
      </c>
      <c r="G141" s="61">
        <f>IF(FT!B141&lt;&gt;"",FT!B141*100,"")</f>
        <v>55.879599999999996</v>
      </c>
      <c r="H141" s="61">
        <f t="shared" si="13"/>
        <v>1</v>
      </c>
      <c r="I141" t="str">
        <f>IF(FT!B141&lt;&gt;"",FT!E141,"")</f>
        <v>2 [56.532029]</v>
      </c>
      <c r="J141">
        <f>IF(FT!B141&lt;&gt;"",FT!C141,"")</f>
        <v>56.531999999999996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133105</v>
      </c>
      <c r="D142" s="61">
        <f>FH!B142*1</f>
        <v>133105</v>
      </c>
      <c r="E142">
        <f t="shared" si="15"/>
        <v>140</v>
      </c>
      <c r="F142" s="61">
        <f>IF(FT!A142&lt;&gt;"",FT!A142*10,"")</f>
        <v>4.4422099999999993</v>
      </c>
      <c r="G142" s="61">
        <f>IF(FT!B142&lt;&gt;"",FT!B142*100,"")</f>
        <v>56.087299999999999</v>
      </c>
      <c r="H142" s="61">
        <f t="shared" si="13"/>
        <v>1</v>
      </c>
      <c r="I142" t="str">
        <f>IF(FT!B142&lt;&gt;"",FT!E142,"")</f>
        <v>2 [56.940794]</v>
      </c>
      <c r="J142">
        <f>IF(FT!B142&lt;&gt;"",FT!C142,"")</f>
        <v>56.940800000000003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4.4490099999999995</v>
      </c>
      <c r="G143" s="61">
        <f>IF(FT!B143&lt;&gt;"",FT!B143*100,"")</f>
        <v>56.242000000000004</v>
      </c>
      <c r="H143" s="61">
        <f t="shared" si="13"/>
        <v>1</v>
      </c>
      <c r="I143" t="str">
        <f>IF(FT!B143&lt;&gt;"",FT!E143,"")</f>
        <v>2 [57.347021]</v>
      </c>
      <c r="J143">
        <f>IF(FT!B143&lt;&gt;"",FT!C143,"")</f>
        <v>57.347000000000001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115529</v>
      </c>
      <c r="D144" s="61">
        <f>FH!B144*1</f>
        <v>115529</v>
      </c>
      <c r="E144">
        <f t="shared" si="15"/>
        <v>142</v>
      </c>
      <c r="F144" s="61">
        <f>IF(FT!A144&lt;&gt;"",FT!A144*10,"")</f>
        <v>4.4435500000000001</v>
      </c>
      <c r="G144" s="61">
        <f>IF(FT!B144&lt;&gt;"",FT!B144*100,"")</f>
        <v>56.3461</v>
      </c>
      <c r="H144" s="61">
        <f t="shared" si="13"/>
        <v>1</v>
      </c>
      <c r="I144" t="str">
        <f>IF(FT!B144&lt;&gt;"",FT!E144,"")</f>
        <v>2 [57.749243]</v>
      </c>
      <c r="J144">
        <f>IF(FT!B144&lt;&gt;"",FT!C144,"")</f>
        <v>57.749200000000002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4.4420599999999997</v>
      </c>
      <c r="G145" s="61">
        <f>IF(FT!B145&lt;&gt;"",FT!B145*100,"")</f>
        <v>56.337499999999999</v>
      </c>
      <c r="H145" s="61">
        <f t="shared" si="13"/>
        <v>1</v>
      </c>
      <c r="I145" t="str">
        <f>IF(FT!B145&lt;&gt;"",FT!E145,"")</f>
        <v>2 [58.155571]</v>
      </c>
      <c r="J145">
        <f>IF(FT!B145&lt;&gt;"",FT!C145,"")</f>
        <v>58.1556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4.4432700000000001</v>
      </c>
      <c r="G146" s="61">
        <f>IF(FT!B146&lt;&gt;"",FT!B146*100,"")</f>
        <v>56.454999999999998</v>
      </c>
      <c r="H146" s="61">
        <f t="shared" si="13"/>
        <v>1</v>
      </c>
      <c r="I146" t="str">
        <f>IF(FT!B146&lt;&gt;"",FT!E146,"")</f>
        <v>2 [58.564673]</v>
      </c>
      <c r="J146">
        <f>IF(FT!B146&lt;&gt;"",FT!C146,"")</f>
        <v>58.564700000000002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96099</v>
      </c>
      <c r="D147" s="61">
        <f>FH!B147*1</f>
        <v>96099</v>
      </c>
      <c r="E147">
        <f t="shared" si="15"/>
        <v>145</v>
      </c>
      <c r="F147" s="61">
        <f>IF(FT!A147&lt;&gt;"",FT!A147*10,"")</f>
        <v>4.4520799999999996</v>
      </c>
      <c r="G147" s="61">
        <f>IF(FT!B147&lt;&gt;"",FT!B147*100,"")</f>
        <v>56.7256</v>
      </c>
      <c r="H147" s="61">
        <f t="shared" si="13"/>
        <v>1</v>
      </c>
      <c r="I147" t="str">
        <f>IF(FT!B147&lt;&gt;"",FT!E147,"")</f>
        <v>2 [58.972328]</v>
      </c>
      <c r="J147">
        <f>IF(FT!B147&lt;&gt;"",FT!C147,"")</f>
        <v>58.972299999999997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4.4616400000000001</v>
      </c>
      <c r="G148" s="61">
        <f>IF(FT!B148&lt;&gt;"",FT!B148*100,"")</f>
        <v>57.158099999999997</v>
      </c>
      <c r="H148" s="61">
        <f t="shared" si="13"/>
        <v>1</v>
      </c>
      <c r="I148" t="str">
        <f>IF(FT!B148&lt;&gt;"",FT!E148,"")</f>
        <v>2 [59.377300]</v>
      </c>
      <c r="J148">
        <f>IF(FT!B148&lt;&gt;"",FT!C148,"")</f>
        <v>59.377299999999998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68269</v>
      </c>
      <c r="D149" s="61">
        <f>FH!B149*1</f>
        <v>68269</v>
      </c>
      <c r="E149">
        <f t="shared" si="15"/>
        <v>147</v>
      </c>
      <c r="F149" s="61">
        <f>IF(FT!A149&lt;&gt;"",FT!A149*10,"")</f>
        <v>4.4492900000000004</v>
      </c>
      <c r="G149" s="61">
        <f>IF(FT!B149&lt;&gt;"",FT!B149*100,"")</f>
        <v>57.854300000000002</v>
      </c>
      <c r="H149" s="61">
        <f t="shared" si="13"/>
        <v>1</v>
      </c>
      <c r="I149" t="str">
        <f>IF(FT!B149&lt;&gt;"",FT!E149,"")</f>
        <v>2 [59.782182]</v>
      </c>
      <c r="J149">
        <f>IF(FT!B149&lt;&gt;"",FT!C149,"")</f>
        <v>59.782200000000003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48800</v>
      </c>
      <c r="D152" s="61">
        <f>FH!B152*1</f>
        <v>48800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37336</v>
      </c>
      <c r="D154" s="61">
        <f>FH!B154*1</f>
        <v>37336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22183</v>
      </c>
      <c r="D157" s="61">
        <f>FH!B157*1</f>
        <v>22183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14901</v>
      </c>
      <c r="D160" s="61">
        <f>FH!B160*1</f>
        <v>14901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6594</v>
      </c>
      <c r="D162" s="61">
        <f>FH!B162*1</f>
        <v>6594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3538</v>
      </c>
      <c r="D165" s="61">
        <f>FH!B165*1</f>
        <v>3538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1927</v>
      </c>
      <c r="D167" s="61">
        <f>FH!B167*1</f>
        <v>1927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1096</v>
      </c>
      <c r="D170" s="61">
        <f>FH!B170*1</f>
        <v>1096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296</v>
      </c>
      <c r="D173" s="61">
        <f>FH!B173*1</f>
        <v>296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218</v>
      </c>
      <c r="D175" s="61">
        <f>FH!B175*1</f>
        <v>218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38.509900000000002</v>
      </c>
      <c r="C5" s="66">
        <v>8.7704900000000006</v>
      </c>
      <c r="D5" s="66">
        <v>22.7746</v>
      </c>
      <c r="E5" s="66">
        <v>20</v>
      </c>
      <c r="F5" s="66">
        <v>7.8054899999999998</v>
      </c>
      <c r="G5" s="66">
        <v>50</v>
      </c>
      <c r="H5" s="66">
        <v>46.9696</v>
      </c>
    </row>
    <row r="6" spans="1:8">
      <c r="A6" s="58" t="s">
        <v>303</v>
      </c>
      <c r="B6" s="66">
        <v>21.287700000000001</v>
      </c>
      <c r="C6" s="66">
        <v>1.9590000000000001</v>
      </c>
      <c r="D6" s="66">
        <v>9.2025000000000006</v>
      </c>
      <c r="E6" s="66">
        <v>20</v>
      </c>
      <c r="F6" s="66">
        <v>18.117699999999999</v>
      </c>
      <c r="G6" s="66">
        <v>40</v>
      </c>
      <c r="H6" s="66">
        <v>25.430099999999999</v>
      </c>
    </row>
    <row r="7" spans="1:8">
      <c r="A7" s="58" t="s">
        <v>304</v>
      </c>
      <c r="B7" s="66">
        <v>21.329499999999999</v>
      </c>
      <c r="C7" s="66">
        <v>7.9567600000000001</v>
      </c>
      <c r="D7" s="66">
        <v>37.304099999999998</v>
      </c>
      <c r="E7" s="66">
        <v>15</v>
      </c>
      <c r="F7" s="66">
        <v>5.5254899999999996</v>
      </c>
      <c r="G7" s="66">
        <v>40</v>
      </c>
      <c r="H7" s="66">
        <v>44.627200000000002</v>
      </c>
    </row>
    <row r="8" spans="1:8">
      <c r="A8" s="58" t="s">
        <v>305</v>
      </c>
      <c r="B8" s="66">
        <v>26.4529</v>
      </c>
      <c r="C8" s="66">
        <v>3.07606</v>
      </c>
      <c r="D8" s="66">
        <v>11.628399999999999</v>
      </c>
      <c r="E8" s="66">
        <v>20</v>
      </c>
      <c r="F8" s="66">
        <v>16.399999999999999</v>
      </c>
      <c r="G8" s="66">
        <v>50</v>
      </c>
      <c r="H8" s="66">
        <v>34.410299999999999</v>
      </c>
    </row>
    <row r="9" spans="1:8">
      <c r="A9" s="58" t="s">
        <v>306</v>
      </c>
      <c r="B9" s="66">
        <v>66.895399999999995</v>
      </c>
      <c r="C9" s="66">
        <v>8.1601199999999992</v>
      </c>
      <c r="D9" s="66">
        <v>12.1983</v>
      </c>
      <c r="E9" s="66">
        <v>50</v>
      </c>
      <c r="F9" s="66">
        <v>48.656300000000002</v>
      </c>
      <c r="G9" s="66">
        <v>100</v>
      </c>
      <c r="H9" s="66">
        <v>87.458399999999997</v>
      </c>
    </row>
    <row r="10" spans="1:8">
      <c r="A10" s="58" t="s">
        <v>307</v>
      </c>
      <c r="B10" s="66">
        <v>81.778000000000006</v>
      </c>
      <c r="C10" s="66">
        <v>2.5848800000000001</v>
      </c>
      <c r="D10" s="66">
        <v>3.1608499999999999</v>
      </c>
      <c r="E10" s="66">
        <v>40</v>
      </c>
      <c r="F10" s="66">
        <v>77.2761</v>
      </c>
      <c r="G10" s="66">
        <v>100</v>
      </c>
      <c r="H10" s="66">
        <v>88.058700000000002</v>
      </c>
    </row>
    <row r="11" spans="1:8">
      <c r="A11" s="58" t="s">
        <v>308</v>
      </c>
      <c r="B11" s="66">
        <v>30.264500000000002</v>
      </c>
      <c r="C11" s="66">
        <v>8.3557199999999998</v>
      </c>
      <c r="D11" s="66">
        <v>27.609000000000002</v>
      </c>
      <c r="E11" s="66">
        <v>10</v>
      </c>
      <c r="F11" s="66">
        <v>6.2041599999999999</v>
      </c>
      <c r="G11" s="66">
        <v>50</v>
      </c>
      <c r="H11" s="66">
        <v>37.201999999999998</v>
      </c>
    </row>
    <row r="12" spans="1:8">
      <c r="A12" s="58" t="s">
        <v>309</v>
      </c>
      <c r="B12" s="66">
        <v>73.687200000000004</v>
      </c>
      <c r="C12" s="66">
        <v>4.5953600000000003</v>
      </c>
      <c r="D12" s="66">
        <v>6.2363</v>
      </c>
      <c r="E12" s="66">
        <v>50</v>
      </c>
      <c r="F12" s="66">
        <v>65.464600000000004</v>
      </c>
      <c r="G12" s="66">
        <v>100</v>
      </c>
      <c r="H12" s="66">
        <v>86.742199999999997</v>
      </c>
    </row>
    <row r="13" spans="1:8">
      <c r="A13" s="58" t="s">
        <v>310</v>
      </c>
      <c r="B13" s="66">
        <v>19.6767</v>
      </c>
      <c r="C13" s="66">
        <v>3.2149999999999999</v>
      </c>
      <c r="D13" s="66">
        <v>16.339099999999998</v>
      </c>
      <c r="E13" s="66">
        <v>10</v>
      </c>
      <c r="F13" s="66">
        <v>15.239000000000001</v>
      </c>
      <c r="G13" s="66">
        <v>25</v>
      </c>
      <c r="H13" s="66">
        <v>33.337600000000002</v>
      </c>
    </row>
    <row r="14" spans="1:8">
      <c r="A14" s="58" t="s">
        <v>311</v>
      </c>
      <c r="B14" s="66">
        <v>32.15</v>
      </c>
      <c r="C14" s="66">
        <v>8.7888599999999997</v>
      </c>
      <c r="D14" s="66">
        <v>27.337</v>
      </c>
      <c r="E14" s="66">
        <v>10</v>
      </c>
      <c r="F14" s="66">
        <v>2.7718500000000001</v>
      </c>
      <c r="G14" s="66">
        <v>50</v>
      </c>
      <c r="H14" s="66">
        <v>32.896700000000003</v>
      </c>
    </row>
    <row r="15" spans="1:8">
      <c r="A15" s="58" t="s">
        <v>312</v>
      </c>
      <c r="B15" s="66">
        <v>6.8724900000000005E-2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8.9459700000000003E-2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17.379000000000001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0.57843800000000001</v>
      </c>
      <c r="C18" s="66">
        <v>0.113653</v>
      </c>
      <c r="D18" s="66">
        <v>0.19648299999999999</v>
      </c>
      <c r="E18" s="66">
        <v>0</v>
      </c>
      <c r="F18" s="66">
        <v>0.46478399999999997</v>
      </c>
      <c r="G18" s="66">
        <v>0</v>
      </c>
      <c r="H18" s="66">
        <v>0.69209100000000001</v>
      </c>
    </row>
    <row r="19" spans="1:8">
      <c r="A19" s="58" t="s">
        <v>316</v>
      </c>
      <c r="B19" s="66">
        <v>0.53195599999999998</v>
      </c>
      <c r="C19" s="66">
        <v>2.7054000000000002E-2</v>
      </c>
      <c r="D19" s="66">
        <v>5.0857699999999999E-2</v>
      </c>
      <c r="E19" s="66">
        <v>0</v>
      </c>
      <c r="F19" s="66">
        <v>0.50490199999999996</v>
      </c>
      <c r="G19" s="66">
        <v>0</v>
      </c>
      <c r="H19" s="66">
        <v>0.55901000000000001</v>
      </c>
    </row>
    <row r="20" spans="1:8">
      <c r="A20" s="58" t="s">
        <v>317</v>
      </c>
      <c r="B20" s="66">
        <v>9.1492099999999996E-4</v>
      </c>
      <c r="C20" s="66">
        <v>3.4273600000000001E-2</v>
      </c>
      <c r="D20" s="66">
        <v>37.460799999999999</v>
      </c>
      <c r="E20" s="66">
        <v>0</v>
      </c>
      <c r="F20" s="66">
        <v>0</v>
      </c>
      <c r="G20" s="66">
        <v>0</v>
      </c>
      <c r="H20" s="66">
        <v>0.36883700000000003</v>
      </c>
    </row>
    <row r="21" spans="1:8">
      <c r="A21" s="58" t="s">
        <v>318</v>
      </c>
      <c r="B21" s="66">
        <v>0.197384</v>
      </c>
      <c r="C21" s="66">
        <v>0.430728</v>
      </c>
      <c r="D21" s="66">
        <v>2.1821799999999998</v>
      </c>
      <c r="E21" s="66">
        <v>0</v>
      </c>
      <c r="F21" s="66">
        <v>5.7926099999999997E-4</v>
      </c>
      <c r="G21" s="66">
        <v>0</v>
      </c>
      <c r="H21" s="66">
        <v>3.2314799999999999</v>
      </c>
    </row>
    <row r="22" spans="1:8">
      <c r="A22" s="58" t="s">
        <v>319</v>
      </c>
      <c r="B22" s="66">
        <v>37.193600000000004</v>
      </c>
      <c r="C22" s="66">
        <v>11.7182</v>
      </c>
      <c r="D22" s="66">
        <v>0.31506000000000001</v>
      </c>
      <c r="E22" s="66">
        <v>0</v>
      </c>
      <c r="F22" s="66">
        <v>21.948599999999999</v>
      </c>
      <c r="G22" s="66">
        <v>0</v>
      </c>
      <c r="H22" s="66">
        <v>93.901300000000006</v>
      </c>
    </row>
    <row r="23" spans="1:8">
      <c r="A23" s="58" t="s">
        <v>320</v>
      </c>
      <c r="B23" s="66">
        <v>18.787199999999999</v>
      </c>
      <c r="C23" s="66">
        <v>4.7286599999999996</v>
      </c>
      <c r="D23" s="66">
        <v>0.25169599999999998</v>
      </c>
      <c r="E23" s="66">
        <v>0</v>
      </c>
      <c r="F23" s="66">
        <v>5.5382999999999996</v>
      </c>
      <c r="G23" s="66">
        <v>0</v>
      </c>
      <c r="H23" s="66">
        <v>23.599900000000002</v>
      </c>
    </row>
    <row r="24" spans="1:8">
      <c r="A24" s="58" t="s">
        <v>321</v>
      </c>
      <c r="B24" s="66">
        <v>2.3823099999999999E-3</v>
      </c>
      <c r="C24" s="66">
        <v>2.8481699999999999E-2</v>
      </c>
      <c r="D24" s="66">
        <v>11.955500000000001</v>
      </c>
      <c r="E24" s="66">
        <v>0</v>
      </c>
      <c r="F24" s="196">
        <v>2.8503599999999999E-5</v>
      </c>
      <c r="G24" s="66">
        <v>0</v>
      </c>
      <c r="H24" s="66">
        <v>0.34431299999999998</v>
      </c>
    </row>
    <row r="25" spans="1:8">
      <c r="A25" s="58" t="s">
        <v>322</v>
      </c>
      <c r="B25" s="66">
        <v>0.27474500000000002</v>
      </c>
      <c r="C25" s="66">
        <v>0.27015499999999998</v>
      </c>
      <c r="D25" s="66">
        <v>0.983294</v>
      </c>
      <c r="E25" s="66">
        <v>0</v>
      </c>
      <c r="F25" s="66">
        <v>6.5907999999999994E-2</v>
      </c>
      <c r="G25" s="66">
        <v>0</v>
      </c>
      <c r="H25" s="66">
        <v>1.61226</v>
      </c>
    </row>
    <row r="26" spans="1:8">
      <c r="A26" s="58" t="s">
        <v>323</v>
      </c>
      <c r="B26" s="66">
        <v>3.3810399999999999E-4</v>
      </c>
      <c r="C26" s="66">
        <v>3.8792599999999998E-3</v>
      </c>
      <c r="D26" s="66">
        <v>11.473599999999999</v>
      </c>
      <c r="E26" s="66">
        <v>0</v>
      </c>
      <c r="F26" s="66">
        <v>0</v>
      </c>
      <c r="G26" s="66">
        <v>0</v>
      </c>
      <c r="H26" s="66">
        <v>4.0805500000000001E-2</v>
      </c>
    </row>
    <row r="27" spans="1:8">
      <c r="A27" s="58" t="s">
        <v>324</v>
      </c>
      <c r="B27" s="196">
        <v>-3.2825599999999999E-6</v>
      </c>
      <c r="C27" s="66">
        <v>1.2213E-3</v>
      </c>
      <c r="D27" s="66">
        <v>-372.05799999999999</v>
      </c>
      <c r="E27" s="66">
        <v>0</v>
      </c>
      <c r="F27" s="66">
        <v>-8.2096900000000004E-3</v>
      </c>
      <c r="G27" s="66">
        <v>0</v>
      </c>
      <c r="H27" s="66">
        <v>9.28965E-3</v>
      </c>
    </row>
    <row r="28" spans="1:8">
      <c r="A28" s="58" t="s">
        <v>325</v>
      </c>
      <c r="B28" s="66">
        <v>2.9502E-2</v>
      </c>
      <c r="C28" s="66">
        <v>3.1859100000000001E-2</v>
      </c>
      <c r="D28" s="66">
        <v>1.0799000000000001</v>
      </c>
      <c r="E28" s="66">
        <v>0</v>
      </c>
      <c r="F28" s="66">
        <v>1.6275999999999999E-4</v>
      </c>
      <c r="G28" s="66">
        <v>0</v>
      </c>
      <c r="H28" s="66">
        <v>0.174147</v>
      </c>
    </row>
    <row r="29" spans="1:8">
      <c r="A29" s="58" t="s">
        <v>326</v>
      </c>
      <c r="B29" s="66">
        <v>71.114199999999997</v>
      </c>
      <c r="C29" s="66">
        <v>9.6889400000000006</v>
      </c>
      <c r="D29" s="66">
        <v>0.136245</v>
      </c>
      <c r="E29" s="66">
        <v>0</v>
      </c>
      <c r="F29" s="66">
        <v>50.420999999999999</v>
      </c>
      <c r="G29" s="66">
        <v>0</v>
      </c>
      <c r="H29" s="66">
        <v>97.968299999999999</v>
      </c>
    </row>
    <row r="30" spans="1:8">
      <c r="A30" s="58" t="s">
        <v>327</v>
      </c>
      <c r="B30" s="66">
        <v>29.508700000000001</v>
      </c>
      <c r="C30" s="66">
        <v>6.6129899999999999</v>
      </c>
      <c r="D30" s="66">
        <v>0.224103</v>
      </c>
      <c r="E30" s="66">
        <v>0</v>
      </c>
      <c r="F30" s="66">
        <v>7.3786399999999999</v>
      </c>
      <c r="G30" s="66">
        <v>0</v>
      </c>
      <c r="H30" s="66">
        <v>33.412700000000001</v>
      </c>
    </row>
    <row r="31" spans="1:8">
      <c r="A31" s="58" t="s">
        <v>328</v>
      </c>
      <c r="B31" s="66">
        <v>133.78700000000001</v>
      </c>
      <c r="C31" s="66">
        <v>40.131399999999999</v>
      </c>
      <c r="D31" s="66">
        <v>0.29996499999999998</v>
      </c>
      <c r="E31" s="66">
        <v>0</v>
      </c>
      <c r="F31" s="66">
        <v>22.117899999999999</v>
      </c>
      <c r="G31" s="66">
        <v>0</v>
      </c>
      <c r="H31" s="66">
        <v>182.20500000000001</v>
      </c>
    </row>
    <row r="32" spans="1:8">
      <c r="A32" s="58" t="s">
        <v>329</v>
      </c>
      <c r="B32" s="66">
        <v>0.21329500000000001</v>
      </c>
      <c r="C32" s="66">
        <v>7.9567600000000002E-2</v>
      </c>
      <c r="D32" s="66">
        <v>0.37304100000000001</v>
      </c>
      <c r="E32" s="66">
        <v>0.15</v>
      </c>
      <c r="F32" s="66">
        <v>5.5254900000000003E-2</v>
      </c>
      <c r="G32" s="66">
        <v>0.4</v>
      </c>
      <c r="H32" s="66">
        <v>0.446272</v>
      </c>
    </row>
    <row r="33" spans="1:8">
      <c r="A33" s="58" t="s">
        <v>330</v>
      </c>
      <c r="B33" s="66">
        <v>0.35468100000000002</v>
      </c>
      <c r="C33" s="66">
        <v>3.7553299999999998E-2</v>
      </c>
      <c r="D33" s="66">
        <v>0.105879</v>
      </c>
      <c r="E33" s="66">
        <v>0</v>
      </c>
      <c r="F33" s="66">
        <v>0.29574600000000001</v>
      </c>
      <c r="G33" s="66">
        <v>0</v>
      </c>
      <c r="H33" s="66">
        <v>0.43617299999999998</v>
      </c>
    </row>
    <row r="34" spans="1:8">
      <c r="A34" s="58" t="s">
        <v>331</v>
      </c>
      <c r="B34" s="66">
        <v>0.196767</v>
      </c>
      <c r="C34" s="66">
        <v>3.2149999999999998E-2</v>
      </c>
      <c r="D34" s="66">
        <v>0.16339100000000001</v>
      </c>
      <c r="E34" s="66">
        <v>0.1</v>
      </c>
      <c r="F34" s="66">
        <v>0.15239</v>
      </c>
      <c r="G34" s="66">
        <v>0.25</v>
      </c>
      <c r="H34" s="66">
        <v>0.33337600000000001</v>
      </c>
    </row>
    <row r="35" spans="1:8">
      <c r="A35" s="58" t="s">
        <v>332</v>
      </c>
      <c r="B35" s="66">
        <v>8.5587899999999995E-2</v>
      </c>
      <c r="C35" s="66">
        <v>2.1064200000000002E-2</v>
      </c>
      <c r="D35" s="66">
        <v>0.246112</v>
      </c>
      <c r="E35" s="66">
        <v>0</v>
      </c>
      <c r="F35" s="66">
        <v>4.8373300000000001E-2</v>
      </c>
      <c r="G35" s="66">
        <v>0</v>
      </c>
      <c r="H35" s="66">
        <v>0.165185</v>
      </c>
    </row>
    <row r="36" spans="1:8">
      <c r="A36" s="58" t="s">
        <v>333</v>
      </c>
      <c r="B36" s="66">
        <v>0.18493499999999999</v>
      </c>
      <c r="C36" s="66">
        <v>9.6795800000000001E-2</v>
      </c>
      <c r="D36" s="66">
        <v>0.52340399999999998</v>
      </c>
      <c r="E36" s="66">
        <v>0</v>
      </c>
      <c r="F36" s="66">
        <v>3.4597900000000001E-2</v>
      </c>
      <c r="G36" s="66">
        <v>0</v>
      </c>
      <c r="H36" s="66">
        <v>0.58695399999999998</v>
      </c>
    </row>
    <row r="37" spans="1:8">
      <c r="A37" s="58" t="s">
        <v>334</v>
      </c>
      <c r="B37" s="66">
        <v>0.32150000000000001</v>
      </c>
      <c r="C37" s="66">
        <v>8.7888599999999997E-2</v>
      </c>
      <c r="D37" s="66">
        <v>0.27337</v>
      </c>
      <c r="E37" s="66">
        <v>0.1</v>
      </c>
      <c r="F37" s="66">
        <v>2.77185E-2</v>
      </c>
      <c r="G37" s="66">
        <v>0.5</v>
      </c>
      <c r="H37" s="66">
        <v>0.32896700000000001</v>
      </c>
    </row>
    <row r="38" spans="1:8">
      <c r="A38" s="58" t="s">
        <v>335</v>
      </c>
      <c r="B38" s="66">
        <v>2.8855900000000001</v>
      </c>
      <c r="C38" s="66">
        <v>37.381999999999998</v>
      </c>
      <c r="D38" s="66">
        <v>12.954700000000001</v>
      </c>
      <c r="E38" s="66">
        <v>0</v>
      </c>
      <c r="F38" s="66">
        <v>-104.22499999999999</v>
      </c>
      <c r="G38" s="66">
        <v>0</v>
      </c>
      <c r="H38" s="66">
        <v>226.40600000000001</v>
      </c>
    </row>
    <row r="39" spans="1:8">
      <c r="A39" s="58" t="s">
        <v>336</v>
      </c>
      <c r="B39" s="66">
        <v>0.87575099999999995</v>
      </c>
      <c r="C39" s="66">
        <v>5.6824899999999996</v>
      </c>
      <c r="D39" s="66">
        <v>6.4886999999999997</v>
      </c>
      <c r="E39" s="66">
        <v>0</v>
      </c>
      <c r="F39" s="66">
        <v>-34.641599999999997</v>
      </c>
      <c r="G39" s="66">
        <v>0</v>
      </c>
      <c r="H39" s="66">
        <v>13.430199999999999</v>
      </c>
    </row>
    <row r="40" spans="1:8">
      <c r="A40" s="58" t="s">
        <v>337</v>
      </c>
      <c r="B40" s="66">
        <v>-0.299869</v>
      </c>
      <c r="C40" s="66">
        <v>1.0958000000000001</v>
      </c>
      <c r="D40" s="66">
        <v>-3.6542599999999998</v>
      </c>
      <c r="E40" s="66">
        <v>0</v>
      </c>
      <c r="F40" s="66">
        <v>-3.4843700000000002</v>
      </c>
      <c r="G40" s="66">
        <v>0</v>
      </c>
      <c r="H40" s="66">
        <v>1.5326900000000001</v>
      </c>
    </row>
    <row r="41" spans="1:8">
      <c r="A41" s="58" t="s">
        <v>338</v>
      </c>
      <c r="B41" s="66">
        <v>-3.81559E-2</v>
      </c>
      <c r="C41" s="66">
        <v>0.29562699999999997</v>
      </c>
      <c r="D41" s="66">
        <v>-7.7478699999999998</v>
      </c>
      <c r="E41" s="66">
        <v>0</v>
      </c>
      <c r="F41" s="66">
        <v>-0.95061700000000005</v>
      </c>
      <c r="G41" s="66">
        <v>0</v>
      </c>
      <c r="H41" s="66">
        <v>1</v>
      </c>
    </row>
    <row r="42" spans="1:8">
      <c r="A42" s="58" t="s">
        <v>339</v>
      </c>
      <c r="B42" s="66">
        <v>-2.93688E-2</v>
      </c>
      <c r="C42" s="66">
        <v>7.6881699999999997E-2</v>
      </c>
      <c r="D42" s="66">
        <v>-2.6177999999999999</v>
      </c>
      <c r="E42" s="66">
        <v>0</v>
      </c>
      <c r="F42" s="66">
        <v>-0.232464</v>
      </c>
      <c r="G42" s="66">
        <v>0</v>
      </c>
      <c r="H42" s="66">
        <v>0.18934200000000001</v>
      </c>
    </row>
    <row r="43" spans="1:8">
      <c r="A43" s="58" t="s">
        <v>340</v>
      </c>
      <c r="B43" s="66">
        <v>-3.3141400000000001E-2</v>
      </c>
      <c r="C43" s="66">
        <v>3.8873199999999997E-2</v>
      </c>
      <c r="D43" s="66">
        <v>-1.1729499999999999</v>
      </c>
      <c r="E43" s="66">
        <v>0</v>
      </c>
      <c r="F43" s="66">
        <v>-0.10799</v>
      </c>
      <c r="G43" s="66">
        <v>0</v>
      </c>
      <c r="H43" s="66">
        <v>4.7063000000000001E-2</v>
      </c>
    </row>
    <row r="44" spans="1:8">
      <c r="A44" s="58" t="s">
        <v>341</v>
      </c>
      <c r="B44" s="66">
        <v>-2.8253699999999999</v>
      </c>
      <c r="C44" s="66">
        <v>10.5467</v>
      </c>
      <c r="D44" s="66">
        <v>-3.73285</v>
      </c>
      <c r="E44" s="66">
        <v>0</v>
      </c>
      <c r="F44" s="66">
        <v>-32.251600000000003</v>
      </c>
      <c r="G44" s="66">
        <v>0</v>
      </c>
      <c r="H44" s="66">
        <v>17.270700000000001</v>
      </c>
    </row>
    <row r="45" spans="1:8">
      <c r="A45" s="58" t="s">
        <v>342</v>
      </c>
      <c r="B45" s="66">
        <v>41.9405</v>
      </c>
      <c r="C45" s="66">
        <v>6.5736999999999997</v>
      </c>
      <c r="D45" s="66">
        <v>0.15673899999999999</v>
      </c>
      <c r="E45" s="66">
        <v>0</v>
      </c>
      <c r="F45" s="66">
        <v>30.588000000000001</v>
      </c>
      <c r="G45" s="66">
        <v>0</v>
      </c>
      <c r="H45" s="66">
        <v>68.926599999999993</v>
      </c>
    </row>
    <row r="46" spans="1:8">
      <c r="A46" s="58" t="s">
        <v>343</v>
      </c>
      <c r="B46" s="66">
        <v>25.6142</v>
      </c>
      <c r="C46" s="66">
        <v>5.8503699999999998</v>
      </c>
      <c r="D46" s="66">
        <v>0.228404</v>
      </c>
      <c r="E46" s="66">
        <v>0</v>
      </c>
      <c r="F46" s="66">
        <v>5.2924499999999997</v>
      </c>
      <c r="G46" s="66">
        <v>0</v>
      </c>
      <c r="H46" s="66">
        <v>29.990200000000002</v>
      </c>
    </row>
    <row r="47" spans="1:8">
      <c r="A47" s="58" t="s">
        <v>344</v>
      </c>
      <c r="B47" s="66">
        <v>1.4412199999999999</v>
      </c>
      <c r="C47" s="66">
        <v>0.578318</v>
      </c>
      <c r="D47" s="66">
        <v>0.40126899999999999</v>
      </c>
      <c r="E47" s="66">
        <v>0</v>
      </c>
      <c r="F47" s="66">
        <v>0.56756099999999998</v>
      </c>
      <c r="G47" s="66">
        <v>0</v>
      </c>
      <c r="H47" s="66">
        <v>3.7430599999999998</v>
      </c>
    </row>
    <row r="48" spans="1:8">
      <c r="A48" s="58" t="s">
        <v>345</v>
      </c>
      <c r="B48" s="66">
        <v>1.6956199999999999</v>
      </c>
      <c r="C48" s="66">
        <v>0.32884600000000003</v>
      </c>
      <c r="D48" s="66">
        <v>0.193939</v>
      </c>
      <c r="E48" s="66">
        <v>0</v>
      </c>
      <c r="F48" s="66">
        <v>1.06548</v>
      </c>
      <c r="G48" s="66">
        <v>0</v>
      </c>
      <c r="H48" s="66">
        <v>2.25875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5.8498000000000019</v>
      </c>
      <c r="C5" s="66">
        <f>'M2'!C5-'M1'!C5</f>
        <v>-6.9291799999999997</v>
      </c>
      <c r="D5" s="66">
        <f>'M2'!D5-'M1'!D5</f>
        <v>-22.03227</v>
      </c>
      <c r="E5" s="66">
        <f>'M2'!E5-'M1'!E5</f>
        <v>0</v>
      </c>
      <c r="F5" s="66">
        <f>'M2'!F5-'M1'!F5</f>
        <v>25.689410000000002</v>
      </c>
      <c r="G5" s="66">
        <f>'M2'!G5-'M1'!G5</f>
        <v>0</v>
      </c>
      <c r="H5" s="66">
        <f>'M2'!H5-'M1'!H5</f>
        <v>3.3252999999999986</v>
      </c>
    </row>
    <row r="6" spans="1:8">
      <c r="A6" s="66" t="s">
        <v>244</v>
      </c>
      <c r="B6" s="66">
        <f>'M2'!B6-'M1'!B6</f>
        <v>-2.8335000000000008</v>
      </c>
      <c r="C6" s="66">
        <f>'M2'!C6-'M1'!C6</f>
        <v>0.29727000000000015</v>
      </c>
      <c r="D6" s="66">
        <f>'M2'!D6-'M1'!D6</f>
        <v>2.3185899999999995</v>
      </c>
      <c r="E6" s="66">
        <f>'M2'!E6-'M1'!E6</f>
        <v>0</v>
      </c>
      <c r="F6" s="66">
        <f>'M2'!F6-'M1'!F6</f>
        <v>-2.4451999999999998</v>
      </c>
      <c r="G6" s="66">
        <f>'M2'!G6-'M1'!G6</f>
        <v>0</v>
      </c>
      <c r="H6" s="66">
        <f>'M2'!H6-'M1'!H6</f>
        <v>-1.3491999999999997</v>
      </c>
    </row>
    <row r="7" spans="1:8">
      <c r="A7" s="66" t="s">
        <v>245</v>
      </c>
      <c r="B7" s="66">
        <f>'M2'!B7-'M1'!B7</f>
        <v>0.58940000000000126</v>
      </c>
      <c r="C7" s="66">
        <f>'M2'!C7-'M1'!C7</f>
        <v>2.109</v>
      </c>
      <c r="D7" s="66">
        <f>'M2'!D7-'M1'!D7</f>
        <v>8.8361999999999981</v>
      </c>
      <c r="E7" s="66">
        <f>'M2'!E7-'M1'!E7</f>
        <v>0</v>
      </c>
      <c r="F7" s="66">
        <f>'M2'!F7-'M1'!F7</f>
        <v>-3.4619099999999996</v>
      </c>
      <c r="G7" s="66">
        <f>'M2'!G7-'M1'!G7</f>
        <v>0</v>
      </c>
      <c r="H7" s="66">
        <f>'M2'!H7-'M1'!H7</f>
        <v>-6.7845000000000013</v>
      </c>
    </row>
    <row r="8" spans="1:8">
      <c r="A8" s="66" t="s">
        <v>246</v>
      </c>
      <c r="B8" s="66">
        <f>'M2'!B8-'M1'!B8</f>
        <v>1.9190000000000005</v>
      </c>
      <c r="C8" s="66">
        <f>'M2'!C8-'M1'!C8</f>
        <v>0.54202999999999957</v>
      </c>
      <c r="D8" s="66">
        <f>'M2'!D8-'M1'!D8</f>
        <v>1.2637099999999997</v>
      </c>
      <c r="E8" s="66">
        <f>'M2'!E8-'M1'!E8</f>
        <v>0</v>
      </c>
      <c r="F8" s="66">
        <f>'M2'!F8-'M1'!F8</f>
        <v>5.7550000000000026</v>
      </c>
      <c r="G8" s="66">
        <f>'M2'!G8-'M1'!G8</f>
        <v>0</v>
      </c>
      <c r="H8" s="66">
        <f>'M2'!H8-'M1'!H8</f>
        <v>4.7063999999999986</v>
      </c>
    </row>
    <row r="9" spans="1:8">
      <c r="A9" s="66" t="s">
        <v>247</v>
      </c>
      <c r="B9" s="66">
        <f>'M2'!B9-'M1'!B9</f>
        <v>0.31839999999999691</v>
      </c>
      <c r="C9" s="66">
        <f>'M2'!C9-'M1'!C9</f>
        <v>-0.21099999999999852</v>
      </c>
      <c r="D9" s="66">
        <f>'M2'!D9-'M1'!D9</f>
        <v>-0.37260000000000026</v>
      </c>
      <c r="E9" s="66">
        <f>'M2'!E9-'M1'!E9</f>
        <v>0</v>
      </c>
      <c r="F9" s="66">
        <f>'M2'!F9-'M1'!F9</f>
        <v>-4.9769000000000005</v>
      </c>
      <c r="G9" s="66">
        <f>'M2'!G9-'M1'!G9</f>
        <v>0</v>
      </c>
      <c r="H9" s="66">
        <f>'M2'!H9-'M1'!H9</f>
        <v>-4.3815999999999917</v>
      </c>
    </row>
    <row r="10" spans="1:8">
      <c r="A10" s="66" t="s">
        <v>248</v>
      </c>
      <c r="B10" s="66">
        <f>'M2'!B10-'M1'!B10</f>
        <v>-0.76099999999999568</v>
      </c>
      <c r="C10" s="66">
        <f>'M2'!C10-'M1'!C10</f>
        <v>-1.0114800000000002</v>
      </c>
      <c r="D10" s="66">
        <f>'M2'!D10-'M1'!D10</f>
        <v>-1.2077599999999999</v>
      </c>
      <c r="E10" s="66">
        <f>'M2'!E10-'M1'!E10</f>
        <v>0</v>
      </c>
      <c r="F10" s="66">
        <f>'M2'!F10-'M1'!F10</f>
        <v>-0.34269999999999357</v>
      </c>
      <c r="G10" s="66">
        <f>'M2'!G10-'M1'!G10</f>
        <v>0</v>
      </c>
      <c r="H10" s="66">
        <f>'M2'!H10-'M1'!H10</f>
        <v>-5.2643000000000058</v>
      </c>
    </row>
    <row r="11" spans="1:8">
      <c r="A11" s="66" t="s">
        <v>249</v>
      </c>
      <c r="B11" s="66">
        <f>'M2'!B11-'M1'!B11</f>
        <v>14.613400000000002</v>
      </c>
      <c r="C11" s="66">
        <f>'M2'!C11-'M1'!C11</f>
        <v>-4.9132300000000004</v>
      </c>
      <c r="D11" s="66">
        <f>'M2'!D11-'M1'!D11</f>
        <v>-32.048099999999998</v>
      </c>
      <c r="E11" s="66">
        <f>'M2'!E11-'M1'!E11</f>
        <v>0</v>
      </c>
      <c r="F11" s="66">
        <f>'M2'!F11-'M1'!F11</f>
        <v>18.376040000000003</v>
      </c>
      <c r="G11" s="66">
        <f>'M2'!G11-'M1'!G11</f>
        <v>0</v>
      </c>
      <c r="H11" s="66">
        <f>'M2'!H11-'M1'!H11</f>
        <v>0.709699999999998</v>
      </c>
    </row>
    <row r="12" spans="1:8">
      <c r="A12" s="66" t="s">
        <v>250</v>
      </c>
      <c r="B12" s="66">
        <f>'M2'!B12-'M1'!B12</f>
        <v>0.46120000000000516</v>
      </c>
      <c r="C12" s="66">
        <f>'M2'!C12-'M1'!C12</f>
        <v>-0.50660999999999934</v>
      </c>
      <c r="D12" s="66">
        <f>'M2'!D12-'M1'!D12</f>
        <v>-0.7272299999999996</v>
      </c>
      <c r="E12" s="66">
        <f>'M2'!E12-'M1'!E12</f>
        <v>0</v>
      </c>
      <c r="F12" s="66">
        <f>'M2'!F12-'M1'!F12</f>
        <v>-2.7091999999999956</v>
      </c>
      <c r="G12" s="66">
        <f>'M2'!G12-'M1'!G12</f>
        <v>0</v>
      </c>
      <c r="H12" s="66">
        <f>'M2'!H12-'M1'!H12</f>
        <v>-5.0127999999999986</v>
      </c>
    </row>
    <row r="13" spans="1:8">
      <c r="A13" s="66" t="s">
        <v>251</v>
      </c>
      <c r="B13" s="66">
        <f>'M2'!B13-'M1'!B13</f>
        <v>1.5077999999999996</v>
      </c>
      <c r="C13" s="66">
        <f>'M2'!C13-'M1'!C13</f>
        <v>1.6229100000000001</v>
      </c>
      <c r="D13" s="66">
        <f>'M2'!D13-'M1'!D13</f>
        <v>7.0652000000000008</v>
      </c>
      <c r="E13" s="66">
        <f>'M2'!E13-'M1'!E13</f>
        <v>0</v>
      </c>
      <c r="F13" s="66">
        <f>'M2'!F13-'M1'!F13</f>
        <v>0.61969999999999992</v>
      </c>
      <c r="G13" s="66">
        <f>'M2'!G13-'M1'!G13</f>
        <v>0</v>
      </c>
      <c r="H13" s="66">
        <f>'M2'!H13-'M1'!H13</f>
        <v>7.867600000000003</v>
      </c>
    </row>
    <row r="14" spans="1:8">
      <c r="A14" s="66" t="s">
        <v>252</v>
      </c>
      <c r="B14" s="66">
        <f>'M2'!B14-'M1'!B14</f>
        <v>16.229100000000003</v>
      </c>
      <c r="C14" s="66">
        <f>'M2'!C14-'M1'!C14</f>
        <v>3.8133100000000004</v>
      </c>
      <c r="D14" s="66">
        <f>'M2'!D14-'M1'!D14</f>
        <v>-2.5673999999999992</v>
      </c>
      <c r="E14" s="66">
        <f>'M2'!E14-'M1'!E14</f>
        <v>0</v>
      </c>
      <c r="F14" s="66">
        <f>'M2'!F14-'M1'!F14</f>
        <v>1.3279999999999959E-2</v>
      </c>
      <c r="G14" s="66">
        <f>'M2'!G14-'M1'!G14</f>
        <v>0</v>
      </c>
      <c r="H14" s="66">
        <f>'M2'!H14-'M1'!H14</f>
        <v>5.8799000000000028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-7.563299999999995E-2</v>
      </c>
      <c r="C18" s="66">
        <f>'M2'!C18-'M1'!C18</f>
        <v>0.113653</v>
      </c>
      <c r="D18" s="66">
        <f>'M2'!D18-'M1'!D18</f>
        <v>0.19648299999999999</v>
      </c>
      <c r="E18" s="66">
        <f>'M2'!E18-'M1'!E18</f>
        <v>0</v>
      </c>
      <c r="F18" s="66">
        <f>'M2'!F18-'M1'!F18</f>
        <v>0.46478399999999997</v>
      </c>
      <c r="G18" s="66">
        <f>'M2'!G18-'M1'!G18</f>
        <v>0</v>
      </c>
      <c r="H18" s="66">
        <f>'M2'!H18-'M1'!H18</f>
        <v>0.69209100000000001</v>
      </c>
    </row>
    <row r="19" spans="1:8">
      <c r="A19" s="66" t="s">
        <v>256</v>
      </c>
      <c r="B19" s="66">
        <f>'M2'!B19-'M1'!B19</f>
        <v>6.3691999999999971E-2</v>
      </c>
      <c r="C19" s="66">
        <f>'M2'!C19-'M1'!C19</f>
        <v>2.7054000000000002E-2</v>
      </c>
      <c r="D19" s="66">
        <f>'M2'!D19-'M1'!D19</f>
        <v>5.0857699999999999E-2</v>
      </c>
      <c r="E19" s="66">
        <f>'M2'!E19-'M1'!E19</f>
        <v>0</v>
      </c>
      <c r="F19" s="66">
        <f>'M2'!F19-'M1'!F19</f>
        <v>0.50490199999999996</v>
      </c>
      <c r="G19" s="66">
        <f>'M2'!G19-'M1'!G19</f>
        <v>0</v>
      </c>
      <c r="H19" s="66">
        <f>'M2'!H19-'M1'!H19</f>
        <v>0.55901000000000001</v>
      </c>
    </row>
    <row r="20" spans="1:8">
      <c r="A20" s="66" t="s">
        <v>63</v>
      </c>
      <c r="B20" s="66">
        <f>'M2'!B20-'M1'!B20</f>
        <v>-1.2377000000000048E-5</v>
      </c>
      <c r="C20" s="66">
        <f>'M2'!C20-'M1'!C20</f>
        <v>2.8665400000000001E-2</v>
      </c>
      <c r="D20" s="66">
        <f>'M2'!D20-'M1'!D20</f>
        <v>31.779700000000002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0.11070800000000003</v>
      </c>
    </row>
    <row r="21" spans="1:8">
      <c r="A21" s="66" t="s">
        <v>64</v>
      </c>
      <c r="B21" s="66">
        <f>'M2'!B21-'M1'!B21</f>
        <v>-1.4765E-2</v>
      </c>
      <c r="C21" s="66">
        <f>'M2'!C21-'M1'!C21</f>
        <v>0.26680099999999995</v>
      </c>
      <c r="D21" s="66">
        <f>'M2'!D21-'M1'!D21</f>
        <v>1.5060200000000001</v>
      </c>
      <c r="E21" s="66">
        <f>'M2'!E21-'M1'!E21</f>
        <v>0</v>
      </c>
      <c r="F21" s="66">
        <f>'M2'!F21-'M1'!F21</f>
        <v>5.7832589999999998E-3</v>
      </c>
      <c r="G21" s="66">
        <f>'M2'!G21-'M1'!G21</f>
        <v>0</v>
      </c>
      <c r="H21" s="66">
        <f>'M2'!H21-'M1'!H21</f>
        <v>1.8469799999999998</v>
      </c>
    </row>
    <row r="22" spans="1:8">
      <c r="A22" s="66" t="s">
        <v>65</v>
      </c>
      <c r="B22" s="66">
        <f>'M2'!B22-'M1'!B22</f>
        <v>2.1411999999999978</v>
      </c>
      <c r="C22" s="66">
        <f>'M2'!C22-'M1'!C22</f>
        <v>7.3525700000000001</v>
      </c>
      <c r="D22" s="66">
        <f>'M2'!D22-'M1'!D22</f>
        <v>0.18117200000000003</v>
      </c>
      <c r="E22" s="66">
        <f>'M2'!E22-'M1'!E22</f>
        <v>0</v>
      </c>
      <c r="F22" s="66">
        <f>'M2'!F22-'M1'!F22</f>
        <v>-2.6309000000000005</v>
      </c>
      <c r="G22" s="66">
        <f>'M2'!G22-'M1'!G22</f>
        <v>0</v>
      </c>
      <c r="H22" s="66">
        <f>'M2'!H22-'M1'!H22</f>
        <v>40.603800000000007</v>
      </c>
    </row>
    <row r="23" spans="1:8">
      <c r="A23" s="66" t="s">
        <v>66</v>
      </c>
      <c r="B23" s="66">
        <f>'M2'!B23-'M1'!B23</f>
        <v>7.2276999999999987</v>
      </c>
      <c r="C23" s="66">
        <f>'M2'!C23-'M1'!C23</f>
        <v>-2.2913300000000003</v>
      </c>
      <c r="D23" s="66">
        <f>'M2'!D23-'M1'!D23</f>
        <v>-0.2062388</v>
      </c>
      <c r="E23" s="66">
        <f>'M2'!E23-'M1'!E23</f>
        <v>0</v>
      </c>
      <c r="F23" s="66">
        <f>'M2'!F23-'M1'!F23</f>
        <v>13.057500000000001</v>
      </c>
      <c r="G23" s="66">
        <f>'M2'!G23-'M1'!G23</f>
        <v>0</v>
      </c>
      <c r="H23" s="66">
        <f>'M2'!H23-'M1'!H23</f>
        <v>4.2429000000000023</v>
      </c>
    </row>
    <row r="24" spans="1:8">
      <c r="A24" s="66" t="s">
        <v>67</v>
      </c>
      <c r="B24" s="66">
        <f>'M2'!B24-'M1'!B24</f>
        <v>1.0825299999999997E-3</v>
      </c>
      <c r="C24" s="66">
        <f>'M2'!C24-'M1'!C24</f>
        <v>2.8902980000000002E-2</v>
      </c>
      <c r="D24" s="66">
        <f>'M2'!D24-'M1'!D24</f>
        <v>7.8227000000000002</v>
      </c>
      <c r="E24" s="66">
        <f>'M2'!E24-'M1'!E24</f>
        <v>0</v>
      </c>
      <c r="F24" s="66">
        <f>'M2'!F24-'M1'!F24</f>
        <v>7.6220999999999994E-6</v>
      </c>
      <c r="G24" s="66">
        <f>'M2'!G24-'M1'!G24</f>
        <v>0</v>
      </c>
      <c r="H24" s="66">
        <f>'M2'!H24-'M1'!H24</f>
        <v>0.28982289999999999</v>
      </c>
    </row>
    <row r="25" spans="1:8">
      <c r="A25" s="66" t="s">
        <v>68</v>
      </c>
      <c r="B25" s="66">
        <f>'M2'!B25-'M1'!B25</f>
        <v>1.6716000000000009E-2</v>
      </c>
      <c r="C25" s="66">
        <f>'M2'!C25-'M1'!C25</f>
        <v>0.247726</v>
      </c>
      <c r="D25" s="66">
        <f>'M2'!D25-'M1'!D25</f>
        <v>0.84195799999999998</v>
      </c>
      <c r="E25" s="66">
        <f>'M2'!E25-'M1'!E25</f>
        <v>0</v>
      </c>
      <c r="F25" s="66">
        <f>'M2'!F25-'M1'!F25</f>
        <v>-3.0050400000000005E-2</v>
      </c>
      <c r="G25" s="66">
        <f>'M2'!G25-'M1'!G25</f>
        <v>0</v>
      </c>
      <c r="H25" s="66">
        <f>'M2'!H25-'M1'!H25</f>
        <v>1.067404</v>
      </c>
    </row>
    <row r="26" spans="1:8">
      <c r="A26" s="66" t="s">
        <v>69</v>
      </c>
      <c r="B26" s="66">
        <f>'M2'!B26-'M1'!B26</f>
        <v>-8.2069999999999843E-6</v>
      </c>
      <c r="C26" s="66">
        <f>'M2'!C26-'M1'!C26</f>
        <v>3.5177899999999998E-3</v>
      </c>
      <c r="D26" s="66">
        <f>'M2'!D26-'M1'!D26</f>
        <v>10.625229999999998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2.8377700000000002E-2</v>
      </c>
    </row>
    <row r="27" spans="1:8">
      <c r="A27" s="66" t="s">
        <v>70</v>
      </c>
      <c r="B27" s="66">
        <f>'M2'!B27-'M1'!B27</f>
        <v>0</v>
      </c>
      <c r="C27" s="66">
        <f>'M2'!C27-'M1'!C27</f>
        <v>5.0070500000000005E-4</v>
      </c>
      <c r="D27" s="66">
        <f>'M2'!D27-'M1'!D27</f>
        <v>-152.53399999999999</v>
      </c>
      <c r="E27" s="66">
        <f>'M2'!E27-'M1'!E27</f>
        <v>0</v>
      </c>
      <c r="F27" s="66">
        <f>'M2'!F27-'M1'!F27</f>
        <v>-3.6108200000000007E-3</v>
      </c>
      <c r="G27" s="66">
        <f>'M2'!G27-'M1'!G27</f>
        <v>0</v>
      </c>
      <c r="H27" s="66">
        <f>'M2'!H27-'M1'!H27</f>
        <v>1.8053999999999987E-4</v>
      </c>
    </row>
    <row r="28" spans="1:8">
      <c r="A28" s="66" t="s">
        <v>71</v>
      </c>
      <c r="B28" s="66">
        <f>'M2'!B28-'M1'!B28</f>
        <v>-1.3411000000000013E-3</v>
      </c>
      <c r="C28" s="66">
        <f>'M2'!C28-'M1'!C28</f>
        <v>1.2568599999999999E-2</v>
      </c>
      <c r="D28" s="66">
        <f>'M2'!D28-'M1'!D28</f>
        <v>0.47265699999999999</v>
      </c>
      <c r="E28" s="66">
        <f>'M2'!E28-'M1'!E28</f>
        <v>0</v>
      </c>
      <c r="F28" s="66">
        <f>'M2'!F28-'M1'!F28</f>
        <v>1.4518199999999999E-3</v>
      </c>
      <c r="G28" s="66">
        <f>'M2'!G28-'M1'!G28</f>
        <v>0</v>
      </c>
      <c r="H28" s="66">
        <f>'M2'!H28-'M1'!H28</f>
        <v>5.1956000000000002E-2</v>
      </c>
    </row>
    <row r="29" spans="1:8">
      <c r="A29" s="66" t="s">
        <v>72</v>
      </c>
      <c r="B29" s="66">
        <f>'M2'!B29-'M1'!B29</f>
        <v>1.5864999999999867</v>
      </c>
      <c r="C29" s="66">
        <f>'M2'!C29-'M1'!C29</f>
        <v>1.8573599999999999</v>
      </c>
      <c r="D29" s="66">
        <f>'M2'!D29-'M1'!D29</f>
        <v>2.3109000000000005E-2</v>
      </c>
      <c r="E29" s="66">
        <f>'M2'!E29-'M1'!E29</f>
        <v>0</v>
      </c>
      <c r="F29" s="66">
        <f>'M2'!F29-'M1'!F29</f>
        <v>-1.3072999999999979</v>
      </c>
      <c r="G29" s="66">
        <f>'M2'!G29-'M1'!G29</f>
        <v>0</v>
      </c>
      <c r="H29" s="66">
        <f>'M2'!H29-'M1'!H29</f>
        <v>1.4885000000000019</v>
      </c>
    </row>
    <row r="30" spans="1:8">
      <c r="A30" s="66" t="s">
        <v>73</v>
      </c>
      <c r="B30" s="66">
        <f>'M2'!B30-'M1'!B30</f>
        <v>7.8518000000000008</v>
      </c>
      <c r="C30" s="66">
        <f>'M2'!C30-'M1'!C30</f>
        <v>-5.4672299999999998</v>
      </c>
      <c r="D30" s="66">
        <f>'M2'!D30-'M1'!D30</f>
        <v>-0.25559009999999999</v>
      </c>
      <c r="E30" s="66">
        <f>'M2'!E30-'M1'!E30</f>
        <v>0</v>
      </c>
      <c r="F30" s="66">
        <f>'M2'!F30-'M1'!F30</f>
        <v>20.37846</v>
      </c>
      <c r="G30" s="66">
        <f>'M2'!G30-'M1'!G30</f>
        <v>0</v>
      </c>
      <c r="H30" s="66">
        <f>'M2'!H30-'M1'!H30</f>
        <v>2.3564000000000007</v>
      </c>
    </row>
    <row r="31" spans="1:8">
      <c r="A31" s="66" t="s">
        <v>74</v>
      </c>
      <c r="B31" s="66">
        <f>'M2'!B31-'M1'!B31</f>
        <v>65.634900000000016</v>
      </c>
      <c r="C31" s="66">
        <f>'M2'!C31-'M1'!C31</f>
        <v>-20.011879999999998</v>
      </c>
      <c r="D31" s="66">
        <f>'M2'!D31-'M1'!D31</f>
        <v>-0.2988113</v>
      </c>
      <c r="E31" s="66">
        <f>'M2'!E31-'M1'!E31</f>
        <v>0</v>
      </c>
      <c r="F31" s="66">
        <f>'M2'!F31-'M1'!F31</f>
        <v>107.8331</v>
      </c>
      <c r="G31" s="66">
        <f>'M2'!G31-'M1'!G31</f>
        <v>0</v>
      </c>
      <c r="H31" s="66">
        <f>'M2'!H31-'M1'!H31</f>
        <v>42.89500000000001</v>
      </c>
    </row>
    <row r="32" spans="1:8">
      <c r="A32" s="66" t="s">
        <v>75</v>
      </c>
      <c r="B32" s="66">
        <f>'M2'!B32-'M1'!B32</f>
        <v>5.8939999999999826E-3</v>
      </c>
      <c r="C32" s="66">
        <f>'M2'!C32-'M1'!C32</f>
        <v>2.1089999999999998E-2</v>
      </c>
      <c r="D32" s="66">
        <f>'M2'!D32-'M1'!D32</f>
        <v>8.8361999999999996E-2</v>
      </c>
      <c r="E32" s="66">
        <f>'M2'!E32-'M1'!E32</f>
        <v>0</v>
      </c>
      <c r="F32" s="66">
        <f>'M2'!F32-'M1'!F32</f>
        <v>-3.4619099999999993E-2</v>
      </c>
      <c r="G32" s="66">
        <f>'M2'!G32-'M1'!G32</f>
        <v>0</v>
      </c>
      <c r="H32" s="66">
        <f>'M2'!H32-'M1'!H32</f>
        <v>-6.7844999999999989E-2</v>
      </c>
    </row>
    <row r="33" spans="1:8">
      <c r="A33" s="66" t="s">
        <v>76</v>
      </c>
      <c r="B33" s="66">
        <f>'M2'!B33-'M1'!B33</f>
        <v>-2.8590000000000004E-2</v>
      </c>
      <c r="C33" s="66">
        <f>'M2'!C33-'M1'!C33</f>
        <v>2.1888299999999996E-2</v>
      </c>
      <c r="D33" s="66">
        <f>'M2'!D33-'M1'!D33</f>
        <v>7.0271200000000006E-2</v>
      </c>
      <c r="E33" s="66">
        <f>'M2'!E33-'M1'!E33</f>
        <v>0</v>
      </c>
      <c r="F33" s="66">
        <f>'M2'!F33-'M1'!F33</f>
        <v>-4.9711999999999978E-2</v>
      </c>
      <c r="G33" s="66">
        <f>'M2'!G33-'M1'!G33</f>
        <v>0</v>
      </c>
      <c r="H33" s="66">
        <f>'M2'!H33-'M1'!H33</f>
        <v>1.3232999999999995E-2</v>
      </c>
    </row>
    <row r="34" spans="1:8">
      <c r="A34" s="66" t="s">
        <v>77</v>
      </c>
      <c r="B34" s="66">
        <f>'M2'!B34-'M1'!B34</f>
        <v>1.507799999999998E-2</v>
      </c>
      <c r="C34" s="66">
        <f>'M2'!C34-'M1'!C34</f>
        <v>1.62291E-2</v>
      </c>
      <c r="D34" s="66">
        <f>'M2'!D34-'M1'!D34</f>
        <v>7.0652000000000006E-2</v>
      </c>
      <c r="E34" s="66">
        <f>'M2'!E34-'M1'!E34</f>
        <v>0</v>
      </c>
      <c r="F34" s="66">
        <f>'M2'!F34-'M1'!F34</f>
        <v>6.1970000000000081E-3</v>
      </c>
      <c r="G34" s="66">
        <f>'M2'!G34-'M1'!G34</f>
        <v>0</v>
      </c>
      <c r="H34" s="66">
        <f>'M2'!H34-'M1'!H34</f>
        <v>7.8676000000000024E-2</v>
      </c>
    </row>
    <row r="35" spans="1:8">
      <c r="A35" s="66" t="s">
        <v>78</v>
      </c>
      <c r="B35" s="66">
        <f>'M2'!B35-'M1'!B35</f>
        <v>-6.0530000000000028E-3</v>
      </c>
      <c r="C35" s="66">
        <f>'M2'!C35-'M1'!C35</f>
        <v>3.9099000000000009E-3</v>
      </c>
      <c r="D35" s="66">
        <f>'M2'!D35-'M1'!D35</f>
        <v>6.3067999999999985E-2</v>
      </c>
      <c r="E35" s="66">
        <f>'M2'!E35-'M1'!E35</f>
        <v>0</v>
      </c>
      <c r="F35" s="66">
        <f>'M2'!F35-'M1'!F35</f>
        <v>2.4220000000000005E-3</v>
      </c>
      <c r="G35" s="66">
        <f>'M2'!G35-'M1'!G35</f>
        <v>0</v>
      </c>
      <c r="H35" s="66">
        <f>'M2'!H35-'M1'!H35</f>
        <v>3.2417000000000001E-2</v>
      </c>
    </row>
    <row r="36" spans="1:8">
      <c r="A36" s="66" t="s">
        <v>79</v>
      </c>
      <c r="B36" s="66">
        <f>'M2'!B36-'M1'!B36</f>
        <v>1.7849000000000004E-2</v>
      </c>
      <c r="C36" s="66">
        <f>'M2'!C36-'M1'!C36</f>
        <v>7.1554999999999952E-3</v>
      </c>
      <c r="D36" s="66">
        <f>'M2'!D36-'M1'!D36</f>
        <v>-1.2031000000000014E-2</v>
      </c>
      <c r="E36" s="66">
        <f>'M2'!E36-'M1'!E36</f>
        <v>0</v>
      </c>
      <c r="F36" s="66">
        <f>'M2'!F36-'M1'!F36</f>
        <v>1.1213300000000002E-2</v>
      </c>
      <c r="G36" s="66">
        <f>'M2'!G36-'M1'!G36</f>
        <v>0</v>
      </c>
      <c r="H36" s="66">
        <f>'M2'!H36-'M1'!H36</f>
        <v>0.11297099999999999</v>
      </c>
    </row>
    <row r="37" spans="1:8">
      <c r="A37" s="66" t="s">
        <v>80</v>
      </c>
      <c r="B37" s="66">
        <f>'M2'!B37-'M1'!B37</f>
        <v>0.16229099999999999</v>
      </c>
      <c r="C37" s="66">
        <f>'M2'!C37-'M1'!C37</f>
        <v>3.8133099999999989E-2</v>
      </c>
      <c r="D37" s="66">
        <f>'M2'!D37-'M1'!D37</f>
        <v>-2.5673999999999975E-2</v>
      </c>
      <c r="E37" s="66">
        <f>'M2'!E37-'M1'!E37</f>
        <v>0</v>
      </c>
      <c r="F37" s="66">
        <f>'M2'!F37-'M1'!F37</f>
        <v>1.3279999999999889E-4</v>
      </c>
      <c r="G37" s="66">
        <f>'M2'!G37-'M1'!G37</f>
        <v>0</v>
      </c>
      <c r="H37" s="66">
        <f>'M2'!H37-'M1'!H37</f>
        <v>5.879899999999999E-2</v>
      </c>
    </row>
    <row r="38" spans="1:8">
      <c r="A38" s="66" t="s">
        <v>81</v>
      </c>
      <c r="B38" s="66">
        <f>'M2'!B38-'M1'!B38</f>
        <v>-2.79108</v>
      </c>
      <c r="C38" s="66">
        <f>'M2'!C38-'M1'!C38</f>
        <v>4.9950999999999937</v>
      </c>
      <c r="D38" s="66">
        <f>'M2'!D38-'M1'!D38</f>
        <v>23.78302</v>
      </c>
      <c r="E38" s="66">
        <f>'M2'!E38-'M1'!E38</f>
        <v>0</v>
      </c>
      <c r="F38" s="66">
        <f>'M2'!F38-'M1'!F38</f>
        <v>-12.939099999999996</v>
      </c>
      <c r="G38" s="66">
        <f>'M2'!G38-'M1'!G38</f>
        <v>0</v>
      </c>
      <c r="H38" s="66">
        <f>'M2'!H38-'M1'!H38</f>
        <v>119.68700000000001</v>
      </c>
    </row>
    <row r="39" spans="1:8">
      <c r="A39" s="66" t="s">
        <v>82</v>
      </c>
      <c r="B39" s="66">
        <f>'M2'!B39-'M1'!B39</f>
        <v>-2.01566</v>
      </c>
      <c r="C39" s="66">
        <f>'M2'!C39-'M1'!C39</f>
        <v>2.4652499999999993</v>
      </c>
      <c r="D39" s="66">
        <f>'M2'!D39-'M1'!D39</f>
        <v>-40.012949999999996</v>
      </c>
      <c r="E39" s="66">
        <f>'M2'!E39-'M1'!E39</f>
        <v>0</v>
      </c>
      <c r="F39" s="66">
        <f>'M2'!F39-'M1'!F39</f>
        <v>-28.486589999999996</v>
      </c>
      <c r="G39" s="66">
        <f>'M2'!G39-'M1'!G39</f>
        <v>0</v>
      </c>
      <c r="H39" s="66">
        <f>'M2'!H39-'M1'!H39</f>
        <v>-8.2530699999999992</v>
      </c>
    </row>
    <row r="40" spans="1:8">
      <c r="A40" s="66" t="s">
        <v>83</v>
      </c>
      <c r="B40" s="66">
        <f>'M2'!B40-'M1'!B40</f>
        <v>-0.60668100000000003</v>
      </c>
      <c r="C40" s="66">
        <f>'M2'!C40-'M1'!C40</f>
        <v>0.90354499999999982</v>
      </c>
      <c r="D40" s="66">
        <f>'M2'!D40-'M1'!D40</f>
        <v>0.76313999999999993</v>
      </c>
      <c r="E40" s="66">
        <f>'M2'!E40-'M1'!E40</f>
        <v>0</v>
      </c>
      <c r="F40" s="66">
        <f>'M2'!F40-'M1'!F40</f>
        <v>-2.7243330000000001</v>
      </c>
      <c r="G40" s="66">
        <f>'M2'!G40-'M1'!G40</f>
        <v>0</v>
      </c>
      <c r="H40" s="66">
        <f>'M2'!H40-'M1'!H40</f>
        <v>0.2323900000000001</v>
      </c>
    </row>
    <row r="41" spans="1:8">
      <c r="A41" s="66" t="s">
        <v>84</v>
      </c>
      <c r="B41" s="66">
        <f>'M2'!B41-'M1'!B41</f>
        <v>-2.0825900000000001E-2</v>
      </c>
      <c r="C41" s="66">
        <f>'M2'!C41-'M1'!C41</f>
        <v>-2.7199999999999447E-4</v>
      </c>
      <c r="D41" s="66">
        <f>'M2'!D41-'M1'!D41</f>
        <v>4.9476100000000001</v>
      </c>
      <c r="E41" s="66">
        <f>'M2'!E41-'M1'!E41</f>
        <v>0</v>
      </c>
      <c r="F41" s="66">
        <f>'M2'!F41-'M1'!F41</f>
        <v>3.4887000000000001E-2</v>
      </c>
      <c r="G41" s="66">
        <f>'M2'!G41-'M1'!G41</f>
        <v>0</v>
      </c>
      <c r="H41" s="66">
        <f>'M2'!H41-'M1'!H41</f>
        <v>0.26725100000000002</v>
      </c>
    </row>
    <row r="42" spans="1:8">
      <c r="A42" s="66" t="s">
        <v>85</v>
      </c>
      <c r="B42" s="66">
        <f>'M2'!B42-'M1'!B42</f>
        <v>-2.6998200000000003E-2</v>
      </c>
      <c r="C42" s="66">
        <f>'M2'!C42-'M1'!C42</f>
        <v>-2.880060000000001E-2</v>
      </c>
      <c r="D42" s="66">
        <f>'M2'!D42-'M1'!D42</f>
        <v>4.249130000000001</v>
      </c>
      <c r="E42" s="66">
        <f>'M2'!E42-'M1'!E42</f>
        <v>0</v>
      </c>
      <c r="F42" s="66">
        <f>'M2'!F42-'M1'!F42</f>
        <v>-6.6203000000000012E-2</v>
      </c>
      <c r="G42" s="66">
        <f>'M2'!G42-'M1'!G42</f>
        <v>0</v>
      </c>
      <c r="H42" s="66">
        <f>'M2'!H42-'M1'!H42</f>
        <v>-2.1478999999999998E-2</v>
      </c>
    </row>
    <row r="43" spans="1:8">
      <c r="A43" s="66" t="s">
        <v>86</v>
      </c>
      <c r="B43" s="66">
        <f>'M2'!B43-'M1'!B43</f>
        <v>4.19415E-2</v>
      </c>
      <c r="C43" s="66">
        <f>'M2'!C43-'M1'!C43</f>
        <v>9.1689000000000007E-3</v>
      </c>
      <c r="D43" s="66">
        <f>'M2'!D43-'M1'!D43</f>
        <v>-2.1667079999999999</v>
      </c>
      <c r="E43" s="66">
        <f>'M2'!E43-'M1'!E43</f>
        <v>0</v>
      </c>
      <c r="F43" s="66">
        <f>'M2'!F43-'M1'!F43</f>
        <v>-2.15008E-2</v>
      </c>
      <c r="G43" s="66">
        <f>'M2'!G43-'M1'!G43</f>
        <v>0</v>
      </c>
      <c r="H43" s="66">
        <f>'M2'!H43-'M1'!H43</f>
        <v>8.9720000000000008E-3</v>
      </c>
    </row>
    <row r="44" spans="1:8">
      <c r="A44" s="66" t="s">
        <v>87</v>
      </c>
      <c r="B44" s="66">
        <f>'M2'!B44-'M1'!B44</f>
        <v>-13.557659999999998</v>
      </c>
      <c r="C44" s="66">
        <f>'M2'!C44-'M1'!C44</f>
        <v>1.6018799999999995</v>
      </c>
      <c r="D44" s="66">
        <f>'M2'!D44-'M1'!D44</f>
        <v>-2.4241999999999999</v>
      </c>
      <c r="E44" s="66">
        <f>'M2'!E44-'M1'!E44</f>
        <v>0</v>
      </c>
      <c r="F44" s="66">
        <f>'M2'!F44-'M1'!F44</f>
        <v>-15.672300000000003</v>
      </c>
      <c r="G44" s="66">
        <f>'M2'!G44-'M1'!G44</f>
        <v>0</v>
      </c>
      <c r="H44" s="66">
        <f>'M2'!H44-'M1'!H44</f>
        <v>-9.4839600000000015</v>
      </c>
    </row>
    <row r="45" spans="1:8">
      <c r="A45" s="66" t="s">
        <v>88</v>
      </c>
      <c r="B45" s="66">
        <f>'M2'!B45-'M1'!B45</f>
        <v>-3.3643000000000001</v>
      </c>
      <c r="C45" s="66">
        <f>'M2'!C45-'M1'!C45</f>
        <v>0.93254000000000037</v>
      </c>
      <c r="D45" s="66">
        <f>'M2'!D45-'M1'!D45</f>
        <v>3.4954000000000013E-2</v>
      </c>
      <c r="E45" s="66">
        <f>'M2'!E45-'M1'!E45</f>
        <v>0</v>
      </c>
      <c r="F45" s="66">
        <f>'M2'!F45-'M1'!F45</f>
        <v>4.4299999999999784E-2</v>
      </c>
      <c r="G45" s="66">
        <f>'M2'!G45-'M1'!G45</f>
        <v>0</v>
      </c>
      <c r="H45" s="66">
        <f>'M2'!H45-'M1'!H45</f>
        <v>9.9019999999999939</v>
      </c>
    </row>
    <row r="46" spans="1:8">
      <c r="A46" s="66" t="s">
        <v>89</v>
      </c>
      <c r="B46" s="66">
        <f>'M2'!B46-'M1'!B46</f>
        <v>2.0020999999999987</v>
      </c>
      <c r="C46" s="66">
        <f>'M2'!C46-'M1'!C46</f>
        <v>-4.9217000000000004</v>
      </c>
      <c r="D46" s="66">
        <f>'M2'!D46-'M1'!D46</f>
        <v>-0.20540400000000003</v>
      </c>
      <c r="E46" s="66">
        <f>'M2'!E46-'M1'!E46</f>
        <v>0</v>
      </c>
      <c r="F46" s="66">
        <f>'M2'!F46-'M1'!F46</f>
        <v>18.524450000000002</v>
      </c>
      <c r="G46" s="66">
        <f>'M2'!G46-'M1'!G46</f>
        <v>0</v>
      </c>
      <c r="H46" s="66">
        <f>'M2'!H46-'M1'!H46</f>
        <v>1.7003000000000021</v>
      </c>
    </row>
    <row r="47" spans="1:8">
      <c r="A47" s="66" t="s">
        <v>90</v>
      </c>
      <c r="B47" s="66">
        <f>'M2'!B47-'M1'!B47</f>
        <v>-2.3519999999999985E-2</v>
      </c>
      <c r="C47" s="66">
        <f>'M2'!C47-'M1'!C47</f>
        <v>0.12490900000000005</v>
      </c>
      <c r="D47" s="66">
        <f>'M2'!D47-'M1'!D47</f>
        <v>9.2824000000000018E-2</v>
      </c>
      <c r="E47" s="66">
        <f>'M2'!E47-'M1'!E47</f>
        <v>0</v>
      </c>
      <c r="F47" s="66">
        <f>'M2'!F47-'M1'!F47</f>
        <v>-2.0295999999999981E-2</v>
      </c>
      <c r="G47" s="66">
        <f>'M2'!G47-'M1'!G47</f>
        <v>0</v>
      </c>
      <c r="H47" s="66">
        <f>'M2'!H47-'M1'!H47</f>
        <v>0.19382999999999972</v>
      </c>
    </row>
    <row r="48" spans="1:8">
      <c r="A48" s="66" t="s">
        <v>91</v>
      </c>
      <c r="B48" s="66">
        <f>'M2'!B48-'M1'!B48</f>
        <v>0.2587299999999999</v>
      </c>
      <c r="C48" s="66">
        <f>'M2'!C48-'M1'!C48</f>
        <v>-1.8079000000000012E-2</v>
      </c>
      <c r="D48" s="66">
        <f>'M2'!D48-'M1'!D48</f>
        <v>-3.8411000000000001E-2</v>
      </c>
      <c r="E48" s="66">
        <f>'M2'!E48-'M1'!E48</f>
        <v>0</v>
      </c>
      <c r="F48" s="66">
        <f>'M2'!F48-'M1'!F48</f>
        <v>5.2489999999999926E-2</v>
      </c>
      <c r="G48" s="66">
        <f>'M2'!G48-'M1'!G48</f>
        <v>0</v>
      </c>
      <c r="H48" s="66">
        <f>'M2'!H48-'M1'!H48</f>
        <v>-2.1000000000004349E-4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33.546599999999998</v>
      </c>
      <c r="C5" s="66">
        <v>10.0397</v>
      </c>
      <c r="D5" s="66">
        <v>29.927700000000002</v>
      </c>
      <c r="E5" s="66">
        <v>20</v>
      </c>
      <c r="F5" s="66">
        <v>7.8054899999999998</v>
      </c>
      <c r="G5" s="66">
        <v>50</v>
      </c>
      <c r="H5" s="66">
        <v>43.644300000000001</v>
      </c>
    </row>
    <row r="6" spans="1:8">
      <c r="A6" s="66" t="s">
        <v>358</v>
      </c>
      <c r="B6" s="66">
        <v>23.289000000000001</v>
      </c>
      <c r="C6" s="66">
        <v>1.4549099999999999</v>
      </c>
      <c r="D6" s="66">
        <v>6.2472099999999999</v>
      </c>
      <c r="E6" s="66">
        <v>20</v>
      </c>
      <c r="F6" s="66">
        <v>20.562899999999999</v>
      </c>
      <c r="G6" s="66">
        <v>40</v>
      </c>
      <c r="H6" s="66">
        <v>25.430099999999999</v>
      </c>
    </row>
    <row r="7" spans="1:8">
      <c r="A7" s="66" t="s">
        <v>359</v>
      </c>
      <c r="B7" s="66">
        <v>21.134799999999998</v>
      </c>
      <c r="C7" s="66">
        <v>6.7918900000000004</v>
      </c>
      <c r="D7" s="66">
        <v>32.136099999999999</v>
      </c>
      <c r="E7" s="66">
        <v>15</v>
      </c>
      <c r="F7" s="66">
        <v>8.9873999999999992</v>
      </c>
      <c r="G7" s="66">
        <v>40</v>
      </c>
      <c r="H7" s="66">
        <v>44.627200000000002</v>
      </c>
    </row>
    <row r="8" spans="1:8">
      <c r="A8" s="66" t="s">
        <v>360</v>
      </c>
      <c r="B8" s="66">
        <v>25.987300000000001</v>
      </c>
      <c r="C8" s="66">
        <v>2.5647700000000002</v>
      </c>
      <c r="D8" s="66">
        <v>9.8692899999999995</v>
      </c>
      <c r="E8" s="66">
        <v>20</v>
      </c>
      <c r="F8" s="66">
        <v>16.399999999999999</v>
      </c>
      <c r="G8" s="66">
        <v>50</v>
      </c>
      <c r="H8" s="66">
        <v>29.703900000000001</v>
      </c>
    </row>
    <row r="9" spans="1:8">
      <c r="A9" s="66" t="s">
        <v>361</v>
      </c>
      <c r="B9" s="66">
        <v>66.848799999999997</v>
      </c>
      <c r="C9" s="66">
        <v>8.2543799999999994</v>
      </c>
      <c r="D9" s="66">
        <v>12.347799999999999</v>
      </c>
      <c r="E9" s="66">
        <v>50</v>
      </c>
      <c r="F9" s="66">
        <v>53.633200000000002</v>
      </c>
      <c r="G9" s="66">
        <v>100</v>
      </c>
      <c r="H9" s="66">
        <v>87.458399999999997</v>
      </c>
    </row>
    <row r="10" spans="1:8">
      <c r="A10" s="66" t="s">
        <v>362</v>
      </c>
      <c r="B10" s="66">
        <v>82.276899999999998</v>
      </c>
      <c r="C10" s="66">
        <v>2.9147500000000002</v>
      </c>
      <c r="D10" s="66">
        <v>3.5426099999999998</v>
      </c>
      <c r="E10" s="66">
        <v>40</v>
      </c>
      <c r="F10" s="66">
        <v>77.618799999999993</v>
      </c>
      <c r="G10" s="66">
        <v>100</v>
      </c>
      <c r="H10" s="66">
        <v>88.058700000000002</v>
      </c>
    </row>
    <row r="11" spans="1:8">
      <c r="A11" s="66" t="s">
        <v>363</v>
      </c>
      <c r="B11" s="66">
        <v>20.0791</v>
      </c>
      <c r="C11" s="66">
        <v>8.5258599999999998</v>
      </c>
      <c r="D11" s="66">
        <v>42.461399999999998</v>
      </c>
      <c r="E11" s="66">
        <v>10</v>
      </c>
      <c r="F11" s="66">
        <v>6.2041599999999999</v>
      </c>
      <c r="G11" s="66">
        <v>50</v>
      </c>
      <c r="H11" s="66">
        <v>36.4923</v>
      </c>
    </row>
    <row r="12" spans="1:8">
      <c r="A12" s="66" t="s">
        <v>364</v>
      </c>
      <c r="B12" s="66">
        <v>73.354399999999998</v>
      </c>
      <c r="C12" s="66">
        <v>4.8030799999999996</v>
      </c>
      <c r="D12" s="66">
        <v>6.5477699999999999</v>
      </c>
      <c r="E12" s="66">
        <v>50</v>
      </c>
      <c r="F12" s="66">
        <v>68.1738</v>
      </c>
      <c r="G12" s="66">
        <v>100</v>
      </c>
      <c r="H12" s="66">
        <v>86.742199999999997</v>
      </c>
    </row>
    <row r="13" spans="1:8">
      <c r="A13" s="66" t="s">
        <v>365</v>
      </c>
      <c r="B13" s="66">
        <v>18.995200000000001</v>
      </c>
      <c r="C13" s="66">
        <v>2.1960600000000001</v>
      </c>
      <c r="D13" s="66">
        <v>11.561199999999999</v>
      </c>
      <c r="E13" s="66">
        <v>10</v>
      </c>
      <c r="F13" s="66">
        <v>15.239000000000001</v>
      </c>
      <c r="G13" s="66">
        <v>25</v>
      </c>
      <c r="H13" s="66">
        <v>25.47</v>
      </c>
    </row>
    <row r="14" spans="1:8">
      <c r="A14" s="66" t="s">
        <v>366</v>
      </c>
      <c r="B14" s="66">
        <v>21.960599999999999</v>
      </c>
      <c r="C14" s="66">
        <v>6.4867900000000001</v>
      </c>
      <c r="D14" s="66">
        <v>29.5382</v>
      </c>
      <c r="E14" s="66">
        <v>10</v>
      </c>
      <c r="F14" s="66">
        <v>2.7718500000000001</v>
      </c>
      <c r="G14" s="66">
        <v>50</v>
      </c>
      <c r="H14" s="66">
        <v>27.0168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0.65407099999999996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0.46826400000000001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9.2136400000000004E-4</v>
      </c>
      <c r="C20" s="66">
        <v>1.6521500000000001E-2</v>
      </c>
      <c r="D20" s="66">
        <v>17.9316</v>
      </c>
      <c r="E20" s="66">
        <v>0</v>
      </c>
      <c r="F20" s="66">
        <v>0</v>
      </c>
      <c r="G20" s="66">
        <v>0</v>
      </c>
      <c r="H20" s="66">
        <v>0.258129</v>
      </c>
    </row>
    <row r="21" spans="1:8">
      <c r="A21" s="66" t="s">
        <v>373</v>
      </c>
      <c r="B21" s="66">
        <v>0.20499000000000001</v>
      </c>
      <c r="C21" s="66">
        <v>0.27323900000000001</v>
      </c>
      <c r="D21" s="66">
        <v>1.33294</v>
      </c>
      <c r="E21" s="66">
        <v>0</v>
      </c>
      <c r="F21" s="66">
        <v>5.7926099999999997E-4</v>
      </c>
      <c r="G21" s="66">
        <v>0</v>
      </c>
      <c r="H21" s="66">
        <v>1.3845000000000001</v>
      </c>
    </row>
    <row r="22" spans="1:8">
      <c r="A22" s="66" t="s">
        <v>374</v>
      </c>
      <c r="B22" s="66">
        <v>36.050600000000003</v>
      </c>
      <c r="C22" s="66">
        <v>7.2953299999999999</v>
      </c>
      <c r="D22" s="66">
        <v>0.20236299999999999</v>
      </c>
      <c r="E22" s="66">
        <v>0</v>
      </c>
      <c r="F22" s="66">
        <v>24.579499999999999</v>
      </c>
      <c r="G22" s="66">
        <v>0</v>
      </c>
      <c r="H22" s="66">
        <v>53.297499999999999</v>
      </c>
    </row>
    <row r="23" spans="1:8">
      <c r="A23" s="66" t="s">
        <v>375</v>
      </c>
      <c r="B23" s="66">
        <v>13.8063</v>
      </c>
      <c r="C23" s="66">
        <v>3.9096000000000002</v>
      </c>
      <c r="D23" s="66">
        <v>0.28317500000000001</v>
      </c>
      <c r="E23" s="66">
        <v>0</v>
      </c>
      <c r="F23" s="66">
        <v>5.5382999999999996</v>
      </c>
      <c r="G23" s="66">
        <v>0</v>
      </c>
      <c r="H23" s="66">
        <v>19.356999999999999</v>
      </c>
    </row>
    <row r="24" spans="1:8">
      <c r="A24" s="66" t="s">
        <v>376</v>
      </c>
      <c r="B24" s="66">
        <v>1.9056800000000001E-3</v>
      </c>
      <c r="C24" s="66">
        <v>9.7298200000000001E-3</v>
      </c>
      <c r="D24" s="66">
        <v>5.1056999999999997</v>
      </c>
      <c r="E24" s="66">
        <v>0</v>
      </c>
      <c r="F24" s="196">
        <v>2.8503599999999999E-5</v>
      </c>
      <c r="G24" s="66">
        <v>0</v>
      </c>
      <c r="H24" s="66">
        <v>5.44901E-2</v>
      </c>
    </row>
    <row r="25" spans="1:8">
      <c r="A25" s="66" t="s">
        <v>377</v>
      </c>
      <c r="B25" s="66">
        <v>0.269453</v>
      </c>
      <c r="C25" s="66">
        <v>0.10936899999999999</v>
      </c>
      <c r="D25" s="66">
        <v>0.40589199999999998</v>
      </c>
      <c r="E25" s="66">
        <v>0</v>
      </c>
      <c r="F25" s="66">
        <v>9.5958399999999999E-2</v>
      </c>
      <c r="G25" s="66">
        <v>0</v>
      </c>
      <c r="H25" s="66">
        <v>0.54485600000000001</v>
      </c>
    </row>
    <row r="26" spans="1:8">
      <c r="A26" s="66" t="s">
        <v>378</v>
      </c>
      <c r="B26" s="66">
        <v>3.43028E-4</v>
      </c>
      <c r="C26" s="66">
        <v>1.6620300000000001E-3</v>
      </c>
      <c r="D26" s="66">
        <v>4.8451700000000004</v>
      </c>
      <c r="E26" s="66">
        <v>0</v>
      </c>
      <c r="F26" s="66">
        <v>0</v>
      </c>
      <c r="G26" s="66">
        <v>0</v>
      </c>
      <c r="H26" s="66">
        <v>1.2427799999999999E-2</v>
      </c>
    </row>
    <row r="27" spans="1:8">
      <c r="A27" s="66" t="s">
        <v>379</v>
      </c>
      <c r="B27" s="196">
        <v>-3.2825599999999999E-6</v>
      </c>
      <c r="C27" s="66">
        <v>9.45435E-4</v>
      </c>
      <c r="D27" s="66">
        <v>-288.017</v>
      </c>
      <c r="E27" s="66">
        <v>0</v>
      </c>
      <c r="F27" s="66">
        <v>-4.5988699999999997E-3</v>
      </c>
      <c r="G27" s="66">
        <v>0</v>
      </c>
      <c r="H27" s="66">
        <v>9.1091100000000001E-3</v>
      </c>
    </row>
    <row r="28" spans="1:8">
      <c r="A28" s="66" t="s">
        <v>380</v>
      </c>
      <c r="B28" s="66">
        <v>3.02604E-2</v>
      </c>
      <c r="C28" s="66">
        <v>2.4826000000000001E-2</v>
      </c>
      <c r="D28" s="66">
        <v>0.82041299999999995</v>
      </c>
      <c r="E28" s="66">
        <v>0</v>
      </c>
      <c r="F28" s="66">
        <v>1.6275999999999999E-4</v>
      </c>
      <c r="G28" s="66">
        <v>0</v>
      </c>
      <c r="H28" s="66">
        <v>0.12219099999999999</v>
      </c>
    </row>
    <row r="29" spans="1:8">
      <c r="A29" s="66" t="s">
        <v>381</v>
      </c>
      <c r="B29" s="66">
        <v>70.302000000000007</v>
      </c>
      <c r="C29" s="66">
        <v>8.6912400000000005</v>
      </c>
      <c r="D29" s="66">
        <v>0.123627</v>
      </c>
      <c r="E29" s="66">
        <v>0</v>
      </c>
      <c r="F29" s="66">
        <v>51.728299999999997</v>
      </c>
      <c r="G29" s="66">
        <v>0</v>
      </c>
      <c r="H29" s="66">
        <v>96.479799999999997</v>
      </c>
    </row>
    <row r="30" spans="1:8">
      <c r="A30" s="66" t="s">
        <v>382</v>
      </c>
      <c r="B30" s="66">
        <v>22.8127</v>
      </c>
      <c r="C30" s="66">
        <v>6.88666</v>
      </c>
      <c r="D30" s="66">
        <v>0.30187900000000001</v>
      </c>
      <c r="E30" s="66">
        <v>0</v>
      </c>
      <c r="F30" s="66">
        <v>7.3786399999999999</v>
      </c>
      <c r="G30" s="66">
        <v>0</v>
      </c>
      <c r="H30" s="66">
        <v>31.0563</v>
      </c>
    </row>
    <row r="31" spans="1:8">
      <c r="A31" s="66" t="s">
        <v>383</v>
      </c>
      <c r="B31" s="66">
        <v>81.320099999999996</v>
      </c>
      <c r="C31" s="66">
        <v>29.611499999999999</v>
      </c>
      <c r="D31" s="66">
        <v>0.36413499999999999</v>
      </c>
      <c r="E31" s="66">
        <v>0</v>
      </c>
      <c r="F31" s="66">
        <v>22.117899999999999</v>
      </c>
      <c r="G31" s="66">
        <v>0</v>
      </c>
      <c r="H31" s="66">
        <v>139.31</v>
      </c>
    </row>
    <row r="32" spans="1:8">
      <c r="A32" s="66" t="s">
        <v>384</v>
      </c>
      <c r="B32" s="66">
        <v>0.21134800000000001</v>
      </c>
      <c r="C32" s="66">
        <v>6.7918900000000004E-2</v>
      </c>
      <c r="D32" s="66">
        <v>0.32136100000000001</v>
      </c>
      <c r="E32" s="66">
        <v>0.15</v>
      </c>
      <c r="F32" s="66">
        <v>8.9873999999999996E-2</v>
      </c>
      <c r="G32" s="66">
        <v>0.4</v>
      </c>
      <c r="H32" s="66">
        <v>0.446272</v>
      </c>
    </row>
    <row r="33" spans="1:8">
      <c r="A33" s="66" t="s">
        <v>385</v>
      </c>
      <c r="B33" s="66">
        <v>0.36622100000000002</v>
      </c>
      <c r="C33" s="66">
        <v>2.3533700000000001E-2</v>
      </c>
      <c r="D33" s="66">
        <v>6.4260800000000007E-2</v>
      </c>
      <c r="E33" s="66">
        <v>0</v>
      </c>
      <c r="F33" s="66">
        <v>0.34545799999999999</v>
      </c>
      <c r="G33" s="66">
        <v>0</v>
      </c>
      <c r="H33" s="66">
        <v>0.42293999999999998</v>
      </c>
    </row>
    <row r="34" spans="1:8">
      <c r="A34" s="66" t="s">
        <v>386</v>
      </c>
      <c r="B34" s="66">
        <v>0.18995200000000001</v>
      </c>
      <c r="C34" s="66">
        <v>2.19606E-2</v>
      </c>
      <c r="D34" s="66">
        <v>0.11561200000000001</v>
      </c>
      <c r="E34" s="66">
        <v>0.1</v>
      </c>
      <c r="F34" s="66">
        <v>0.15239</v>
      </c>
      <c r="G34" s="66">
        <v>0.25</v>
      </c>
      <c r="H34" s="66">
        <v>0.25469999999999998</v>
      </c>
    </row>
    <row r="35" spans="1:8">
      <c r="A35" s="66" t="s">
        <v>387</v>
      </c>
      <c r="B35" s="66">
        <v>8.8714600000000005E-2</v>
      </c>
      <c r="C35" s="66">
        <v>1.9104099999999999E-2</v>
      </c>
      <c r="D35" s="66">
        <v>0.21534400000000001</v>
      </c>
      <c r="E35" s="66">
        <v>0</v>
      </c>
      <c r="F35" s="66">
        <v>4.8373300000000001E-2</v>
      </c>
      <c r="G35" s="66">
        <v>0</v>
      </c>
      <c r="H35" s="66">
        <v>0.132768</v>
      </c>
    </row>
    <row r="36" spans="1:8">
      <c r="A36" s="66" t="s">
        <v>388</v>
      </c>
      <c r="B36" s="66">
        <v>0.174761</v>
      </c>
      <c r="C36" s="66">
        <v>9.2748800000000006E-2</v>
      </c>
      <c r="D36" s="66">
        <v>0.53071699999999999</v>
      </c>
      <c r="E36" s="66">
        <v>0</v>
      </c>
      <c r="F36" s="66">
        <v>3.4597900000000001E-2</v>
      </c>
      <c r="G36" s="66">
        <v>0</v>
      </c>
      <c r="H36" s="66">
        <v>0.47398299999999999</v>
      </c>
    </row>
    <row r="37" spans="1:8">
      <c r="A37" s="66" t="s">
        <v>389</v>
      </c>
      <c r="B37" s="66">
        <v>0.219606</v>
      </c>
      <c r="C37" s="66">
        <v>6.4867900000000006E-2</v>
      </c>
      <c r="D37" s="66">
        <v>0.29538199999999998</v>
      </c>
      <c r="E37" s="66">
        <v>0.1</v>
      </c>
      <c r="F37" s="66">
        <v>2.77185E-2</v>
      </c>
      <c r="G37" s="66">
        <v>0.5</v>
      </c>
      <c r="H37" s="66">
        <v>0.27016800000000002</v>
      </c>
    </row>
    <row r="38" spans="1:8">
      <c r="A38" s="66" t="s">
        <v>390</v>
      </c>
      <c r="B38" s="66">
        <v>4.0179299999999998</v>
      </c>
      <c r="C38" s="66">
        <v>34.812800000000003</v>
      </c>
      <c r="D38" s="66">
        <v>8.6643799999999995</v>
      </c>
      <c r="E38" s="66">
        <v>0</v>
      </c>
      <c r="F38" s="66">
        <v>-91.285899999999998</v>
      </c>
      <c r="G38" s="66">
        <v>0</v>
      </c>
      <c r="H38" s="66">
        <v>106.71899999999999</v>
      </c>
    </row>
    <row r="39" spans="1:8">
      <c r="A39" s="66" t="s">
        <v>391</v>
      </c>
      <c r="B39" s="66">
        <v>1.8444499999999999</v>
      </c>
      <c r="C39" s="66">
        <v>4.0128700000000004</v>
      </c>
      <c r="D39" s="66">
        <v>2.1756500000000001</v>
      </c>
      <c r="E39" s="66">
        <v>0</v>
      </c>
      <c r="F39" s="66">
        <v>-6.1550099999999999</v>
      </c>
      <c r="G39" s="66">
        <v>0</v>
      </c>
      <c r="H39" s="66">
        <v>13.430199999999999</v>
      </c>
    </row>
    <row r="40" spans="1:8">
      <c r="A40" s="66" t="s">
        <v>392</v>
      </c>
      <c r="B40" s="66">
        <v>-0.19899700000000001</v>
      </c>
      <c r="C40" s="66">
        <v>0.49804500000000002</v>
      </c>
      <c r="D40" s="66">
        <v>-2.50278</v>
      </c>
      <c r="E40" s="66">
        <v>0</v>
      </c>
      <c r="F40" s="66">
        <v>-0.76003699999999996</v>
      </c>
      <c r="G40" s="66">
        <v>0</v>
      </c>
      <c r="H40" s="66">
        <v>1.3003</v>
      </c>
    </row>
    <row r="41" spans="1:8">
      <c r="A41" s="66" t="s">
        <v>393</v>
      </c>
      <c r="B41" s="66">
        <v>-2.6297399999999999E-2</v>
      </c>
      <c r="C41" s="66">
        <v>0.29405700000000001</v>
      </c>
      <c r="D41" s="66">
        <v>-11.182</v>
      </c>
      <c r="E41" s="66">
        <v>0</v>
      </c>
      <c r="F41" s="66">
        <v>-0.95061700000000005</v>
      </c>
      <c r="G41" s="66">
        <v>0</v>
      </c>
      <c r="H41" s="66">
        <v>0.73274899999999998</v>
      </c>
    </row>
    <row r="42" spans="1:8">
      <c r="A42" s="66" t="s">
        <v>394</v>
      </c>
      <c r="B42" s="66">
        <v>-1.5657399999999998E-2</v>
      </c>
      <c r="C42" s="66">
        <v>8.8411600000000007E-2</v>
      </c>
      <c r="D42" s="66">
        <v>-5.6466200000000004</v>
      </c>
      <c r="E42" s="66">
        <v>0</v>
      </c>
      <c r="F42" s="66">
        <v>-0.16626099999999999</v>
      </c>
      <c r="G42" s="66">
        <v>0</v>
      </c>
      <c r="H42" s="66">
        <v>0.18934200000000001</v>
      </c>
    </row>
    <row r="43" spans="1:8">
      <c r="A43" s="66" t="s">
        <v>395</v>
      </c>
      <c r="B43" s="66">
        <v>-5.70313E-2</v>
      </c>
      <c r="C43" s="66">
        <v>3.1990600000000001E-2</v>
      </c>
      <c r="D43" s="66">
        <v>-0.56093199999999999</v>
      </c>
      <c r="E43" s="66">
        <v>0</v>
      </c>
      <c r="F43" s="66">
        <v>-8.6489200000000002E-2</v>
      </c>
      <c r="G43" s="66">
        <v>0</v>
      </c>
      <c r="H43" s="66">
        <v>3.8091E-2</v>
      </c>
    </row>
    <row r="44" spans="1:8">
      <c r="A44" s="66" t="s">
        <v>396</v>
      </c>
      <c r="B44" s="66">
        <v>4.9749299999999996</v>
      </c>
      <c r="C44" s="66">
        <v>7.04697</v>
      </c>
      <c r="D44" s="66">
        <v>1.4165000000000001</v>
      </c>
      <c r="E44" s="66">
        <v>0</v>
      </c>
      <c r="F44" s="66">
        <v>-16.5793</v>
      </c>
      <c r="G44" s="66">
        <v>0</v>
      </c>
      <c r="H44" s="66">
        <v>17.270700000000001</v>
      </c>
    </row>
    <row r="45" spans="1:8">
      <c r="A45" s="66" t="s">
        <v>397</v>
      </c>
      <c r="B45" s="66">
        <v>43.408900000000003</v>
      </c>
      <c r="C45" s="66">
        <v>6.0282</v>
      </c>
      <c r="D45" s="66">
        <v>0.13886999999999999</v>
      </c>
      <c r="E45" s="66">
        <v>0</v>
      </c>
      <c r="F45" s="66">
        <v>30.588000000000001</v>
      </c>
      <c r="G45" s="66">
        <v>0</v>
      </c>
      <c r="H45" s="66">
        <v>59.0246</v>
      </c>
    </row>
    <row r="46" spans="1:8">
      <c r="A46" s="66" t="s">
        <v>398</v>
      </c>
      <c r="B46" s="66">
        <v>24.6418</v>
      </c>
      <c r="C46" s="66">
        <v>6.7823700000000002</v>
      </c>
      <c r="D46" s="66">
        <v>0.27523900000000001</v>
      </c>
      <c r="E46" s="66">
        <v>0</v>
      </c>
      <c r="F46" s="66">
        <v>5.2924499999999997</v>
      </c>
      <c r="G46" s="66">
        <v>0</v>
      </c>
      <c r="H46" s="66">
        <v>28.289899999999999</v>
      </c>
    </row>
    <row r="47" spans="1:8">
      <c r="A47" s="66" t="s">
        <v>399</v>
      </c>
      <c r="B47" s="66">
        <v>1.4583900000000001</v>
      </c>
      <c r="C47" s="66">
        <v>0.51346499999999995</v>
      </c>
      <c r="D47" s="66">
        <v>0.352076</v>
      </c>
      <c r="E47" s="66">
        <v>0</v>
      </c>
      <c r="F47" s="66">
        <v>0.58785699999999996</v>
      </c>
      <c r="G47" s="66">
        <v>0</v>
      </c>
      <c r="H47" s="66">
        <v>3.5492300000000001</v>
      </c>
    </row>
    <row r="48" spans="1:8">
      <c r="A48" s="66" t="s">
        <v>400</v>
      </c>
      <c r="B48" s="66">
        <v>1.5914600000000001</v>
      </c>
      <c r="C48" s="66">
        <v>0.32592900000000002</v>
      </c>
      <c r="D48" s="66">
        <v>0.20479900000000001</v>
      </c>
      <c r="E48" s="66">
        <v>0</v>
      </c>
      <c r="F48" s="66">
        <v>1.06548</v>
      </c>
      <c r="G48" s="66">
        <v>0</v>
      </c>
      <c r="H48" s="66">
        <v>2.1904699999999999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401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39.3964</v>
      </c>
      <c r="C5" s="66">
        <v>3.1105200000000002</v>
      </c>
      <c r="D5" s="66">
        <v>7.8954300000000002</v>
      </c>
      <c r="E5" s="66">
        <v>20</v>
      </c>
      <c r="F5" s="66">
        <v>33.494900000000001</v>
      </c>
      <c r="G5" s="66">
        <v>50</v>
      </c>
      <c r="H5" s="66">
        <v>46.9696</v>
      </c>
    </row>
    <row r="6" spans="1:8">
      <c r="A6" s="66" t="s">
        <v>358</v>
      </c>
      <c r="B6" s="66">
        <v>20.455500000000001</v>
      </c>
      <c r="C6" s="66">
        <v>1.7521800000000001</v>
      </c>
      <c r="D6" s="66">
        <v>8.5657999999999994</v>
      </c>
      <c r="E6" s="66">
        <v>20</v>
      </c>
      <c r="F6" s="66">
        <v>18.117699999999999</v>
      </c>
      <c r="G6" s="66">
        <v>40</v>
      </c>
      <c r="H6" s="66">
        <v>24.0809</v>
      </c>
    </row>
    <row r="7" spans="1:8">
      <c r="A7" s="66" t="s">
        <v>359</v>
      </c>
      <c r="B7" s="66">
        <v>21.7242</v>
      </c>
      <c r="C7" s="66">
        <v>8.9008900000000004</v>
      </c>
      <c r="D7" s="66">
        <v>40.972299999999997</v>
      </c>
      <c r="E7" s="66">
        <v>15</v>
      </c>
      <c r="F7" s="66">
        <v>5.5254899999999996</v>
      </c>
      <c r="G7" s="66">
        <v>40</v>
      </c>
      <c r="H7" s="66">
        <v>37.842700000000001</v>
      </c>
    </row>
    <row r="8" spans="1:8">
      <c r="A8" s="66" t="s">
        <v>360</v>
      </c>
      <c r="B8" s="66">
        <v>27.906300000000002</v>
      </c>
      <c r="C8" s="66">
        <v>3.1067999999999998</v>
      </c>
      <c r="D8" s="66">
        <v>11.132999999999999</v>
      </c>
      <c r="E8" s="66">
        <v>20</v>
      </c>
      <c r="F8" s="66">
        <v>22.155000000000001</v>
      </c>
      <c r="G8" s="66">
        <v>50</v>
      </c>
      <c r="H8" s="66">
        <v>34.410299999999999</v>
      </c>
    </row>
    <row r="9" spans="1:8">
      <c r="A9" s="66" t="s">
        <v>361</v>
      </c>
      <c r="B9" s="66">
        <v>67.167199999999994</v>
      </c>
      <c r="C9" s="66">
        <v>8.0433800000000009</v>
      </c>
      <c r="D9" s="66">
        <v>11.975199999999999</v>
      </c>
      <c r="E9" s="66">
        <v>50</v>
      </c>
      <c r="F9" s="66">
        <v>48.656300000000002</v>
      </c>
      <c r="G9" s="66">
        <v>100</v>
      </c>
      <c r="H9" s="66">
        <v>83.076800000000006</v>
      </c>
    </row>
    <row r="10" spans="1:8">
      <c r="A10" s="66" t="s">
        <v>362</v>
      </c>
      <c r="B10" s="66">
        <v>81.515900000000002</v>
      </c>
      <c r="C10" s="66">
        <v>1.90327</v>
      </c>
      <c r="D10" s="66">
        <v>2.3348499999999999</v>
      </c>
      <c r="E10" s="66">
        <v>40</v>
      </c>
      <c r="F10" s="66">
        <v>77.2761</v>
      </c>
      <c r="G10" s="66">
        <v>100</v>
      </c>
      <c r="H10" s="66">
        <v>82.794399999999996</v>
      </c>
    </row>
    <row r="11" spans="1:8">
      <c r="A11" s="66" t="s">
        <v>363</v>
      </c>
      <c r="B11" s="66">
        <v>34.692500000000003</v>
      </c>
      <c r="C11" s="66">
        <v>3.6126299999999998</v>
      </c>
      <c r="D11" s="66">
        <v>10.4133</v>
      </c>
      <c r="E11" s="66">
        <v>10</v>
      </c>
      <c r="F11" s="66">
        <v>24.580200000000001</v>
      </c>
      <c r="G11" s="66">
        <v>50</v>
      </c>
      <c r="H11" s="66">
        <v>37.201999999999998</v>
      </c>
    </row>
    <row r="12" spans="1:8">
      <c r="A12" s="66" t="s">
        <v>364</v>
      </c>
      <c r="B12" s="66">
        <v>73.815600000000003</v>
      </c>
      <c r="C12" s="66">
        <v>4.2964700000000002</v>
      </c>
      <c r="D12" s="66">
        <v>5.8205400000000003</v>
      </c>
      <c r="E12" s="66">
        <v>50</v>
      </c>
      <c r="F12" s="66">
        <v>65.464600000000004</v>
      </c>
      <c r="G12" s="66">
        <v>100</v>
      </c>
      <c r="H12" s="66">
        <v>81.729399999999998</v>
      </c>
    </row>
    <row r="13" spans="1:8">
      <c r="A13" s="66" t="s">
        <v>365</v>
      </c>
      <c r="B13" s="66">
        <v>20.503</v>
      </c>
      <c r="C13" s="66">
        <v>3.8189700000000002</v>
      </c>
      <c r="D13" s="66">
        <v>18.6264</v>
      </c>
      <c r="E13" s="66">
        <v>10</v>
      </c>
      <c r="F13" s="66">
        <v>15.858700000000001</v>
      </c>
      <c r="G13" s="66">
        <v>25</v>
      </c>
      <c r="H13" s="66">
        <v>33.337600000000002</v>
      </c>
    </row>
    <row r="14" spans="1:8">
      <c r="A14" s="66" t="s">
        <v>366</v>
      </c>
      <c r="B14" s="66">
        <v>38.189700000000002</v>
      </c>
      <c r="C14" s="66">
        <v>10.3001</v>
      </c>
      <c r="D14" s="66">
        <v>26.970800000000001</v>
      </c>
      <c r="E14" s="66">
        <v>10</v>
      </c>
      <c r="F14" s="66">
        <v>2.7851300000000001</v>
      </c>
      <c r="G14" s="66">
        <v>50</v>
      </c>
      <c r="H14" s="66">
        <v>32.896700000000003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0.57843800000000001</v>
      </c>
      <c r="C18" s="66">
        <v>0.113653</v>
      </c>
      <c r="D18" s="66">
        <v>0.19648299999999999</v>
      </c>
      <c r="E18" s="66">
        <v>0</v>
      </c>
      <c r="F18" s="66">
        <v>0.46478399999999997</v>
      </c>
      <c r="G18" s="66">
        <v>0</v>
      </c>
      <c r="H18" s="66">
        <v>0.69209100000000001</v>
      </c>
    </row>
    <row r="19" spans="1:8">
      <c r="A19" s="66" t="s">
        <v>371</v>
      </c>
      <c r="B19" s="66">
        <v>0.53195599999999998</v>
      </c>
      <c r="C19" s="66">
        <v>2.7054000000000002E-2</v>
      </c>
      <c r="D19" s="66">
        <v>5.0857699999999999E-2</v>
      </c>
      <c r="E19" s="66">
        <v>0</v>
      </c>
      <c r="F19" s="66">
        <v>0.50490199999999996</v>
      </c>
      <c r="G19" s="66">
        <v>0</v>
      </c>
      <c r="H19" s="66">
        <v>0.55901000000000001</v>
      </c>
    </row>
    <row r="20" spans="1:8">
      <c r="A20" s="66" t="s">
        <v>372</v>
      </c>
      <c r="B20" s="66">
        <v>9.0898699999999999E-4</v>
      </c>
      <c r="C20" s="66">
        <v>4.5186900000000002E-2</v>
      </c>
      <c r="D20" s="66">
        <v>49.711300000000001</v>
      </c>
      <c r="E20" s="66">
        <v>0</v>
      </c>
      <c r="F20" s="66">
        <v>0</v>
      </c>
      <c r="G20" s="66">
        <v>0</v>
      </c>
      <c r="H20" s="66">
        <v>0.36883700000000003</v>
      </c>
    </row>
    <row r="21" spans="1:8">
      <c r="A21" s="66" t="s">
        <v>373</v>
      </c>
      <c r="B21" s="66">
        <v>0.19022500000000001</v>
      </c>
      <c r="C21" s="66">
        <v>0.54003999999999996</v>
      </c>
      <c r="D21" s="66">
        <v>2.8389600000000002</v>
      </c>
      <c r="E21" s="66">
        <v>0</v>
      </c>
      <c r="F21" s="66">
        <v>6.36252E-3</v>
      </c>
      <c r="G21" s="66">
        <v>0</v>
      </c>
      <c r="H21" s="66">
        <v>3.2314799999999999</v>
      </c>
    </row>
    <row r="22" spans="1:8">
      <c r="A22" s="66" t="s">
        <v>374</v>
      </c>
      <c r="B22" s="66">
        <v>38.191800000000001</v>
      </c>
      <c r="C22" s="66">
        <v>14.6479</v>
      </c>
      <c r="D22" s="66">
        <v>0.38353500000000001</v>
      </c>
      <c r="E22" s="66">
        <v>0</v>
      </c>
      <c r="F22" s="66">
        <v>21.948599999999999</v>
      </c>
      <c r="G22" s="66">
        <v>0</v>
      </c>
      <c r="H22" s="66">
        <v>93.901300000000006</v>
      </c>
    </row>
    <row r="23" spans="1:8">
      <c r="A23" s="66" t="s">
        <v>375</v>
      </c>
      <c r="B23" s="66">
        <v>21.033999999999999</v>
      </c>
      <c r="C23" s="66">
        <v>1.6182700000000001</v>
      </c>
      <c r="D23" s="66">
        <v>7.6936199999999996E-2</v>
      </c>
      <c r="E23" s="66">
        <v>0</v>
      </c>
      <c r="F23" s="66">
        <v>18.595800000000001</v>
      </c>
      <c r="G23" s="66">
        <v>0</v>
      </c>
      <c r="H23" s="66">
        <v>23.599900000000002</v>
      </c>
    </row>
    <row r="24" spans="1:8">
      <c r="A24" s="66" t="s">
        <v>376</v>
      </c>
      <c r="B24" s="66">
        <v>2.9882099999999998E-3</v>
      </c>
      <c r="C24" s="66">
        <v>3.8632800000000002E-2</v>
      </c>
      <c r="D24" s="66">
        <v>12.9284</v>
      </c>
      <c r="E24" s="66">
        <v>0</v>
      </c>
      <c r="F24" s="196">
        <v>3.6125699999999999E-5</v>
      </c>
      <c r="G24" s="66">
        <v>0</v>
      </c>
      <c r="H24" s="66">
        <v>0.34431299999999998</v>
      </c>
    </row>
    <row r="25" spans="1:8">
      <c r="A25" s="66" t="s">
        <v>377</v>
      </c>
      <c r="B25" s="66">
        <v>0.28616900000000001</v>
      </c>
      <c r="C25" s="66">
        <v>0.357095</v>
      </c>
      <c r="D25" s="66">
        <v>1.2478499999999999</v>
      </c>
      <c r="E25" s="66">
        <v>0</v>
      </c>
      <c r="F25" s="66">
        <v>6.5907999999999994E-2</v>
      </c>
      <c r="G25" s="66">
        <v>0</v>
      </c>
      <c r="H25" s="66">
        <v>1.61226</v>
      </c>
    </row>
    <row r="26" spans="1:8">
      <c r="A26" s="66" t="s">
        <v>378</v>
      </c>
      <c r="B26" s="66">
        <v>3.3482100000000001E-4</v>
      </c>
      <c r="C26" s="66">
        <v>5.1798199999999999E-3</v>
      </c>
      <c r="D26" s="66">
        <v>15.4704</v>
      </c>
      <c r="E26" s="66">
        <v>0</v>
      </c>
      <c r="F26" s="66">
        <v>0</v>
      </c>
      <c r="G26" s="66">
        <v>0</v>
      </c>
      <c r="H26" s="66">
        <v>4.0805500000000001E-2</v>
      </c>
    </row>
    <row r="27" spans="1:8">
      <c r="A27" s="66" t="s">
        <v>379</v>
      </c>
      <c r="B27" s="196">
        <v>-3.2825599999999999E-6</v>
      </c>
      <c r="C27" s="66">
        <v>1.4461400000000001E-3</v>
      </c>
      <c r="D27" s="66">
        <v>-440.55099999999999</v>
      </c>
      <c r="E27" s="66">
        <v>0</v>
      </c>
      <c r="F27" s="66">
        <v>-8.2096900000000004E-3</v>
      </c>
      <c r="G27" s="66">
        <v>0</v>
      </c>
      <c r="H27" s="66">
        <v>9.28965E-3</v>
      </c>
    </row>
    <row r="28" spans="1:8">
      <c r="A28" s="66" t="s">
        <v>380</v>
      </c>
      <c r="B28" s="66">
        <v>2.8919299999999998E-2</v>
      </c>
      <c r="C28" s="66">
        <v>3.73946E-2</v>
      </c>
      <c r="D28" s="66">
        <v>1.2930699999999999</v>
      </c>
      <c r="E28" s="66">
        <v>0</v>
      </c>
      <c r="F28" s="66">
        <v>1.61458E-3</v>
      </c>
      <c r="G28" s="66">
        <v>0</v>
      </c>
      <c r="H28" s="66">
        <v>0.174147</v>
      </c>
    </row>
    <row r="29" spans="1:8">
      <c r="A29" s="66" t="s">
        <v>381</v>
      </c>
      <c r="B29" s="66">
        <v>71.888499999999993</v>
      </c>
      <c r="C29" s="66">
        <v>10.5486</v>
      </c>
      <c r="D29" s="66">
        <v>0.14673600000000001</v>
      </c>
      <c r="E29" s="66">
        <v>0</v>
      </c>
      <c r="F29" s="66">
        <v>50.420999999999999</v>
      </c>
      <c r="G29" s="66">
        <v>0</v>
      </c>
      <c r="H29" s="66">
        <v>97.968299999999999</v>
      </c>
    </row>
    <row r="30" spans="1:8">
      <c r="A30" s="66" t="s">
        <v>382</v>
      </c>
      <c r="B30" s="66">
        <v>30.6645</v>
      </c>
      <c r="C30" s="66">
        <v>1.41943</v>
      </c>
      <c r="D30" s="66">
        <v>4.6288900000000001E-2</v>
      </c>
      <c r="E30" s="66">
        <v>0</v>
      </c>
      <c r="F30" s="66">
        <v>27.757100000000001</v>
      </c>
      <c r="G30" s="66">
        <v>0</v>
      </c>
      <c r="H30" s="66">
        <v>33.412700000000001</v>
      </c>
    </row>
    <row r="31" spans="1:8">
      <c r="A31" s="66" t="s">
        <v>383</v>
      </c>
      <c r="B31" s="66">
        <v>146.95500000000001</v>
      </c>
      <c r="C31" s="66">
        <v>9.5996199999999998</v>
      </c>
      <c r="D31" s="66">
        <v>6.5323699999999998E-2</v>
      </c>
      <c r="E31" s="66">
        <v>0</v>
      </c>
      <c r="F31" s="66">
        <v>129.95099999999999</v>
      </c>
      <c r="G31" s="66">
        <v>0</v>
      </c>
      <c r="H31" s="66">
        <v>182.20500000000001</v>
      </c>
    </row>
    <row r="32" spans="1:8">
      <c r="A32" s="66" t="s">
        <v>384</v>
      </c>
      <c r="B32" s="66">
        <v>0.21724199999999999</v>
      </c>
      <c r="C32" s="66">
        <v>8.9008900000000002E-2</v>
      </c>
      <c r="D32" s="66">
        <v>0.409723</v>
      </c>
      <c r="E32" s="66">
        <v>0.15</v>
      </c>
      <c r="F32" s="66">
        <v>5.5254900000000003E-2</v>
      </c>
      <c r="G32" s="66">
        <v>0.4</v>
      </c>
      <c r="H32" s="66">
        <v>0.37842700000000001</v>
      </c>
    </row>
    <row r="33" spans="1:8">
      <c r="A33" s="66" t="s">
        <v>385</v>
      </c>
      <c r="B33" s="66">
        <v>0.33763100000000001</v>
      </c>
      <c r="C33" s="66">
        <v>4.5421999999999997E-2</v>
      </c>
      <c r="D33" s="66">
        <v>0.13453200000000001</v>
      </c>
      <c r="E33" s="66">
        <v>0</v>
      </c>
      <c r="F33" s="66">
        <v>0.29574600000000001</v>
      </c>
      <c r="G33" s="66">
        <v>0</v>
      </c>
      <c r="H33" s="66">
        <v>0.43617299999999998</v>
      </c>
    </row>
    <row r="34" spans="1:8">
      <c r="A34" s="66" t="s">
        <v>386</v>
      </c>
      <c r="B34" s="66">
        <v>0.20502999999999999</v>
      </c>
      <c r="C34" s="66">
        <v>3.81897E-2</v>
      </c>
      <c r="D34" s="66">
        <v>0.18626400000000001</v>
      </c>
      <c r="E34" s="66">
        <v>0.1</v>
      </c>
      <c r="F34" s="66">
        <v>0.15858700000000001</v>
      </c>
      <c r="G34" s="66">
        <v>0.25</v>
      </c>
      <c r="H34" s="66">
        <v>0.33337600000000001</v>
      </c>
    </row>
    <row r="35" spans="1:8">
      <c r="A35" s="66" t="s">
        <v>387</v>
      </c>
      <c r="B35" s="66">
        <v>8.2661600000000002E-2</v>
      </c>
      <c r="C35" s="66">
        <v>2.3014E-2</v>
      </c>
      <c r="D35" s="66">
        <v>0.27841199999999999</v>
      </c>
      <c r="E35" s="66">
        <v>0</v>
      </c>
      <c r="F35" s="66">
        <v>5.0795300000000002E-2</v>
      </c>
      <c r="G35" s="66">
        <v>0</v>
      </c>
      <c r="H35" s="66">
        <v>0.165185</v>
      </c>
    </row>
    <row r="36" spans="1:8">
      <c r="A36" s="66" t="s">
        <v>388</v>
      </c>
      <c r="B36" s="66">
        <v>0.19261</v>
      </c>
      <c r="C36" s="66">
        <v>9.9904300000000001E-2</v>
      </c>
      <c r="D36" s="66">
        <v>0.51868599999999998</v>
      </c>
      <c r="E36" s="66">
        <v>0</v>
      </c>
      <c r="F36" s="66">
        <v>4.5811200000000003E-2</v>
      </c>
      <c r="G36" s="66">
        <v>0</v>
      </c>
      <c r="H36" s="66">
        <v>0.58695399999999998</v>
      </c>
    </row>
    <row r="37" spans="1:8">
      <c r="A37" s="66" t="s">
        <v>389</v>
      </c>
      <c r="B37" s="66">
        <v>0.38189699999999999</v>
      </c>
      <c r="C37" s="66">
        <v>0.103001</v>
      </c>
      <c r="D37" s="66">
        <v>0.269708</v>
      </c>
      <c r="E37" s="66">
        <v>0.1</v>
      </c>
      <c r="F37" s="66">
        <v>2.7851299999999999E-2</v>
      </c>
      <c r="G37" s="66">
        <v>0.5</v>
      </c>
      <c r="H37" s="66">
        <v>0.32896700000000001</v>
      </c>
    </row>
    <row r="38" spans="1:8">
      <c r="A38" s="66" t="s">
        <v>390</v>
      </c>
      <c r="B38" s="66">
        <v>1.22685</v>
      </c>
      <c r="C38" s="66">
        <v>39.807899999999997</v>
      </c>
      <c r="D38" s="66">
        <v>32.447400000000002</v>
      </c>
      <c r="E38" s="66">
        <v>0</v>
      </c>
      <c r="F38" s="66">
        <v>-104.22499999999999</v>
      </c>
      <c r="G38" s="66">
        <v>0</v>
      </c>
      <c r="H38" s="66">
        <v>226.40600000000001</v>
      </c>
    </row>
    <row r="39" spans="1:8">
      <c r="A39" s="66" t="s">
        <v>391</v>
      </c>
      <c r="B39" s="66">
        <v>-0.17121</v>
      </c>
      <c r="C39" s="66">
        <v>6.4781199999999997</v>
      </c>
      <c r="D39" s="66">
        <v>-37.837299999999999</v>
      </c>
      <c r="E39" s="66">
        <v>0</v>
      </c>
      <c r="F39" s="66">
        <v>-34.641599999999997</v>
      </c>
      <c r="G39" s="66">
        <v>0</v>
      </c>
      <c r="H39" s="66">
        <v>5.17713</v>
      </c>
    </row>
    <row r="40" spans="1:8">
      <c r="A40" s="66" t="s">
        <v>392</v>
      </c>
      <c r="B40" s="66">
        <v>-0.80567800000000001</v>
      </c>
      <c r="C40" s="66">
        <v>1.4015899999999999</v>
      </c>
      <c r="D40" s="66">
        <v>-1.7396400000000001</v>
      </c>
      <c r="E40" s="66">
        <v>0</v>
      </c>
      <c r="F40" s="66">
        <v>-3.4843700000000002</v>
      </c>
      <c r="G40" s="66">
        <v>0</v>
      </c>
      <c r="H40" s="66">
        <v>1.5326900000000001</v>
      </c>
    </row>
    <row r="41" spans="1:8">
      <c r="A41" s="66" t="s">
        <v>393</v>
      </c>
      <c r="B41" s="66">
        <v>-4.71233E-2</v>
      </c>
      <c r="C41" s="66">
        <v>0.29378500000000002</v>
      </c>
      <c r="D41" s="66">
        <v>-6.2343900000000003</v>
      </c>
      <c r="E41" s="66">
        <v>0</v>
      </c>
      <c r="F41" s="66">
        <v>-0.91573000000000004</v>
      </c>
      <c r="G41" s="66">
        <v>0</v>
      </c>
      <c r="H41" s="66">
        <v>1</v>
      </c>
    </row>
    <row r="42" spans="1:8">
      <c r="A42" s="66" t="s">
        <v>394</v>
      </c>
      <c r="B42" s="66">
        <v>-4.2655600000000002E-2</v>
      </c>
      <c r="C42" s="66">
        <v>5.9610999999999997E-2</v>
      </c>
      <c r="D42" s="66">
        <v>-1.3974899999999999</v>
      </c>
      <c r="E42" s="66">
        <v>0</v>
      </c>
      <c r="F42" s="66">
        <v>-0.232464</v>
      </c>
      <c r="G42" s="66">
        <v>0</v>
      </c>
      <c r="H42" s="66">
        <v>0.16786300000000001</v>
      </c>
    </row>
    <row r="43" spans="1:8">
      <c r="A43" s="66" t="s">
        <v>395</v>
      </c>
      <c r="B43" s="66">
        <v>-1.50898E-2</v>
      </c>
      <c r="C43" s="66">
        <v>4.1159500000000002E-2</v>
      </c>
      <c r="D43" s="66">
        <v>-2.7276400000000001</v>
      </c>
      <c r="E43" s="66">
        <v>0</v>
      </c>
      <c r="F43" s="66">
        <v>-0.10799</v>
      </c>
      <c r="G43" s="66">
        <v>0</v>
      </c>
      <c r="H43" s="66">
        <v>4.7063000000000001E-2</v>
      </c>
    </row>
    <row r="44" spans="1:8">
      <c r="A44" s="66" t="s">
        <v>396</v>
      </c>
      <c r="B44" s="66">
        <v>-8.5827299999999997</v>
      </c>
      <c r="C44" s="66">
        <v>8.6488499999999995</v>
      </c>
      <c r="D44" s="66">
        <v>-1.0077</v>
      </c>
      <c r="E44" s="66">
        <v>0</v>
      </c>
      <c r="F44" s="66">
        <v>-32.251600000000003</v>
      </c>
      <c r="G44" s="66">
        <v>0</v>
      </c>
      <c r="H44" s="66">
        <v>7.78674</v>
      </c>
    </row>
    <row r="45" spans="1:8">
      <c r="A45" s="66" t="s">
        <v>397</v>
      </c>
      <c r="B45" s="66">
        <v>40.044600000000003</v>
      </c>
      <c r="C45" s="66">
        <v>6.9607400000000004</v>
      </c>
      <c r="D45" s="66">
        <v>0.17382400000000001</v>
      </c>
      <c r="E45" s="66">
        <v>0</v>
      </c>
      <c r="F45" s="66">
        <v>30.632300000000001</v>
      </c>
      <c r="G45" s="66">
        <v>0</v>
      </c>
      <c r="H45" s="66">
        <v>68.926599999999993</v>
      </c>
    </row>
    <row r="46" spans="1:8">
      <c r="A46" s="66" t="s">
        <v>398</v>
      </c>
      <c r="B46" s="66">
        <v>26.643899999999999</v>
      </c>
      <c r="C46" s="66">
        <v>1.86067</v>
      </c>
      <c r="D46" s="66">
        <v>6.9834999999999994E-2</v>
      </c>
      <c r="E46" s="66">
        <v>0</v>
      </c>
      <c r="F46" s="66">
        <v>23.8169</v>
      </c>
      <c r="G46" s="66">
        <v>0</v>
      </c>
      <c r="H46" s="66">
        <v>29.990200000000002</v>
      </c>
    </row>
    <row r="47" spans="1:8">
      <c r="A47" s="66" t="s">
        <v>399</v>
      </c>
      <c r="B47" s="66">
        <v>1.4348700000000001</v>
      </c>
      <c r="C47" s="66">
        <v>0.638374</v>
      </c>
      <c r="D47" s="66">
        <v>0.44490000000000002</v>
      </c>
      <c r="E47" s="66">
        <v>0</v>
      </c>
      <c r="F47" s="66">
        <v>0.56756099999999998</v>
      </c>
      <c r="G47" s="66">
        <v>0</v>
      </c>
      <c r="H47" s="66">
        <v>3.7430599999999998</v>
      </c>
    </row>
    <row r="48" spans="1:8">
      <c r="A48" s="66" t="s">
        <v>400</v>
      </c>
      <c r="B48" s="66">
        <v>1.85019</v>
      </c>
      <c r="C48" s="66">
        <v>0.30785000000000001</v>
      </c>
      <c r="D48" s="66">
        <v>0.16638800000000001</v>
      </c>
      <c r="E48" s="66">
        <v>0</v>
      </c>
      <c r="F48" s="66">
        <v>1.1179699999999999</v>
      </c>
      <c r="G48" s="66">
        <v>0</v>
      </c>
      <c r="H48" s="66">
        <v>2.1902599999999999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99.15094607231579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1.9143559192231381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0.59102632820907119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138</v>
      </c>
      <c r="B8" s="66">
        <v>138</v>
      </c>
      <c r="D8">
        <f t="shared" si="0"/>
        <v>6.0238071334098677E-4</v>
      </c>
      <c r="E8">
        <f t="shared" si="0"/>
        <v>6.0238071334098677E-4</v>
      </c>
      <c r="G8">
        <f t="shared" ca="1" si="1"/>
        <v>6</v>
      </c>
      <c r="H8">
        <f t="shared" ca="1" si="2"/>
        <v>3.6142842800459206E-3</v>
      </c>
      <c r="I8">
        <f t="shared" ca="1" si="3"/>
        <v>5.2269169372655968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743</v>
      </c>
      <c r="B10" s="66">
        <v>743</v>
      </c>
      <c r="D10">
        <f t="shared" si="0"/>
        <v>3.243252681248936E-3</v>
      </c>
      <c r="E10">
        <f t="shared" si="0"/>
        <v>3.243252681248936E-3</v>
      </c>
      <c r="G10">
        <f t="shared" ca="1" si="1"/>
        <v>8</v>
      </c>
      <c r="H10">
        <f t="shared" ca="1" si="2"/>
        <v>2.5946021449991488E-2</v>
      </c>
      <c r="I10">
        <f t="shared" ca="1" si="3"/>
        <v>26.946548588200841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1560</v>
      </c>
      <c r="B13" s="66">
        <v>1560</v>
      </c>
      <c r="D13">
        <f t="shared" si="0"/>
        <v>6.8095211073328941E-3</v>
      </c>
      <c r="E13">
        <f t="shared" si="0"/>
        <v>6.8095211073328941E-3</v>
      </c>
      <c r="G13">
        <f t="shared" ca="1" si="1"/>
        <v>11</v>
      </c>
      <c r="H13">
        <f t="shared" ca="1" si="2"/>
        <v>7.4904732180661834E-2</v>
      </c>
      <c r="I13">
        <f t="shared" ca="1" si="3"/>
        <v>52.913991810124138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2962</v>
      </c>
      <c r="B15" s="66">
        <v>2962</v>
      </c>
      <c r="D15">
        <f t="shared" si="0"/>
        <v>1.2929359948666687E-2</v>
      </c>
      <c r="E15">
        <f t="shared" si="0"/>
        <v>1.2929359948666687E-2</v>
      </c>
      <c r="G15">
        <f t="shared" ca="1" si="1"/>
        <v>13</v>
      </c>
      <c r="H15">
        <f t="shared" ca="1" si="2"/>
        <v>0.16808167933266693</v>
      </c>
      <c r="I15">
        <f t="shared" ca="1" si="3"/>
        <v>95.961522181654004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6526</v>
      </c>
      <c r="B18" s="66">
        <v>6526</v>
      </c>
      <c r="D18">
        <f t="shared" si="0"/>
        <v>2.8486496632342605E-2</v>
      </c>
      <c r="E18">
        <f t="shared" si="0"/>
        <v>2.8486496632342605E-2</v>
      </c>
      <c r="G18">
        <f t="shared" ca="1" si="1"/>
        <v>16</v>
      </c>
      <c r="H18">
        <f t="shared" ca="1" si="2"/>
        <v>0.45578394611748169</v>
      </c>
      <c r="I18">
        <f t="shared" ca="1" si="3"/>
        <v>196.95791187055949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8791</v>
      </c>
      <c r="B21" s="66">
        <v>8791</v>
      </c>
      <c r="D21">
        <f t="shared" si="0"/>
        <v>3.8373397470874017E-2</v>
      </c>
      <c r="E21">
        <f t="shared" si="0"/>
        <v>3.8373397470874017E-2</v>
      </c>
      <c r="G21">
        <f t="shared" ca="1" si="1"/>
        <v>19</v>
      </c>
      <c r="H21">
        <f t="shared" ca="1" si="2"/>
        <v>0.72909455194660633</v>
      </c>
      <c r="I21">
        <f t="shared" ca="1" si="3"/>
        <v>246.5173883213283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13467</v>
      </c>
      <c r="B23" s="66">
        <v>13467</v>
      </c>
      <c r="D23">
        <f t="shared" si="0"/>
        <v>5.878450048234108E-2</v>
      </c>
      <c r="E23">
        <f t="shared" si="0"/>
        <v>5.878450048234108E-2</v>
      </c>
      <c r="G23">
        <f t="shared" ca="1" si="1"/>
        <v>21</v>
      </c>
      <c r="H23">
        <f t="shared" ca="1" si="2"/>
        <v>1.2344745101291628</v>
      </c>
      <c r="I23">
        <f t="shared" ca="1" si="3"/>
        <v>359.03047347864918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16659</v>
      </c>
      <c r="B26" s="66">
        <v>16659</v>
      </c>
      <c r="D26">
        <f t="shared" si="0"/>
        <v>7.2717828286576081E-2</v>
      </c>
      <c r="E26">
        <f t="shared" si="0"/>
        <v>7.2717828286576081E-2</v>
      </c>
      <c r="G26">
        <f t="shared" ca="1" si="1"/>
        <v>24</v>
      </c>
      <c r="H26">
        <f t="shared" ca="1" si="2"/>
        <v>1.7452278788778259</v>
      </c>
      <c r="I26">
        <f t="shared" ca="1" si="3"/>
        <v>410.6859115521894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21705</v>
      </c>
      <c r="B28" s="66">
        <v>21705</v>
      </c>
      <c r="D28">
        <f t="shared" si="0"/>
        <v>9.4744010022218245E-2</v>
      </c>
      <c r="E28">
        <f t="shared" si="0"/>
        <v>9.4744010022218245E-2</v>
      </c>
      <c r="G28">
        <f t="shared" ca="1" si="1"/>
        <v>26</v>
      </c>
      <c r="H28">
        <f t="shared" ca="1" si="2"/>
        <v>2.4633442605776743</v>
      </c>
      <c r="I28">
        <f t="shared" ca="1" si="3"/>
        <v>506.98096860732494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29176</v>
      </c>
      <c r="B31" s="66">
        <v>29176</v>
      </c>
      <c r="D31">
        <f t="shared" si="0"/>
        <v>0.12735550501765674</v>
      </c>
      <c r="E31">
        <f t="shared" si="0"/>
        <v>0.12735550501765674</v>
      </c>
      <c r="G31">
        <f t="shared" ca="1" si="1"/>
        <v>29</v>
      </c>
      <c r="H31">
        <f t="shared" ca="1" si="2"/>
        <v>3.6933096455120458</v>
      </c>
      <c r="I31">
        <f t="shared" ca="1" si="3"/>
        <v>626.73621020345536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31640</v>
      </c>
      <c r="B33" s="66">
        <v>31640</v>
      </c>
      <c r="D33">
        <f t="shared" si="0"/>
        <v>0.1381110563051364</v>
      </c>
      <c r="E33">
        <f t="shared" si="0"/>
        <v>0.1381110563051364</v>
      </c>
      <c r="G33">
        <f t="shared" ca="1" si="1"/>
        <v>31</v>
      </c>
      <c r="H33">
        <f t="shared" ca="1" si="2"/>
        <v>4.2814427454592288</v>
      </c>
      <c r="I33">
        <f t="shared" ca="1" si="3"/>
        <v>641.46390689924806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46102</v>
      </c>
      <c r="B36" s="66">
        <v>46102</v>
      </c>
      <c r="D36">
        <f t="shared" si="0"/>
        <v>0.20123880903221864</v>
      </c>
      <c r="E36">
        <f t="shared" si="0"/>
        <v>0.20123880903221864</v>
      </c>
      <c r="G36">
        <f t="shared" ca="1" si="1"/>
        <v>34</v>
      </c>
      <c r="H36">
        <f t="shared" ca="1" si="2"/>
        <v>6.8421195070954335</v>
      </c>
      <c r="I36">
        <f t="shared" ca="1" si="3"/>
        <v>854.1874603471058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48888</v>
      </c>
      <c r="B39" s="66">
        <v>48888</v>
      </c>
      <c r="D39">
        <f t="shared" si="0"/>
        <v>0.21339991531749392</v>
      </c>
      <c r="E39">
        <f t="shared" si="0"/>
        <v>0.21339991531749392</v>
      </c>
      <c r="G39">
        <f t="shared" ca="1" si="1"/>
        <v>37</v>
      </c>
      <c r="H39">
        <f t="shared" ca="1" si="2"/>
        <v>7.8957968667472747</v>
      </c>
      <c r="I39">
        <f t="shared" ca="1" si="3"/>
        <v>824.30840973923353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58338</v>
      </c>
      <c r="B41" s="66">
        <v>58338</v>
      </c>
      <c r="D41">
        <f t="shared" si="0"/>
        <v>0.2546498989484528</v>
      </c>
      <c r="E41">
        <f t="shared" si="0"/>
        <v>0.2546498989484528</v>
      </c>
      <c r="G41">
        <f t="shared" ca="1" si="1"/>
        <v>39</v>
      </c>
      <c r="H41">
        <f t="shared" ca="1" si="2"/>
        <v>9.9313460589896589</v>
      </c>
      <c r="I41">
        <f t="shared" ca="1" si="3"/>
        <v>921.35804658767324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66288</v>
      </c>
      <c r="B44" s="66">
        <v>66288</v>
      </c>
      <c r="D44">
        <f t="shared" si="0"/>
        <v>0.2893522661300531</v>
      </c>
      <c r="E44">
        <f t="shared" si="0"/>
        <v>0.2893522661300531</v>
      </c>
      <c r="G44">
        <f t="shared" ca="1" si="1"/>
        <v>42</v>
      </c>
      <c r="H44">
        <f t="shared" ca="1" si="2"/>
        <v>12.152795177462231</v>
      </c>
      <c r="I44">
        <f t="shared" ca="1" si="3"/>
        <v>945.09123650799916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82495</v>
      </c>
      <c r="B46" s="66">
        <v>82495</v>
      </c>
      <c r="D46">
        <f t="shared" si="0"/>
        <v>0.36009707932655582</v>
      </c>
      <c r="E46">
        <f t="shared" si="0"/>
        <v>0.36009707932655582</v>
      </c>
      <c r="G46">
        <f t="shared" ca="1" si="1"/>
        <v>44</v>
      </c>
      <c r="H46">
        <f t="shared" ca="1" si="2"/>
        <v>15.844271490368456</v>
      </c>
      <c r="I46">
        <f t="shared" ca="1" si="3"/>
        <v>1095.2809460482258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74738</v>
      </c>
      <c r="B49" s="66">
        <v>74738</v>
      </c>
      <c r="D49">
        <f t="shared" si="0"/>
        <v>0.32623717212810632</v>
      </c>
      <c r="E49">
        <f t="shared" si="0"/>
        <v>0.32623717212810632</v>
      </c>
      <c r="G49">
        <f t="shared" ca="1" si="1"/>
        <v>47</v>
      </c>
      <c r="H49">
        <f t="shared" ca="1" si="2"/>
        <v>15.333147090020997</v>
      </c>
      <c r="I49">
        <f t="shared" ca="1" si="3"/>
        <v>887.27414551267827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74289</v>
      </c>
      <c r="B51" s="66">
        <v>74289</v>
      </c>
      <c r="D51">
        <f t="shared" si="0"/>
        <v>0.32427725227093163</v>
      </c>
      <c r="E51">
        <f t="shared" si="0"/>
        <v>0.32427725227093163</v>
      </c>
      <c r="G51">
        <f t="shared" ca="1" si="1"/>
        <v>49</v>
      </c>
      <c r="H51">
        <f t="shared" ca="1" si="2"/>
        <v>15.88958536127565</v>
      </c>
      <c r="I51">
        <f t="shared" ca="1" si="3"/>
        <v>815.59535699983519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80222</v>
      </c>
      <c r="B54" s="66">
        <v>80222</v>
      </c>
      <c r="D54">
        <f t="shared" si="0"/>
        <v>0.35017525786696119</v>
      </c>
      <c r="E54">
        <f t="shared" si="0"/>
        <v>0.35017525786696119</v>
      </c>
      <c r="G54">
        <f t="shared" ca="1" si="1"/>
        <v>52</v>
      </c>
      <c r="H54">
        <f t="shared" ca="1" si="2"/>
        <v>18.209113409081983</v>
      </c>
      <c r="I54">
        <f t="shared" ca="1" si="3"/>
        <v>778.5137357731154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82608</v>
      </c>
      <c r="B57" s="66">
        <v>82608</v>
      </c>
      <c r="D57">
        <f t="shared" si="0"/>
        <v>0.36059033309907418</v>
      </c>
      <c r="E57">
        <f t="shared" si="0"/>
        <v>0.36059033309907418</v>
      </c>
      <c r="G57">
        <f t="shared" ca="1" si="1"/>
        <v>55</v>
      </c>
      <c r="H57">
        <f t="shared" ca="1" si="2"/>
        <v>19.832468320449081</v>
      </c>
      <c r="I57">
        <f t="shared" ca="1" si="3"/>
        <v>702.90091394408785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100164</v>
      </c>
      <c r="B59" s="66">
        <v>100164</v>
      </c>
      <c r="D59">
        <f t="shared" si="0"/>
        <v>0.43722363602236664</v>
      </c>
      <c r="E59">
        <f t="shared" si="0"/>
        <v>0.43722363602236664</v>
      </c>
      <c r="G59">
        <f t="shared" ca="1" si="1"/>
        <v>57</v>
      </c>
      <c r="H59">
        <f t="shared" ca="1" si="2"/>
        <v>24.921747253274898</v>
      </c>
      <c r="I59">
        <f t="shared" ca="1" si="3"/>
        <v>776.81621996897798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98623</v>
      </c>
      <c r="B62" s="66">
        <v>98623</v>
      </c>
      <c r="D62">
        <f t="shared" si="0"/>
        <v>0.43049705139005895</v>
      </c>
      <c r="E62">
        <f t="shared" si="0"/>
        <v>0.43049705139005895</v>
      </c>
      <c r="G62">
        <f t="shared" ca="1" si="1"/>
        <v>60</v>
      </c>
      <c r="H62">
        <f t="shared" ca="1" si="2"/>
        <v>25.829823083403536</v>
      </c>
      <c r="I62">
        <f t="shared" ca="1" si="3"/>
        <v>659.86440736362317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98289</v>
      </c>
      <c r="B64" s="66">
        <v>98289</v>
      </c>
      <c r="D64">
        <f t="shared" si="0"/>
        <v>0.42903911546066847</v>
      </c>
      <c r="E64">
        <f t="shared" si="0"/>
        <v>0.42903911546066847</v>
      </c>
      <c r="G64">
        <f t="shared" ca="1" si="1"/>
        <v>62</v>
      </c>
      <c r="H64">
        <f t="shared" ca="1" si="2"/>
        <v>26.600425158561446</v>
      </c>
      <c r="I64">
        <f t="shared" ca="1" si="3"/>
        <v>592.15669553217299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98304</v>
      </c>
      <c r="B67" s="66">
        <v>98304</v>
      </c>
      <c r="D67">
        <f t="shared" ref="D67:E130" si="4">IFERROR( A67/MAX(A$2:A$257), 0 )</f>
        <v>0.42910459162516207</v>
      </c>
      <c r="E67">
        <f t="shared" si="4"/>
        <v>0.42910459162516207</v>
      </c>
      <c r="G67">
        <f t="shared" ref="G67:G130" ca="1" si="5">CELL("row",D67)-2</f>
        <v>65</v>
      </c>
      <c r="H67">
        <f t="shared" ref="H67:H130" ca="1" si="6">D67*G67</f>
        <v>27.891798455635534</v>
      </c>
      <c r="I67">
        <f t="shared" ref="I67:I130" ca="1" si="7">D67*((G67-$L$1)^2)</f>
        <v>500.45915733011987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105065</v>
      </c>
      <c r="B69" s="66">
        <v>105065</v>
      </c>
      <c r="D69">
        <f t="shared" si="4"/>
        <v>0.45861688150123747</v>
      </c>
      <c r="E69">
        <f t="shared" si="4"/>
        <v>0.45861688150123747</v>
      </c>
      <c r="G69">
        <f t="shared" ca="1" si="5"/>
        <v>67</v>
      </c>
      <c r="H69">
        <f t="shared" ca="1" si="6"/>
        <v>30.727331060582912</v>
      </c>
      <c r="I69">
        <f t="shared" ca="1" si="7"/>
        <v>474.06462679846879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111524</v>
      </c>
      <c r="B72" s="66">
        <v>111524</v>
      </c>
      <c r="D72">
        <f t="shared" si="4"/>
        <v>0.4868109179321754</v>
      </c>
      <c r="E72">
        <f t="shared" si="4"/>
        <v>0.4868109179321754</v>
      </c>
      <c r="G72">
        <f t="shared" ca="1" si="5"/>
        <v>70</v>
      </c>
      <c r="H72">
        <f t="shared" ca="1" si="6"/>
        <v>34.076764255252279</v>
      </c>
      <c r="I72">
        <f t="shared" ca="1" si="7"/>
        <v>413.68104119912795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117368</v>
      </c>
      <c r="B75" s="66">
        <v>117368</v>
      </c>
      <c r="D75">
        <f t="shared" si="4"/>
        <v>0.5123204316188763</v>
      </c>
      <c r="E75">
        <f t="shared" si="4"/>
        <v>0.5123204316188763</v>
      </c>
      <c r="G75">
        <f t="shared" ca="1" si="5"/>
        <v>73</v>
      </c>
      <c r="H75">
        <f t="shared" ca="1" si="6"/>
        <v>37.39939150817797</v>
      </c>
      <c r="I75">
        <f t="shared" ca="1" si="7"/>
        <v>350.36158821011878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137035</v>
      </c>
      <c r="B77" s="66">
        <v>137035</v>
      </c>
      <c r="D77">
        <f t="shared" si="4"/>
        <v>0.59816841342523275</v>
      </c>
      <c r="E77">
        <f t="shared" si="4"/>
        <v>0.59816841342523275</v>
      </c>
      <c r="G77">
        <f t="shared" ca="1" si="5"/>
        <v>75</v>
      </c>
      <c r="H77">
        <f t="shared" ca="1" si="6"/>
        <v>44.862631006892457</v>
      </c>
      <c r="I77">
        <f t="shared" ca="1" si="7"/>
        <v>348.89261151511681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134806</v>
      </c>
      <c r="B80" s="66">
        <v>134806</v>
      </c>
      <c r="D80">
        <f t="shared" si="4"/>
        <v>0.58843865538148599</v>
      </c>
      <c r="E80">
        <f t="shared" si="4"/>
        <v>0.58843865538148599</v>
      </c>
      <c r="G80">
        <f t="shared" ca="1" si="5"/>
        <v>78</v>
      </c>
      <c r="H80">
        <f t="shared" ca="1" si="6"/>
        <v>45.898215119755903</v>
      </c>
      <c r="I80">
        <f t="shared" ca="1" si="7"/>
        <v>263.24539959212353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156255</v>
      </c>
      <c r="B82" s="66">
        <v>156255</v>
      </c>
      <c r="D82">
        <f t="shared" si="4"/>
        <v>0.68206520552968031</v>
      </c>
      <c r="E82">
        <f t="shared" si="4"/>
        <v>0.68206520552968031</v>
      </c>
      <c r="G82">
        <f t="shared" ca="1" si="5"/>
        <v>80</v>
      </c>
      <c r="H82">
        <f t="shared" ca="1" si="6"/>
        <v>54.565216442374421</v>
      </c>
      <c r="I82">
        <f t="shared" ca="1" si="7"/>
        <v>250.15337228456872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166541</v>
      </c>
      <c r="B85" s="66">
        <v>166541</v>
      </c>
      <c r="D85">
        <f t="shared" si="4"/>
        <v>0.7269643940617484</v>
      </c>
      <c r="E85">
        <f t="shared" si="4"/>
        <v>0.7269643940617484</v>
      </c>
      <c r="G85">
        <f t="shared" ca="1" si="5"/>
        <v>83</v>
      </c>
      <c r="H85">
        <f t="shared" ca="1" si="6"/>
        <v>60.338044707125114</v>
      </c>
      <c r="I85">
        <f t="shared" ca="1" si="7"/>
        <v>189.6308859975174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171067</v>
      </c>
      <c r="B88" s="66">
        <v>171067</v>
      </c>
      <c r="D88">
        <f t="shared" si="4"/>
        <v>0.74672073542827955</v>
      </c>
      <c r="E88">
        <f t="shared" si="4"/>
        <v>0.74672073542827955</v>
      </c>
      <c r="G88">
        <f t="shared" ca="1" si="5"/>
        <v>86</v>
      </c>
      <c r="H88">
        <f t="shared" ca="1" si="6"/>
        <v>64.217983246832034</v>
      </c>
      <c r="I88">
        <f t="shared" ca="1" si="7"/>
        <v>129.14339672319659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169280</v>
      </c>
      <c r="B90" s="66">
        <v>169280</v>
      </c>
      <c r="D90">
        <f t="shared" si="4"/>
        <v>0.73892034169827714</v>
      </c>
      <c r="E90">
        <f t="shared" si="4"/>
        <v>0.73892034169827714</v>
      </c>
      <c r="G90">
        <f t="shared" ca="1" si="5"/>
        <v>88</v>
      </c>
      <c r="H90">
        <f t="shared" ca="1" si="6"/>
        <v>65.024990069448393</v>
      </c>
      <c r="I90">
        <f t="shared" ca="1" si="7"/>
        <v>91.880014149515262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182051</v>
      </c>
      <c r="B93" s="66">
        <v>182051</v>
      </c>
      <c r="D93">
        <f t="shared" si="4"/>
        <v>0.79466674814811578</v>
      </c>
      <c r="E93">
        <f t="shared" si="4"/>
        <v>0.79466674814811578</v>
      </c>
      <c r="G93">
        <f t="shared" ca="1" si="5"/>
        <v>91</v>
      </c>
      <c r="H93">
        <f t="shared" ca="1" si="6"/>
        <v>72.314674081478529</v>
      </c>
      <c r="I93">
        <f t="shared" ca="1" si="7"/>
        <v>52.796007329171381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187761</v>
      </c>
      <c r="B95" s="66">
        <v>187761</v>
      </c>
      <c r="D95">
        <f t="shared" si="4"/>
        <v>0.8195913414320074</v>
      </c>
      <c r="E95">
        <f t="shared" si="4"/>
        <v>0.8195913414320074</v>
      </c>
      <c r="G95">
        <f t="shared" ca="1" si="5"/>
        <v>93</v>
      </c>
      <c r="H95">
        <f t="shared" ca="1" si="6"/>
        <v>76.221994753176688</v>
      </c>
      <c r="I95">
        <f t="shared" ca="1" si="7"/>
        <v>31.008531574833846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189511</v>
      </c>
      <c r="B98" s="66">
        <v>189511</v>
      </c>
      <c r="D98">
        <f t="shared" si="4"/>
        <v>0.82723022728959239</v>
      </c>
      <c r="E98">
        <f t="shared" si="4"/>
        <v>0.82723022728959239</v>
      </c>
      <c r="G98">
        <f t="shared" ca="1" si="5"/>
        <v>96</v>
      </c>
      <c r="H98">
        <f t="shared" ca="1" si="6"/>
        <v>79.414101819800862</v>
      </c>
      <c r="I98">
        <f t="shared" ca="1" si="7"/>
        <v>8.213123174281721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194924</v>
      </c>
      <c r="B100" s="66">
        <v>194924</v>
      </c>
      <c r="D100">
        <f t="shared" si="4"/>
        <v>0.85085839251651085</v>
      </c>
      <c r="E100">
        <f t="shared" si="4"/>
        <v>0.85085839251651085</v>
      </c>
      <c r="G100">
        <f t="shared" ca="1" si="5"/>
        <v>98</v>
      </c>
      <c r="H100">
        <f t="shared" ca="1" si="6"/>
        <v>83.384122466618066</v>
      </c>
      <c r="I100">
        <f t="shared" ca="1" si="7"/>
        <v>1.1271124248768751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201364</v>
      </c>
      <c r="B103" s="66">
        <v>201364</v>
      </c>
      <c r="D103">
        <f t="shared" si="4"/>
        <v>0.87896949247242362</v>
      </c>
      <c r="E103">
        <f t="shared" si="4"/>
        <v>0.87896949247242362</v>
      </c>
      <c r="G103">
        <f t="shared" ca="1" si="5"/>
        <v>101</v>
      </c>
      <c r="H103">
        <f t="shared" ca="1" si="6"/>
        <v>88.775918739714783</v>
      </c>
      <c r="I103">
        <f t="shared" ca="1" si="7"/>
        <v>3.0051970705089657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207080</v>
      </c>
      <c r="B106" s="66">
        <v>207080</v>
      </c>
      <c r="D106">
        <f t="shared" si="4"/>
        <v>0.90392027622211257</v>
      </c>
      <c r="E106">
        <f t="shared" si="4"/>
        <v>0.90392027622211257</v>
      </c>
      <c r="G106">
        <f t="shared" ca="1" si="5"/>
        <v>104</v>
      </c>
      <c r="H106">
        <f t="shared" ca="1" si="6"/>
        <v>94.007708727099711</v>
      </c>
      <c r="I106">
        <f t="shared" ca="1" si="7"/>
        <v>21.254170319185594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215327</v>
      </c>
      <c r="B108" s="66">
        <v>215327</v>
      </c>
      <c r="D108">
        <f t="shared" si="4"/>
        <v>0.93991907146068587</v>
      </c>
      <c r="E108">
        <f t="shared" si="4"/>
        <v>0.93991907146068587</v>
      </c>
      <c r="G108">
        <f t="shared" ca="1" si="5"/>
        <v>106</v>
      </c>
      <c r="H108">
        <f t="shared" ca="1" si="6"/>
        <v>99.6314215748327</v>
      </c>
      <c r="I108">
        <f t="shared" ca="1" si="7"/>
        <v>44.091171001538747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214677</v>
      </c>
      <c r="B111" s="66">
        <v>214677</v>
      </c>
      <c r="D111">
        <f t="shared" si="4"/>
        <v>0.93708177099929724</v>
      </c>
      <c r="E111">
        <f t="shared" si="4"/>
        <v>0.93708177099929724</v>
      </c>
      <c r="G111">
        <f t="shared" ca="1" si="5"/>
        <v>109</v>
      </c>
      <c r="H111">
        <f t="shared" ca="1" si="6"/>
        <v>102.14191303892341</v>
      </c>
      <c r="I111">
        <f t="shared" ca="1" si="7"/>
        <v>90.900551987229875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227767</v>
      </c>
      <c r="B113" s="66">
        <v>227767</v>
      </c>
      <c r="D113">
        <f t="shared" si="4"/>
        <v>0.99422063721403287</v>
      </c>
      <c r="E113">
        <f t="shared" si="4"/>
        <v>0.99422063721403287</v>
      </c>
      <c r="G113">
        <f t="shared" ca="1" si="5"/>
        <v>111</v>
      </c>
      <c r="H113">
        <f t="shared" ca="1" si="6"/>
        <v>110.35849073075765</v>
      </c>
      <c r="I113">
        <f t="shared" ca="1" si="7"/>
        <v>139.58865598955799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226476</v>
      </c>
      <c r="B116" s="66">
        <v>226476</v>
      </c>
      <c r="D116">
        <f t="shared" si="4"/>
        <v>0.98858532198995164</v>
      </c>
      <c r="E116">
        <f t="shared" si="4"/>
        <v>0.98858532198995164</v>
      </c>
      <c r="G116">
        <f t="shared" ca="1" si="5"/>
        <v>114</v>
      </c>
      <c r="H116">
        <f t="shared" ca="1" si="6"/>
        <v>112.69872670685449</v>
      </c>
      <c r="I116">
        <f t="shared" ca="1" si="7"/>
        <v>217.97752993917874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214967</v>
      </c>
      <c r="B118" s="66">
        <v>214967</v>
      </c>
      <c r="D118">
        <f t="shared" si="4"/>
        <v>0.93834764351283984</v>
      </c>
      <c r="E118">
        <f t="shared" si="4"/>
        <v>0.93834764351283984</v>
      </c>
      <c r="G118">
        <f t="shared" ca="1" si="5"/>
        <v>116</v>
      </c>
      <c r="H118">
        <f t="shared" ca="1" si="6"/>
        <v>108.84832664748942</v>
      </c>
      <c r="I118">
        <f t="shared" ca="1" si="7"/>
        <v>266.38809265780753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219395</v>
      </c>
      <c r="B121" s="66">
        <v>219395</v>
      </c>
      <c r="D121">
        <f t="shared" si="4"/>
        <v>0.95767620727134628</v>
      </c>
      <c r="E121">
        <f t="shared" si="4"/>
        <v>0.95767620727134628</v>
      </c>
      <c r="G121">
        <f t="shared" ca="1" si="5"/>
        <v>119</v>
      </c>
      <c r="H121">
        <f t="shared" ca="1" si="6"/>
        <v>113.96346866529021</v>
      </c>
      <c r="I121">
        <f t="shared" ca="1" si="7"/>
        <v>377.31000480814134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227778</v>
      </c>
      <c r="B124" s="66">
        <v>227778</v>
      </c>
      <c r="D124">
        <f t="shared" si="4"/>
        <v>0.99426865306799483</v>
      </c>
      <c r="E124">
        <f t="shared" si="4"/>
        <v>0.99426865306799483</v>
      </c>
      <c r="G124">
        <f t="shared" ca="1" si="5"/>
        <v>122</v>
      </c>
      <c r="H124">
        <f t="shared" ca="1" si="6"/>
        <v>121.30077567429537</v>
      </c>
      <c r="I124">
        <f t="shared" ca="1" si="7"/>
        <v>519.08704799426346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229091</v>
      </c>
      <c r="B126" s="66">
        <v>229091</v>
      </c>
      <c r="D126">
        <f t="shared" si="4"/>
        <v>1</v>
      </c>
      <c r="E126">
        <f t="shared" si="4"/>
        <v>1</v>
      </c>
      <c r="G126">
        <f t="shared" ca="1" si="5"/>
        <v>124</v>
      </c>
      <c r="H126">
        <f t="shared" ca="1" si="6"/>
        <v>124</v>
      </c>
      <c r="I126">
        <f t="shared" ca="1" si="7"/>
        <v>617.47548110095806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227170</v>
      </c>
      <c r="B129" s="66">
        <v>227170</v>
      </c>
      <c r="D129">
        <f t="shared" si="4"/>
        <v>0.99161468586718815</v>
      </c>
      <c r="E129">
        <f t="shared" si="4"/>
        <v>0.99161468586718815</v>
      </c>
      <c r="G129">
        <f t="shared" ca="1" si="5"/>
        <v>127</v>
      </c>
      <c r="H129">
        <f t="shared" ca="1" si="6"/>
        <v>125.93506510513289</v>
      </c>
      <c r="I129">
        <f t="shared" ca="1" si="7"/>
        <v>769.06640822300642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217250</v>
      </c>
      <c r="B131" s="66">
        <v>217250</v>
      </c>
      <c r="D131">
        <f t="shared" ref="D131:E194" si="8">IFERROR( A131/MAX(A$2:A$257), 0 )</f>
        <v>0.94831311574876365</v>
      </c>
      <c r="E131">
        <f t="shared" si="8"/>
        <v>0.94831311574876365</v>
      </c>
      <c r="G131">
        <f t="shared" ref="G131:G194" ca="1" si="9">CELL("row",D131)-2</f>
        <v>129</v>
      </c>
      <c r="H131">
        <f t="shared" ref="H131:H194" ca="1" si="10">D131*G131</f>
        <v>122.33239193159051</v>
      </c>
      <c r="I131">
        <f t="shared" ref="I131:I194" ca="1" si="11">D131*((G131-$L$1)^2)</f>
        <v>844.91476281074813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201732</v>
      </c>
      <c r="B134" s="66">
        <v>201732</v>
      </c>
      <c r="D134">
        <f t="shared" si="8"/>
        <v>0.88057584104133291</v>
      </c>
      <c r="E134">
        <f t="shared" si="8"/>
        <v>0.88057584104133291</v>
      </c>
      <c r="G134">
        <f t="shared" ca="1" si="9"/>
        <v>132</v>
      </c>
      <c r="H134">
        <f t="shared" ca="1" si="10"/>
        <v>116.23601101745595</v>
      </c>
      <c r="I134">
        <f t="shared" ca="1" si="11"/>
        <v>950.19446990275435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181813</v>
      </c>
      <c r="B136" s="66">
        <v>181813</v>
      </c>
      <c r="D136">
        <f t="shared" si="8"/>
        <v>0.7936278596714843</v>
      </c>
      <c r="E136">
        <f t="shared" si="8"/>
        <v>0.7936278596714843</v>
      </c>
      <c r="G136">
        <f t="shared" ca="1" si="9"/>
        <v>134</v>
      </c>
      <c r="H136">
        <f t="shared" ca="1" si="10"/>
        <v>106.34613319597889</v>
      </c>
      <c r="I136">
        <f t="shared" ca="1" si="11"/>
        <v>963.82656010270796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153664</v>
      </c>
      <c r="B139" s="66">
        <v>153664</v>
      </c>
      <c r="D139">
        <f t="shared" si="8"/>
        <v>0.6707552893828217</v>
      </c>
      <c r="E139">
        <f t="shared" si="8"/>
        <v>0.6707552893828217</v>
      </c>
      <c r="G139">
        <f t="shared" ca="1" si="9"/>
        <v>137</v>
      </c>
      <c r="H139">
        <f t="shared" ca="1" si="10"/>
        <v>91.893474645446574</v>
      </c>
      <c r="I139">
        <f t="shared" ca="1" si="11"/>
        <v>960.8910822303493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133105</v>
      </c>
      <c r="B142" s="66">
        <v>133105</v>
      </c>
      <c r="D142">
        <f t="shared" si="8"/>
        <v>0.58101365832791341</v>
      </c>
      <c r="E142">
        <f t="shared" si="8"/>
        <v>0.58101365832791341</v>
      </c>
      <c r="G142">
        <f t="shared" ca="1" si="9"/>
        <v>140</v>
      </c>
      <c r="H142">
        <f t="shared" ca="1" si="10"/>
        <v>81.341912165907871</v>
      </c>
      <c r="I142">
        <f t="shared" ca="1" si="11"/>
        <v>969.50565604656686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115529</v>
      </c>
      <c r="B144" s="66">
        <v>115529</v>
      </c>
      <c r="D144">
        <f t="shared" si="8"/>
        <v>0.50429305385196277</v>
      </c>
      <c r="E144">
        <f t="shared" si="8"/>
        <v>0.50429305385196277</v>
      </c>
      <c r="G144">
        <f t="shared" ca="1" si="9"/>
        <v>142</v>
      </c>
      <c r="H144">
        <f t="shared" ca="1" si="10"/>
        <v>71.609613646978715</v>
      </c>
      <c r="I144">
        <f t="shared" ca="1" si="11"/>
        <v>925.90293595001128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96099</v>
      </c>
      <c r="B147" s="66">
        <v>96099</v>
      </c>
      <c r="D147">
        <f t="shared" si="8"/>
        <v>0.419479595444605</v>
      </c>
      <c r="E147">
        <f t="shared" si="8"/>
        <v>0.419479595444605</v>
      </c>
      <c r="G147">
        <f t="shared" ca="1" si="9"/>
        <v>145</v>
      </c>
      <c r="H147">
        <f t="shared" ca="1" si="10"/>
        <v>60.824541339467729</v>
      </c>
      <c r="I147">
        <f t="shared" ca="1" si="11"/>
        <v>881.80305232844171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68269</v>
      </c>
      <c r="B149" s="66">
        <v>68269</v>
      </c>
      <c r="D149">
        <f t="shared" si="8"/>
        <v>0.29799948492083933</v>
      </c>
      <c r="E149">
        <f t="shared" si="8"/>
        <v>0.29799948492083933</v>
      </c>
      <c r="G149">
        <f t="shared" ca="1" si="9"/>
        <v>147</v>
      </c>
      <c r="H149">
        <f t="shared" ca="1" si="10"/>
        <v>43.805924283363382</v>
      </c>
      <c r="I149">
        <f t="shared" ca="1" si="11"/>
        <v>682.27934531857943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48800</v>
      </c>
      <c r="B152" s="66">
        <v>48800</v>
      </c>
      <c r="D152">
        <f t="shared" si="8"/>
        <v>0.21301578848579822</v>
      </c>
      <c r="E152">
        <f t="shared" si="8"/>
        <v>0.21301578848579822</v>
      </c>
      <c r="G152">
        <f t="shared" ca="1" si="9"/>
        <v>150</v>
      </c>
      <c r="H152">
        <f t="shared" ca="1" si="10"/>
        <v>31.952368272869734</v>
      </c>
      <c r="I152">
        <f t="shared" ca="1" si="11"/>
        <v>550.77922190141999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37336</v>
      </c>
      <c r="B154" s="66">
        <v>37336</v>
      </c>
      <c r="D154">
        <f t="shared" si="8"/>
        <v>0.16297453850216725</v>
      </c>
      <c r="E154">
        <f t="shared" si="8"/>
        <v>0.16297453850216725</v>
      </c>
      <c r="G154">
        <f t="shared" ca="1" si="9"/>
        <v>152</v>
      </c>
      <c r="H154">
        <f t="shared" ca="1" si="10"/>
        <v>24.772129852329421</v>
      </c>
      <c r="I154">
        <f t="shared" ca="1" si="11"/>
        <v>455.19155313500028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22183</v>
      </c>
      <c r="B157" s="66">
        <v>22183</v>
      </c>
      <c r="D157">
        <f t="shared" si="8"/>
        <v>9.6830517130747168E-2</v>
      </c>
      <c r="E157">
        <f t="shared" si="8"/>
        <v>9.6830517130747168E-2</v>
      </c>
      <c r="G157">
        <f t="shared" ca="1" si="9"/>
        <v>155</v>
      </c>
      <c r="H157">
        <f t="shared" ca="1" si="10"/>
        <v>15.008730155265811</v>
      </c>
      <c r="I157">
        <f t="shared" ca="1" si="11"/>
        <v>302.02569511891488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14901</v>
      </c>
      <c r="B160" s="66">
        <v>14901</v>
      </c>
      <c r="D160">
        <f t="shared" si="8"/>
        <v>6.5044021807927857E-2</v>
      </c>
      <c r="E160">
        <f t="shared" si="8"/>
        <v>6.5044021807927857E-2</v>
      </c>
      <c r="G160">
        <f t="shared" ca="1" si="9"/>
        <v>158</v>
      </c>
      <c r="H160">
        <f t="shared" ca="1" si="10"/>
        <v>10.276955445652602</v>
      </c>
      <c r="I160">
        <f t="shared" ca="1" si="11"/>
        <v>225.26118144790544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6594</v>
      </c>
      <c r="B162" s="66">
        <v>6594</v>
      </c>
      <c r="D162">
        <f t="shared" si="8"/>
        <v>2.8783321911380194E-2</v>
      </c>
      <c r="E162">
        <f t="shared" si="8"/>
        <v>2.8783321911380194E-2</v>
      </c>
      <c r="G162">
        <f t="shared" ca="1" si="9"/>
        <v>160</v>
      </c>
      <c r="H162">
        <f t="shared" ca="1" si="10"/>
        <v>4.6053315058208311</v>
      </c>
      <c r="I162">
        <f t="shared" ca="1" si="11"/>
        <v>106.5733396664142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3538</v>
      </c>
      <c r="B165" s="66">
        <v>3538</v>
      </c>
      <c r="D165">
        <f t="shared" si="8"/>
        <v>1.5443644665220371E-2</v>
      </c>
      <c r="E165">
        <f t="shared" si="8"/>
        <v>1.5443644665220371E-2</v>
      </c>
      <c r="G165">
        <f t="shared" ca="1" si="9"/>
        <v>163</v>
      </c>
      <c r="H165">
        <f t="shared" ca="1" si="10"/>
        <v>2.5173140804309204</v>
      </c>
      <c r="I165">
        <f t="shared" ca="1" si="11"/>
        <v>62.959132267241557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1927</v>
      </c>
      <c r="B167" s="66">
        <v>1927</v>
      </c>
      <c r="D167">
        <f t="shared" si="8"/>
        <v>8.4115045986092856E-3</v>
      </c>
      <c r="E167">
        <f t="shared" si="8"/>
        <v>8.4115045986092856E-3</v>
      </c>
      <c r="G167">
        <f t="shared" ca="1" si="9"/>
        <v>165</v>
      </c>
      <c r="H167">
        <f t="shared" ca="1" si="10"/>
        <v>1.3878982587705322</v>
      </c>
      <c r="I167">
        <f t="shared" ca="1" si="11"/>
        <v>36.473107452543481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1096</v>
      </c>
      <c r="B170" s="66">
        <v>1096</v>
      </c>
      <c r="D170">
        <f t="shared" si="8"/>
        <v>4.7841250856646483E-3</v>
      </c>
      <c r="E170">
        <f t="shared" si="8"/>
        <v>4.7841250856646483E-3</v>
      </c>
      <c r="G170">
        <f t="shared" ca="1" si="9"/>
        <v>168</v>
      </c>
      <c r="H170">
        <f t="shared" ca="1" si="10"/>
        <v>0.80373301439166089</v>
      </c>
      <c r="I170">
        <f t="shared" ca="1" si="11"/>
        <v>22.677672542805855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296</v>
      </c>
      <c r="B173" s="66">
        <v>296</v>
      </c>
      <c r="D173">
        <f t="shared" si="8"/>
        <v>1.2920629793400876E-3</v>
      </c>
      <c r="E173">
        <f t="shared" si="8"/>
        <v>1.2920629793400876E-3</v>
      </c>
      <c r="G173">
        <f t="shared" ca="1" si="9"/>
        <v>171</v>
      </c>
      <c r="H173">
        <f t="shared" ca="1" si="10"/>
        <v>0.22094276946715499</v>
      </c>
      <c r="I173">
        <f t="shared" ca="1" si="11"/>
        <v>6.6699993403921107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218</v>
      </c>
      <c r="B175" s="66">
        <v>218</v>
      </c>
      <c r="D175">
        <f t="shared" si="8"/>
        <v>9.5158692397344282E-4</v>
      </c>
      <c r="E175">
        <f t="shared" si="8"/>
        <v>9.5158692397344282E-4</v>
      </c>
      <c r="G175">
        <f t="shared" ca="1" si="9"/>
        <v>173</v>
      </c>
      <c r="H175">
        <f t="shared" ca="1" si="10"/>
        <v>0.16462453784740561</v>
      </c>
      <c r="I175">
        <f t="shared" ca="1" si="11"/>
        <v>5.1896532076382496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85.553263079049771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1.651818788141272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0.61840294439166388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108</v>
      </c>
      <c r="B8" s="66">
        <v>108</v>
      </c>
      <c r="D8">
        <f t="shared" si="0"/>
        <v>0.12404382881951623</v>
      </c>
      <c r="E8">
        <f t="shared" si="1"/>
        <v>0.12404382881951623</v>
      </c>
      <c r="G8">
        <f t="shared" ca="1" si="2"/>
        <v>6</v>
      </c>
      <c r="H8">
        <f t="shared" ca="1" si="3"/>
        <v>0.74426297291709731</v>
      </c>
      <c r="I8">
        <f t="shared" ca="1" si="4"/>
        <v>785.03886704872889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491</v>
      </c>
      <c r="B10" s="66">
        <v>491</v>
      </c>
      <c r="D10">
        <f t="shared" si="0"/>
        <v>0.56393999954057838</v>
      </c>
      <c r="E10">
        <f t="shared" si="1"/>
        <v>0.56393999954057838</v>
      </c>
      <c r="G10">
        <f t="shared" ca="1" si="2"/>
        <v>8</v>
      </c>
      <c r="H10">
        <f t="shared" ca="1" si="3"/>
        <v>4.5115199963246271</v>
      </c>
      <c r="I10">
        <f t="shared" ca="1" si="4"/>
        <v>3391.8219851334361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1449</v>
      </c>
      <c r="B13" s="66">
        <v>1449</v>
      </c>
      <c r="D13">
        <f t="shared" si="0"/>
        <v>1.6642547033285093</v>
      </c>
      <c r="E13">
        <f t="shared" si="1"/>
        <v>1.6642547033285093</v>
      </c>
      <c r="G13">
        <f t="shared" ca="1" si="2"/>
        <v>11</v>
      </c>
      <c r="H13">
        <f t="shared" ca="1" si="3"/>
        <v>18.306801736613604</v>
      </c>
      <c r="I13">
        <f t="shared" ca="1" si="4"/>
        <v>9250.2422447092704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2620</v>
      </c>
      <c r="B15" s="66">
        <v>2620</v>
      </c>
      <c r="D15">
        <f t="shared" si="0"/>
        <v>3.0092114028438197</v>
      </c>
      <c r="E15">
        <f t="shared" si="1"/>
        <v>3.0092114028438197</v>
      </c>
      <c r="G15">
        <f t="shared" ca="1" si="2"/>
        <v>13</v>
      </c>
      <c r="H15">
        <f t="shared" ca="1" si="3"/>
        <v>39.119748236969656</v>
      </c>
      <c r="I15">
        <f t="shared" ca="1" si="4"/>
        <v>15840.416553596873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6376</v>
      </c>
      <c r="B18" s="66">
        <v>6376</v>
      </c>
      <c r="D18">
        <f t="shared" si="0"/>
        <v>7.3231801162336616</v>
      </c>
      <c r="E18">
        <f t="shared" si="1"/>
        <v>7.3231801162336616</v>
      </c>
      <c r="G18">
        <f t="shared" ca="1" si="2"/>
        <v>16</v>
      </c>
      <c r="H18">
        <f t="shared" ca="1" si="3"/>
        <v>117.17088185973859</v>
      </c>
      <c r="I18">
        <f t="shared" ca="1" si="4"/>
        <v>35427.029193852715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8492</v>
      </c>
      <c r="B21" s="66">
        <v>8492</v>
      </c>
      <c r="D21">
        <f t="shared" si="0"/>
        <v>9.7535203179197385</v>
      </c>
      <c r="E21">
        <f t="shared" si="1"/>
        <v>9.7535203179197385</v>
      </c>
      <c r="G21">
        <f t="shared" ca="1" si="2"/>
        <v>19</v>
      </c>
      <c r="H21">
        <f t="shared" ca="1" si="3"/>
        <v>185.31688604047503</v>
      </c>
      <c r="I21">
        <f t="shared" ca="1" si="4"/>
        <v>43201.626731877564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12704</v>
      </c>
      <c r="B23" s="66">
        <v>12704</v>
      </c>
      <c r="D23">
        <f t="shared" si="0"/>
        <v>14.591229641880872</v>
      </c>
      <c r="E23">
        <f t="shared" si="1"/>
        <v>14.591229641880872</v>
      </c>
      <c r="G23">
        <f t="shared" ca="1" si="2"/>
        <v>21</v>
      </c>
      <c r="H23">
        <f t="shared" ca="1" si="3"/>
        <v>306.41582247949833</v>
      </c>
      <c r="I23">
        <f t="shared" ca="1" si="4"/>
        <v>60803.459934807899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16074</v>
      </c>
      <c r="B26" s="66">
        <v>16074</v>
      </c>
      <c r="D26">
        <f t="shared" si="0"/>
        <v>18.461856522637998</v>
      </c>
      <c r="E26">
        <f t="shared" si="1"/>
        <v>18.461856522637998</v>
      </c>
      <c r="G26">
        <f t="shared" ca="1" si="2"/>
        <v>24</v>
      </c>
      <c r="H26">
        <f t="shared" ca="1" si="3"/>
        <v>443.08455654331192</v>
      </c>
      <c r="I26">
        <f t="shared" ca="1" si="4"/>
        <v>69948.359452989229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20951</v>
      </c>
      <c r="B28" s="66">
        <v>20951</v>
      </c>
      <c r="D28">
        <f t="shared" si="0"/>
        <v>24.063354237015599</v>
      </c>
      <c r="E28">
        <f t="shared" si="1"/>
        <v>24.063354237015599</v>
      </c>
      <c r="G28">
        <f t="shared" ca="1" si="2"/>
        <v>26</v>
      </c>
      <c r="H28">
        <f t="shared" ca="1" si="3"/>
        <v>625.6472101624056</v>
      </c>
      <c r="I28">
        <f t="shared" ca="1" si="4"/>
        <v>85342.879016594306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27720</v>
      </c>
      <c r="B31" s="66">
        <v>27720</v>
      </c>
      <c r="D31">
        <f t="shared" si="0"/>
        <v>31.837916063675831</v>
      </c>
      <c r="E31">
        <f t="shared" si="1"/>
        <v>31.837916063675831</v>
      </c>
      <c r="G31">
        <f t="shared" ca="1" si="2"/>
        <v>29</v>
      </c>
      <c r="H31">
        <f t="shared" ca="1" si="3"/>
        <v>923.29956584659908</v>
      </c>
      <c r="I31">
        <f t="shared" ca="1" si="4"/>
        <v>101826.30163175211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29282</v>
      </c>
      <c r="B33" s="66">
        <v>29282</v>
      </c>
      <c r="D33">
        <f t="shared" si="0"/>
        <v>33.631957365676612</v>
      </c>
      <c r="E33">
        <f t="shared" si="1"/>
        <v>33.631957365676612</v>
      </c>
      <c r="G33">
        <f t="shared" ca="1" si="2"/>
        <v>31</v>
      </c>
      <c r="H33">
        <f t="shared" ca="1" si="3"/>
        <v>1042.5906783359751</v>
      </c>
      <c r="I33">
        <f t="shared" ca="1" si="4"/>
        <v>100090.67301258096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42096</v>
      </c>
      <c r="B36" s="66">
        <v>42096</v>
      </c>
      <c r="D36">
        <f t="shared" si="0"/>
        <v>48.349527944318105</v>
      </c>
      <c r="E36">
        <f t="shared" si="1"/>
        <v>48.349527944318105</v>
      </c>
      <c r="G36">
        <f t="shared" ca="1" si="2"/>
        <v>34</v>
      </c>
      <c r="H36">
        <f t="shared" ca="1" si="3"/>
        <v>1643.8839501068155</v>
      </c>
      <c r="I36">
        <f t="shared" ca="1" si="4"/>
        <v>128500.42286285973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44908</v>
      </c>
      <c r="B39" s="66">
        <v>44908</v>
      </c>
      <c r="D39">
        <f t="shared" si="0"/>
        <v>51.579261709507733</v>
      </c>
      <c r="E39">
        <f t="shared" si="1"/>
        <v>51.579261709507733</v>
      </c>
      <c r="G39">
        <f t="shared" ca="1" si="2"/>
        <v>37</v>
      </c>
      <c r="H39">
        <f t="shared" ca="1" si="3"/>
        <v>1908.4326832517861</v>
      </c>
      <c r="I39">
        <f t="shared" ca="1" si="4"/>
        <v>121593.94990275934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52503</v>
      </c>
      <c r="B41" s="66">
        <v>52503</v>
      </c>
      <c r="D41">
        <f t="shared" si="0"/>
        <v>60.30252911584315</v>
      </c>
      <c r="E41">
        <f t="shared" si="1"/>
        <v>60.30252911584315</v>
      </c>
      <c r="G41">
        <f t="shared" ca="1" si="2"/>
        <v>39</v>
      </c>
      <c r="H41">
        <f t="shared" ca="1" si="3"/>
        <v>2351.7986355178828</v>
      </c>
      <c r="I41">
        <f t="shared" ca="1" si="4"/>
        <v>130688.02120522235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60530</v>
      </c>
      <c r="B44" s="66">
        <v>60530</v>
      </c>
      <c r="D44">
        <f t="shared" si="0"/>
        <v>69.521971837456647</v>
      </c>
      <c r="E44">
        <f t="shared" si="1"/>
        <v>69.521971837456647</v>
      </c>
      <c r="G44">
        <f t="shared" ca="1" si="2"/>
        <v>42</v>
      </c>
      <c r="H44">
        <f t="shared" ca="1" si="3"/>
        <v>2919.9228171731793</v>
      </c>
      <c r="I44">
        <f t="shared" ca="1" si="4"/>
        <v>131875.30546267965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74585</v>
      </c>
      <c r="B46" s="66">
        <v>74585</v>
      </c>
      <c r="D46">
        <f t="shared" si="0"/>
        <v>85.664897893552023</v>
      </c>
      <c r="E46">
        <f t="shared" si="1"/>
        <v>85.664897893552023</v>
      </c>
      <c r="G46">
        <f t="shared" ca="1" si="2"/>
        <v>44</v>
      </c>
      <c r="H46">
        <f t="shared" ca="1" si="3"/>
        <v>3769.2555073162889</v>
      </c>
      <c r="I46">
        <f t="shared" ca="1" si="4"/>
        <v>147915.32385162939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65679</v>
      </c>
      <c r="B49" s="66">
        <v>65679</v>
      </c>
      <c r="D49">
        <f t="shared" si="0"/>
        <v>75.435876231824139</v>
      </c>
      <c r="E49">
        <f t="shared" si="1"/>
        <v>75.435876231824139</v>
      </c>
      <c r="G49">
        <f t="shared" ca="1" si="2"/>
        <v>47</v>
      </c>
      <c r="H49">
        <f t="shared" ca="1" si="3"/>
        <v>3545.4861828957346</v>
      </c>
      <c r="I49">
        <f t="shared" ca="1" si="4"/>
        <v>112124.42347484926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61873</v>
      </c>
      <c r="B51" s="66">
        <v>61873</v>
      </c>
      <c r="D51">
        <f t="shared" si="0"/>
        <v>71.064479819906737</v>
      </c>
      <c r="E51">
        <f t="shared" si="1"/>
        <v>71.064479819906737</v>
      </c>
      <c r="G51">
        <f t="shared" ca="1" si="2"/>
        <v>49</v>
      </c>
      <c r="H51">
        <f t="shared" ca="1" si="3"/>
        <v>3482.15951117543</v>
      </c>
      <c r="I51">
        <f t="shared" ca="1" si="4"/>
        <v>94952.168096302354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63744</v>
      </c>
      <c r="B54" s="66">
        <v>63744</v>
      </c>
      <c r="D54">
        <f t="shared" si="0"/>
        <v>73.213424298807794</v>
      </c>
      <c r="E54">
        <f t="shared" si="1"/>
        <v>73.213424298807794</v>
      </c>
      <c r="G54">
        <f t="shared" ca="1" si="2"/>
        <v>52</v>
      </c>
      <c r="H54">
        <f t="shared" ca="1" si="3"/>
        <v>3807.0980635380051</v>
      </c>
      <c r="I54">
        <f t="shared" ca="1" si="4"/>
        <v>82425.244473767802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61690</v>
      </c>
      <c r="B57" s="66">
        <v>61690</v>
      </c>
      <c r="D57">
        <f t="shared" si="0"/>
        <v>70.854294443295885</v>
      </c>
      <c r="E57">
        <f t="shared" si="1"/>
        <v>70.854294443295885</v>
      </c>
      <c r="G57">
        <f t="shared" ca="1" si="2"/>
        <v>55</v>
      </c>
      <c r="H57">
        <f t="shared" ca="1" si="3"/>
        <v>3896.9861943812739</v>
      </c>
      <c r="I57">
        <f t="shared" ca="1" si="4"/>
        <v>66142.617407405574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72068</v>
      </c>
      <c r="B59" s="66">
        <v>72068</v>
      </c>
      <c r="D59">
        <f t="shared" si="0"/>
        <v>82.773987549674956</v>
      </c>
      <c r="E59">
        <f t="shared" si="1"/>
        <v>82.773987549674956</v>
      </c>
      <c r="G59">
        <f t="shared" ca="1" si="2"/>
        <v>57</v>
      </c>
      <c r="H59">
        <f t="shared" ca="1" si="3"/>
        <v>4718.1172903314728</v>
      </c>
      <c r="I59">
        <f t="shared" ca="1" si="4"/>
        <v>67484.707667551163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65872</v>
      </c>
      <c r="B62" s="66">
        <v>65872</v>
      </c>
      <c r="D62">
        <f t="shared" si="0"/>
        <v>75.657547148140495</v>
      </c>
      <c r="E62">
        <f t="shared" si="1"/>
        <v>75.657547148140495</v>
      </c>
      <c r="G62">
        <f t="shared" ca="1" si="2"/>
        <v>60</v>
      </c>
      <c r="H62">
        <f t="shared" ca="1" si="3"/>
        <v>4539.4528288884294</v>
      </c>
      <c r="I62">
        <f t="shared" ca="1" si="4"/>
        <v>49402.052119817272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59767</v>
      </c>
      <c r="B64" s="66">
        <v>59767</v>
      </c>
      <c r="D64">
        <f t="shared" si="0"/>
        <v>68.645625157926176</v>
      </c>
      <c r="E64">
        <f t="shared" si="1"/>
        <v>68.645625157926176</v>
      </c>
      <c r="G64">
        <f t="shared" ca="1" si="2"/>
        <v>62</v>
      </c>
      <c r="H64">
        <f t="shared" ca="1" si="3"/>
        <v>4256.028759791423</v>
      </c>
      <c r="I64">
        <f t="shared" ca="1" si="4"/>
        <v>38081.586273937493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55046</v>
      </c>
      <c r="B67" s="66">
        <v>55046</v>
      </c>
      <c r="D67">
        <f t="shared" ref="D67:D130" si="5">IFERROR( 100*A67/MAX(A$2:A$257), 0 )</f>
        <v>63.223301862954543</v>
      </c>
      <c r="E67">
        <f t="shared" ref="E67:E130" si="6">IFERROR( 100*B67/MAX(B$2:B$257), 0 )</f>
        <v>63.223301862954543</v>
      </c>
      <c r="G67">
        <f t="shared" ref="G67:G130" ca="1" si="7">CELL("row",D67)-2</f>
        <v>65</v>
      </c>
      <c r="H67">
        <f t="shared" ref="H67:H130" ca="1" si="8">D67*G67</f>
        <v>4109.5146210920457</v>
      </c>
      <c r="I67">
        <f t="shared" ref="I67:I130" ca="1" si="9">D67*((G67-$L$1)^2)</f>
        <v>26707.838146327755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55676</v>
      </c>
      <c r="B69" s="66">
        <v>55676</v>
      </c>
      <c r="D69">
        <f t="shared" si="5"/>
        <v>63.946890864401716</v>
      </c>
      <c r="E69">
        <f t="shared" si="6"/>
        <v>63.946890864401716</v>
      </c>
      <c r="G69">
        <f t="shared" ca="1" si="7"/>
        <v>67</v>
      </c>
      <c r="H69">
        <f t="shared" ca="1" si="8"/>
        <v>4284.4416879149148</v>
      </c>
      <c r="I69">
        <f t="shared" ca="1" si="9"/>
        <v>22012.027120045594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56467</v>
      </c>
      <c r="B72" s="66">
        <v>56467</v>
      </c>
      <c r="D72">
        <f t="shared" si="5"/>
        <v>64.855397055107616</v>
      </c>
      <c r="E72">
        <f t="shared" si="6"/>
        <v>64.855397055107616</v>
      </c>
      <c r="G72">
        <f t="shared" ca="1" si="7"/>
        <v>70</v>
      </c>
      <c r="H72">
        <f t="shared" ca="1" si="8"/>
        <v>4539.8777938575331</v>
      </c>
      <c r="I72">
        <f t="shared" ca="1" si="9"/>
        <v>15688.779476715477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59736</v>
      </c>
      <c r="B75" s="66">
        <v>59736</v>
      </c>
      <c r="D75">
        <f t="shared" si="5"/>
        <v>68.610019984839084</v>
      </c>
      <c r="E75">
        <f t="shared" si="6"/>
        <v>68.610019984839084</v>
      </c>
      <c r="G75">
        <f t="shared" ca="1" si="7"/>
        <v>73</v>
      </c>
      <c r="H75">
        <f t="shared" ca="1" si="8"/>
        <v>5008.5314588932533</v>
      </c>
      <c r="I75">
        <f t="shared" ca="1" si="9"/>
        <v>10811.869789162294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63187</v>
      </c>
      <c r="B77" s="66">
        <v>63187</v>
      </c>
      <c r="D77">
        <f t="shared" si="5"/>
        <v>72.573679737210853</v>
      </c>
      <c r="E77">
        <f t="shared" si="6"/>
        <v>72.573679737210853</v>
      </c>
      <c r="G77">
        <f t="shared" ca="1" si="7"/>
        <v>75</v>
      </c>
      <c r="H77">
        <f t="shared" ca="1" si="8"/>
        <v>5443.025980290814</v>
      </c>
      <c r="I77">
        <f t="shared" ca="1" si="9"/>
        <v>8082.6295297901952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59994</v>
      </c>
      <c r="B80" s="66">
        <v>59994</v>
      </c>
      <c r="D80">
        <f t="shared" si="5"/>
        <v>68.906346909241265</v>
      </c>
      <c r="E80">
        <f t="shared" si="6"/>
        <v>68.906346909241265</v>
      </c>
      <c r="G80">
        <f t="shared" ca="1" si="7"/>
        <v>78</v>
      </c>
      <c r="H80">
        <f t="shared" ca="1" si="8"/>
        <v>5374.6950589208191</v>
      </c>
      <c r="I80">
        <f t="shared" ca="1" si="9"/>
        <v>3931.2299609277297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67653</v>
      </c>
      <c r="B82" s="66">
        <v>67653</v>
      </c>
      <c r="D82">
        <f t="shared" si="5"/>
        <v>77.703121769691961</v>
      </c>
      <c r="E82">
        <f t="shared" si="6"/>
        <v>77.703121769691961</v>
      </c>
      <c r="G82">
        <f t="shared" ca="1" si="7"/>
        <v>80</v>
      </c>
      <c r="H82">
        <f t="shared" ca="1" si="8"/>
        <v>6216.2497415753569</v>
      </c>
      <c r="I82">
        <f t="shared" ca="1" si="9"/>
        <v>2396.2656565283996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67708</v>
      </c>
      <c r="B85" s="66">
        <v>67708</v>
      </c>
      <c r="D85">
        <f t="shared" si="5"/>
        <v>77.766292238072268</v>
      </c>
      <c r="E85">
        <f t="shared" si="6"/>
        <v>77.766292238072268</v>
      </c>
      <c r="G85">
        <f t="shared" ca="1" si="7"/>
        <v>83</v>
      </c>
      <c r="H85">
        <f t="shared" ca="1" si="8"/>
        <v>6454.6022557599981</v>
      </c>
      <c r="I85">
        <f t="shared" ca="1" si="9"/>
        <v>506.9703068598393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66476</v>
      </c>
      <c r="B88" s="66">
        <v>66476</v>
      </c>
      <c r="D88">
        <f t="shared" si="5"/>
        <v>76.351273746353343</v>
      </c>
      <c r="E88">
        <f t="shared" si="6"/>
        <v>76.351273746353343</v>
      </c>
      <c r="G88">
        <f t="shared" ca="1" si="7"/>
        <v>86</v>
      </c>
      <c r="H88">
        <f t="shared" ca="1" si="8"/>
        <v>6566.2095421863878</v>
      </c>
      <c r="I88">
        <f t="shared" ca="1" si="9"/>
        <v>15.237719680333454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65037</v>
      </c>
      <c r="B90" s="66">
        <v>65037</v>
      </c>
      <c r="D90">
        <f t="shared" si="5"/>
        <v>74.698504582730337</v>
      </c>
      <c r="E90">
        <f t="shared" si="6"/>
        <v>74.698504582730337</v>
      </c>
      <c r="G90">
        <f t="shared" ca="1" si="7"/>
        <v>88</v>
      </c>
      <c r="H90">
        <f t="shared" ca="1" si="8"/>
        <v>6573.4684032802697</v>
      </c>
      <c r="I90">
        <f t="shared" ca="1" si="9"/>
        <v>447.18420820974683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67442</v>
      </c>
      <c r="B93" s="66">
        <v>67442</v>
      </c>
      <c r="D93">
        <f t="shared" si="5"/>
        <v>77.460776881905687</v>
      </c>
      <c r="E93">
        <f t="shared" si="6"/>
        <v>77.460776881905687</v>
      </c>
      <c r="G93">
        <f t="shared" ca="1" si="7"/>
        <v>91</v>
      </c>
      <c r="H93">
        <f t="shared" ca="1" si="8"/>
        <v>7048.9306962534174</v>
      </c>
      <c r="I93">
        <f t="shared" ca="1" si="9"/>
        <v>2298.0244591561241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69063</v>
      </c>
      <c r="B95" s="66">
        <v>69063</v>
      </c>
      <c r="D95">
        <f t="shared" si="5"/>
        <v>79.322582868168979</v>
      </c>
      <c r="E95">
        <f t="shared" si="6"/>
        <v>79.322582868168979</v>
      </c>
      <c r="G95">
        <f t="shared" ca="1" si="7"/>
        <v>93</v>
      </c>
      <c r="H95">
        <f t="shared" ca="1" si="8"/>
        <v>7377.0002067397154</v>
      </c>
      <c r="I95">
        <f t="shared" ca="1" si="9"/>
        <v>4398.7458459532863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72355</v>
      </c>
      <c r="B98" s="66">
        <v>72355</v>
      </c>
      <c r="D98">
        <f t="shared" si="5"/>
        <v>83.103622539223124</v>
      </c>
      <c r="E98">
        <f t="shared" si="6"/>
        <v>83.103622539223124</v>
      </c>
      <c r="G98">
        <f t="shared" ca="1" si="7"/>
        <v>96</v>
      </c>
      <c r="H98">
        <f t="shared" ca="1" si="8"/>
        <v>7977.9477637654199</v>
      </c>
      <c r="I98">
        <f t="shared" ca="1" si="9"/>
        <v>9069.456695086641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81161</v>
      </c>
      <c r="B100" s="66">
        <v>81161</v>
      </c>
      <c r="D100">
        <f t="shared" si="5"/>
        <v>93.2177888038959</v>
      </c>
      <c r="E100">
        <f t="shared" si="6"/>
        <v>93.2177888038959</v>
      </c>
      <c r="G100">
        <f t="shared" ca="1" si="7"/>
        <v>98</v>
      </c>
      <c r="H100">
        <f t="shared" ca="1" si="8"/>
        <v>9135.3433027817973</v>
      </c>
      <c r="I100">
        <f t="shared" ca="1" si="9"/>
        <v>14441.417293988088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87066</v>
      </c>
      <c r="B103" s="66">
        <v>87066</v>
      </c>
      <c r="D103">
        <f t="shared" si="5"/>
        <v>100</v>
      </c>
      <c r="E103">
        <f t="shared" si="6"/>
        <v>100</v>
      </c>
      <c r="G103">
        <f t="shared" ca="1" si="7"/>
        <v>101</v>
      </c>
      <c r="H103">
        <f t="shared" ca="1" si="8"/>
        <v>10100</v>
      </c>
      <c r="I103">
        <f t="shared" ca="1" si="9"/>
        <v>23860.168150504698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83089</v>
      </c>
      <c r="B106" s="66">
        <v>83089</v>
      </c>
      <c r="D106">
        <f t="shared" si="5"/>
        <v>95.432200859118367</v>
      </c>
      <c r="E106">
        <f t="shared" si="6"/>
        <v>95.432200859118367</v>
      </c>
      <c r="G106">
        <f t="shared" ca="1" si="7"/>
        <v>104</v>
      </c>
      <c r="H106">
        <f t="shared" ca="1" si="8"/>
        <v>9924.9488893483103</v>
      </c>
      <c r="I106">
        <f t="shared" ca="1" si="9"/>
        <v>32473.870005193588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85295</v>
      </c>
      <c r="B108" s="66">
        <v>85295</v>
      </c>
      <c r="D108">
        <f t="shared" si="5"/>
        <v>97.965910918154037</v>
      </c>
      <c r="E108">
        <f t="shared" si="6"/>
        <v>97.965910918154037</v>
      </c>
      <c r="G108">
        <f t="shared" ca="1" si="7"/>
        <v>106</v>
      </c>
      <c r="H108">
        <f t="shared" ca="1" si="8"/>
        <v>10384.386557324327</v>
      </c>
      <c r="I108">
        <f t="shared" ca="1" si="9"/>
        <v>40956.515379938755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81936</v>
      </c>
      <c r="B111" s="66">
        <v>81936</v>
      </c>
      <c r="D111">
        <f t="shared" si="5"/>
        <v>94.107918131072978</v>
      </c>
      <c r="E111">
        <f t="shared" si="6"/>
        <v>94.107918131072978</v>
      </c>
      <c r="G111">
        <f t="shared" ca="1" si="7"/>
        <v>109</v>
      </c>
      <c r="H111">
        <f t="shared" ca="1" si="8"/>
        <v>10257.763076286954</v>
      </c>
      <c r="I111">
        <f t="shared" ca="1" si="9"/>
        <v>51735.778326186082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82623</v>
      </c>
      <c r="B113" s="66">
        <v>82623</v>
      </c>
      <c r="D113">
        <f t="shared" si="5"/>
        <v>94.896974708841569</v>
      </c>
      <c r="E113">
        <f t="shared" si="6"/>
        <v>94.896974708841569</v>
      </c>
      <c r="G113">
        <f t="shared" ca="1" si="7"/>
        <v>111</v>
      </c>
      <c r="H113">
        <f t="shared" ca="1" si="8"/>
        <v>10533.564192681413</v>
      </c>
      <c r="I113">
        <f t="shared" ca="1" si="9"/>
        <v>61449.247264586535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86230</v>
      </c>
      <c r="B116" s="66">
        <v>86230</v>
      </c>
      <c r="D116">
        <f t="shared" si="5"/>
        <v>99.039808880619304</v>
      </c>
      <c r="E116">
        <f t="shared" si="6"/>
        <v>99.039808880619304</v>
      </c>
      <c r="G116">
        <f t="shared" ca="1" si="7"/>
        <v>114</v>
      </c>
      <c r="H116">
        <f t="shared" ca="1" si="8"/>
        <v>11290.5382123906</v>
      </c>
      <c r="I116">
        <f t="shared" ca="1" si="9"/>
        <v>80144.681320161937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75427</v>
      </c>
      <c r="B118" s="66">
        <v>75427</v>
      </c>
      <c r="D118">
        <f t="shared" si="5"/>
        <v>86.63198033675603</v>
      </c>
      <c r="E118">
        <f t="shared" si="6"/>
        <v>86.63198033675603</v>
      </c>
      <c r="G118">
        <f t="shared" ca="1" si="7"/>
        <v>116</v>
      </c>
      <c r="H118">
        <f t="shared" ca="1" si="8"/>
        <v>10049.3097190637</v>
      </c>
      <c r="I118">
        <f t="shared" ca="1" si="9"/>
        <v>80308.174032316369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79668</v>
      </c>
      <c r="B121" s="66">
        <v>79668</v>
      </c>
      <c r="D121">
        <f t="shared" si="5"/>
        <v>91.502997725863139</v>
      </c>
      <c r="E121">
        <f t="shared" si="6"/>
        <v>91.502997725863139</v>
      </c>
      <c r="G121">
        <f t="shared" ca="1" si="7"/>
        <v>119</v>
      </c>
      <c r="H121">
        <f t="shared" ca="1" si="8"/>
        <v>10888.856729377714</v>
      </c>
      <c r="I121">
        <f t="shared" ca="1" si="9"/>
        <v>102362.95878391284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76386</v>
      </c>
      <c r="B124" s="66">
        <v>76386</v>
      </c>
      <c r="D124">
        <f t="shared" si="5"/>
        <v>87.733443594514512</v>
      </c>
      <c r="E124">
        <f t="shared" si="6"/>
        <v>87.733443594514512</v>
      </c>
      <c r="G124">
        <f t="shared" ca="1" si="7"/>
        <v>122</v>
      </c>
      <c r="H124">
        <f t="shared" ca="1" si="8"/>
        <v>10703.48011853077</v>
      </c>
      <c r="I124">
        <f t="shared" ca="1" si="9"/>
        <v>116542.00353074691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74199</v>
      </c>
      <c r="B126" s="66">
        <v>74199</v>
      </c>
      <c r="D126">
        <f t="shared" si="5"/>
        <v>85.221556060919298</v>
      </c>
      <c r="E126">
        <f t="shared" si="6"/>
        <v>85.221556060919298</v>
      </c>
      <c r="G126">
        <f t="shared" ca="1" si="7"/>
        <v>124</v>
      </c>
      <c r="H126">
        <f t="shared" ca="1" si="8"/>
        <v>10567.472951553993</v>
      </c>
      <c r="I126">
        <f t="shared" ca="1" si="9"/>
        <v>125970.37773032175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67064</v>
      </c>
      <c r="B129" s="66">
        <v>67064</v>
      </c>
      <c r="D129">
        <f t="shared" si="5"/>
        <v>77.026623481037376</v>
      </c>
      <c r="E129">
        <f t="shared" si="6"/>
        <v>77.026623481037376</v>
      </c>
      <c r="G129">
        <f t="shared" ca="1" si="7"/>
        <v>127</v>
      </c>
      <c r="H129">
        <f t="shared" ca="1" si="8"/>
        <v>9782.3811820917472</v>
      </c>
      <c r="I129">
        <f t="shared" ca="1" si="9"/>
        <v>132318.79877508787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53223</v>
      </c>
      <c r="B131" s="66">
        <v>53223</v>
      </c>
      <c r="D131">
        <f t="shared" ref="D131:D194" si="10">IFERROR( 100*A131/MAX(A$2:A$257), 0 )</f>
        <v>61.129487974639929</v>
      </c>
      <c r="E131">
        <f t="shared" ref="E131:E194" si="11">IFERROR( 100*B131/MAX(B$2:B$257), 0 )</f>
        <v>61.129487974639929</v>
      </c>
      <c r="G131">
        <f t="shared" ref="G131:G194" ca="1" si="12">CELL("row",D131)-2</f>
        <v>129</v>
      </c>
      <c r="H131">
        <f t="shared" ref="H131:H194" ca="1" si="13">D131*G131</f>
        <v>7885.703948728551</v>
      </c>
      <c r="I131">
        <f t="shared" ref="I131:I194" ca="1" si="14">D131*((G131-$L$1)^2)</f>
        <v>115389.17984838194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45201</v>
      </c>
      <c r="B134" s="66">
        <v>45201</v>
      </c>
      <c r="D134">
        <f t="shared" si="10"/>
        <v>51.915788022879198</v>
      </c>
      <c r="E134">
        <f t="shared" si="11"/>
        <v>51.915788022879198</v>
      </c>
      <c r="G134">
        <f t="shared" ca="1" si="12"/>
        <v>132</v>
      </c>
      <c r="H134">
        <f t="shared" ca="1" si="13"/>
        <v>6852.8840190200544</v>
      </c>
      <c r="I134">
        <f t="shared" ca="1" si="14"/>
        <v>111997.89682616595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36848</v>
      </c>
      <c r="B136" s="66">
        <v>36848</v>
      </c>
      <c r="D136">
        <f t="shared" si="10"/>
        <v>42.321916706866055</v>
      </c>
      <c r="E136">
        <f t="shared" si="11"/>
        <v>42.321916706866055</v>
      </c>
      <c r="G136">
        <f t="shared" ca="1" si="12"/>
        <v>134</v>
      </c>
      <c r="H136">
        <f t="shared" ca="1" si="13"/>
        <v>5671.1368387200519</v>
      </c>
      <c r="I136">
        <f t="shared" ca="1" si="14"/>
        <v>99333.19166639958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30653</v>
      </c>
      <c r="B139" s="66">
        <v>30653</v>
      </c>
      <c r="D139">
        <f t="shared" si="10"/>
        <v>35.206624859302138</v>
      </c>
      <c r="E139">
        <f t="shared" si="11"/>
        <v>35.206624859302138</v>
      </c>
      <c r="G139">
        <f t="shared" ca="1" si="12"/>
        <v>137</v>
      </c>
      <c r="H139">
        <f t="shared" ca="1" si="13"/>
        <v>4823.3076057243934</v>
      </c>
      <c r="I139">
        <f t="shared" ca="1" si="14"/>
        <v>93183.723698690766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21615</v>
      </c>
      <c r="B142" s="66">
        <v>21615</v>
      </c>
      <c r="D142">
        <f t="shared" si="10"/>
        <v>24.825994073461512</v>
      </c>
      <c r="E142">
        <f t="shared" si="11"/>
        <v>24.825994073461512</v>
      </c>
      <c r="G142">
        <f t="shared" ca="1" si="12"/>
        <v>140</v>
      </c>
      <c r="H142">
        <f t="shared" ca="1" si="13"/>
        <v>3475.6391702846117</v>
      </c>
      <c r="I142">
        <f t="shared" ca="1" si="14"/>
        <v>73595.347658495913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17372</v>
      </c>
      <c r="B144" s="66">
        <v>17372</v>
      </c>
      <c r="D144">
        <f t="shared" si="10"/>
        <v>19.952679576413296</v>
      </c>
      <c r="E144">
        <f t="shared" si="11"/>
        <v>19.952679576413296</v>
      </c>
      <c r="G144">
        <f t="shared" ca="1" si="12"/>
        <v>142</v>
      </c>
      <c r="H144">
        <f t="shared" ca="1" si="13"/>
        <v>2833.2804998506881</v>
      </c>
      <c r="I144">
        <f t="shared" ca="1" si="14"/>
        <v>63573.908232773938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11043</v>
      </c>
      <c r="B147" s="66">
        <v>11043</v>
      </c>
      <c r="D147">
        <f t="shared" si="10"/>
        <v>12.683481496795535</v>
      </c>
      <c r="E147">
        <f t="shared" si="11"/>
        <v>12.683481496795535</v>
      </c>
      <c r="G147">
        <f t="shared" ca="1" si="12"/>
        <v>145</v>
      </c>
      <c r="H147">
        <f t="shared" ca="1" si="13"/>
        <v>1839.1048170353527</v>
      </c>
      <c r="I147">
        <f t="shared" ca="1" si="14"/>
        <v>44822.3395594709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7944</v>
      </c>
      <c r="B149" s="66">
        <v>7944</v>
      </c>
      <c r="D149">
        <f t="shared" si="10"/>
        <v>9.1241127420577488</v>
      </c>
      <c r="E149">
        <f t="shared" si="11"/>
        <v>9.1241127420577488</v>
      </c>
      <c r="G149">
        <f t="shared" ca="1" si="12"/>
        <v>147</v>
      </c>
      <c r="H149">
        <f t="shared" ca="1" si="13"/>
        <v>1341.2445730824891</v>
      </c>
      <c r="I149">
        <f t="shared" ca="1" si="14"/>
        <v>34449.925967747142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5864</v>
      </c>
      <c r="B152" s="66">
        <v>5864</v>
      </c>
      <c r="D152">
        <f t="shared" si="10"/>
        <v>6.735120483311511</v>
      </c>
      <c r="E152">
        <f t="shared" si="11"/>
        <v>6.735120483311511</v>
      </c>
      <c r="G152">
        <f t="shared" ca="1" si="12"/>
        <v>150</v>
      </c>
      <c r="H152">
        <f t="shared" ca="1" si="13"/>
        <v>1010.2680724967266</v>
      </c>
      <c r="I152">
        <f t="shared" ca="1" si="14"/>
        <v>27973.527508076524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5000</v>
      </c>
      <c r="B154" s="66">
        <v>5000</v>
      </c>
      <c r="D154">
        <f t="shared" si="10"/>
        <v>5.742769852755381</v>
      </c>
      <c r="E154">
        <f t="shared" si="11"/>
        <v>5.742769852755381</v>
      </c>
      <c r="G154">
        <f t="shared" ca="1" si="12"/>
        <v>152</v>
      </c>
      <c r="H154">
        <f t="shared" ca="1" si="13"/>
        <v>872.90101761881795</v>
      </c>
      <c r="I154">
        <f t="shared" ca="1" si="14"/>
        <v>25355.298551914471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2905</v>
      </c>
      <c r="B157" s="66">
        <v>2905</v>
      </c>
      <c r="D157">
        <f t="shared" si="10"/>
        <v>3.3365492844508764</v>
      </c>
      <c r="E157">
        <f t="shared" si="11"/>
        <v>3.3365492844508764</v>
      </c>
      <c r="G157">
        <f t="shared" ca="1" si="12"/>
        <v>155</v>
      </c>
      <c r="H157">
        <f t="shared" ca="1" si="13"/>
        <v>517.16513908988588</v>
      </c>
      <c r="I157">
        <f t="shared" ca="1" si="14"/>
        <v>16091.674277388516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2055</v>
      </c>
      <c r="B160" s="66">
        <v>2055</v>
      </c>
      <c r="D160">
        <f t="shared" si="10"/>
        <v>2.3602784094824614</v>
      </c>
      <c r="E160">
        <f t="shared" si="11"/>
        <v>2.3602784094824614</v>
      </c>
      <c r="G160">
        <f t="shared" ca="1" si="12"/>
        <v>158</v>
      </c>
      <c r="H160">
        <f t="shared" ca="1" si="13"/>
        <v>372.92398869822887</v>
      </c>
      <c r="I160">
        <f t="shared" ca="1" si="14"/>
        <v>12387.991309999174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707</v>
      </c>
      <c r="B162" s="66">
        <v>707</v>
      </c>
      <c r="D162">
        <f t="shared" si="10"/>
        <v>0.8120276571796109</v>
      </c>
      <c r="E162">
        <f t="shared" si="11"/>
        <v>0.8120276571796109</v>
      </c>
      <c r="G162">
        <f t="shared" ca="1" si="12"/>
        <v>160</v>
      </c>
      <c r="H162">
        <f t="shared" ca="1" si="13"/>
        <v>129.92442514873775</v>
      </c>
      <c r="I162">
        <f t="shared" ca="1" si="14"/>
        <v>4500.5143950465881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267</v>
      </c>
      <c r="B165" s="66">
        <v>267</v>
      </c>
      <c r="D165">
        <f t="shared" si="10"/>
        <v>0.30666391013713734</v>
      </c>
      <c r="E165">
        <f t="shared" si="11"/>
        <v>0.30666391013713734</v>
      </c>
      <c r="G165">
        <f t="shared" ca="1" si="12"/>
        <v>163</v>
      </c>
      <c r="H165">
        <f t="shared" ca="1" si="13"/>
        <v>49.986217352353385</v>
      </c>
      <c r="I165">
        <f t="shared" ca="1" si="14"/>
        <v>1839.3692313195365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138</v>
      </c>
      <c r="B167" s="66">
        <v>138</v>
      </c>
      <c r="D167">
        <f t="shared" si="10"/>
        <v>0.15850044793604851</v>
      </c>
      <c r="E167">
        <f t="shared" si="11"/>
        <v>0.15850044793604851</v>
      </c>
      <c r="G167">
        <f t="shared" ca="1" si="12"/>
        <v>165</v>
      </c>
      <c r="H167">
        <f t="shared" ca="1" si="13"/>
        <v>26.152573909448002</v>
      </c>
      <c r="I167">
        <f t="shared" ca="1" si="14"/>
        <v>1000.4205924463755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109.18505615717962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2.108089401313018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0.48930597161958622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30</v>
      </c>
      <c r="B8" s="66">
        <v>30</v>
      </c>
      <c r="D8">
        <f t="shared" si="0"/>
        <v>1.7477323173182794E-2</v>
      </c>
      <c r="E8">
        <f t="shared" si="1"/>
        <v>1.7477323173182794E-2</v>
      </c>
      <c r="G8">
        <f t="shared" ca="1" si="2"/>
        <v>6</v>
      </c>
      <c r="H8">
        <f t="shared" ca="1" si="3"/>
        <v>0.10486393903909677</v>
      </c>
      <c r="I8">
        <f t="shared" ca="1" si="4"/>
        <v>186.08378303931192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252</v>
      </c>
      <c r="B10" s="66">
        <v>252</v>
      </c>
      <c r="D10">
        <f t="shared" si="0"/>
        <v>0.14680951465473549</v>
      </c>
      <c r="E10">
        <f t="shared" si="1"/>
        <v>0.14680951465473549</v>
      </c>
      <c r="G10">
        <f t="shared" ca="1" si="2"/>
        <v>8</v>
      </c>
      <c r="H10">
        <f t="shared" ca="1" si="3"/>
        <v>1.1744761172378839</v>
      </c>
      <c r="I10">
        <f t="shared" ca="1" si="4"/>
        <v>1503.0968235326106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111</v>
      </c>
      <c r="B13" s="66">
        <v>111</v>
      </c>
      <c r="D13">
        <f t="shared" si="0"/>
        <v>6.4666095740776336E-2</v>
      </c>
      <c r="E13">
        <f t="shared" si="1"/>
        <v>6.4666095740776336E-2</v>
      </c>
      <c r="G13">
        <f t="shared" ca="1" si="2"/>
        <v>11</v>
      </c>
      <c r="H13">
        <f t="shared" ca="1" si="3"/>
        <v>0.71132705314853972</v>
      </c>
      <c r="I13">
        <f t="shared" ca="1" si="4"/>
        <v>623.40090243419786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342</v>
      </c>
      <c r="B15" s="66">
        <v>342</v>
      </c>
      <c r="D15">
        <f t="shared" si="0"/>
        <v>0.19924148417428386</v>
      </c>
      <c r="E15">
        <f t="shared" si="1"/>
        <v>0.19924148417428386</v>
      </c>
      <c r="G15">
        <f t="shared" ca="1" si="2"/>
        <v>13</v>
      </c>
      <c r="H15">
        <f t="shared" ca="1" si="3"/>
        <v>2.5901392942656902</v>
      </c>
      <c r="I15">
        <f t="shared" ca="1" si="4"/>
        <v>1843.2955471056098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150</v>
      </c>
      <c r="B18" s="66">
        <v>150</v>
      </c>
      <c r="D18">
        <f t="shared" si="0"/>
        <v>8.738661586591398E-2</v>
      </c>
      <c r="E18">
        <f t="shared" si="1"/>
        <v>8.738661586591398E-2</v>
      </c>
      <c r="G18">
        <f t="shared" ca="1" si="2"/>
        <v>16</v>
      </c>
      <c r="H18">
        <f t="shared" ca="1" si="3"/>
        <v>1.3981858538546237</v>
      </c>
      <c r="I18">
        <f t="shared" ca="1" si="4"/>
        <v>758.81771947294681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358</v>
      </c>
      <c r="B21" s="66">
        <v>358</v>
      </c>
      <c r="D21">
        <f t="shared" si="0"/>
        <v>0.20856272319998137</v>
      </c>
      <c r="E21">
        <f t="shared" si="1"/>
        <v>0.20856272319998137</v>
      </c>
      <c r="G21">
        <f t="shared" ca="1" si="2"/>
        <v>19</v>
      </c>
      <c r="H21">
        <f t="shared" ca="1" si="3"/>
        <v>3.962691740799646</v>
      </c>
      <c r="I21">
        <f t="shared" ca="1" si="4"/>
        <v>1696.312447208792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850</v>
      </c>
      <c r="B23" s="66">
        <v>850</v>
      </c>
      <c r="D23">
        <f t="shared" si="0"/>
        <v>0.49519082324017921</v>
      </c>
      <c r="E23">
        <f t="shared" si="1"/>
        <v>0.49519082324017921</v>
      </c>
      <c r="G23">
        <f t="shared" ca="1" si="2"/>
        <v>21</v>
      </c>
      <c r="H23">
        <f t="shared" ca="1" si="3"/>
        <v>10.399007288043764</v>
      </c>
      <c r="I23">
        <f t="shared" ca="1" si="4"/>
        <v>3850.9030008728082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645</v>
      </c>
      <c r="B26" s="66">
        <v>645</v>
      </c>
      <c r="D26">
        <f t="shared" si="0"/>
        <v>0.37576244822343008</v>
      </c>
      <c r="E26">
        <f t="shared" si="1"/>
        <v>0.37576244822343008</v>
      </c>
      <c r="G26">
        <f t="shared" ca="1" si="2"/>
        <v>24</v>
      </c>
      <c r="H26">
        <f t="shared" ca="1" si="3"/>
        <v>9.0182987573623219</v>
      </c>
      <c r="I26">
        <f t="shared" ca="1" si="4"/>
        <v>2726.7178729886164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796</v>
      </c>
      <c r="B28" s="66">
        <v>796</v>
      </c>
      <c r="D28">
        <f t="shared" si="0"/>
        <v>0.46373164152845014</v>
      </c>
      <c r="E28">
        <f t="shared" si="1"/>
        <v>0.46373164152845014</v>
      </c>
      <c r="G28">
        <f t="shared" ca="1" si="2"/>
        <v>26</v>
      </c>
      <c r="H28">
        <f t="shared" ca="1" si="3"/>
        <v>12.057022679739704</v>
      </c>
      <c r="I28">
        <f t="shared" ca="1" si="4"/>
        <v>3208.9086810021545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1478</v>
      </c>
      <c r="B31" s="66">
        <v>1478</v>
      </c>
      <c r="D31">
        <f t="shared" si="0"/>
        <v>0.8610494549988057</v>
      </c>
      <c r="E31">
        <f t="shared" si="1"/>
        <v>0.8610494549988057</v>
      </c>
      <c r="G31">
        <f t="shared" ca="1" si="2"/>
        <v>29</v>
      </c>
      <c r="H31">
        <f t="shared" ca="1" si="3"/>
        <v>24.970434194965364</v>
      </c>
      <c r="I31">
        <f t="shared" ca="1" si="4"/>
        <v>5536.2407998290792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2465</v>
      </c>
      <c r="B33" s="66">
        <v>2465</v>
      </c>
      <c r="D33">
        <f t="shared" si="0"/>
        <v>1.4360533873965198</v>
      </c>
      <c r="E33">
        <f t="shared" si="1"/>
        <v>1.4360533873965198</v>
      </c>
      <c r="G33">
        <f t="shared" ca="1" si="2"/>
        <v>31</v>
      </c>
      <c r="H33">
        <f t="shared" ca="1" si="3"/>
        <v>44.517655009292113</v>
      </c>
      <c r="I33">
        <f t="shared" ca="1" si="4"/>
        <v>8778.4550690253946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4145</v>
      </c>
      <c r="B36" s="66">
        <v>4145</v>
      </c>
      <c r="D36">
        <f t="shared" si="0"/>
        <v>2.4147834850947563</v>
      </c>
      <c r="E36">
        <f t="shared" si="1"/>
        <v>2.4147834850947563</v>
      </c>
      <c r="G36">
        <f t="shared" ca="1" si="2"/>
        <v>34</v>
      </c>
      <c r="H36">
        <f t="shared" ca="1" si="3"/>
        <v>82.102638493221718</v>
      </c>
      <c r="I36">
        <f t="shared" ca="1" si="4"/>
        <v>13650.27038263101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4163</v>
      </c>
      <c r="B39" s="66">
        <v>4163</v>
      </c>
      <c r="D39">
        <f t="shared" si="0"/>
        <v>2.425269878998666</v>
      </c>
      <c r="E39">
        <f t="shared" si="1"/>
        <v>2.425269878998666</v>
      </c>
      <c r="G39">
        <f t="shared" ca="1" si="2"/>
        <v>37</v>
      </c>
      <c r="H39">
        <f t="shared" ca="1" si="3"/>
        <v>89.734985522950637</v>
      </c>
      <c r="I39">
        <f t="shared" ca="1" si="4"/>
        <v>12637.310909837037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5917</v>
      </c>
      <c r="B41" s="66">
        <v>5917</v>
      </c>
      <c r="D41">
        <f t="shared" si="0"/>
        <v>3.4471107071907534</v>
      </c>
      <c r="E41">
        <f t="shared" si="1"/>
        <v>3.4471107071907534</v>
      </c>
      <c r="G41">
        <f t="shared" ca="1" si="2"/>
        <v>39</v>
      </c>
      <c r="H41">
        <f t="shared" ca="1" si="3"/>
        <v>134.43731758043938</v>
      </c>
      <c r="I41">
        <f t="shared" ca="1" si="4"/>
        <v>16980.267782752482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6198</v>
      </c>
      <c r="B44" s="66">
        <v>6198</v>
      </c>
      <c r="D44">
        <f t="shared" si="0"/>
        <v>3.6108149675795653</v>
      </c>
      <c r="E44">
        <f t="shared" si="1"/>
        <v>3.6108149675795653</v>
      </c>
      <c r="G44">
        <f t="shared" ca="1" si="2"/>
        <v>42</v>
      </c>
      <c r="H44">
        <f t="shared" ca="1" si="3"/>
        <v>151.65422863834175</v>
      </c>
      <c r="I44">
        <f t="shared" ca="1" si="4"/>
        <v>16298.611319297446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8756</v>
      </c>
      <c r="B46" s="66">
        <v>8756</v>
      </c>
      <c r="D46">
        <f t="shared" si="0"/>
        <v>5.1010480568129521</v>
      </c>
      <c r="E46">
        <f t="shared" si="1"/>
        <v>5.1010480568129521</v>
      </c>
      <c r="G46">
        <f t="shared" ca="1" si="2"/>
        <v>44</v>
      </c>
      <c r="H46">
        <f t="shared" ca="1" si="3"/>
        <v>224.44611449976989</v>
      </c>
      <c r="I46">
        <f t="shared" ca="1" si="4"/>
        <v>21674.820175038636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9522</v>
      </c>
      <c r="B49" s="66">
        <v>9522</v>
      </c>
      <c r="D49">
        <f t="shared" si="0"/>
        <v>5.5473023751682193</v>
      </c>
      <c r="E49">
        <f t="shared" si="1"/>
        <v>5.5473023751682193</v>
      </c>
      <c r="G49">
        <f t="shared" ca="1" si="2"/>
        <v>47</v>
      </c>
      <c r="H49">
        <f t="shared" ca="1" si="3"/>
        <v>260.72321163290633</v>
      </c>
      <c r="I49">
        <f t="shared" ca="1" si="4"/>
        <v>21451.314046923122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13333</v>
      </c>
      <c r="B51" s="66">
        <v>13333</v>
      </c>
      <c r="D51">
        <f t="shared" si="0"/>
        <v>7.7675049956015405</v>
      </c>
      <c r="E51">
        <f t="shared" si="1"/>
        <v>7.7675049956015405</v>
      </c>
      <c r="G51">
        <f t="shared" ca="1" si="2"/>
        <v>49</v>
      </c>
      <c r="H51">
        <f t="shared" ca="1" si="3"/>
        <v>380.60774478447547</v>
      </c>
      <c r="I51">
        <f t="shared" ca="1" si="4"/>
        <v>28135.774943486089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17308</v>
      </c>
      <c r="B54" s="66">
        <v>17308</v>
      </c>
      <c r="D54">
        <f t="shared" si="0"/>
        <v>10.083250316048261</v>
      </c>
      <c r="E54">
        <f t="shared" si="1"/>
        <v>10.083250316048261</v>
      </c>
      <c r="G54">
        <f t="shared" ca="1" si="2"/>
        <v>52</v>
      </c>
      <c r="H54">
        <f t="shared" ca="1" si="3"/>
        <v>524.32901643450953</v>
      </c>
      <c r="I54">
        <f t="shared" ca="1" si="4"/>
        <v>32973.54588693798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21481</v>
      </c>
      <c r="B57" s="66">
        <v>21481</v>
      </c>
      <c r="D57">
        <f t="shared" si="0"/>
        <v>12.514345969437988</v>
      </c>
      <c r="E57">
        <f t="shared" si="1"/>
        <v>12.514345969437988</v>
      </c>
      <c r="G57">
        <f t="shared" ca="1" si="2"/>
        <v>55</v>
      </c>
      <c r="H57">
        <f t="shared" ca="1" si="3"/>
        <v>688.28902831908931</v>
      </c>
      <c r="I57">
        <f t="shared" ca="1" si="4"/>
        <v>36742.373942106286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28717</v>
      </c>
      <c r="B59" s="66">
        <v>28717</v>
      </c>
      <c r="D59">
        <f t="shared" si="0"/>
        <v>16.729876318809676</v>
      </c>
      <c r="E59">
        <f t="shared" si="1"/>
        <v>16.729876318809676</v>
      </c>
      <c r="G59">
        <f t="shared" ca="1" si="2"/>
        <v>57</v>
      </c>
      <c r="H59">
        <f t="shared" ca="1" si="3"/>
        <v>953.60295017215151</v>
      </c>
      <c r="I59">
        <f t="shared" ca="1" si="4"/>
        <v>45560.139022398638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33354</v>
      </c>
      <c r="B62" s="66">
        <v>33354</v>
      </c>
      <c r="D62">
        <f t="shared" si="0"/>
        <v>19.431287903944632</v>
      </c>
      <c r="E62">
        <f t="shared" si="1"/>
        <v>19.431287903944632</v>
      </c>
      <c r="G62">
        <f t="shared" ca="1" si="2"/>
        <v>60</v>
      </c>
      <c r="H62">
        <f t="shared" ca="1" si="3"/>
        <v>1165.877274236678</v>
      </c>
      <c r="I62">
        <f t="shared" ca="1" si="4"/>
        <v>47007.583884925567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39371</v>
      </c>
      <c r="B64" s="66">
        <v>39371</v>
      </c>
      <c r="D64">
        <f t="shared" si="0"/>
        <v>22.936656355045994</v>
      </c>
      <c r="E64">
        <f t="shared" si="1"/>
        <v>22.936656355045994</v>
      </c>
      <c r="G64">
        <f t="shared" ca="1" si="2"/>
        <v>62</v>
      </c>
      <c r="H64">
        <f t="shared" ca="1" si="3"/>
        <v>1422.0726940128516</v>
      </c>
      <c r="I64">
        <f t="shared" ca="1" si="4"/>
        <v>51066.848903473852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44187</v>
      </c>
      <c r="B67" s="66">
        <v>44187</v>
      </c>
      <c r="D67">
        <f t="shared" ref="D67:D130" si="5">IFERROR(100*A67/MAX(A$2:A$257), 0 )</f>
        <v>25.742349301780941</v>
      </c>
      <c r="E67">
        <f t="shared" ref="E67:E130" si="6">IFERROR(100*B67/MAX(B$2:B$257), 0 )</f>
        <v>25.742349301780941</v>
      </c>
      <c r="G67">
        <f t="shared" ref="G67:G130" ca="1" si="7">CELL("row",D67)-2</f>
        <v>65</v>
      </c>
      <c r="H67">
        <f t="shared" ref="H67:H130" ca="1" si="8">D67*G67</f>
        <v>1673.2527046157611</v>
      </c>
      <c r="I67">
        <f t="shared" ref="I67:I130" ca="1" si="9">D67*((G67-$L$1)^2)</f>
        <v>50257.28247610604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50012</v>
      </c>
      <c r="B69" s="66">
        <v>50012</v>
      </c>
      <c r="D69">
        <f t="shared" si="5"/>
        <v>29.135862884573932</v>
      </c>
      <c r="E69">
        <f t="shared" si="6"/>
        <v>29.135862884573932</v>
      </c>
      <c r="G69">
        <f t="shared" ca="1" si="7"/>
        <v>67</v>
      </c>
      <c r="H69">
        <f t="shared" ca="1" si="8"/>
        <v>1952.1028132664535</v>
      </c>
      <c r="I69">
        <f t="shared" ca="1" si="9"/>
        <v>51849.568657785683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56000</v>
      </c>
      <c r="B72" s="66">
        <v>56000</v>
      </c>
      <c r="D72">
        <f t="shared" si="5"/>
        <v>32.624336589941215</v>
      </c>
      <c r="E72">
        <f t="shared" si="6"/>
        <v>32.624336589941215</v>
      </c>
      <c r="G72">
        <f t="shared" ca="1" si="7"/>
        <v>70</v>
      </c>
      <c r="H72">
        <f t="shared" ca="1" si="8"/>
        <v>2283.7035612958853</v>
      </c>
      <c r="I72">
        <f t="shared" ca="1" si="9"/>
        <v>50093.64527926661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58447</v>
      </c>
      <c r="B75" s="66">
        <v>58447</v>
      </c>
      <c r="D75">
        <f t="shared" si="5"/>
        <v>34.049903583433824</v>
      </c>
      <c r="E75">
        <f t="shared" si="6"/>
        <v>34.049903583433824</v>
      </c>
      <c r="G75">
        <f t="shared" ca="1" si="7"/>
        <v>73</v>
      </c>
      <c r="H75">
        <f t="shared" ca="1" si="8"/>
        <v>2485.6429615906691</v>
      </c>
      <c r="I75">
        <f t="shared" ca="1" si="9"/>
        <v>44583.523499965027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75145</v>
      </c>
      <c r="B77" s="66">
        <v>75145</v>
      </c>
      <c r="D77">
        <f t="shared" si="5"/>
        <v>43.777781661627373</v>
      </c>
      <c r="E77">
        <f t="shared" si="6"/>
        <v>43.777781661627373</v>
      </c>
      <c r="G77">
        <f t="shared" ca="1" si="7"/>
        <v>75</v>
      </c>
      <c r="H77">
        <f t="shared" ca="1" si="8"/>
        <v>3283.3336246220529</v>
      </c>
      <c r="I77">
        <f t="shared" ca="1" si="9"/>
        <v>51159.506472180401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76211</v>
      </c>
      <c r="B80" s="66">
        <v>76211</v>
      </c>
      <c r="D80">
        <f t="shared" si="5"/>
        <v>44.398809211714465</v>
      </c>
      <c r="E80">
        <f t="shared" si="6"/>
        <v>44.398809211714465</v>
      </c>
      <c r="G80">
        <f t="shared" ca="1" si="7"/>
        <v>78</v>
      </c>
      <c r="H80">
        <f t="shared" ca="1" si="8"/>
        <v>3463.1071185137284</v>
      </c>
      <c r="I80">
        <f t="shared" ca="1" si="9"/>
        <v>43178.185051364686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90237</v>
      </c>
      <c r="B82" s="66">
        <v>90237</v>
      </c>
      <c r="D82">
        <f t="shared" si="5"/>
        <v>52.570040372616532</v>
      </c>
      <c r="E82">
        <f t="shared" si="6"/>
        <v>52.570040372616532</v>
      </c>
      <c r="G82">
        <f t="shared" ca="1" si="7"/>
        <v>80</v>
      </c>
      <c r="H82">
        <f t="shared" ca="1" si="8"/>
        <v>4205.6032298093223</v>
      </c>
      <c r="I82">
        <f t="shared" ca="1" si="9"/>
        <v>44777.452015416318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99914</v>
      </c>
      <c r="B85" s="66">
        <v>99914</v>
      </c>
      <c r="D85">
        <f t="shared" si="5"/>
        <v>58.207642250846192</v>
      </c>
      <c r="E85">
        <f t="shared" si="6"/>
        <v>58.207642250846192</v>
      </c>
      <c r="G85">
        <f t="shared" ca="1" si="7"/>
        <v>83</v>
      </c>
      <c r="H85">
        <f t="shared" ca="1" si="8"/>
        <v>4831.2343068202335</v>
      </c>
      <c r="I85">
        <f t="shared" ca="1" si="9"/>
        <v>39910.487022617352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106239</v>
      </c>
      <c r="B88" s="66">
        <v>106239</v>
      </c>
      <c r="D88">
        <f t="shared" si="5"/>
        <v>61.892444553192234</v>
      </c>
      <c r="E88">
        <f t="shared" si="6"/>
        <v>61.892444553192234</v>
      </c>
      <c r="G88">
        <f t="shared" ca="1" si="7"/>
        <v>86</v>
      </c>
      <c r="H88">
        <f t="shared" ca="1" si="8"/>
        <v>5322.7502315745323</v>
      </c>
      <c r="I88">
        <f t="shared" ca="1" si="9"/>
        <v>33270.087309343049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106376</v>
      </c>
      <c r="B90" s="66">
        <v>106376</v>
      </c>
      <c r="D90">
        <f t="shared" si="5"/>
        <v>61.972257662349769</v>
      </c>
      <c r="E90">
        <f t="shared" si="6"/>
        <v>61.972257662349769</v>
      </c>
      <c r="G90">
        <f t="shared" ca="1" si="7"/>
        <v>88</v>
      </c>
      <c r="H90">
        <f t="shared" ca="1" si="8"/>
        <v>5453.5586742867799</v>
      </c>
      <c r="I90">
        <f t="shared" ca="1" si="9"/>
        <v>27813.558527378504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117461</v>
      </c>
      <c r="B93" s="66">
        <v>117461</v>
      </c>
      <c r="D93">
        <f t="shared" si="5"/>
        <v>68.430128574840808</v>
      </c>
      <c r="E93">
        <f t="shared" si="6"/>
        <v>68.430128574840808</v>
      </c>
      <c r="G93">
        <f t="shared" ca="1" si="7"/>
        <v>91</v>
      </c>
      <c r="H93">
        <f t="shared" ca="1" si="8"/>
        <v>6227.1417003105134</v>
      </c>
      <c r="I93">
        <f t="shared" ca="1" si="9"/>
        <v>22629.58810012383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121350</v>
      </c>
      <c r="B95" s="66">
        <v>121350</v>
      </c>
      <c r="D95">
        <f t="shared" si="5"/>
        <v>70.695772235524402</v>
      </c>
      <c r="E95">
        <f t="shared" si="6"/>
        <v>70.695772235524402</v>
      </c>
      <c r="G95">
        <f t="shared" ca="1" si="7"/>
        <v>93</v>
      </c>
      <c r="H95">
        <f t="shared" ca="1" si="8"/>
        <v>6574.7068179037697</v>
      </c>
      <c r="I95">
        <f t="shared" ca="1" si="9"/>
        <v>18519.18473828982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120277</v>
      </c>
      <c r="B98" s="66">
        <v>120277</v>
      </c>
      <c r="D98">
        <f t="shared" si="5"/>
        <v>70.070666643363566</v>
      </c>
      <c r="E98">
        <f t="shared" si="6"/>
        <v>70.070666643363566</v>
      </c>
      <c r="G98">
        <f t="shared" ca="1" si="7"/>
        <v>96</v>
      </c>
      <c r="H98">
        <f t="shared" ca="1" si="8"/>
        <v>6726.7839977629028</v>
      </c>
      <c r="I98">
        <f t="shared" ca="1" si="9"/>
        <v>12181.484503255468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117989</v>
      </c>
      <c r="B100" s="66">
        <v>117989</v>
      </c>
      <c r="D100">
        <f t="shared" si="5"/>
        <v>68.737729462688833</v>
      </c>
      <c r="E100">
        <f t="shared" si="6"/>
        <v>68.737729462688833</v>
      </c>
      <c r="G100">
        <f t="shared" ca="1" si="7"/>
        <v>98</v>
      </c>
      <c r="H100">
        <f t="shared" ca="1" si="8"/>
        <v>6736.297487343506</v>
      </c>
      <c r="I100">
        <f t="shared" ca="1" si="9"/>
        <v>8599.4667237238609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120774</v>
      </c>
      <c r="B103" s="66">
        <v>120774</v>
      </c>
      <c r="D103">
        <f t="shared" si="5"/>
        <v>70.360207630599291</v>
      </c>
      <c r="E103">
        <f t="shared" si="6"/>
        <v>70.360207630599291</v>
      </c>
      <c r="G103">
        <f t="shared" ca="1" si="7"/>
        <v>101</v>
      </c>
      <c r="H103">
        <f t="shared" ca="1" si="8"/>
        <v>7106.3809706905286</v>
      </c>
      <c r="I103">
        <f t="shared" ca="1" si="9"/>
        <v>4713.7922629214627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130195</v>
      </c>
      <c r="B106" s="66">
        <v>130195</v>
      </c>
      <c r="D106">
        <f t="shared" si="5"/>
        <v>75.8486696844178</v>
      </c>
      <c r="E106">
        <f t="shared" si="6"/>
        <v>75.8486696844178</v>
      </c>
      <c r="G106">
        <f t="shared" ca="1" si="7"/>
        <v>104</v>
      </c>
      <c r="H106">
        <f t="shared" ca="1" si="8"/>
        <v>7888.2616471794508</v>
      </c>
      <c r="I106">
        <f t="shared" ca="1" si="9"/>
        <v>2039.1768724549629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135823</v>
      </c>
      <c r="B108" s="66">
        <v>135823</v>
      </c>
      <c r="D108">
        <f t="shared" si="5"/>
        <v>79.1274155117069</v>
      </c>
      <c r="E108">
        <f t="shared" si="6"/>
        <v>79.1274155117069</v>
      </c>
      <c r="G108">
        <f t="shared" ca="1" si="7"/>
        <v>106</v>
      </c>
      <c r="H108">
        <f t="shared" ca="1" si="8"/>
        <v>8387.5060442409322</v>
      </c>
      <c r="I108">
        <f t="shared" ca="1" si="9"/>
        <v>802.71461242551584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138754</v>
      </c>
      <c r="B111" s="66">
        <v>138754</v>
      </c>
      <c r="D111">
        <f t="shared" si="5"/>
        <v>80.834949985726851</v>
      </c>
      <c r="E111">
        <f t="shared" si="6"/>
        <v>80.834949985726851</v>
      </c>
      <c r="G111">
        <f t="shared" ca="1" si="7"/>
        <v>109</v>
      </c>
      <c r="H111">
        <f t="shared" ca="1" si="8"/>
        <v>8811.0095484442263</v>
      </c>
      <c r="I111">
        <f t="shared" ca="1" si="9"/>
        <v>2.7682560194230108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150215</v>
      </c>
      <c r="B113" s="66">
        <v>150215</v>
      </c>
      <c r="D113">
        <f t="shared" si="5"/>
        <v>87.51187001532179</v>
      </c>
      <c r="E113">
        <f t="shared" si="6"/>
        <v>87.51187001532179</v>
      </c>
      <c r="G113">
        <f t="shared" ca="1" si="7"/>
        <v>111</v>
      </c>
      <c r="H113">
        <f t="shared" ca="1" si="8"/>
        <v>9713.817571700718</v>
      </c>
      <c r="I113">
        <f t="shared" ca="1" si="9"/>
        <v>288.26595093331844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146321</v>
      </c>
      <c r="B116" s="66">
        <v>146321</v>
      </c>
      <c r="D116">
        <f t="shared" si="5"/>
        <v>85.243313467442661</v>
      </c>
      <c r="E116">
        <f t="shared" si="6"/>
        <v>85.243313467442661</v>
      </c>
      <c r="G116">
        <f t="shared" ca="1" si="7"/>
        <v>114</v>
      </c>
      <c r="H116">
        <f t="shared" ca="1" si="8"/>
        <v>9717.7377352884632</v>
      </c>
      <c r="I116">
        <f t="shared" ca="1" si="9"/>
        <v>1976.2540604017961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146786</v>
      </c>
      <c r="B118" s="66">
        <v>146786</v>
      </c>
      <c r="D118">
        <f t="shared" si="5"/>
        <v>85.514211976626996</v>
      </c>
      <c r="E118">
        <f t="shared" si="6"/>
        <v>85.514211976626996</v>
      </c>
      <c r="G118">
        <f t="shared" ca="1" si="7"/>
        <v>116</v>
      </c>
      <c r="H118">
        <f t="shared" ca="1" si="8"/>
        <v>9919.6485892887322</v>
      </c>
      <c r="I118">
        <f t="shared" ca="1" si="9"/>
        <v>3971.5758475200505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148219</v>
      </c>
      <c r="B121" s="66">
        <v>148219</v>
      </c>
      <c r="D121">
        <f t="shared" si="5"/>
        <v>86.349045446866029</v>
      </c>
      <c r="E121">
        <f t="shared" si="6"/>
        <v>86.349045446866029</v>
      </c>
      <c r="G121">
        <f t="shared" ca="1" si="7"/>
        <v>119</v>
      </c>
      <c r="H121">
        <f t="shared" ca="1" si="8"/>
        <v>10275.536408177057</v>
      </c>
      <c r="I121">
        <f t="shared" ca="1" si="9"/>
        <v>8318.2731846828101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161667</v>
      </c>
      <c r="B124" s="66">
        <v>161667</v>
      </c>
      <c r="D124">
        <f t="shared" si="5"/>
        <v>94.183546847964763</v>
      </c>
      <c r="E124">
        <f t="shared" si="6"/>
        <v>94.183546847964763</v>
      </c>
      <c r="G124">
        <f t="shared" ca="1" si="7"/>
        <v>122</v>
      </c>
      <c r="H124">
        <f t="shared" ca="1" si="8"/>
        <v>11490.3927154517</v>
      </c>
      <c r="I124">
        <f t="shared" ca="1" si="9"/>
        <v>15467.084429974409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165092</v>
      </c>
      <c r="B126" s="66">
        <v>165092</v>
      </c>
      <c r="D126">
        <f t="shared" si="5"/>
        <v>96.178874576903141</v>
      </c>
      <c r="E126">
        <f t="shared" si="6"/>
        <v>96.178874576903141</v>
      </c>
      <c r="G126">
        <f t="shared" ca="1" si="7"/>
        <v>124</v>
      </c>
      <c r="H126">
        <f t="shared" ca="1" si="8"/>
        <v>11926.18044753599</v>
      </c>
      <c r="I126">
        <f t="shared" ca="1" si="9"/>
        <v>21109.585712576758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170166</v>
      </c>
      <c r="B129" s="66">
        <v>170166</v>
      </c>
      <c r="D129">
        <f t="shared" si="5"/>
        <v>99.13487250292745</v>
      </c>
      <c r="E129">
        <f t="shared" si="6"/>
        <v>99.13487250292745</v>
      </c>
      <c r="G129">
        <f t="shared" ca="1" si="7"/>
        <v>127</v>
      </c>
      <c r="H129">
        <f t="shared" ca="1" si="8"/>
        <v>12590.128807871786</v>
      </c>
      <c r="I129">
        <f t="shared" ca="1" si="9"/>
        <v>31462.654974388643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171651</v>
      </c>
      <c r="B131" s="66">
        <v>171651</v>
      </c>
      <c r="D131">
        <f t="shared" ref="D131:D194" si="10">IFERROR(100*A131/MAX(A$2:A$257), 0 )</f>
        <v>100</v>
      </c>
      <c r="E131">
        <f t="shared" ref="E131:E194" si="11">IFERROR(100*B131/MAX(B$2:B$257), 0 )</f>
        <v>100</v>
      </c>
      <c r="G131">
        <f t="shared" ref="G131:G194" ca="1" si="12">CELL("row",D131)-2</f>
        <v>129</v>
      </c>
      <c r="H131">
        <f t="shared" ref="H131:H194" ca="1" si="13">D131*G131</f>
        <v>12900</v>
      </c>
      <c r="I131">
        <f t="shared" ref="I131:I194" ca="1" si="14">D131*((G131-$L$1)^2)</f>
        <v>39263.199949412541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163513</v>
      </c>
      <c r="B134" s="66">
        <v>163513</v>
      </c>
      <c r="D134">
        <f t="shared" si="10"/>
        <v>95.258984800554614</v>
      </c>
      <c r="E134">
        <f t="shared" si="11"/>
        <v>95.258984800554614</v>
      </c>
      <c r="G134">
        <f t="shared" ca="1" si="12"/>
        <v>132</v>
      </c>
      <c r="H134">
        <f t="shared" ca="1" si="13"/>
        <v>12574.185993673209</v>
      </c>
      <c r="I134">
        <f t="shared" ca="1" si="14"/>
        <v>49584.365141309674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152350</v>
      </c>
      <c r="B136" s="66">
        <v>152350</v>
      </c>
      <c r="D136">
        <f t="shared" si="10"/>
        <v>88.755672847813301</v>
      </c>
      <c r="E136">
        <f t="shared" si="11"/>
        <v>88.755672847813301</v>
      </c>
      <c r="G136">
        <f t="shared" ca="1" si="12"/>
        <v>134</v>
      </c>
      <c r="H136">
        <f t="shared" ca="1" si="13"/>
        <v>11893.260161606982</v>
      </c>
      <c r="I136">
        <f t="shared" ca="1" si="14"/>
        <v>54654.095849990306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129608</v>
      </c>
      <c r="B139" s="66">
        <v>129608</v>
      </c>
      <c r="D139">
        <f t="shared" si="10"/>
        <v>75.506696727662529</v>
      </c>
      <c r="E139">
        <f t="shared" si="11"/>
        <v>75.506696727662529</v>
      </c>
      <c r="G139">
        <f t="shared" ca="1" si="12"/>
        <v>137</v>
      </c>
      <c r="H139">
        <f t="shared" ca="1" si="13"/>
        <v>10344.417451689766</v>
      </c>
      <c r="I139">
        <f t="shared" ca="1" si="14"/>
        <v>58417.349188597123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116113</v>
      </c>
      <c r="B142" s="66">
        <v>116113</v>
      </c>
      <c r="D142">
        <f t="shared" si="10"/>
        <v>67.6448141869258</v>
      </c>
      <c r="E142">
        <f t="shared" si="11"/>
        <v>67.6448141869258</v>
      </c>
      <c r="G142">
        <f t="shared" ca="1" si="12"/>
        <v>140</v>
      </c>
      <c r="H142">
        <f t="shared" ca="1" si="13"/>
        <v>9470.2739861696118</v>
      </c>
      <c r="I142">
        <f t="shared" ca="1" si="14"/>
        <v>64232.861442422276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102541</v>
      </c>
      <c r="B144" s="66">
        <v>102541</v>
      </c>
      <c r="D144">
        <f t="shared" si="10"/>
        <v>59.7380731833779</v>
      </c>
      <c r="E144">
        <f t="shared" si="11"/>
        <v>59.7380731833779</v>
      </c>
      <c r="G144">
        <f t="shared" ca="1" si="12"/>
        <v>142</v>
      </c>
      <c r="H144">
        <f t="shared" ca="1" si="13"/>
        <v>8482.8063920396617</v>
      </c>
      <c r="I144">
        <f t="shared" ca="1" si="14"/>
        <v>64327.184188487045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87774</v>
      </c>
      <c r="B147" s="66">
        <v>87774</v>
      </c>
      <c r="D147">
        <f t="shared" si="10"/>
        <v>51.135152140098221</v>
      </c>
      <c r="E147">
        <f t="shared" si="11"/>
        <v>51.135152140098221</v>
      </c>
      <c r="G147">
        <f t="shared" ca="1" si="12"/>
        <v>145</v>
      </c>
      <c r="H147">
        <f t="shared" ca="1" si="13"/>
        <v>7414.5970603142423</v>
      </c>
      <c r="I147">
        <f t="shared" ca="1" si="14"/>
        <v>65591.581354672147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62943</v>
      </c>
      <c r="B149" s="66">
        <v>62943</v>
      </c>
      <c r="D149">
        <f t="shared" si="10"/>
        <v>36.669171749654822</v>
      </c>
      <c r="E149">
        <f t="shared" si="11"/>
        <v>36.669171749654822</v>
      </c>
      <c r="G149">
        <f t="shared" ca="1" si="12"/>
        <v>147</v>
      </c>
      <c r="H149">
        <f t="shared" ca="1" si="13"/>
        <v>5390.3682471992588</v>
      </c>
      <c r="I149">
        <f t="shared" ca="1" si="14"/>
        <v>52435.814714105887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45255</v>
      </c>
      <c r="B152" s="66">
        <v>45255</v>
      </c>
      <c r="D152">
        <f t="shared" si="10"/>
        <v>26.364542006746248</v>
      </c>
      <c r="E152">
        <f t="shared" si="11"/>
        <v>26.364542006746248</v>
      </c>
      <c r="G152">
        <f t="shared" ca="1" si="12"/>
        <v>150</v>
      </c>
      <c r="H152">
        <f t="shared" ca="1" si="13"/>
        <v>3954.6813010119372</v>
      </c>
      <c r="I152">
        <f t="shared" ca="1" si="14"/>
        <v>43919.626479655686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34155</v>
      </c>
      <c r="B154" s="66">
        <v>34155</v>
      </c>
      <c r="D154">
        <f t="shared" si="10"/>
        <v>19.897932432668611</v>
      </c>
      <c r="E154">
        <f t="shared" si="11"/>
        <v>19.897932432668611</v>
      </c>
      <c r="G154">
        <f t="shared" ca="1" si="12"/>
        <v>152</v>
      </c>
      <c r="H154">
        <f t="shared" ca="1" si="13"/>
        <v>3024.485729765629</v>
      </c>
      <c r="I154">
        <f t="shared" ca="1" si="14"/>
        <v>36475.286285831273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20219</v>
      </c>
      <c r="B157" s="66">
        <v>20219</v>
      </c>
      <c r="D157">
        <f t="shared" si="10"/>
        <v>11.779133241286099</v>
      </c>
      <c r="E157">
        <f t="shared" si="11"/>
        <v>11.779133241286099</v>
      </c>
      <c r="G157">
        <f t="shared" ca="1" si="12"/>
        <v>155</v>
      </c>
      <c r="H157">
        <f t="shared" ca="1" si="13"/>
        <v>1825.7656523993453</v>
      </c>
      <c r="I157">
        <f t="shared" ca="1" si="14"/>
        <v>24724.507619988795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14039</v>
      </c>
      <c r="B160" s="66">
        <v>14039</v>
      </c>
      <c r="D160">
        <f t="shared" si="10"/>
        <v>8.1788046676104429</v>
      </c>
      <c r="E160">
        <f t="shared" si="11"/>
        <v>8.1788046676104429</v>
      </c>
      <c r="G160">
        <f t="shared" ca="1" si="12"/>
        <v>158</v>
      </c>
      <c r="H160">
        <f t="shared" ca="1" si="13"/>
        <v>1292.2511374824501</v>
      </c>
      <c r="I160">
        <f t="shared" ca="1" si="14"/>
        <v>19489.263356601848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6311</v>
      </c>
      <c r="B162" s="66">
        <v>6311</v>
      </c>
      <c r="D162">
        <f t="shared" si="10"/>
        <v>3.6766462181985542</v>
      </c>
      <c r="E162">
        <f t="shared" si="11"/>
        <v>3.6766462181985542</v>
      </c>
      <c r="G162">
        <f t="shared" ca="1" si="12"/>
        <v>160</v>
      </c>
      <c r="H162">
        <f t="shared" ca="1" si="13"/>
        <v>588.26339491176873</v>
      </c>
      <c r="I162">
        <f t="shared" ca="1" si="14"/>
        <v>9493.6833490710051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3492</v>
      </c>
      <c r="B165" s="66">
        <v>3492</v>
      </c>
      <c r="D165">
        <f t="shared" si="10"/>
        <v>2.0343604173584775</v>
      </c>
      <c r="E165">
        <f t="shared" si="11"/>
        <v>2.0343604173584775</v>
      </c>
      <c r="G165">
        <f t="shared" ca="1" si="12"/>
        <v>163</v>
      </c>
      <c r="H165">
        <f t="shared" ca="1" si="13"/>
        <v>331.60074802943183</v>
      </c>
      <c r="I165">
        <f t="shared" ca="1" si="14"/>
        <v>5891.6057857945743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1881</v>
      </c>
      <c r="B167" s="66">
        <v>1881</v>
      </c>
      <c r="D167">
        <f t="shared" si="10"/>
        <v>1.0958281629585613</v>
      </c>
      <c r="E167">
        <f t="shared" si="11"/>
        <v>1.0958281629585613</v>
      </c>
      <c r="G167">
        <f t="shared" ca="1" si="12"/>
        <v>165</v>
      </c>
      <c r="H167">
        <f t="shared" ca="1" si="13"/>
        <v>180.81164688816261</v>
      </c>
      <c r="I167">
        <f t="shared" ca="1" si="14"/>
        <v>3413.8421946678436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1096</v>
      </c>
      <c r="B170" s="66">
        <v>1096</v>
      </c>
      <c r="D170">
        <f t="shared" si="10"/>
        <v>0.63850487326027816</v>
      </c>
      <c r="E170">
        <f t="shared" si="11"/>
        <v>0.63850487326027816</v>
      </c>
      <c r="G170">
        <f t="shared" ca="1" si="12"/>
        <v>168</v>
      </c>
      <c r="H170">
        <f t="shared" ca="1" si="13"/>
        <v>107.26881870772674</v>
      </c>
      <c r="I170">
        <f t="shared" ca="1" si="14"/>
        <v>2208.7145374513348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296</v>
      </c>
      <c r="B173" s="66">
        <v>296</v>
      </c>
      <c r="D173">
        <f t="shared" si="10"/>
        <v>0.17244292197540359</v>
      </c>
      <c r="E173">
        <f t="shared" si="11"/>
        <v>0.17244292197540359</v>
      </c>
      <c r="G173">
        <f t="shared" ca="1" si="12"/>
        <v>171</v>
      </c>
      <c r="H173">
        <f t="shared" ca="1" si="13"/>
        <v>29.487739657794013</v>
      </c>
      <c r="I173">
        <f t="shared" ca="1" si="14"/>
        <v>658.91945608132039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218</v>
      </c>
      <c r="B175" s="66">
        <v>218</v>
      </c>
      <c r="D175">
        <f t="shared" si="10"/>
        <v>0.1270018817251283</v>
      </c>
      <c r="E175">
        <f t="shared" si="11"/>
        <v>0.1270018817251283</v>
      </c>
      <c r="G175">
        <f t="shared" ca="1" si="12"/>
        <v>173</v>
      </c>
      <c r="H175">
        <f t="shared" ca="1" si="13"/>
        <v>21.971325538447196</v>
      </c>
      <c r="I175">
        <f t="shared" ca="1" si="14"/>
        <v>517.1957393609041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0.191547</v>
      </c>
      <c r="B2" s="68">
        <v>0.67402300000000004</v>
      </c>
      <c r="C2" s="68">
        <v>0</v>
      </c>
      <c r="D2" s="68">
        <v>1</v>
      </c>
      <c r="E2" s="68" t="s">
        <v>409</v>
      </c>
    </row>
    <row r="3" spans="1:5">
      <c r="A3" s="68">
        <v>0.19688800000000001</v>
      </c>
      <c r="B3" s="68">
        <v>0.67279199999999995</v>
      </c>
      <c r="C3" s="68">
        <v>0.40703499999999998</v>
      </c>
      <c r="D3" s="89">
        <v>1</v>
      </c>
      <c r="E3" s="68" t="s">
        <v>410</v>
      </c>
    </row>
    <row r="4" spans="1:5">
      <c r="A4" s="68">
        <v>0.20227999999999999</v>
      </c>
      <c r="B4" s="68">
        <v>0.669049</v>
      </c>
      <c r="C4" s="68">
        <v>0.81492799999999999</v>
      </c>
      <c r="D4" s="89">
        <v>1</v>
      </c>
      <c r="E4" s="68" t="s">
        <v>411</v>
      </c>
    </row>
    <row r="5" spans="1:5">
      <c r="A5" s="89">
        <v>0.20744299999999999</v>
      </c>
      <c r="B5" s="89">
        <v>0.66395400000000004</v>
      </c>
      <c r="C5" s="89">
        <v>1.21879</v>
      </c>
      <c r="D5" s="89">
        <v>1</v>
      </c>
      <c r="E5" s="68" t="s">
        <v>412</v>
      </c>
    </row>
    <row r="6" spans="1:5">
      <c r="A6" s="68">
        <v>0.212257</v>
      </c>
      <c r="B6" s="68">
        <v>0.65844499999999995</v>
      </c>
      <c r="C6" s="68">
        <v>1.62277</v>
      </c>
      <c r="D6" s="68">
        <v>1</v>
      </c>
      <c r="E6" s="68" t="s">
        <v>413</v>
      </c>
    </row>
    <row r="7" spans="1:5">
      <c r="A7" s="68">
        <v>0.216803</v>
      </c>
      <c r="B7" s="68">
        <v>0.65357299999999996</v>
      </c>
      <c r="C7" s="68">
        <v>2.0306799999999998</v>
      </c>
      <c r="D7" s="68">
        <v>1</v>
      </c>
      <c r="E7" s="68" t="s">
        <v>414</v>
      </c>
    </row>
    <row r="8" spans="1:5">
      <c r="A8" s="68">
        <v>0.221304</v>
      </c>
      <c r="B8" s="68">
        <v>0.64890199999999998</v>
      </c>
      <c r="C8" s="68">
        <v>2.4385699999999999</v>
      </c>
      <c r="D8" s="68">
        <v>1</v>
      </c>
      <c r="E8" s="68" t="s">
        <v>415</v>
      </c>
    </row>
    <row r="9" spans="1:5">
      <c r="A9" s="68">
        <v>0.22597</v>
      </c>
      <c r="B9" s="68">
        <v>0.64297300000000002</v>
      </c>
      <c r="C9" s="68">
        <v>2.8467799999999999</v>
      </c>
      <c r="D9" s="68">
        <v>1</v>
      </c>
      <c r="E9" s="68" t="s">
        <v>416</v>
      </c>
    </row>
    <row r="10" spans="1:5">
      <c r="A10" s="68">
        <v>0.23056199999999999</v>
      </c>
      <c r="B10" s="68">
        <v>0.635741</v>
      </c>
      <c r="C10" s="68">
        <v>3.2553299999999998</v>
      </c>
      <c r="D10" s="68">
        <v>1</v>
      </c>
      <c r="E10" s="68" t="s">
        <v>417</v>
      </c>
    </row>
    <row r="11" spans="1:5">
      <c r="A11" s="68">
        <v>0.23508000000000001</v>
      </c>
      <c r="B11" s="68">
        <v>0.62746900000000005</v>
      </c>
      <c r="C11" s="68">
        <v>3.6553100000000001</v>
      </c>
      <c r="D11" s="68">
        <v>1</v>
      </c>
      <c r="E11" s="68" t="s">
        <v>418</v>
      </c>
    </row>
    <row r="12" spans="1:5">
      <c r="A12" s="68">
        <v>0.239679</v>
      </c>
      <c r="B12" s="68">
        <v>0.61838099999999996</v>
      </c>
      <c r="C12" s="68">
        <v>4.0621900000000002</v>
      </c>
      <c r="D12" s="68">
        <v>1</v>
      </c>
      <c r="E12" s="68" t="s">
        <v>419</v>
      </c>
    </row>
    <row r="13" spans="1:5">
      <c r="A13" s="68">
        <v>0.24427699999999999</v>
      </c>
      <c r="B13" s="68">
        <v>0.60903499999999999</v>
      </c>
      <c r="C13" s="68">
        <v>4.4721399999999996</v>
      </c>
      <c r="D13" s="68">
        <v>1</v>
      </c>
      <c r="E13" s="68" t="s">
        <v>420</v>
      </c>
    </row>
    <row r="14" spans="1:5">
      <c r="A14" s="68">
        <v>0.24879699999999999</v>
      </c>
      <c r="B14" s="68">
        <v>0.60015499999999999</v>
      </c>
      <c r="C14" s="68">
        <v>4.8789499999999997</v>
      </c>
      <c r="D14" s="68">
        <v>1</v>
      </c>
      <c r="E14" s="68" t="s">
        <v>421</v>
      </c>
    </row>
    <row r="15" spans="1:5">
      <c r="A15" s="68">
        <v>0.25323099999999998</v>
      </c>
      <c r="B15" s="68">
        <v>0.59122799999999998</v>
      </c>
      <c r="C15" s="68">
        <v>5.2849300000000001</v>
      </c>
      <c r="D15" s="68">
        <v>1</v>
      </c>
      <c r="E15" s="68" t="s">
        <v>422</v>
      </c>
    </row>
    <row r="16" spans="1:5">
      <c r="A16" s="68">
        <v>0.25774900000000001</v>
      </c>
      <c r="B16" s="68">
        <v>0.58158699999999997</v>
      </c>
      <c r="C16" s="68">
        <v>5.6907899999999998</v>
      </c>
      <c r="D16" s="68">
        <v>1</v>
      </c>
      <c r="E16" s="68" t="s">
        <v>423</v>
      </c>
    </row>
    <row r="17" spans="1:5">
      <c r="A17" s="68">
        <v>0.26255400000000001</v>
      </c>
      <c r="B17" s="68">
        <v>0.57086800000000004</v>
      </c>
      <c r="C17" s="68">
        <v>6.0957400000000002</v>
      </c>
      <c r="D17" s="68">
        <v>1</v>
      </c>
      <c r="E17" s="68" t="s">
        <v>424</v>
      </c>
    </row>
    <row r="18" spans="1:5">
      <c r="A18" s="68">
        <v>0.26775900000000002</v>
      </c>
      <c r="B18" s="68">
        <v>0.55917799999999995</v>
      </c>
      <c r="C18" s="68">
        <v>6.50265</v>
      </c>
      <c r="D18" s="68">
        <v>1</v>
      </c>
      <c r="E18" s="68" t="s">
        <v>425</v>
      </c>
    </row>
    <row r="19" spans="1:5">
      <c r="A19" s="68">
        <v>0.27316000000000001</v>
      </c>
      <c r="B19" s="68">
        <v>0.54645900000000003</v>
      </c>
      <c r="C19" s="68">
        <v>6.9046000000000003</v>
      </c>
      <c r="D19" s="68">
        <v>1</v>
      </c>
      <c r="E19" s="68" t="s">
        <v>426</v>
      </c>
    </row>
    <row r="20" spans="1:5">
      <c r="A20" s="68">
        <v>0.27863300000000002</v>
      </c>
      <c r="B20" s="68">
        <v>0.53440399999999999</v>
      </c>
      <c r="C20" s="68">
        <v>7.3138199999999998</v>
      </c>
      <c r="D20" s="68">
        <v>1</v>
      </c>
      <c r="E20" s="68" t="s">
        <v>427</v>
      </c>
    </row>
    <row r="21" spans="1:5">
      <c r="A21" s="68">
        <v>0.283891</v>
      </c>
      <c r="B21" s="68">
        <v>0.52549800000000002</v>
      </c>
      <c r="C21" s="68">
        <v>7.7204100000000002</v>
      </c>
      <c r="D21" s="68">
        <v>1</v>
      </c>
      <c r="E21" s="68" t="s">
        <v>428</v>
      </c>
    </row>
    <row r="22" spans="1:5">
      <c r="A22" s="68">
        <v>0.288661</v>
      </c>
      <c r="B22" s="68">
        <v>0.519621</v>
      </c>
      <c r="C22" s="68">
        <v>8.1244399999999999</v>
      </c>
      <c r="D22" s="68">
        <v>1</v>
      </c>
      <c r="E22" s="68" t="s">
        <v>429</v>
      </c>
    </row>
    <row r="23" spans="1:5">
      <c r="A23" s="68">
        <v>0.29344100000000001</v>
      </c>
      <c r="B23" s="68">
        <v>0.51443099999999997</v>
      </c>
      <c r="C23" s="68">
        <v>8.5332600000000003</v>
      </c>
      <c r="D23" s="68">
        <v>1</v>
      </c>
      <c r="E23" s="68" t="s">
        <v>430</v>
      </c>
    </row>
    <row r="24" spans="1:5">
      <c r="A24" s="68">
        <v>0.29830299999999998</v>
      </c>
      <c r="B24" s="68">
        <v>0.50958800000000004</v>
      </c>
      <c r="C24" s="68">
        <v>8.9380799999999994</v>
      </c>
      <c r="D24" s="68">
        <v>1</v>
      </c>
      <c r="E24" s="68" t="s">
        <v>431</v>
      </c>
    </row>
    <row r="25" spans="1:5">
      <c r="A25" s="68">
        <v>0.303037</v>
      </c>
      <c r="B25" s="68">
        <v>0.506019</v>
      </c>
      <c r="C25" s="68">
        <v>9.3430099999999996</v>
      </c>
      <c r="D25" s="68">
        <v>1</v>
      </c>
      <c r="E25" s="68" t="s">
        <v>432</v>
      </c>
    </row>
    <row r="26" spans="1:5">
      <c r="A26" s="68">
        <v>0.30790600000000001</v>
      </c>
      <c r="B26" s="68">
        <v>0.50216000000000005</v>
      </c>
      <c r="C26" s="68">
        <v>9.7539099999999994</v>
      </c>
      <c r="D26" s="68">
        <v>1</v>
      </c>
      <c r="E26" s="68" t="s">
        <v>433</v>
      </c>
    </row>
    <row r="27" spans="1:5">
      <c r="A27" s="68">
        <v>0.31262800000000002</v>
      </c>
      <c r="B27" s="68">
        <v>0.498722</v>
      </c>
      <c r="C27" s="68">
        <v>10.158899999999999</v>
      </c>
      <c r="D27" s="68">
        <v>1</v>
      </c>
      <c r="E27" s="68" t="s">
        <v>434</v>
      </c>
    </row>
    <row r="28" spans="1:5">
      <c r="A28" s="68">
        <v>0.31735400000000002</v>
      </c>
      <c r="B28" s="68">
        <v>0.49656400000000001</v>
      </c>
      <c r="C28" s="68">
        <v>10.565799999999999</v>
      </c>
      <c r="D28" s="68">
        <v>1</v>
      </c>
      <c r="E28" s="68" t="s">
        <v>435</v>
      </c>
    </row>
    <row r="29" spans="1:5">
      <c r="A29" s="68">
        <v>0.321909</v>
      </c>
      <c r="B29" s="68">
        <v>0.49587399999999998</v>
      </c>
      <c r="C29" s="68">
        <v>10.9697</v>
      </c>
      <c r="D29" s="68">
        <v>1</v>
      </c>
      <c r="E29" s="68" t="s">
        <v>436</v>
      </c>
    </row>
    <row r="30" spans="1:5">
      <c r="A30" s="68">
        <v>0.326401</v>
      </c>
      <c r="B30" s="68">
        <v>0.49576700000000001</v>
      </c>
      <c r="C30" s="68">
        <v>11.3726</v>
      </c>
      <c r="D30" s="68">
        <v>1</v>
      </c>
      <c r="E30" s="68" t="s">
        <v>437</v>
      </c>
    </row>
    <row r="31" spans="1:5">
      <c r="A31" s="68">
        <v>0.33088499999999998</v>
      </c>
      <c r="B31" s="68">
        <v>0.49626900000000002</v>
      </c>
      <c r="C31" s="68">
        <v>11.7788</v>
      </c>
      <c r="D31" s="68">
        <v>1</v>
      </c>
      <c r="E31" s="68" t="s">
        <v>438</v>
      </c>
    </row>
    <row r="32" spans="1:5">
      <c r="A32" s="68">
        <v>0.33549600000000002</v>
      </c>
      <c r="B32" s="68">
        <v>0.49730400000000002</v>
      </c>
      <c r="C32" s="68">
        <v>12.1877</v>
      </c>
      <c r="D32" s="68">
        <v>1</v>
      </c>
      <c r="E32" s="68" t="s">
        <v>439</v>
      </c>
    </row>
    <row r="33" spans="1:5">
      <c r="A33" s="68">
        <v>0.34048200000000001</v>
      </c>
      <c r="B33" s="68">
        <v>0.49788399999999999</v>
      </c>
      <c r="C33" s="68">
        <v>12.5954</v>
      </c>
      <c r="D33" s="68">
        <v>1</v>
      </c>
      <c r="E33" s="68" t="s">
        <v>440</v>
      </c>
    </row>
    <row r="34" spans="1:5">
      <c r="A34" s="68">
        <v>0.34571000000000002</v>
      </c>
      <c r="B34" s="68">
        <v>0.49815100000000001</v>
      </c>
      <c r="C34" s="68">
        <v>13.001300000000001</v>
      </c>
      <c r="D34" s="68">
        <v>1</v>
      </c>
      <c r="E34" s="68" t="s">
        <v>441</v>
      </c>
    </row>
    <row r="35" spans="1:5">
      <c r="A35" s="68">
        <v>0.35078999999999999</v>
      </c>
      <c r="B35" s="68">
        <v>0.49980400000000003</v>
      </c>
      <c r="C35" s="68">
        <v>13.408799999999999</v>
      </c>
      <c r="D35" s="68">
        <v>1</v>
      </c>
      <c r="E35" s="68" t="s">
        <v>442</v>
      </c>
    </row>
    <row r="36" spans="1:5">
      <c r="A36" s="68">
        <v>0.35547200000000001</v>
      </c>
      <c r="B36" s="68">
        <v>0.50353199999999998</v>
      </c>
      <c r="C36" s="68">
        <v>13.815200000000001</v>
      </c>
      <c r="D36" s="68">
        <v>1</v>
      </c>
      <c r="E36" s="68" t="s">
        <v>443</v>
      </c>
    </row>
    <row r="37" spans="1:5">
      <c r="A37" s="68">
        <v>0.36009200000000002</v>
      </c>
      <c r="B37" s="68">
        <v>0.50773900000000005</v>
      </c>
      <c r="C37" s="68">
        <v>14.2181</v>
      </c>
      <c r="D37" s="68">
        <v>1</v>
      </c>
      <c r="E37" s="68" t="s">
        <v>444</v>
      </c>
    </row>
    <row r="38" spans="1:5">
      <c r="A38" s="68">
        <v>0.36468400000000001</v>
      </c>
      <c r="B38" s="68">
        <v>0.51173900000000005</v>
      </c>
      <c r="C38" s="68">
        <v>14.625400000000001</v>
      </c>
      <c r="D38" s="68">
        <v>1</v>
      </c>
      <c r="E38" s="68" t="s">
        <v>445</v>
      </c>
    </row>
    <row r="39" spans="1:5">
      <c r="A39" s="68">
        <v>0.36929299999999998</v>
      </c>
      <c r="B39" s="68">
        <v>0.51538600000000001</v>
      </c>
      <c r="C39" s="68">
        <v>15.0291</v>
      </c>
      <c r="D39" s="68">
        <v>1</v>
      </c>
      <c r="E39" s="68" t="s">
        <v>446</v>
      </c>
    </row>
    <row r="40" spans="1:5">
      <c r="A40" s="68">
        <v>0.373971</v>
      </c>
      <c r="B40" s="68">
        <v>0.518702</v>
      </c>
      <c r="C40" s="68">
        <v>15.438000000000001</v>
      </c>
      <c r="D40" s="68">
        <v>1</v>
      </c>
      <c r="E40" s="68" t="s">
        <v>447</v>
      </c>
    </row>
    <row r="41" spans="1:5">
      <c r="A41" s="68">
        <v>0.37866899999999998</v>
      </c>
      <c r="B41" s="68">
        <v>0.52192799999999995</v>
      </c>
      <c r="C41" s="68">
        <v>15.845700000000001</v>
      </c>
      <c r="D41" s="68">
        <v>1</v>
      </c>
      <c r="E41" s="68" t="s">
        <v>448</v>
      </c>
    </row>
    <row r="42" spans="1:5">
      <c r="A42" s="68">
        <v>0.38339699999999999</v>
      </c>
      <c r="B42" s="68">
        <v>0.52437599999999995</v>
      </c>
      <c r="C42" s="68">
        <v>16.249700000000001</v>
      </c>
      <c r="D42" s="68">
        <v>1</v>
      </c>
      <c r="E42" s="68" t="s">
        <v>449</v>
      </c>
    </row>
    <row r="43" spans="1:5">
      <c r="A43" s="68">
        <v>0.38782100000000003</v>
      </c>
      <c r="B43" s="68">
        <v>0.526895</v>
      </c>
      <c r="C43" s="68">
        <v>16.654499999999999</v>
      </c>
      <c r="D43" s="68">
        <v>1</v>
      </c>
      <c r="E43" s="68" t="s">
        <v>450</v>
      </c>
    </row>
    <row r="44" spans="1:5">
      <c r="A44" s="68">
        <v>0.391706</v>
      </c>
      <c r="B44" s="68">
        <v>0.53012899999999996</v>
      </c>
      <c r="C44" s="68">
        <v>17.064499999999999</v>
      </c>
      <c r="D44" s="68">
        <v>1</v>
      </c>
      <c r="E44" s="68" t="s">
        <v>451</v>
      </c>
    </row>
    <row r="45" spans="1:5">
      <c r="A45" s="68">
        <v>0.39541199999999999</v>
      </c>
      <c r="B45" s="68">
        <v>0.53249999999999997</v>
      </c>
      <c r="C45" s="68">
        <v>17.471299999999999</v>
      </c>
      <c r="D45" s="68">
        <v>1</v>
      </c>
      <c r="E45" s="68" t="s">
        <v>452</v>
      </c>
    </row>
    <row r="46" spans="1:5">
      <c r="A46" s="68">
        <v>0.39937499999999998</v>
      </c>
      <c r="B46" s="68">
        <v>0.534107</v>
      </c>
      <c r="C46" s="68">
        <v>17.877500000000001</v>
      </c>
      <c r="D46" s="68">
        <v>1</v>
      </c>
      <c r="E46" s="68" t="s">
        <v>453</v>
      </c>
    </row>
    <row r="47" spans="1:5">
      <c r="A47" s="68">
        <v>0.403395</v>
      </c>
      <c r="B47" s="68">
        <v>0.53647999999999996</v>
      </c>
      <c r="C47" s="68">
        <v>18.281300000000002</v>
      </c>
      <c r="D47" s="68">
        <v>1</v>
      </c>
      <c r="E47" s="68" t="s">
        <v>454</v>
      </c>
    </row>
    <row r="48" spans="1:5">
      <c r="A48" s="68">
        <v>0.40740799999999999</v>
      </c>
      <c r="B48" s="68">
        <v>0.53857299999999997</v>
      </c>
      <c r="C48" s="68">
        <v>18.688400000000001</v>
      </c>
      <c r="D48" s="68">
        <v>1</v>
      </c>
      <c r="E48" s="68" t="s">
        <v>455</v>
      </c>
    </row>
    <row r="49" spans="1:5">
      <c r="A49" s="68">
        <v>0.411524</v>
      </c>
      <c r="B49" s="68">
        <v>0.53979200000000005</v>
      </c>
      <c r="C49" s="68">
        <v>19.094100000000001</v>
      </c>
      <c r="D49" s="68">
        <v>1</v>
      </c>
      <c r="E49" s="68" t="s">
        <v>456</v>
      </c>
    </row>
    <row r="50" spans="1:5">
      <c r="A50" s="68">
        <v>0.41545199999999999</v>
      </c>
      <c r="B50" s="68">
        <v>0.54121900000000001</v>
      </c>
      <c r="C50" s="68">
        <v>19.501000000000001</v>
      </c>
      <c r="D50" s="68">
        <v>1</v>
      </c>
      <c r="E50" s="68" t="s">
        <v>457</v>
      </c>
    </row>
    <row r="51" spans="1:5">
      <c r="A51" s="68">
        <v>0.41873100000000002</v>
      </c>
      <c r="B51" s="68">
        <v>0.54343799999999998</v>
      </c>
      <c r="C51" s="68">
        <v>19.906600000000001</v>
      </c>
      <c r="D51" s="68">
        <v>1</v>
      </c>
      <c r="E51" s="68" t="s">
        <v>458</v>
      </c>
    </row>
    <row r="52" spans="1:5">
      <c r="A52" s="68">
        <v>0.42135699999999998</v>
      </c>
      <c r="B52" s="68">
        <v>0.54630900000000004</v>
      </c>
      <c r="C52" s="68">
        <v>20.315999999999999</v>
      </c>
      <c r="D52" s="68">
        <v>1</v>
      </c>
      <c r="E52" s="68" t="s">
        <v>459</v>
      </c>
    </row>
    <row r="53" spans="1:5">
      <c r="A53" s="68">
        <v>0.42469000000000001</v>
      </c>
      <c r="B53" s="68">
        <v>0.54724200000000001</v>
      </c>
      <c r="C53" s="68">
        <v>20.7226</v>
      </c>
      <c r="D53" s="68">
        <v>1</v>
      </c>
      <c r="E53" s="68" t="s">
        <v>460</v>
      </c>
    </row>
    <row r="54" spans="1:5">
      <c r="A54" s="68">
        <v>0.42788500000000002</v>
      </c>
      <c r="B54" s="68">
        <v>0.54778499999999997</v>
      </c>
      <c r="C54" s="68">
        <v>21.128499999999999</v>
      </c>
      <c r="D54" s="68">
        <v>1</v>
      </c>
      <c r="E54" s="68" t="s">
        <v>461</v>
      </c>
    </row>
    <row r="55" spans="1:5">
      <c r="A55" s="68">
        <v>0.431203</v>
      </c>
      <c r="B55" s="68">
        <v>0.54797899999999999</v>
      </c>
      <c r="C55" s="68">
        <v>21.531400000000001</v>
      </c>
      <c r="D55" s="68">
        <v>1</v>
      </c>
      <c r="E55" s="68" t="s">
        <v>462</v>
      </c>
    </row>
    <row r="56" spans="1:5">
      <c r="A56" s="68">
        <v>0.43453399999999998</v>
      </c>
      <c r="B56" s="68">
        <v>0.54798999999999998</v>
      </c>
      <c r="C56" s="68">
        <v>21.935400000000001</v>
      </c>
      <c r="D56" s="68">
        <v>1</v>
      </c>
      <c r="E56" s="68" t="s">
        <v>463</v>
      </c>
    </row>
    <row r="57" spans="1:5">
      <c r="A57" s="68">
        <v>0.43768299999999999</v>
      </c>
      <c r="B57" s="68">
        <v>0.54791500000000004</v>
      </c>
      <c r="C57" s="68">
        <v>22.346599999999999</v>
      </c>
      <c r="D57" s="68">
        <v>1</v>
      </c>
      <c r="E57" s="68" t="s">
        <v>464</v>
      </c>
    </row>
    <row r="58" spans="1:5">
      <c r="A58" s="68">
        <v>0.44024400000000002</v>
      </c>
      <c r="B58" s="68">
        <v>0.54772100000000001</v>
      </c>
      <c r="C58" s="68">
        <v>22.7531</v>
      </c>
      <c r="D58" s="68">
        <v>1</v>
      </c>
      <c r="E58" s="68" t="s">
        <v>465</v>
      </c>
    </row>
    <row r="59" spans="1:5">
      <c r="A59" s="68">
        <v>0.442214</v>
      </c>
      <c r="B59" s="68">
        <v>0.54690899999999998</v>
      </c>
      <c r="C59" s="68">
        <v>23.156600000000001</v>
      </c>
      <c r="D59" s="68">
        <v>1</v>
      </c>
      <c r="E59" s="68" t="s">
        <v>466</v>
      </c>
    </row>
    <row r="60" spans="1:5">
      <c r="A60" s="68">
        <v>0.44412200000000002</v>
      </c>
      <c r="B60" s="68">
        <v>0.54544300000000001</v>
      </c>
      <c r="C60" s="68">
        <v>23.563300000000002</v>
      </c>
      <c r="D60" s="68">
        <v>1</v>
      </c>
      <c r="E60" s="68" t="s">
        <v>467</v>
      </c>
    </row>
    <row r="61" spans="1:5">
      <c r="A61" s="68">
        <v>0.44614599999999999</v>
      </c>
      <c r="B61" s="68">
        <v>0.54371800000000003</v>
      </c>
      <c r="C61" s="68">
        <v>23.9711</v>
      </c>
      <c r="D61" s="68">
        <v>1</v>
      </c>
      <c r="E61" s="68" t="s">
        <v>468</v>
      </c>
    </row>
    <row r="62" spans="1:5">
      <c r="A62" s="68">
        <v>0.44788</v>
      </c>
      <c r="B62" s="68">
        <v>0.54173499999999997</v>
      </c>
      <c r="C62" s="68">
        <v>24.373000000000001</v>
      </c>
      <c r="D62" s="68">
        <v>1</v>
      </c>
      <c r="E62" s="68" t="s">
        <v>469</v>
      </c>
    </row>
    <row r="63" spans="1:5">
      <c r="A63" s="68">
        <v>0.44937100000000002</v>
      </c>
      <c r="B63" s="68">
        <v>0.53950200000000004</v>
      </c>
      <c r="C63" s="68">
        <v>24.7837</v>
      </c>
      <c r="D63" s="68">
        <v>1</v>
      </c>
      <c r="E63" s="68" t="s">
        <v>470</v>
      </c>
    </row>
    <row r="64" spans="1:5">
      <c r="A64" s="68">
        <v>0.45067499999999999</v>
      </c>
      <c r="B64" s="68">
        <v>0.5373</v>
      </c>
      <c r="C64" s="68">
        <v>25.189599999999999</v>
      </c>
      <c r="D64" s="68">
        <v>1</v>
      </c>
      <c r="E64" s="68" t="s">
        <v>471</v>
      </c>
    </row>
    <row r="65" spans="1:5">
      <c r="A65" s="68">
        <v>0.45182</v>
      </c>
      <c r="B65" s="68">
        <v>0.53515100000000004</v>
      </c>
      <c r="C65" s="68">
        <v>25.593599999999999</v>
      </c>
      <c r="D65" s="68">
        <v>1</v>
      </c>
      <c r="E65" s="68" t="s">
        <v>472</v>
      </c>
    </row>
    <row r="66" spans="1:5">
      <c r="A66" s="68">
        <v>0.45271099999999997</v>
      </c>
      <c r="B66" s="68">
        <v>0.53283800000000003</v>
      </c>
      <c r="C66" s="68">
        <v>26.002700000000001</v>
      </c>
      <c r="D66" s="68">
        <v>1</v>
      </c>
      <c r="E66" s="68" t="s">
        <v>473</v>
      </c>
    </row>
    <row r="67" spans="1:5">
      <c r="A67" s="68">
        <v>0.453206</v>
      </c>
      <c r="B67" s="68">
        <v>0.53018200000000004</v>
      </c>
      <c r="C67" s="68">
        <v>26.406500000000001</v>
      </c>
      <c r="D67" s="68">
        <v>1</v>
      </c>
      <c r="E67" s="68" t="s">
        <v>474</v>
      </c>
    </row>
    <row r="68" spans="1:5">
      <c r="A68" s="68">
        <v>0.45342199999999999</v>
      </c>
      <c r="B68" s="68">
        <v>0.52730900000000003</v>
      </c>
      <c r="C68" s="68">
        <v>26.813600000000001</v>
      </c>
      <c r="D68" s="68">
        <v>1</v>
      </c>
      <c r="E68" s="68" t="s">
        <v>475</v>
      </c>
    </row>
    <row r="69" spans="1:5">
      <c r="A69" s="68">
        <v>0.453679</v>
      </c>
      <c r="B69" s="68">
        <v>0.52488599999999996</v>
      </c>
      <c r="C69" s="68">
        <v>27.220400000000001</v>
      </c>
      <c r="D69" s="68">
        <v>1</v>
      </c>
      <c r="E69" s="68" t="s">
        <v>476</v>
      </c>
    </row>
    <row r="70" spans="1:5">
      <c r="A70" s="68">
        <v>0.45381500000000002</v>
      </c>
      <c r="B70" s="68">
        <v>0.52296900000000002</v>
      </c>
      <c r="C70" s="68">
        <v>27.627099999999999</v>
      </c>
      <c r="D70" s="68">
        <v>1</v>
      </c>
      <c r="E70" s="68" t="s">
        <v>477</v>
      </c>
    </row>
    <row r="71" spans="1:5">
      <c r="A71" s="68">
        <v>0.45392399999999999</v>
      </c>
      <c r="B71" s="68">
        <v>0.52166400000000002</v>
      </c>
      <c r="C71" s="68">
        <v>28.034099999999999</v>
      </c>
      <c r="D71" s="68">
        <v>1</v>
      </c>
      <c r="E71" s="68" t="s">
        <v>478</v>
      </c>
    </row>
    <row r="72" spans="1:5">
      <c r="A72" s="68">
        <v>0.454293</v>
      </c>
      <c r="B72" s="68">
        <v>0.52033799999999997</v>
      </c>
      <c r="C72" s="68">
        <v>28.440100000000001</v>
      </c>
      <c r="D72" s="68">
        <v>1</v>
      </c>
      <c r="E72" s="68" t="s">
        <v>479</v>
      </c>
    </row>
    <row r="73" spans="1:5">
      <c r="A73" s="68">
        <v>0.45444099999999998</v>
      </c>
      <c r="B73" s="68">
        <v>0.51948099999999997</v>
      </c>
      <c r="C73" s="68">
        <v>28.844899999999999</v>
      </c>
      <c r="D73" s="68">
        <v>1</v>
      </c>
      <c r="E73" s="68" t="s">
        <v>480</v>
      </c>
    </row>
    <row r="74" spans="1:5">
      <c r="A74" s="68">
        <v>0.45441999999999999</v>
      </c>
      <c r="B74" s="68">
        <v>0.51930600000000005</v>
      </c>
      <c r="C74" s="68">
        <v>29.251899999999999</v>
      </c>
      <c r="D74" s="68">
        <v>1</v>
      </c>
      <c r="E74" s="68" t="s">
        <v>481</v>
      </c>
    </row>
    <row r="75" spans="1:5">
      <c r="A75" s="68">
        <v>0.454598</v>
      </c>
      <c r="B75" s="68">
        <v>0.51936000000000004</v>
      </c>
      <c r="C75" s="68">
        <v>29.659700000000001</v>
      </c>
      <c r="D75" s="68">
        <v>1</v>
      </c>
      <c r="E75" s="68" t="s">
        <v>482</v>
      </c>
    </row>
    <row r="76" spans="1:5">
      <c r="A76" s="68">
        <v>0.455017</v>
      </c>
      <c r="B76" s="68">
        <v>0.51980400000000004</v>
      </c>
      <c r="C76" s="68">
        <v>30.065999999999999</v>
      </c>
      <c r="D76" s="68">
        <v>2</v>
      </c>
      <c r="E76" s="68" t="s">
        <v>483</v>
      </c>
    </row>
    <row r="77" spans="1:5">
      <c r="A77" s="68">
        <v>0.455293</v>
      </c>
      <c r="B77" s="68">
        <v>0.521374</v>
      </c>
      <c r="C77" s="68">
        <v>30.6433</v>
      </c>
      <c r="D77" s="68">
        <v>2</v>
      </c>
      <c r="E77" s="68" t="s">
        <v>484</v>
      </c>
    </row>
    <row r="78" spans="1:5">
      <c r="A78" s="68">
        <v>0.45516299999999998</v>
      </c>
      <c r="B78" s="68">
        <v>0.52271999999999996</v>
      </c>
      <c r="C78" s="68">
        <v>31.0181</v>
      </c>
      <c r="D78" s="68">
        <v>2</v>
      </c>
      <c r="E78" s="68" t="s">
        <v>485</v>
      </c>
    </row>
    <row r="79" spans="1:5">
      <c r="A79" s="68">
        <v>0.45470500000000003</v>
      </c>
      <c r="B79" s="68">
        <v>0.52401600000000004</v>
      </c>
      <c r="C79" s="68">
        <v>31.3931</v>
      </c>
      <c r="D79" s="68">
        <v>2</v>
      </c>
      <c r="E79" s="68" t="s">
        <v>486</v>
      </c>
    </row>
    <row r="80" spans="1:5">
      <c r="A80" s="68">
        <v>0.45393299999999998</v>
      </c>
      <c r="B80" s="68">
        <v>0.52557600000000004</v>
      </c>
      <c r="C80" s="68">
        <v>31.772099999999998</v>
      </c>
      <c r="D80" s="68">
        <v>2</v>
      </c>
      <c r="E80" s="68" t="s">
        <v>487</v>
      </c>
    </row>
    <row r="81" spans="1:5">
      <c r="A81" s="68">
        <v>0.45307199999999997</v>
      </c>
      <c r="B81" s="68">
        <v>0.52745699999999995</v>
      </c>
      <c r="C81" s="68">
        <v>32.158200000000001</v>
      </c>
      <c r="D81" s="68">
        <v>2</v>
      </c>
      <c r="E81" s="68" t="s">
        <v>488</v>
      </c>
    </row>
    <row r="82" spans="1:5">
      <c r="A82" s="68">
        <v>0.45203700000000002</v>
      </c>
      <c r="B82" s="68">
        <v>0.52904799999999996</v>
      </c>
      <c r="C82" s="68">
        <v>32.564999999999998</v>
      </c>
      <c r="D82" s="68">
        <v>2</v>
      </c>
      <c r="E82" s="68" t="s">
        <v>489</v>
      </c>
    </row>
    <row r="83" spans="1:5">
      <c r="A83" s="68">
        <v>0.45119300000000001</v>
      </c>
      <c r="B83" s="68">
        <v>0.53017499999999995</v>
      </c>
      <c r="C83" s="68">
        <v>32.9709</v>
      </c>
      <c r="D83" s="68">
        <v>2</v>
      </c>
      <c r="E83" s="68" t="s">
        <v>490</v>
      </c>
    </row>
    <row r="84" spans="1:5">
      <c r="A84" s="68">
        <v>0.45013500000000001</v>
      </c>
      <c r="B84" s="68">
        <v>0.53196699999999997</v>
      </c>
      <c r="C84" s="68">
        <v>33.375900000000001</v>
      </c>
      <c r="D84" s="68">
        <v>2</v>
      </c>
      <c r="E84" s="68" t="s">
        <v>491</v>
      </c>
    </row>
    <row r="85" spans="1:5">
      <c r="A85" s="68">
        <v>0.44867899999999999</v>
      </c>
      <c r="B85" s="68">
        <v>0.53366000000000002</v>
      </c>
      <c r="C85" s="68">
        <v>33.782800000000002</v>
      </c>
      <c r="D85" s="68">
        <v>2</v>
      </c>
      <c r="E85" s="68" t="s">
        <v>492</v>
      </c>
    </row>
    <row r="86" spans="1:5">
      <c r="A86" s="68">
        <v>0.44717800000000002</v>
      </c>
      <c r="B86" s="68">
        <v>0.53519600000000001</v>
      </c>
      <c r="C86" s="68">
        <v>34.188600000000001</v>
      </c>
      <c r="D86" s="68">
        <v>2</v>
      </c>
      <c r="E86" s="68" t="s">
        <v>493</v>
      </c>
    </row>
    <row r="87" spans="1:5">
      <c r="A87" s="68">
        <v>0.44555299999999998</v>
      </c>
      <c r="B87" s="68">
        <v>0.53694200000000003</v>
      </c>
      <c r="C87" s="68">
        <v>34.593600000000002</v>
      </c>
      <c r="D87" s="68">
        <v>2</v>
      </c>
      <c r="E87" s="68" t="s">
        <v>494</v>
      </c>
    </row>
    <row r="88" spans="1:5">
      <c r="A88" s="68">
        <v>0.44404300000000002</v>
      </c>
      <c r="B88" s="68">
        <v>0.53896100000000002</v>
      </c>
      <c r="C88" s="68">
        <v>35.000500000000002</v>
      </c>
      <c r="D88" s="68">
        <v>2</v>
      </c>
      <c r="E88" s="68" t="s">
        <v>495</v>
      </c>
    </row>
    <row r="89" spans="1:5">
      <c r="A89" s="68">
        <v>0.442353</v>
      </c>
      <c r="B89" s="68">
        <v>0.54144499999999995</v>
      </c>
      <c r="C89" s="68">
        <v>35.408999999999999</v>
      </c>
      <c r="D89" s="68">
        <v>2</v>
      </c>
      <c r="E89" s="68" t="s">
        <v>496</v>
      </c>
    </row>
    <row r="90" spans="1:5">
      <c r="A90" s="68">
        <v>0.44058799999999998</v>
      </c>
      <c r="B90" s="68">
        <v>0.54282699999999995</v>
      </c>
      <c r="C90" s="68">
        <v>35.813699999999997</v>
      </c>
      <c r="D90" s="68">
        <v>2</v>
      </c>
      <c r="E90" s="68" t="s">
        <v>497</v>
      </c>
    </row>
    <row r="91" spans="1:5">
      <c r="A91" s="68">
        <v>0.43858599999999998</v>
      </c>
      <c r="B91" s="68">
        <v>0.54323399999999999</v>
      </c>
      <c r="C91" s="68">
        <v>36.219299999999997</v>
      </c>
      <c r="D91" s="68">
        <v>2</v>
      </c>
      <c r="E91" s="68" t="s">
        <v>498</v>
      </c>
    </row>
    <row r="92" spans="1:5">
      <c r="A92" s="68">
        <v>0.43647599999999998</v>
      </c>
      <c r="B92" s="68">
        <v>0.54337299999999999</v>
      </c>
      <c r="C92" s="68">
        <v>36.626399999999997</v>
      </c>
      <c r="D92" s="68">
        <v>2</v>
      </c>
      <c r="E92" s="68" t="s">
        <v>499</v>
      </c>
    </row>
    <row r="93" spans="1:5">
      <c r="A93" s="68">
        <v>0.43441200000000002</v>
      </c>
      <c r="B93" s="68">
        <v>0.54312899999999997</v>
      </c>
      <c r="C93" s="68">
        <v>37.030900000000003</v>
      </c>
      <c r="D93" s="68">
        <v>2</v>
      </c>
      <c r="E93" s="68" t="s">
        <v>500</v>
      </c>
    </row>
    <row r="94" spans="1:5">
      <c r="A94" s="68">
        <v>0.43231999999999998</v>
      </c>
      <c r="B94" s="68">
        <v>0.54237500000000005</v>
      </c>
      <c r="C94" s="68">
        <v>37.438299999999998</v>
      </c>
      <c r="D94" s="68">
        <v>2</v>
      </c>
      <c r="E94" s="68" t="s">
        <v>501</v>
      </c>
    </row>
    <row r="95" spans="1:5">
      <c r="A95" s="68">
        <v>0.43011500000000003</v>
      </c>
      <c r="B95" s="68">
        <v>0.54144199999999998</v>
      </c>
      <c r="C95" s="68">
        <v>37.8429</v>
      </c>
      <c r="D95" s="68">
        <v>2</v>
      </c>
      <c r="E95" s="68" t="s">
        <v>502</v>
      </c>
    </row>
    <row r="96" spans="1:5">
      <c r="A96" s="68">
        <v>0.42764600000000003</v>
      </c>
      <c r="B96" s="68">
        <v>0.54019600000000001</v>
      </c>
      <c r="C96" s="68">
        <v>38.250799999999998</v>
      </c>
      <c r="D96" s="68">
        <v>2</v>
      </c>
      <c r="E96" s="68" t="s">
        <v>503</v>
      </c>
    </row>
    <row r="97" spans="1:5">
      <c r="A97" s="68">
        <v>0.42507800000000001</v>
      </c>
      <c r="B97" s="68">
        <v>0.53884200000000004</v>
      </c>
      <c r="C97" s="68">
        <v>38.655799999999999</v>
      </c>
      <c r="D97" s="68">
        <v>2</v>
      </c>
      <c r="E97" s="68" t="s">
        <v>504</v>
      </c>
    </row>
    <row r="98" spans="1:5">
      <c r="A98" s="68">
        <v>0.422321</v>
      </c>
      <c r="B98" s="68">
        <v>0.53664199999999995</v>
      </c>
      <c r="C98" s="68">
        <v>39.062899999999999</v>
      </c>
      <c r="D98" s="68">
        <v>2</v>
      </c>
      <c r="E98" s="68" t="s">
        <v>505</v>
      </c>
    </row>
    <row r="99" spans="1:5">
      <c r="A99" s="68">
        <v>0.41912500000000003</v>
      </c>
      <c r="B99" s="68">
        <v>0.533802</v>
      </c>
      <c r="C99" s="68">
        <v>39.470599999999997</v>
      </c>
      <c r="D99" s="68">
        <v>2</v>
      </c>
      <c r="E99" s="68" t="s">
        <v>506</v>
      </c>
    </row>
    <row r="100" spans="1:5">
      <c r="A100" s="68">
        <v>0.41565999999999997</v>
      </c>
      <c r="B100" s="68">
        <v>0.53066199999999997</v>
      </c>
      <c r="C100" s="68">
        <v>39.877800000000001</v>
      </c>
      <c r="D100" s="68">
        <v>2</v>
      </c>
      <c r="E100" s="68" t="s">
        <v>507</v>
      </c>
    </row>
    <row r="101" spans="1:5">
      <c r="A101" s="68">
        <v>0.41188399999999997</v>
      </c>
      <c r="B101" s="68">
        <v>0.52719700000000003</v>
      </c>
      <c r="C101" s="68">
        <v>40.2834</v>
      </c>
      <c r="D101" s="68">
        <v>2</v>
      </c>
      <c r="E101" s="68" t="s">
        <v>508</v>
      </c>
    </row>
    <row r="102" spans="1:5">
      <c r="A102" s="68">
        <v>0.40817999999999999</v>
      </c>
      <c r="B102" s="68">
        <v>0.52340100000000001</v>
      </c>
      <c r="C102" s="68">
        <v>40.689500000000002</v>
      </c>
      <c r="D102" s="68">
        <v>2</v>
      </c>
      <c r="E102" s="68" t="s">
        <v>509</v>
      </c>
    </row>
    <row r="103" spans="1:5">
      <c r="A103" s="68">
        <v>0.40465699999999999</v>
      </c>
      <c r="B103" s="68">
        <v>0.51903299999999997</v>
      </c>
      <c r="C103" s="68">
        <v>41.093299999999999</v>
      </c>
      <c r="D103" s="68">
        <v>2</v>
      </c>
      <c r="E103" s="68" t="s">
        <v>510</v>
      </c>
    </row>
    <row r="104" spans="1:5">
      <c r="A104" s="68">
        <v>0.40124399999999999</v>
      </c>
      <c r="B104" s="68">
        <v>0.51393900000000003</v>
      </c>
      <c r="C104" s="68">
        <v>41.498100000000001</v>
      </c>
      <c r="D104" s="68">
        <v>2</v>
      </c>
      <c r="E104" s="68" t="s">
        <v>511</v>
      </c>
    </row>
    <row r="105" spans="1:5">
      <c r="A105" s="68">
        <v>0.39804600000000001</v>
      </c>
      <c r="B105" s="68">
        <v>0.50947399999999998</v>
      </c>
      <c r="C105" s="68">
        <v>41.9054</v>
      </c>
      <c r="D105" s="68">
        <v>2</v>
      </c>
      <c r="E105" s="68" t="s">
        <v>512</v>
      </c>
    </row>
    <row r="106" spans="1:5">
      <c r="A106" s="68">
        <v>0.395173</v>
      </c>
      <c r="B106" s="68">
        <v>0.50601499999999999</v>
      </c>
      <c r="C106" s="68">
        <v>42.314999999999998</v>
      </c>
      <c r="D106" s="68">
        <v>2</v>
      </c>
      <c r="E106" s="68" t="s">
        <v>513</v>
      </c>
    </row>
    <row r="107" spans="1:5">
      <c r="A107" s="68">
        <v>0.392731</v>
      </c>
      <c r="B107" s="68">
        <v>0.50279099999999999</v>
      </c>
      <c r="C107" s="68">
        <v>42.722000000000001</v>
      </c>
      <c r="D107" s="68">
        <v>2</v>
      </c>
      <c r="E107" s="68" t="s">
        <v>514</v>
      </c>
    </row>
    <row r="108" spans="1:5">
      <c r="A108" s="68">
        <v>0.39052700000000001</v>
      </c>
      <c r="B108" s="68">
        <v>0.50103799999999998</v>
      </c>
      <c r="C108" s="68">
        <v>43.126800000000003</v>
      </c>
      <c r="D108" s="68">
        <v>2</v>
      </c>
      <c r="E108" s="68" t="s">
        <v>515</v>
      </c>
    </row>
    <row r="109" spans="1:5">
      <c r="A109" s="68">
        <v>0.38883099999999998</v>
      </c>
      <c r="B109" s="68">
        <v>0.49952299999999999</v>
      </c>
      <c r="C109" s="68">
        <v>43.531799999999997</v>
      </c>
      <c r="D109" s="68">
        <v>2</v>
      </c>
      <c r="E109" s="68" t="s">
        <v>516</v>
      </c>
    </row>
    <row r="110" spans="1:5">
      <c r="A110" s="68">
        <v>0.387822</v>
      </c>
      <c r="B110" s="68">
        <v>0.49712499999999998</v>
      </c>
      <c r="C110" s="68">
        <v>43.935600000000001</v>
      </c>
      <c r="D110" s="68">
        <v>2</v>
      </c>
      <c r="E110" s="68" t="s">
        <v>517</v>
      </c>
    </row>
    <row r="111" spans="1:5">
      <c r="A111" s="68">
        <v>0.38754100000000002</v>
      </c>
      <c r="B111" s="68">
        <v>0.49467699999999998</v>
      </c>
      <c r="C111" s="68">
        <v>44.3416</v>
      </c>
      <c r="D111" s="68">
        <v>2</v>
      </c>
      <c r="E111" s="68" t="s">
        <v>518</v>
      </c>
    </row>
    <row r="112" spans="1:5">
      <c r="A112" s="68">
        <v>0.38775799999999999</v>
      </c>
      <c r="B112" s="68">
        <v>0.49222399999999999</v>
      </c>
      <c r="C112" s="68">
        <v>44.753500000000003</v>
      </c>
      <c r="D112" s="68">
        <v>2</v>
      </c>
      <c r="E112" s="68" t="s">
        <v>519</v>
      </c>
    </row>
    <row r="113" spans="1:5">
      <c r="A113" s="68">
        <v>0.38814599999999999</v>
      </c>
      <c r="B113" s="68">
        <v>0.489477</v>
      </c>
      <c r="C113" s="68">
        <v>45.157499999999999</v>
      </c>
      <c r="D113" s="68">
        <v>2</v>
      </c>
      <c r="E113" s="68" t="s">
        <v>520</v>
      </c>
    </row>
    <row r="114" spans="1:5">
      <c r="A114" s="68">
        <v>0.38880100000000001</v>
      </c>
      <c r="B114" s="68">
        <v>0.48644599999999999</v>
      </c>
      <c r="C114" s="68">
        <v>45.561300000000003</v>
      </c>
      <c r="D114" s="68">
        <v>2</v>
      </c>
      <c r="E114" s="68" t="s">
        <v>521</v>
      </c>
    </row>
    <row r="115" spans="1:5">
      <c r="A115" s="68">
        <v>0.38946999999999998</v>
      </c>
      <c r="B115" s="68">
        <v>0.48478199999999999</v>
      </c>
      <c r="C115" s="68">
        <v>45.968400000000003</v>
      </c>
      <c r="D115" s="68">
        <v>2</v>
      </c>
      <c r="E115" s="68" t="s">
        <v>522</v>
      </c>
    </row>
    <row r="116" spans="1:5">
      <c r="A116" s="68">
        <v>0.39066000000000001</v>
      </c>
      <c r="B116" s="68">
        <v>0.48337000000000002</v>
      </c>
      <c r="C116" s="68">
        <v>46.371899999999997</v>
      </c>
      <c r="D116" s="68">
        <v>2</v>
      </c>
      <c r="E116" s="68" t="s">
        <v>523</v>
      </c>
    </row>
    <row r="117" spans="1:5">
      <c r="A117" s="68">
        <v>0.39257500000000001</v>
      </c>
      <c r="B117" s="68">
        <v>0.481512</v>
      </c>
      <c r="C117" s="68">
        <v>46.783099999999997</v>
      </c>
      <c r="D117" s="68">
        <v>2</v>
      </c>
      <c r="E117" s="68" t="s">
        <v>524</v>
      </c>
    </row>
    <row r="118" spans="1:5">
      <c r="A118" s="68">
        <v>0.39460699999999999</v>
      </c>
      <c r="B118" s="68">
        <v>0.47999199999999997</v>
      </c>
      <c r="C118" s="68">
        <v>47.186999999999998</v>
      </c>
      <c r="D118" s="68">
        <v>2</v>
      </c>
      <c r="E118" s="68" t="s">
        <v>525</v>
      </c>
    </row>
    <row r="119" spans="1:5">
      <c r="A119" s="68">
        <v>0.39706900000000001</v>
      </c>
      <c r="B119" s="68">
        <v>0.47827900000000001</v>
      </c>
      <c r="C119" s="68">
        <v>47.5974</v>
      </c>
      <c r="D119" s="68">
        <v>2</v>
      </c>
      <c r="E119" s="68" t="s">
        <v>526</v>
      </c>
    </row>
    <row r="120" spans="1:5">
      <c r="A120" s="68">
        <v>0.39943699999999999</v>
      </c>
      <c r="B120" s="68">
        <v>0.47756500000000002</v>
      </c>
      <c r="C120" s="68">
        <v>48.003700000000002</v>
      </c>
      <c r="D120" s="68">
        <v>2</v>
      </c>
      <c r="E120" s="68" t="s">
        <v>527</v>
      </c>
    </row>
    <row r="121" spans="1:5">
      <c r="A121" s="68">
        <v>0.40173799999999998</v>
      </c>
      <c r="B121" s="68">
        <v>0.47735699999999998</v>
      </c>
      <c r="C121" s="68">
        <v>48.407800000000002</v>
      </c>
      <c r="D121" s="68">
        <v>2</v>
      </c>
      <c r="E121" s="68" t="s">
        <v>528</v>
      </c>
    </row>
    <row r="122" spans="1:5">
      <c r="A122" s="68">
        <v>0.40397</v>
      </c>
      <c r="B122" s="68">
        <v>0.47794300000000001</v>
      </c>
      <c r="C122" s="68">
        <v>48.811500000000002</v>
      </c>
      <c r="D122" s="68">
        <v>2</v>
      </c>
      <c r="E122" s="68" t="s">
        <v>529</v>
      </c>
    </row>
    <row r="123" spans="1:5">
      <c r="A123" s="68">
        <v>0.40643000000000001</v>
      </c>
      <c r="B123" s="68">
        <v>0.47939500000000002</v>
      </c>
      <c r="C123" s="68">
        <v>49.218600000000002</v>
      </c>
      <c r="D123" s="68">
        <v>2</v>
      </c>
      <c r="E123" s="68" t="s">
        <v>530</v>
      </c>
    </row>
    <row r="124" spans="1:5">
      <c r="A124" s="68">
        <v>0.40933199999999997</v>
      </c>
      <c r="B124" s="68">
        <v>0.48207699999999998</v>
      </c>
      <c r="C124" s="68">
        <v>49.623199999999997</v>
      </c>
      <c r="D124" s="68">
        <v>2</v>
      </c>
      <c r="E124" s="68" t="s">
        <v>531</v>
      </c>
    </row>
    <row r="125" spans="1:5">
      <c r="A125" s="68">
        <v>0.41226299999999999</v>
      </c>
      <c r="B125" s="68">
        <v>0.486398</v>
      </c>
      <c r="C125" s="68">
        <v>50.034999999999997</v>
      </c>
      <c r="D125" s="68">
        <v>2</v>
      </c>
      <c r="E125" s="68" t="s">
        <v>532</v>
      </c>
    </row>
    <row r="126" spans="1:5">
      <c r="A126" s="68">
        <v>0.41407500000000003</v>
      </c>
      <c r="B126" s="68">
        <v>0.48935499999999998</v>
      </c>
      <c r="C126" s="68">
        <v>50.440899999999999</v>
      </c>
      <c r="D126" s="68">
        <v>2</v>
      </c>
      <c r="E126" s="68" t="s">
        <v>533</v>
      </c>
    </row>
    <row r="127" spans="1:5">
      <c r="A127" s="68">
        <v>0.41608899999999999</v>
      </c>
      <c r="B127" s="68">
        <v>0.49325200000000002</v>
      </c>
      <c r="C127" s="68">
        <v>50.846200000000003</v>
      </c>
      <c r="D127" s="68">
        <v>2</v>
      </c>
      <c r="E127" s="68" t="s">
        <v>534</v>
      </c>
    </row>
    <row r="128" spans="1:5">
      <c r="A128" s="68">
        <v>0.41820299999999999</v>
      </c>
      <c r="B128" s="68">
        <v>0.49816700000000003</v>
      </c>
      <c r="C128" s="68">
        <v>51.249099999999999</v>
      </c>
      <c r="D128" s="68">
        <v>2</v>
      </c>
      <c r="E128" s="68" t="s">
        <v>535</v>
      </c>
    </row>
    <row r="129" spans="1:5">
      <c r="A129" s="68">
        <v>0.42062300000000002</v>
      </c>
      <c r="B129" s="68">
        <v>0.50479399999999996</v>
      </c>
      <c r="C129" s="68">
        <v>51.658900000000003</v>
      </c>
      <c r="D129" s="68">
        <v>2</v>
      </c>
      <c r="E129" s="68" t="s">
        <v>536</v>
      </c>
    </row>
    <row r="130" spans="1:5">
      <c r="A130" s="68">
        <v>0.42308699999999999</v>
      </c>
      <c r="B130" s="68">
        <v>0.51189899999999999</v>
      </c>
      <c r="C130" s="68">
        <v>52.064300000000003</v>
      </c>
      <c r="D130" s="68">
        <v>2</v>
      </c>
      <c r="E130" s="68" t="s">
        <v>537</v>
      </c>
    </row>
    <row r="131" spans="1:5">
      <c r="A131" s="68">
        <v>0.4254</v>
      </c>
      <c r="B131" s="68">
        <v>0.51855200000000001</v>
      </c>
      <c r="C131" s="68">
        <v>52.471699999999998</v>
      </c>
      <c r="D131" s="68">
        <v>2</v>
      </c>
      <c r="E131" s="68" t="s">
        <v>538</v>
      </c>
    </row>
    <row r="132" spans="1:5">
      <c r="A132" s="68">
        <v>0.42766900000000002</v>
      </c>
      <c r="B132" s="68">
        <v>0.52555799999999997</v>
      </c>
      <c r="C132" s="68">
        <v>52.872700000000002</v>
      </c>
      <c r="D132" s="68">
        <v>2</v>
      </c>
      <c r="E132" s="68" t="s">
        <v>539</v>
      </c>
    </row>
    <row r="133" spans="1:5">
      <c r="A133" s="68">
        <v>0.42999700000000002</v>
      </c>
      <c r="B133" s="68">
        <v>0.53152100000000002</v>
      </c>
      <c r="C133" s="68">
        <v>53.283700000000003</v>
      </c>
      <c r="D133" s="68">
        <v>2</v>
      </c>
      <c r="E133" s="68" t="s">
        <v>540</v>
      </c>
    </row>
    <row r="134" spans="1:5">
      <c r="A134" s="68">
        <v>0.43221900000000002</v>
      </c>
      <c r="B134" s="68">
        <v>0.53633500000000001</v>
      </c>
      <c r="C134" s="68">
        <v>53.687600000000003</v>
      </c>
      <c r="D134" s="68">
        <v>2</v>
      </c>
      <c r="E134" s="68" t="s">
        <v>541</v>
      </c>
    </row>
    <row r="135" spans="1:5">
      <c r="A135" s="68">
        <v>0.43431199999999998</v>
      </c>
      <c r="B135" s="68">
        <v>0.54133600000000004</v>
      </c>
      <c r="C135" s="68">
        <v>54.092300000000002</v>
      </c>
      <c r="D135" s="68">
        <v>2</v>
      </c>
      <c r="E135" s="68" t="s">
        <v>542</v>
      </c>
    </row>
    <row r="136" spans="1:5">
      <c r="A136" s="68">
        <v>0.43595499999999998</v>
      </c>
      <c r="B136" s="68">
        <v>0.54473199999999999</v>
      </c>
      <c r="C136" s="68">
        <v>54.501399999999997</v>
      </c>
      <c r="D136" s="68">
        <v>2</v>
      </c>
      <c r="E136" s="68" t="s">
        <v>543</v>
      </c>
    </row>
    <row r="137" spans="1:5">
      <c r="A137" s="68">
        <v>0.43735499999999999</v>
      </c>
      <c r="B137" s="68">
        <v>0.54729399999999995</v>
      </c>
      <c r="C137" s="68">
        <v>54.909199999999998</v>
      </c>
      <c r="D137" s="68">
        <v>2</v>
      </c>
      <c r="E137" s="68" t="s">
        <v>544</v>
      </c>
    </row>
    <row r="138" spans="1:5">
      <c r="A138" s="68">
        <v>0.43876399999999999</v>
      </c>
      <c r="B138" s="68">
        <v>0.55027899999999996</v>
      </c>
      <c r="C138" s="68">
        <v>55.3142</v>
      </c>
      <c r="D138" s="68">
        <v>2</v>
      </c>
      <c r="E138" s="68" t="s">
        <v>545</v>
      </c>
    </row>
    <row r="139" spans="1:5">
      <c r="A139" s="68">
        <v>0.440021</v>
      </c>
      <c r="B139" s="68">
        <v>0.55339799999999995</v>
      </c>
      <c r="C139" s="68">
        <v>55.719000000000001</v>
      </c>
      <c r="D139" s="68">
        <v>2</v>
      </c>
      <c r="E139" s="68" t="s">
        <v>546</v>
      </c>
    </row>
    <row r="140" spans="1:5">
      <c r="A140" s="68">
        <v>0.44166499999999997</v>
      </c>
      <c r="B140" s="68">
        <v>0.55598899999999996</v>
      </c>
      <c r="C140" s="68">
        <v>56.125900000000001</v>
      </c>
      <c r="D140" s="68">
        <v>2</v>
      </c>
      <c r="E140" s="68" t="s">
        <v>547</v>
      </c>
    </row>
    <row r="141" spans="1:5">
      <c r="A141" s="68">
        <v>0.44339899999999999</v>
      </c>
      <c r="B141" s="68">
        <v>0.55879599999999996</v>
      </c>
      <c r="C141" s="68">
        <v>56.531999999999996</v>
      </c>
      <c r="D141" s="68">
        <v>2</v>
      </c>
      <c r="E141" s="68" t="s">
        <v>548</v>
      </c>
    </row>
    <row r="142" spans="1:5">
      <c r="A142" s="68">
        <v>0.44422099999999998</v>
      </c>
      <c r="B142" s="68">
        <v>0.56087299999999995</v>
      </c>
      <c r="C142" s="68">
        <v>56.940800000000003</v>
      </c>
      <c r="D142" s="68">
        <v>2</v>
      </c>
      <c r="E142" s="68" t="s">
        <v>549</v>
      </c>
    </row>
    <row r="143" spans="1:5">
      <c r="A143" s="68">
        <v>0.44490099999999999</v>
      </c>
      <c r="B143" s="68">
        <v>0.56242000000000003</v>
      </c>
      <c r="C143" s="68">
        <v>57.347000000000001</v>
      </c>
      <c r="D143" s="68">
        <v>2</v>
      </c>
      <c r="E143" s="68" t="s">
        <v>550</v>
      </c>
    </row>
    <row r="144" spans="1:5">
      <c r="A144" s="68">
        <v>0.444355</v>
      </c>
      <c r="B144" s="68">
        <v>0.56346099999999999</v>
      </c>
      <c r="C144" s="68">
        <v>57.749200000000002</v>
      </c>
      <c r="D144" s="68">
        <v>2</v>
      </c>
      <c r="E144" s="68" t="s">
        <v>551</v>
      </c>
    </row>
    <row r="145" spans="1:5">
      <c r="A145" s="68">
        <v>0.44420599999999999</v>
      </c>
      <c r="B145" s="68">
        <v>0.56337499999999996</v>
      </c>
      <c r="C145" s="68">
        <v>58.1556</v>
      </c>
      <c r="D145" s="68">
        <v>2</v>
      </c>
      <c r="E145" s="68" t="s">
        <v>552</v>
      </c>
    </row>
    <row r="146" spans="1:5">
      <c r="A146" s="68">
        <v>0.44432700000000003</v>
      </c>
      <c r="B146" s="68">
        <v>0.56455</v>
      </c>
      <c r="C146" s="68">
        <v>58.564700000000002</v>
      </c>
      <c r="D146" s="68">
        <v>2</v>
      </c>
      <c r="E146" s="68" t="s">
        <v>553</v>
      </c>
    </row>
    <row r="147" spans="1:5">
      <c r="A147" s="68">
        <v>0.44520799999999999</v>
      </c>
      <c r="B147" s="68">
        <v>0.56725599999999998</v>
      </c>
      <c r="C147" s="68">
        <v>58.972299999999997</v>
      </c>
      <c r="D147" s="68">
        <v>2</v>
      </c>
      <c r="E147" s="68" t="s">
        <v>554</v>
      </c>
    </row>
    <row r="148" spans="1:5">
      <c r="A148" s="68">
        <v>0.44616400000000001</v>
      </c>
      <c r="B148" s="68">
        <v>0.57158100000000001</v>
      </c>
      <c r="C148" s="68">
        <v>59.377299999999998</v>
      </c>
      <c r="D148" s="68">
        <v>2</v>
      </c>
      <c r="E148" s="68" t="s">
        <v>555</v>
      </c>
    </row>
    <row r="149" spans="1:5">
      <c r="A149" s="68">
        <v>0.44492900000000002</v>
      </c>
      <c r="B149" s="68">
        <v>0.57854300000000003</v>
      </c>
      <c r="C149" s="68">
        <v>59.782200000000003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563</v>
      </c>
      <c r="G1" s="66" t="s">
        <v>564</v>
      </c>
      <c r="H1" s="66" t="s">
        <v>565</v>
      </c>
      <c r="I1" s="66" t="s">
        <v>566</v>
      </c>
      <c r="J1" s="66" t="s">
        <v>567</v>
      </c>
      <c r="K1" s="66" t="s">
        <v>568</v>
      </c>
      <c r="L1" s="66" t="s">
        <v>569</v>
      </c>
      <c r="M1" s="66" t="s">
        <v>570</v>
      </c>
      <c r="N1" s="66"/>
    </row>
    <row r="2" spans="1:14">
      <c r="A2" s="75">
        <v>43607.700925925928</v>
      </c>
      <c r="B2" s="66" t="s">
        <v>559</v>
      </c>
      <c r="C2" s="66"/>
      <c r="D2" s="66"/>
      <c r="E2" s="66">
        <v>4.9234099999999996</v>
      </c>
      <c r="F2" s="66">
        <v>2.10806</v>
      </c>
      <c r="G2" s="66">
        <v>0.489373</v>
      </c>
      <c r="H2" s="66">
        <v>0</v>
      </c>
      <c r="I2" s="66">
        <v>171651</v>
      </c>
      <c r="J2" s="66">
        <v>129</v>
      </c>
      <c r="K2" s="66">
        <v>129</v>
      </c>
      <c r="L2" s="66">
        <v>0.97087100000000004</v>
      </c>
      <c r="M2" s="66" t="s">
        <v>571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2019-05-22T08:50:08Z</cp:lastPrinted>
  <dcterms:created xsi:type="dcterms:W3CDTF">2010-10-29T12:53:05Z</dcterms:created>
  <dcterms:modified xsi:type="dcterms:W3CDTF">2019-05-22T08:50:28Z</dcterms:modified>
</cp:coreProperties>
</file>