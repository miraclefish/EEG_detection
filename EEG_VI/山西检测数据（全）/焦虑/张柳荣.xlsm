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Z17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<sst xmlns="http://schemas.openxmlformats.org/spreadsheetml/2006/main" count="701" uniqueCount="572">
  <si>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</si>
  <si>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</si>
  <si>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</si>
  <si>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</si>
  <si>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</si>
  <si>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</si>
  <si>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</si>
  <si>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</si>
  <si>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</si>
  <si>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</si>
  <si>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</si>
  <si>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</si>
  <si>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</si>
  <si>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</si>
  <si>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</si>
  <si>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</si>
  <si>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</si>
  <si>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</si>
  <si>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</si>
  <si>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</si>
  <si>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</si>
  <si>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</si>
  <si>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</si>
  <si>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</si>
  <si>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</si>
  <si>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</si>
  <si>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</si>
  <si>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</si>
  <si>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</si>
  <si>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</si>
  <si>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</si>
  <si>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</si>
  <si>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</si>
  <si>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</si>
  <si>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</si>
  <si>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</si>
  <si>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</si>
  <si>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</si>
  <si>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</si>
  <si>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</si>
  <si>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</si>
  <si>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</si>
  <si>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</si>
  <si>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</si>
  <si>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</si>
  <si>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</si>
  <si>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</si>
  <si>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</si>
  <si>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</si>
  <si>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</si>
  <si>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</si>
  <si>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</si>
  <si>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</si>
  <si>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</si>
  <si>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</si>
  <si>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</si>
  <si>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</si>
  <si>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</si>
  <si>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</si>
  <si>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</si>
  <si>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</si>
  <si>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</si>
  <si>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</si>
  <si>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</si>
  <si>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</si>
  <si>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</si>
  <si>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</si>
  <si>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</si>
  <si>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</si>
  <si>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</si>
  <si>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</si>
  <si>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</si>
  <si>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</si>
  <si>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</si>
  <si>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</si>
  <si>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</si>
  <si>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</si>
  <si>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</si>
  <si>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</si>
  <si>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</si>
  <si>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</si>
  <si>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</si>
  <si>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</si>
  <si>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</si>
  <si>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</si>
  <si>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</si>
  <si>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</si>
  <si>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</si>
  <si>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</si>
  <si>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</si>
  <si>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</si>
  <si>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</si>
  <si>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</si>
  <si>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</si>
  <si>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</si>
  <si>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</si>
  <si>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</si>
  <si>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</si>
  <si>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</si>
  <si>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</si>
  <si>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</si>
  <si>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</si>
  <si>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</si>
  <si>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</si>
  <si>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</si>
  <si>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</si>
  <si>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</si>
  <si>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</si>
  <si>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</si>
  <si>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</si>
  <si>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</si>
  <si>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</si>
  <si>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</si>
  <si>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</si>
  <si>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</si>
  <si>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</si>
  <si>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</si>
  <si>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</si>
  <si>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</si>
  <si>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</si>
  <si>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</si>
  <si>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</si>
  <si>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</si>
  <si>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</si>
  <si>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</si>
  <si>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</si>
  <si>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</si>
  <si>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</si>
  <si>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</si>
  <si>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</si>
  <si>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</si>
  <si>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</si>
  <si>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</si>
  <si>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</si>
  <si>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</si>
  <si>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</si>
  <si>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</si>
  <si>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</si>
  <si>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</si>
  <si>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</si>
  <si>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</si>
  <si>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</si>
  <si>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</si>
  <si>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</si>
  <si>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</si>
  <si>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</si>
  <si>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</si>
  <si>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</si>
  <si>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</si>
  <si>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</si>
  <si>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</si>
  <si>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</si>
  <si>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</si>
  <si>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</si>
  <si>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</si>
  <si>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</si>
  <si>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</si>
  <si>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</si>
  <si>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</si>
  <si>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</si>
  <si>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</si>
  <si>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</si>
  <si>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</si>
  <si>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</si>
  <si>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</si>
  <si>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</si>
  <si>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</si>
  <si>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</si>
  <si>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</si>
  <si>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</si>
  <si>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</si>
  <si>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</si>
  <si>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</si>
  <si>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</si>
  <si>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</si>
  <si>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</si>
  <si>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</si>
  <si>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</si>
  <si>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</si>
  <si>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</si>
  <si>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</si>
  <si>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</si>
  <si>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</si>
  <si>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</si>
  <si>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</si>
  <si>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</si>
  <si>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</si>
  <si>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</si>
  <si>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</si>
  <si>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</si>
  <si>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</si>
  <si>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</si>
  <si>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</si>
  <si>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</si>
  <si>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</si>
  <si>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</si>
  <si>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</si>
  <si>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</si>
  <si>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</si>
  <si>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</si>
  <si>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</si>
  <si>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</si>
  <si>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</si>
  <si>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</si>
  <si>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</si>
  <si>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</si>
  <si>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</si>
  <si>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</si>
  <si>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</si>
  <si>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</si>
  <si>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</si>
  <si>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</si>
  <si>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</si>
  <si>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</si>
  <si>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</si>
  <si>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</si>
  <si>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</si>
  <si>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</si>
  <si>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</si>
  <si>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</si>
  <si>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</si>
  <si>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</si>
  <si>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</si>
  <si>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</si>
  <si>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</si>
  <si>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</si>
  <si>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</si>
  <si>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</si>
  <si>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</si>
  <si>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</si>
  <si>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</si>
  <si>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</si>
  <si>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</si>
  <si>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</si>
  <si>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</si>
  <si>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</si>
  <si>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</si>
  <si>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</si>
  <si>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</si>
  <si>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</si>
  <si>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</si>
  <si>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</si>
  <si>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</si>
  <si>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</si>
  <si>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</si>
  <si>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</si>
  <si>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</si>
  <si>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</si>
  <si>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</si>
  <si>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</si>
  <si>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</si>
  <si>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</si>
  <si>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</si>
  <si>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</si>
  <si>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</si>
  <si>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</si>
  <si>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</si>
  <si>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</si>
  <si>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</si>
  <si>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</si>
  <si>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</si>
  <si>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</si>
  <si>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</si>
  <si>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</si>
  <si>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</si>
  <si>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</si>
  <si>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</si>
  <si>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</si>
  <si>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</si>
  <si>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</si>
  <si>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</si>
  <si>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</si>
  <si>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</si>
  <si>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</si>
  <si>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</si>
  <si>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</si>
  <si>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</si>
  <si>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</si>
  <si>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</si>
  <si>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</si>
  <si>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</si>
  <si>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</si>
  <si>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</si>
  <si>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</si>
  <si>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</si>
  <si>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</si>
  <si>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</si>
  <si>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</si>
  <si>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</si>
  <si>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</si>
  <si>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</si>
  <si>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</si>
  <si>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</si>
  <si>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</si>
  <si>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</si>
  <si>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</si>
  <si>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</si>
  <si>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</si>
  <si>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</si>
  <si>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</si>
  <si>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</si>
  <si>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</si>
  <si>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</si>
  <si>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</si>
  <si>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</si>
  <si>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</si>
  <si>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</si>
  <si>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</si>
  <si>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</si>
  <si>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</si>
  <si>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</si>
  <si>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</si>
  <si>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</si>
  <si>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</si>
  <si>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</si>
  <si>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</si>
  <si>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</si>
  <si>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</si>
  <si>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</si>
  <si>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</si>
  <si>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</si>
  <si>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</si>
  <si>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</si>
  <si>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</si>
  <si>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</si>
  <si>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</si>
  <si>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</si>
  <si>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</si>
  <si>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</si>
  <si>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</si>
  <si>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</si>
  <si>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</si>
  <si>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</si>
  <si>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</si>
  <si>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</si>
  <si>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</si>
  <si>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</si>
  <si>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</si>
  <si>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</si>
  <si>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</si>
  <si>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</si>
  <si>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</si>
  <si>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</si>
  <si>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</si>
  <si>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</si>
  <si>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</si>
  <si>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</si>
  <si>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</si>
  <si>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</si>
  <si>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</si>
  <si>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</si>
  <si>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</si>
  <si>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</si>
  <si>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</si>
  <si>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</si>
  <si>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</si>
  <si>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</si>
  <si>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</si>
  <si>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</si>
  <si>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</si>
  <si>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</si>
  <si>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</si>
  <si>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</si>
  <si>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</si>
  <si>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</si>
  <si>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</si>
  <si>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</si>
  <si>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</si>
  <si>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</si>
  <si>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</si>
  <si>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</si>
  <si>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</si>
  <si>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</si>
  <si>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</si>
  <si>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</si>
  <si>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</si>
  <si>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</si>
  <si>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</si>
  <si>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</si>
  <si>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</si>
  <si>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</si>
  <si>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</si>
  <si>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</si>
  <si>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</si>
  <si>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</si>
  <si>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</si>
  <si>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</si>
  <si>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</si>
  <si>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</si>
  <si>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</si>
  <si>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</si>
  <si>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</si>
  <si>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</si>
  <si>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</si>
  <si>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</si>
  <si>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</si>
  <si>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</si>
  <si>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</si>
  <si>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</si>
  <si>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</si>
  <si>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</si>
  <si>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</si>
  <si>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</si>
  <si>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</si>
  <si>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</si>
  <si>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</si>
  <si>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</si>
  <si>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</si>
  <si>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</si>
  <si>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</si>
  <si>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</si>
  <si>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[0.403997]</t>
  </si>
  <si>
    <t>1 [0.808042]</t>
  </si>
  <si>
    <t>1 [1.216146]</t>
  </si>
  <si>
    <t>1 [1.624518]</t>
  </si>
  <si>
    <t>1 [2.029625]</t>
  </si>
  <si>
    <t>1 [2.435498]</t>
  </si>
  <si>
    <t>1 [2.840854]</t>
  </si>
  <si>
    <t>1 [3.246409]</t>
  </si>
  <si>
    <t>1 [3.653457]</t>
  </si>
  <si>
    <t>1 [4.062711]</t>
  </si>
  <si>
    <t>1 [4.466407]</t>
  </si>
  <si>
    <t>1 [4.870057]</t>
  </si>
  <si>
    <t>1 [5.280010]</t>
  </si>
  <si>
    <t>1 [5.684429]</t>
  </si>
  <si>
    <t>1 [6.090847]</t>
  </si>
  <si>
    <t>1 [6.497036]</t>
  </si>
  <si>
    <t>1 [6.908469]</t>
  </si>
  <si>
    <t>1 [7.310588]</t>
  </si>
  <si>
    <t>1 [7.715478]</t>
  </si>
  <si>
    <t>1 [8.120242]</t>
  </si>
  <si>
    <t>1 [8.528854]</t>
  </si>
  <si>
    <t>1 [8.934091]</t>
  </si>
  <si>
    <t>1 [9.343259]</t>
  </si>
  <si>
    <t>1 [9.747466]</t>
  </si>
  <si>
    <t>1 [10.150736]</t>
  </si>
  <si>
    <t>1 [10.560142]</t>
  </si>
  <si>
    <t>1 [10.966632]</t>
  </si>
  <si>
    <t>1 [11.373366]</t>
  </si>
  <si>
    <t>1 [11.777084]</t>
  </si>
  <si>
    <t>1 [12.182782]</t>
  </si>
  <si>
    <t>1 [12.590064]</t>
  </si>
  <si>
    <t>1 [13.000068]</t>
  </si>
  <si>
    <t>1 [13.404476]</t>
  </si>
  <si>
    <t>1 [13.810212]</t>
  </si>
  <si>
    <t>1 [14.215910]</t>
  </si>
  <si>
    <t>1 [14.623734]</t>
  </si>
  <si>
    <t>1 [15.031388]</t>
  </si>
  <si>
    <t>1 [15.437561]</t>
  </si>
  <si>
    <t>1 [15.842711]</t>
  </si>
  <si>
    <t>1 [16.245748]</t>
  </si>
  <si>
    <t>1 [16.651098]</t>
  </si>
  <si>
    <t>1 [17.059747]</t>
  </si>
  <si>
    <t>1 [17.465477]</t>
  </si>
  <si>
    <t>1 [17.875800]</t>
  </si>
  <si>
    <t>1 [18.276490]</t>
  </si>
  <si>
    <t>1 [18.687215]</t>
  </si>
  <si>
    <t>1 [19.091985]</t>
  </si>
  <si>
    <t>1 [19.500909]</t>
  </si>
  <si>
    <t>1 [19.905860]</t>
  </si>
  <si>
    <t>1 [20.308513]</t>
  </si>
  <si>
    <t>1 [20.717384]</t>
  </si>
  <si>
    <t>1 [21.126004]</t>
  </si>
  <si>
    <t>1 [21.529734]</t>
  </si>
  <si>
    <t>1 [21.936535]</t>
  </si>
  <si>
    <t>1 [22.341596]</t>
  </si>
  <si>
    <t>1 [22.744630]</t>
  </si>
  <si>
    <t>1 [23.152295]</t>
  </si>
  <si>
    <t>1 [23.559708]</t>
  </si>
  <si>
    <t>1 [23.968435]</t>
  </si>
  <si>
    <t>1 [24.372713]</t>
  </si>
  <si>
    <t>1 [24.780145]</t>
  </si>
  <si>
    <t>1 [25.183491]</t>
  </si>
  <si>
    <t>1 [25.592010]</t>
  </si>
  <si>
    <t>1 [25.998622]</t>
  </si>
  <si>
    <t>1 [26.404228]</t>
  </si>
  <si>
    <t>1 [26.807858]</t>
  </si>
  <si>
    <t>1 [27.216052]</t>
  </si>
  <si>
    <t>1 [27.624151]</t>
  </si>
  <si>
    <t>1 [28.027673]</t>
  </si>
  <si>
    <t>1 [28.434582]</t>
  </si>
  <si>
    <t>1 [28.839312]</t>
  </si>
  <si>
    <t>1 [29.246615]</t>
  </si>
  <si>
    <t>1 [29.653186]</t>
  </si>
  <si>
    <t>2 [30.062891]</t>
  </si>
  <si>
    <t>2 [30.514603]</t>
  </si>
  <si>
    <t>2 [30.919795]</t>
  </si>
  <si>
    <t>2 [31.325026]</t>
  </si>
  <si>
    <t>2 [31.732979]</t>
  </si>
  <si>
    <t>2 [32.140288]</t>
  </si>
  <si>
    <t>2 [32.545528]</t>
  </si>
  <si>
    <t>2 [32.950626]</t>
  </si>
  <si>
    <t>2 [33.355005]</t>
  </si>
  <si>
    <t>2 [33.763784]</t>
  </si>
  <si>
    <t>2 [34.170321]</t>
  </si>
  <si>
    <t>2 [34.577706]</t>
  </si>
  <si>
    <t>2 [34.979924]</t>
  </si>
  <si>
    <t>2 [35.387442]</t>
  </si>
  <si>
    <t>2 [35.793488]</t>
  </si>
  <si>
    <t>2 [36.200127]</t>
  </si>
  <si>
    <t>2 [36.608446]</t>
  </si>
  <si>
    <t>2 [37.012582]</t>
  </si>
  <si>
    <t>2 [37.419296]</t>
  </si>
  <si>
    <t>2 [37.826505]</t>
  </si>
  <si>
    <t>2 [38.233261]</t>
  </si>
  <si>
    <t>2 [38.639949]</t>
  </si>
  <si>
    <t>2 [39.047316]</t>
  </si>
  <si>
    <t>2 [39.450936]</t>
  </si>
  <si>
    <t>2 [39.855419]</t>
  </si>
  <si>
    <t>2 [40.262704]</t>
  </si>
  <si>
    <t>2 [40.671273]</t>
  </si>
  <si>
    <t>2 [41.077516]</t>
  </si>
  <si>
    <t>2 [41.479754]</t>
  </si>
  <si>
    <t>2 [41.886499]</t>
  </si>
  <si>
    <t>2 [42.294819]</t>
  </si>
  <si>
    <t>2 [42.703534]</t>
  </si>
  <si>
    <t>2 [43.110603]</t>
  </si>
  <si>
    <t>2 [43.512386]</t>
  </si>
  <si>
    <t>2 [43.916325]</t>
  </si>
  <si>
    <t>2 [44.325259]</t>
  </si>
  <si>
    <t>2 [44.732940]</t>
  </si>
  <si>
    <t>2 [45.139611]</t>
  </si>
  <si>
    <t>2 [45.543462]</t>
  </si>
  <si>
    <t>2 [45.949154]</t>
  </si>
  <si>
    <t>2 [46.356824]</t>
  </si>
  <si>
    <t>2 [46.765584]</t>
  </si>
  <si>
    <t>2 [47.168924]</t>
  </si>
  <si>
    <t>2 [47.574417]</t>
  </si>
  <si>
    <t>2 [47.981864]</t>
  </si>
  <si>
    <t>2 [48.387879]</t>
  </si>
  <si>
    <t>2 [48.798135]</t>
  </si>
  <si>
    <t>2 [49.201248]</t>
  </si>
  <si>
    <t>2 [49.605024]</t>
  </si>
  <si>
    <t>2 [50.013025]</t>
  </si>
  <si>
    <t>2 [50.422024]</t>
  </si>
  <si>
    <t>2 [50.825725]</t>
  </si>
  <si>
    <t>2 [51.234497]</t>
  </si>
  <si>
    <t>2 [51.637721]</t>
  </si>
  <si>
    <t>2 [52.043495]</t>
  </si>
  <si>
    <t>2 [52.448857]</t>
  </si>
  <si>
    <t>2 [52.860464]</t>
  </si>
  <si>
    <t>2 [53.262789]</t>
  </si>
  <si>
    <t>2 [53.669164]</t>
  </si>
  <si>
    <t>2 [54.074392]</t>
  </si>
  <si>
    <t>2 [54.483487]</t>
  </si>
  <si>
    <t>2 [54.885776]</t>
  </si>
  <si>
    <t>2 [55.294210]</t>
  </si>
  <si>
    <t>2 [55.701185]</t>
  </si>
  <si>
    <t>2 [56.112248]</t>
  </si>
  <si>
    <t>2 [56.515048]</t>
  </si>
  <si>
    <t>2 [56.918816]</t>
  </si>
  <si>
    <t>2 [57.327677]</t>
  </si>
  <si>
    <t>2 [57.732031]</t>
  </si>
  <si>
    <t>2 [58.140340]</t>
  </si>
  <si>
    <t>2 [58.548220]</t>
  </si>
  <si>
    <t>2 [58.950528]</t>
  </si>
  <si>
    <t>2 [59.356321]</t>
  </si>
  <si>
    <t>2 [59.763934]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</si>
  <si>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</si>
  <si>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</si>
  <si>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</si>
  <si>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</si>
  <si>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</si>
  <si>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</si>
  <si>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</si>
  <si>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</si>
  <si>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</si>
  <si>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</si>
  <si>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</si>
  <si>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</si>
  <si>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</si>
  <si>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张柳荣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</si>
</sst>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43.334299999999999</c:v>
                </c:pt>
                <c:pt idx="1">
                  <c:v>35.807200000000002</c:v>
                </c:pt>
                <c:pt idx="2">
                  <c:v>29.6938</c:v>
                </c:pt>
                <c:pt idx="3">
                  <c:v>36.8292</c:v>
                </c:pt>
                <c:pt idx="4">
                  <c:v>63.596200000000003</c:v>
                </c:pt>
                <c:pt idx="5">
                  <c:v>73.353700000000003</c:v>
                </c:pt>
                <c:pt idx="6">
                  <c:v>18.79</c:v>
                </c:pt>
                <c:pt idx="7">
                  <c:v>67.012299999999996</c:v>
                </c:pt>
                <c:pt idx="8">
                  <c:v>23.604399999999998</c:v>
                </c:pt>
                <c:pt idx="9">
                  <c:v>52.851900000000001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0.42727734658305228</c:v>
                </c:pt>
                <c:pt idx="1">
                  <c:v>0.27940977036970682</c:v>
                </c:pt>
                <c:pt idx="2">
                  <c:v>0.29331288304724096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1726</c:v>
                </c:pt>
                <c:pt idx="7">
                  <c:v>0</c:v>
                </c:pt>
                <c:pt idx="8">
                  <c:v>2507</c:v>
                </c:pt>
                <c:pt idx="9">
                  <c:v>0</c:v>
                </c:pt>
                <c:pt idx="10">
                  <c:v>0</c:v>
                </c:pt>
                <c:pt idx="11">
                  <c:v>4676</c:v>
                </c:pt>
                <c:pt idx="12">
                  <c:v>0</c:v>
                </c:pt>
                <c:pt idx="13">
                  <c:v>10899</c:v>
                </c:pt>
                <c:pt idx="14">
                  <c:v>0</c:v>
                </c:pt>
                <c:pt idx="15">
                  <c:v>0</c:v>
                </c:pt>
                <c:pt idx="16">
                  <c:v>13709</c:v>
                </c:pt>
                <c:pt idx="17">
                  <c:v>0</c:v>
                </c:pt>
                <c:pt idx="18">
                  <c:v>0</c:v>
                </c:pt>
                <c:pt idx="19">
                  <c:v>18421</c:v>
                </c:pt>
                <c:pt idx="20">
                  <c:v>0</c:v>
                </c:pt>
                <c:pt idx="21">
                  <c:v>24655</c:v>
                </c:pt>
                <c:pt idx="22">
                  <c:v>0</c:v>
                </c:pt>
                <c:pt idx="23">
                  <c:v>0</c:v>
                </c:pt>
                <c:pt idx="24">
                  <c:v>41204</c:v>
                </c:pt>
                <c:pt idx="25">
                  <c:v>0</c:v>
                </c:pt>
                <c:pt idx="26">
                  <c:v>69239</c:v>
                </c:pt>
                <c:pt idx="27">
                  <c:v>0</c:v>
                </c:pt>
                <c:pt idx="28">
                  <c:v>0</c:v>
                </c:pt>
                <c:pt idx="29">
                  <c:v>95166</c:v>
                </c:pt>
                <c:pt idx="30">
                  <c:v>0</c:v>
                </c:pt>
                <c:pt idx="31">
                  <c:v>100340</c:v>
                </c:pt>
                <c:pt idx="32">
                  <c:v>0</c:v>
                </c:pt>
                <c:pt idx="33">
                  <c:v>0</c:v>
                </c:pt>
                <c:pt idx="34">
                  <c:v>111110</c:v>
                </c:pt>
                <c:pt idx="35">
                  <c:v>0</c:v>
                </c:pt>
                <c:pt idx="36">
                  <c:v>0</c:v>
                </c:pt>
                <c:pt idx="37">
                  <c:v>119631</c:v>
                </c:pt>
                <c:pt idx="38">
                  <c:v>0</c:v>
                </c:pt>
                <c:pt idx="39">
                  <c:v>121502</c:v>
                </c:pt>
                <c:pt idx="40">
                  <c:v>0</c:v>
                </c:pt>
                <c:pt idx="41">
                  <c:v>0</c:v>
                </c:pt>
                <c:pt idx="42">
                  <c:v>118562</c:v>
                </c:pt>
                <c:pt idx="43">
                  <c:v>0</c:v>
                </c:pt>
                <c:pt idx="44">
                  <c:v>119436</c:v>
                </c:pt>
                <c:pt idx="45">
                  <c:v>0</c:v>
                </c:pt>
                <c:pt idx="46">
                  <c:v>0</c:v>
                </c:pt>
                <c:pt idx="47">
                  <c:v>126252</c:v>
                </c:pt>
                <c:pt idx="48">
                  <c:v>0</c:v>
                </c:pt>
                <c:pt idx="49">
                  <c:v>129812</c:v>
                </c:pt>
                <c:pt idx="50">
                  <c:v>0</c:v>
                </c:pt>
                <c:pt idx="51">
                  <c:v>0</c:v>
                </c:pt>
                <c:pt idx="52">
                  <c:v>132613</c:v>
                </c:pt>
                <c:pt idx="53">
                  <c:v>0</c:v>
                </c:pt>
                <c:pt idx="54">
                  <c:v>0</c:v>
                </c:pt>
                <c:pt idx="55">
                  <c:v>131632</c:v>
                </c:pt>
                <c:pt idx="56">
                  <c:v>0</c:v>
                </c:pt>
                <c:pt idx="57">
                  <c:v>131118</c:v>
                </c:pt>
                <c:pt idx="58">
                  <c:v>0</c:v>
                </c:pt>
                <c:pt idx="59">
                  <c:v>0</c:v>
                </c:pt>
                <c:pt idx="60">
                  <c:v>127501</c:v>
                </c:pt>
                <c:pt idx="61">
                  <c:v>0</c:v>
                </c:pt>
                <c:pt idx="62">
                  <c:v>125198</c:v>
                </c:pt>
                <c:pt idx="63">
                  <c:v>0</c:v>
                </c:pt>
                <c:pt idx="64">
                  <c:v>0</c:v>
                </c:pt>
                <c:pt idx="65">
                  <c:v>125153</c:v>
                </c:pt>
                <c:pt idx="66">
                  <c:v>0</c:v>
                </c:pt>
                <c:pt idx="67">
                  <c:v>138240</c:v>
                </c:pt>
                <c:pt idx="68">
                  <c:v>0</c:v>
                </c:pt>
                <c:pt idx="69">
                  <c:v>0</c:v>
                </c:pt>
                <c:pt idx="70">
                  <c:v>129271</c:v>
                </c:pt>
                <c:pt idx="71">
                  <c:v>0</c:v>
                </c:pt>
                <c:pt idx="72">
                  <c:v>0</c:v>
                </c:pt>
                <c:pt idx="73">
                  <c:v>132470</c:v>
                </c:pt>
                <c:pt idx="74">
                  <c:v>0</c:v>
                </c:pt>
                <c:pt idx="75">
                  <c:v>129502</c:v>
                </c:pt>
                <c:pt idx="76">
                  <c:v>0</c:v>
                </c:pt>
                <c:pt idx="77">
                  <c:v>0</c:v>
                </c:pt>
                <c:pt idx="78">
                  <c:v>125448</c:v>
                </c:pt>
                <c:pt idx="79">
                  <c:v>0</c:v>
                </c:pt>
                <c:pt idx="80">
                  <c:v>121701</c:v>
                </c:pt>
                <c:pt idx="81">
                  <c:v>0</c:v>
                </c:pt>
                <c:pt idx="82">
                  <c:v>0</c:v>
                </c:pt>
                <c:pt idx="83">
                  <c:v>129542</c:v>
                </c:pt>
                <c:pt idx="84">
                  <c:v>0</c:v>
                </c:pt>
                <c:pt idx="85">
                  <c:v>0</c:v>
                </c:pt>
                <c:pt idx="86">
                  <c:v>123631</c:v>
                </c:pt>
                <c:pt idx="87">
                  <c:v>0</c:v>
                </c:pt>
                <c:pt idx="88">
                  <c:v>117945</c:v>
                </c:pt>
                <c:pt idx="89">
                  <c:v>0</c:v>
                </c:pt>
                <c:pt idx="90">
                  <c:v>0</c:v>
                </c:pt>
                <c:pt idx="91">
                  <c:v>126290</c:v>
                </c:pt>
                <c:pt idx="92">
                  <c:v>0</c:v>
                </c:pt>
                <c:pt idx="93">
                  <c:v>122965</c:v>
                </c:pt>
                <c:pt idx="94">
                  <c:v>0</c:v>
                </c:pt>
                <c:pt idx="95">
                  <c:v>0</c:v>
                </c:pt>
                <c:pt idx="96">
                  <c:v>124906</c:v>
                </c:pt>
                <c:pt idx="97">
                  <c:v>0</c:v>
                </c:pt>
                <c:pt idx="98">
                  <c:v>118894</c:v>
                </c:pt>
                <c:pt idx="99">
                  <c:v>0</c:v>
                </c:pt>
                <c:pt idx="100">
                  <c:v>0</c:v>
                </c:pt>
                <c:pt idx="101">
                  <c:v>111921</c:v>
                </c:pt>
                <c:pt idx="102">
                  <c:v>0</c:v>
                </c:pt>
                <c:pt idx="103">
                  <c:v>0</c:v>
                </c:pt>
                <c:pt idx="104">
                  <c:v>105697</c:v>
                </c:pt>
                <c:pt idx="105">
                  <c:v>0</c:v>
                </c:pt>
                <c:pt idx="106">
                  <c:v>106697</c:v>
                </c:pt>
                <c:pt idx="107">
                  <c:v>0</c:v>
                </c:pt>
                <c:pt idx="108">
                  <c:v>0</c:v>
                </c:pt>
                <c:pt idx="109">
                  <c:v>96892</c:v>
                </c:pt>
                <c:pt idx="110">
                  <c:v>0</c:v>
                </c:pt>
                <c:pt idx="111">
                  <c:v>87275</c:v>
                </c:pt>
                <c:pt idx="112">
                  <c:v>0</c:v>
                </c:pt>
                <c:pt idx="113">
                  <c:v>0</c:v>
                </c:pt>
                <c:pt idx="114">
                  <c:v>87124</c:v>
                </c:pt>
                <c:pt idx="115">
                  <c:v>0</c:v>
                </c:pt>
                <c:pt idx="116">
                  <c:v>76841</c:v>
                </c:pt>
                <c:pt idx="117">
                  <c:v>0</c:v>
                </c:pt>
                <c:pt idx="118">
                  <c:v>0</c:v>
                </c:pt>
                <c:pt idx="119">
                  <c:v>72781</c:v>
                </c:pt>
                <c:pt idx="120">
                  <c:v>0</c:v>
                </c:pt>
                <c:pt idx="121">
                  <c:v>0</c:v>
                </c:pt>
                <c:pt idx="122">
                  <c:v>64184</c:v>
                </c:pt>
                <c:pt idx="123">
                  <c:v>0</c:v>
                </c:pt>
                <c:pt idx="124">
                  <c:v>58063</c:v>
                </c:pt>
                <c:pt idx="125">
                  <c:v>0</c:v>
                </c:pt>
                <c:pt idx="126">
                  <c:v>0</c:v>
                </c:pt>
                <c:pt idx="127">
                  <c:v>56999</c:v>
                </c:pt>
                <c:pt idx="128">
                  <c:v>0</c:v>
                </c:pt>
                <c:pt idx="129">
                  <c:v>58778</c:v>
                </c:pt>
                <c:pt idx="130">
                  <c:v>0</c:v>
                </c:pt>
                <c:pt idx="131">
                  <c:v>0</c:v>
                </c:pt>
                <c:pt idx="132">
                  <c:v>58325</c:v>
                </c:pt>
                <c:pt idx="133">
                  <c:v>0</c:v>
                </c:pt>
                <c:pt idx="134">
                  <c:v>56363</c:v>
                </c:pt>
                <c:pt idx="135">
                  <c:v>0</c:v>
                </c:pt>
                <c:pt idx="136">
                  <c:v>0</c:v>
                </c:pt>
                <c:pt idx="137">
                  <c:v>58196</c:v>
                </c:pt>
                <c:pt idx="138">
                  <c:v>0</c:v>
                </c:pt>
                <c:pt idx="139">
                  <c:v>0</c:v>
                </c:pt>
                <c:pt idx="140">
                  <c:v>54908</c:v>
                </c:pt>
                <c:pt idx="141">
                  <c:v>0</c:v>
                </c:pt>
                <c:pt idx="142">
                  <c:v>52374</c:v>
                </c:pt>
                <c:pt idx="143">
                  <c:v>0</c:v>
                </c:pt>
                <c:pt idx="144">
                  <c:v>0</c:v>
                </c:pt>
                <c:pt idx="145">
                  <c:v>46980</c:v>
                </c:pt>
                <c:pt idx="146">
                  <c:v>0</c:v>
                </c:pt>
                <c:pt idx="147">
                  <c:v>52293</c:v>
                </c:pt>
                <c:pt idx="148">
                  <c:v>0</c:v>
                </c:pt>
                <c:pt idx="149">
                  <c:v>0</c:v>
                </c:pt>
                <c:pt idx="150">
                  <c:v>45319</c:v>
                </c:pt>
                <c:pt idx="151">
                  <c:v>0</c:v>
                </c:pt>
                <c:pt idx="152">
                  <c:v>32940</c:v>
                </c:pt>
                <c:pt idx="153">
                  <c:v>0</c:v>
                </c:pt>
                <c:pt idx="154">
                  <c:v>0</c:v>
                </c:pt>
                <c:pt idx="155">
                  <c:v>24124</c:v>
                </c:pt>
                <c:pt idx="156">
                  <c:v>0</c:v>
                </c:pt>
                <c:pt idx="157">
                  <c:v>0</c:v>
                </c:pt>
                <c:pt idx="158">
                  <c:v>20435</c:v>
                </c:pt>
                <c:pt idx="159">
                  <c:v>0</c:v>
                </c:pt>
                <c:pt idx="160">
                  <c:v>13144</c:v>
                </c:pt>
                <c:pt idx="161">
                  <c:v>0</c:v>
                </c:pt>
                <c:pt idx="162">
                  <c:v>0</c:v>
                </c:pt>
                <c:pt idx="163">
                  <c:v>8723</c:v>
                </c:pt>
                <c:pt idx="164">
                  <c:v>0</c:v>
                </c:pt>
                <c:pt idx="165">
                  <c:v>6645</c:v>
                </c:pt>
                <c:pt idx="166">
                  <c:v>0</c:v>
                </c:pt>
                <c:pt idx="167">
                  <c:v>0</c:v>
                </c:pt>
                <c:pt idx="168">
                  <c:v>5746</c:v>
                </c:pt>
                <c:pt idx="169">
                  <c:v>0</c:v>
                </c:pt>
                <c:pt idx="170">
                  <c:v>0</c:v>
                </c:pt>
                <c:pt idx="171">
                  <c:v>4139</c:v>
                </c:pt>
                <c:pt idx="172">
                  <c:v>0</c:v>
                </c:pt>
                <c:pt idx="173">
                  <c:v>4636</c:v>
                </c:pt>
                <c:pt idx="174">
                  <c:v>0</c:v>
                </c:pt>
                <c:pt idx="175">
                  <c:v>0</c:v>
                </c:pt>
                <c:pt idx="176">
                  <c:v>3494</c:v>
                </c:pt>
                <c:pt idx="177">
                  <c:v>0</c:v>
                </c:pt>
                <c:pt idx="178">
                  <c:v>2321</c:v>
                </c:pt>
                <c:pt idx="179">
                  <c:v>0</c:v>
                </c:pt>
                <c:pt idx="180">
                  <c:v>0</c:v>
                </c:pt>
                <c:pt idx="181">
                  <c:v>652</c:v>
                </c:pt>
                <c:pt idx="182">
                  <c:v>0</c:v>
                </c:pt>
                <c:pt idx="183">
                  <c:v>267</c:v>
                </c:pt>
                <c:pt idx="184">
                  <c:v>0</c:v>
                </c:pt>
                <c:pt idx="185">
                  <c:v>0</c:v>
                </c:pt>
                <c:pt idx="186">
                  <c:v>272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  <c:pt idx="74">
                  <c:v>3.4255799999999996</c:v>
                </c:pt>
                <c:pt idx="75">
                  <c:v>3.41364</c:v>
                </c:pt>
                <c:pt idx="76">
                  <c:v>3.4043600000000001</c:v>
                </c:pt>
                <c:pt idx="77">
                  <c:v>3.3911200000000004</c:v>
                </c:pt>
                <c:pt idx="78">
                  <c:v>3.3744899999999998</c:v>
                </c:pt>
                <c:pt idx="79">
                  <c:v>3.35364</c:v>
                </c:pt>
                <c:pt idx="80">
                  <c:v>3.3311000000000002</c:v>
                </c:pt>
                <c:pt idx="81">
                  <c:v>3.3089900000000001</c:v>
                </c:pt>
                <c:pt idx="82">
                  <c:v>3.2879100000000001</c:v>
                </c:pt>
                <c:pt idx="83">
                  <c:v>3.2698100000000001</c:v>
                </c:pt>
                <c:pt idx="84">
                  <c:v>3.25556</c:v>
                </c:pt>
                <c:pt idx="85">
                  <c:v>3.2436100000000003</c:v>
                </c:pt>
                <c:pt idx="86">
                  <c:v>3.2322499999999996</c:v>
                </c:pt>
                <c:pt idx="87">
                  <c:v>3.2267700000000001</c:v>
                </c:pt>
                <c:pt idx="88">
                  <c:v>3.2260100000000005</c:v>
                </c:pt>
                <c:pt idx="89">
                  <c:v>3.2268799999999995</c:v>
                </c:pt>
                <c:pt idx="90">
                  <c:v>3.2280599999999997</c:v>
                </c:pt>
                <c:pt idx="91">
                  <c:v>3.2276500000000001</c:v>
                </c:pt>
                <c:pt idx="92">
                  <c:v>3.2282300000000004</c:v>
                </c:pt>
                <c:pt idx="93">
                  <c:v>3.2315100000000001</c:v>
                </c:pt>
                <c:pt idx="94">
                  <c:v>3.23733</c:v>
                </c:pt>
                <c:pt idx="95">
                  <c:v>3.2457099999999999</c:v>
                </c:pt>
                <c:pt idx="96">
                  <c:v>3.2581199999999999</c:v>
                </c:pt>
                <c:pt idx="97">
                  <c:v>3.2718399999999996</c:v>
                </c:pt>
                <c:pt idx="98">
                  <c:v>3.2867099999999998</c:v>
                </c:pt>
                <c:pt idx="99">
                  <c:v>3.30382</c:v>
                </c:pt>
                <c:pt idx="100">
                  <c:v>3.3247800000000001</c:v>
                </c:pt>
                <c:pt idx="101">
                  <c:v>3.3467400000000005</c:v>
                </c:pt>
                <c:pt idx="102">
                  <c:v>3.37575</c:v>
                </c:pt>
                <c:pt idx="103">
                  <c:v>3.4082400000000002</c:v>
                </c:pt>
                <c:pt idx="104">
                  <c:v>3.4432</c:v>
                </c:pt>
                <c:pt idx="105">
                  <c:v>3.4772799999999999</c:v>
                </c:pt>
                <c:pt idx="106">
                  <c:v>3.5133199999999998</c:v>
                </c:pt>
                <c:pt idx="107">
                  <c:v>3.5498500000000002</c:v>
                </c:pt>
                <c:pt idx="108">
                  <c:v>3.5879100000000004</c:v>
                </c:pt>
                <c:pt idx="109">
                  <c:v>3.6258699999999999</c:v>
                </c:pt>
                <c:pt idx="110">
                  <c:v>3.6649500000000002</c:v>
                </c:pt>
                <c:pt idx="111">
                  <c:v>3.7000999999999999</c:v>
                </c:pt>
                <c:pt idx="112">
                  <c:v>3.7321300000000002</c:v>
                </c:pt>
                <c:pt idx="113">
                  <c:v>3.7624999999999997</c:v>
                </c:pt>
                <c:pt idx="114">
                  <c:v>3.79312</c:v>
                </c:pt>
                <c:pt idx="115">
                  <c:v>3.8189000000000002</c:v>
                </c:pt>
                <c:pt idx="116">
                  <c:v>3.8422000000000001</c:v>
                </c:pt>
                <c:pt idx="117">
                  <c:v>3.86558</c:v>
                </c:pt>
                <c:pt idx="118">
                  <c:v>3.8909599999999998</c:v>
                </c:pt>
                <c:pt idx="119">
                  <c:v>3.9114599999999999</c:v>
                </c:pt>
                <c:pt idx="120">
                  <c:v>3.92909</c:v>
                </c:pt>
                <c:pt idx="121">
                  <c:v>3.94435</c:v>
                </c:pt>
                <c:pt idx="122">
                  <c:v>3.9572800000000004</c:v>
                </c:pt>
                <c:pt idx="123">
                  <c:v>3.96889</c:v>
                </c:pt>
                <c:pt idx="124">
                  <c:v>3.9809000000000001</c:v>
                </c:pt>
                <c:pt idx="125">
                  <c:v>3.99092</c:v>
                </c:pt>
                <c:pt idx="126">
                  <c:v>4.0008499999999998</c:v>
                </c:pt>
                <c:pt idx="127">
                  <c:v>4.00746</c:v>
                </c:pt>
                <c:pt idx="128">
                  <c:v>4.0127000000000006</c:v>
                </c:pt>
                <c:pt idx="129">
                  <c:v>4.0171400000000004</c:v>
                </c:pt>
                <c:pt idx="130">
                  <c:v>4.02386</c:v>
                </c:pt>
                <c:pt idx="131">
                  <c:v>4.0285000000000002</c:v>
                </c:pt>
                <c:pt idx="132">
                  <c:v>4.0326500000000003</c:v>
                </c:pt>
                <c:pt idx="133">
                  <c:v>4.0343800000000005</c:v>
                </c:pt>
                <c:pt idx="134">
                  <c:v>4.0319899999999995</c:v>
                </c:pt>
                <c:pt idx="135">
                  <c:v>4.0244999999999997</c:v>
                </c:pt>
                <c:pt idx="136">
                  <c:v>4.0214400000000001</c:v>
                </c:pt>
                <c:pt idx="137">
                  <c:v>4.0162300000000002</c:v>
                </c:pt>
                <c:pt idx="138">
                  <c:v>4.00901</c:v>
                </c:pt>
                <c:pt idx="139">
                  <c:v>3.9991099999999999</c:v>
                </c:pt>
                <c:pt idx="140">
                  <c:v>3.99885</c:v>
                </c:pt>
                <c:pt idx="141">
                  <c:v>4.0038099999999996</c:v>
                </c:pt>
                <c:pt idx="142">
                  <c:v>4.00183</c:v>
                </c:pt>
                <c:pt idx="143">
                  <c:v>3.9822099999999998</c:v>
                </c:pt>
                <c:pt idx="144">
                  <c:v>3.9706399999999995</c:v>
                </c:pt>
                <c:pt idx="145">
                  <c:v>3.9624900000000003</c:v>
                </c:pt>
                <c:pt idx="146">
                  <c:v>3.9367000000000001</c:v>
                </c:pt>
                <c:pt idx="147">
                  <c:v>3.9291999999999998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  <c:pt idx="74">
                  <c:v>30.9405</c:v>
                </c:pt>
                <c:pt idx="75">
                  <c:v>31.243500000000001</c:v>
                </c:pt>
                <c:pt idx="76">
                  <c:v>31.487100000000002</c:v>
                </c:pt>
                <c:pt idx="77">
                  <c:v>31.764500000000002</c:v>
                </c:pt>
                <c:pt idx="78">
                  <c:v>32.094099999999997</c:v>
                </c:pt>
                <c:pt idx="79">
                  <c:v>32.452500000000001</c:v>
                </c:pt>
                <c:pt idx="80">
                  <c:v>32.834899999999998</c:v>
                </c:pt>
                <c:pt idx="81">
                  <c:v>33.207599999999999</c:v>
                </c:pt>
                <c:pt idx="82">
                  <c:v>33.547800000000002</c:v>
                </c:pt>
                <c:pt idx="83">
                  <c:v>33.8292</c:v>
                </c:pt>
                <c:pt idx="84">
                  <c:v>34.092299999999994</c:v>
                </c:pt>
                <c:pt idx="85">
                  <c:v>34.370899999999999</c:v>
                </c:pt>
                <c:pt idx="86">
                  <c:v>34.637900000000002</c:v>
                </c:pt>
                <c:pt idx="87">
                  <c:v>34.831299999999999</c:v>
                </c:pt>
                <c:pt idx="88">
                  <c:v>34.903300000000002</c:v>
                </c:pt>
                <c:pt idx="89">
                  <c:v>34.952199999999998</c:v>
                </c:pt>
                <c:pt idx="90">
                  <c:v>35.004999999999995</c:v>
                </c:pt>
                <c:pt idx="91">
                  <c:v>35.030799999999999</c:v>
                </c:pt>
                <c:pt idx="92">
                  <c:v>35.035500000000006</c:v>
                </c:pt>
                <c:pt idx="93">
                  <c:v>35.070099999999996</c:v>
                </c:pt>
                <c:pt idx="94">
                  <c:v>35.063200000000002</c:v>
                </c:pt>
                <c:pt idx="95">
                  <c:v>35.006500000000003</c:v>
                </c:pt>
                <c:pt idx="96">
                  <c:v>34.806899999999999</c:v>
                </c:pt>
                <c:pt idx="97">
                  <c:v>34.5869</c:v>
                </c:pt>
                <c:pt idx="98">
                  <c:v>34.340699999999998</c:v>
                </c:pt>
                <c:pt idx="99">
                  <c:v>34.003900000000002</c:v>
                </c:pt>
                <c:pt idx="100">
                  <c:v>33.639200000000002</c:v>
                </c:pt>
                <c:pt idx="101">
                  <c:v>33.278400000000005</c:v>
                </c:pt>
                <c:pt idx="102">
                  <c:v>32.822899999999997</c:v>
                </c:pt>
                <c:pt idx="103">
                  <c:v>32.300800000000002</c:v>
                </c:pt>
                <c:pt idx="104">
                  <c:v>31.814700000000002</c:v>
                </c:pt>
                <c:pt idx="105">
                  <c:v>31.428299999999997</c:v>
                </c:pt>
                <c:pt idx="106">
                  <c:v>31.033100000000001</c:v>
                </c:pt>
                <c:pt idx="107">
                  <c:v>30.659599999999998</c:v>
                </c:pt>
                <c:pt idx="108">
                  <c:v>30.342799999999997</c:v>
                </c:pt>
                <c:pt idx="109">
                  <c:v>30.038599999999999</c:v>
                </c:pt>
                <c:pt idx="110">
                  <c:v>29.680699999999998</c:v>
                </c:pt>
                <c:pt idx="111">
                  <c:v>29.450300000000002</c:v>
                </c:pt>
                <c:pt idx="112">
                  <c:v>29.141499999999997</c:v>
                </c:pt>
                <c:pt idx="113">
                  <c:v>28.863299999999999</c:v>
                </c:pt>
                <c:pt idx="114">
                  <c:v>28.612900000000003</c:v>
                </c:pt>
                <c:pt idx="115">
                  <c:v>28.453200000000002</c:v>
                </c:pt>
                <c:pt idx="116">
                  <c:v>28.4038</c:v>
                </c:pt>
                <c:pt idx="117">
                  <c:v>28.357800000000001</c:v>
                </c:pt>
                <c:pt idx="118">
                  <c:v>28.224300000000003</c:v>
                </c:pt>
                <c:pt idx="119">
                  <c:v>28.131800000000002</c:v>
                </c:pt>
                <c:pt idx="120">
                  <c:v>28.060299999999998</c:v>
                </c:pt>
                <c:pt idx="121">
                  <c:v>28.005999999999997</c:v>
                </c:pt>
                <c:pt idx="122">
                  <c:v>28.026299999999999</c:v>
                </c:pt>
                <c:pt idx="123">
                  <c:v>28.086899999999996</c:v>
                </c:pt>
                <c:pt idx="124">
                  <c:v>28.086400000000001</c:v>
                </c:pt>
                <c:pt idx="125">
                  <c:v>28.067500000000003</c:v>
                </c:pt>
                <c:pt idx="126">
                  <c:v>28.044799999999999</c:v>
                </c:pt>
                <c:pt idx="127">
                  <c:v>28.042899999999999</c:v>
                </c:pt>
                <c:pt idx="128">
                  <c:v>28.0899</c:v>
                </c:pt>
                <c:pt idx="129">
                  <c:v>28.151900000000001</c:v>
                </c:pt>
                <c:pt idx="130">
                  <c:v>28.1843</c:v>
                </c:pt>
                <c:pt idx="131">
                  <c:v>28.242699999999999</c:v>
                </c:pt>
                <c:pt idx="132">
                  <c:v>28.3354</c:v>
                </c:pt>
                <c:pt idx="133">
                  <c:v>28.3902</c:v>
                </c:pt>
                <c:pt idx="134">
                  <c:v>28.435199999999998</c:v>
                </c:pt>
                <c:pt idx="135">
                  <c:v>28.515499999999999</c:v>
                </c:pt>
                <c:pt idx="136">
                  <c:v>28.514299999999999</c:v>
                </c:pt>
                <c:pt idx="137">
                  <c:v>28.644399999999997</c:v>
                </c:pt>
                <c:pt idx="138">
                  <c:v>28.8155</c:v>
                </c:pt>
                <c:pt idx="139">
                  <c:v>29.020499999999998</c:v>
                </c:pt>
                <c:pt idx="140">
                  <c:v>29.170099999999998</c:v>
                </c:pt>
                <c:pt idx="141">
                  <c:v>29.207599999999999</c:v>
                </c:pt>
                <c:pt idx="142">
                  <c:v>29.211100000000002</c:v>
                </c:pt>
                <c:pt idx="143">
                  <c:v>29.395199999999999</c:v>
                </c:pt>
                <c:pt idx="144">
                  <c:v>29.550700000000003</c:v>
                </c:pt>
                <c:pt idx="145">
                  <c:v>29.761900000000001</c:v>
                </c:pt>
                <c:pt idx="146">
                  <c:v>30.195300000000003</c:v>
                </c:pt>
                <c:pt idx="147">
                  <c:v>30.359000000000002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3.4335599999999999</c:v>
                </c:pt>
                <c:pt idx="1">
                  <c:v>3.4255799999999996</c:v>
                </c:pt>
                <c:pt idx="2">
                  <c:v>3.41364</c:v>
                </c:pt>
                <c:pt idx="3">
                  <c:v>3.4043600000000001</c:v>
                </c:pt>
                <c:pt idx="4">
                  <c:v>3.3911200000000004</c:v>
                </c:pt>
                <c:pt idx="5">
                  <c:v>3.3744899999999998</c:v>
                </c:pt>
                <c:pt idx="6">
                  <c:v>3.35364</c:v>
                </c:pt>
                <c:pt idx="7">
                  <c:v>3.3311000000000002</c:v>
                </c:pt>
                <c:pt idx="8">
                  <c:v>3.3089900000000001</c:v>
                </c:pt>
                <c:pt idx="9">
                  <c:v>3.2879100000000001</c:v>
                </c:pt>
                <c:pt idx="10">
                  <c:v>3.2698100000000001</c:v>
                </c:pt>
                <c:pt idx="11">
                  <c:v>3.25556</c:v>
                </c:pt>
                <c:pt idx="12">
                  <c:v>3.2436100000000003</c:v>
                </c:pt>
                <c:pt idx="13">
                  <c:v>3.2322499999999996</c:v>
                </c:pt>
                <c:pt idx="14">
                  <c:v>3.2267700000000001</c:v>
                </c:pt>
                <c:pt idx="15">
                  <c:v>3.2260100000000005</c:v>
                </c:pt>
                <c:pt idx="16">
                  <c:v>3.2268799999999995</c:v>
                </c:pt>
                <c:pt idx="17">
                  <c:v>3.2280599999999997</c:v>
                </c:pt>
                <c:pt idx="18">
                  <c:v>3.2276500000000001</c:v>
                </c:pt>
                <c:pt idx="19">
                  <c:v>3.2282300000000004</c:v>
                </c:pt>
                <c:pt idx="20">
                  <c:v>3.2315100000000001</c:v>
                </c:pt>
                <c:pt idx="21">
                  <c:v>3.23733</c:v>
                </c:pt>
                <c:pt idx="22">
                  <c:v>3.2457099999999999</c:v>
                </c:pt>
                <c:pt idx="23">
                  <c:v>3.2581199999999999</c:v>
                </c:pt>
                <c:pt idx="24">
                  <c:v>3.2718399999999996</c:v>
                </c:pt>
                <c:pt idx="25">
                  <c:v>3.2867099999999998</c:v>
                </c:pt>
                <c:pt idx="26">
                  <c:v>3.30382</c:v>
                </c:pt>
                <c:pt idx="27">
                  <c:v>3.3247800000000001</c:v>
                </c:pt>
                <c:pt idx="28">
                  <c:v>3.3467400000000005</c:v>
                </c:pt>
                <c:pt idx="29">
                  <c:v>3.37575</c:v>
                </c:pt>
                <c:pt idx="30">
                  <c:v>3.4082400000000002</c:v>
                </c:pt>
                <c:pt idx="31">
                  <c:v>3.4432</c:v>
                </c:pt>
                <c:pt idx="32">
                  <c:v>3.4772799999999999</c:v>
                </c:pt>
                <c:pt idx="33">
                  <c:v>3.5133199999999998</c:v>
                </c:pt>
                <c:pt idx="34">
                  <c:v>3.5498500000000002</c:v>
                </c:pt>
                <c:pt idx="35">
                  <c:v>3.5879100000000004</c:v>
                </c:pt>
                <c:pt idx="36">
                  <c:v>3.6258699999999999</c:v>
                </c:pt>
                <c:pt idx="37">
                  <c:v>3.6649500000000002</c:v>
                </c:pt>
                <c:pt idx="38">
                  <c:v>3.7000999999999999</c:v>
                </c:pt>
                <c:pt idx="39">
                  <c:v>3.7321300000000002</c:v>
                </c:pt>
                <c:pt idx="40">
                  <c:v>3.7624999999999997</c:v>
                </c:pt>
                <c:pt idx="41">
                  <c:v>3.79312</c:v>
                </c:pt>
                <c:pt idx="42">
                  <c:v>3.8189000000000002</c:v>
                </c:pt>
                <c:pt idx="43">
                  <c:v>3.8422000000000001</c:v>
                </c:pt>
                <c:pt idx="44">
                  <c:v>3.86558</c:v>
                </c:pt>
                <c:pt idx="45">
                  <c:v>3.8909599999999998</c:v>
                </c:pt>
                <c:pt idx="46">
                  <c:v>3.9114599999999999</c:v>
                </c:pt>
                <c:pt idx="47">
                  <c:v>3.92909</c:v>
                </c:pt>
                <c:pt idx="48">
                  <c:v>3.94435</c:v>
                </c:pt>
                <c:pt idx="49">
                  <c:v>3.9572800000000004</c:v>
                </c:pt>
                <c:pt idx="50">
                  <c:v>3.96889</c:v>
                </c:pt>
                <c:pt idx="51">
                  <c:v>3.9809000000000001</c:v>
                </c:pt>
                <c:pt idx="52">
                  <c:v>3.99092</c:v>
                </c:pt>
                <c:pt idx="53">
                  <c:v>4.0008499999999998</c:v>
                </c:pt>
                <c:pt idx="54">
                  <c:v>4.00746</c:v>
                </c:pt>
                <c:pt idx="55">
                  <c:v>4.0127000000000006</c:v>
                </c:pt>
                <c:pt idx="56">
                  <c:v>4.0171400000000004</c:v>
                </c:pt>
                <c:pt idx="57">
                  <c:v>4.02386</c:v>
                </c:pt>
                <c:pt idx="58">
                  <c:v>4.0285000000000002</c:v>
                </c:pt>
                <c:pt idx="59">
                  <c:v>4.0326500000000003</c:v>
                </c:pt>
                <c:pt idx="60">
                  <c:v>4.0343800000000005</c:v>
                </c:pt>
                <c:pt idx="61">
                  <c:v>4.0319899999999995</c:v>
                </c:pt>
                <c:pt idx="62">
                  <c:v>4.0244999999999997</c:v>
                </c:pt>
                <c:pt idx="63">
                  <c:v>4.0214400000000001</c:v>
                </c:pt>
                <c:pt idx="64">
                  <c:v>4.0162300000000002</c:v>
                </c:pt>
                <c:pt idx="65">
                  <c:v>4.00901</c:v>
                </c:pt>
                <c:pt idx="66">
                  <c:v>3.9991099999999999</c:v>
                </c:pt>
                <c:pt idx="67">
                  <c:v>3.99885</c:v>
                </c:pt>
                <c:pt idx="68">
                  <c:v>4.0038099999999996</c:v>
                </c:pt>
                <c:pt idx="69">
                  <c:v>4.00183</c:v>
                </c:pt>
                <c:pt idx="70">
                  <c:v>3.9822099999999998</c:v>
                </c:pt>
                <c:pt idx="71">
                  <c:v>3.9706399999999995</c:v>
                </c:pt>
                <c:pt idx="72">
                  <c:v>3.9624900000000003</c:v>
                </c:pt>
                <c:pt idx="73">
                  <c:v>3.9367000000000001</c:v>
                </c:pt>
                <c:pt idx="74">
                  <c:v>3.9291999999999998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30.708099999999998</c:v>
                </c:pt>
                <c:pt idx="1">
                  <c:v>30.9405</c:v>
                </c:pt>
                <c:pt idx="2">
                  <c:v>31.243500000000001</c:v>
                </c:pt>
                <c:pt idx="3">
                  <c:v>31.487100000000002</c:v>
                </c:pt>
                <c:pt idx="4">
                  <c:v>31.764500000000002</c:v>
                </c:pt>
                <c:pt idx="5">
                  <c:v>32.094099999999997</c:v>
                </c:pt>
                <c:pt idx="6">
                  <c:v>32.452500000000001</c:v>
                </c:pt>
                <c:pt idx="7">
                  <c:v>32.834899999999998</c:v>
                </c:pt>
                <c:pt idx="8">
                  <c:v>33.207599999999999</c:v>
                </c:pt>
                <c:pt idx="9">
                  <c:v>33.547800000000002</c:v>
                </c:pt>
                <c:pt idx="10">
                  <c:v>33.8292</c:v>
                </c:pt>
                <c:pt idx="11">
                  <c:v>34.092299999999994</c:v>
                </c:pt>
                <c:pt idx="12">
                  <c:v>34.370899999999999</c:v>
                </c:pt>
                <c:pt idx="13">
                  <c:v>34.637900000000002</c:v>
                </c:pt>
                <c:pt idx="14">
                  <c:v>34.831299999999999</c:v>
                </c:pt>
                <c:pt idx="15">
                  <c:v>34.903300000000002</c:v>
                </c:pt>
                <c:pt idx="16">
                  <c:v>34.952199999999998</c:v>
                </c:pt>
                <c:pt idx="17">
                  <c:v>35.004999999999995</c:v>
                </c:pt>
                <c:pt idx="18">
                  <c:v>35.030799999999999</c:v>
                </c:pt>
                <c:pt idx="19">
                  <c:v>35.035500000000006</c:v>
                </c:pt>
                <c:pt idx="20">
                  <c:v>35.070099999999996</c:v>
                </c:pt>
                <c:pt idx="21">
                  <c:v>35.063200000000002</c:v>
                </c:pt>
                <c:pt idx="22">
                  <c:v>35.006500000000003</c:v>
                </c:pt>
                <c:pt idx="23">
                  <c:v>34.806899999999999</c:v>
                </c:pt>
                <c:pt idx="24">
                  <c:v>34.5869</c:v>
                </c:pt>
                <c:pt idx="25">
                  <c:v>34.340699999999998</c:v>
                </c:pt>
                <c:pt idx="26">
                  <c:v>34.003900000000002</c:v>
                </c:pt>
                <c:pt idx="27">
                  <c:v>33.639200000000002</c:v>
                </c:pt>
                <c:pt idx="28">
                  <c:v>33.278400000000005</c:v>
                </c:pt>
                <c:pt idx="29">
                  <c:v>32.822899999999997</c:v>
                </c:pt>
                <c:pt idx="30">
                  <c:v>32.300800000000002</c:v>
                </c:pt>
                <c:pt idx="31">
                  <c:v>31.814700000000002</c:v>
                </c:pt>
                <c:pt idx="32">
                  <c:v>31.428299999999997</c:v>
                </c:pt>
                <c:pt idx="33">
                  <c:v>31.033100000000001</c:v>
                </c:pt>
                <c:pt idx="34">
                  <c:v>30.659599999999998</c:v>
                </c:pt>
                <c:pt idx="35">
                  <c:v>30.342799999999997</c:v>
                </c:pt>
                <c:pt idx="36">
                  <c:v>30.038599999999999</c:v>
                </c:pt>
                <c:pt idx="37">
                  <c:v>29.680699999999998</c:v>
                </c:pt>
                <c:pt idx="38">
                  <c:v>29.450300000000002</c:v>
                </c:pt>
                <c:pt idx="39">
                  <c:v>29.141499999999997</c:v>
                </c:pt>
                <c:pt idx="40">
                  <c:v>28.863299999999999</c:v>
                </c:pt>
                <c:pt idx="41">
                  <c:v>28.612900000000003</c:v>
                </c:pt>
                <c:pt idx="42">
                  <c:v>28.453200000000002</c:v>
                </c:pt>
                <c:pt idx="43">
                  <c:v>28.4038</c:v>
                </c:pt>
                <c:pt idx="44">
                  <c:v>28.357800000000001</c:v>
                </c:pt>
                <c:pt idx="45">
                  <c:v>28.224300000000003</c:v>
                </c:pt>
                <c:pt idx="46">
                  <c:v>28.131800000000002</c:v>
                </c:pt>
                <c:pt idx="47">
                  <c:v>28.060299999999998</c:v>
                </c:pt>
                <c:pt idx="48">
                  <c:v>28.005999999999997</c:v>
                </c:pt>
                <c:pt idx="49">
                  <c:v>28.026299999999999</c:v>
                </c:pt>
                <c:pt idx="50">
                  <c:v>28.086899999999996</c:v>
                </c:pt>
                <c:pt idx="51">
                  <c:v>28.086400000000001</c:v>
                </c:pt>
                <c:pt idx="52">
                  <c:v>28.067500000000003</c:v>
                </c:pt>
                <c:pt idx="53">
                  <c:v>28.044799999999999</c:v>
                </c:pt>
                <c:pt idx="54">
                  <c:v>28.042899999999999</c:v>
                </c:pt>
                <c:pt idx="55">
                  <c:v>28.0899</c:v>
                </c:pt>
                <c:pt idx="56">
                  <c:v>28.151900000000001</c:v>
                </c:pt>
                <c:pt idx="57">
                  <c:v>28.1843</c:v>
                </c:pt>
                <c:pt idx="58">
                  <c:v>28.242699999999999</c:v>
                </c:pt>
                <c:pt idx="59">
                  <c:v>28.3354</c:v>
                </c:pt>
                <c:pt idx="60">
                  <c:v>28.3902</c:v>
                </c:pt>
                <c:pt idx="61">
                  <c:v>28.435199999999998</c:v>
                </c:pt>
                <c:pt idx="62">
                  <c:v>28.515499999999999</c:v>
                </c:pt>
                <c:pt idx="63">
                  <c:v>28.514299999999999</c:v>
                </c:pt>
                <c:pt idx="64">
                  <c:v>28.644399999999997</c:v>
                </c:pt>
                <c:pt idx="65">
                  <c:v>28.8155</c:v>
                </c:pt>
                <c:pt idx="66">
                  <c:v>29.020499999999998</c:v>
                </c:pt>
                <c:pt idx="67">
                  <c:v>29.170099999999998</c:v>
                </c:pt>
                <c:pt idx="68">
                  <c:v>29.207599999999999</c:v>
                </c:pt>
                <c:pt idx="69">
                  <c:v>29.211100000000002</c:v>
                </c:pt>
                <c:pt idx="70">
                  <c:v>29.395199999999999</c:v>
                </c:pt>
                <c:pt idx="71">
                  <c:v>29.550700000000003</c:v>
                </c:pt>
                <c:pt idx="72">
                  <c:v>29.761900000000001</c:v>
                </c:pt>
                <c:pt idx="73">
                  <c:v>30.195300000000003</c:v>
                </c:pt>
                <c:pt idx="74">
                  <c:v>30.359000000000002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2.8984285135135135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41.152745945945938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3.6478718918918935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30.897687837837839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3.6478718918918935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30.897687837837839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0.17231278323649549</c:v>
                </c:pt>
                <c:pt idx="1">
                  <c:v>0.31444331435637474</c:v>
                </c:pt>
                <c:pt idx="2">
                  <c:v>0.51324390240712969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  <c:pt idx="74">
                  <c:v>30.062899999999999</c:v>
                </c:pt>
                <c:pt idx="75">
                  <c:v>30.514600000000002</c:v>
                </c:pt>
                <c:pt idx="76">
                  <c:v>30.919799999999999</c:v>
                </c:pt>
                <c:pt idx="77">
                  <c:v>31.324999999999999</c:v>
                </c:pt>
                <c:pt idx="78">
                  <c:v>31.733000000000001</c:v>
                </c:pt>
                <c:pt idx="79">
                  <c:v>32.140300000000003</c:v>
                </c:pt>
                <c:pt idx="80">
                  <c:v>32.545499999999997</c:v>
                </c:pt>
                <c:pt idx="81">
                  <c:v>32.950600000000001</c:v>
                </c:pt>
                <c:pt idx="82">
                  <c:v>33.354999999999997</c:v>
                </c:pt>
                <c:pt idx="83">
                  <c:v>33.763800000000003</c:v>
                </c:pt>
                <c:pt idx="84">
                  <c:v>34.170299999999997</c:v>
                </c:pt>
                <c:pt idx="85">
                  <c:v>34.5777</c:v>
                </c:pt>
                <c:pt idx="86">
                  <c:v>34.979900000000001</c:v>
                </c:pt>
                <c:pt idx="87">
                  <c:v>35.3874</c:v>
                </c:pt>
                <c:pt idx="88">
                  <c:v>35.793500000000002</c:v>
                </c:pt>
                <c:pt idx="89">
                  <c:v>36.200099999999999</c:v>
                </c:pt>
                <c:pt idx="90">
                  <c:v>36.608400000000003</c:v>
                </c:pt>
                <c:pt idx="91">
                  <c:v>37.012599999999999</c:v>
                </c:pt>
                <c:pt idx="92">
                  <c:v>37.4193</c:v>
                </c:pt>
                <c:pt idx="93">
                  <c:v>37.826500000000003</c:v>
                </c:pt>
                <c:pt idx="94">
                  <c:v>38.2333</c:v>
                </c:pt>
                <c:pt idx="95">
                  <c:v>38.639899999999997</c:v>
                </c:pt>
                <c:pt idx="96">
                  <c:v>39.0473</c:v>
                </c:pt>
                <c:pt idx="97">
                  <c:v>39.450899999999997</c:v>
                </c:pt>
                <c:pt idx="98">
                  <c:v>39.855400000000003</c:v>
                </c:pt>
                <c:pt idx="99">
                  <c:v>40.262700000000002</c:v>
                </c:pt>
                <c:pt idx="100">
                  <c:v>40.671300000000002</c:v>
                </c:pt>
                <c:pt idx="101">
                  <c:v>41.077500000000001</c:v>
                </c:pt>
                <c:pt idx="102">
                  <c:v>41.479799999999997</c:v>
                </c:pt>
                <c:pt idx="103">
                  <c:v>41.886499999999998</c:v>
                </c:pt>
                <c:pt idx="104">
                  <c:v>42.294800000000002</c:v>
                </c:pt>
                <c:pt idx="105">
                  <c:v>42.703499999999998</c:v>
                </c:pt>
                <c:pt idx="106">
                  <c:v>43.110599999999998</c:v>
                </c:pt>
                <c:pt idx="107">
                  <c:v>43.5124</c:v>
                </c:pt>
                <c:pt idx="108">
                  <c:v>43.9163</c:v>
                </c:pt>
                <c:pt idx="109">
                  <c:v>44.325299999999999</c:v>
                </c:pt>
                <c:pt idx="110">
                  <c:v>44.732900000000001</c:v>
                </c:pt>
                <c:pt idx="111">
                  <c:v>45.139600000000002</c:v>
                </c:pt>
                <c:pt idx="112">
                  <c:v>45.543500000000002</c:v>
                </c:pt>
                <c:pt idx="113">
                  <c:v>45.949199999999998</c:v>
                </c:pt>
                <c:pt idx="114">
                  <c:v>46.3568</c:v>
                </c:pt>
                <c:pt idx="115">
                  <c:v>46.765599999999999</c:v>
                </c:pt>
                <c:pt idx="116">
                  <c:v>47.168900000000001</c:v>
                </c:pt>
                <c:pt idx="117">
                  <c:v>47.574399999999997</c:v>
                </c:pt>
                <c:pt idx="118">
                  <c:v>47.981900000000003</c:v>
                </c:pt>
                <c:pt idx="119">
                  <c:v>48.387900000000002</c:v>
                </c:pt>
                <c:pt idx="120">
                  <c:v>48.798099999999998</c:v>
                </c:pt>
                <c:pt idx="121">
                  <c:v>49.2012</c:v>
                </c:pt>
                <c:pt idx="122">
                  <c:v>49.604999999999997</c:v>
                </c:pt>
                <c:pt idx="123">
                  <c:v>50.012999999999998</c:v>
                </c:pt>
                <c:pt idx="124">
                  <c:v>50.421999999999997</c:v>
                </c:pt>
                <c:pt idx="125">
                  <c:v>50.825699999999998</c:v>
                </c:pt>
                <c:pt idx="126">
                  <c:v>51.234499999999997</c:v>
                </c:pt>
                <c:pt idx="127">
                  <c:v>51.637700000000002</c:v>
                </c:pt>
                <c:pt idx="128">
                  <c:v>52.043500000000002</c:v>
                </c:pt>
                <c:pt idx="129">
                  <c:v>52.448900000000002</c:v>
                </c:pt>
                <c:pt idx="130">
                  <c:v>52.860500000000002</c:v>
                </c:pt>
                <c:pt idx="131">
                  <c:v>53.262799999999999</c:v>
                </c:pt>
                <c:pt idx="132">
                  <c:v>53.669199999999996</c:v>
                </c:pt>
                <c:pt idx="133">
                  <c:v>54.074399999999997</c:v>
                </c:pt>
                <c:pt idx="134">
                  <c:v>54.483499999999999</c:v>
                </c:pt>
                <c:pt idx="135">
                  <c:v>54.885800000000003</c:v>
                </c:pt>
                <c:pt idx="136">
                  <c:v>55.294199999999996</c:v>
                </c:pt>
                <c:pt idx="137">
                  <c:v>55.7012</c:v>
                </c:pt>
                <c:pt idx="138">
                  <c:v>56.112200000000001</c:v>
                </c:pt>
                <c:pt idx="139">
                  <c:v>56.515000000000001</c:v>
                </c:pt>
                <c:pt idx="140">
                  <c:v>56.918799999999997</c:v>
                </c:pt>
                <c:pt idx="141">
                  <c:v>57.3277</c:v>
                </c:pt>
                <c:pt idx="142">
                  <c:v>57.731999999999999</c:v>
                </c:pt>
                <c:pt idx="143">
                  <c:v>58.140300000000003</c:v>
                </c:pt>
                <c:pt idx="144">
                  <c:v>58.548200000000001</c:v>
                </c:pt>
                <c:pt idx="145">
                  <c:v>58.950499999999998</c:v>
                </c:pt>
                <c:pt idx="146">
                  <c:v>59.356299999999997</c:v>
                </c:pt>
                <c:pt idx="147">
                  <c:v>59.7639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  <c:pt idx="74">
                  <c:v>3.4255799999999996</c:v>
                </c:pt>
                <c:pt idx="75">
                  <c:v>3.41364</c:v>
                </c:pt>
                <c:pt idx="76">
                  <c:v>3.4043600000000001</c:v>
                </c:pt>
                <c:pt idx="77">
                  <c:v>3.3911200000000004</c:v>
                </c:pt>
                <c:pt idx="78">
                  <c:v>3.3744899999999998</c:v>
                </c:pt>
                <c:pt idx="79">
                  <c:v>3.35364</c:v>
                </c:pt>
                <c:pt idx="80">
                  <c:v>3.3311000000000002</c:v>
                </c:pt>
                <c:pt idx="81">
                  <c:v>3.3089900000000001</c:v>
                </c:pt>
                <c:pt idx="82">
                  <c:v>3.2879100000000001</c:v>
                </c:pt>
                <c:pt idx="83">
                  <c:v>3.2698100000000001</c:v>
                </c:pt>
                <c:pt idx="84">
                  <c:v>3.25556</c:v>
                </c:pt>
                <c:pt idx="85">
                  <c:v>3.2436100000000003</c:v>
                </c:pt>
                <c:pt idx="86">
                  <c:v>3.2322499999999996</c:v>
                </c:pt>
                <c:pt idx="87">
                  <c:v>3.2267700000000001</c:v>
                </c:pt>
                <c:pt idx="88">
                  <c:v>3.2260100000000005</c:v>
                </c:pt>
                <c:pt idx="89">
                  <c:v>3.2268799999999995</c:v>
                </c:pt>
                <c:pt idx="90">
                  <c:v>3.2280599999999997</c:v>
                </c:pt>
                <c:pt idx="91">
                  <c:v>3.2276500000000001</c:v>
                </c:pt>
                <c:pt idx="92">
                  <c:v>3.2282300000000004</c:v>
                </c:pt>
                <c:pt idx="93">
                  <c:v>3.2315100000000001</c:v>
                </c:pt>
                <c:pt idx="94">
                  <c:v>3.23733</c:v>
                </c:pt>
                <c:pt idx="95">
                  <c:v>3.2457099999999999</c:v>
                </c:pt>
                <c:pt idx="96">
                  <c:v>3.2581199999999999</c:v>
                </c:pt>
                <c:pt idx="97">
                  <c:v>3.2718399999999996</c:v>
                </c:pt>
                <c:pt idx="98">
                  <c:v>3.2867099999999998</c:v>
                </c:pt>
                <c:pt idx="99">
                  <c:v>3.30382</c:v>
                </c:pt>
                <c:pt idx="100">
                  <c:v>3.3247800000000001</c:v>
                </c:pt>
                <c:pt idx="101">
                  <c:v>3.3467400000000005</c:v>
                </c:pt>
                <c:pt idx="102">
                  <c:v>3.37575</c:v>
                </c:pt>
                <c:pt idx="103">
                  <c:v>3.4082400000000002</c:v>
                </c:pt>
                <c:pt idx="104">
                  <c:v>3.4432</c:v>
                </c:pt>
                <c:pt idx="105">
                  <c:v>3.4772799999999999</c:v>
                </c:pt>
                <c:pt idx="106">
                  <c:v>3.5133199999999998</c:v>
                </c:pt>
                <c:pt idx="107">
                  <c:v>3.5498500000000002</c:v>
                </c:pt>
                <c:pt idx="108">
                  <c:v>3.5879100000000004</c:v>
                </c:pt>
                <c:pt idx="109">
                  <c:v>3.6258699999999999</c:v>
                </c:pt>
                <c:pt idx="110">
                  <c:v>3.6649500000000002</c:v>
                </c:pt>
                <c:pt idx="111">
                  <c:v>3.7000999999999999</c:v>
                </c:pt>
                <c:pt idx="112">
                  <c:v>3.7321300000000002</c:v>
                </c:pt>
                <c:pt idx="113">
                  <c:v>3.7624999999999997</c:v>
                </c:pt>
                <c:pt idx="114">
                  <c:v>3.79312</c:v>
                </c:pt>
                <c:pt idx="115">
                  <c:v>3.8189000000000002</c:v>
                </c:pt>
                <c:pt idx="116">
                  <c:v>3.8422000000000001</c:v>
                </c:pt>
                <c:pt idx="117">
                  <c:v>3.86558</c:v>
                </c:pt>
                <c:pt idx="118">
                  <c:v>3.8909599999999998</c:v>
                </c:pt>
                <c:pt idx="119">
                  <c:v>3.9114599999999999</c:v>
                </c:pt>
                <c:pt idx="120">
                  <c:v>3.92909</c:v>
                </c:pt>
                <c:pt idx="121">
                  <c:v>3.94435</c:v>
                </c:pt>
                <c:pt idx="122">
                  <c:v>3.9572800000000004</c:v>
                </c:pt>
                <c:pt idx="123">
                  <c:v>3.96889</c:v>
                </c:pt>
                <c:pt idx="124">
                  <c:v>3.9809000000000001</c:v>
                </c:pt>
                <c:pt idx="125">
                  <c:v>3.99092</c:v>
                </c:pt>
                <c:pt idx="126">
                  <c:v>4.0008499999999998</c:v>
                </c:pt>
                <c:pt idx="127">
                  <c:v>4.00746</c:v>
                </c:pt>
                <c:pt idx="128">
                  <c:v>4.0127000000000006</c:v>
                </c:pt>
                <c:pt idx="129">
                  <c:v>4.0171400000000004</c:v>
                </c:pt>
                <c:pt idx="130">
                  <c:v>4.02386</c:v>
                </c:pt>
                <c:pt idx="131">
                  <c:v>4.0285000000000002</c:v>
                </c:pt>
                <c:pt idx="132">
                  <c:v>4.0326500000000003</c:v>
                </c:pt>
                <c:pt idx="133">
                  <c:v>4.0343800000000005</c:v>
                </c:pt>
                <c:pt idx="134">
                  <c:v>4.0319899999999995</c:v>
                </c:pt>
                <c:pt idx="135">
                  <c:v>4.0244999999999997</c:v>
                </c:pt>
                <c:pt idx="136">
                  <c:v>4.0214400000000001</c:v>
                </c:pt>
                <c:pt idx="137">
                  <c:v>4.0162300000000002</c:v>
                </c:pt>
                <c:pt idx="138">
                  <c:v>4.00901</c:v>
                </c:pt>
                <c:pt idx="139">
                  <c:v>3.9991099999999999</c:v>
                </c:pt>
                <c:pt idx="140">
                  <c:v>3.99885</c:v>
                </c:pt>
                <c:pt idx="141">
                  <c:v>4.0038099999999996</c:v>
                </c:pt>
                <c:pt idx="142">
                  <c:v>4.00183</c:v>
                </c:pt>
                <c:pt idx="143">
                  <c:v>3.9822099999999998</c:v>
                </c:pt>
                <c:pt idx="144">
                  <c:v>3.9706399999999995</c:v>
                </c:pt>
                <c:pt idx="145">
                  <c:v>3.9624900000000003</c:v>
                </c:pt>
                <c:pt idx="146">
                  <c:v>3.9367000000000001</c:v>
                </c:pt>
                <c:pt idx="147">
                  <c:v>3.9291999999999998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29.653199999999998</c:v>
                </c:pt>
                <c:pt idx="1">
                  <c:v>30.062899999999999</c:v>
                </c:pt>
                <c:pt idx="2">
                  <c:v>30.514600000000002</c:v>
                </c:pt>
                <c:pt idx="3">
                  <c:v>30.919799999999999</c:v>
                </c:pt>
                <c:pt idx="4">
                  <c:v>31.324999999999999</c:v>
                </c:pt>
                <c:pt idx="5">
                  <c:v>31.733000000000001</c:v>
                </c:pt>
                <c:pt idx="6">
                  <c:v>32.140300000000003</c:v>
                </c:pt>
                <c:pt idx="7">
                  <c:v>32.545499999999997</c:v>
                </c:pt>
                <c:pt idx="8">
                  <c:v>32.950600000000001</c:v>
                </c:pt>
                <c:pt idx="9">
                  <c:v>33.354999999999997</c:v>
                </c:pt>
                <c:pt idx="10">
                  <c:v>33.763800000000003</c:v>
                </c:pt>
                <c:pt idx="11">
                  <c:v>34.170299999999997</c:v>
                </c:pt>
                <c:pt idx="12">
                  <c:v>34.5777</c:v>
                </c:pt>
                <c:pt idx="13">
                  <c:v>34.979900000000001</c:v>
                </c:pt>
                <c:pt idx="14">
                  <c:v>35.3874</c:v>
                </c:pt>
                <c:pt idx="15">
                  <c:v>35.793500000000002</c:v>
                </c:pt>
                <c:pt idx="16">
                  <c:v>36.200099999999999</c:v>
                </c:pt>
                <c:pt idx="17">
                  <c:v>36.608400000000003</c:v>
                </c:pt>
                <c:pt idx="18">
                  <c:v>37.012599999999999</c:v>
                </c:pt>
                <c:pt idx="19">
                  <c:v>37.4193</c:v>
                </c:pt>
                <c:pt idx="20">
                  <c:v>37.826500000000003</c:v>
                </c:pt>
                <c:pt idx="21">
                  <c:v>38.2333</c:v>
                </c:pt>
                <c:pt idx="22">
                  <c:v>38.639899999999997</c:v>
                </c:pt>
                <c:pt idx="23">
                  <c:v>39.0473</c:v>
                </c:pt>
                <c:pt idx="24">
                  <c:v>39.450899999999997</c:v>
                </c:pt>
                <c:pt idx="25">
                  <c:v>39.855400000000003</c:v>
                </c:pt>
                <c:pt idx="26">
                  <c:v>40.262700000000002</c:v>
                </c:pt>
                <c:pt idx="27">
                  <c:v>40.671300000000002</c:v>
                </c:pt>
                <c:pt idx="28">
                  <c:v>41.077500000000001</c:v>
                </c:pt>
                <c:pt idx="29">
                  <c:v>41.479799999999997</c:v>
                </c:pt>
                <c:pt idx="30">
                  <c:v>41.886499999999998</c:v>
                </c:pt>
                <c:pt idx="31">
                  <c:v>42.294800000000002</c:v>
                </c:pt>
                <c:pt idx="32">
                  <c:v>42.703499999999998</c:v>
                </c:pt>
                <c:pt idx="33">
                  <c:v>43.110599999999998</c:v>
                </c:pt>
                <c:pt idx="34">
                  <c:v>43.5124</c:v>
                </c:pt>
                <c:pt idx="35">
                  <c:v>43.9163</c:v>
                </c:pt>
                <c:pt idx="36">
                  <c:v>44.325299999999999</c:v>
                </c:pt>
                <c:pt idx="37">
                  <c:v>44.732900000000001</c:v>
                </c:pt>
                <c:pt idx="38">
                  <c:v>45.139600000000002</c:v>
                </c:pt>
                <c:pt idx="39">
                  <c:v>45.543500000000002</c:v>
                </c:pt>
                <c:pt idx="40">
                  <c:v>45.949199999999998</c:v>
                </c:pt>
                <c:pt idx="41">
                  <c:v>46.3568</c:v>
                </c:pt>
                <c:pt idx="42">
                  <c:v>46.765599999999999</c:v>
                </c:pt>
                <c:pt idx="43">
                  <c:v>47.168900000000001</c:v>
                </c:pt>
                <c:pt idx="44">
                  <c:v>47.574399999999997</c:v>
                </c:pt>
                <c:pt idx="45">
                  <c:v>47.981900000000003</c:v>
                </c:pt>
                <c:pt idx="46">
                  <c:v>48.387900000000002</c:v>
                </c:pt>
                <c:pt idx="47">
                  <c:v>48.798099999999998</c:v>
                </c:pt>
                <c:pt idx="48">
                  <c:v>49.2012</c:v>
                </c:pt>
                <c:pt idx="49">
                  <c:v>49.604999999999997</c:v>
                </c:pt>
                <c:pt idx="50">
                  <c:v>50.012999999999998</c:v>
                </c:pt>
                <c:pt idx="51">
                  <c:v>50.421999999999997</c:v>
                </c:pt>
                <c:pt idx="52">
                  <c:v>50.825699999999998</c:v>
                </c:pt>
                <c:pt idx="53">
                  <c:v>51.234499999999997</c:v>
                </c:pt>
                <c:pt idx="54">
                  <c:v>51.637700000000002</c:v>
                </c:pt>
                <c:pt idx="55">
                  <c:v>52.043500000000002</c:v>
                </c:pt>
                <c:pt idx="56">
                  <c:v>52.448900000000002</c:v>
                </c:pt>
                <c:pt idx="57">
                  <c:v>52.860500000000002</c:v>
                </c:pt>
                <c:pt idx="58">
                  <c:v>53.262799999999999</c:v>
                </c:pt>
                <c:pt idx="59">
                  <c:v>53.669199999999996</c:v>
                </c:pt>
                <c:pt idx="60">
                  <c:v>54.074399999999997</c:v>
                </c:pt>
                <c:pt idx="61">
                  <c:v>54.483499999999999</c:v>
                </c:pt>
                <c:pt idx="62">
                  <c:v>54.885800000000003</c:v>
                </c:pt>
                <c:pt idx="63">
                  <c:v>55.294199999999996</c:v>
                </c:pt>
                <c:pt idx="64">
                  <c:v>55.7012</c:v>
                </c:pt>
                <c:pt idx="65">
                  <c:v>56.112200000000001</c:v>
                </c:pt>
                <c:pt idx="66">
                  <c:v>56.515000000000001</c:v>
                </c:pt>
                <c:pt idx="67">
                  <c:v>56.918799999999997</c:v>
                </c:pt>
                <c:pt idx="68">
                  <c:v>57.3277</c:v>
                </c:pt>
                <c:pt idx="69">
                  <c:v>57.731999999999999</c:v>
                </c:pt>
                <c:pt idx="70">
                  <c:v>58.140300000000003</c:v>
                </c:pt>
                <c:pt idx="71">
                  <c:v>58.548200000000001</c:v>
                </c:pt>
                <c:pt idx="72">
                  <c:v>58.950499999999998</c:v>
                </c:pt>
                <c:pt idx="73">
                  <c:v>59.356299999999997</c:v>
                </c:pt>
                <c:pt idx="74">
                  <c:v>59.7639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3.4335599999999999</c:v>
                </c:pt>
                <c:pt idx="1">
                  <c:v>3.4255799999999996</c:v>
                </c:pt>
                <c:pt idx="2">
                  <c:v>3.41364</c:v>
                </c:pt>
                <c:pt idx="3">
                  <c:v>3.4043600000000001</c:v>
                </c:pt>
                <c:pt idx="4">
                  <c:v>3.3911200000000004</c:v>
                </c:pt>
                <c:pt idx="5">
                  <c:v>3.3744899999999998</c:v>
                </c:pt>
                <c:pt idx="6">
                  <c:v>3.35364</c:v>
                </c:pt>
                <c:pt idx="7">
                  <c:v>3.3311000000000002</c:v>
                </c:pt>
                <c:pt idx="8">
                  <c:v>3.3089900000000001</c:v>
                </c:pt>
                <c:pt idx="9">
                  <c:v>3.2879100000000001</c:v>
                </c:pt>
                <c:pt idx="10">
                  <c:v>3.2698100000000001</c:v>
                </c:pt>
                <c:pt idx="11">
                  <c:v>3.25556</c:v>
                </c:pt>
                <c:pt idx="12">
                  <c:v>3.2436100000000003</c:v>
                </c:pt>
                <c:pt idx="13">
                  <c:v>3.2322499999999996</c:v>
                </c:pt>
                <c:pt idx="14">
                  <c:v>3.2267700000000001</c:v>
                </c:pt>
                <c:pt idx="15">
                  <c:v>3.2260100000000005</c:v>
                </c:pt>
                <c:pt idx="16">
                  <c:v>3.2268799999999995</c:v>
                </c:pt>
                <c:pt idx="17">
                  <c:v>3.2280599999999997</c:v>
                </c:pt>
                <c:pt idx="18">
                  <c:v>3.2276500000000001</c:v>
                </c:pt>
                <c:pt idx="19">
                  <c:v>3.2282300000000004</c:v>
                </c:pt>
                <c:pt idx="20">
                  <c:v>3.2315100000000001</c:v>
                </c:pt>
                <c:pt idx="21">
                  <c:v>3.23733</c:v>
                </c:pt>
                <c:pt idx="22">
                  <c:v>3.2457099999999999</c:v>
                </c:pt>
                <c:pt idx="23">
                  <c:v>3.2581199999999999</c:v>
                </c:pt>
                <c:pt idx="24">
                  <c:v>3.2718399999999996</c:v>
                </c:pt>
                <c:pt idx="25">
                  <c:v>3.2867099999999998</c:v>
                </c:pt>
                <c:pt idx="26">
                  <c:v>3.30382</c:v>
                </c:pt>
                <c:pt idx="27">
                  <c:v>3.3247800000000001</c:v>
                </c:pt>
                <c:pt idx="28">
                  <c:v>3.3467400000000005</c:v>
                </c:pt>
                <c:pt idx="29">
                  <c:v>3.37575</c:v>
                </c:pt>
                <c:pt idx="30">
                  <c:v>3.4082400000000002</c:v>
                </c:pt>
                <c:pt idx="31">
                  <c:v>3.4432</c:v>
                </c:pt>
                <c:pt idx="32">
                  <c:v>3.4772799999999999</c:v>
                </c:pt>
                <c:pt idx="33">
                  <c:v>3.5133199999999998</c:v>
                </c:pt>
                <c:pt idx="34">
                  <c:v>3.5498500000000002</c:v>
                </c:pt>
                <c:pt idx="35">
                  <c:v>3.5879100000000004</c:v>
                </c:pt>
                <c:pt idx="36">
                  <c:v>3.6258699999999999</c:v>
                </c:pt>
                <c:pt idx="37">
                  <c:v>3.6649500000000002</c:v>
                </c:pt>
                <c:pt idx="38">
                  <c:v>3.7000999999999999</c:v>
                </c:pt>
                <c:pt idx="39">
                  <c:v>3.7321300000000002</c:v>
                </c:pt>
                <c:pt idx="40">
                  <c:v>3.7624999999999997</c:v>
                </c:pt>
                <c:pt idx="41">
                  <c:v>3.79312</c:v>
                </c:pt>
                <c:pt idx="42">
                  <c:v>3.8189000000000002</c:v>
                </c:pt>
                <c:pt idx="43">
                  <c:v>3.8422000000000001</c:v>
                </c:pt>
                <c:pt idx="44">
                  <c:v>3.86558</c:v>
                </c:pt>
                <c:pt idx="45">
                  <c:v>3.8909599999999998</c:v>
                </c:pt>
                <c:pt idx="46">
                  <c:v>3.9114599999999999</c:v>
                </c:pt>
                <c:pt idx="47">
                  <c:v>3.92909</c:v>
                </c:pt>
                <c:pt idx="48">
                  <c:v>3.94435</c:v>
                </c:pt>
                <c:pt idx="49">
                  <c:v>3.9572800000000004</c:v>
                </c:pt>
                <c:pt idx="50">
                  <c:v>3.96889</c:v>
                </c:pt>
                <c:pt idx="51">
                  <c:v>3.9809000000000001</c:v>
                </c:pt>
                <c:pt idx="52">
                  <c:v>3.99092</c:v>
                </c:pt>
                <c:pt idx="53">
                  <c:v>4.0008499999999998</c:v>
                </c:pt>
                <c:pt idx="54">
                  <c:v>4.00746</c:v>
                </c:pt>
                <c:pt idx="55">
                  <c:v>4.0127000000000006</c:v>
                </c:pt>
                <c:pt idx="56">
                  <c:v>4.0171400000000004</c:v>
                </c:pt>
                <c:pt idx="57">
                  <c:v>4.02386</c:v>
                </c:pt>
                <c:pt idx="58">
                  <c:v>4.0285000000000002</c:v>
                </c:pt>
                <c:pt idx="59">
                  <c:v>4.0326500000000003</c:v>
                </c:pt>
                <c:pt idx="60">
                  <c:v>4.0343800000000005</c:v>
                </c:pt>
                <c:pt idx="61">
                  <c:v>4.0319899999999995</c:v>
                </c:pt>
                <c:pt idx="62">
                  <c:v>4.0244999999999997</c:v>
                </c:pt>
                <c:pt idx="63">
                  <c:v>4.0214400000000001</c:v>
                </c:pt>
                <c:pt idx="64">
                  <c:v>4.0162300000000002</c:v>
                </c:pt>
                <c:pt idx="65">
                  <c:v>4.00901</c:v>
                </c:pt>
                <c:pt idx="66">
                  <c:v>3.9991099999999999</c:v>
                </c:pt>
                <c:pt idx="67">
                  <c:v>3.99885</c:v>
                </c:pt>
                <c:pt idx="68">
                  <c:v>4.0038099999999996</c:v>
                </c:pt>
                <c:pt idx="69">
                  <c:v>4.00183</c:v>
                </c:pt>
                <c:pt idx="70">
                  <c:v>3.9822099999999998</c:v>
                </c:pt>
                <c:pt idx="71">
                  <c:v>3.9706399999999995</c:v>
                </c:pt>
                <c:pt idx="72">
                  <c:v>3.9624900000000003</c:v>
                </c:pt>
                <c:pt idx="73">
                  <c:v>3.9367000000000001</c:v>
                </c:pt>
                <c:pt idx="74">
                  <c:v>3.9291999999999998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14.940975</c:v>
                </c:pt>
                <c:pt idx="1">
                  <c:v>44.822924999999998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2.8984285135135135</c:v>
                </c:pt>
                <c:pt idx="1">
                  <c:v>3.6478718918918935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  <c:pt idx="74">
                  <c:v>30.062899999999999</c:v>
                </c:pt>
                <c:pt idx="75">
                  <c:v>30.514600000000002</c:v>
                </c:pt>
                <c:pt idx="76">
                  <c:v>30.919799999999999</c:v>
                </c:pt>
                <c:pt idx="77">
                  <c:v>31.324999999999999</c:v>
                </c:pt>
                <c:pt idx="78">
                  <c:v>31.733000000000001</c:v>
                </c:pt>
                <c:pt idx="79">
                  <c:v>32.140300000000003</c:v>
                </c:pt>
                <c:pt idx="80">
                  <c:v>32.545499999999997</c:v>
                </c:pt>
                <c:pt idx="81">
                  <c:v>32.950600000000001</c:v>
                </c:pt>
                <c:pt idx="82">
                  <c:v>33.354999999999997</c:v>
                </c:pt>
                <c:pt idx="83">
                  <c:v>33.763800000000003</c:v>
                </c:pt>
                <c:pt idx="84">
                  <c:v>34.170299999999997</c:v>
                </c:pt>
                <c:pt idx="85">
                  <c:v>34.5777</c:v>
                </c:pt>
                <c:pt idx="86">
                  <c:v>34.979900000000001</c:v>
                </c:pt>
                <c:pt idx="87">
                  <c:v>35.3874</c:v>
                </c:pt>
                <c:pt idx="88">
                  <c:v>35.793500000000002</c:v>
                </c:pt>
                <c:pt idx="89">
                  <c:v>36.200099999999999</c:v>
                </c:pt>
                <c:pt idx="90">
                  <c:v>36.608400000000003</c:v>
                </c:pt>
                <c:pt idx="91">
                  <c:v>37.012599999999999</c:v>
                </c:pt>
                <c:pt idx="92">
                  <c:v>37.4193</c:v>
                </c:pt>
                <c:pt idx="93">
                  <c:v>37.826500000000003</c:v>
                </c:pt>
                <c:pt idx="94">
                  <c:v>38.2333</c:v>
                </c:pt>
                <c:pt idx="95">
                  <c:v>38.639899999999997</c:v>
                </c:pt>
                <c:pt idx="96">
                  <c:v>39.0473</c:v>
                </c:pt>
                <c:pt idx="97">
                  <c:v>39.450899999999997</c:v>
                </c:pt>
                <c:pt idx="98">
                  <c:v>39.855400000000003</c:v>
                </c:pt>
                <c:pt idx="99">
                  <c:v>40.262700000000002</c:v>
                </c:pt>
                <c:pt idx="100">
                  <c:v>40.671300000000002</c:v>
                </c:pt>
                <c:pt idx="101">
                  <c:v>41.077500000000001</c:v>
                </c:pt>
                <c:pt idx="102">
                  <c:v>41.479799999999997</c:v>
                </c:pt>
                <c:pt idx="103">
                  <c:v>41.886499999999998</c:v>
                </c:pt>
                <c:pt idx="104">
                  <c:v>42.294800000000002</c:v>
                </c:pt>
                <c:pt idx="105">
                  <c:v>42.703499999999998</c:v>
                </c:pt>
                <c:pt idx="106">
                  <c:v>43.110599999999998</c:v>
                </c:pt>
                <c:pt idx="107">
                  <c:v>43.5124</c:v>
                </c:pt>
                <c:pt idx="108">
                  <c:v>43.9163</c:v>
                </c:pt>
                <c:pt idx="109">
                  <c:v>44.325299999999999</c:v>
                </c:pt>
                <c:pt idx="110">
                  <c:v>44.732900000000001</c:v>
                </c:pt>
                <c:pt idx="111">
                  <c:v>45.139600000000002</c:v>
                </c:pt>
                <c:pt idx="112">
                  <c:v>45.543500000000002</c:v>
                </c:pt>
                <c:pt idx="113">
                  <c:v>45.949199999999998</c:v>
                </c:pt>
                <c:pt idx="114">
                  <c:v>46.3568</c:v>
                </c:pt>
                <c:pt idx="115">
                  <c:v>46.765599999999999</c:v>
                </c:pt>
                <c:pt idx="116">
                  <c:v>47.168900000000001</c:v>
                </c:pt>
                <c:pt idx="117">
                  <c:v>47.574399999999997</c:v>
                </c:pt>
                <c:pt idx="118">
                  <c:v>47.981900000000003</c:v>
                </c:pt>
                <c:pt idx="119">
                  <c:v>48.387900000000002</c:v>
                </c:pt>
                <c:pt idx="120">
                  <c:v>48.798099999999998</c:v>
                </c:pt>
                <c:pt idx="121">
                  <c:v>49.2012</c:v>
                </c:pt>
                <c:pt idx="122">
                  <c:v>49.604999999999997</c:v>
                </c:pt>
                <c:pt idx="123">
                  <c:v>50.012999999999998</c:v>
                </c:pt>
                <c:pt idx="124">
                  <c:v>50.421999999999997</c:v>
                </c:pt>
                <c:pt idx="125">
                  <c:v>50.825699999999998</c:v>
                </c:pt>
                <c:pt idx="126">
                  <c:v>51.234499999999997</c:v>
                </c:pt>
                <c:pt idx="127">
                  <c:v>51.637700000000002</c:v>
                </c:pt>
                <c:pt idx="128">
                  <c:v>52.043500000000002</c:v>
                </c:pt>
                <c:pt idx="129">
                  <c:v>52.448900000000002</c:v>
                </c:pt>
                <c:pt idx="130">
                  <c:v>52.860500000000002</c:v>
                </c:pt>
                <c:pt idx="131">
                  <c:v>53.262799999999999</c:v>
                </c:pt>
                <c:pt idx="132">
                  <c:v>53.669199999999996</c:v>
                </c:pt>
                <c:pt idx="133">
                  <c:v>54.074399999999997</c:v>
                </c:pt>
                <c:pt idx="134">
                  <c:v>54.483499999999999</c:v>
                </c:pt>
                <c:pt idx="135">
                  <c:v>54.885800000000003</c:v>
                </c:pt>
                <c:pt idx="136">
                  <c:v>55.294199999999996</c:v>
                </c:pt>
                <c:pt idx="137">
                  <c:v>55.7012</c:v>
                </c:pt>
                <c:pt idx="138">
                  <c:v>56.112200000000001</c:v>
                </c:pt>
                <c:pt idx="139">
                  <c:v>56.515000000000001</c:v>
                </c:pt>
                <c:pt idx="140">
                  <c:v>56.918799999999997</c:v>
                </c:pt>
                <c:pt idx="141">
                  <c:v>57.3277</c:v>
                </c:pt>
                <c:pt idx="142">
                  <c:v>57.731999999999999</c:v>
                </c:pt>
                <c:pt idx="143">
                  <c:v>58.140300000000003</c:v>
                </c:pt>
                <c:pt idx="144">
                  <c:v>58.548200000000001</c:v>
                </c:pt>
                <c:pt idx="145">
                  <c:v>58.950499999999998</c:v>
                </c:pt>
                <c:pt idx="146">
                  <c:v>59.356299999999997</c:v>
                </c:pt>
                <c:pt idx="147">
                  <c:v>59.7639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  <c:pt idx="74">
                  <c:v>30.9405</c:v>
                </c:pt>
                <c:pt idx="75">
                  <c:v>31.243500000000001</c:v>
                </c:pt>
                <c:pt idx="76">
                  <c:v>31.487100000000002</c:v>
                </c:pt>
                <c:pt idx="77">
                  <c:v>31.764500000000002</c:v>
                </c:pt>
                <c:pt idx="78">
                  <c:v>32.094099999999997</c:v>
                </c:pt>
                <c:pt idx="79">
                  <c:v>32.452500000000001</c:v>
                </c:pt>
                <c:pt idx="80">
                  <c:v>32.834899999999998</c:v>
                </c:pt>
                <c:pt idx="81">
                  <c:v>33.207599999999999</c:v>
                </c:pt>
                <c:pt idx="82">
                  <c:v>33.547800000000002</c:v>
                </c:pt>
                <c:pt idx="83">
                  <c:v>33.8292</c:v>
                </c:pt>
                <c:pt idx="84">
                  <c:v>34.092299999999994</c:v>
                </c:pt>
                <c:pt idx="85">
                  <c:v>34.370899999999999</c:v>
                </c:pt>
                <c:pt idx="86">
                  <c:v>34.637900000000002</c:v>
                </c:pt>
                <c:pt idx="87">
                  <c:v>34.831299999999999</c:v>
                </c:pt>
                <c:pt idx="88">
                  <c:v>34.903300000000002</c:v>
                </c:pt>
                <c:pt idx="89">
                  <c:v>34.952199999999998</c:v>
                </c:pt>
                <c:pt idx="90">
                  <c:v>35.004999999999995</c:v>
                </c:pt>
                <c:pt idx="91">
                  <c:v>35.030799999999999</c:v>
                </c:pt>
                <c:pt idx="92">
                  <c:v>35.035500000000006</c:v>
                </c:pt>
                <c:pt idx="93">
                  <c:v>35.070099999999996</c:v>
                </c:pt>
                <c:pt idx="94">
                  <c:v>35.063200000000002</c:v>
                </c:pt>
                <c:pt idx="95">
                  <c:v>35.006500000000003</c:v>
                </c:pt>
                <c:pt idx="96">
                  <c:v>34.806899999999999</c:v>
                </c:pt>
                <c:pt idx="97">
                  <c:v>34.5869</c:v>
                </c:pt>
                <c:pt idx="98">
                  <c:v>34.340699999999998</c:v>
                </c:pt>
                <c:pt idx="99">
                  <c:v>34.003900000000002</c:v>
                </c:pt>
                <c:pt idx="100">
                  <c:v>33.639200000000002</c:v>
                </c:pt>
                <c:pt idx="101">
                  <c:v>33.278400000000005</c:v>
                </c:pt>
                <c:pt idx="102">
                  <c:v>32.822899999999997</c:v>
                </c:pt>
                <c:pt idx="103">
                  <c:v>32.300800000000002</c:v>
                </c:pt>
                <c:pt idx="104">
                  <c:v>31.814700000000002</c:v>
                </c:pt>
                <c:pt idx="105">
                  <c:v>31.428299999999997</c:v>
                </c:pt>
                <c:pt idx="106">
                  <c:v>31.033100000000001</c:v>
                </c:pt>
                <c:pt idx="107">
                  <c:v>30.659599999999998</c:v>
                </c:pt>
                <c:pt idx="108">
                  <c:v>30.342799999999997</c:v>
                </c:pt>
                <c:pt idx="109">
                  <c:v>30.038599999999999</c:v>
                </c:pt>
                <c:pt idx="110">
                  <c:v>29.680699999999998</c:v>
                </c:pt>
                <c:pt idx="111">
                  <c:v>29.450300000000002</c:v>
                </c:pt>
                <c:pt idx="112">
                  <c:v>29.141499999999997</c:v>
                </c:pt>
                <c:pt idx="113">
                  <c:v>28.863299999999999</c:v>
                </c:pt>
                <c:pt idx="114">
                  <c:v>28.612900000000003</c:v>
                </c:pt>
                <c:pt idx="115">
                  <c:v>28.453200000000002</c:v>
                </c:pt>
                <c:pt idx="116">
                  <c:v>28.4038</c:v>
                </c:pt>
                <c:pt idx="117">
                  <c:v>28.357800000000001</c:v>
                </c:pt>
                <c:pt idx="118">
                  <c:v>28.224300000000003</c:v>
                </c:pt>
                <c:pt idx="119">
                  <c:v>28.131800000000002</c:v>
                </c:pt>
                <c:pt idx="120">
                  <c:v>28.060299999999998</c:v>
                </c:pt>
                <c:pt idx="121">
                  <c:v>28.005999999999997</c:v>
                </c:pt>
                <c:pt idx="122">
                  <c:v>28.026299999999999</c:v>
                </c:pt>
                <c:pt idx="123">
                  <c:v>28.086899999999996</c:v>
                </c:pt>
                <c:pt idx="124">
                  <c:v>28.086400000000001</c:v>
                </c:pt>
                <c:pt idx="125">
                  <c:v>28.067500000000003</c:v>
                </c:pt>
                <c:pt idx="126">
                  <c:v>28.044799999999999</c:v>
                </c:pt>
                <c:pt idx="127">
                  <c:v>28.042899999999999</c:v>
                </c:pt>
                <c:pt idx="128">
                  <c:v>28.0899</c:v>
                </c:pt>
                <c:pt idx="129">
                  <c:v>28.151900000000001</c:v>
                </c:pt>
                <c:pt idx="130">
                  <c:v>28.1843</c:v>
                </c:pt>
                <c:pt idx="131">
                  <c:v>28.242699999999999</c:v>
                </c:pt>
                <c:pt idx="132">
                  <c:v>28.3354</c:v>
                </c:pt>
                <c:pt idx="133">
                  <c:v>28.3902</c:v>
                </c:pt>
                <c:pt idx="134">
                  <c:v>28.435199999999998</c:v>
                </c:pt>
                <c:pt idx="135">
                  <c:v>28.515499999999999</c:v>
                </c:pt>
                <c:pt idx="136">
                  <c:v>28.514299999999999</c:v>
                </c:pt>
                <c:pt idx="137">
                  <c:v>28.644399999999997</c:v>
                </c:pt>
                <c:pt idx="138">
                  <c:v>28.8155</c:v>
                </c:pt>
                <c:pt idx="139">
                  <c:v>29.020499999999998</c:v>
                </c:pt>
                <c:pt idx="140">
                  <c:v>29.170099999999998</c:v>
                </c:pt>
                <c:pt idx="141">
                  <c:v>29.207599999999999</c:v>
                </c:pt>
                <c:pt idx="142">
                  <c:v>29.211100000000002</c:v>
                </c:pt>
                <c:pt idx="143">
                  <c:v>29.395199999999999</c:v>
                </c:pt>
                <c:pt idx="144">
                  <c:v>29.550700000000003</c:v>
                </c:pt>
                <c:pt idx="145">
                  <c:v>29.761900000000001</c:v>
                </c:pt>
                <c:pt idx="146">
                  <c:v>30.195300000000003</c:v>
                </c:pt>
                <c:pt idx="147">
                  <c:v>30.359000000000002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29.653199999999998</c:v>
                </c:pt>
                <c:pt idx="1">
                  <c:v>30.062899999999999</c:v>
                </c:pt>
                <c:pt idx="2">
                  <c:v>30.514600000000002</c:v>
                </c:pt>
                <c:pt idx="3">
                  <c:v>30.919799999999999</c:v>
                </c:pt>
                <c:pt idx="4">
                  <c:v>31.324999999999999</c:v>
                </c:pt>
                <c:pt idx="5">
                  <c:v>31.733000000000001</c:v>
                </c:pt>
                <c:pt idx="6">
                  <c:v>32.140300000000003</c:v>
                </c:pt>
                <c:pt idx="7">
                  <c:v>32.545499999999997</c:v>
                </c:pt>
                <c:pt idx="8">
                  <c:v>32.950600000000001</c:v>
                </c:pt>
                <c:pt idx="9">
                  <c:v>33.354999999999997</c:v>
                </c:pt>
                <c:pt idx="10">
                  <c:v>33.763800000000003</c:v>
                </c:pt>
                <c:pt idx="11">
                  <c:v>34.170299999999997</c:v>
                </c:pt>
                <c:pt idx="12">
                  <c:v>34.5777</c:v>
                </c:pt>
                <c:pt idx="13">
                  <c:v>34.979900000000001</c:v>
                </c:pt>
                <c:pt idx="14">
                  <c:v>35.3874</c:v>
                </c:pt>
                <c:pt idx="15">
                  <c:v>35.793500000000002</c:v>
                </c:pt>
                <c:pt idx="16">
                  <c:v>36.200099999999999</c:v>
                </c:pt>
                <c:pt idx="17">
                  <c:v>36.608400000000003</c:v>
                </c:pt>
                <c:pt idx="18">
                  <c:v>37.012599999999999</c:v>
                </c:pt>
                <c:pt idx="19">
                  <c:v>37.4193</c:v>
                </c:pt>
                <c:pt idx="20">
                  <c:v>37.826500000000003</c:v>
                </c:pt>
                <c:pt idx="21">
                  <c:v>38.2333</c:v>
                </c:pt>
                <c:pt idx="22">
                  <c:v>38.639899999999997</c:v>
                </c:pt>
                <c:pt idx="23">
                  <c:v>39.0473</c:v>
                </c:pt>
                <c:pt idx="24">
                  <c:v>39.450899999999997</c:v>
                </c:pt>
                <c:pt idx="25">
                  <c:v>39.855400000000003</c:v>
                </c:pt>
                <c:pt idx="26">
                  <c:v>40.262700000000002</c:v>
                </c:pt>
                <c:pt idx="27">
                  <c:v>40.671300000000002</c:v>
                </c:pt>
                <c:pt idx="28">
                  <c:v>41.077500000000001</c:v>
                </c:pt>
                <c:pt idx="29">
                  <c:v>41.479799999999997</c:v>
                </c:pt>
                <c:pt idx="30">
                  <c:v>41.886499999999998</c:v>
                </c:pt>
                <c:pt idx="31">
                  <c:v>42.294800000000002</c:v>
                </c:pt>
                <c:pt idx="32">
                  <c:v>42.703499999999998</c:v>
                </c:pt>
                <c:pt idx="33">
                  <c:v>43.110599999999998</c:v>
                </c:pt>
                <c:pt idx="34">
                  <c:v>43.5124</c:v>
                </c:pt>
                <c:pt idx="35">
                  <c:v>43.9163</c:v>
                </c:pt>
                <c:pt idx="36">
                  <c:v>44.325299999999999</c:v>
                </c:pt>
                <c:pt idx="37">
                  <c:v>44.732900000000001</c:v>
                </c:pt>
                <c:pt idx="38">
                  <c:v>45.139600000000002</c:v>
                </c:pt>
                <c:pt idx="39">
                  <c:v>45.543500000000002</c:v>
                </c:pt>
                <c:pt idx="40">
                  <c:v>45.949199999999998</c:v>
                </c:pt>
                <c:pt idx="41">
                  <c:v>46.3568</c:v>
                </c:pt>
                <c:pt idx="42">
                  <c:v>46.765599999999999</c:v>
                </c:pt>
                <c:pt idx="43">
                  <c:v>47.168900000000001</c:v>
                </c:pt>
                <c:pt idx="44">
                  <c:v>47.574399999999997</c:v>
                </c:pt>
                <c:pt idx="45">
                  <c:v>47.981900000000003</c:v>
                </c:pt>
                <c:pt idx="46">
                  <c:v>48.387900000000002</c:v>
                </c:pt>
                <c:pt idx="47">
                  <c:v>48.798099999999998</c:v>
                </c:pt>
                <c:pt idx="48">
                  <c:v>49.2012</c:v>
                </c:pt>
                <c:pt idx="49">
                  <c:v>49.604999999999997</c:v>
                </c:pt>
                <c:pt idx="50">
                  <c:v>50.012999999999998</c:v>
                </c:pt>
                <c:pt idx="51">
                  <c:v>50.421999999999997</c:v>
                </c:pt>
                <c:pt idx="52">
                  <c:v>50.825699999999998</c:v>
                </c:pt>
                <c:pt idx="53">
                  <c:v>51.234499999999997</c:v>
                </c:pt>
                <c:pt idx="54">
                  <c:v>51.637700000000002</c:v>
                </c:pt>
                <c:pt idx="55">
                  <c:v>52.043500000000002</c:v>
                </c:pt>
                <c:pt idx="56">
                  <c:v>52.448900000000002</c:v>
                </c:pt>
                <c:pt idx="57">
                  <c:v>52.860500000000002</c:v>
                </c:pt>
                <c:pt idx="58">
                  <c:v>53.262799999999999</c:v>
                </c:pt>
                <c:pt idx="59">
                  <c:v>53.669199999999996</c:v>
                </c:pt>
                <c:pt idx="60">
                  <c:v>54.074399999999997</c:v>
                </c:pt>
                <c:pt idx="61">
                  <c:v>54.483499999999999</c:v>
                </c:pt>
                <c:pt idx="62">
                  <c:v>54.885800000000003</c:v>
                </c:pt>
                <c:pt idx="63">
                  <c:v>55.294199999999996</c:v>
                </c:pt>
                <c:pt idx="64">
                  <c:v>55.7012</c:v>
                </c:pt>
                <c:pt idx="65">
                  <c:v>56.112200000000001</c:v>
                </c:pt>
                <c:pt idx="66">
                  <c:v>56.515000000000001</c:v>
                </c:pt>
                <c:pt idx="67">
                  <c:v>56.918799999999997</c:v>
                </c:pt>
                <c:pt idx="68">
                  <c:v>57.3277</c:v>
                </c:pt>
                <c:pt idx="69">
                  <c:v>57.731999999999999</c:v>
                </c:pt>
                <c:pt idx="70">
                  <c:v>58.140300000000003</c:v>
                </c:pt>
                <c:pt idx="71">
                  <c:v>58.548200000000001</c:v>
                </c:pt>
                <c:pt idx="72">
                  <c:v>58.950499999999998</c:v>
                </c:pt>
                <c:pt idx="73">
                  <c:v>59.356299999999997</c:v>
                </c:pt>
                <c:pt idx="74">
                  <c:v>59.7639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30.708099999999998</c:v>
                </c:pt>
                <c:pt idx="1">
                  <c:v>30.9405</c:v>
                </c:pt>
                <c:pt idx="2">
                  <c:v>31.243500000000001</c:v>
                </c:pt>
                <c:pt idx="3">
                  <c:v>31.487100000000002</c:v>
                </c:pt>
                <c:pt idx="4">
                  <c:v>31.764500000000002</c:v>
                </c:pt>
                <c:pt idx="5">
                  <c:v>32.094099999999997</c:v>
                </c:pt>
                <c:pt idx="6">
                  <c:v>32.452500000000001</c:v>
                </c:pt>
                <c:pt idx="7">
                  <c:v>32.834899999999998</c:v>
                </c:pt>
                <c:pt idx="8">
                  <c:v>33.207599999999999</c:v>
                </c:pt>
                <c:pt idx="9">
                  <c:v>33.547800000000002</c:v>
                </c:pt>
                <c:pt idx="10">
                  <c:v>33.8292</c:v>
                </c:pt>
                <c:pt idx="11">
                  <c:v>34.092299999999994</c:v>
                </c:pt>
                <c:pt idx="12">
                  <c:v>34.370899999999999</c:v>
                </c:pt>
                <c:pt idx="13">
                  <c:v>34.637900000000002</c:v>
                </c:pt>
                <c:pt idx="14">
                  <c:v>34.831299999999999</c:v>
                </c:pt>
                <c:pt idx="15">
                  <c:v>34.903300000000002</c:v>
                </c:pt>
                <c:pt idx="16">
                  <c:v>34.952199999999998</c:v>
                </c:pt>
                <c:pt idx="17">
                  <c:v>35.004999999999995</c:v>
                </c:pt>
                <c:pt idx="18">
                  <c:v>35.030799999999999</c:v>
                </c:pt>
                <c:pt idx="19">
                  <c:v>35.035500000000006</c:v>
                </c:pt>
                <c:pt idx="20">
                  <c:v>35.070099999999996</c:v>
                </c:pt>
                <c:pt idx="21">
                  <c:v>35.063200000000002</c:v>
                </c:pt>
                <c:pt idx="22">
                  <c:v>35.006500000000003</c:v>
                </c:pt>
                <c:pt idx="23">
                  <c:v>34.806899999999999</c:v>
                </c:pt>
                <c:pt idx="24">
                  <c:v>34.5869</c:v>
                </c:pt>
                <c:pt idx="25">
                  <c:v>34.340699999999998</c:v>
                </c:pt>
                <c:pt idx="26">
                  <c:v>34.003900000000002</c:v>
                </c:pt>
                <c:pt idx="27">
                  <c:v>33.639200000000002</c:v>
                </c:pt>
                <c:pt idx="28">
                  <c:v>33.278400000000005</c:v>
                </c:pt>
                <c:pt idx="29">
                  <c:v>32.822899999999997</c:v>
                </c:pt>
                <c:pt idx="30">
                  <c:v>32.300800000000002</c:v>
                </c:pt>
                <c:pt idx="31">
                  <c:v>31.814700000000002</c:v>
                </c:pt>
                <c:pt idx="32">
                  <c:v>31.428299999999997</c:v>
                </c:pt>
                <c:pt idx="33">
                  <c:v>31.033100000000001</c:v>
                </c:pt>
                <c:pt idx="34">
                  <c:v>30.659599999999998</c:v>
                </c:pt>
                <c:pt idx="35">
                  <c:v>30.342799999999997</c:v>
                </c:pt>
                <c:pt idx="36">
                  <c:v>30.038599999999999</c:v>
                </c:pt>
                <c:pt idx="37">
                  <c:v>29.680699999999998</c:v>
                </c:pt>
                <c:pt idx="38">
                  <c:v>29.450300000000002</c:v>
                </c:pt>
                <c:pt idx="39">
                  <c:v>29.141499999999997</c:v>
                </c:pt>
                <c:pt idx="40">
                  <c:v>28.863299999999999</c:v>
                </c:pt>
                <c:pt idx="41">
                  <c:v>28.612900000000003</c:v>
                </c:pt>
                <c:pt idx="42">
                  <c:v>28.453200000000002</c:v>
                </c:pt>
                <c:pt idx="43">
                  <c:v>28.4038</c:v>
                </c:pt>
                <c:pt idx="44">
                  <c:v>28.357800000000001</c:v>
                </c:pt>
                <c:pt idx="45">
                  <c:v>28.224300000000003</c:v>
                </c:pt>
                <c:pt idx="46">
                  <c:v>28.131800000000002</c:v>
                </c:pt>
                <c:pt idx="47">
                  <c:v>28.060299999999998</c:v>
                </c:pt>
                <c:pt idx="48">
                  <c:v>28.005999999999997</c:v>
                </c:pt>
                <c:pt idx="49">
                  <c:v>28.026299999999999</c:v>
                </c:pt>
                <c:pt idx="50">
                  <c:v>28.086899999999996</c:v>
                </c:pt>
                <c:pt idx="51">
                  <c:v>28.086400000000001</c:v>
                </c:pt>
                <c:pt idx="52">
                  <c:v>28.067500000000003</c:v>
                </c:pt>
                <c:pt idx="53">
                  <c:v>28.044799999999999</c:v>
                </c:pt>
                <c:pt idx="54">
                  <c:v>28.042899999999999</c:v>
                </c:pt>
                <c:pt idx="55">
                  <c:v>28.0899</c:v>
                </c:pt>
                <c:pt idx="56">
                  <c:v>28.151900000000001</c:v>
                </c:pt>
                <c:pt idx="57">
                  <c:v>28.1843</c:v>
                </c:pt>
                <c:pt idx="58">
                  <c:v>28.242699999999999</c:v>
                </c:pt>
                <c:pt idx="59">
                  <c:v>28.3354</c:v>
                </c:pt>
                <c:pt idx="60">
                  <c:v>28.3902</c:v>
                </c:pt>
                <c:pt idx="61">
                  <c:v>28.435199999999998</c:v>
                </c:pt>
                <c:pt idx="62">
                  <c:v>28.515499999999999</c:v>
                </c:pt>
                <c:pt idx="63">
                  <c:v>28.514299999999999</c:v>
                </c:pt>
                <c:pt idx="64">
                  <c:v>28.644399999999997</c:v>
                </c:pt>
                <c:pt idx="65">
                  <c:v>28.8155</c:v>
                </c:pt>
                <c:pt idx="66">
                  <c:v>29.020499999999998</c:v>
                </c:pt>
                <c:pt idx="67">
                  <c:v>29.170099999999998</c:v>
                </c:pt>
                <c:pt idx="68">
                  <c:v>29.207599999999999</c:v>
                </c:pt>
                <c:pt idx="69">
                  <c:v>29.211100000000002</c:v>
                </c:pt>
                <c:pt idx="70">
                  <c:v>29.395199999999999</c:v>
                </c:pt>
                <c:pt idx="71">
                  <c:v>29.550700000000003</c:v>
                </c:pt>
                <c:pt idx="72">
                  <c:v>29.761900000000001</c:v>
                </c:pt>
                <c:pt idx="73">
                  <c:v>30.195300000000003</c:v>
                </c:pt>
                <c:pt idx="74">
                  <c:v>30.359000000000002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14.940975</c:v>
                </c:pt>
                <c:pt idx="1">
                  <c:v>44.822924999999998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41.152745945945938</c:v>
                </c:pt>
                <c:pt idx="1">
                  <c:v>30.897687837837839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35.257100000000001</c:v>
                </c:pt>
                <c:pt idx="1">
                  <c:v>30.4666</c:v>
                </c:pt>
                <c:pt idx="2">
                  <c:v>31.212599999999998</c:v>
                </c:pt>
                <c:pt idx="3">
                  <c:v>33.727899999999998</c:v>
                </c:pt>
                <c:pt idx="4">
                  <c:v>69.199299999999994</c:v>
                </c:pt>
                <c:pt idx="5">
                  <c:v>73.266999999999996</c:v>
                </c:pt>
                <c:pt idx="6">
                  <c:v>16.089300000000001</c:v>
                </c:pt>
                <c:pt idx="7">
                  <c:v>71.629000000000005</c:v>
                </c:pt>
                <c:pt idx="8">
                  <c:v>23.1678</c:v>
                </c:pt>
                <c:pt idx="9">
                  <c:v>56.214599999999997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46.744700000000002</c:v>
                </c:pt>
                <c:pt idx="1">
                  <c:v>35.904000000000003</c:v>
                </c:pt>
                <c:pt idx="2">
                  <c:v>28.514700000000001</c:v>
                </c:pt>
                <c:pt idx="3">
                  <c:v>37.706299999999999</c:v>
                </c:pt>
                <c:pt idx="4">
                  <c:v>60.882199999999997</c:v>
                </c:pt>
                <c:pt idx="5">
                  <c:v>73.408000000000001</c:v>
                </c:pt>
                <c:pt idx="6">
                  <c:v>20.706199999999999</c:v>
                </c:pt>
                <c:pt idx="7">
                  <c:v>66.607200000000006</c:v>
                </c:pt>
                <c:pt idx="8">
                  <c:v>24.1282</c:v>
                </c:pt>
                <c:pt idx="9">
                  <c:v>41.863300000000002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0.44299186934291179</c:v>
                </c:pt>
                <c:pt idx="1">
                  <c:v>0.25146416491023332</c:v>
                </c:pt>
                <c:pt idx="2">
                  <c:v>0.305543965746855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681</c:v>
                </c:pt>
                <c:pt idx="7">
                  <c:v>0</c:v>
                </c:pt>
                <c:pt idx="8">
                  <c:v>1053</c:v>
                </c:pt>
                <c:pt idx="9">
                  <c:v>0</c:v>
                </c:pt>
                <c:pt idx="10">
                  <c:v>0</c:v>
                </c:pt>
                <c:pt idx="11">
                  <c:v>1516</c:v>
                </c:pt>
                <c:pt idx="12">
                  <c:v>0</c:v>
                </c:pt>
                <c:pt idx="13">
                  <c:v>7823</c:v>
                </c:pt>
                <c:pt idx="14">
                  <c:v>0</c:v>
                </c:pt>
                <c:pt idx="15">
                  <c:v>0</c:v>
                </c:pt>
                <c:pt idx="16">
                  <c:v>9127</c:v>
                </c:pt>
                <c:pt idx="17">
                  <c:v>0</c:v>
                </c:pt>
                <c:pt idx="18">
                  <c:v>0</c:v>
                </c:pt>
                <c:pt idx="19">
                  <c:v>10434</c:v>
                </c:pt>
                <c:pt idx="20">
                  <c:v>0</c:v>
                </c:pt>
                <c:pt idx="21">
                  <c:v>12957</c:v>
                </c:pt>
                <c:pt idx="22">
                  <c:v>0</c:v>
                </c:pt>
                <c:pt idx="23">
                  <c:v>0</c:v>
                </c:pt>
                <c:pt idx="24">
                  <c:v>29077</c:v>
                </c:pt>
                <c:pt idx="25">
                  <c:v>0</c:v>
                </c:pt>
                <c:pt idx="26">
                  <c:v>52529</c:v>
                </c:pt>
                <c:pt idx="27">
                  <c:v>0</c:v>
                </c:pt>
                <c:pt idx="28">
                  <c:v>0</c:v>
                </c:pt>
                <c:pt idx="29">
                  <c:v>70018</c:v>
                </c:pt>
                <c:pt idx="30">
                  <c:v>0</c:v>
                </c:pt>
                <c:pt idx="31">
                  <c:v>70414</c:v>
                </c:pt>
                <c:pt idx="32">
                  <c:v>0</c:v>
                </c:pt>
                <c:pt idx="33">
                  <c:v>0</c:v>
                </c:pt>
                <c:pt idx="34">
                  <c:v>72284</c:v>
                </c:pt>
                <c:pt idx="35">
                  <c:v>0</c:v>
                </c:pt>
                <c:pt idx="36">
                  <c:v>0</c:v>
                </c:pt>
                <c:pt idx="37">
                  <c:v>77598</c:v>
                </c:pt>
                <c:pt idx="38">
                  <c:v>0</c:v>
                </c:pt>
                <c:pt idx="39">
                  <c:v>76070</c:v>
                </c:pt>
                <c:pt idx="40">
                  <c:v>0</c:v>
                </c:pt>
                <c:pt idx="41">
                  <c:v>0</c:v>
                </c:pt>
                <c:pt idx="42">
                  <c:v>71468</c:v>
                </c:pt>
                <c:pt idx="43">
                  <c:v>0</c:v>
                </c:pt>
                <c:pt idx="44">
                  <c:v>68436</c:v>
                </c:pt>
                <c:pt idx="45">
                  <c:v>0</c:v>
                </c:pt>
                <c:pt idx="46">
                  <c:v>0</c:v>
                </c:pt>
                <c:pt idx="47">
                  <c:v>73916</c:v>
                </c:pt>
                <c:pt idx="48">
                  <c:v>0</c:v>
                </c:pt>
                <c:pt idx="49">
                  <c:v>73792</c:v>
                </c:pt>
                <c:pt idx="50">
                  <c:v>0</c:v>
                </c:pt>
                <c:pt idx="51">
                  <c:v>0</c:v>
                </c:pt>
                <c:pt idx="52">
                  <c:v>76009</c:v>
                </c:pt>
                <c:pt idx="53">
                  <c:v>0</c:v>
                </c:pt>
                <c:pt idx="54">
                  <c:v>0</c:v>
                </c:pt>
                <c:pt idx="55">
                  <c:v>71498</c:v>
                </c:pt>
                <c:pt idx="56">
                  <c:v>0</c:v>
                </c:pt>
                <c:pt idx="57">
                  <c:v>73777</c:v>
                </c:pt>
                <c:pt idx="58">
                  <c:v>0</c:v>
                </c:pt>
                <c:pt idx="59">
                  <c:v>0</c:v>
                </c:pt>
                <c:pt idx="60">
                  <c:v>75330</c:v>
                </c:pt>
                <c:pt idx="61">
                  <c:v>0</c:v>
                </c:pt>
                <c:pt idx="62">
                  <c:v>70629</c:v>
                </c:pt>
                <c:pt idx="63">
                  <c:v>0</c:v>
                </c:pt>
                <c:pt idx="64">
                  <c:v>0</c:v>
                </c:pt>
                <c:pt idx="65">
                  <c:v>72083</c:v>
                </c:pt>
                <c:pt idx="66">
                  <c:v>0</c:v>
                </c:pt>
                <c:pt idx="67">
                  <c:v>86487</c:v>
                </c:pt>
                <c:pt idx="68">
                  <c:v>0</c:v>
                </c:pt>
                <c:pt idx="69">
                  <c:v>0</c:v>
                </c:pt>
                <c:pt idx="70">
                  <c:v>82358</c:v>
                </c:pt>
                <c:pt idx="71">
                  <c:v>0</c:v>
                </c:pt>
                <c:pt idx="72">
                  <c:v>0</c:v>
                </c:pt>
                <c:pt idx="73">
                  <c:v>85737</c:v>
                </c:pt>
                <c:pt idx="74">
                  <c:v>0</c:v>
                </c:pt>
                <c:pt idx="75">
                  <c:v>79159</c:v>
                </c:pt>
                <c:pt idx="76">
                  <c:v>0</c:v>
                </c:pt>
                <c:pt idx="77">
                  <c:v>0</c:v>
                </c:pt>
                <c:pt idx="78">
                  <c:v>73717</c:v>
                </c:pt>
                <c:pt idx="79">
                  <c:v>0</c:v>
                </c:pt>
                <c:pt idx="80">
                  <c:v>63418</c:v>
                </c:pt>
                <c:pt idx="81">
                  <c:v>0</c:v>
                </c:pt>
                <c:pt idx="82">
                  <c:v>0</c:v>
                </c:pt>
                <c:pt idx="83">
                  <c:v>69369</c:v>
                </c:pt>
                <c:pt idx="84">
                  <c:v>0</c:v>
                </c:pt>
                <c:pt idx="85">
                  <c:v>0</c:v>
                </c:pt>
                <c:pt idx="86">
                  <c:v>58697</c:v>
                </c:pt>
                <c:pt idx="87">
                  <c:v>0</c:v>
                </c:pt>
                <c:pt idx="88">
                  <c:v>51647</c:v>
                </c:pt>
                <c:pt idx="89">
                  <c:v>0</c:v>
                </c:pt>
                <c:pt idx="90">
                  <c:v>0</c:v>
                </c:pt>
                <c:pt idx="91">
                  <c:v>48418</c:v>
                </c:pt>
                <c:pt idx="92">
                  <c:v>0</c:v>
                </c:pt>
                <c:pt idx="93">
                  <c:v>45268</c:v>
                </c:pt>
                <c:pt idx="94">
                  <c:v>0</c:v>
                </c:pt>
                <c:pt idx="95">
                  <c:v>0</c:v>
                </c:pt>
                <c:pt idx="96">
                  <c:v>43355</c:v>
                </c:pt>
                <c:pt idx="97">
                  <c:v>0</c:v>
                </c:pt>
                <c:pt idx="98">
                  <c:v>39486</c:v>
                </c:pt>
                <c:pt idx="99">
                  <c:v>0</c:v>
                </c:pt>
                <c:pt idx="100">
                  <c:v>0</c:v>
                </c:pt>
                <c:pt idx="101">
                  <c:v>33937</c:v>
                </c:pt>
                <c:pt idx="102">
                  <c:v>0</c:v>
                </c:pt>
                <c:pt idx="103">
                  <c:v>0</c:v>
                </c:pt>
                <c:pt idx="104">
                  <c:v>31968</c:v>
                </c:pt>
                <c:pt idx="105">
                  <c:v>0</c:v>
                </c:pt>
                <c:pt idx="106">
                  <c:v>32723</c:v>
                </c:pt>
                <c:pt idx="107">
                  <c:v>0</c:v>
                </c:pt>
                <c:pt idx="108">
                  <c:v>0</c:v>
                </c:pt>
                <c:pt idx="109">
                  <c:v>25934</c:v>
                </c:pt>
                <c:pt idx="110">
                  <c:v>0</c:v>
                </c:pt>
                <c:pt idx="111">
                  <c:v>24700</c:v>
                </c:pt>
                <c:pt idx="112">
                  <c:v>0</c:v>
                </c:pt>
                <c:pt idx="113">
                  <c:v>0</c:v>
                </c:pt>
                <c:pt idx="114">
                  <c:v>28148</c:v>
                </c:pt>
                <c:pt idx="115">
                  <c:v>0</c:v>
                </c:pt>
                <c:pt idx="116">
                  <c:v>20894</c:v>
                </c:pt>
                <c:pt idx="117">
                  <c:v>0</c:v>
                </c:pt>
                <c:pt idx="118">
                  <c:v>0</c:v>
                </c:pt>
                <c:pt idx="119">
                  <c:v>21207</c:v>
                </c:pt>
                <c:pt idx="120">
                  <c:v>0</c:v>
                </c:pt>
                <c:pt idx="121">
                  <c:v>0</c:v>
                </c:pt>
                <c:pt idx="122">
                  <c:v>18016</c:v>
                </c:pt>
                <c:pt idx="123">
                  <c:v>0</c:v>
                </c:pt>
                <c:pt idx="124">
                  <c:v>16471</c:v>
                </c:pt>
                <c:pt idx="125">
                  <c:v>0</c:v>
                </c:pt>
                <c:pt idx="126">
                  <c:v>0</c:v>
                </c:pt>
                <c:pt idx="127">
                  <c:v>14166</c:v>
                </c:pt>
                <c:pt idx="128">
                  <c:v>0</c:v>
                </c:pt>
                <c:pt idx="129">
                  <c:v>14016</c:v>
                </c:pt>
                <c:pt idx="130">
                  <c:v>0</c:v>
                </c:pt>
                <c:pt idx="131">
                  <c:v>0</c:v>
                </c:pt>
                <c:pt idx="132">
                  <c:v>11700</c:v>
                </c:pt>
                <c:pt idx="133">
                  <c:v>0</c:v>
                </c:pt>
                <c:pt idx="134">
                  <c:v>9494</c:v>
                </c:pt>
                <c:pt idx="135">
                  <c:v>0</c:v>
                </c:pt>
                <c:pt idx="136">
                  <c:v>0</c:v>
                </c:pt>
                <c:pt idx="137">
                  <c:v>7423</c:v>
                </c:pt>
                <c:pt idx="138">
                  <c:v>0</c:v>
                </c:pt>
                <c:pt idx="139">
                  <c:v>0</c:v>
                </c:pt>
                <c:pt idx="140">
                  <c:v>7865</c:v>
                </c:pt>
                <c:pt idx="141">
                  <c:v>0</c:v>
                </c:pt>
                <c:pt idx="142">
                  <c:v>9413</c:v>
                </c:pt>
                <c:pt idx="143">
                  <c:v>0</c:v>
                </c:pt>
                <c:pt idx="144">
                  <c:v>0</c:v>
                </c:pt>
                <c:pt idx="145">
                  <c:v>9437</c:v>
                </c:pt>
                <c:pt idx="146">
                  <c:v>0</c:v>
                </c:pt>
                <c:pt idx="147">
                  <c:v>8435</c:v>
                </c:pt>
                <c:pt idx="148">
                  <c:v>0</c:v>
                </c:pt>
                <c:pt idx="149">
                  <c:v>0</c:v>
                </c:pt>
                <c:pt idx="150">
                  <c:v>5899</c:v>
                </c:pt>
                <c:pt idx="151">
                  <c:v>0</c:v>
                </c:pt>
                <c:pt idx="152">
                  <c:v>3346</c:v>
                </c:pt>
                <c:pt idx="153">
                  <c:v>0</c:v>
                </c:pt>
                <c:pt idx="154">
                  <c:v>0</c:v>
                </c:pt>
                <c:pt idx="155">
                  <c:v>3177</c:v>
                </c:pt>
                <c:pt idx="156">
                  <c:v>0</c:v>
                </c:pt>
                <c:pt idx="157">
                  <c:v>0</c:v>
                </c:pt>
                <c:pt idx="158">
                  <c:v>2656</c:v>
                </c:pt>
                <c:pt idx="159">
                  <c:v>0</c:v>
                </c:pt>
                <c:pt idx="160">
                  <c:v>1778</c:v>
                </c:pt>
                <c:pt idx="161">
                  <c:v>0</c:v>
                </c:pt>
                <c:pt idx="162">
                  <c:v>0</c:v>
                </c:pt>
                <c:pt idx="163">
                  <c:v>1263</c:v>
                </c:pt>
                <c:pt idx="164">
                  <c:v>0</c:v>
                </c:pt>
                <c:pt idx="165">
                  <c:v>738</c:v>
                </c:pt>
                <c:pt idx="166">
                  <c:v>0</c:v>
                </c:pt>
                <c:pt idx="167">
                  <c:v>0</c:v>
                </c:pt>
                <c:pt idx="168">
                  <c:v>454</c:v>
                </c:pt>
                <c:pt idx="169">
                  <c:v>0</c:v>
                </c:pt>
                <c:pt idx="170">
                  <c:v>0</c:v>
                </c:pt>
                <c:pt idx="171">
                  <c:v>376</c:v>
                </c:pt>
                <c:pt idx="172">
                  <c:v>0</c:v>
                </c:pt>
                <c:pt idx="173">
                  <c:v>561</c:v>
                </c:pt>
                <c:pt idx="174">
                  <c:v>0</c:v>
                </c:pt>
                <c:pt idx="175">
                  <c:v>0</c:v>
                </c:pt>
                <c:pt idx="176">
                  <c:v>94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1085</c:v>
                </c:pt>
                <c:pt idx="7">
                  <c:v>0</c:v>
                </c:pt>
                <c:pt idx="8">
                  <c:v>1490</c:v>
                </c:pt>
                <c:pt idx="9">
                  <c:v>0</c:v>
                </c:pt>
                <c:pt idx="10">
                  <c:v>0</c:v>
                </c:pt>
                <c:pt idx="11">
                  <c:v>3186</c:v>
                </c:pt>
                <c:pt idx="12">
                  <c:v>0</c:v>
                </c:pt>
                <c:pt idx="13">
                  <c:v>3122</c:v>
                </c:pt>
                <c:pt idx="14">
                  <c:v>0</c:v>
                </c:pt>
                <c:pt idx="15">
                  <c:v>0</c:v>
                </c:pt>
                <c:pt idx="16">
                  <c:v>4594</c:v>
                </c:pt>
                <c:pt idx="17">
                  <c:v>0</c:v>
                </c:pt>
                <c:pt idx="18">
                  <c:v>0</c:v>
                </c:pt>
                <c:pt idx="19">
                  <c:v>8171</c:v>
                </c:pt>
                <c:pt idx="20">
                  <c:v>0</c:v>
                </c:pt>
                <c:pt idx="21">
                  <c:v>11987</c:v>
                </c:pt>
                <c:pt idx="22">
                  <c:v>0</c:v>
                </c:pt>
                <c:pt idx="23">
                  <c:v>0</c:v>
                </c:pt>
                <c:pt idx="24">
                  <c:v>12361</c:v>
                </c:pt>
                <c:pt idx="25">
                  <c:v>0</c:v>
                </c:pt>
                <c:pt idx="26">
                  <c:v>17035</c:v>
                </c:pt>
                <c:pt idx="27">
                  <c:v>0</c:v>
                </c:pt>
                <c:pt idx="28">
                  <c:v>0</c:v>
                </c:pt>
                <c:pt idx="29">
                  <c:v>25562</c:v>
                </c:pt>
                <c:pt idx="30">
                  <c:v>0</c:v>
                </c:pt>
                <c:pt idx="31">
                  <c:v>30392</c:v>
                </c:pt>
                <c:pt idx="32">
                  <c:v>0</c:v>
                </c:pt>
                <c:pt idx="33">
                  <c:v>0</c:v>
                </c:pt>
                <c:pt idx="34">
                  <c:v>39601</c:v>
                </c:pt>
                <c:pt idx="35">
                  <c:v>0</c:v>
                </c:pt>
                <c:pt idx="36">
                  <c:v>0</c:v>
                </c:pt>
                <c:pt idx="37">
                  <c:v>42800</c:v>
                </c:pt>
                <c:pt idx="38">
                  <c:v>0</c:v>
                </c:pt>
                <c:pt idx="39">
                  <c:v>46291</c:v>
                </c:pt>
                <c:pt idx="40">
                  <c:v>0</c:v>
                </c:pt>
                <c:pt idx="41">
                  <c:v>0</c:v>
                </c:pt>
                <c:pt idx="42">
                  <c:v>47759</c:v>
                </c:pt>
                <c:pt idx="43">
                  <c:v>0</c:v>
                </c:pt>
                <c:pt idx="44">
                  <c:v>51572</c:v>
                </c:pt>
                <c:pt idx="45">
                  <c:v>0</c:v>
                </c:pt>
                <c:pt idx="46">
                  <c:v>0</c:v>
                </c:pt>
                <c:pt idx="47">
                  <c:v>52908</c:v>
                </c:pt>
                <c:pt idx="48">
                  <c:v>0</c:v>
                </c:pt>
                <c:pt idx="49">
                  <c:v>56922</c:v>
                </c:pt>
                <c:pt idx="50">
                  <c:v>0</c:v>
                </c:pt>
                <c:pt idx="51">
                  <c:v>0</c:v>
                </c:pt>
                <c:pt idx="52">
                  <c:v>57120</c:v>
                </c:pt>
                <c:pt idx="53">
                  <c:v>0</c:v>
                </c:pt>
                <c:pt idx="54">
                  <c:v>0</c:v>
                </c:pt>
                <c:pt idx="55">
                  <c:v>60696</c:v>
                </c:pt>
                <c:pt idx="56">
                  <c:v>0</c:v>
                </c:pt>
                <c:pt idx="57">
                  <c:v>58151</c:v>
                </c:pt>
                <c:pt idx="58">
                  <c:v>0</c:v>
                </c:pt>
                <c:pt idx="59">
                  <c:v>0</c:v>
                </c:pt>
                <c:pt idx="60">
                  <c:v>52704</c:v>
                </c:pt>
                <c:pt idx="61">
                  <c:v>0</c:v>
                </c:pt>
                <c:pt idx="62">
                  <c:v>55065</c:v>
                </c:pt>
                <c:pt idx="63">
                  <c:v>0</c:v>
                </c:pt>
                <c:pt idx="64">
                  <c:v>0</c:v>
                </c:pt>
                <c:pt idx="65">
                  <c:v>53705</c:v>
                </c:pt>
                <c:pt idx="66">
                  <c:v>0</c:v>
                </c:pt>
                <c:pt idx="67">
                  <c:v>52119</c:v>
                </c:pt>
                <c:pt idx="68">
                  <c:v>0</c:v>
                </c:pt>
                <c:pt idx="69">
                  <c:v>0</c:v>
                </c:pt>
                <c:pt idx="70">
                  <c:v>47523</c:v>
                </c:pt>
                <c:pt idx="71">
                  <c:v>0</c:v>
                </c:pt>
                <c:pt idx="72">
                  <c:v>0</c:v>
                </c:pt>
                <c:pt idx="73">
                  <c:v>47325</c:v>
                </c:pt>
                <c:pt idx="74">
                  <c:v>0</c:v>
                </c:pt>
                <c:pt idx="75">
                  <c:v>50825</c:v>
                </c:pt>
                <c:pt idx="76">
                  <c:v>0</c:v>
                </c:pt>
                <c:pt idx="77">
                  <c:v>0</c:v>
                </c:pt>
                <c:pt idx="78">
                  <c:v>52431</c:v>
                </c:pt>
                <c:pt idx="79">
                  <c:v>0</c:v>
                </c:pt>
                <c:pt idx="80">
                  <c:v>59061</c:v>
                </c:pt>
                <c:pt idx="81">
                  <c:v>0</c:v>
                </c:pt>
                <c:pt idx="82">
                  <c:v>0</c:v>
                </c:pt>
                <c:pt idx="83">
                  <c:v>60718</c:v>
                </c:pt>
                <c:pt idx="84">
                  <c:v>0</c:v>
                </c:pt>
                <c:pt idx="85">
                  <c:v>0</c:v>
                </c:pt>
                <c:pt idx="86">
                  <c:v>65677</c:v>
                </c:pt>
                <c:pt idx="87">
                  <c:v>0</c:v>
                </c:pt>
                <c:pt idx="88">
                  <c:v>67026</c:v>
                </c:pt>
                <c:pt idx="89">
                  <c:v>0</c:v>
                </c:pt>
                <c:pt idx="90">
                  <c:v>0</c:v>
                </c:pt>
                <c:pt idx="91">
                  <c:v>78680</c:v>
                </c:pt>
                <c:pt idx="92">
                  <c:v>0</c:v>
                </c:pt>
                <c:pt idx="93">
                  <c:v>78993</c:v>
                </c:pt>
                <c:pt idx="94">
                  <c:v>0</c:v>
                </c:pt>
                <c:pt idx="95">
                  <c:v>0</c:v>
                </c:pt>
                <c:pt idx="96">
                  <c:v>82413</c:v>
                </c:pt>
                <c:pt idx="97">
                  <c:v>0</c:v>
                </c:pt>
                <c:pt idx="98">
                  <c:v>80514</c:v>
                </c:pt>
                <c:pt idx="99">
                  <c:v>0</c:v>
                </c:pt>
                <c:pt idx="100">
                  <c:v>0</c:v>
                </c:pt>
                <c:pt idx="101">
                  <c:v>78637</c:v>
                </c:pt>
                <c:pt idx="102">
                  <c:v>0</c:v>
                </c:pt>
                <c:pt idx="103">
                  <c:v>0</c:v>
                </c:pt>
                <c:pt idx="104">
                  <c:v>74729</c:v>
                </c:pt>
                <c:pt idx="105">
                  <c:v>0</c:v>
                </c:pt>
                <c:pt idx="106">
                  <c:v>75248</c:v>
                </c:pt>
                <c:pt idx="107">
                  <c:v>0</c:v>
                </c:pt>
                <c:pt idx="108">
                  <c:v>0</c:v>
                </c:pt>
                <c:pt idx="109">
                  <c:v>71767</c:v>
                </c:pt>
                <c:pt idx="110">
                  <c:v>0</c:v>
                </c:pt>
                <c:pt idx="111">
                  <c:v>63731</c:v>
                </c:pt>
                <c:pt idx="112">
                  <c:v>0</c:v>
                </c:pt>
                <c:pt idx="113">
                  <c:v>0</c:v>
                </c:pt>
                <c:pt idx="114">
                  <c:v>59753</c:v>
                </c:pt>
                <c:pt idx="115">
                  <c:v>0</c:v>
                </c:pt>
                <c:pt idx="116">
                  <c:v>56537</c:v>
                </c:pt>
                <c:pt idx="117">
                  <c:v>0</c:v>
                </c:pt>
                <c:pt idx="118">
                  <c:v>0</c:v>
                </c:pt>
                <c:pt idx="119">
                  <c:v>52027</c:v>
                </c:pt>
                <c:pt idx="120">
                  <c:v>0</c:v>
                </c:pt>
                <c:pt idx="121">
                  <c:v>0</c:v>
                </c:pt>
                <c:pt idx="122">
                  <c:v>46539</c:v>
                </c:pt>
                <c:pt idx="123">
                  <c:v>0</c:v>
                </c:pt>
                <c:pt idx="124">
                  <c:v>42190</c:v>
                </c:pt>
                <c:pt idx="125">
                  <c:v>0</c:v>
                </c:pt>
                <c:pt idx="126">
                  <c:v>0</c:v>
                </c:pt>
                <c:pt idx="127">
                  <c:v>43618</c:v>
                </c:pt>
                <c:pt idx="128">
                  <c:v>0</c:v>
                </c:pt>
                <c:pt idx="129">
                  <c:v>45227</c:v>
                </c:pt>
                <c:pt idx="130">
                  <c:v>0</c:v>
                </c:pt>
                <c:pt idx="131">
                  <c:v>0</c:v>
                </c:pt>
                <c:pt idx="132">
                  <c:v>47037</c:v>
                </c:pt>
                <c:pt idx="133">
                  <c:v>0</c:v>
                </c:pt>
                <c:pt idx="134">
                  <c:v>47318</c:v>
                </c:pt>
                <c:pt idx="135">
                  <c:v>0</c:v>
                </c:pt>
                <c:pt idx="136">
                  <c:v>0</c:v>
                </c:pt>
                <c:pt idx="137">
                  <c:v>51225</c:v>
                </c:pt>
                <c:pt idx="138">
                  <c:v>0</c:v>
                </c:pt>
                <c:pt idx="139">
                  <c:v>0</c:v>
                </c:pt>
                <c:pt idx="140">
                  <c:v>47416</c:v>
                </c:pt>
                <c:pt idx="141">
                  <c:v>0</c:v>
                </c:pt>
                <c:pt idx="142">
                  <c:v>43359</c:v>
                </c:pt>
                <c:pt idx="143">
                  <c:v>0</c:v>
                </c:pt>
                <c:pt idx="144">
                  <c:v>0</c:v>
                </c:pt>
                <c:pt idx="145">
                  <c:v>38217</c:v>
                </c:pt>
                <c:pt idx="146">
                  <c:v>0</c:v>
                </c:pt>
                <c:pt idx="147">
                  <c:v>44140</c:v>
                </c:pt>
                <c:pt idx="148">
                  <c:v>0</c:v>
                </c:pt>
                <c:pt idx="149">
                  <c:v>0</c:v>
                </c:pt>
                <c:pt idx="150">
                  <c:v>40274</c:v>
                </c:pt>
                <c:pt idx="151">
                  <c:v>0</c:v>
                </c:pt>
                <c:pt idx="152">
                  <c:v>29915</c:v>
                </c:pt>
                <c:pt idx="153">
                  <c:v>0</c:v>
                </c:pt>
                <c:pt idx="154">
                  <c:v>0</c:v>
                </c:pt>
                <c:pt idx="155">
                  <c:v>21053</c:v>
                </c:pt>
                <c:pt idx="156">
                  <c:v>0</c:v>
                </c:pt>
                <c:pt idx="157">
                  <c:v>0</c:v>
                </c:pt>
                <c:pt idx="158">
                  <c:v>17779</c:v>
                </c:pt>
                <c:pt idx="159">
                  <c:v>0</c:v>
                </c:pt>
                <c:pt idx="160">
                  <c:v>11366</c:v>
                </c:pt>
                <c:pt idx="161">
                  <c:v>0</c:v>
                </c:pt>
                <c:pt idx="162">
                  <c:v>0</c:v>
                </c:pt>
                <c:pt idx="163">
                  <c:v>7606</c:v>
                </c:pt>
                <c:pt idx="164">
                  <c:v>0</c:v>
                </c:pt>
                <c:pt idx="165">
                  <c:v>5962</c:v>
                </c:pt>
                <c:pt idx="166">
                  <c:v>0</c:v>
                </c:pt>
                <c:pt idx="167">
                  <c:v>0</c:v>
                </c:pt>
                <c:pt idx="168">
                  <c:v>5292</c:v>
                </c:pt>
                <c:pt idx="169">
                  <c:v>0</c:v>
                </c:pt>
                <c:pt idx="170">
                  <c:v>0</c:v>
                </c:pt>
                <c:pt idx="171">
                  <c:v>3859</c:v>
                </c:pt>
                <c:pt idx="172">
                  <c:v>0</c:v>
                </c:pt>
                <c:pt idx="173">
                  <c:v>4075</c:v>
                </c:pt>
                <c:pt idx="174">
                  <c:v>0</c:v>
                </c:pt>
                <c:pt idx="175">
                  <c:v>0</c:v>
                </c:pt>
                <c:pt idx="176">
                  <c:v>3400</c:v>
                </c:pt>
                <c:pt idx="177">
                  <c:v>0</c:v>
                </c:pt>
                <c:pt idx="178">
                  <c:v>2321</c:v>
                </c:pt>
                <c:pt idx="179">
                  <c:v>0</c:v>
                </c:pt>
                <c:pt idx="180">
                  <c:v>0</c:v>
                </c:pt>
                <c:pt idx="181">
                  <c:v>652</c:v>
                </c:pt>
                <c:pt idx="182">
                  <c:v>0</c:v>
                </c:pt>
                <c:pt idx="183">
                  <c:v>267</c:v>
                </c:pt>
                <c:pt idx="184">
                  <c:v>0</c:v>
                </c:pt>
                <c:pt idx="185">
                  <c:v>0</c:v>
                </c:pt>
                <c:pt idx="186">
                  <c:v>272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0.14349455097691421</c:v>
                </c:pt>
                <c:pt idx="1">
                  <c:v>0.36348968336323961</c:v>
                </c:pt>
                <c:pt idx="2">
                  <c:v>0.49301576565984617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0.44104054422245276</c:v>
                </c:pt>
                <c:pt idx="1">
                  <c:v>0.29628387583158977</c:v>
                </c:pt>
                <c:pt idx="2">
                  <c:v>0.26267557994595747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6.0928725000000004</c:v>
                </c:pt>
                <c:pt idx="1">
                  <c:v>8.8053625000000011</c:v>
                </c:pt>
                <c:pt idx="2">
                  <c:v>31.067700000000002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  <c:pt idx="74">
                  <c:v>30.062899999999999</c:v>
                </c:pt>
                <c:pt idx="75">
                  <c:v>30.514600000000002</c:v>
                </c:pt>
                <c:pt idx="76">
                  <c:v>30.919799999999999</c:v>
                </c:pt>
                <c:pt idx="77">
                  <c:v>31.324999999999999</c:v>
                </c:pt>
                <c:pt idx="78">
                  <c:v>31.733000000000001</c:v>
                </c:pt>
                <c:pt idx="79">
                  <c:v>32.140300000000003</c:v>
                </c:pt>
                <c:pt idx="80">
                  <c:v>32.545499999999997</c:v>
                </c:pt>
                <c:pt idx="81">
                  <c:v>32.950600000000001</c:v>
                </c:pt>
                <c:pt idx="82">
                  <c:v>33.354999999999997</c:v>
                </c:pt>
                <c:pt idx="83">
                  <c:v>33.763800000000003</c:v>
                </c:pt>
                <c:pt idx="84">
                  <c:v>34.170299999999997</c:v>
                </c:pt>
                <c:pt idx="85">
                  <c:v>34.5777</c:v>
                </c:pt>
                <c:pt idx="86">
                  <c:v>34.979900000000001</c:v>
                </c:pt>
                <c:pt idx="87">
                  <c:v>35.3874</c:v>
                </c:pt>
                <c:pt idx="88">
                  <c:v>35.793500000000002</c:v>
                </c:pt>
                <c:pt idx="89">
                  <c:v>36.200099999999999</c:v>
                </c:pt>
                <c:pt idx="90">
                  <c:v>36.608400000000003</c:v>
                </c:pt>
                <c:pt idx="91">
                  <c:v>37.012599999999999</c:v>
                </c:pt>
                <c:pt idx="92">
                  <c:v>37.4193</c:v>
                </c:pt>
                <c:pt idx="93">
                  <c:v>37.826500000000003</c:v>
                </c:pt>
                <c:pt idx="94">
                  <c:v>38.2333</c:v>
                </c:pt>
                <c:pt idx="95">
                  <c:v>38.639899999999997</c:v>
                </c:pt>
                <c:pt idx="96">
                  <c:v>39.0473</c:v>
                </c:pt>
                <c:pt idx="97">
                  <c:v>39.450899999999997</c:v>
                </c:pt>
                <c:pt idx="98">
                  <c:v>39.855400000000003</c:v>
                </c:pt>
                <c:pt idx="99">
                  <c:v>40.262700000000002</c:v>
                </c:pt>
                <c:pt idx="100">
                  <c:v>40.671300000000002</c:v>
                </c:pt>
                <c:pt idx="101">
                  <c:v>41.077500000000001</c:v>
                </c:pt>
                <c:pt idx="102">
                  <c:v>41.479799999999997</c:v>
                </c:pt>
                <c:pt idx="103">
                  <c:v>41.886499999999998</c:v>
                </c:pt>
                <c:pt idx="104">
                  <c:v>42.294800000000002</c:v>
                </c:pt>
                <c:pt idx="105">
                  <c:v>42.703499999999998</c:v>
                </c:pt>
                <c:pt idx="106">
                  <c:v>43.110599999999998</c:v>
                </c:pt>
                <c:pt idx="107">
                  <c:v>43.5124</c:v>
                </c:pt>
                <c:pt idx="108">
                  <c:v>43.9163</c:v>
                </c:pt>
                <c:pt idx="109">
                  <c:v>44.325299999999999</c:v>
                </c:pt>
                <c:pt idx="110">
                  <c:v>44.732900000000001</c:v>
                </c:pt>
                <c:pt idx="111">
                  <c:v>45.139600000000002</c:v>
                </c:pt>
                <c:pt idx="112">
                  <c:v>45.543500000000002</c:v>
                </c:pt>
                <c:pt idx="113">
                  <c:v>45.949199999999998</c:v>
                </c:pt>
                <c:pt idx="114">
                  <c:v>46.3568</c:v>
                </c:pt>
                <c:pt idx="115">
                  <c:v>46.765599999999999</c:v>
                </c:pt>
                <c:pt idx="116">
                  <c:v>47.168900000000001</c:v>
                </c:pt>
                <c:pt idx="117">
                  <c:v>47.574399999999997</c:v>
                </c:pt>
                <c:pt idx="118">
                  <c:v>47.981900000000003</c:v>
                </c:pt>
                <c:pt idx="119">
                  <c:v>48.387900000000002</c:v>
                </c:pt>
                <c:pt idx="120">
                  <c:v>48.798099999999998</c:v>
                </c:pt>
                <c:pt idx="121">
                  <c:v>49.2012</c:v>
                </c:pt>
                <c:pt idx="122">
                  <c:v>49.604999999999997</c:v>
                </c:pt>
                <c:pt idx="123">
                  <c:v>50.012999999999998</c:v>
                </c:pt>
                <c:pt idx="124">
                  <c:v>50.421999999999997</c:v>
                </c:pt>
                <c:pt idx="125">
                  <c:v>50.825699999999998</c:v>
                </c:pt>
                <c:pt idx="126">
                  <c:v>51.234499999999997</c:v>
                </c:pt>
                <c:pt idx="127">
                  <c:v>51.637700000000002</c:v>
                </c:pt>
                <c:pt idx="128">
                  <c:v>52.043500000000002</c:v>
                </c:pt>
                <c:pt idx="129">
                  <c:v>52.448900000000002</c:v>
                </c:pt>
                <c:pt idx="130">
                  <c:v>52.860500000000002</c:v>
                </c:pt>
                <c:pt idx="131">
                  <c:v>53.262799999999999</c:v>
                </c:pt>
                <c:pt idx="132">
                  <c:v>53.669199999999996</c:v>
                </c:pt>
                <c:pt idx="133">
                  <c:v>54.074399999999997</c:v>
                </c:pt>
                <c:pt idx="134">
                  <c:v>54.483499999999999</c:v>
                </c:pt>
                <c:pt idx="135">
                  <c:v>54.885800000000003</c:v>
                </c:pt>
                <c:pt idx="136">
                  <c:v>55.294199999999996</c:v>
                </c:pt>
                <c:pt idx="137">
                  <c:v>55.7012</c:v>
                </c:pt>
                <c:pt idx="138">
                  <c:v>56.112200000000001</c:v>
                </c:pt>
                <c:pt idx="139">
                  <c:v>56.515000000000001</c:v>
                </c:pt>
                <c:pt idx="140">
                  <c:v>56.918799999999997</c:v>
                </c:pt>
                <c:pt idx="141">
                  <c:v>57.3277</c:v>
                </c:pt>
                <c:pt idx="142">
                  <c:v>57.731999999999999</c:v>
                </c:pt>
                <c:pt idx="143">
                  <c:v>58.140300000000003</c:v>
                </c:pt>
                <c:pt idx="144">
                  <c:v>58.548200000000001</c:v>
                </c:pt>
                <c:pt idx="145">
                  <c:v>58.950499999999998</c:v>
                </c:pt>
                <c:pt idx="146">
                  <c:v>59.356299999999997</c:v>
                </c:pt>
                <c:pt idx="147">
                  <c:v>59.7639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  <c:pt idx="74">
                  <c:v>3.4255799999999996</c:v>
                </c:pt>
                <c:pt idx="75">
                  <c:v>3.41364</c:v>
                </c:pt>
                <c:pt idx="76">
                  <c:v>3.4043600000000001</c:v>
                </c:pt>
                <c:pt idx="77">
                  <c:v>3.3911200000000004</c:v>
                </c:pt>
                <c:pt idx="78">
                  <c:v>3.3744899999999998</c:v>
                </c:pt>
                <c:pt idx="79">
                  <c:v>3.35364</c:v>
                </c:pt>
                <c:pt idx="80">
                  <c:v>3.3311000000000002</c:v>
                </c:pt>
                <c:pt idx="81">
                  <c:v>3.3089900000000001</c:v>
                </c:pt>
                <c:pt idx="82">
                  <c:v>3.2879100000000001</c:v>
                </c:pt>
                <c:pt idx="83">
                  <c:v>3.2698100000000001</c:v>
                </c:pt>
                <c:pt idx="84">
                  <c:v>3.25556</c:v>
                </c:pt>
                <c:pt idx="85">
                  <c:v>3.2436100000000003</c:v>
                </c:pt>
                <c:pt idx="86">
                  <c:v>3.2322499999999996</c:v>
                </c:pt>
                <c:pt idx="87">
                  <c:v>3.2267700000000001</c:v>
                </c:pt>
                <c:pt idx="88">
                  <c:v>3.2260100000000005</c:v>
                </c:pt>
                <c:pt idx="89">
                  <c:v>3.2268799999999995</c:v>
                </c:pt>
                <c:pt idx="90">
                  <c:v>3.2280599999999997</c:v>
                </c:pt>
                <c:pt idx="91">
                  <c:v>3.2276500000000001</c:v>
                </c:pt>
                <c:pt idx="92">
                  <c:v>3.2282300000000004</c:v>
                </c:pt>
                <c:pt idx="93">
                  <c:v>3.2315100000000001</c:v>
                </c:pt>
                <c:pt idx="94">
                  <c:v>3.23733</c:v>
                </c:pt>
                <c:pt idx="95">
                  <c:v>3.2457099999999999</c:v>
                </c:pt>
                <c:pt idx="96">
                  <c:v>3.2581199999999999</c:v>
                </c:pt>
                <c:pt idx="97">
                  <c:v>3.2718399999999996</c:v>
                </c:pt>
                <c:pt idx="98">
                  <c:v>3.2867099999999998</c:v>
                </c:pt>
                <c:pt idx="99">
                  <c:v>3.30382</c:v>
                </c:pt>
                <c:pt idx="100">
                  <c:v>3.3247800000000001</c:v>
                </c:pt>
                <c:pt idx="101">
                  <c:v>3.3467400000000005</c:v>
                </c:pt>
                <c:pt idx="102">
                  <c:v>3.37575</c:v>
                </c:pt>
                <c:pt idx="103">
                  <c:v>3.4082400000000002</c:v>
                </c:pt>
                <c:pt idx="104">
                  <c:v>3.4432</c:v>
                </c:pt>
                <c:pt idx="105">
                  <c:v>3.4772799999999999</c:v>
                </c:pt>
                <c:pt idx="106">
                  <c:v>3.5133199999999998</c:v>
                </c:pt>
                <c:pt idx="107">
                  <c:v>3.5498500000000002</c:v>
                </c:pt>
                <c:pt idx="108">
                  <c:v>3.5879100000000004</c:v>
                </c:pt>
                <c:pt idx="109">
                  <c:v>3.6258699999999999</c:v>
                </c:pt>
                <c:pt idx="110">
                  <c:v>3.6649500000000002</c:v>
                </c:pt>
                <c:pt idx="111">
                  <c:v>3.7000999999999999</c:v>
                </c:pt>
                <c:pt idx="112">
                  <c:v>3.7321300000000002</c:v>
                </c:pt>
                <c:pt idx="113">
                  <c:v>3.7624999999999997</c:v>
                </c:pt>
                <c:pt idx="114">
                  <c:v>3.79312</c:v>
                </c:pt>
                <c:pt idx="115">
                  <c:v>3.8189000000000002</c:v>
                </c:pt>
                <c:pt idx="116">
                  <c:v>3.8422000000000001</c:v>
                </c:pt>
                <c:pt idx="117">
                  <c:v>3.86558</c:v>
                </c:pt>
                <c:pt idx="118">
                  <c:v>3.8909599999999998</c:v>
                </c:pt>
                <c:pt idx="119">
                  <c:v>3.9114599999999999</c:v>
                </c:pt>
                <c:pt idx="120">
                  <c:v>3.92909</c:v>
                </c:pt>
                <c:pt idx="121">
                  <c:v>3.94435</c:v>
                </c:pt>
                <c:pt idx="122">
                  <c:v>3.9572800000000004</c:v>
                </c:pt>
                <c:pt idx="123">
                  <c:v>3.96889</c:v>
                </c:pt>
                <c:pt idx="124">
                  <c:v>3.9809000000000001</c:v>
                </c:pt>
                <c:pt idx="125">
                  <c:v>3.99092</c:v>
                </c:pt>
                <c:pt idx="126">
                  <c:v>4.0008499999999998</c:v>
                </c:pt>
                <c:pt idx="127">
                  <c:v>4.00746</c:v>
                </c:pt>
                <c:pt idx="128">
                  <c:v>4.0127000000000006</c:v>
                </c:pt>
                <c:pt idx="129">
                  <c:v>4.0171400000000004</c:v>
                </c:pt>
                <c:pt idx="130">
                  <c:v>4.02386</c:v>
                </c:pt>
                <c:pt idx="131">
                  <c:v>4.0285000000000002</c:v>
                </c:pt>
                <c:pt idx="132">
                  <c:v>4.0326500000000003</c:v>
                </c:pt>
                <c:pt idx="133">
                  <c:v>4.0343800000000005</c:v>
                </c:pt>
                <c:pt idx="134">
                  <c:v>4.0319899999999995</c:v>
                </c:pt>
                <c:pt idx="135">
                  <c:v>4.0244999999999997</c:v>
                </c:pt>
                <c:pt idx="136">
                  <c:v>4.0214400000000001</c:v>
                </c:pt>
                <c:pt idx="137">
                  <c:v>4.0162300000000002</c:v>
                </c:pt>
                <c:pt idx="138">
                  <c:v>4.00901</c:v>
                </c:pt>
                <c:pt idx="139">
                  <c:v>3.9991099999999999</c:v>
                </c:pt>
                <c:pt idx="140">
                  <c:v>3.99885</c:v>
                </c:pt>
                <c:pt idx="141">
                  <c:v>4.0038099999999996</c:v>
                </c:pt>
                <c:pt idx="142">
                  <c:v>4.00183</c:v>
                </c:pt>
                <c:pt idx="143">
                  <c:v>3.9822099999999998</c:v>
                </c:pt>
                <c:pt idx="144">
                  <c:v>3.9706399999999995</c:v>
                </c:pt>
                <c:pt idx="145">
                  <c:v>3.9624900000000003</c:v>
                </c:pt>
                <c:pt idx="146">
                  <c:v>3.9367000000000001</c:v>
                </c:pt>
                <c:pt idx="147">
                  <c:v>3.9291999999999998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29.653199999999998</c:v>
                </c:pt>
                <c:pt idx="1">
                  <c:v>30.062899999999999</c:v>
                </c:pt>
                <c:pt idx="2">
                  <c:v>30.514600000000002</c:v>
                </c:pt>
                <c:pt idx="3">
                  <c:v>30.919799999999999</c:v>
                </c:pt>
                <c:pt idx="4">
                  <c:v>31.324999999999999</c:v>
                </c:pt>
                <c:pt idx="5">
                  <c:v>31.733000000000001</c:v>
                </c:pt>
                <c:pt idx="6">
                  <c:v>32.140300000000003</c:v>
                </c:pt>
                <c:pt idx="7">
                  <c:v>32.545499999999997</c:v>
                </c:pt>
                <c:pt idx="8">
                  <c:v>32.950600000000001</c:v>
                </c:pt>
                <c:pt idx="9">
                  <c:v>33.354999999999997</c:v>
                </c:pt>
                <c:pt idx="10">
                  <c:v>33.763800000000003</c:v>
                </c:pt>
                <c:pt idx="11">
                  <c:v>34.170299999999997</c:v>
                </c:pt>
                <c:pt idx="12">
                  <c:v>34.5777</c:v>
                </c:pt>
                <c:pt idx="13">
                  <c:v>34.979900000000001</c:v>
                </c:pt>
                <c:pt idx="14">
                  <c:v>35.3874</c:v>
                </c:pt>
                <c:pt idx="15">
                  <c:v>35.793500000000002</c:v>
                </c:pt>
                <c:pt idx="16">
                  <c:v>36.200099999999999</c:v>
                </c:pt>
                <c:pt idx="17">
                  <c:v>36.608400000000003</c:v>
                </c:pt>
                <c:pt idx="18">
                  <c:v>37.012599999999999</c:v>
                </c:pt>
                <c:pt idx="19">
                  <c:v>37.4193</c:v>
                </c:pt>
                <c:pt idx="20">
                  <c:v>37.826500000000003</c:v>
                </c:pt>
                <c:pt idx="21">
                  <c:v>38.2333</c:v>
                </c:pt>
                <c:pt idx="22">
                  <c:v>38.639899999999997</c:v>
                </c:pt>
                <c:pt idx="23">
                  <c:v>39.0473</c:v>
                </c:pt>
                <c:pt idx="24">
                  <c:v>39.450899999999997</c:v>
                </c:pt>
                <c:pt idx="25">
                  <c:v>39.855400000000003</c:v>
                </c:pt>
                <c:pt idx="26">
                  <c:v>40.262700000000002</c:v>
                </c:pt>
                <c:pt idx="27">
                  <c:v>40.671300000000002</c:v>
                </c:pt>
                <c:pt idx="28">
                  <c:v>41.077500000000001</c:v>
                </c:pt>
                <c:pt idx="29">
                  <c:v>41.479799999999997</c:v>
                </c:pt>
                <c:pt idx="30">
                  <c:v>41.886499999999998</c:v>
                </c:pt>
                <c:pt idx="31">
                  <c:v>42.294800000000002</c:v>
                </c:pt>
                <c:pt idx="32">
                  <c:v>42.703499999999998</c:v>
                </c:pt>
                <c:pt idx="33">
                  <c:v>43.110599999999998</c:v>
                </c:pt>
                <c:pt idx="34">
                  <c:v>43.5124</c:v>
                </c:pt>
                <c:pt idx="35">
                  <c:v>43.9163</c:v>
                </c:pt>
                <c:pt idx="36">
                  <c:v>44.325299999999999</c:v>
                </c:pt>
                <c:pt idx="37">
                  <c:v>44.732900000000001</c:v>
                </c:pt>
                <c:pt idx="38">
                  <c:v>45.139600000000002</c:v>
                </c:pt>
                <c:pt idx="39">
                  <c:v>45.543500000000002</c:v>
                </c:pt>
                <c:pt idx="40">
                  <c:v>45.949199999999998</c:v>
                </c:pt>
                <c:pt idx="41">
                  <c:v>46.3568</c:v>
                </c:pt>
                <c:pt idx="42">
                  <c:v>46.765599999999999</c:v>
                </c:pt>
                <c:pt idx="43">
                  <c:v>47.168900000000001</c:v>
                </c:pt>
                <c:pt idx="44">
                  <c:v>47.574399999999997</c:v>
                </c:pt>
                <c:pt idx="45">
                  <c:v>47.981900000000003</c:v>
                </c:pt>
                <c:pt idx="46">
                  <c:v>48.387900000000002</c:v>
                </c:pt>
                <c:pt idx="47">
                  <c:v>48.798099999999998</c:v>
                </c:pt>
                <c:pt idx="48">
                  <c:v>49.2012</c:v>
                </c:pt>
                <c:pt idx="49">
                  <c:v>49.604999999999997</c:v>
                </c:pt>
                <c:pt idx="50">
                  <c:v>50.012999999999998</c:v>
                </c:pt>
                <c:pt idx="51">
                  <c:v>50.421999999999997</c:v>
                </c:pt>
                <c:pt idx="52">
                  <c:v>50.825699999999998</c:v>
                </c:pt>
                <c:pt idx="53">
                  <c:v>51.234499999999997</c:v>
                </c:pt>
                <c:pt idx="54">
                  <c:v>51.637700000000002</c:v>
                </c:pt>
                <c:pt idx="55">
                  <c:v>52.043500000000002</c:v>
                </c:pt>
                <c:pt idx="56">
                  <c:v>52.448900000000002</c:v>
                </c:pt>
                <c:pt idx="57">
                  <c:v>52.860500000000002</c:v>
                </c:pt>
                <c:pt idx="58">
                  <c:v>53.262799999999999</c:v>
                </c:pt>
                <c:pt idx="59">
                  <c:v>53.669199999999996</c:v>
                </c:pt>
                <c:pt idx="60">
                  <c:v>54.074399999999997</c:v>
                </c:pt>
                <c:pt idx="61">
                  <c:v>54.483499999999999</c:v>
                </c:pt>
                <c:pt idx="62">
                  <c:v>54.885800000000003</c:v>
                </c:pt>
                <c:pt idx="63">
                  <c:v>55.294199999999996</c:v>
                </c:pt>
                <c:pt idx="64">
                  <c:v>55.7012</c:v>
                </c:pt>
                <c:pt idx="65">
                  <c:v>56.112200000000001</c:v>
                </c:pt>
                <c:pt idx="66">
                  <c:v>56.515000000000001</c:v>
                </c:pt>
                <c:pt idx="67">
                  <c:v>56.918799999999997</c:v>
                </c:pt>
                <c:pt idx="68">
                  <c:v>57.3277</c:v>
                </c:pt>
                <c:pt idx="69">
                  <c:v>57.731999999999999</c:v>
                </c:pt>
                <c:pt idx="70">
                  <c:v>58.140300000000003</c:v>
                </c:pt>
                <c:pt idx="71">
                  <c:v>58.548200000000001</c:v>
                </c:pt>
                <c:pt idx="72">
                  <c:v>58.950499999999998</c:v>
                </c:pt>
                <c:pt idx="73">
                  <c:v>59.356299999999997</c:v>
                </c:pt>
                <c:pt idx="74">
                  <c:v>59.7639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3.4335599999999999</c:v>
                </c:pt>
                <c:pt idx="1">
                  <c:v>3.4255799999999996</c:v>
                </c:pt>
                <c:pt idx="2">
                  <c:v>3.41364</c:v>
                </c:pt>
                <c:pt idx="3">
                  <c:v>3.4043600000000001</c:v>
                </c:pt>
                <c:pt idx="4">
                  <c:v>3.3911200000000004</c:v>
                </c:pt>
                <c:pt idx="5">
                  <c:v>3.3744899999999998</c:v>
                </c:pt>
                <c:pt idx="6">
                  <c:v>3.35364</c:v>
                </c:pt>
                <c:pt idx="7">
                  <c:v>3.3311000000000002</c:v>
                </c:pt>
                <c:pt idx="8">
                  <c:v>3.3089900000000001</c:v>
                </c:pt>
                <c:pt idx="9">
                  <c:v>3.2879100000000001</c:v>
                </c:pt>
                <c:pt idx="10">
                  <c:v>3.2698100000000001</c:v>
                </c:pt>
                <c:pt idx="11">
                  <c:v>3.25556</c:v>
                </c:pt>
                <c:pt idx="12">
                  <c:v>3.2436100000000003</c:v>
                </c:pt>
                <c:pt idx="13">
                  <c:v>3.2322499999999996</c:v>
                </c:pt>
                <c:pt idx="14">
                  <c:v>3.2267700000000001</c:v>
                </c:pt>
                <c:pt idx="15">
                  <c:v>3.2260100000000005</c:v>
                </c:pt>
                <c:pt idx="16">
                  <c:v>3.2268799999999995</c:v>
                </c:pt>
                <c:pt idx="17">
                  <c:v>3.2280599999999997</c:v>
                </c:pt>
                <c:pt idx="18">
                  <c:v>3.2276500000000001</c:v>
                </c:pt>
                <c:pt idx="19">
                  <c:v>3.2282300000000004</c:v>
                </c:pt>
                <c:pt idx="20">
                  <c:v>3.2315100000000001</c:v>
                </c:pt>
                <c:pt idx="21">
                  <c:v>3.23733</c:v>
                </c:pt>
                <c:pt idx="22">
                  <c:v>3.2457099999999999</c:v>
                </c:pt>
                <c:pt idx="23">
                  <c:v>3.2581199999999999</c:v>
                </c:pt>
                <c:pt idx="24">
                  <c:v>3.2718399999999996</c:v>
                </c:pt>
                <c:pt idx="25">
                  <c:v>3.2867099999999998</c:v>
                </c:pt>
                <c:pt idx="26">
                  <c:v>3.30382</c:v>
                </c:pt>
                <c:pt idx="27">
                  <c:v>3.3247800000000001</c:v>
                </c:pt>
                <c:pt idx="28">
                  <c:v>3.3467400000000005</c:v>
                </c:pt>
                <c:pt idx="29">
                  <c:v>3.37575</c:v>
                </c:pt>
                <c:pt idx="30">
                  <c:v>3.4082400000000002</c:v>
                </c:pt>
                <c:pt idx="31">
                  <c:v>3.4432</c:v>
                </c:pt>
                <c:pt idx="32">
                  <c:v>3.4772799999999999</c:v>
                </c:pt>
                <c:pt idx="33">
                  <c:v>3.5133199999999998</c:v>
                </c:pt>
                <c:pt idx="34">
                  <c:v>3.5498500000000002</c:v>
                </c:pt>
                <c:pt idx="35">
                  <c:v>3.5879100000000004</c:v>
                </c:pt>
                <c:pt idx="36">
                  <c:v>3.6258699999999999</c:v>
                </c:pt>
                <c:pt idx="37">
                  <c:v>3.6649500000000002</c:v>
                </c:pt>
                <c:pt idx="38">
                  <c:v>3.7000999999999999</c:v>
                </c:pt>
                <c:pt idx="39">
                  <c:v>3.7321300000000002</c:v>
                </c:pt>
                <c:pt idx="40">
                  <c:v>3.7624999999999997</c:v>
                </c:pt>
                <c:pt idx="41">
                  <c:v>3.79312</c:v>
                </c:pt>
                <c:pt idx="42">
                  <c:v>3.8189000000000002</c:v>
                </c:pt>
                <c:pt idx="43">
                  <c:v>3.8422000000000001</c:v>
                </c:pt>
                <c:pt idx="44">
                  <c:v>3.86558</c:v>
                </c:pt>
                <c:pt idx="45">
                  <c:v>3.8909599999999998</c:v>
                </c:pt>
                <c:pt idx="46">
                  <c:v>3.9114599999999999</c:v>
                </c:pt>
                <c:pt idx="47">
                  <c:v>3.92909</c:v>
                </c:pt>
                <c:pt idx="48">
                  <c:v>3.94435</c:v>
                </c:pt>
                <c:pt idx="49">
                  <c:v>3.9572800000000004</c:v>
                </c:pt>
                <c:pt idx="50">
                  <c:v>3.96889</c:v>
                </c:pt>
                <c:pt idx="51">
                  <c:v>3.9809000000000001</c:v>
                </c:pt>
                <c:pt idx="52">
                  <c:v>3.99092</c:v>
                </c:pt>
                <c:pt idx="53">
                  <c:v>4.0008499999999998</c:v>
                </c:pt>
                <c:pt idx="54">
                  <c:v>4.00746</c:v>
                </c:pt>
                <c:pt idx="55">
                  <c:v>4.0127000000000006</c:v>
                </c:pt>
                <c:pt idx="56">
                  <c:v>4.0171400000000004</c:v>
                </c:pt>
                <c:pt idx="57">
                  <c:v>4.02386</c:v>
                </c:pt>
                <c:pt idx="58">
                  <c:v>4.0285000000000002</c:v>
                </c:pt>
                <c:pt idx="59">
                  <c:v>4.0326500000000003</c:v>
                </c:pt>
                <c:pt idx="60">
                  <c:v>4.0343800000000005</c:v>
                </c:pt>
                <c:pt idx="61">
                  <c:v>4.0319899999999995</c:v>
                </c:pt>
                <c:pt idx="62">
                  <c:v>4.0244999999999997</c:v>
                </c:pt>
                <c:pt idx="63">
                  <c:v>4.0214400000000001</c:v>
                </c:pt>
                <c:pt idx="64">
                  <c:v>4.0162300000000002</c:v>
                </c:pt>
                <c:pt idx="65">
                  <c:v>4.00901</c:v>
                </c:pt>
                <c:pt idx="66">
                  <c:v>3.9991099999999999</c:v>
                </c:pt>
                <c:pt idx="67">
                  <c:v>3.99885</c:v>
                </c:pt>
                <c:pt idx="68">
                  <c:v>4.0038099999999996</c:v>
                </c:pt>
                <c:pt idx="69">
                  <c:v>4.00183</c:v>
                </c:pt>
                <c:pt idx="70">
                  <c:v>3.9822099999999998</c:v>
                </c:pt>
                <c:pt idx="71">
                  <c:v>3.9706399999999995</c:v>
                </c:pt>
                <c:pt idx="72">
                  <c:v>3.9624900000000003</c:v>
                </c:pt>
                <c:pt idx="73">
                  <c:v>3.9367000000000001</c:v>
                </c:pt>
                <c:pt idx="74">
                  <c:v>3.9291999999999998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14.940975</c:v>
                </c:pt>
                <c:pt idx="1">
                  <c:v>44.822924999999998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2.8984285135135135</c:v>
                </c:pt>
                <c:pt idx="1">
                  <c:v>3.6478718918918935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  <c:pt idx="74">
                  <c:v>30.062899999999999</c:v>
                </c:pt>
                <c:pt idx="75">
                  <c:v>30.514600000000002</c:v>
                </c:pt>
                <c:pt idx="76">
                  <c:v>30.919799999999999</c:v>
                </c:pt>
                <c:pt idx="77">
                  <c:v>31.324999999999999</c:v>
                </c:pt>
                <c:pt idx="78">
                  <c:v>31.733000000000001</c:v>
                </c:pt>
                <c:pt idx="79">
                  <c:v>32.140300000000003</c:v>
                </c:pt>
                <c:pt idx="80">
                  <c:v>32.545499999999997</c:v>
                </c:pt>
                <c:pt idx="81">
                  <c:v>32.950600000000001</c:v>
                </c:pt>
                <c:pt idx="82">
                  <c:v>33.354999999999997</c:v>
                </c:pt>
                <c:pt idx="83">
                  <c:v>33.763800000000003</c:v>
                </c:pt>
                <c:pt idx="84">
                  <c:v>34.170299999999997</c:v>
                </c:pt>
                <c:pt idx="85">
                  <c:v>34.5777</c:v>
                </c:pt>
                <c:pt idx="86">
                  <c:v>34.979900000000001</c:v>
                </c:pt>
                <c:pt idx="87">
                  <c:v>35.3874</c:v>
                </c:pt>
                <c:pt idx="88">
                  <c:v>35.793500000000002</c:v>
                </c:pt>
                <c:pt idx="89">
                  <c:v>36.200099999999999</c:v>
                </c:pt>
                <c:pt idx="90">
                  <c:v>36.608400000000003</c:v>
                </c:pt>
                <c:pt idx="91">
                  <c:v>37.012599999999999</c:v>
                </c:pt>
                <c:pt idx="92">
                  <c:v>37.4193</c:v>
                </c:pt>
                <c:pt idx="93">
                  <c:v>37.826500000000003</c:v>
                </c:pt>
                <c:pt idx="94">
                  <c:v>38.2333</c:v>
                </c:pt>
                <c:pt idx="95">
                  <c:v>38.639899999999997</c:v>
                </c:pt>
                <c:pt idx="96">
                  <c:v>39.0473</c:v>
                </c:pt>
                <c:pt idx="97">
                  <c:v>39.450899999999997</c:v>
                </c:pt>
                <c:pt idx="98">
                  <c:v>39.855400000000003</c:v>
                </c:pt>
                <c:pt idx="99">
                  <c:v>40.262700000000002</c:v>
                </c:pt>
                <c:pt idx="100">
                  <c:v>40.671300000000002</c:v>
                </c:pt>
                <c:pt idx="101">
                  <c:v>41.077500000000001</c:v>
                </c:pt>
                <c:pt idx="102">
                  <c:v>41.479799999999997</c:v>
                </c:pt>
                <c:pt idx="103">
                  <c:v>41.886499999999998</c:v>
                </c:pt>
                <c:pt idx="104">
                  <c:v>42.294800000000002</c:v>
                </c:pt>
                <c:pt idx="105">
                  <c:v>42.703499999999998</c:v>
                </c:pt>
                <c:pt idx="106">
                  <c:v>43.110599999999998</c:v>
                </c:pt>
                <c:pt idx="107">
                  <c:v>43.5124</c:v>
                </c:pt>
                <c:pt idx="108">
                  <c:v>43.9163</c:v>
                </c:pt>
                <c:pt idx="109">
                  <c:v>44.325299999999999</c:v>
                </c:pt>
                <c:pt idx="110">
                  <c:v>44.732900000000001</c:v>
                </c:pt>
                <c:pt idx="111">
                  <c:v>45.139600000000002</c:v>
                </c:pt>
                <c:pt idx="112">
                  <c:v>45.543500000000002</c:v>
                </c:pt>
                <c:pt idx="113">
                  <c:v>45.949199999999998</c:v>
                </c:pt>
                <c:pt idx="114">
                  <c:v>46.3568</c:v>
                </c:pt>
                <c:pt idx="115">
                  <c:v>46.765599999999999</c:v>
                </c:pt>
                <c:pt idx="116">
                  <c:v>47.168900000000001</c:v>
                </c:pt>
                <c:pt idx="117">
                  <c:v>47.574399999999997</c:v>
                </c:pt>
                <c:pt idx="118">
                  <c:v>47.981900000000003</c:v>
                </c:pt>
                <c:pt idx="119">
                  <c:v>48.387900000000002</c:v>
                </c:pt>
                <c:pt idx="120">
                  <c:v>48.798099999999998</c:v>
                </c:pt>
                <c:pt idx="121">
                  <c:v>49.2012</c:v>
                </c:pt>
                <c:pt idx="122">
                  <c:v>49.604999999999997</c:v>
                </c:pt>
                <c:pt idx="123">
                  <c:v>50.012999999999998</c:v>
                </c:pt>
                <c:pt idx="124">
                  <c:v>50.421999999999997</c:v>
                </c:pt>
                <c:pt idx="125">
                  <c:v>50.825699999999998</c:v>
                </c:pt>
                <c:pt idx="126">
                  <c:v>51.234499999999997</c:v>
                </c:pt>
                <c:pt idx="127">
                  <c:v>51.637700000000002</c:v>
                </c:pt>
                <c:pt idx="128">
                  <c:v>52.043500000000002</c:v>
                </c:pt>
                <c:pt idx="129">
                  <c:v>52.448900000000002</c:v>
                </c:pt>
                <c:pt idx="130">
                  <c:v>52.860500000000002</c:v>
                </c:pt>
                <c:pt idx="131">
                  <c:v>53.262799999999999</c:v>
                </c:pt>
                <c:pt idx="132">
                  <c:v>53.669199999999996</c:v>
                </c:pt>
                <c:pt idx="133">
                  <c:v>54.074399999999997</c:v>
                </c:pt>
                <c:pt idx="134">
                  <c:v>54.483499999999999</c:v>
                </c:pt>
                <c:pt idx="135">
                  <c:v>54.885800000000003</c:v>
                </c:pt>
                <c:pt idx="136">
                  <c:v>55.294199999999996</c:v>
                </c:pt>
                <c:pt idx="137">
                  <c:v>55.7012</c:v>
                </c:pt>
                <c:pt idx="138">
                  <c:v>56.112200000000001</c:v>
                </c:pt>
                <c:pt idx="139">
                  <c:v>56.515000000000001</c:v>
                </c:pt>
                <c:pt idx="140">
                  <c:v>56.918799999999997</c:v>
                </c:pt>
                <c:pt idx="141">
                  <c:v>57.3277</c:v>
                </c:pt>
                <c:pt idx="142">
                  <c:v>57.731999999999999</c:v>
                </c:pt>
                <c:pt idx="143">
                  <c:v>58.140300000000003</c:v>
                </c:pt>
                <c:pt idx="144">
                  <c:v>58.548200000000001</c:v>
                </c:pt>
                <c:pt idx="145">
                  <c:v>58.950499999999998</c:v>
                </c:pt>
                <c:pt idx="146">
                  <c:v>59.356299999999997</c:v>
                </c:pt>
                <c:pt idx="147">
                  <c:v>59.7639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  <c:pt idx="74">
                  <c:v>30.9405</c:v>
                </c:pt>
                <c:pt idx="75">
                  <c:v>31.243500000000001</c:v>
                </c:pt>
                <c:pt idx="76">
                  <c:v>31.487100000000002</c:v>
                </c:pt>
                <c:pt idx="77">
                  <c:v>31.764500000000002</c:v>
                </c:pt>
                <c:pt idx="78">
                  <c:v>32.094099999999997</c:v>
                </c:pt>
                <c:pt idx="79">
                  <c:v>32.452500000000001</c:v>
                </c:pt>
                <c:pt idx="80">
                  <c:v>32.834899999999998</c:v>
                </c:pt>
                <c:pt idx="81">
                  <c:v>33.207599999999999</c:v>
                </c:pt>
                <c:pt idx="82">
                  <c:v>33.547800000000002</c:v>
                </c:pt>
                <c:pt idx="83">
                  <c:v>33.8292</c:v>
                </c:pt>
                <c:pt idx="84">
                  <c:v>34.092299999999994</c:v>
                </c:pt>
                <c:pt idx="85">
                  <c:v>34.370899999999999</c:v>
                </c:pt>
                <c:pt idx="86">
                  <c:v>34.637900000000002</c:v>
                </c:pt>
                <c:pt idx="87">
                  <c:v>34.831299999999999</c:v>
                </c:pt>
                <c:pt idx="88">
                  <c:v>34.903300000000002</c:v>
                </c:pt>
                <c:pt idx="89">
                  <c:v>34.952199999999998</c:v>
                </c:pt>
                <c:pt idx="90">
                  <c:v>35.004999999999995</c:v>
                </c:pt>
                <c:pt idx="91">
                  <c:v>35.030799999999999</c:v>
                </c:pt>
                <c:pt idx="92">
                  <c:v>35.035500000000006</c:v>
                </c:pt>
                <c:pt idx="93">
                  <c:v>35.070099999999996</c:v>
                </c:pt>
                <c:pt idx="94">
                  <c:v>35.063200000000002</c:v>
                </c:pt>
                <c:pt idx="95">
                  <c:v>35.006500000000003</c:v>
                </c:pt>
                <c:pt idx="96">
                  <c:v>34.806899999999999</c:v>
                </c:pt>
                <c:pt idx="97">
                  <c:v>34.5869</c:v>
                </c:pt>
                <c:pt idx="98">
                  <c:v>34.340699999999998</c:v>
                </c:pt>
                <c:pt idx="99">
                  <c:v>34.003900000000002</c:v>
                </c:pt>
                <c:pt idx="100">
                  <c:v>33.639200000000002</c:v>
                </c:pt>
                <c:pt idx="101">
                  <c:v>33.278400000000005</c:v>
                </c:pt>
                <c:pt idx="102">
                  <c:v>32.822899999999997</c:v>
                </c:pt>
                <c:pt idx="103">
                  <c:v>32.300800000000002</c:v>
                </c:pt>
                <c:pt idx="104">
                  <c:v>31.814700000000002</c:v>
                </c:pt>
                <c:pt idx="105">
                  <c:v>31.428299999999997</c:v>
                </c:pt>
                <c:pt idx="106">
                  <c:v>31.033100000000001</c:v>
                </c:pt>
                <c:pt idx="107">
                  <c:v>30.659599999999998</c:v>
                </c:pt>
                <c:pt idx="108">
                  <c:v>30.342799999999997</c:v>
                </c:pt>
                <c:pt idx="109">
                  <c:v>30.038599999999999</c:v>
                </c:pt>
                <c:pt idx="110">
                  <c:v>29.680699999999998</c:v>
                </c:pt>
                <c:pt idx="111">
                  <c:v>29.450300000000002</c:v>
                </c:pt>
                <c:pt idx="112">
                  <c:v>29.141499999999997</c:v>
                </c:pt>
                <c:pt idx="113">
                  <c:v>28.863299999999999</c:v>
                </c:pt>
                <c:pt idx="114">
                  <c:v>28.612900000000003</c:v>
                </c:pt>
                <c:pt idx="115">
                  <c:v>28.453200000000002</c:v>
                </c:pt>
                <c:pt idx="116">
                  <c:v>28.4038</c:v>
                </c:pt>
                <c:pt idx="117">
                  <c:v>28.357800000000001</c:v>
                </c:pt>
                <c:pt idx="118">
                  <c:v>28.224300000000003</c:v>
                </c:pt>
                <c:pt idx="119">
                  <c:v>28.131800000000002</c:v>
                </c:pt>
                <c:pt idx="120">
                  <c:v>28.060299999999998</c:v>
                </c:pt>
                <c:pt idx="121">
                  <c:v>28.005999999999997</c:v>
                </c:pt>
                <c:pt idx="122">
                  <c:v>28.026299999999999</c:v>
                </c:pt>
                <c:pt idx="123">
                  <c:v>28.086899999999996</c:v>
                </c:pt>
                <c:pt idx="124">
                  <c:v>28.086400000000001</c:v>
                </c:pt>
                <c:pt idx="125">
                  <c:v>28.067500000000003</c:v>
                </c:pt>
                <c:pt idx="126">
                  <c:v>28.044799999999999</c:v>
                </c:pt>
                <c:pt idx="127">
                  <c:v>28.042899999999999</c:v>
                </c:pt>
                <c:pt idx="128">
                  <c:v>28.0899</c:v>
                </c:pt>
                <c:pt idx="129">
                  <c:v>28.151900000000001</c:v>
                </c:pt>
                <c:pt idx="130">
                  <c:v>28.1843</c:v>
                </c:pt>
                <c:pt idx="131">
                  <c:v>28.242699999999999</c:v>
                </c:pt>
                <c:pt idx="132">
                  <c:v>28.3354</c:v>
                </c:pt>
                <c:pt idx="133">
                  <c:v>28.3902</c:v>
                </c:pt>
                <c:pt idx="134">
                  <c:v>28.435199999999998</c:v>
                </c:pt>
                <c:pt idx="135">
                  <c:v>28.515499999999999</c:v>
                </c:pt>
                <c:pt idx="136">
                  <c:v>28.514299999999999</c:v>
                </c:pt>
                <c:pt idx="137">
                  <c:v>28.644399999999997</c:v>
                </c:pt>
                <c:pt idx="138">
                  <c:v>28.8155</c:v>
                </c:pt>
                <c:pt idx="139">
                  <c:v>29.020499999999998</c:v>
                </c:pt>
                <c:pt idx="140">
                  <c:v>29.170099999999998</c:v>
                </c:pt>
                <c:pt idx="141">
                  <c:v>29.207599999999999</c:v>
                </c:pt>
                <c:pt idx="142">
                  <c:v>29.211100000000002</c:v>
                </c:pt>
                <c:pt idx="143">
                  <c:v>29.395199999999999</c:v>
                </c:pt>
                <c:pt idx="144">
                  <c:v>29.550700000000003</c:v>
                </c:pt>
                <c:pt idx="145">
                  <c:v>29.761900000000001</c:v>
                </c:pt>
                <c:pt idx="146">
                  <c:v>30.195300000000003</c:v>
                </c:pt>
                <c:pt idx="147">
                  <c:v>30.359000000000002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0.403997</c:v>
                </c:pt>
                <c:pt idx="2">
                  <c:v>0.80804200000000004</c:v>
                </c:pt>
                <c:pt idx="3">
                  <c:v>1.2161500000000001</c:v>
                </c:pt>
                <c:pt idx="4">
                  <c:v>1.62452</c:v>
                </c:pt>
                <c:pt idx="5">
                  <c:v>2.02963</c:v>
                </c:pt>
                <c:pt idx="6">
                  <c:v>2.4355000000000002</c:v>
                </c:pt>
                <c:pt idx="7">
                  <c:v>2.8408500000000001</c:v>
                </c:pt>
                <c:pt idx="8">
                  <c:v>3.24641</c:v>
                </c:pt>
                <c:pt idx="9">
                  <c:v>3.6534599999999999</c:v>
                </c:pt>
                <c:pt idx="10">
                  <c:v>4.06271</c:v>
                </c:pt>
                <c:pt idx="11">
                  <c:v>4.4664099999999998</c:v>
                </c:pt>
                <c:pt idx="12">
                  <c:v>4.8700599999999996</c:v>
                </c:pt>
                <c:pt idx="13">
                  <c:v>5.2800099999999999</c:v>
                </c:pt>
                <c:pt idx="14">
                  <c:v>5.6844299999999999</c:v>
                </c:pt>
                <c:pt idx="15">
                  <c:v>6.0908499999999997</c:v>
                </c:pt>
                <c:pt idx="16">
                  <c:v>6.4970400000000001</c:v>
                </c:pt>
                <c:pt idx="17">
                  <c:v>6.9084700000000003</c:v>
                </c:pt>
                <c:pt idx="18">
                  <c:v>7.3105900000000004</c:v>
                </c:pt>
                <c:pt idx="19">
                  <c:v>7.7154800000000003</c:v>
                </c:pt>
                <c:pt idx="20">
                  <c:v>8.1202400000000008</c:v>
                </c:pt>
                <c:pt idx="21">
                  <c:v>8.5288500000000003</c:v>
                </c:pt>
                <c:pt idx="22">
                  <c:v>8.9340899999999994</c:v>
                </c:pt>
                <c:pt idx="23">
                  <c:v>9.3432600000000008</c:v>
                </c:pt>
                <c:pt idx="24">
                  <c:v>9.7474699999999999</c:v>
                </c:pt>
                <c:pt idx="25">
                  <c:v>10.150700000000001</c:v>
                </c:pt>
                <c:pt idx="26">
                  <c:v>10.5601</c:v>
                </c:pt>
                <c:pt idx="27">
                  <c:v>10.9666</c:v>
                </c:pt>
                <c:pt idx="28">
                  <c:v>11.3734</c:v>
                </c:pt>
                <c:pt idx="29">
                  <c:v>11.777100000000001</c:v>
                </c:pt>
                <c:pt idx="30">
                  <c:v>12.1828</c:v>
                </c:pt>
                <c:pt idx="31">
                  <c:v>12.5901</c:v>
                </c:pt>
                <c:pt idx="32">
                  <c:v>13.0001</c:v>
                </c:pt>
                <c:pt idx="33">
                  <c:v>13.404500000000001</c:v>
                </c:pt>
                <c:pt idx="34">
                  <c:v>13.8102</c:v>
                </c:pt>
                <c:pt idx="35">
                  <c:v>14.2159</c:v>
                </c:pt>
                <c:pt idx="36">
                  <c:v>14.623699999999999</c:v>
                </c:pt>
                <c:pt idx="37">
                  <c:v>15.0314</c:v>
                </c:pt>
                <c:pt idx="38">
                  <c:v>15.4376</c:v>
                </c:pt>
                <c:pt idx="39">
                  <c:v>15.842700000000001</c:v>
                </c:pt>
                <c:pt idx="40">
                  <c:v>16.245699999999999</c:v>
                </c:pt>
                <c:pt idx="41">
                  <c:v>16.6511</c:v>
                </c:pt>
                <c:pt idx="42">
                  <c:v>17.059699999999999</c:v>
                </c:pt>
                <c:pt idx="43">
                  <c:v>17.465499999999999</c:v>
                </c:pt>
                <c:pt idx="44">
                  <c:v>17.875800000000002</c:v>
                </c:pt>
                <c:pt idx="45">
                  <c:v>18.276499999999999</c:v>
                </c:pt>
                <c:pt idx="46">
                  <c:v>18.687200000000001</c:v>
                </c:pt>
                <c:pt idx="47">
                  <c:v>19.091999999999999</c:v>
                </c:pt>
                <c:pt idx="48">
                  <c:v>19.500900000000001</c:v>
                </c:pt>
                <c:pt idx="49">
                  <c:v>19.905899999999999</c:v>
                </c:pt>
                <c:pt idx="50">
                  <c:v>20.308499999999999</c:v>
                </c:pt>
                <c:pt idx="51">
                  <c:v>20.717400000000001</c:v>
                </c:pt>
                <c:pt idx="52">
                  <c:v>21.126000000000001</c:v>
                </c:pt>
                <c:pt idx="53">
                  <c:v>21.529699999999998</c:v>
                </c:pt>
                <c:pt idx="54">
                  <c:v>21.936499999999999</c:v>
                </c:pt>
                <c:pt idx="55">
                  <c:v>22.3416</c:v>
                </c:pt>
                <c:pt idx="56">
                  <c:v>22.744599999999998</c:v>
                </c:pt>
                <c:pt idx="57">
                  <c:v>23.1523</c:v>
                </c:pt>
                <c:pt idx="58">
                  <c:v>23.559699999999999</c:v>
                </c:pt>
                <c:pt idx="59">
                  <c:v>23.968399999999999</c:v>
                </c:pt>
                <c:pt idx="60">
                  <c:v>24.372699999999998</c:v>
                </c:pt>
                <c:pt idx="61">
                  <c:v>24.780100000000001</c:v>
                </c:pt>
                <c:pt idx="62">
                  <c:v>25.183499999999999</c:v>
                </c:pt>
                <c:pt idx="63">
                  <c:v>25.591999999999999</c:v>
                </c:pt>
                <c:pt idx="64">
                  <c:v>25.9986</c:v>
                </c:pt>
                <c:pt idx="65">
                  <c:v>26.404199999999999</c:v>
                </c:pt>
                <c:pt idx="66">
                  <c:v>26.8079</c:v>
                </c:pt>
                <c:pt idx="67">
                  <c:v>27.216100000000001</c:v>
                </c:pt>
                <c:pt idx="68">
                  <c:v>27.624199999999998</c:v>
                </c:pt>
                <c:pt idx="69">
                  <c:v>28.027699999999999</c:v>
                </c:pt>
                <c:pt idx="70">
                  <c:v>28.4346</c:v>
                </c:pt>
                <c:pt idx="71">
                  <c:v>28.839300000000001</c:v>
                </c:pt>
                <c:pt idx="72">
                  <c:v>29.246600000000001</c:v>
                </c:pt>
                <c:pt idx="73">
                  <c:v>29.653199999999998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29.653199999999998</c:v>
                </c:pt>
                <c:pt idx="1">
                  <c:v>30.062899999999999</c:v>
                </c:pt>
                <c:pt idx="2">
                  <c:v>30.514600000000002</c:v>
                </c:pt>
                <c:pt idx="3">
                  <c:v>30.919799999999999</c:v>
                </c:pt>
                <c:pt idx="4">
                  <c:v>31.324999999999999</c:v>
                </c:pt>
                <c:pt idx="5">
                  <c:v>31.733000000000001</c:v>
                </c:pt>
                <c:pt idx="6">
                  <c:v>32.140300000000003</c:v>
                </c:pt>
                <c:pt idx="7">
                  <c:v>32.545499999999997</c:v>
                </c:pt>
                <c:pt idx="8">
                  <c:v>32.950600000000001</c:v>
                </c:pt>
                <c:pt idx="9">
                  <c:v>33.354999999999997</c:v>
                </c:pt>
                <c:pt idx="10">
                  <c:v>33.763800000000003</c:v>
                </c:pt>
                <c:pt idx="11">
                  <c:v>34.170299999999997</c:v>
                </c:pt>
                <c:pt idx="12">
                  <c:v>34.5777</c:v>
                </c:pt>
                <c:pt idx="13">
                  <c:v>34.979900000000001</c:v>
                </c:pt>
                <c:pt idx="14">
                  <c:v>35.3874</c:v>
                </c:pt>
                <c:pt idx="15">
                  <c:v>35.793500000000002</c:v>
                </c:pt>
                <c:pt idx="16">
                  <c:v>36.200099999999999</c:v>
                </c:pt>
                <c:pt idx="17">
                  <c:v>36.608400000000003</c:v>
                </c:pt>
                <c:pt idx="18">
                  <c:v>37.012599999999999</c:v>
                </c:pt>
                <c:pt idx="19">
                  <c:v>37.4193</c:v>
                </c:pt>
                <c:pt idx="20">
                  <c:v>37.826500000000003</c:v>
                </c:pt>
                <c:pt idx="21">
                  <c:v>38.2333</c:v>
                </c:pt>
                <c:pt idx="22">
                  <c:v>38.639899999999997</c:v>
                </c:pt>
                <c:pt idx="23">
                  <c:v>39.0473</c:v>
                </c:pt>
                <c:pt idx="24">
                  <c:v>39.450899999999997</c:v>
                </c:pt>
                <c:pt idx="25">
                  <c:v>39.855400000000003</c:v>
                </c:pt>
                <c:pt idx="26">
                  <c:v>40.262700000000002</c:v>
                </c:pt>
                <c:pt idx="27">
                  <c:v>40.671300000000002</c:v>
                </c:pt>
                <c:pt idx="28">
                  <c:v>41.077500000000001</c:v>
                </c:pt>
                <c:pt idx="29">
                  <c:v>41.479799999999997</c:v>
                </c:pt>
                <c:pt idx="30">
                  <c:v>41.886499999999998</c:v>
                </c:pt>
                <c:pt idx="31">
                  <c:v>42.294800000000002</c:v>
                </c:pt>
                <c:pt idx="32">
                  <c:v>42.703499999999998</c:v>
                </c:pt>
                <c:pt idx="33">
                  <c:v>43.110599999999998</c:v>
                </c:pt>
                <c:pt idx="34">
                  <c:v>43.5124</c:v>
                </c:pt>
                <c:pt idx="35">
                  <c:v>43.9163</c:v>
                </c:pt>
                <c:pt idx="36">
                  <c:v>44.325299999999999</c:v>
                </c:pt>
                <c:pt idx="37">
                  <c:v>44.732900000000001</c:v>
                </c:pt>
                <c:pt idx="38">
                  <c:v>45.139600000000002</c:v>
                </c:pt>
                <c:pt idx="39">
                  <c:v>45.543500000000002</c:v>
                </c:pt>
                <c:pt idx="40">
                  <c:v>45.949199999999998</c:v>
                </c:pt>
                <c:pt idx="41">
                  <c:v>46.3568</c:v>
                </c:pt>
                <c:pt idx="42">
                  <c:v>46.765599999999999</c:v>
                </c:pt>
                <c:pt idx="43">
                  <c:v>47.168900000000001</c:v>
                </c:pt>
                <c:pt idx="44">
                  <c:v>47.574399999999997</c:v>
                </c:pt>
                <c:pt idx="45">
                  <c:v>47.981900000000003</c:v>
                </c:pt>
                <c:pt idx="46">
                  <c:v>48.387900000000002</c:v>
                </c:pt>
                <c:pt idx="47">
                  <c:v>48.798099999999998</c:v>
                </c:pt>
                <c:pt idx="48">
                  <c:v>49.2012</c:v>
                </c:pt>
                <c:pt idx="49">
                  <c:v>49.604999999999997</c:v>
                </c:pt>
                <c:pt idx="50">
                  <c:v>50.012999999999998</c:v>
                </c:pt>
                <c:pt idx="51">
                  <c:v>50.421999999999997</c:v>
                </c:pt>
                <c:pt idx="52">
                  <c:v>50.825699999999998</c:v>
                </c:pt>
                <c:pt idx="53">
                  <c:v>51.234499999999997</c:v>
                </c:pt>
                <c:pt idx="54">
                  <c:v>51.637700000000002</c:v>
                </c:pt>
                <c:pt idx="55">
                  <c:v>52.043500000000002</c:v>
                </c:pt>
                <c:pt idx="56">
                  <c:v>52.448900000000002</c:v>
                </c:pt>
                <c:pt idx="57">
                  <c:v>52.860500000000002</c:v>
                </c:pt>
                <c:pt idx="58">
                  <c:v>53.262799999999999</c:v>
                </c:pt>
                <c:pt idx="59">
                  <c:v>53.669199999999996</c:v>
                </c:pt>
                <c:pt idx="60">
                  <c:v>54.074399999999997</c:v>
                </c:pt>
                <c:pt idx="61">
                  <c:v>54.483499999999999</c:v>
                </c:pt>
                <c:pt idx="62">
                  <c:v>54.885800000000003</c:v>
                </c:pt>
                <c:pt idx="63">
                  <c:v>55.294199999999996</c:v>
                </c:pt>
                <c:pt idx="64">
                  <c:v>55.7012</c:v>
                </c:pt>
                <c:pt idx="65">
                  <c:v>56.112200000000001</c:v>
                </c:pt>
                <c:pt idx="66">
                  <c:v>56.515000000000001</c:v>
                </c:pt>
                <c:pt idx="67">
                  <c:v>56.918799999999997</c:v>
                </c:pt>
                <c:pt idx="68">
                  <c:v>57.3277</c:v>
                </c:pt>
                <c:pt idx="69">
                  <c:v>57.731999999999999</c:v>
                </c:pt>
                <c:pt idx="70">
                  <c:v>58.140300000000003</c:v>
                </c:pt>
                <c:pt idx="71">
                  <c:v>58.548200000000001</c:v>
                </c:pt>
                <c:pt idx="72">
                  <c:v>58.950499999999998</c:v>
                </c:pt>
                <c:pt idx="73">
                  <c:v>59.356299999999997</c:v>
                </c:pt>
                <c:pt idx="74">
                  <c:v>59.7639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30.708099999999998</c:v>
                </c:pt>
                <c:pt idx="1">
                  <c:v>30.9405</c:v>
                </c:pt>
                <c:pt idx="2">
                  <c:v>31.243500000000001</c:v>
                </c:pt>
                <c:pt idx="3">
                  <c:v>31.487100000000002</c:v>
                </c:pt>
                <c:pt idx="4">
                  <c:v>31.764500000000002</c:v>
                </c:pt>
                <c:pt idx="5">
                  <c:v>32.094099999999997</c:v>
                </c:pt>
                <c:pt idx="6">
                  <c:v>32.452500000000001</c:v>
                </c:pt>
                <c:pt idx="7">
                  <c:v>32.834899999999998</c:v>
                </c:pt>
                <c:pt idx="8">
                  <c:v>33.207599999999999</c:v>
                </c:pt>
                <c:pt idx="9">
                  <c:v>33.547800000000002</c:v>
                </c:pt>
                <c:pt idx="10">
                  <c:v>33.8292</c:v>
                </c:pt>
                <c:pt idx="11">
                  <c:v>34.092299999999994</c:v>
                </c:pt>
                <c:pt idx="12">
                  <c:v>34.370899999999999</c:v>
                </c:pt>
                <c:pt idx="13">
                  <c:v>34.637900000000002</c:v>
                </c:pt>
                <c:pt idx="14">
                  <c:v>34.831299999999999</c:v>
                </c:pt>
                <c:pt idx="15">
                  <c:v>34.903300000000002</c:v>
                </c:pt>
                <c:pt idx="16">
                  <c:v>34.952199999999998</c:v>
                </c:pt>
                <c:pt idx="17">
                  <c:v>35.004999999999995</c:v>
                </c:pt>
                <c:pt idx="18">
                  <c:v>35.030799999999999</c:v>
                </c:pt>
                <c:pt idx="19">
                  <c:v>35.035500000000006</c:v>
                </c:pt>
                <c:pt idx="20">
                  <c:v>35.070099999999996</c:v>
                </c:pt>
                <c:pt idx="21">
                  <c:v>35.063200000000002</c:v>
                </c:pt>
                <c:pt idx="22">
                  <c:v>35.006500000000003</c:v>
                </c:pt>
                <c:pt idx="23">
                  <c:v>34.806899999999999</c:v>
                </c:pt>
                <c:pt idx="24">
                  <c:v>34.5869</c:v>
                </c:pt>
                <c:pt idx="25">
                  <c:v>34.340699999999998</c:v>
                </c:pt>
                <c:pt idx="26">
                  <c:v>34.003900000000002</c:v>
                </c:pt>
                <c:pt idx="27">
                  <c:v>33.639200000000002</c:v>
                </c:pt>
                <c:pt idx="28">
                  <c:v>33.278400000000005</c:v>
                </c:pt>
                <c:pt idx="29">
                  <c:v>32.822899999999997</c:v>
                </c:pt>
                <c:pt idx="30">
                  <c:v>32.300800000000002</c:v>
                </c:pt>
                <c:pt idx="31">
                  <c:v>31.814700000000002</c:v>
                </c:pt>
                <c:pt idx="32">
                  <c:v>31.428299999999997</c:v>
                </c:pt>
                <c:pt idx="33">
                  <c:v>31.033100000000001</c:v>
                </c:pt>
                <c:pt idx="34">
                  <c:v>30.659599999999998</c:v>
                </c:pt>
                <c:pt idx="35">
                  <c:v>30.342799999999997</c:v>
                </c:pt>
                <c:pt idx="36">
                  <c:v>30.038599999999999</c:v>
                </c:pt>
                <c:pt idx="37">
                  <c:v>29.680699999999998</c:v>
                </c:pt>
                <c:pt idx="38">
                  <c:v>29.450300000000002</c:v>
                </c:pt>
                <c:pt idx="39">
                  <c:v>29.141499999999997</c:v>
                </c:pt>
                <c:pt idx="40">
                  <c:v>28.863299999999999</c:v>
                </c:pt>
                <c:pt idx="41">
                  <c:v>28.612900000000003</c:v>
                </c:pt>
                <c:pt idx="42">
                  <c:v>28.453200000000002</c:v>
                </c:pt>
                <c:pt idx="43">
                  <c:v>28.4038</c:v>
                </c:pt>
                <c:pt idx="44">
                  <c:v>28.357800000000001</c:v>
                </c:pt>
                <c:pt idx="45">
                  <c:v>28.224300000000003</c:v>
                </c:pt>
                <c:pt idx="46">
                  <c:v>28.131800000000002</c:v>
                </c:pt>
                <c:pt idx="47">
                  <c:v>28.060299999999998</c:v>
                </c:pt>
                <c:pt idx="48">
                  <c:v>28.005999999999997</c:v>
                </c:pt>
                <c:pt idx="49">
                  <c:v>28.026299999999999</c:v>
                </c:pt>
                <c:pt idx="50">
                  <c:v>28.086899999999996</c:v>
                </c:pt>
                <c:pt idx="51">
                  <c:v>28.086400000000001</c:v>
                </c:pt>
                <c:pt idx="52">
                  <c:v>28.067500000000003</c:v>
                </c:pt>
                <c:pt idx="53">
                  <c:v>28.044799999999999</c:v>
                </c:pt>
                <c:pt idx="54">
                  <c:v>28.042899999999999</c:v>
                </c:pt>
                <c:pt idx="55">
                  <c:v>28.0899</c:v>
                </c:pt>
                <c:pt idx="56">
                  <c:v>28.151900000000001</c:v>
                </c:pt>
                <c:pt idx="57">
                  <c:v>28.1843</c:v>
                </c:pt>
                <c:pt idx="58">
                  <c:v>28.242699999999999</c:v>
                </c:pt>
                <c:pt idx="59">
                  <c:v>28.3354</c:v>
                </c:pt>
                <c:pt idx="60">
                  <c:v>28.3902</c:v>
                </c:pt>
                <c:pt idx="61">
                  <c:v>28.435199999999998</c:v>
                </c:pt>
                <c:pt idx="62">
                  <c:v>28.515499999999999</c:v>
                </c:pt>
                <c:pt idx="63">
                  <c:v>28.514299999999999</c:v>
                </c:pt>
                <c:pt idx="64">
                  <c:v>28.644399999999997</c:v>
                </c:pt>
                <c:pt idx="65">
                  <c:v>28.8155</c:v>
                </c:pt>
                <c:pt idx="66">
                  <c:v>29.020499999999998</c:v>
                </c:pt>
                <c:pt idx="67">
                  <c:v>29.170099999999998</c:v>
                </c:pt>
                <c:pt idx="68">
                  <c:v>29.207599999999999</c:v>
                </c:pt>
                <c:pt idx="69">
                  <c:v>29.211100000000002</c:v>
                </c:pt>
                <c:pt idx="70">
                  <c:v>29.395199999999999</c:v>
                </c:pt>
                <c:pt idx="71">
                  <c:v>29.550700000000003</c:v>
                </c:pt>
                <c:pt idx="72">
                  <c:v>29.761900000000001</c:v>
                </c:pt>
                <c:pt idx="73">
                  <c:v>30.195300000000003</c:v>
                </c:pt>
                <c:pt idx="74">
                  <c:v>30.359000000000002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14.940975</c:v>
                </c:pt>
                <c:pt idx="1">
                  <c:v>44.822924999999998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41.152745945945938</c:v>
                </c:pt>
                <c:pt idx="1">
                  <c:v>30.897687837837839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  <c:pt idx="74">
                  <c:v>3.4255799999999996</c:v>
                </c:pt>
                <c:pt idx="75">
                  <c:v>3.41364</c:v>
                </c:pt>
                <c:pt idx="76">
                  <c:v>3.4043600000000001</c:v>
                </c:pt>
                <c:pt idx="77">
                  <c:v>3.3911200000000004</c:v>
                </c:pt>
                <c:pt idx="78">
                  <c:v>3.3744899999999998</c:v>
                </c:pt>
                <c:pt idx="79">
                  <c:v>3.35364</c:v>
                </c:pt>
                <c:pt idx="80">
                  <c:v>3.3311000000000002</c:v>
                </c:pt>
                <c:pt idx="81">
                  <c:v>3.3089900000000001</c:v>
                </c:pt>
                <c:pt idx="82">
                  <c:v>3.2879100000000001</c:v>
                </c:pt>
                <c:pt idx="83">
                  <c:v>3.2698100000000001</c:v>
                </c:pt>
                <c:pt idx="84">
                  <c:v>3.25556</c:v>
                </c:pt>
                <c:pt idx="85">
                  <c:v>3.2436100000000003</c:v>
                </c:pt>
                <c:pt idx="86">
                  <c:v>3.2322499999999996</c:v>
                </c:pt>
                <c:pt idx="87">
                  <c:v>3.2267700000000001</c:v>
                </c:pt>
                <c:pt idx="88">
                  <c:v>3.2260100000000005</c:v>
                </c:pt>
                <c:pt idx="89">
                  <c:v>3.2268799999999995</c:v>
                </c:pt>
                <c:pt idx="90">
                  <c:v>3.2280599999999997</c:v>
                </c:pt>
                <c:pt idx="91">
                  <c:v>3.2276500000000001</c:v>
                </c:pt>
                <c:pt idx="92">
                  <c:v>3.2282300000000004</c:v>
                </c:pt>
                <c:pt idx="93">
                  <c:v>3.2315100000000001</c:v>
                </c:pt>
                <c:pt idx="94">
                  <c:v>3.23733</c:v>
                </c:pt>
                <c:pt idx="95">
                  <c:v>3.2457099999999999</c:v>
                </c:pt>
                <c:pt idx="96">
                  <c:v>3.2581199999999999</c:v>
                </c:pt>
                <c:pt idx="97">
                  <c:v>3.2718399999999996</c:v>
                </c:pt>
                <c:pt idx="98">
                  <c:v>3.2867099999999998</c:v>
                </c:pt>
                <c:pt idx="99">
                  <c:v>3.30382</c:v>
                </c:pt>
                <c:pt idx="100">
                  <c:v>3.3247800000000001</c:v>
                </c:pt>
                <c:pt idx="101">
                  <c:v>3.3467400000000005</c:v>
                </c:pt>
                <c:pt idx="102">
                  <c:v>3.37575</c:v>
                </c:pt>
                <c:pt idx="103">
                  <c:v>3.4082400000000002</c:v>
                </c:pt>
                <c:pt idx="104">
                  <c:v>3.4432</c:v>
                </c:pt>
                <c:pt idx="105">
                  <c:v>3.4772799999999999</c:v>
                </c:pt>
                <c:pt idx="106">
                  <c:v>3.5133199999999998</c:v>
                </c:pt>
                <c:pt idx="107">
                  <c:v>3.5498500000000002</c:v>
                </c:pt>
                <c:pt idx="108">
                  <c:v>3.5879100000000004</c:v>
                </c:pt>
                <c:pt idx="109">
                  <c:v>3.6258699999999999</c:v>
                </c:pt>
                <c:pt idx="110">
                  <c:v>3.6649500000000002</c:v>
                </c:pt>
                <c:pt idx="111">
                  <c:v>3.7000999999999999</c:v>
                </c:pt>
                <c:pt idx="112">
                  <c:v>3.7321300000000002</c:v>
                </c:pt>
                <c:pt idx="113">
                  <c:v>3.7624999999999997</c:v>
                </c:pt>
                <c:pt idx="114">
                  <c:v>3.79312</c:v>
                </c:pt>
                <c:pt idx="115">
                  <c:v>3.8189000000000002</c:v>
                </c:pt>
                <c:pt idx="116">
                  <c:v>3.8422000000000001</c:v>
                </c:pt>
                <c:pt idx="117">
                  <c:v>3.86558</c:v>
                </c:pt>
                <c:pt idx="118">
                  <c:v>3.8909599999999998</c:v>
                </c:pt>
                <c:pt idx="119">
                  <c:v>3.9114599999999999</c:v>
                </c:pt>
                <c:pt idx="120">
                  <c:v>3.92909</c:v>
                </c:pt>
                <c:pt idx="121">
                  <c:v>3.94435</c:v>
                </c:pt>
                <c:pt idx="122">
                  <c:v>3.9572800000000004</c:v>
                </c:pt>
                <c:pt idx="123">
                  <c:v>3.96889</c:v>
                </c:pt>
                <c:pt idx="124">
                  <c:v>3.9809000000000001</c:v>
                </c:pt>
                <c:pt idx="125">
                  <c:v>3.99092</c:v>
                </c:pt>
                <c:pt idx="126">
                  <c:v>4.0008499999999998</c:v>
                </c:pt>
                <c:pt idx="127">
                  <c:v>4.00746</c:v>
                </c:pt>
                <c:pt idx="128">
                  <c:v>4.0127000000000006</c:v>
                </c:pt>
                <c:pt idx="129">
                  <c:v>4.0171400000000004</c:v>
                </c:pt>
                <c:pt idx="130">
                  <c:v>4.02386</c:v>
                </c:pt>
                <c:pt idx="131">
                  <c:v>4.0285000000000002</c:v>
                </c:pt>
                <c:pt idx="132">
                  <c:v>4.0326500000000003</c:v>
                </c:pt>
                <c:pt idx="133">
                  <c:v>4.0343800000000005</c:v>
                </c:pt>
                <c:pt idx="134">
                  <c:v>4.0319899999999995</c:v>
                </c:pt>
                <c:pt idx="135">
                  <c:v>4.0244999999999997</c:v>
                </c:pt>
                <c:pt idx="136">
                  <c:v>4.0214400000000001</c:v>
                </c:pt>
                <c:pt idx="137">
                  <c:v>4.0162300000000002</c:v>
                </c:pt>
                <c:pt idx="138">
                  <c:v>4.00901</c:v>
                </c:pt>
                <c:pt idx="139">
                  <c:v>3.9991099999999999</c:v>
                </c:pt>
                <c:pt idx="140">
                  <c:v>3.99885</c:v>
                </c:pt>
                <c:pt idx="141">
                  <c:v>4.0038099999999996</c:v>
                </c:pt>
                <c:pt idx="142">
                  <c:v>4.00183</c:v>
                </c:pt>
                <c:pt idx="143">
                  <c:v>3.9822099999999998</c:v>
                </c:pt>
                <c:pt idx="144">
                  <c:v>3.9706399999999995</c:v>
                </c:pt>
                <c:pt idx="145">
                  <c:v>3.9624900000000003</c:v>
                </c:pt>
                <c:pt idx="146">
                  <c:v>3.9367000000000001</c:v>
                </c:pt>
                <c:pt idx="147">
                  <c:v>3.9291999999999998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  <c:pt idx="74">
                  <c:v>30.9405</c:v>
                </c:pt>
                <c:pt idx="75">
                  <c:v>31.243500000000001</c:v>
                </c:pt>
                <c:pt idx="76">
                  <c:v>31.487100000000002</c:v>
                </c:pt>
                <c:pt idx="77">
                  <c:v>31.764500000000002</c:v>
                </c:pt>
                <c:pt idx="78">
                  <c:v>32.094099999999997</c:v>
                </c:pt>
                <c:pt idx="79">
                  <c:v>32.452500000000001</c:v>
                </c:pt>
                <c:pt idx="80">
                  <c:v>32.834899999999998</c:v>
                </c:pt>
                <c:pt idx="81">
                  <c:v>33.207599999999999</c:v>
                </c:pt>
                <c:pt idx="82">
                  <c:v>33.547800000000002</c:v>
                </c:pt>
                <c:pt idx="83">
                  <c:v>33.8292</c:v>
                </c:pt>
                <c:pt idx="84">
                  <c:v>34.092299999999994</c:v>
                </c:pt>
                <c:pt idx="85">
                  <c:v>34.370899999999999</c:v>
                </c:pt>
                <c:pt idx="86">
                  <c:v>34.637900000000002</c:v>
                </c:pt>
                <c:pt idx="87">
                  <c:v>34.831299999999999</c:v>
                </c:pt>
                <c:pt idx="88">
                  <c:v>34.903300000000002</c:v>
                </c:pt>
                <c:pt idx="89">
                  <c:v>34.952199999999998</c:v>
                </c:pt>
                <c:pt idx="90">
                  <c:v>35.004999999999995</c:v>
                </c:pt>
                <c:pt idx="91">
                  <c:v>35.030799999999999</c:v>
                </c:pt>
                <c:pt idx="92">
                  <c:v>35.035500000000006</c:v>
                </c:pt>
                <c:pt idx="93">
                  <c:v>35.070099999999996</c:v>
                </c:pt>
                <c:pt idx="94">
                  <c:v>35.063200000000002</c:v>
                </c:pt>
                <c:pt idx="95">
                  <c:v>35.006500000000003</c:v>
                </c:pt>
                <c:pt idx="96">
                  <c:v>34.806899999999999</c:v>
                </c:pt>
                <c:pt idx="97">
                  <c:v>34.5869</c:v>
                </c:pt>
                <c:pt idx="98">
                  <c:v>34.340699999999998</c:v>
                </c:pt>
                <c:pt idx="99">
                  <c:v>34.003900000000002</c:v>
                </c:pt>
                <c:pt idx="100">
                  <c:v>33.639200000000002</c:v>
                </c:pt>
                <c:pt idx="101">
                  <c:v>33.278400000000005</c:v>
                </c:pt>
                <c:pt idx="102">
                  <c:v>32.822899999999997</c:v>
                </c:pt>
                <c:pt idx="103">
                  <c:v>32.300800000000002</c:v>
                </c:pt>
                <c:pt idx="104">
                  <c:v>31.814700000000002</c:v>
                </c:pt>
                <c:pt idx="105">
                  <c:v>31.428299999999997</c:v>
                </c:pt>
                <c:pt idx="106">
                  <c:v>31.033100000000001</c:v>
                </c:pt>
                <c:pt idx="107">
                  <c:v>30.659599999999998</c:v>
                </c:pt>
                <c:pt idx="108">
                  <c:v>30.342799999999997</c:v>
                </c:pt>
                <c:pt idx="109">
                  <c:v>30.038599999999999</c:v>
                </c:pt>
                <c:pt idx="110">
                  <c:v>29.680699999999998</c:v>
                </c:pt>
                <c:pt idx="111">
                  <c:v>29.450300000000002</c:v>
                </c:pt>
                <c:pt idx="112">
                  <c:v>29.141499999999997</c:v>
                </c:pt>
                <c:pt idx="113">
                  <c:v>28.863299999999999</c:v>
                </c:pt>
                <c:pt idx="114">
                  <c:v>28.612900000000003</c:v>
                </c:pt>
                <c:pt idx="115">
                  <c:v>28.453200000000002</c:v>
                </c:pt>
                <c:pt idx="116">
                  <c:v>28.4038</c:v>
                </c:pt>
                <c:pt idx="117">
                  <c:v>28.357800000000001</c:v>
                </c:pt>
                <c:pt idx="118">
                  <c:v>28.224300000000003</c:v>
                </c:pt>
                <c:pt idx="119">
                  <c:v>28.131800000000002</c:v>
                </c:pt>
                <c:pt idx="120">
                  <c:v>28.060299999999998</c:v>
                </c:pt>
                <c:pt idx="121">
                  <c:v>28.005999999999997</c:v>
                </c:pt>
                <c:pt idx="122">
                  <c:v>28.026299999999999</c:v>
                </c:pt>
                <c:pt idx="123">
                  <c:v>28.086899999999996</c:v>
                </c:pt>
                <c:pt idx="124">
                  <c:v>28.086400000000001</c:v>
                </c:pt>
                <c:pt idx="125">
                  <c:v>28.067500000000003</c:v>
                </c:pt>
                <c:pt idx="126">
                  <c:v>28.044799999999999</c:v>
                </c:pt>
                <c:pt idx="127">
                  <c:v>28.042899999999999</c:v>
                </c:pt>
                <c:pt idx="128">
                  <c:v>28.0899</c:v>
                </c:pt>
                <c:pt idx="129">
                  <c:v>28.151900000000001</c:v>
                </c:pt>
                <c:pt idx="130">
                  <c:v>28.1843</c:v>
                </c:pt>
                <c:pt idx="131">
                  <c:v>28.242699999999999</c:v>
                </c:pt>
                <c:pt idx="132">
                  <c:v>28.3354</c:v>
                </c:pt>
                <c:pt idx="133">
                  <c:v>28.3902</c:v>
                </c:pt>
                <c:pt idx="134">
                  <c:v>28.435199999999998</c:v>
                </c:pt>
                <c:pt idx="135">
                  <c:v>28.515499999999999</c:v>
                </c:pt>
                <c:pt idx="136">
                  <c:v>28.514299999999999</c:v>
                </c:pt>
                <c:pt idx="137">
                  <c:v>28.644399999999997</c:v>
                </c:pt>
                <c:pt idx="138">
                  <c:v>28.8155</c:v>
                </c:pt>
                <c:pt idx="139">
                  <c:v>29.020499999999998</c:v>
                </c:pt>
                <c:pt idx="140">
                  <c:v>29.170099999999998</c:v>
                </c:pt>
                <c:pt idx="141">
                  <c:v>29.207599999999999</c:v>
                </c:pt>
                <c:pt idx="142">
                  <c:v>29.211100000000002</c:v>
                </c:pt>
                <c:pt idx="143">
                  <c:v>29.395199999999999</c:v>
                </c:pt>
                <c:pt idx="144">
                  <c:v>29.550700000000003</c:v>
                </c:pt>
                <c:pt idx="145">
                  <c:v>29.761900000000001</c:v>
                </c:pt>
                <c:pt idx="146">
                  <c:v>30.195300000000003</c:v>
                </c:pt>
                <c:pt idx="147">
                  <c:v>30.359000000000002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2.1249400000000001</c:v>
                </c:pt>
                <c:pt idx="1">
                  <c:v>2.1669</c:v>
                </c:pt>
                <c:pt idx="2">
                  <c:v>2.2085699999999999</c:v>
                </c:pt>
                <c:pt idx="3">
                  <c:v>2.2477299999999998</c:v>
                </c:pt>
                <c:pt idx="4">
                  <c:v>2.2850799999999998</c:v>
                </c:pt>
                <c:pt idx="5">
                  <c:v>2.32151</c:v>
                </c:pt>
                <c:pt idx="6">
                  <c:v>2.3574600000000001</c:v>
                </c:pt>
                <c:pt idx="7">
                  <c:v>2.3930899999999999</c:v>
                </c:pt>
                <c:pt idx="8">
                  <c:v>2.4278599999999999</c:v>
                </c:pt>
                <c:pt idx="9">
                  <c:v>2.46136</c:v>
                </c:pt>
                <c:pt idx="10">
                  <c:v>2.4936799999999999</c:v>
                </c:pt>
                <c:pt idx="11">
                  <c:v>2.5238699999999996</c:v>
                </c:pt>
                <c:pt idx="12">
                  <c:v>2.5495000000000001</c:v>
                </c:pt>
                <c:pt idx="13">
                  <c:v>2.57396</c:v>
                </c:pt>
                <c:pt idx="14">
                  <c:v>2.5946699999999998</c:v>
                </c:pt>
                <c:pt idx="15">
                  <c:v>2.6115500000000003</c:v>
                </c:pt>
                <c:pt idx="16">
                  <c:v>2.6260400000000002</c:v>
                </c:pt>
                <c:pt idx="17">
                  <c:v>2.6388800000000003</c:v>
                </c:pt>
                <c:pt idx="18">
                  <c:v>2.6482999999999999</c:v>
                </c:pt>
                <c:pt idx="19">
                  <c:v>2.6572400000000003</c:v>
                </c:pt>
                <c:pt idx="20">
                  <c:v>2.6670400000000001</c:v>
                </c:pt>
                <c:pt idx="21">
                  <c:v>2.6754499999999997</c:v>
                </c:pt>
                <c:pt idx="22">
                  <c:v>2.68344</c:v>
                </c:pt>
                <c:pt idx="23">
                  <c:v>2.6928000000000001</c:v>
                </c:pt>
                <c:pt idx="24">
                  <c:v>2.7009300000000005</c:v>
                </c:pt>
                <c:pt idx="25">
                  <c:v>2.70797</c:v>
                </c:pt>
                <c:pt idx="26">
                  <c:v>2.7149800000000002</c:v>
                </c:pt>
                <c:pt idx="27">
                  <c:v>2.7218799999999996</c:v>
                </c:pt>
                <c:pt idx="28">
                  <c:v>2.7314500000000002</c:v>
                </c:pt>
                <c:pt idx="29">
                  <c:v>2.7437099999999996</c:v>
                </c:pt>
                <c:pt idx="30">
                  <c:v>2.7539200000000004</c:v>
                </c:pt>
                <c:pt idx="31">
                  <c:v>2.7631800000000002</c:v>
                </c:pt>
                <c:pt idx="32">
                  <c:v>2.7720799999999999</c:v>
                </c:pt>
                <c:pt idx="33">
                  <c:v>2.7805600000000004</c:v>
                </c:pt>
                <c:pt idx="34">
                  <c:v>2.7885300000000002</c:v>
                </c:pt>
                <c:pt idx="35">
                  <c:v>2.7982</c:v>
                </c:pt>
                <c:pt idx="36">
                  <c:v>2.81149</c:v>
                </c:pt>
                <c:pt idx="37">
                  <c:v>2.8278099999999999</c:v>
                </c:pt>
                <c:pt idx="38">
                  <c:v>2.8422299999999998</c:v>
                </c:pt>
                <c:pt idx="39">
                  <c:v>2.8563100000000001</c:v>
                </c:pt>
                <c:pt idx="40">
                  <c:v>2.8739300000000001</c:v>
                </c:pt>
                <c:pt idx="41">
                  <c:v>2.8944999999999999</c:v>
                </c:pt>
                <c:pt idx="42">
                  <c:v>2.9165799999999997</c:v>
                </c:pt>
                <c:pt idx="43">
                  <c:v>2.94259</c:v>
                </c:pt>
                <c:pt idx="44">
                  <c:v>2.96889</c:v>
                </c:pt>
                <c:pt idx="45">
                  <c:v>2.9961199999999999</c:v>
                </c:pt>
                <c:pt idx="46">
                  <c:v>3.0250300000000001</c:v>
                </c:pt>
                <c:pt idx="47">
                  <c:v>3.0556200000000002</c:v>
                </c:pt>
                <c:pt idx="48">
                  <c:v>3.08778</c:v>
                </c:pt>
                <c:pt idx="49">
                  <c:v>3.1183499999999995</c:v>
                </c:pt>
                <c:pt idx="50">
                  <c:v>3.14107</c:v>
                </c:pt>
                <c:pt idx="51">
                  <c:v>3.1763300000000001</c:v>
                </c:pt>
                <c:pt idx="52">
                  <c:v>3.2046299999999999</c:v>
                </c:pt>
                <c:pt idx="53">
                  <c:v>3.2237300000000002</c:v>
                </c:pt>
                <c:pt idx="54">
                  <c:v>3.2498700000000005</c:v>
                </c:pt>
                <c:pt idx="55">
                  <c:v>3.2856000000000001</c:v>
                </c:pt>
                <c:pt idx="56">
                  <c:v>3.3061000000000003</c:v>
                </c:pt>
                <c:pt idx="57">
                  <c:v>3.3359299999999998</c:v>
                </c:pt>
                <c:pt idx="58">
                  <c:v>3.3528899999999999</c:v>
                </c:pt>
                <c:pt idx="59">
                  <c:v>3.3736300000000004</c:v>
                </c:pt>
                <c:pt idx="60">
                  <c:v>3.3869300000000004</c:v>
                </c:pt>
                <c:pt idx="61">
                  <c:v>3.4005000000000001</c:v>
                </c:pt>
                <c:pt idx="62">
                  <c:v>3.4099200000000001</c:v>
                </c:pt>
                <c:pt idx="63">
                  <c:v>3.4192800000000001</c:v>
                </c:pt>
                <c:pt idx="64">
                  <c:v>3.42415</c:v>
                </c:pt>
                <c:pt idx="65">
                  <c:v>3.4320299999999997</c:v>
                </c:pt>
                <c:pt idx="66">
                  <c:v>3.43621</c:v>
                </c:pt>
                <c:pt idx="67">
                  <c:v>3.4409700000000001</c:v>
                </c:pt>
                <c:pt idx="68">
                  <c:v>3.4463400000000002</c:v>
                </c:pt>
                <c:pt idx="69">
                  <c:v>3.4483799999999998</c:v>
                </c:pt>
                <c:pt idx="70">
                  <c:v>3.4481600000000001</c:v>
                </c:pt>
                <c:pt idx="71">
                  <c:v>3.4435900000000004</c:v>
                </c:pt>
                <c:pt idx="72">
                  <c:v>3.4383699999999999</c:v>
                </c:pt>
                <c:pt idx="73">
                  <c:v>3.4335599999999999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58.422499999999999</c:v>
                </c:pt>
                <c:pt idx="1">
                  <c:v>57.721299999999999</c:v>
                </c:pt>
                <c:pt idx="2">
                  <c:v>56.985900000000001</c:v>
                </c:pt>
                <c:pt idx="3">
                  <c:v>56.211299999999994</c:v>
                </c:pt>
                <c:pt idx="4">
                  <c:v>55.493899999999996</c:v>
                </c:pt>
                <c:pt idx="5">
                  <c:v>54.836100000000002</c:v>
                </c:pt>
                <c:pt idx="6">
                  <c:v>54.190099999999994</c:v>
                </c:pt>
                <c:pt idx="7">
                  <c:v>53.532299999999999</c:v>
                </c:pt>
                <c:pt idx="8">
                  <c:v>52.854500000000002</c:v>
                </c:pt>
                <c:pt idx="9">
                  <c:v>52.149000000000001</c:v>
                </c:pt>
                <c:pt idx="10">
                  <c:v>51.489799999999995</c:v>
                </c:pt>
                <c:pt idx="11">
                  <c:v>50.915299999999995</c:v>
                </c:pt>
                <c:pt idx="12">
                  <c:v>50.4514</c:v>
                </c:pt>
                <c:pt idx="13">
                  <c:v>49.996499999999997</c:v>
                </c:pt>
                <c:pt idx="14">
                  <c:v>49.5304</c:v>
                </c:pt>
                <c:pt idx="15">
                  <c:v>49.158099999999997</c:v>
                </c:pt>
                <c:pt idx="16">
                  <c:v>48.818199999999997</c:v>
                </c:pt>
                <c:pt idx="17">
                  <c:v>48.512499999999996</c:v>
                </c:pt>
                <c:pt idx="18">
                  <c:v>48.198</c:v>
                </c:pt>
                <c:pt idx="19">
                  <c:v>47.867399999999996</c:v>
                </c:pt>
                <c:pt idx="20">
                  <c:v>47.537600000000005</c:v>
                </c:pt>
                <c:pt idx="21">
                  <c:v>47.214299999999994</c:v>
                </c:pt>
                <c:pt idx="22">
                  <c:v>46.872700000000002</c:v>
                </c:pt>
                <c:pt idx="23">
                  <c:v>46.53</c:v>
                </c:pt>
                <c:pt idx="24">
                  <c:v>46.195</c:v>
                </c:pt>
                <c:pt idx="25">
                  <c:v>45.855400000000003</c:v>
                </c:pt>
                <c:pt idx="26">
                  <c:v>45.506999999999998</c:v>
                </c:pt>
                <c:pt idx="27">
                  <c:v>45.1633</c:v>
                </c:pt>
                <c:pt idx="28">
                  <c:v>44.774700000000003</c:v>
                </c:pt>
                <c:pt idx="29">
                  <c:v>44.400800000000004</c:v>
                </c:pt>
                <c:pt idx="30">
                  <c:v>44.039699999999996</c:v>
                </c:pt>
                <c:pt idx="31">
                  <c:v>43.652799999999999</c:v>
                </c:pt>
                <c:pt idx="32">
                  <c:v>43.261099999999999</c:v>
                </c:pt>
                <c:pt idx="33">
                  <c:v>42.869800000000005</c:v>
                </c:pt>
                <c:pt idx="34">
                  <c:v>42.501400000000004</c:v>
                </c:pt>
                <c:pt idx="35">
                  <c:v>42.083399999999997</c:v>
                </c:pt>
                <c:pt idx="36">
                  <c:v>41.566399999999994</c:v>
                </c:pt>
                <c:pt idx="37">
                  <c:v>41.001199999999997</c:v>
                </c:pt>
                <c:pt idx="38">
                  <c:v>40.502000000000002</c:v>
                </c:pt>
                <c:pt idx="39">
                  <c:v>40.064899999999994</c:v>
                </c:pt>
                <c:pt idx="40">
                  <c:v>39.569600000000001</c:v>
                </c:pt>
                <c:pt idx="41">
                  <c:v>39.063900000000004</c:v>
                </c:pt>
                <c:pt idx="42">
                  <c:v>38.534700000000001</c:v>
                </c:pt>
                <c:pt idx="43">
                  <c:v>38.008299999999998</c:v>
                </c:pt>
                <c:pt idx="44">
                  <c:v>37.492599999999996</c:v>
                </c:pt>
                <c:pt idx="45">
                  <c:v>36.942599999999999</c:v>
                </c:pt>
                <c:pt idx="46">
                  <c:v>36.429699999999997</c:v>
                </c:pt>
                <c:pt idx="47">
                  <c:v>35.942</c:v>
                </c:pt>
                <c:pt idx="48">
                  <c:v>35.373599999999996</c:v>
                </c:pt>
                <c:pt idx="49">
                  <c:v>34.840400000000002</c:v>
                </c:pt>
                <c:pt idx="50">
                  <c:v>34.522300000000001</c:v>
                </c:pt>
                <c:pt idx="51">
                  <c:v>33.8446</c:v>
                </c:pt>
                <c:pt idx="52">
                  <c:v>33.311099999999996</c:v>
                </c:pt>
                <c:pt idx="53">
                  <c:v>32.945999999999998</c:v>
                </c:pt>
                <c:pt idx="54">
                  <c:v>32.316200000000002</c:v>
                </c:pt>
                <c:pt idx="55">
                  <c:v>31.604900000000001</c:v>
                </c:pt>
                <c:pt idx="56">
                  <c:v>31.290699999999998</c:v>
                </c:pt>
                <c:pt idx="57">
                  <c:v>30.857099999999999</c:v>
                </c:pt>
                <c:pt idx="58">
                  <c:v>30.6572</c:v>
                </c:pt>
                <c:pt idx="59">
                  <c:v>30.412699999999997</c:v>
                </c:pt>
                <c:pt idx="60">
                  <c:v>30.2348</c:v>
                </c:pt>
                <c:pt idx="61">
                  <c:v>30.096299999999999</c:v>
                </c:pt>
                <c:pt idx="62">
                  <c:v>29.971799999999998</c:v>
                </c:pt>
                <c:pt idx="63">
                  <c:v>29.928700000000003</c:v>
                </c:pt>
                <c:pt idx="64">
                  <c:v>29.997800000000002</c:v>
                </c:pt>
                <c:pt idx="65">
                  <c:v>29.937599999999996</c:v>
                </c:pt>
                <c:pt idx="66">
                  <c:v>29.974600000000002</c:v>
                </c:pt>
                <c:pt idx="67">
                  <c:v>30.092500000000001</c:v>
                </c:pt>
                <c:pt idx="68">
                  <c:v>30.074099999999998</c:v>
                </c:pt>
                <c:pt idx="69">
                  <c:v>30.147500000000001</c:v>
                </c:pt>
                <c:pt idx="70">
                  <c:v>30.224899999999998</c:v>
                </c:pt>
                <c:pt idx="71">
                  <c:v>30.436299999999999</c:v>
                </c:pt>
                <c:pt idx="72">
                  <c:v>30.59</c:v>
                </c:pt>
                <c:pt idx="73">
                  <c:v>30.708099999999998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3.4335599999999999</c:v>
                </c:pt>
                <c:pt idx="1">
                  <c:v>3.4255799999999996</c:v>
                </c:pt>
                <c:pt idx="2">
                  <c:v>3.41364</c:v>
                </c:pt>
                <c:pt idx="3">
                  <c:v>3.4043600000000001</c:v>
                </c:pt>
                <c:pt idx="4">
                  <c:v>3.3911200000000004</c:v>
                </c:pt>
                <c:pt idx="5">
                  <c:v>3.3744899999999998</c:v>
                </c:pt>
                <c:pt idx="6">
                  <c:v>3.35364</c:v>
                </c:pt>
                <c:pt idx="7">
                  <c:v>3.3311000000000002</c:v>
                </c:pt>
                <c:pt idx="8">
                  <c:v>3.3089900000000001</c:v>
                </c:pt>
                <c:pt idx="9">
                  <c:v>3.2879100000000001</c:v>
                </c:pt>
                <c:pt idx="10">
                  <c:v>3.2698100000000001</c:v>
                </c:pt>
                <c:pt idx="11">
                  <c:v>3.25556</c:v>
                </c:pt>
                <c:pt idx="12">
                  <c:v>3.2436100000000003</c:v>
                </c:pt>
                <c:pt idx="13">
                  <c:v>3.2322499999999996</c:v>
                </c:pt>
                <c:pt idx="14">
                  <c:v>3.2267700000000001</c:v>
                </c:pt>
                <c:pt idx="15">
                  <c:v>3.2260100000000005</c:v>
                </c:pt>
                <c:pt idx="16">
                  <c:v>3.2268799999999995</c:v>
                </c:pt>
                <c:pt idx="17">
                  <c:v>3.2280599999999997</c:v>
                </c:pt>
                <c:pt idx="18">
                  <c:v>3.2276500000000001</c:v>
                </c:pt>
                <c:pt idx="19">
                  <c:v>3.2282300000000004</c:v>
                </c:pt>
                <c:pt idx="20">
                  <c:v>3.2315100000000001</c:v>
                </c:pt>
                <c:pt idx="21">
                  <c:v>3.23733</c:v>
                </c:pt>
                <c:pt idx="22">
                  <c:v>3.2457099999999999</c:v>
                </c:pt>
                <c:pt idx="23">
                  <c:v>3.2581199999999999</c:v>
                </c:pt>
                <c:pt idx="24">
                  <c:v>3.2718399999999996</c:v>
                </c:pt>
                <c:pt idx="25">
                  <c:v>3.2867099999999998</c:v>
                </c:pt>
                <c:pt idx="26">
                  <c:v>3.30382</c:v>
                </c:pt>
                <c:pt idx="27">
                  <c:v>3.3247800000000001</c:v>
                </c:pt>
                <c:pt idx="28">
                  <c:v>3.3467400000000005</c:v>
                </c:pt>
                <c:pt idx="29">
                  <c:v>3.37575</c:v>
                </c:pt>
                <c:pt idx="30">
                  <c:v>3.4082400000000002</c:v>
                </c:pt>
                <c:pt idx="31">
                  <c:v>3.4432</c:v>
                </c:pt>
                <c:pt idx="32">
                  <c:v>3.4772799999999999</c:v>
                </c:pt>
                <c:pt idx="33">
                  <c:v>3.5133199999999998</c:v>
                </c:pt>
                <c:pt idx="34">
                  <c:v>3.5498500000000002</c:v>
                </c:pt>
                <c:pt idx="35">
                  <c:v>3.5879100000000004</c:v>
                </c:pt>
                <c:pt idx="36">
                  <c:v>3.6258699999999999</c:v>
                </c:pt>
                <c:pt idx="37">
                  <c:v>3.6649500000000002</c:v>
                </c:pt>
                <c:pt idx="38">
                  <c:v>3.7000999999999999</c:v>
                </c:pt>
                <c:pt idx="39">
                  <c:v>3.7321300000000002</c:v>
                </c:pt>
                <c:pt idx="40">
                  <c:v>3.7624999999999997</c:v>
                </c:pt>
                <c:pt idx="41">
                  <c:v>3.79312</c:v>
                </c:pt>
                <c:pt idx="42">
                  <c:v>3.8189000000000002</c:v>
                </c:pt>
                <c:pt idx="43">
                  <c:v>3.8422000000000001</c:v>
                </c:pt>
                <c:pt idx="44">
                  <c:v>3.86558</c:v>
                </c:pt>
                <c:pt idx="45">
                  <c:v>3.8909599999999998</c:v>
                </c:pt>
                <c:pt idx="46">
                  <c:v>3.9114599999999999</c:v>
                </c:pt>
                <c:pt idx="47">
                  <c:v>3.92909</c:v>
                </c:pt>
                <c:pt idx="48">
                  <c:v>3.94435</c:v>
                </c:pt>
                <c:pt idx="49">
                  <c:v>3.9572800000000004</c:v>
                </c:pt>
                <c:pt idx="50">
                  <c:v>3.96889</c:v>
                </c:pt>
                <c:pt idx="51">
                  <c:v>3.9809000000000001</c:v>
                </c:pt>
                <c:pt idx="52">
                  <c:v>3.99092</c:v>
                </c:pt>
                <c:pt idx="53">
                  <c:v>4.0008499999999998</c:v>
                </c:pt>
                <c:pt idx="54">
                  <c:v>4.00746</c:v>
                </c:pt>
                <c:pt idx="55">
                  <c:v>4.0127000000000006</c:v>
                </c:pt>
                <c:pt idx="56">
                  <c:v>4.0171400000000004</c:v>
                </c:pt>
                <c:pt idx="57">
                  <c:v>4.02386</c:v>
                </c:pt>
                <c:pt idx="58">
                  <c:v>4.0285000000000002</c:v>
                </c:pt>
                <c:pt idx="59">
                  <c:v>4.0326500000000003</c:v>
                </c:pt>
                <c:pt idx="60">
                  <c:v>4.0343800000000005</c:v>
                </c:pt>
                <c:pt idx="61">
                  <c:v>4.0319899999999995</c:v>
                </c:pt>
                <c:pt idx="62">
                  <c:v>4.0244999999999997</c:v>
                </c:pt>
                <c:pt idx="63">
                  <c:v>4.0214400000000001</c:v>
                </c:pt>
                <c:pt idx="64">
                  <c:v>4.0162300000000002</c:v>
                </c:pt>
                <c:pt idx="65">
                  <c:v>4.00901</c:v>
                </c:pt>
                <c:pt idx="66">
                  <c:v>3.9991099999999999</c:v>
                </c:pt>
                <c:pt idx="67">
                  <c:v>3.99885</c:v>
                </c:pt>
                <c:pt idx="68">
                  <c:v>4.0038099999999996</c:v>
                </c:pt>
                <c:pt idx="69">
                  <c:v>4.00183</c:v>
                </c:pt>
                <c:pt idx="70">
                  <c:v>3.9822099999999998</c:v>
                </c:pt>
                <c:pt idx="71">
                  <c:v>3.9706399999999995</c:v>
                </c:pt>
                <c:pt idx="72">
                  <c:v>3.9624900000000003</c:v>
                </c:pt>
                <c:pt idx="73">
                  <c:v>3.9367000000000001</c:v>
                </c:pt>
                <c:pt idx="74">
                  <c:v>3.9291999999999998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30.708099999999998</c:v>
                </c:pt>
                <c:pt idx="1">
                  <c:v>30.9405</c:v>
                </c:pt>
                <c:pt idx="2">
                  <c:v>31.243500000000001</c:v>
                </c:pt>
                <c:pt idx="3">
                  <c:v>31.487100000000002</c:v>
                </c:pt>
                <c:pt idx="4">
                  <c:v>31.764500000000002</c:v>
                </c:pt>
                <c:pt idx="5">
                  <c:v>32.094099999999997</c:v>
                </c:pt>
                <c:pt idx="6">
                  <c:v>32.452500000000001</c:v>
                </c:pt>
                <c:pt idx="7">
                  <c:v>32.834899999999998</c:v>
                </c:pt>
                <c:pt idx="8">
                  <c:v>33.207599999999999</c:v>
                </c:pt>
                <c:pt idx="9">
                  <c:v>33.547800000000002</c:v>
                </c:pt>
                <c:pt idx="10">
                  <c:v>33.8292</c:v>
                </c:pt>
                <c:pt idx="11">
                  <c:v>34.092299999999994</c:v>
                </c:pt>
                <c:pt idx="12">
                  <c:v>34.370899999999999</c:v>
                </c:pt>
                <c:pt idx="13">
                  <c:v>34.637900000000002</c:v>
                </c:pt>
                <c:pt idx="14">
                  <c:v>34.831299999999999</c:v>
                </c:pt>
                <c:pt idx="15">
                  <c:v>34.903300000000002</c:v>
                </c:pt>
                <c:pt idx="16">
                  <c:v>34.952199999999998</c:v>
                </c:pt>
                <c:pt idx="17">
                  <c:v>35.004999999999995</c:v>
                </c:pt>
                <c:pt idx="18">
                  <c:v>35.030799999999999</c:v>
                </c:pt>
                <c:pt idx="19">
                  <c:v>35.035500000000006</c:v>
                </c:pt>
                <c:pt idx="20">
                  <c:v>35.070099999999996</c:v>
                </c:pt>
                <c:pt idx="21">
                  <c:v>35.063200000000002</c:v>
                </c:pt>
                <c:pt idx="22">
                  <c:v>35.006500000000003</c:v>
                </c:pt>
                <c:pt idx="23">
                  <c:v>34.806899999999999</c:v>
                </c:pt>
                <c:pt idx="24">
                  <c:v>34.5869</c:v>
                </c:pt>
                <c:pt idx="25">
                  <c:v>34.340699999999998</c:v>
                </c:pt>
                <c:pt idx="26">
                  <c:v>34.003900000000002</c:v>
                </c:pt>
                <c:pt idx="27">
                  <c:v>33.639200000000002</c:v>
                </c:pt>
                <c:pt idx="28">
                  <c:v>33.278400000000005</c:v>
                </c:pt>
                <c:pt idx="29">
                  <c:v>32.822899999999997</c:v>
                </c:pt>
                <c:pt idx="30">
                  <c:v>32.300800000000002</c:v>
                </c:pt>
                <c:pt idx="31">
                  <c:v>31.814700000000002</c:v>
                </c:pt>
                <c:pt idx="32">
                  <c:v>31.428299999999997</c:v>
                </c:pt>
                <c:pt idx="33">
                  <c:v>31.033100000000001</c:v>
                </c:pt>
                <c:pt idx="34">
                  <c:v>30.659599999999998</c:v>
                </c:pt>
                <c:pt idx="35">
                  <c:v>30.342799999999997</c:v>
                </c:pt>
                <c:pt idx="36">
                  <c:v>30.038599999999999</c:v>
                </c:pt>
                <c:pt idx="37">
                  <c:v>29.680699999999998</c:v>
                </c:pt>
                <c:pt idx="38">
                  <c:v>29.450300000000002</c:v>
                </c:pt>
                <c:pt idx="39">
                  <c:v>29.141499999999997</c:v>
                </c:pt>
                <c:pt idx="40">
                  <c:v>28.863299999999999</c:v>
                </c:pt>
                <c:pt idx="41">
                  <c:v>28.612900000000003</c:v>
                </c:pt>
                <c:pt idx="42">
                  <c:v>28.453200000000002</c:v>
                </c:pt>
                <c:pt idx="43">
                  <c:v>28.4038</c:v>
                </c:pt>
                <c:pt idx="44">
                  <c:v>28.357800000000001</c:v>
                </c:pt>
                <c:pt idx="45">
                  <c:v>28.224300000000003</c:v>
                </c:pt>
                <c:pt idx="46">
                  <c:v>28.131800000000002</c:v>
                </c:pt>
                <c:pt idx="47">
                  <c:v>28.060299999999998</c:v>
                </c:pt>
                <c:pt idx="48">
                  <c:v>28.005999999999997</c:v>
                </c:pt>
                <c:pt idx="49">
                  <c:v>28.026299999999999</c:v>
                </c:pt>
                <c:pt idx="50">
                  <c:v>28.086899999999996</c:v>
                </c:pt>
                <c:pt idx="51">
                  <c:v>28.086400000000001</c:v>
                </c:pt>
                <c:pt idx="52">
                  <c:v>28.067500000000003</c:v>
                </c:pt>
                <c:pt idx="53">
                  <c:v>28.044799999999999</c:v>
                </c:pt>
                <c:pt idx="54">
                  <c:v>28.042899999999999</c:v>
                </c:pt>
                <c:pt idx="55">
                  <c:v>28.0899</c:v>
                </c:pt>
                <c:pt idx="56">
                  <c:v>28.151900000000001</c:v>
                </c:pt>
                <c:pt idx="57">
                  <c:v>28.1843</c:v>
                </c:pt>
                <c:pt idx="58">
                  <c:v>28.242699999999999</c:v>
                </c:pt>
                <c:pt idx="59">
                  <c:v>28.3354</c:v>
                </c:pt>
                <c:pt idx="60">
                  <c:v>28.3902</c:v>
                </c:pt>
                <c:pt idx="61">
                  <c:v>28.435199999999998</c:v>
                </c:pt>
                <c:pt idx="62">
                  <c:v>28.515499999999999</c:v>
                </c:pt>
                <c:pt idx="63">
                  <c:v>28.514299999999999</c:v>
                </c:pt>
                <c:pt idx="64">
                  <c:v>28.644399999999997</c:v>
                </c:pt>
                <c:pt idx="65">
                  <c:v>28.8155</c:v>
                </c:pt>
                <c:pt idx="66">
                  <c:v>29.020499999999998</c:v>
                </c:pt>
                <c:pt idx="67">
                  <c:v>29.170099999999998</c:v>
                </c:pt>
                <c:pt idx="68">
                  <c:v>29.207599999999999</c:v>
                </c:pt>
                <c:pt idx="69">
                  <c:v>29.211100000000002</c:v>
                </c:pt>
                <c:pt idx="70">
                  <c:v>29.395199999999999</c:v>
                </c:pt>
                <c:pt idx="71">
                  <c:v>29.550700000000003</c:v>
                </c:pt>
                <c:pt idx="72">
                  <c:v>29.761900000000001</c:v>
                </c:pt>
                <c:pt idx="73">
                  <c:v>30.195300000000003</c:v>
                </c:pt>
                <c:pt idx="74">
                  <c:v>30.359000000000002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2.1249400000000001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58.422499999999999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2.8984285135135135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41.152745945945938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3.6478718918918935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30.897687837837839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3.6478718918918935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30.897687837837839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571</v>
      </c>
      <c r="D5" s="151"/>
      <c r="E5" s="151"/>
      <c r="F5" s="152"/>
      <c r="G5" s="48" t="str">
        <f>lang!B27</f>
        <v>编号</v>
      </c>
      <c r="H5" s="150">
        <v>23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570</v>
      </c>
      <c r="D6" s="188"/>
      <c r="E6" s="188"/>
      <c r="F6" s="189"/>
      <c r="G6" s="49" t="str">
        <f>lang!B28</f>
        <v xml:space="preserve"> 日期</v>
      </c>
      <c r="H6" s="172">
        <f>FH_info!A2</f>
        <v>43621.445543981485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74</v>
      </c>
      <c r="D7" s="191"/>
      <c r="E7" s="191"/>
      <c r="F7" s="192"/>
      <c r="G7" s="50" t="str">
        <f>lang!B29</f>
        <v>误差率（%）</v>
      </c>
      <c r="H7" s="175">
        <f>M!B17*1</f>
        <v>17.622599999999998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43.334299999999999</v>
      </c>
      <c r="O8" s="59">
        <f>M!C5*1</f>
        <v>9.4068000000000005</v>
      </c>
      <c r="P8" s="59">
        <f>M!D5*1</f>
        <v>21.7075</v>
      </c>
      <c r="Q8" s="59">
        <f>M!E5*1</f>
        <v>20</v>
      </c>
      <c r="R8" s="59">
        <f>M!F5*1</f>
        <v>15.4587</v>
      </c>
      <c r="S8" s="59">
        <f>M!G5*1</f>
        <v>50</v>
      </c>
      <c r="T8" s="59">
        <f>M!H5*1</f>
        <v>57.764899999999997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35.807200000000002</v>
      </c>
      <c r="O9" s="59">
        <f>M!C6*1</f>
        <v>4.94991</v>
      </c>
      <c r="P9" s="59">
        <f>M!D6*1</f>
        <v>13.8238</v>
      </c>
      <c r="Q9" s="59">
        <f>M!E6*1</f>
        <v>20</v>
      </c>
      <c r="R9" s="59">
        <f>M!F6*1</f>
        <v>21.524100000000001</v>
      </c>
      <c r="S9" s="59">
        <f>M!G6*1</f>
        <v>40</v>
      </c>
      <c r="T9" s="59">
        <f>M!H6*1</f>
        <v>42.838700000000003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15.4587</v>
      </c>
      <c r="D10" s="99">
        <f>N8</f>
        <v>43.334299999999999</v>
      </c>
      <c r="E10" s="100">
        <f>T8</f>
        <v>57.764899999999997</v>
      </c>
      <c r="F10" s="91">
        <f>P8</f>
        <v>21.7075</v>
      </c>
      <c r="G10" s="81" t="str">
        <f>CONCATENATE(M9,"
(20 ~ 40)")</f>
        <v>压力
(20 ~ 40)</v>
      </c>
      <c r="H10" s="98">
        <f>R9</f>
        <v>21.524100000000001</v>
      </c>
      <c r="I10" s="108">
        <f>N9</f>
        <v>35.807200000000002</v>
      </c>
      <c r="J10" s="98">
        <f>T9</f>
        <v>42.838700000000003</v>
      </c>
      <c r="K10" s="92">
        <f>P9</f>
        <v>13.8238</v>
      </c>
      <c r="L10" s="6"/>
      <c r="M10" s="27" t="str">
        <f>lang!B16</f>
        <v>焦虑</v>
      </c>
      <c r="N10" s="59">
        <f>M!B7*1</f>
        <v>29.6938</v>
      </c>
      <c r="O10" s="59">
        <f>M!C7*1</f>
        <v>7.6647499999999997</v>
      </c>
      <c r="P10" s="59">
        <f>M!D7*1</f>
        <v>25.8127</v>
      </c>
      <c r="Q10" s="59">
        <f>M!E7*1</f>
        <v>15</v>
      </c>
      <c r="R10" s="59">
        <f>M!F7*1</f>
        <v>18.975000000000001</v>
      </c>
      <c r="S10" s="59">
        <f>M!G7*1</f>
        <v>40</v>
      </c>
      <c r="T10" s="59">
        <f>M!H7*1</f>
        <v>53.248100000000001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18.975000000000001</v>
      </c>
      <c r="D11" s="102">
        <f>N10</f>
        <v>29.6938</v>
      </c>
      <c r="E11" s="103">
        <f>T10</f>
        <v>53.248100000000001</v>
      </c>
      <c r="F11" s="94">
        <f>P10</f>
        <v>25.8127</v>
      </c>
      <c r="G11" s="52" t="str">
        <f>CONCATENATE(M11,"
(20 ~ 50)")</f>
        <v>可疑
(20 ~ 50)</v>
      </c>
      <c r="H11" s="101">
        <f>R11</f>
        <v>20.828600000000002</v>
      </c>
      <c r="I11" s="104">
        <f>N11</f>
        <v>36.8292</v>
      </c>
      <c r="J11" s="101">
        <f>T11</f>
        <v>41.708300000000001</v>
      </c>
      <c r="K11" s="95">
        <f>P11</f>
        <v>13.1983</v>
      </c>
      <c r="L11" s="4"/>
      <c r="M11" s="27" t="str">
        <f>lang!B17</f>
        <v>可疑</v>
      </c>
      <c r="N11" s="59">
        <f>M!B8*1</f>
        <v>36.8292</v>
      </c>
      <c r="O11" s="59">
        <f>M!C8*1</f>
        <v>4.86083</v>
      </c>
      <c r="P11" s="59">
        <f>M!D8*1</f>
        <v>13.1983</v>
      </c>
      <c r="Q11" s="59">
        <f>M!E8*1</f>
        <v>20</v>
      </c>
      <c r="R11" s="59">
        <f>M!F8*1</f>
        <v>20.828600000000002</v>
      </c>
      <c r="S11" s="59">
        <f>M!G8*1</f>
        <v>50</v>
      </c>
      <c r="T11" s="59">
        <f>M!H8*1</f>
        <v>41.708300000000001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54.107999999999997</v>
      </c>
      <c r="D12" s="104">
        <f>N12</f>
        <v>63.596200000000003</v>
      </c>
      <c r="E12" s="101">
        <f>T12</f>
        <v>77.402699999999996</v>
      </c>
      <c r="F12" s="93">
        <f>P12</f>
        <v>8.8924299999999992</v>
      </c>
      <c r="G12" s="52" t="str">
        <f>CONCATENATE(M13,"
(40 ~ 100)")</f>
        <v>自信
(40 ~ 100)</v>
      </c>
      <c r="H12" s="101">
        <f>R13</f>
        <v>65.445099999999996</v>
      </c>
      <c r="I12" s="104">
        <f>N13</f>
        <v>73.353700000000003</v>
      </c>
      <c r="J12" s="101">
        <f>T13</f>
        <v>81.062700000000007</v>
      </c>
      <c r="K12" s="95">
        <f>P13</f>
        <v>5.3903100000000004</v>
      </c>
      <c r="L12" s="4"/>
      <c r="M12" s="27" t="str">
        <f>lang!B18</f>
        <v>平衡</v>
      </c>
      <c r="N12" s="59">
        <f>M!B9*1</f>
        <v>63.596200000000003</v>
      </c>
      <c r="O12" s="59">
        <f>M!C9*1</f>
        <v>5.65524</v>
      </c>
      <c r="P12" s="59">
        <f>M!D9*1</f>
        <v>8.8924299999999992</v>
      </c>
      <c r="Q12" s="59">
        <f>M!E9*1</f>
        <v>50</v>
      </c>
      <c r="R12" s="59">
        <f>M!F9*1</f>
        <v>54.107999999999997</v>
      </c>
      <c r="S12" s="59">
        <f>M!G9*1</f>
        <v>100</v>
      </c>
      <c r="T12" s="59">
        <f>M!H9*1</f>
        <v>77.402699999999996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10.3101</v>
      </c>
      <c r="D13" s="102">
        <f>N14</f>
        <v>18.79</v>
      </c>
      <c r="E13" s="103">
        <f>T14</f>
        <v>26.771999999999998</v>
      </c>
      <c r="F13" s="94">
        <f>P14</f>
        <v>20.578299999999999</v>
      </c>
      <c r="G13" s="52" t="str">
        <f>CONCATENATE(M15,"
(50 ~ 100)")</f>
        <v>自我调节
(50 ~ 100)</v>
      </c>
      <c r="H13" s="101">
        <f>R15</f>
        <v>62.581200000000003</v>
      </c>
      <c r="I13" s="104">
        <f>N15</f>
        <v>67.012299999999996</v>
      </c>
      <c r="J13" s="101">
        <f>T15</f>
        <v>79.0214</v>
      </c>
      <c r="K13" s="95">
        <f>P15</f>
        <v>5.9876300000000002</v>
      </c>
      <c r="L13" s="4"/>
      <c r="M13" s="27" t="str">
        <f>lang!B19</f>
        <v>自信</v>
      </c>
      <c r="N13" s="59">
        <f>M!B10*1</f>
        <v>73.353700000000003</v>
      </c>
      <c r="O13" s="59">
        <f>M!C10*1</f>
        <v>3.9539900000000001</v>
      </c>
      <c r="P13" s="59">
        <f>M!D10*1</f>
        <v>5.3903100000000004</v>
      </c>
      <c r="Q13" s="59">
        <f>M!E10*1</f>
        <v>40</v>
      </c>
      <c r="R13" s="59">
        <f>M!F10*1</f>
        <v>65.445099999999996</v>
      </c>
      <c r="S13" s="59">
        <f>M!G10*1</f>
        <v>100</v>
      </c>
      <c r="T13" s="59">
        <f>M!H10*1</f>
        <v>81.062700000000007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11.7988</v>
      </c>
      <c r="D14" s="106">
        <f>N16</f>
        <v>23.604399999999998</v>
      </c>
      <c r="E14" s="107">
        <f>T16</f>
        <v>39.604599999999998</v>
      </c>
      <c r="F14" s="96">
        <f>P16</f>
        <v>22.390699999999999</v>
      </c>
      <c r="G14" s="112" t="str">
        <f>CONCATENATE(M17,"
(10 ~ 50)")</f>
        <v>神经质
(10 ~ 50)</v>
      </c>
      <c r="H14" s="105">
        <f>R17</f>
        <v>1.3534999999999999</v>
      </c>
      <c r="I14" s="106">
        <f>N17</f>
        <v>52.851900000000001</v>
      </c>
      <c r="J14" s="107">
        <f>T17</f>
        <v>57.179099999999998</v>
      </c>
      <c r="K14" s="97">
        <f>P17</f>
        <v>38.444400000000002</v>
      </c>
      <c r="M14" s="27" t="str">
        <f>lang!B20</f>
        <v>活力</v>
      </c>
      <c r="N14" s="59">
        <f>M!B11*1</f>
        <v>18.79</v>
      </c>
      <c r="O14" s="59">
        <f>M!C11*1</f>
        <v>3.8666700000000001</v>
      </c>
      <c r="P14" s="59">
        <f>M!D11*1</f>
        <v>20.578299999999999</v>
      </c>
      <c r="Q14" s="59">
        <f>M!E11*1</f>
        <v>10</v>
      </c>
      <c r="R14" s="59">
        <f>M!F11*1</f>
        <v>10.3101</v>
      </c>
      <c r="S14" s="59">
        <f>M!G11*1</f>
        <v>50</v>
      </c>
      <c r="T14" s="59">
        <f>M!H11*1</f>
        <v>26.771999999999998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67.012299999999996</v>
      </c>
      <c r="O15" s="59">
        <f>M!C12*1</f>
        <v>4.0124500000000003</v>
      </c>
      <c r="P15" s="59">
        <f>M!D12*1</f>
        <v>5.9876300000000002</v>
      </c>
      <c r="Q15" s="59">
        <f>M!E12*1</f>
        <v>50</v>
      </c>
      <c r="R15" s="59">
        <f>M!F12*1</f>
        <v>62.581200000000003</v>
      </c>
      <c r="S15" s="59">
        <f>M!G12*1</f>
        <v>100</v>
      </c>
      <c r="T15" s="59">
        <f>M!H12*1</f>
        <v>79.0214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23.604399999999998</v>
      </c>
      <c r="O16" s="59">
        <f>M!C13*1</f>
        <v>5.2851900000000001</v>
      </c>
      <c r="P16" s="59">
        <f>M!D13*1</f>
        <v>22.390699999999999</v>
      </c>
      <c r="Q16" s="59">
        <f>M!E13*1</f>
        <v>10</v>
      </c>
      <c r="R16" s="59">
        <f>M!F13*1</f>
        <v>11.7988</v>
      </c>
      <c r="S16" s="59">
        <f>M!G13*1</f>
        <v>25</v>
      </c>
      <c r="T16" s="59">
        <f>M!H13*1</f>
        <v>39.604599999999998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52.851900000000001</v>
      </c>
      <c r="O17" s="59">
        <f>M!C14*1</f>
        <v>20.3186</v>
      </c>
      <c r="P17" s="59">
        <f>M!D14*1</f>
        <v>38.444400000000002</v>
      </c>
      <c r="Q17" s="59">
        <f>M!E14*1</f>
        <v>10</v>
      </c>
      <c r="R17" s="59">
        <f>M!F14*1</f>
        <v>1.3534999999999999</v>
      </c>
      <c r="S17" s="59">
        <f>M!G14*1</f>
        <v>50</v>
      </c>
      <c r="T17" s="59">
        <f>M!H14*1</f>
        <v>57.179099999999998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55.688050000000004</v>
      </c>
      <c r="O18" s="22">
        <f>N18/(N18+N19+N20)</f>
        <v>0.42727734658305228</v>
      </c>
      <c r="P18" s="65">
        <f>SUM(P12:P15)/4</f>
        <v>10.212167500000001</v>
      </c>
      <c r="Q18" s="22">
        <f>P18/(P18+P19+P20)</f>
        <v>0.17231278323649549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36.416125000000001</v>
      </c>
      <c r="O19" s="22">
        <f>N19/(N18+N19+N20)</f>
        <v>0.27940977036970682</v>
      </c>
      <c r="P19" s="18">
        <f>SUM(P8:P11)/4</f>
        <v>18.635574999999999</v>
      </c>
      <c r="Q19" s="22">
        <f>P19/(P18+P19+P20)</f>
        <v>0.31444331435637474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38.228149999999999</v>
      </c>
      <c r="O20" s="22">
        <f>N20/(N18+N19+N20)</f>
        <v>0.29331288304724096</v>
      </c>
      <c r="P20" s="18">
        <f>(P16+P17)/2</f>
        <v>30.417549999999999</v>
      </c>
      <c r="Q20" s="22">
        <f>P20/(P18+P19+P20)</f>
        <v>0.51324390240712969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-0.17749491891891894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1.5559729551249668</v>
      </c>
      <c r="D25" s="44" t="str">
        <f>lang!B11</f>
        <v>频率方差</v>
      </c>
      <c r="E25" s="142">
        <f ca="1">FH!L3</f>
        <v>0.68077423892555811</v>
      </c>
      <c r="F25" s="143"/>
      <c r="G25" s="134" t="str">
        <f>lang!B12</f>
        <v>生理变化率</v>
      </c>
      <c r="H25" s="135"/>
      <c r="I25" s="62" t="str">
        <f ca="1">CONCATENATE(info!M7,"-",info!M8)</f>
        <v>28-58.4</v>
      </c>
      <c r="J25" s="42" t="str">
        <f>lang!B13</f>
        <v>千卡l/分钟</v>
      </c>
      <c r="K25" s="41" t="str">
        <f ca="1">CONCATENATE(info!M5,"-",info!M6)</f>
        <v>2.1-4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51.699799999999996</v>
      </c>
      <c r="F28" s="164"/>
      <c r="G28" s="178" t="str">
        <f>lang!B33</f>
        <v>稳定性</v>
      </c>
      <c r="H28" s="179"/>
      <c r="I28" s="180"/>
      <c r="J28" s="181">
        <f>M!B19*100</f>
        <v>65.548700000000011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43621.445543981485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11.4876</v>
      </c>
      <c r="O7" s="59">
        <f t="shared" ref="O7:T7" si="2">AG7-X7</f>
        <v>-3.0072400000000004</v>
      </c>
      <c r="P7" s="59">
        <f t="shared" si="2"/>
        <v>-11.76299</v>
      </c>
      <c r="Q7" s="59">
        <f t="shared" si="2"/>
        <v>0</v>
      </c>
      <c r="R7" s="59">
        <f t="shared" si="2"/>
        <v>24.365000000000002</v>
      </c>
      <c r="S7" s="59">
        <f t="shared" si="2"/>
        <v>0</v>
      </c>
      <c r="T7" s="59">
        <f t="shared" si="2"/>
        <v>7.9201999999999941</v>
      </c>
      <c r="U7" s="14"/>
      <c r="V7" s="27" t="str">
        <f>M7</f>
        <v>攻击性</v>
      </c>
      <c r="W7" s="59">
        <f>'M1'!B5*1</f>
        <v>35.257100000000001</v>
      </c>
      <c r="X7" s="59">
        <f>'M1'!C5*1</f>
        <v>7.6462300000000001</v>
      </c>
      <c r="Y7" s="59">
        <f>'M1'!D5*1</f>
        <v>21.687100000000001</v>
      </c>
      <c r="Z7" s="59">
        <f>'M1'!E5*1</f>
        <v>20</v>
      </c>
      <c r="AA7" s="59">
        <f>'M1'!F5*1</f>
        <v>15.4587</v>
      </c>
      <c r="AB7" s="59">
        <f>'M1'!G5*1</f>
        <v>50</v>
      </c>
      <c r="AC7" s="59">
        <f>'M1'!H5*1</f>
        <v>49.844700000000003</v>
      </c>
      <c r="AE7" s="27" t="str">
        <f>V7</f>
        <v>攻击性</v>
      </c>
      <c r="AF7" s="59">
        <f>'M2'!B5*1</f>
        <v>46.744700000000002</v>
      </c>
      <c r="AG7" s="59">
        <f>'M2'!C5*1</f>
        <v>4.6389899999999997</v>
      </c>
      <c r="AH7" s="59">
        <f>'M2'!D5*1</f>
        <v>9.9241100000000007</v>
      </c>
      <c r="AI7" s="59">
        <f>'M2'!E5*1</f>
        <v>20</v>
      </c>
      <c r="AJ7" s="59">
        <f>'M2'!F5*1</f>
        <v>39.823700000000002</v>
      </c>
      <c r="AK7" s="59">
        <f>'M2'!G5*1</f>
        <v>50</v>
      </c>
      <c r="AL7" s="59">
        <f>'M2'!H5*1</f>
        <v>57.764899999999997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5.4374000000000038</v>
      </c>
      <c r="O8" s="59">
        <f t="shared" ref="O8:O16" si="5">AG8-X8</f>
        <v>-3.9623599999999999</v>
      </c>
      <c r="P8" s="59">
        <f t="shared" ref="P8:P16" si="6">AH8-Y8</f>
        <v>-14.085229999999999</v>
      </c>
      <c r="Q8" s="59">
        <f t="shared" ref="Q8:Q16" si="7">AI8-Z8</f>
        <v>0</v>
      </c>
      <c r="R8" s="59">
        <f t="shared" ref="R8:R16" si="8">AJ8-AA8</f>
        <v>11.986700000000003</v>
      </c>
      <c r="S8" s="59">
        <f t="shared" ref="S8:S16" si="9">AK8-AB8</f>
        <v>0</v>
      </c>
      <c r="T8" s="59">
        <f t="shared" ref="T8:T16" si="10">AL8-AC8</f>
        <v>0.25530000000000541</v>
      </c>
      <c r="U8" s="15"/>
      <c r="V8" s="27" t="str">
        <f t="shared" ref="V8:V16" si="11">M8</f>
        <v>压力</v>
      </c>
      <c r="W8" s="59">
        <f>'M1'!B6*1</f>
        <v>30.4666</v>
      </c>
      <c r="X8" s="59">
        <f>'M1'!C6*1</f>
        <v>6.13422</v>
      </c>
      <c r="Y8" s="59">
        <f>'M1'!D6*1</f>
        <v>20.1343</v>
      </c>
      <c r="Z8" s="59">
        <f>'M1'!E6*1</f>
        <v>20</v>
      </c>
      <c r="AA8" s="59">
        <f>'M1'!F6*1</f>
        <v>21.524100000000001</v>
      </c>
      <c r="AB8" s="59">
        <f>'M1'!G6*1</f>
        <v>40</v>
      </c>
      <c r="AC8" s="59">
        <f>'M1'!H6*1</f>
        <v>42.583399999999997</v>
      </c>
      <c r="AE8" s="27" t="str">
        <f t="shared" ref="AE8:AE16" si="12">V8</f>
        <v>压力</v>
      </c>
      <c r="AF8" s="59">
        <f>'M2'!B6*1</f>
        <v>35.904000000000003</v>
      </c>
      <c r="AG8" s="59">
        <f>'M2'!C6*1</f>
        <v>2.1718600000000001</v>
      </c>
      <c r="AH8" s="59">
        <f>'M2'!D6*1</f>
        <v>6.0490700000000004</v>
      </c>
      <c r="AI8" s="59">
        <f>'M2'!E6*1</f>
        <v>20</v>
      </c>
      <c r="AJ8" s="59">
        <f>'M2'!F6*1</f>
        <v>33.510800000000003</v>
      </c>
      <c r="AK8" s="59">
        <f>'M2'!G6*1</f>
        <v>40</v>
      </c>
      <c r="AL8" s="59">
        <f>'M2'!H6*1</f>
        <v>42.838700000000003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24.365000000000002</v>
      </c>
      <c r="D9" s="78">
        <f>N7</f>
        <v>11.4876</v>
      </c>
      <c r="E9" s="79">
        <f>T7</f>
        <v>7.9201999999999941</v>
      </c>
      <c r="F9" s="79">
        <f>P7</f>
        <v>-11.76299</v>
      </c>
      <c r="G9" s="80" t="str">
        <f>CONCATENATE(M8,"
(20 ~ 40)")</f>
        <v>压力
(20 ~ 40)</v>
      </c>
      <c r="H9" s="77">
        <f>R8</f>
        <v>11.986700000000003</v>
      </c>
      <c r="I9" s="81">
        <f>N8</f>
        <v>5.4374000000000038</v>
      </c>
      <c r="J9" s="77">
        <f>T8</f>
        <v>0.25530000000000541</v>
      </c>
      <c r="K9" s="82">
        <f>P8</f>
        <v>-14.085229999999999</v>
      </c>
      <c r="L9" s="6"/>
      <c r="M9" s="27" t="str">
        <f>lang!B16</f>
        <v>焦虑</v>
      </c>
      <c r="N9" s="59">
        <f t="shared" si="4"/>
        <v>-2.6978999999999971</v>
      </c>
      <c r="O9" s="59">
        <f t="shared" si="5"/>
        <v>-5.4716899999999997</v>
      </c>
      <c r="P9" s="59">
        <f t="shared" si="6"/>
        <v>-16.295200000000001</v>
      </c>
      <c r="Q9" s="59">
        <f t="shared" si="7"/>
        <v>0</v>
      </c>
      <c r="R9" s="59">
        <f t="shared" si="8"/>
        <v>-0.39499999999999957</v>
      </c>
      <c r="S9" s="59">
        <f t="shared" si="9"/>
        <v>0</v>
      </c>
      <c r="T9" s="59">
        <f t="shared" si="10"/>
        <v>-13.740500000000004</v>
      </c>
      <c r="U9" s="14"/>
      <c r="V9" s="27" t="str">
        <f t="shared" si="11"/>
        <v>焦虑</v>
      </c>
      <c r="W9" s="59">
        <f>'M1'!B7*1</f>
        <v>31.212599999999998</v>
      </c>
      <c r="X9" s="59">
        <f>'M1'!C7*1</f>
        <v>9.5464599999999997</v>
      </c>
      <c r="Y9" s="59">
        <f>'M1'!D7*1</f>
        <v>30.5853</v>
      </c>
      <c r="Z9" s="59">
        <f>'M1'!E7*1</f>
        <v>15</v>
      </c>
      <c r="AA9" s="59">
        <f>'M1'!F7*1</f>
        <v>19.37</v>
      </c>
      <c r="AB9" s="59">
        <f>'M1'!G7*1</f>
        <v>40</v>
      </c>
      <c r="AC9" s="59">
        <f>'M1'!H7*1</f>
        <v>53.248100000000001</v>
      </c>
      <c r="AE9" s="27" t="str">
        <f t="shared" si="12"/>
        <v>焦虑</v>
      </c>
      <c r="AF9" s="59">
        <f>'M2'!B7*1</f>
        <v>28.514700000000001</v>
      </c>
      <c r="AG9" s="59">
        <f>'M2'!C7*1</f>
        <v>4.07477</v>
      </c>
      <c r="AH9" s="59">
        <f>'M2'!D7*1</f>
        <v>14.290100000000001</v>
      </c>
      <c r="AI9" s="59">
        <f>'M2'!E7*1</f>
        <v>15</v>
      </c>
      <c r="AJ9" s="59">
        <f>'M2'!F7*1</f>
        <v>18.975000000000001</v>
      </c>
      <c r="AK9" s="59">
        <f>'M2'!G7*1</f>
        <v>40</v>
      </c>
      <c r="AL9" s="59">
        <f>'M2'!H7*1</f>
        <v>39.507599999999996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-0.39499999999999957</v>
      </c>
      <c r="D10" s="51">
        <f>N9</f>
        <v>-2.6978999999999971</v>
      </c>
      <c r="E10" s="53">
        <f>T9</f>
        <v>-13.740500000000004</v>
      </c>
      <c r="F10" s="53">
        <f>P9</f>
        <v>-16.295200000000001</v>
      </c>
      <c r="G10" s="73" t="str">
        <f>CONCATENATE(M10,"
(20 ~ 50)")</f>
        <v>可疑
(20 ~ 50)</v>
      </c>
      <c r="H10" s="24">
        <f>R10</f>
        <v>13.558700000000002</v>
      </c>
      <c r="I10" s="52">
        <f>N10</f>
        <v>3.9784000000000006</v>
      </c>
      <c r="J10" s="24">
        <f>T10</f>
        <v>1.0007999999999981</v>
      </c>
      <c r="K10" s="25">
        <f>P10</f>
        <v>-11.75243</v>
      </c>
      <c r="L10" s="4"/>
      <c r="M10" s="27" t="str">
        <f>lang!B17</f>
        <v>可疑</v>
      </c>
      <c r="N10" s="59">
        <f t="shared" si="4"/>
        <v>3.9784000000000006</v>
      </c>
      <c r="O10" s="59">
        <f t="shared" si="5"/>
        <v>-3.7665899999999999</v>
      </c>
      <c r="P10" s="59">
        <f t="shared" si="6"/>
        <v>-11.75243</v>
      </c>
      <c r="Q10" s="59">
        <f t="shared" si="7"/>
        <v>0</v>
      </c>
      <c r="R10" s="59">
        <f t="shared" si="8"/>
        <v>13.558700000000002</v>
      </c>
      <c r="S10" s="59">
        <f t="shared" si="9"/>
        <v>0</v>
      </c>
      <c r="T10" s="59">
        <f t="shared" si="10"/>
        <v>1.0007999999999981</v>
      </c>
      <c r="U10" s="14"/>
      <c r="V10" s="27" t="str">
        <f t="shared" si="11"/>
        <v>可疑</v>
      </c>
      <c r="W10" s="59">
        <f>'M1'!B8*1</f>
        <v>33.727899999999998</v>
      </c>
      <c r="X10" s="59">
        <f>'M1'!C8*1</f>
        <v>5.6361299999999996</v>
      </c>
      <c r="Y10" s="59">
        <f>'M1'!D8*1</f>
        <v>16.710599999999999</v>
      </c>
      <c r="Z10" s="59">
        <f>'M1'!E8*1</f>
        <v>20</v>
      </c>
      <c r="AA10" s="59">
        <f>'M1'!F8*1</f>
        <v>20.828600000000002</v>
      </c>
      <c r="AB10" s="59">
        <f>'M1'!G8*1</f>
        <v>50</v>
      </c>
      <c r="AC10" s="59">
        <f>'M1'!H8*1</f>
        <v>40.707500000000003</v>
      </c>
      <c r="AE10" s="27" t="str">
        <f t="shared" si="12"/>
        <v>可疑</v>
      </c>
      <c r="AF10" s="59">
        <f>'M2'!B8*1</f>
        <v>37.706299999999999</v>
      </c>
      <c r="AG10" s="59">
        <f>'M2'!C8*1</f>
        <v>1.86954</v>
      </c>
      <c r="AH10" s="59">
        <f>'M2'!D8*1</f>
        <v>4.95817</v>
      </c>
      <c r="AI10" s="59">
        <f>'M2'!E8*1</f>
        <v>20</v>
      </c>
      <c r="AJ10" s="59">
        <f>'M2'!F8*1</f>
        <v>34.387300000000003</v>
      </c>
      <c r="AK10" s="59">
        <f>'M2'!G8*1</f>
        <v>50</v>
      </c>
      <c r="AL10" s="59">
        <f>'M2'!H8*1</f>
        <v>41.708300000000001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-4.2486000000000033</v>
      </c>
      <c r="D11" s="52">
        <f>N11</f>
        <v>-8.3170999999999964</v>
      </c>
      <c r="E11" s="24">
        <f>T11</f>
        <v>-9.3385999999999996</v>
      </c>
      <c r="F11" s="24">
        <f>P11</f>
        <v>-1.8009200000000005</v>
      </c>
      <c r="G11" s="73" t="str">
        <f>CONCATENATE(M12,"
(40 ~ 100)")</f>
        <v>自信
(40 ~ 100)</v>
      </c>
      <c r="H11" s="24">
        <f>R12</f>
        <v>0.87300000000000466</v>
      </c>
      <c r="I11" s="52">
        <f>N12</f>
        <v>0.14100000000000534</v>
      </c>
      <c r="J11" s="24">
        <f>T12</f>
        <v>-5.1313000000000102</v>
      </c>
      <c r="K11" s="25">
        <f>P12</f>
        <v>-3.2860900000000002</v>
      </c>
      <c r="L11" s="4"/>
      <c r="M11" s="27" t="str">
        <f>lang!B18</f>
        <v>平衡</v>
      </c>
      <c r="N11" s="59">
        <f t="shared" si="4"/>
        <v>-8.3170999999999964</v>
      </c>
      <c r="O11" s="59">
        <f t="shared" si="5"/>
        <v>-1.6919199999999996</v>
      </c>
      <c r="P11" s="59">
        <f t="shared" si="6"/>
        <v>-1.8009200000000005</v>
      </c>
      <c r="Q11" s="59">
        <f t="shared" si="7"/>
        <v>0</v>
      </c>
      <c r="R11" s="59">
        <f t="shared" si="8"/>
        <v>-4.2486000000000033</v>
      </c>
      <c r="S11" s="59">
        <f t="shared" si="9"/>
        <v>0</v>
      </c>
      <c r="T11" s="59">
        <f t="shared" si="10"/>
        <v>-9.3385999999999996</v>
      </c>
      <c r="U11" s="14"/>
      <c r="V11" s="27" t="str">
        <f t="shared" si="11"/>
        <v>平衡</v>
      </c>
      <c r="W11" s="59">
        <f>'M1'!B9*1</f>
        <v>69.199299999999994</v>
      </c>
      <c r="X11" s="59">
        <f>'M1'!C9*1</f>
        <v>4.9543999999999997</v>
      </c>
      <c r="Y11" s="59">
        <f>'M1'!D9*1</f>
        <v>7.1596000000000002</v>
      </c>
      <c r="Z11" s="59">
        <f>'M1'!E9*1</f>
        <v>50</v>
      </c>
      <c r="AA11" s="59">
        <f>'M1'!F9*1</f>
        <v>58.3566</v>
      </c>
      <c r="AB11" s="59">
        <f>'M1'!G9*1</f>
        <v>100</v>
      </c>
      <c r="AC11" s="59">
        <f>'M1'!H9*1</f>
        <v>77.402699999999996</v>
      </c>
      <c r="AE11" s="27" t="str">
        <f t="shared" si="12"/>
        <v>平衡</v>
      </c>
      <c r="AF11" s="59">
        <f>'M2'!B9*1</f>
        <v>60.882199999999997</v>
      </c>
      <c r="AG11" s="59">
        <f>'M2'!C9*1</f>
        <v>3.26248</v>
      </c>
      <c r="AH11" s="59">
        <f>'M2'!D9*1</f>
        <v>5.3586799999999997</v>
      </c>
      <c r="AI11" s="59">
        <f>'M2'!E9*1</f>
        <v>50</v>
      </c>
      <c r="AJ11" s="59">
        <f>'M2'!F9*1</f>
        <v>54.107999999999997</v>
      </c>
      <c r="AK11" s="59">
        <f>'M2'!G9*1</f>
        <v>100</v>
      </c>
      <c r="AL11" s="59">
        <f>'M2'!H9*1</f>
        <v>68.064099999999996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7.3180999999999994</v>
      </c>
      <c r="D12" s="51">
        <f>N13</f>
        <v>4.6168999999999976</v>
      </c>
      <c r="E12" s="53">
        <f>T13</f>
        <v>6.1997999999999998</v>
      </c>
      <c r="F12" s="53">
        <f>P13</f>
        <v>-1.5082000000000004</v>
      </c>
      <c r="G12" s="73" t="str">
        <f>CONCATENATE(M14,"
(50 ~ 100)")</f>
        <v>自我调节
(50 ~ 100)</v>
      </c>
      <c r="H12" s="24">
        <f>R14</f>
        <v>0.95579999999999643</v>
      </c>
      <c r="I12" s="52">
        <f>N14</f>
        <v>-5.0217999999999989</v>
      </c>
      <c r="J12" s="24">
        <f>T14</f>
        <v>-8.4542000000000002</v>
      </c>
      <c r="K12" s="25">
        <f>P14</f>
        <v>-4.2140699999999995</v>
      </c>
      <c r="L12" s="4"/>
      <c r="M12" s="27" t="str">
        <f>lang!B19</f>
        <v>自信</v>
      </c>
      <c r="N12" s="59">
        <f t="shared" si="4"/>
        <v>0.14100000000000534</v>
      </c>
      <c r="O12" s="59">
        <f t="shared" si="5"/>
        <v>-2.4027100000000003</v>
      </c>
      <c r="P12" s="59">
        <f t="shared" si="6"/>
        <v>-3.2860900000000002</v>
      </c>
      <c r="Q12" s="59">
        <f t="shared" si="7"/>
        <v>0</v>
      </c>
      <c r="R12" s="59">
        <f t="shared" si="8"/>
        <v>0.87300000000000466</v>
      </c>
      <c r="S12" s="59">
        <f t="shared" si="9"/>
        <v>0</v>
      </c>
      <c r="T12" s="59">
        <f t="shared" si="10"/>
        <v>-5.1313000000000102</v>
      </c>
      <c r="U12" s="15"/>
      <c r="V12" s="27" t="str">
        <f t="shared" si="11"/>
        <v>自信</v>
      </c>
      <c r="W12" s="59">
        <f>'M1'!B10*1</f>
        <v>73.266999999999996</v>
      </c>
      <c r="X12" s="59">
        <f>'M1'!C10*1</f>
        <v>4.9644000000000004</v>
      </c>
      <c r="Y12" s="59">
        <f>'M1'!D10*1</f>
        <v>6.77576</v>
      </c>
      <c r="Z12" s="59">
        <f>'M1'!E10*1</f>
        <v>40</v>
      </c>
      <c r="AA12" s="59">
        <f>'M1'!F10*1</f>
        <v>65.445099999999996</v>
      </c>
      <c r="AB12" s="59">
        <f>'M1'!G10*1</f>
        <v>100</v>
      </c>
      <c r="AC12" s="59">
        <f>'M1'!H10*1</f>
        <v>81.062700000000007</v>
      </c>
      <c r="AE12" s="27" t="str">
        <f t="shared" si="12"/>
        <v>自信</v>
      </c>
      <c r="AF12" s="59">
        <f>'M2'!B10*1</f>
        <v>73.408000000000001</v>
      </c>
      <c r="AG12" s="59">
        <f>'M2'!C10*1</f>
        <v>2.56169</v>
      </c>
      <c r="AH12" s="59">
        <f>'M2'!D10*1</f>
        <v>3.4896699999999998</v>
      </c>
      <c r="AI12" s="59">
        <f>'M2'!E10*1</f>
        <v>40</v>
      </c>
      <c r="AJ12" s="59">
        <f>'M2'!F10*1</f>
        <v>66.318100000000001</v>
      </c>
      <c r="AK12" s="59">
        <f>'M2'!G10*1</f>
        <v>100</v>
      </c>
      <c r="AL12" s="59">
        <f>'M2'!H10*1</f>
        <v>75.931399999999996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6.9210999999999991</v>
      </c>
      <c r="D13" s="55">
        <f>N15</f>
        <v>0.96039999999999992</v>
      </c>
      <c r="E13" s="56">
        <f>T15</f>
        <v>10.570799999999998</v>
      </c>
      <c r="F13" s="56">
        <f>P15</f>
        <v>-6.9138999999999982</v>
      </c>
      <c r="G13" s="74" t="str">
        <f>CONCATENATE(M16,"
(10 ~ 50)")</f>
        <v>神经质
(10 ~ 50)</v>
      </c>
      <c r="H13" s="54">
        <f>R16</f>
        <v>4.5858799999999995</v>
      </c>
      <c r="I13" s="55">
        <f>N16</f>
        <v>-14.351299999999995</v>
      </c>
      <c r="J13" s="56">
        <f>T16</f>
        <v>-1.0300999999999974</v>
      </c>
      <c r="K13" s="57">
        <f>P16</f>
        <v>8.6126000000000005</v>
      </c>
      <c r="M13" s="27" t="str">
        <f>lang!B20</f>
        <v>活力</v>
      </c>
      <c r="N13" s="59">
        <f t="shared" si="4"/>
        <v>4.6168999999999976</v>
      </c>
      <c r="O13" s="59">
        <f t="shared" si="5"/>
        <v>0.35885999999999996</v>
      </c>
      <c r="P13" s="59">
        <f t="shared" si="6"/>
        <v>-1.5082000000000004</v>
      </c>
      <c r="Q13" s="59">
        <f t="shared" si="7"/>
        <v>0</v>
      </c>
      <c r="R13" s="59">
        <f t="shared" si="8"/>
        <v>7.3180999999999994</v>
      </c>
      <c r="S13" s="59">
        <f t="shared" si="9"/>
        <v>0</v>
      </c>
      <c r="T13" s="59">
        <f t="shared" si="10"/>
        <v>6.1997999999999998</v>
      </c>
      <c r="U13" s="14"/>
      <c r="V13" s="27" t="str">
        <f t="shared" si="11"/>
        <v>活力</v>
      </c>
      <c r="W13" s="59">
        <f>'M1'!B11*1</f>
        <v>16.089300000000001</v>
      </c>
      <c r="X13" s="59">
        <f>'M1'!C11*1</f>
        <v>2.3389600000000002</v>
      </c>
      <c r="Y13" s="59">
        <f>'M1'!D11*1</f>
        <v>14.5373</v>
      </c>
      <c r="Z13" s="59">
        <f>'M1'!E11*1</f>
        <v>10</v>
      </c>
      <c r="AA13" s="59">
        <f>'M1'!F11*1</f>
        <v>10.3101</v>
      </c>
      <c r="AB13" s="59">
        <f>'M1'!G11*1</f>
        <v>50</v>
      </c>
      <c r="AC13" s="59">
        <f>'M1'!H11*1</f>
        <v>20.572199999999999</v>
      </c>
      <c r="AE13" s="27" t="str">
        <f t="shared" si="12"/>
        <v>活力</v>
      </c>
      <c r="AF13" s="59">
        <f>'M2'!B11*1</f>
        <v>20.706199999999999</v>
      </c>
      <c r="AG13" s="59">
        <f>'M2'!C11*1</f>
        <v>2.6978200000000001</v>
      </c>
      <c r="AH13" s="59">
        <f>'M2'!D11*1</f>
        <v>13.0291</v>
      </c>
      <c r="AI13" s="59">
        <f>'M2'!E11*1</f>
        <v>10</v>
      </c>
      <c r="AJ13" s="59">
        <f>'M2'!F11*1</f>
        <v>17.6282</v>
      </c>
      <c r="AK13" s="59">
        <f>'M2'!G11*1</f>
        <v>50</v>
      </c>
      <c r="AL13" s="59">
        <f>'M2'!H11*1</f>
        <v>26.771999999999998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-5.0217999999999989</v>
      </c>
      <c r="O14" s="59">
        <f t="shared" si="5"/>
        <v>-3.1437399999999998</v>
      </c>
      <c r="P14" s="59">
        <f t="shared" si="6"/>
        <v>-4.2140699999999995</v>
      </c>
      <c r="Q14" s="59">
        <f t="shared" si="7"/>
        <v>0</v>
      </c>
      <c r="R14" s="59">
        <f t="shared" si="8"/>
        <v>0.95579999999999643</v>
      </c>
      <c r="S14" s="59">
        <f t="shared" si="9"/>
        <v>0</v>
      </c>
      <c r="T14" s="59">
        <f t="shared" si="10"/>
        <v>-8.4542000000000002</v>
      </c>
      <c r="U14" s="14"/>
      <c r="V14" s="27" t="str">
        <f t="shared" si="11"/>
        <v>自我调节</v>
      </c>
      <c r="W14" s="59">
        <f>'M1'!B12*1</f>
        <v>71.629000000000005</v>
      </c>
      <c r="X14" s="59">
        <f>'M1'!C12*1</f>
        <v>4.8049499999999998</v>
      </c>
      <c r="Y14" s="59">
        <f>'M1'!D12*1</f>
        <v>6.7081099999999996</v>
      </c>
      <c r="Z14" s="59">
        <f>'M1'!E12*1</f>
        <v>50</v>
      </c>
      <c r="AA14" s="59">
        <f>'M1'!F12*1</f>
        <v>62.581200000000003</v>
      </c>
      <c r="AB14" s="59">
        <f>'M1'!G12*1</f>
        <v>100</v>
      </c>
      <c r="AC14" s="59">
        <f>'M1'!H12*1</f>
        <v>79.0214</v>
      </c>
      <c r="AE14" s="27" t="str">
        <f t="shared" si="12"/>
        <v>自我调节</v>
      </c>
      <c r="AF14" s="59">
        <f>'M2'!B12*1</f>
        <v>66.607200000000006</v>
      </c>
      <c r="AG14" s="59">
        <f>'M2'!C12*1</f>
        <v>1.6612100000000001</v>
      </c>
      <c r="AH14" s="59">
        <f>'M2'!D12*1</f>
        <v>2.49404</v>
      </c>
      <c r="AI14" s="59">
        <f>'M2'!E12*1</f>
        <v>50</v>
      </c>
      <c r="AJ14" s="59">
        <f>'M2'!F12*1</f>
        <v>63.536999999999999</v>
      </c>
      <c r="AK14" s="59">
        <f>'M2'!G12*1</f>
        <v>100</v>
      </c>
      <c r="AL14" s="59">
        <f>'M2'!H12*1</f>
        <v>70.5672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0.96039999999999992</v>
      </c>
      <c r="O15" s="59">
        <f t="shared" si="5"/>
        <v>-1.43513</v>
      </c>
      <c r="P15" s="59">
        <f t="shared" si="6"/>
        <v>-6.9138999999999982</v>
      </c>
      <c r="Q15" s="59">
        <f t="shared" si="7"/>
        <v>0</v>
      </c>
      <c r="R15" s="59">
        <f t="shared" si="8"/>
        <v>6.9210999999999991</v>
      </c>
      <c r="S15" s="59">
        <f t="shared" si="9"/>
        <v>0</v>
      </c>
      <c r="T15" s="59">
        <f t="shared" si="10"/>
        <v>10.570799999999998</v>
      </c>
      <c r="U15" s="14"/>
      <c r="V15" s="27" t="str">
        <f t="shared" si="11"/>
        <v>抑郁</v>
      </c>
      <c r="W15" s="59">
        <f>'M1'!B13*1</f>
        <v>23.1678</v>
      </c>
      <c r="X15" s="59">
        <f>'M1'!C13*1</f>
        <v>5.6214599999999999</v>
      </c>
      <c r="Y15" s="59">
        <f>'M1'!D13*1</f>
        <v>24.264199999999999</v>
      </c>
      <c r="Z15" s="59">
        <f>'M1'!E13*1</f>
        <v>10</v>
      </c>
      <c r="AA15" s="59">
        <f>'M1'!F13*1</f>
        <v>11.7988</v>
      </c>
      <c r="AB15" s="59">
        <f>'M1'!G13*1</f>
        <v>25</v>
      </c>
      <c r="AC15" s="59">
        <f>'M1'!H13*1</f>
        <v>29.033799999999999</v>
      </c>
      <c r="AE15" s="27" t="str">
        <f t="shared" si="12"/>
        <v>抑郁</v>
      </c>
      <c r="AF15" s="59">
        <f>'M2'!B13*1</f>
        <v>24.1282</v>
      </c>
      <c r="AG15" s="59">
        <f>'M2'!C13*1</f>
        <v>4.1863299999999999</v>
      </c>
      <c r="AH15" s="59">
        <f>'M2'!D13*1</f>
        <v>17.350300000000001</v>
      </c>
      <c r="AI15" s="59">
        <f>'M2'!E13*1</f>
        <v>10</v>
      </c>
      <c r="AJ15" s="59">
        <f>'M2'!F13*1</f>
        <v>18.719899999999999</v>
      </c>
      <c r="AK15" s="59">
        <f>'M2'!G13*1</f>
        <v>25</v>
      </c>
      <c r="AL15" s="59">
        <f>'M2'!H13*1</f>
        <v>39.604599999999998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-14.351299999999995</v>
      </c>
      <c r="O16" s="59">
        <f t="shared" si="5"/>
        <v>-1.585799999999999</v>
      </c>
      <c r="P16" s="59">
        <f t="shared" si="6"/>
        <v>8.6126000000000005</v>
      </c>
      <c r="Q16" s="59">
        <f t="shared" si="7"/>
        <v>0</v>
      </c>
      <c r="R16" s="59">
        <f t="shared" si="8"/>
        <v>4.5858799999999995</v>
      </c>
      <c r="S16" s="59">
        <f t="shared" si="9"/>
        <v>0</v>
      </c>
      <c r="T16" s="59">
        <f t="shared" si="10"/>
        <v>-1.0300999999999974</v>
      </c>
      <c r="U16" s="15"/>
      <c r="V16" s="27" t="str">
        <f t="shared" si="11"/>
        <v>神经质</v>
      </c>
      <c r="W16" s="59">
        <f>'M1'!B14*1</f>
        <v>56.214599999999997</v>
      </c>
      <c r="X16" s="59">
        <f>'M1'!C14*1</f>
        <v>20.334299999999999</v>
      </c>
      <c r="Y16" s="59">
        <f>'M1'!D14*1</f>
        <v>36.172499999999999</v>
      </c>
      <c r="Z16" s="59">
        <f>'M1'!E14*1</f>
        <v>10</v>
      </c>
      <c r="AA16" s="59">
        <f>'M1'!F14*1</f>
        <v>1.3534999999999999</v>
      </c>
      <c r="AB16" s="59">
        <f>'M1'!G14*1</f>
        <v>50</v>
      </c>
      <c r="AC16" s="59">
        <f>'M1'!H14*1</f>
        <v>57.179099999999998</v>
      </c>
      <c r="AE16" s="27" t="str">
        <f t="shared" si="12"/>
        <v>神经质</v>
      </c>
      <c r="AF16" s="59">
        <f>'M2'!B14*1</f>
        <v>41.863300000000002</v>
      </c>
      <c r="AG16" s="59">
        <f>'M2'!C14*1</f>
        <v>18.7485</v>
      </c>
      <c r="AH16" s="59">
        <f>'M2'!D14*1</f>
        <v>44.7851</v>
      </c>
      <c r="AI16" s="59">
        <f>'M2'!E14*1</f>
        <v>10</v>
      </c>
      <c r="AJ16" s="59">
        <f>'M2'!F14*1</f>
        <v>5.9393799999999999</v>
      </c>
      <c r="AK16" s="59">
        <f>'M2'!G14*1</f>
        <v>50</v>
      </c>
      <c r="AL16" s="59">
        <f>'M2'!H14*1</f>
        <v>56.149000000000001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-2.1452499999999981</v>
      </c>
      <c r="O17" s="22">
        <f>N17/(N17+N18+N19)</f>
        <v>0.50013696793784601</v>
      </c>
      <c r="P17" s="65">
        <f>SUM(P11:P14)/4</f>
        <v>-2.7023200000000003</v>
      </c>
      <c r="Q17" s="22">
        <f>P17/(P17+P18+P19)</f>
        <v>0.17631186148957076</v>
      </c>
      <c r="R17" s="14"/>
      <c r="S17" s="14"/>
      <c r="T17" s="14"/>
      <c r="U17" s="14"/>
      <c r="V17" s="21" t="str">
        <f>M17</f>
        <v>Positive</v>
      </c>
      <c r="W17" s="65">
        <f>SUM(W11:W14)/4</f>
        <v>57.546149999999997</v>
      </c>
      <c r="X17" s="22">
        <f>W17/(W17+W18+W19)</f>
        <v>0.44299186934291179</v>
      </c>
      <c r="Y17" s="65">
        <f>SUM(Y11:Y14)/4</f>
        <v>8.7951924999999989</v>
      </c>
      <c r="Z17" s="22">
        <f>Y17/(Y17+Y18+Y19)</f>
        <v>0.14349455097691421</v>
      </c>
      <c r="AA17" s="14"/>
      <c r="AB17" s="14"/>
      <c r="AC17" s="14"/>
      <c r="AE17" s="21" t="str">
        <f>V17</f>
        <v>Positive</v>
      </c>
      <c r="AF17" s="65">
        <f>SUM(AF11:AF14)/4</f>
        <v>55.4009</v>
      </c>
      <c r="AG17" s="22">
        <f>AF17/(AF17+AF18+AF19)</f>
        <v>0.44104054422245276</v>
      </c>
      <c r="AH17" s="65">
        <f>SUM(AH11:AH14)/4</f>
        <v>6.0928725000000004</v>
      </c>
      <c r="AI17" s="22">
        <f>AH17/(AH17+AH18+AH19)</f>
        <v>0.13255191045281686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4.5513750000000019</v>
      </c>
      <c r="O18" s="22">
        <f>N18/(N17+N18+N19)</f>
        <v>-1.0610935287020706</v>
      </c>
      <c r="P18" s="18">
        <f>SUM(P7:P10)/4</f>
        <v>-13.473962499999999</v>
      </c>
      <c r="Q18" s="22">
        <f>P18/(P17+P18+P19)</f>
        <v>0.87910366278444829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32.666049999999998</v>
      </c>
      <c r="X18" s="22">
        <f>W18/(W17+W18+W19)</f>
        <v>0.25146416491023332</v>
      </c>
      <c r="Y18" s="18">
        <f>SUM(Y7:Y10)/4</f>
        <v>22.279325</v>
      </c>
      <c r="Z18" s="22">
        <f>Y18/(Y17+Y18+Y19)</f>
        <v>0.36348968336323961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37.217425000000006</v>
      </c>
      <c r="AG18" s="22">
        <f>AF18/(AF17+AF18+AF19)</f>
        <v>0.29628387583158977</v>
      </c>
      <c r="AH18" s="18">
        <f>SUM(AH7:AH10)/4</f>
        <v>8.8053625000000011</v>
      </c>
      <c r="AI18" s="22">
        <f>AH18/(AH17+AH18+AH19)</f>
        <v>0.19156278448377045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-6.6954499999999975</v>
      </c>
      <c r="O19" s="22">
        <f>N19/(N17+N18+N19)</f>
        <v>1.5609565607642246</v>
      </c>
      <c r="P19" s="18">
        <f>(P15+P16)/2</f>
        <v>0.84935000000000116</v>
      </c>
      <c r="Q19" s="22">
        <f>P19/(P17+P18+P19)</f>
        <v>-5.5415524274019037E-2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39.691199999999995</v>
      </c>
      <c r="X19" s="22">
        <f>W19/(W17+W18+W19)</f>
        <v>0.305543965746855</v>
      </c>
      <c r="Y19" s="18">
        <f>(Y15+Y16)/2</f>
        <v>30.218350000000001</v>
      </c>
      <c r="Z19" s="22">
        <f>Y19/(Y17+Y18+Y19)</f>
        <v>0.49301576565984617</v>
      </c>
      <c r="AA19" s="14"/>
      <c r="AB19" s="14"/>
      <c r="AC19" s="14"/>
      <c r="AE19" s="21" t="str">
        <f t="shared" si="14"/>
        <v>Physiological</v>
      </c>
      <c r="AF19" s="18">
        <f>(AF15+AF16)/2</f>
        <v>32.995750000000001</v>
      </c>
      <c r="AG19" s="22">
        <f>AF19/(AF17+AF18+AF19)</f>
        <v>0.26267557994595747</v>
      </c>
      <c r="AH19" s="18">
        <f>(AH15+AH16)/2</f>
        <v>31.067700000000002</v>
      </c>
      <c r="AI19" s="22">
        <f>AH19/(AH17+AH18+AH19)</f>
        <v>0.67588530506341271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1.32/1.76</v>
      </c>
      <c r="D24" s="44" t="str">
        <f>lang!B11</f>
        <v>频率方差</v>
      </c>
      <c r="E24" s="142" t="str">
        <f ca="1">CONCATENATE(ROUND('FH1'!L3,2),"/",ROUND('FH2'!L3,2))</f>
        <v>0.58/0.7</v>
      </c>
      <c r="F24" s="143"/>
      <c r="G24" s="134" t="str">
        <f>lang!B12</f>
        <v>生理变化率</v>
      </c>
      <c r="H24" s="135"/>
      <c r="I24" s="62" t="str">
        <f ca="1">CONCATENATE(info!M7,"-",info!M8)</f>
        <v>28-58.4</v>
      </c>
      <c r="J24" s="42" t="str">
        <f>lang!B13</f>
        <v>千卡l/分钟</v>
      </c>
      <c r="K24" s="41" t="str">
        <f ca="1">CONCATENATE(info!M5,"-",info!M6)</f>
        <v>2.1-4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13.083499999999997</v>
      </c>
      <c r="F27" s="164"/>
      <c r="G27" s="178" t="str">
        <f>lang!B33</f>
        <v>稳定性</v>
      </c>
      <c r="H27" s="179"/>
      <c r="I27" s="180"/>
      <c r="J27" s="181">
        <f>dM!B19*100</f>
        <v>11.152500000000011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-0.99047697612840702</v>
      </c>
      <c r="C2">
        <f t="array" aca="1" ref="C2" ca="1">CORREL(FT_E02,FT_PH02)</f>
        <v>-0.94312110479450173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2.1249400000000001</v>
      </c>
      <c r="G2" s="61">
        <f>IF(FT!B2&lt;&gt;"",FT!B2*100,"")</f>
        <v>58.422499999999999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2.1669</v>
      </c>
      <c r="G3" s="61">
        <f>IF(FT!B3&lt;&gt;"",FT!B3*100,"")</f>
        <v>57.721299999999999</v>
      </c>
      <c r="H3" s="61">
        <f t="shared" ref="H3:H66" si="1">(IF(F3&lt;&gt;"",1,""))</f>
        <v>1</v>
      </c>
      <c r="I3" t="str">
        <f>IF(FT!B3&lt;&gt;"",FT!E3,"")</f>
        <v>1 [0.403997]</v>
      </c>
      <c r="J3">
        <f>IF(FT!B3&lt;&gt;"",FT!C3,"")</f>
        <v>0.403997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0.41152745945945934</v>
      </c>
      <c r="V3">
        <f ca="1">AVERAGE(OFFSET(FT!B2,info!$L$3/2,0,info!$L$3/2,1))</f>
        <v>0.30897687837837839</v>
      </c>
      <c r="W3">
        <f ca="1">AVERAGE(OFFSET(FT!A2,0,0,info!$L$3/2,1))</f>
        <v>0.28984285135135135</v>
      </c>
      <c r="X3">
        <f ca="1">AVERAGE(OFFSET(FT!A2,info!$L$3/2,0,info!$L$3/2,1))</f>
        <v>0.36478718918918934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2.2085699999999999</v>
      </c>
      <c r="G4" s="61">
        <f>IF(FT!B4&lt;&gt;"",FT!B4*100,"")</f>
        <v>56.985900000000001</v>
      </c>
      <c r="H4" s="61">
        <f t="shared" si="1"/>
        <v>1</v>
      </c>
      <c r="I4" t="str">
        <f>IF(FT!B4&lt;&gt;"",FT!E4,"")</f>
        <v>1 [0.808042]</v>
      </c>
      <c r="J4">
        <f>IF(FT!B4&lt;&gt;"",FT!C4,"")</f>
        <v>0.80804200000000004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14.940975</v>
      </c>
      <c r="V4">
        <f>U4*3</f>
        <v>44.822924999999998</v>
      </c>
      <c r="W4">
        <f>U4</f>
        <v>14.940975</v>
      </c>
      <c r="X4">
        <f>V4</f>
        <v>44.822924999999998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2.2477299999999998</v>
      </c>
      <c r="G5" s="61">
        <f>IF(FT!B5&lt;&gt;"",FT!B5*100,"")</f>
        <v>56.211299999999994</v>
      </c>
      <c r="H5" s="61">
        <f t="shared" si="1"/>
        <v>1</v>
      </c>
      <c r="I5" t="str">
        <f>IF(FT!B5&lt;&gt;"",FT!E5,"")</f>
        <v>1 [1.216146]</v>
      </c>
      <c r="J5">
        <f>IF(FT!B5&lt;&gt;"",FT!C5,"")</f>
        <v>1.2161500000000001</v>
      </c>
      <c r="K5" t="s">
        <v>53</v>
      </c>
      <c r="L5" s="63">
        <f ca="1">MIN(FT_E)</f>
        <v>2.1249400000000001</v>
      </c>
      <c r="M5" s="63">
        <f ca="1">ROUND(L5,1)</f>
        <v>2.1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41.152745945945938</v>
      </c>
      <c r="V5">
        <f ca="1">V3*100</f>
        <v>30.897687837837839</v>
      </c>
      <c r="W5">
        <f ca="1">W3*10</f>
        <v>2.8984285135135135</v>
      </c>
      <c r="X5">
        <f ca="1">X3*10</f>
        <v>3.6478718918918935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2.2850799999999998</v>
      </c>
      <c r="G6" s="61">
        <f>IF(FT!B6&lt;&gt;"",FT!B6*100,"")</f>
        <v>55.493899999999996</v>
      </c>
      <c r="H6" s="61">
        <f t="shared" si="1"/>
        <v>1</v>
      </c>
      <c r="I6" t="str">
        <f>IF(FT!B6&lt;&gt;"",FT!E6,"")</f>
        <v>1 [1.624518]</v>
      </c>
      <c r="J6">
        <f>IF(FT!B6&lt;&gt;"",FT!C6,"")</f>
        <v>1.62452</v>
      </c>
      <c r="K6" t="s">
        <v>54</v>
      </c>
      <c r="L6" s="63">
        <f ca="1">MAX(FT_E)</f>
        <v>4.0343800000000005</v>
      </c>
      <c r="M6" s="63">
        <f ca="1">ROUND(L6,1)</f>
        <v>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2.32151</v>
      </c>
      <c r="G7" s="61">
        <f>IF(FT!B7&lt;&gt;"",FT!B7*100,"")</f>
        <v>54.836100000000002</v>
      </c>
      <c r="H7" s="61">
        <f t="shared" si="1"/>
        <v>1</v>
      </c>
      <c r="I7" t="str">
        <f>IF(FT!B7&lt;&gt;"",FT!E7,"")</f>
        <v>1 [2.029625]</v>
      </c>
      <c r="J7">
        <f>IF(FT!B7&lt;&gt;"",FT!C7,"")</f>
        <v>2.02963</v>
      </c>
      <c r="K7" t="s">
        <v>55</v>
      </c>
      <c r="L7" s="63">
        <f ca="1">MIN(FT_PH)</f>
        <v>28.005999999999997</v>
      </c>
      <c r="M7" s="63">
        <f ca="1">ROUND(L7,1)</f>
        <v>28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1726</v>
      </c>
      <c r="D8" s="61">
        <f>FH!B8*1</f>
        <v>1726</v>
      </c>
      <c r="E8">
        <f t="shared" si="3"/>
        <v>6</v>
      </c>
      <c r="F8" s="61">
        <f>IF(FT!A8&lt;&gt;"",FT!A8*10,"")</f>
        <v>2.3574600000000001</v>
      </c>
      <c r="G8" s="61">
        <f>IF(FT!B8&lt;&gt;"",FT!B8*100,"")</f>
        <v>54.190099999999994</v>
      </c>
      <c r="H8" s="61">
        <f t="shared" si="1"/>
        <v>1</v>
      </c>
      <c r="I8" t="str">
        <f>IF(FT!B8&lt;&gt;"",FT!E8,"")</f>
        <v>1 [2.435498]</v>
      </c>
      <c r="J8">
        <f>IF(FT!B8&lt;&gt;"",FT!C8,"")</f>
        <v>2.4355000000000002</v>
      </c>
      <c r="K8" t="s">
        <v>56</v>
      </c>
      <c r="L8" s="63">
        <f ca="1">MAX(FT_PH)</f>
        <v>58.422499999999999</v>
      </c>
      <c r="M8" s="63">
        <f ca="1">ROUND(L8,1)</f>
        <v>58.4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2.3930899999999999</v>
      </c>
      <c r="G9" s="61">
        <f>IF(FT!B9&lt;&gt;"",FT!B9*100,"")</f>
        <v>53.532299999999999</v>
      </c>
      <c r="H9" s="61">
        <f t="shared" si="1"/>
        <v>1</v>
      </c>
      <c r="I9" t="str">
        <f>IF(FT!B9&lt;&gt;"",FT!E9,"")</f>
        <v>1 [2.840854]</v>
      </c>
      <c r="J9">
        <f>IF(FT!B9&lt;&gt;"",FT!C9,"")</f>
        <v>2.8408500000000001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2507</v>
      </c>
      <c r="D10" s="61">
        <f>FH!B10*1</f>
        <v>2507</v>
      </c>
      <c r="E10">
        <f t="shared" si="3"/>
        <v>8</v>
      </c>
      <c r="F10" s="61">
        <f>IF(FT!A10&lt;&gt;"",FT!A10*10,"")</f>
        <v>2.4278599999999999</v>
      </c>
      <c r="G10" s="61">
        <f>IF(FT!B10&lt;&gt;"",FT!B10*100,"")</f>
        <v>52.854500000000002</v>
      </c>
      <c r="H10" s="61">
        <f t="shared" si="1"/>
        <v>1</v>
      </c>
      <c r="I10" t="str">
        <f>IF(FT!B10&lt;&gt;"",FT!E10,"")</f>
        <v>1 [3.246409]</v>
      </c>
      <c r="J10">
        <f>IF(FT!B10&lt;&gt;"",FT!C10,"")</f>
        <v>3.24641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2.46136</v>
      </c>
      <c r="G11" s="61">
        <f>IF(FT!B11&lt;&gt;"",FT!B11*100,"")</f>
        <v>52.149000000000001</v>
      </c>
      <c r="H11" s="61">
        <f t="shared" si="1"/>
        <v>1</v>
      </c>
      <c r="I11" t="str">
        <f>IF(FT!B11&lt;&gt;"",FT!E11,"")</f>
        <v>1 [3.653457]</v>
      </c>
      <c r="J11">
        <f>IF(FT!B11&lt;&gt;"",FT!C11,"")</f>
        <v>3.6534599999999999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2.4936799999999999</v>
      </c>
      <c r="G12" s="61">
        <f>IF(FT!B12&lt;&gt;"",FT!B12*100,"")</f>
        <v>51.489799999999995</v>
      </c>
      <c r="H12" s="61">
        <f t="shared" si="1"/>
        <v>1</v>
      </c>
      <c r="I12" t="str">
        <f>IF(FT!B12&lt;&gt;"",FT!E12,"")</f>
        <v>1 [4.062711]</v>
      </c>
      <c r="J12">
        <f>IF(FT!B12&lt;&gt;"",FT!C12,"")</f>
        <v>4.06271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4676</v>
      </c>
      <c r="D13" s="61">
        <f>FH!B13*1</f>
        <v>4676</v>
      </c>
      <c r="E13">
        <f t="shared" si="3"/>
        <v>11</v>
      </c>
      <c r="F13" s="61">
        <f>IF(FT!A13&lt;&gt;"",FT!A13*10,"")</f>
        <v>2.5238699999999996</v>
      </c>
      <c r="G13" s="61">
        <f>IF(FT!B13&lt;&gt;"",FT!B13*100,"")</f>
        <v>50.915299999999995</v>
      </c>
      <c r="H13" s="61">
        <f t="shared" si="1"/>
        <v>1</v>
      </c>
      <c r="I13" t="str">
        <f>IF(FT!B13&lt;&gt;"",FT!E13,"")</f>
        <v>1 [4.466407]</v>
      </c>
      <c r="J13">
        <f>IF(FT!B13&lt;&gt;"",FT!C13,"")</f>
        <v>4.4664099999999998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2.5495000000000001</v>
      </c>
      <c r="G14" s="61">
        <f>IF(FT!B14&lt;&gt;"",FT!B14*100,"")</f>
        <v>50.4514</v>
      </c>
      <c r="H14" s="61">
        <f t="shared" si="1"/>
        <v>1</v>
      </c>
      <c r="I14" t="str">
        <f>IF(FT!B14&lt;&gt;"",FT!E14,"")</f>
        <v>1 [4.870057]</v>
      </c>
      <c r="J14">
        <f>IF(FT!B14&lt;&gt;"",FT!C14,"")</f>
        <v>4.8700599999999996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10899</v>
      </c>
      <c r="D15" s="61">
        <f>FH!B15*1</f>
        <v>10899</v>
      </c>
      <c r="E15">
        <f t="shared" si="3"/>
        <v>13</v>
      </c>
      <c r="F15" s="61">
        <f>IF(FT!A15&lt;&gt;"",FT!A15*10,"")</f>
        <v>2.57396</v>
      </c>
      <c r="G15" s="61">
        <f>IF(FT!B15&lt;&gt;"",FT!B15*100,"")</f>
        <v>49.996499999999997</v>
      </c>
      <c r="H15" s="61">
        <f t="shared" si="1"/>
        <v>1</v>
      </c>
      <c r="I15" t="str">
        <f>IF(FT!B15&lt;&gt;"",FT!E15,"")</f>
        <v>1 [5.280010]</v>
      </c>
      <c r="J15">
        <f>IF(FT!B15&lt;&gt;"",FT!C15,"")</f>
        <v>5.2800099999999999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2.5946699999999998</v>
      </c>
      <c r="G16" s="61">
        <f>IF(FT!B16&lt;&gt;"",FT!B16*100,"")</f>
        <v>49.5304</v>
      </c>
      <c r="H16" s="61">
        <f t="shared" si="1"/>
        <v>1</v>
      </c>
      <c r="I16" t="str">
        <f>IF(FT!B16&lt;&gt;"",FT!E16,"")</f>
        <v>1 [5.684429]</v>
      </c>
      <c r="J16">
        <f>IF(FT!B16&lt;&gt;"",FT!C16,"")</f>
        <v>5.6844299999999999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2.6115500000000003</v>
      </c>
      <c r="G17" s="61">
        <f>IF(FT!B17&lt;&gt;"",FT!B17*100,"")</f>
        <v>49.158099999999997</v>
      </c>
      <c r="H17" s="61">
        <f t="shared" si="1"/>
        <v>1</v>
      </c>
      <c r="I17" t="str">
        <f>IF(FT!B17&lt;&gt;"",FT!E17,"")</f>
        <v>1 [6.090847]</v>
      </c>
      <c r="J17">
        <f>IF(FT!B17&lt;&gt;"",FT!C17,"")</f>
        <v>6.0908499999999997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13709</v>
      </c>
      <c r="D18" s="61">
        <f>FH!B18*1</f>
        <v>13709</v>
      </c>
      <c r="E18">
        <f t="shared" si="3"/>
        <v>16</v>
      </c>
      <c r="F18" s="61">
        <f>IF(FT!A18&lt;&gt;"",FT!A18*10,"")</f>
        <v>2.6260400000000002</v>
      </c>
      <c r="G18" s="61">
        <f>IF(FT!B18&lt;&gt;"",FT!B18*100,"")</f>
        <v>48.818199999999997</v>
      </c>
      <c r="H18" s="61">
        <f t="shared" si="1"/>
        <v>1</v>
      </c>
      <c r="I18" t="str">
        <f>IF(FT!B18&lt;&gt;"",FT!E18,"")</f>
        <v>1 [6.497036]</v>
      </c>
      <c r="J18">
        <f>IF(FT!B18&lt;&gt;"",FT!C18,"")</f>
        <v>6.4970400000000001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2.6388800000000003</v>
      </c>
      <c r="G19" s="61">
        <f>IF(FT!B19&lt;&gt;"",FT!B19*100,"")</f>
        <v>48.512499999999996</v>
      </c>
      <c r="H19" s="61">
        <f t="shared" si="1"/>
        <v>1</v>
      </c>
      <c r="I19" t="str">
        <f>IF(FT!B19&lt;&gt;"",FT!E19,"")</f>
        <v>1 [6.908469]</v>
      </c>
      <c r="J19">
        <f>IF(FT!B19&lt;&gt;"",FT!C19,"")</f>
        <v>6.9084700000000003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2.6482999999999999</v>
      </c>
      <c r="G20" s="61">
        <f>IF(FT!B20&lt;&gt;"",FT!B20*100,"")</f>
        <v>48.198</v>
      </c>
      <c r="H20" s="61">
        <f t="shared" si="1"/>
        <v>1</v>
      </c>
      <c r="I20" t="str">
        <f>IF(FT!B20&lt;&gt;"",FT!E20,"")</f>
        <v>1 [7.310588]</v>
      </c>
      <c r="J20">
        <f>IF(FT!B20&lt;&gt;"",FT!C20,"")</f>
        <v>7.3105900000000004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18421</v>
      </c>
      <c r="D21" s="61">
        <f>FH!B21*1</f>
        <v>18421</v>
      </c>
      <c r="E21">
        <f t="shared" si="3"/>
        <v>19</v>
      </c>
      <c r="F21" s="61">
        <f>IF(FT!A21&lt;&gt;"",FT!A21*10,"")</f>
        <v>2.6572400000000003</v>
      </c>
      <c r="G21" s="61">
        <f>IF(FT!B21&lt;&gt;"",FT!B21*100,"")</f>
        <v>47.867399999999996</v>
      </c>
      <c r="H21" s="61">
        <f t="shared" si="1"/>
        <v>1</v>
      </c>
      <c r="I21" t="str">
        <f>IF(FT!B21&lt;&gt;"",FT!E21,"")</f>
        <v>1 [7.715478]</v>
      </c>
      <c r="J21">
        <f>IF(FT!B21&lt;&gt;"",FT!C21,"")</f>
        <v>7.7154800000000003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2.6670400000000001</v>
      </c>
      <c r="G22" s="61">
        <f>IF(FT!B22&lt;&gt;"",FT!B22*100,"")</f>
        <v>47.537600000000005</v>
      </c>
      <c r="H22" s="61">
        <f t="shared" si="1"/>
        <v>1</v>
      </c>
      <c r="I22" t="str">
        <f>IF(FT!B22&lt;&gt;"",FT!E22,"")</f>
        <v>1 [8.120242]</v>
      </c>
      <c r="J22">
        <f>IF(FT!B22&lt;&gt;"",FT!C22,"")</f>
        <v>8.1202400000000008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24655</v>
      </c>
      <c r="D23" s="61">
        <f>FH!B23*1</f>
        <v>24655</v>
      </c>
      <c r="E23">
        <f t="shared" si="3"/>
        <v>21</v>
      </c>
      <c r="F23" s="61">
        <f>IF(FT!A23&lt;&gt;"",FT!A23*10,"")</f>
        <v>2.6754499999999997</v>
      </c>
      <c r="G23" s="61">
        <f>IF(FT!B23&lt;&gt;"",FT!B23*100,"")</f>
        <v>47.214299999999994</v>
      </c>
      <c r="H23" s="61">
        <f t="shared" si="1"/>
        <v>1</v>
      </c>
      <c r="I23" t="str">
        <f>IF(FT!B23&lt;&gt;"",FT!E23,"")</f>
        <v>1 [8.528854]</v>
      </c>
      <c r="J23">
        <f>IF(FT!B23&lt;&gt;"",FT!C23,"")</f>
        <v>8.5288500000000003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2.68344</v>
      </c>
      <c r="G24" s="61">
        <f>IF(FT!B24&lt;&gt;"",FT!B24*100,"")</f>
        <v>46.872700000000002</v>
      </c>
      <c r="H24" s="61">
        <f t="shared" si="1"/>
        <v>1</v>
      </c>
      <c r="I24" t="str">
        <f>IF(FT!B24&lt;&gt;"",FT!E24,"")</f>
        <v>1 [8.934091]</v>
      </c>
      <c r="J24">
        <f>IF(FT!B24&lt;&gt;"",FT!C24,"")</f>
        <v>8.9340899999999994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2.6928000000000001</v>
      </c>
      <c r="G25" s="61">
        <f>IF(FT!B25&lt;&gt;"",FT!B25*100,"")</f>
        <v>46.53</v>
      </c>
      <c r="H25" s="61">
        <f t="shared" si="1"/>
        <v>1</v>
      </c>
      <c r="I25" t="str">
        <f>IF(FT!B25&lt;&gt;"",FT!E25,"")</f>
        <v>1 [9.343259]</v>
      </c>
      <c r="J25">
        <f>IF(FT!B25&lt;&gt;"",FT!C25,"")</f>
        <v>9.3432600000000008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41204</v>
      </c>
      <c r="D26" s="61">
        <f>FH!B26*1</f>
        <v>41204</v>
      </c>
      <c r="E26">
        <f t="shared" si="3"/>
        <v>24</v>
      </c>
      <c r="F26" s="61">
        <f>IF(FT!A26&lt;&gt;"",FT!A26*10,"")</f>
        <v>2.7009300000000005</v>
      </c>
      <c r="G26" s="61">
        <f>IF(FT!B26&lt;&gt;"",FT!B26*100,"")</f>
        <v>46.195</v>
      </c>
      <c r="H26" s="61">
        <f t="shared" si="1"/>
        <v>1</v>
      </c>
      <c r="I26" t="str">
        <f>IF(FT!B26&lt;&gt;"",FT!E26,"")</f>
        <v>1 [9.747466]</v>
      </c>
      <c r="J26">
        <f>IF(FT!B26&lt;&gt;"",FT!C26,"")</f>
        <v>9.7474699999999999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2.70797</v>
      </c>
      <c r="G27" s="61">
        <f>IF(FT!B27&lt;&gt;"",FT!B27*100,"")</f>
        <v>45.855400000000003</v>
      </c>
      <c r="H27" s="61">
        <f t="shared" si="1"/>
        <v>1</v>
      </c>
      <c r="I27" t="str">
        <f>IF(FT!B27&lt;&gt;"",FT!E27,"")</f>
        <v>1 [10.150736]</v>
      </c>
      <c r="J27">
        <f>IF(FT!B27&lt;&gt;"",FT!C27,"")</f>
        <v>10.150700000000001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69239</v>
      </c>
      <c r="D28" s="61">
        <f>FH!B28*1</f>
        <v>69239</v>
      </c>
      <c r="E28">
        <f t="shared" si="3"/>
        <v>26</v>
      </c>
      <c r="F28" s="61">
        <f>IF(FT!A28&lt;&gt;"",FT!A28*10,"")</f>
        <v>2.7149800000000002</v>
      </c>
      <c r="G28" s="61">
        <f>IF(FT!B28&lt;&gt;"",FT!B28*100,"")</f>
        <v>45.506999999999998</v>
      </c>
      <c r="H28" s="61">
        <f t="shared" si="1"/>
        <v>1</v>
      </c>
      <c r="I28" t="str">
        <f>IF(FT!B28&lt;&gt;"",FT!E28,"")</f>
        <v>1 [10.560142]</v>
      </c>
      <c r="J28">
        <f>IF(FT!B28&lt;&gt;"",FT!C28,"")</f>
        <v>10.5601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2.7218799999999996</v>
      </c>
      <c r="G29" s="61">
        <f>IF(FT!B29&lt;&gt;"",FT!B29*100,"")</f>
        <v>45.1633</v>
      </c>
      <c r="H29" s="61">
        <f t="shared" si="1"/>
        <v>1</v>
      </c>
      <c r="I29" t="str">
        <f>IF(FT!B29&lt;&gt;"",FT!E29,"")</f>
        <v>1 [10.966632]</v>
      </c>
      <c r="J29">
        <f>IF(FT!B29&lt;&gt;"",FT!C29,"")</f>
        <v>10.9666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2.7314500000000002</v>
      </c>
      <c r="G30" s="61">
        <f>IF(FT!B30&lt;&gt;"",FT!B30*100,"")</f>
        <v>44.774700000000003</v>
      </c>
      <c r="H30" s="61">
        <f t="shared" si="1"/>
        <v>1</v>
      </c>
      <c r="I30" t="str">
        <f>IF(FT!B30&lt;&gt;"",FT!E30,"")</f>
        <v>1 [11.373366]</v>
      </c>
      <c r="J30">
        <f>IF(FT!B30&lt;&gt;"",FT!C30,"")</f>
        <v>11.3734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95166</v>
      </c>
      <c r="D31" s="61">
        <f>FH!B31*1</f>
        <v>95166</v>
      </c>
      <c r="E31">
        <f t="shared" si="3"/>
        <v>29</v>
      </c>
      <c r="F31" s="61">
        <f>IF(FT!A31&lt;&gt;"",FT!A31*10,"")</f>
        <v>2.7437099999999996</v>
      </c>
      <c r="G31" s="61">
        <f>IF(FT!B31&lt;&gt;"",FT!B31*100,"")</f>
        <v>44.400800000000004</v>
      </c>
      <c r="H31" s="61">
        <f t="shared" si="1"/>
        <v>1</v>
      </c>
      <c r="I31" t="str">
        <f>IF(FT!B31&lt;&gt;"",FT!E31,"")</f>
        <v>1 [11.777084]</v>
      </c>
      <c r="J31">
        <f>IF(FT!B31&lt;&gt;"",FT!C31,"")</f>
        <v>11.777100000000001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2.7539200000000004</v>
      </c>
      <c r="G32" s="61">
        <f>IF(FT!B32&lt;&gt;"",FT!B32*100,"")</f>
        <v>44.039699999999996</v>
      </c>
      <c r="H32" s="61">
        <f t="shared" si="1"/>
        <v>1</v>
      </c>
      <c r="I32" t="str">
        <f>IF(FT!B32&lt;&gt;"",FT!E32,"")</f>
        <v>1 [12.182782]</v>
      </c>
      <c r="J32">
        <f>IF(FT!B32&lt;&gt;"",FT!C32,"")</f>
        <v>12.1828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100340</v>
      </c>
      <c r="D33" s="61">
        <f>FH!B33*1</f>
        <v>100340</v>
      </c>
      <c r="E33">
        <f t="shared" si="3"/>
        <v>31</v>
      </c>
      <c r="F33" s="61">
        <f>IF(FT!A33&lt;&gt;"",FT!A33*10,"")</f>
        <v>2.7631800000000002</v>
      </c>
      <c r="G33" s="61">
        <f>IF(FT!B33&lt;&gt;"",FT!B33*100,"")</f>
        <v>43.652799999999999</v>
      </c>
      <c r="H33" s="61">
        <f t="shared" si="1"/>
        <v>1</v>
      </c>
      <c r="I33" t="str">
        <f>IF(FT!B33&lt;&gt;"",FT!E33,"")</f>
        <v>1 [12.590064]</v>
      </c>
      <c r="J33">
        <f>IF(FT!B33&lt;&gt;"",FT!C33,"")</f>
        <v>12.5901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2.7720799999999999</v>
      </c>
      <c r="G34" s="61">
        <f>IF(FT!B34&lt;&gt;"",FT!B34*100,"")</f>
        <v>43.261099999999999</v>
      </c>
      <c r="H34" s="61">
        <f t="shared" si="1"/>
        <v>1</v>
      </c>
      <c r="I34" t="str">
        <f>IF(FT!B34&lt;&gt;"",FT!E34,"")</f>
        <v>1 [13.000068]</v>
      </c>
      <c r="J34">
        <f>IF(FT!B34&lt;&gt;"",FT!C34,"")</f>
        <v>13.0001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2.7805600000000004</v>
      </c>
      <c r="G35" s="61">
        <f>IF(FT!B35&lt;&gt;"",FT!B35*100,"")</f>
        <v>42.869800000000005</v>
      </c>
      <c r="H35" s="61">
        <f t="shared" si="1"/>
        <v>1</v>
      </c>
      <c r="I35" t="str">
        <f>IF(FT!B35&lt;&gt;"",FT!E35,"")</f>
        <v>1 [13.404476]</v>
      </c>
      <c r="J35">
        <f>IF(FT!B35&lt;&gt;"",FT!C35,"")</f>
        <v>13.404500000000001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111110</v>
      </c>
      <c r="D36" s="61">
        <f>FH!B36*1</f>
        <v>111110</v>
      </c>
      <c r="E36">
        <f t="shared" si="3"/>
        <v>34</v>
      </c>
      <c r="F36" s="61">
        <f>IF(FT!A36&lt;&gt;"",FT!A36*10,"")</f>
        <v>2.7885300000000002</v>
      </c>
      <c r="G36" s="61">
        <f>IF(FT!B36&lt;&gt;"",FT!B36*100,"")</f>
        <v>42.501400000000004</v>
      </c>
      <c r="H36" s="61">
        <f t="shared" si="1"/>
        <v>1</v>
      </c>
      <c r="I36" t="str">
        <f>IF(FT!B36&lt;&gt;"",FT!E36,"")</f>
        <v>1 [13.810212]</v>
      </c>
      <c r="J36">
        <f>IF(FT!B36&lt;&gt;"",FT!C36,"")</f>
        <v>13.8102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2.7982</v>
      </c>
      <c r="G37" s="61">
        <f>IF(FT!B37&lt;&gt;"",FT!B37*100,"")</f>
        <v>42.083399999999997</v>
      </c>
      <c r="H37" s="61">
        <f t="shared" si="1"/>
        <v>1</v>
      </c>
      <c r="I37" t="str">
        <f>IF(FT!B37&lt;&gt;"",FT!E37,"")</f>
        <v>1 [14.215910]</v>
      </c>
      <c r="J37">
        <f>IF(FT!B37&lt;&gt;"",FT!C37,"")</f>
        <v>14.2159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2.81149</v>
      </c>
      <c r="G38" s="61">
        <f>IF(FT!B38&lt;&gt;"",FT!B38*100,"")</f>
        <v>41.566399999999994</v>
      </c>
      <c r="H38" s="61">
        <f t="shared" si="1"/>
        <v>1</v>
      </c>
      <c r="I38" t="str">
        <f>IF(FT!B38&lt;&gt;"",FT!E38,"")</f>
        <v>1 [14.623734]</v>
      </c>
      <c r="J38">
        <f>IF(FT!B38&lt;&gt;"",FT!C38,"")</f>
        <v>14.623699999999999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119631</v>
      </c>
      <c r="D39" s="61">
        <f>FH!B39*1</f>
        <v>119631</v>
      </c>
      <c r="E39">
        <f t="shared" si="3"/>
        <v>37</v>
      </c>
      <c r="F39" s="61">
        <f>IF(FT!A39&lt;&gt;"",FT!A39*10,"")</f>
        <v>2.8278099999999999</v>
      </c>
      <c r="G39" s="61">
        <f>IF(FT!B39&lt;&gt;"",FT!B39*100,"")</f>
        <v>41.001199999999997</v>
      </c>
      <c r="H39" s="61">
        <f t="shared" si="1"/>
        <v>1</v>
      </c>
      <c r="I39" t="str">
        <f>IF(FT!B39&lt;&gt;"",FT!E39,"")</f>
        <v>1 [15.031388]</v>
      </c>
      <c r="J39">
        <f>IF(FT!B39&lt;&gt;"",FT!C39,"")</f>
        <v>15.0314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2.8422299999999998</v>
      </c>
      <c r="G40" s="61">
        <f>IF(FT!B40&lt;&gt;"",FT!B40*100,"")</f>
        <v>40.502000000000002</v>
      </c>
      <c r="H40" s="61">
        <f t="shared" si="1"/>
        <v>1</v>
      </c>
      <c r="I40" t="str">
        <f>IF(FT!B40&lt;&gt;"",FT!E40,"")</f>
        <v>1 [15.437561]</v>
      </c>
      <c r="J40">
        <f>IF(FT!B40&lt;&gt;"",FT!C40,"")</f>
        <v>15.4376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121502</v>
      </c>
      <c r="D41" s="61">
        <f>FH!B41*1</f>
        <v>121502</v>
      </c>
      <c r="E41">
        <f t="shared" si="3"/>
        <v>39</v>
      </c>
      <c r="F41" s="61">
        <f>IF(FT!A41&lt;&gt;"",FT!A41*10,"")</f>
        <v>2.8563100000000001</v>
      </c>
      <c r="G41" s="61">
        <f>IF(FT!B41&lt;&gt;"",FT!B41*100,"")</f>
        <v>40.064899999999994</v>
      </c>
      <c r="H41" s="61">
        <f t="shared" si="1"/>
        <v>1</v>
      </c>
      <c r="I41" t="str">
        <f>IF(FT!B41&lt;&gt;"",FT!E41,"")</f>
        <v>1 [15.842711]</v>
      </c>
      <c r="J41">
        <f>IF(FT!B41&lt;&gt;"",FT!C41,"")</f>
        <v>15.842700000000001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2.8739300000000001</v>
      </c>
      <c r="G42" s="61">
        <f>IF(FT!B42&lt;&gt;"",FT!B42*100,"")</f>
        <v>39.569600000000001</v>
      </c>
      <c r="H42" s="61">
        <f t="shared" si="1"/>
        <v>1</v>
      </c>
      <c r="I42" t="str">
        <f>IF(FT!B42&lt;&gt;"",FT!E42,"")</f>
        <v>1 [16.245748]</v>
      </c>
      <c r="J42">
        <f>IF(FT!B42&lt;&gt;"",FT!C42,"")</f>
        <v>16.245699999999999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2.8944999999999999</v>
      </c>
      <c r="G43" s="61">
        <f>IF(FT!B43&lt;&gt;"",FT!B43*100,"")</f>
        <v>39.063900000000004</v>
      </c>
      <c r="H43" s="61">
        <f t="shared" si="1"/>
        <v>1</v>
      </c>
      <c r="I43" t="str">
        <f>IF(FT!B43&lt;&gt;"",FT!E43,"")</f>
        <v>1 [16.651098]</v>
      </c>
      <c r="J43">
        <f>IF(FT!B43&lt;&gt;"",FT!C43,"")</f>
        <v>16.6511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118562</v>
      </c>
      <c r="D44" s="61">
        <f>FH!B44*1</f>
        <v>118562</v>
      </c>
      <c r="E44">
        <f t="shared" si="3"/>
        <v>42</v>
      </c>
      <c r="F44" s="61">
        <f>IF(FT!A44&lt;&gt;"",FT!A44*10,"")</f>
        <v>2.9165799999999997</v>
      </c>
      <c r="G44" s="61">
        <f>IF(FT!B44&lt;&gt;"",FT!B44*100,"")</f>
        <v>38.534700000000001</v>
      </c>
      <c r="H44" s="61">
        <f t="shared" si="1"/>
        <v>1</v>
      </c>
      <c r="I44" t="str">
        <f>IF(FT!B44&lt;&gt;"",FT!E44,"")</f>
        <v>1 [17.059747]</v>
      </c>
      <c r="J44">
        <f>IF(FT!B44&lt;&gt;"",FT!C44,"")</f>
        <v>17.059699999999999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2.94259</v>
      </c>
      <c r="G45" s="61">
        <f>IF(FT!B45&lt;&gt;"",FT!B45*100,"")</f>
        <v>38.008299999999998</v>
      </c>
      <c r="H45" s="61">
        <f t="shared" si="1"/>
        <v>1</v>
      </c>
      <c r="I45" t="str">
        <f>IF(FT!B45&lt;&gt;"",FT!E45,"")</f>
        <v>1 [17.465477]</v>
      </c>
      <c r="J45">
        <f>IF(FT!B45&lt;&gt;"",FT!C45,"")</f>
        <v>17.465499999999999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119436</v>
      </c>
      <c r="D46" s="61">
        <f>FH!B46*1</f>
        <v>119436</v>
      </c>
      <c r="E46">
        <f t="shared" si="3"/>
        <v>44</v>
      </c>
      <c r="F46" s="61">
        <f>IF(FT!A46&lt;&gt;"",FT!A46*10,"")</f>
        <v>2.96889</v>
      </c>
      <c r="G46" s="61">
        <f>IF(FT!B46&lt;&gt;"",FT!B46*100,"")</f>
        <v>37.492599999999996</v>
      </c>
      <c r="H46" s="61">
        <f t="shared" si="1"/>
        <v>1</v>
      </c>
      <c r="I46" t="str">
        <f>IF(FT!B46&lt;&gt;"",FT!E46,"")</f>
        <v>1 [17.875800]</v>
      </c>
      <c r="J46">
        <f>IF(FT!B46&lt;&gt;"",FT!C46,"")</f>
        <v>17.875800000000002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2.9961199999999999</v>
      </c>
      <c r="G47" s="61">
        <f>IF(FT!B47&lt;&gt;"",FT!B47*100,"")</f>
        <v>36.942599999999999</v>
      </c>
      <c r="H47" s="61">
        <f t="shared" si="1"/>
        <v>1</v>
      </c>
      <c r="I47" t="str">
        <f>IF(FT!B47&lt;&gt;"",FT!E47,"")</f>
        <v>1 [18.276490]</v>
      </c>
      <c r="J47">
        <f>IF(FT!B47&lt;&gt;"",FT!C47,"")</f>
        <v>18.276499999999999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3.0250300000000001</v>
      </c>
      <c r="G48" s="61">
        <f>IF(FT!B48&lt;&gt;"",FT!B48*100,"")</f>
        <v>36.429699999999997</v>
      </c>
      <c r="H48" s="61">
        <f t="shared" si="1"/>
        <v>1</v>
      </c>
      <c r="I48" t="str">
        <f>IF(FT!B48&lt;&gt;"",FT!E48,"")</f>
        <v>1 [18.687215]</v>
      </c>
      <c r="J48">
        <f>IF(FT!B48&lt;&gt;"",FT!C48,"")</f>
        <v>18.687200000000001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126252</v>
      </c>
      <c r="D49" s="61">
        <f>FH!B49*1</f>
        <v>126252</v>
      </c>
      <c r="E49">
        <f t="shared" si="3"/>
        <v>47</v>
      </c>
      <c r="F49" s="61">
        <f>IF(FT!A49&lt;&gt;"",FT!A49*10,"")</f>
        <v>3.0556200000000002</v>
      </c>
      <c r="G49" s="61">
        <f>IF(FT!B49&lt;&gt;"",FT!B49*100,"")</f>
        <v>35.942</v>
      </c>
      <c r="H49" s="61">
        <f t="shared" si="1"/>
        <v>1</v>
      </c>
      <c r="I49" t="str">
        <f>IF(FT!B49&lt;&gt;"",FT!E49,"")</f>
        <v>1 [19.091985]</v>
      </c>
      <c r="J49">
        <f>IF(FT!B49&lt;&gt;"",FT!C49,"")</f>
        <v>19.091999999999999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3.08778</v>
      </c>
      <c r="G50" s="61">
        <f>IF(FT!B50&lt;&gt;"",FT!B50*100,"")</f>
        <v>35.373599999999996</v>
      </c>
      <c r="H50" s="61">
        <f t="shared" si="1"/>
        <v>1</v>
      </c>
      <c r="I50" t="str">
        <f>IF(FT!B50&lt;&gt;"",FT!E50,"")</f>
        <v>1 [19.500909]</v>
      </c>
      <c r="J50">
        <f>IF(FT!B50&lt;&gt;"",FT!C50,"")</f>
        <v>19.500900000000001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129812</v>
      </c>
      <c r="D51" s="61">
        <f>FH!B51*1</f>
        <v>129812</v>
      </c>
      <c r="E51">
        <f t="shared" si="3"/>
        <v>49</v>
      </c>
      <c r="F51" s="61">
        <f>IF(FT!A51&lt;&gt;"",FT!A51*10,"")</f>
        <v>3.1183499999999995</v>
      </c>
      <c r="G51" s="61">
        <f>IF(FT!B51&lt;&gt;"",FT!B51*100,"")</f>
        <v>34.840400000000002</v>
      </c>
      <c r="H51" s="61">
        <f t="shared" si="1"/>
        <v>1</v>
      </c>
      <c r="I51" t="str">
        <f>IF(FT!B51&lt;&gt;"",FT!E51,"")</f>
        <v>1 [19.905860]</v>
      </c>
      <c r="J51">
        <f>IF(FT!B51&lt;&gt;"",FT!C51,"")</f>
        <v>19.905899999999999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3.14107</v>
      </c>
      <c r="G52" s="61">
        <f>IF(FT!B52&lt;&gt;"",FT!B52*100,"")</f>
        <v>34.522300000000001</v>
      </c>
      <c r="H52" s="61">
        <f t="shared" si="1"/>
        <v>1</v>
      </c>
      <c r="I52" t="str">
        <f>IF(FT!B52&lt;&gt;"",FT!E52,"")</f>
        <v>1 [20.308513]</v>
      </c>
      <c r="J52">
        <f>IF(FT!B52&lt;&gt;"",FT!C52,"")</f>
        <v>20.308499999999999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3.1763300000000001</v>
      </c>
      <c r="G53" s="61">
        <f>IF(FT!B53&lt;&gt;"",FT!B53*100,"")</f>
        <v>33.8446</v>
      </c>
      <c r="H53" s="61">
        <f t="shared" si="1"/>
        <v>1</v>
      </c>
      <c r="I53" t="str">
        <f>IF(FT!B53&lt;&gt;"",FT!E53,"")</f>
        <v>1 [20.717384]</v>
      </c>
      <c r="J53">
        <f>IF(FT!B53&lt;&gt;"",FT!C53,"")</f>
        <v>20.717400000000001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132613</v>
      </c>
      <c r="D54" s="61">
        <f>FH!B54*1</f>
        <v>132613</v>
      </c>
      <c r="E54">
        <f t="shared" si="3"/>
        <v>52</v>
      </c>
      <c r="F54" s="61">
        <f>IF(FT!A54&lt;&gt;"",FT!A54*10,"")</f>
        <v>3.2046299999999999</v>
      </c>
      <c r="G54" s="61">
        <f>IF(FT!B54&lt;&gt;"",FT!B54*100,"")</f>
        <v>33.311099999999996</v>
      </c>
      <c r="H54" s="61">
        <f t="shared" si="1"/>
        <v>1</v>
      </c>
      <c r="I54" t="str">
        <f>IF(FT!B54&lt;&gt;"",FT!E54,"")</f>
        <v>1 [21.126004]</v>
      </c>
      <c r="J54">
        <f>IF(FT!B54&lt;&gt;"",FT!C54,"")</f>
        <v>21.126000000000001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3.2237300000000002</v>
      </c>
      <c r="G55" s="61">
        <f>IF(FT!B55&lt;&gt;"",FT!B55*100,"")</f>
        <v>32.945999999999998</v>
      </c>
      <c r="H55" s="61">
        <f t="shared" si="1"/>
        <v>1</v>
      </c>
      <c r="I55" t="str">
        <f>IF(FT!B55&lt;&gt;"",FT!E55,"")</f>
        <v>1 [21.529734]</v>
      </c>
      <c r="J55">
        <f>IF(FT!B55&lt;&gt;"",FT!C55,"")</f>
        <v>21.529699999999998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3.2498700000000005</v>
      </c>
      <c r="G56" s="61">
        <f>IF(FT!B56&lt;&gt;"",FT!B56*100,"")</f>
        <v>32.316200000000002</v>
      </c>
      <c r="H56" s="61">
        <f t="shared" si="1"/>
        <v>1</v>
      </c>
      <c r="I56" t="str">
        <f>IF(FT!B56&lt;&gt;"",FT!E56,"")</f>
        <v>1 [21.936535]</v>
      </c>
      <c r="J56">
        <f>IF(FT!B56&lt;&gt;"",FT!C56,"")</f>
        <v>21.936499999999999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131632</v>
      </c>
      <c r="D57" s="61">
        <f>FH!B57*1</f>
        <v>131632</v>
      </c>
      <c r="E57">
        <f t="shared" si="3"/>
        <v>55</v>
      </c>
      <c r="F57" s="61">
        <f>IF(FT!A57&lt;&gt;"",FT!A57*10,"")</f>
        <v>3.2856000000000001</v>
      </c>
      <c r="G57" s="61">
        <f>IF(FT!B57&lt;&gt;"",FT!B57*100,"")</f>
        <v>31.604900000000001</v>
      </c>
      <c r="H57" s="61">
        <f t="shared" si="1"/>
        <v>1</v>
      </c>
      <c r="I57" t="str">
        <f>IF(FT!B57&lt;&gt;"",FT!E57,"")</f>
        <v>1 [22.341596]</v>
      </c>
      <c r="J57">
        <f>IF(FT!B57&lt;&gt;"",FT!C57,"")</f>
        <v>22.3416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3.3061000000000003</v>
      </c>
      <c r="G58" s="61">
        <f>IF(FT!B58&lt;&gt;"",FT!B58*100,"")</f>
        <v>31.290699999999998</v>
      </c>
      <c r="H58" s="61">
        <f t="shared" si="1"/>
        <v>1</v>
      </c>
      <c r="I58" t="str">
        <f>IF(FT!B58&lt;&gt;"",FT!E58,"")</f>
        <v>1 [22.744630]</v>
      </c>
      <c r="J58">
        <f>IF(FT!B58&lt;&gt;"",FT!C58,"")</f>
        <v>22.744599999999998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131118</v>
      </c>
      <c r="D59" s="61">
        <f>FH!B59*1</f>
        <v>131118</v>
      </c>
      <c r="E59">
        <f t="shared" si="3"/>
        <v>57</v>
      </c>
      <c r="F59" s="61">
        <f>IF(FT!A59&lt;&gt;"",FT!A59*10,"")</f>
        <v>3.3359299999999998</v>
      </c>
      <c r="G59" s="61">
        <f>IF(FT!B59&lt;&gt;"",FT!B59*100,"")</f>
        <v>30.857099999999999</v>
      </c>
      <c r="H59" s="61">
        <f t="shared" si="1"/>
        <v>1</v>
      </c>
      <c r="I59" t="str">
        <f>IF(FT!B59&lt;&gt;"",FT!E59,"")</f>
        <v>1 [23.152295]</v>
      </c>
      <c r="J59">
        <f>IF(FT!B59&lt;&gt;"",FT!C59,"")</f>
        <v>23.1523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3.3528899999999999</v>
      </c>
      <c r="G60" s="61">
        <f>IF(FT!B60&lt;&gt;"",FT!B60*100,"")</f>
        <v>30.6572</v>
      </c>
      <c r="H60" s="61">
        <f t="shared" si="1"/>
        <v>1</v>
      </c>
      <c r="I60" t="str">
        <f>IF(FT!B60&lt;&gt;"",FT!E60,"")</f>
        <v>1 [23.559708]</v>
      </c>
      <c r="J60">
        <f>IF(FT!B60&lt;&gt;"",FT!C60,"")</f>
        <v>23.559699999999999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3.3736300000000004</v>
      </c>
      <c r="G61" s="61">
        <f>IF(FT!B61&lt;&gt;"",FT!B61*100,"")</f>
        <v>30.412699999999997</v>
      </c>
      <c r="H61" s="61">
        <f t="shared" si="1"/>
        <v>1</v>
      </c>
      <c r="I61" t="str">
        <f>IF(FT!B61&lt;&gt;"",FT!E61,"")</f>
        <v>1 [23.968435]</v>
      </c>
      <c r="J61">
        <f>IF(FT!B61&lt;&gt;"",FT!C61,"")</f>
        <v>23.968399999999999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127501</v>
      </c>
      <c r="D62" s="61">
        <f>FH!B62*1</f>
        <v>127501</v>
      </c>
      <c r="E62">
        <f t="shared" si="3"/>
        <v>60</v>
      </c>
      <c r="F62" s="61">
        <f>IF(FT!A62&lt;&gt;"",FT!A62*10,"")</f>
        <v>3.3869300000000004</v>
      </c>
      <c r="G62" s="61">
        <f>IF(FT!B62&lt;&gt;"",FT!B62*100,"")</f>
        <v>30.2348</v>
      </c>
      <c r="H62" s="61">
        <f t="shared" si="1"/>
        <v>1</v>
      </c>
      <c r="I62" t="str">
        <f>IF(FT!B62&lt;&gt;"",FT!E62,"")</f>
        <v>1 [24.372713]</v>
      </c>
      <c r="J62">
        <f>IF(FT!B62&lt;&gt;"",FT!C62,"")</f>
        <v>24.372699999999998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3.4005000000000001</v>
      </c>
      <c r="G63" s="61">
        <f>IF(FT!B63&lt;&gt;"",FT!B63*100,"")</f>
        <v>30.096299999999999</v>
      </c>
      <c r="H63" s="61">
        <f t="shared" si="1"/>
        <v>1</v>
      </c>
      <c r="I63" t="str">
        <f>IF(FT!B63&lt;&gt;"",FT!E63,"")</f>
        <v>1 [24.780145]</v>
      </c>
      <c r="J63">
        <f>IF(FT!B63&lt;&gt;"",FT!C63,"")</f>
        <v>24.780100000000001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125198</v>
      </c>
      <c r="D64" s="61">
        <f>FH!B64*1</f>
        <v>125198</v>
      </c>
      <c r="E64">
        <f t="shared" si="3"/>
        <v>62</v>
      </c>
      <c r="F64" s="61">
        <f>IF(FT!A64&lt;&gt;"",FT!A64*10,"")</f>
        <v>3.4099200000000001</v>
      </c>
      <c r="G64" s="61">
        <f>IF(FT!B64&lt;&gt;"",FT!B64*100,"")</f>
        <v>29.971799999999998</v>
      </c>
      <c r="H64" s="61">
        <f t="shared" si="1"/>
        <v>1</v>
      </c>
      <c r="I64" t="str">
        <f>IF(FT!B64&lt;&gt;"",FT!E64,"")</f>
        <v>1 [25.183491]</v>
      </c>
      <c r="J64">
        <f>IF(FT!B64&lt;&gt;"",FT!C64,"")</f>
        <v>25.183499999999999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3.4192800000000001</v>
      </c>
      <c r="G65" s="61">
        <f>IF(FT!B65&lt;&gt;"",FT!B65*100,"")</f>
        <v>29.928700000000003</v>
      </c>
      <c r="H65" s="61">
        <f t="shared" si="1"/>
        <v>1</v>
      </c>
      <c r="I65" t="str">
        <f>IF(FT!B65&lt;&gt;"",FT!E65,"")</f>
        <v>1 [25.592010]</v>
      </c>
      <c r="J65">
        <f>IF(FT!B65&lt;&gt;"",FT!C65,"")</f>
        <v>25.591999999999999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3.42415</v>
      </c>
      <c r="G66" s="61">
        <f>IF(FT!B66&lt;&gt;"",FT!B66*100,"")</f>
        <v>29.997800000000002</v>
      </c>
      <c r="H66" s="61">
        <f t="shared" si="1"/>
        <v>1</v>
      </c>
      <c r="I66" t="str">
        <f>IF(FT!B66&lt;&gt;"",FT!E66,"")</f>
        <v>1 [25.998622]</v>
      </c>
      <c r="J66">
        <f>IF(FT!B66&lt;&gt;"",FT!C66,"")</f>
        <v>25.9986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125153</v>
      </c>
      <c r="D67" s="61">
        <f>FH!B67*1</f>
        <v>125153</v>
      </c>
      <c r="E67">
        <f t="shared" si="3"/>
        <v>65</v>
      </c>
      <c r="F67" s="61">
        <f>IF(FT!A67&lt;&gt;"",FT!A67*10,"")</f>
        <v>3.4320299999999997</v>
      </c>
      <c r="G67" s="61">
        <f>IF(FT!B67&lt;&gt;"",FT!B67*100,"")</f>
        <v>29.937599999999996</v>
      </c>
      <c r="H67" s="61">
        <f t="shared" ref="H67:H130" si="9">(IF(F67&lt;&gt;"",1,""))</f>
        <v>1</v>
      </c>
      <c r="I67" t="str">
        <f>IF(FT!B67&lt;&gt;"",FT!E67,"")</f>
        <v>1 [26.404228]</v>
      </c>
      <c r="J67">
        <f>IF(FT!B67&lt;&gt;"",FT!C67,"")</f>
        <v>26.404199999999999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3.43621</v>
      </c>
      <c r="G68" s="61">
        <f>IF(FT!B68&lt;&gt;"",FT!B68*100,"")</f>
        <v>29.974600000000002</v>
      </c>
      <c r="H68" s="61">
        <f t="shared" si="9"/>
        <v>1</v>
      </c>
      <c r="I68" t="str">
        <f>IF(FT!B68&lt;&gt;"",FT!E68,"")</f>
        <v>1 [26.807858]</v>
      </c>
      <c r="J68">
        <f>IF(FT!B68&lt;&gt;"",FT!C68,"")</f>
        <v>26.8079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138240</v>
      </c>
      <c r="D69" s="61">
        <f>FH!B69*1</f>
        <v>138240</v>
      </c>
      <c r="E69">
        <f t="shared" si="11"/>
        <v>67</v>
      </c>
      <c r="F69" s="61">
        <f>IF(FT!A69&lt;&gt;"",FT!A69*10,"")</f>
        <v>3.4409700000000001</v>
      </c>
      <c r="G69" s="61">
        <f>IF(FT!B69&lt;&gt;"",FT!B69*100,"")</f>
        <v>30.092500000000001</v>
      </c>
      <c r="H69" s="61">
        <f t="shared" si="9"/>
        <v>1</v>
      </c>
      <c r="I69" t="str">
        <f>IF(FT!B69&lt;&gt;"",FT!E69,"")</f>
        <v>1 [27.216052]</v>
      </c>
      <c r="J69">
        <f>IF(FT!B69&lt;&gt;"",FT!C69,"")</f>
        <v>27.216100000000001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3.4463400000000002</v>
      </c>
      <c r="G70" s="61">
        <f>IF(FT!B70&lt;&gt;"",FT!B70*100,"")</f>
        <v>30.074099999999998</v>
      </c>
      <c r="H70" s="61">
        <f t="shared" si="9"/>
        <v>1</v>
      </c>
      <c r="I70" t="str">
        <f>IF(FT!B70&lt;&gt;"",FT!E70,"")</f>
        <v>1 [27.624151]</v>
      </c>
      <c r="J70">
        <f>IF(FT!B70&lt;&gt;"",FT!C70,"")</f>
        <v>27.624199999999998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3.4483799999999998</v>
      </c>
      <c r="G71" s="61">
        <f>IF(FT!B71&lt;&gt;"",FT!B71*100,"")</f>
        <v>30.147500000000001</v>
      </c>
      <c r="H71" s="61">
        <f t="shared" si="9"/>
        <v>1</v>
      </c>
      <c r="I71" t="str">
        <f>IF(FT!B71&lt;&gt;"",FT!E71,"")</f>
        <v>1 [28.027673]</v>
      </c>
      <c r="J71">
        <f>IF(FT!B71&lt;&gt;"",FT!C71,"")</f>
        <v>28.027699999999999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129271</v>
      </c>
      <c r="D72" s="61">
        <f>FH!B72*1</f>
        <v>129271</v>
      </c>
      <c r="E72">
        <f t="shared" si="11"/>
        <v>70</v>
      </c>
      <c r="F72" s="61">
        <f>IF(FT!A72&lt;&gt;"",FT!A72*10,"")</f>
        <v>3.4481600000000001</v>
      </c>
      <c r="G72" s="61">
        <f>IF(FT!B72&lt;&gt;"",FT!B72*100,"")</f>
        <v>30.224899999999998</v>
      </c>
      <c r="H72" s="61">
        <f t="shared" si="9"/>
        <v>1</v>
      </c>
      <c r="I72" t="str">
        <f>IF(FT!B72&lt;&gt;"",FT!E72,"")</f>
        <v>1 [28.434582]</v>
      </c>
      <c r="J72">
        <f>IF(FT!B72&lt;&gt;"",FT!C72,"")</f>
        <v>28.4346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3.4435900000000004</v>
      </c>
      <c r="G73" s="61">
        <f>IF(FT!B73&lt;&gt;"",FT!B73*100,"")</f>
        <v>30.436299999999999</v>
      </c>
      <c r="H73" s="61">
        <f t="shared" si="9"/>
        <v>1</v>
      </c>
      <c r="I73" t="str">
        <f>IF(FT!B73&lt;&gt;"",FT!E73,"")</f>
        <v>1 [28.839312]</v>
      </c>
      <c r="J73">
        <f>IF(FT!B73&lt;&gt;"",FT!C73,"")</f>
        <v>28.839300000000001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3.4383699999999999</v>
      </c>
      <c r="G74" s="61">
        <f>IF(FT!B74&lt;&gt;"",FT!B74*100,"")</f>
        <v>30.59</v>
      </c>
      <c r="H74" s="61">
        <f t="shared" si="9"/>
        <v>1</v>
      </c>
      <c r="I74" t="str">
        <f>IF(FT!B74&lt;&gt;"",FT!E74,"")</f>
        <v>1 [29.246615]</v>
      </c>
      <c r="J74">
        <f>IF(FT!B74&lt;&gt;"",FT!C74,"")</f>
        <v>29.246600000000001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132470</v>
      </c>
      <c r="D75" s="61">
        <f>FH!B75*1</f>
        <v>132470</v>
      </c>
      <c r="E75">
        <f t="shared" si="11"/>
        <v>73</v>
      </c>
      <c r="F75" s="61">
        <f>IF(FT!A75&lt;&gt;"",FT!A75*10,"")</f>
        <v>3.4335599999999999</v>
      </c>
      <c r="G75" s="61">
        <f>IF(FT!B75&lt;&gt;"",FT!B75*100,"")</f>
        <v>30.708099999999998</v>
      </c>
      <c r="H75" s="61">
        <f t="shared" si="9"/>
        <v>1</v>
      </c>
      <c r="I75" t="str">
        <f>IF(FT!B75&lt;&gt;"",FT!E75,"")</f>
        <v>1 [29.653186]</v>
      </c>
      <c r="J75">
        <f>IF(FT!B75&lt;&gt;"",FT!C75,"")</f>
        <v>29.653199999999998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3.4255799999999996</v>
      </c>
      <c r="G76" s="61">
        <f>IF(FT!B76&lt;&gt;"",FT!B76*100,"")</f>
        <v>30.9405</v>
      </c>
      <c r="H76" s="61">
        <f t="shared" si="9"/>
        <v>1</v>
      </c>
      <c r="I76" t="str">
        <f>IF(FT!B76&lt;&gt;"",FT!E76,"")</f>
        <v>2 [30.062891]</v>
      </c>
      <c r="J76">
        <f>IF(FT!B76&lt;&gt;"",FT!C76,"")</f>
        <v>30.062899999999999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129502</v>
      </c>
      <c r="D77" s="61">
        <f>FH!B77*1</f>
        <v>129502</v>
      </c>
      <c r="E77">
        <f t="shared" si="11"/>
        <v>75</v>
      </c>
      <c r="F77" s="61">
        <f>IF(FT!A77&lt;&gt;"",FT!A77*10,"")</f>
        <v>3.41364</v>
      </c>
      <c r="G77" s="61">
        <f>IF(FT!B77&lt;&gt;"",FT!B77*100,"")</f>
        <v>31.243500000000001</v>
      </c>
      <c r="H77" s="61">
        <f t="shared" si="9"/>
        <v>1</v>
      </c>
      <c r="I77" t="str">
        <f>IF(FT!B77&lt;&gt;"",FT!E77,"")</f>
        <v>2 [30.514603]</v>
      </c>
      <c r="J77">
        <f>IF(FT!B77&lt;&gt;"",FT!C77,"")</f>
        <v>30.514600000000002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3.4043600000000001</v>
      </c>
      <c r="G78" s="61">
        <f>IF(FT!B78&lt;&gt;"",FT!B78*100,"")</f>
        <v>31.487100000000002</v>
      </c>
      <c r="H78" s="61">
        <f t="shared" si="9"/>
        <v>1</v>
      </c>
      <c r="I78" t="str">
        <f>IF(FT!B78&lt;&gt;"",FT!E78,"")</f>
        <v>2 [30.919795]</v>
      </c>
      <c r="J78">
        <f>IF(FT!B78&lt;&gt;"",FT!C78,"")</f>
        <v>30.919799999999999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3.3911200000000004</v>
      </c>
      <c r="G79" s="61">
        <f>IF(FT!B79&lt;&gt;"",FT!B79*100,"")</f>
        <v>31.764500000000002</v>
      </c>
      <c r="H79" s="61">
        <f t="shared" si="9"/>
        <v>1</v>
      </c>
      <c r="I79" t="str">
        <f>IF(FT!B79&lt;&gt;"",FT!E79,"")</f>
        <v>2 [31.325026]</v>
      </c>
      <c r="J79">
        <f>IF(FT!B79&lt;&gt;"",FT!C79,"")</f>
        <v>31.324999999999999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125448</v>
      </c>
      <c r="D80" s="61">
        <f>FH!B80*1</f>
        <v>125448</v>
      </c>
      <c r="E80">
        <f t="shared" si="11"/>
        <v>78</v>
      </c>
      <c r="F80" s="61">
        <f>IF(FT!A80&lt;&gt;"",FT!A80*10,"")</f>
        <v>3.3744899999999998</v>
      </c>
      <c r="G80" s="61">
        <f>IF(FT!B80&lt;&gt;"",FT!B80*100,"")</f>
        <v>32.094099999999997</v>
      </c>
      <c r="H80" s="61">
        <f t="shared" si="9"/>
        <v>1</v>
      </c>
      <c r="I80" t="str">
        <f>IF(FT!B80&lt;&gt;"",FT!E80,"")</f>
        <v>2 [31.732979]</v>
      </c>
      <c r="J80">
        <f>IF(FT!B80&lt;&gt;"",FT!C80,"")</f>
        <v>31.733000000000001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3.35364</v>
      </c>
      <c r="G81" s="61">
        <f>IF(FT!B81&lt;&gt;"",FT!B81*100,"")</f>
        <v>32.452500000000001</v>
      </c>
      <c r="H81" s="61">
        <f t="shared" si="9"/>
        <v>1</v>
      </c>
      <c r="I81" t="str">
        <f>IF(FT!B81&lt;&gt;"",FT!E81,"")</f>
        <v>2 [32.140288]</v>
      </c>
      <c r="J81">
        <f>IF(FT!B81&lt;&gt;"",FT!C81,"")</f>
        <v>32.140300000000003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121701</v>
      </c>
      <c r="D82" s="61">
        <f>FH!B82*1</f>
        <v>121701</v>
      </c>
      <c r="E82">
        <f t="shared" si="11"/>
        <v>80</v>
      </c>
      <c r="F82" s="61">
        <f>IF(FT!A82&lt;&gt;"",FT!A82*10,"")</f>
        <v>3.3311000000000002</v>
      </c>
      <c r="G82" s="61">
        <f>IF(FT!B82&lt;&gt;"",FT!B82*100,"")</f>
        <v>32.834899999999998</v>
      </c>
      <c r="H82" s="61">
        <f t="shared" si="9"/>
        <v>1</v>
      </c>
      <c r="I82" t="str">
        <f>IF(FT!B82&lt;&gt;"",FT!E82,"")</f>
        <v>2 [32.545528]</v>
      </c>
      <c r="J82">
        <f>IF(FT!B82&lt;&gt;"",FT!C82,"")</f>
        <v>32.545499999999997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3.3089900000000001</v>
      </c>
      <c r="G83" s="61">
        <f>IF(FT!B83&lt;&gt;"",FT!B83*100,"")</f>
        <v>33.207599999999999</v>
      </c>
      <c r="H83" s="61">
        <f t="shared" si="9"/>
        <v>1</v>
      </c>
      <c r="I83" t="str">
        <f>IF(FT!B83&lt;&gt;"",FT!E83,"")</f>
        <v>2 [32.950626]</v>
      </c>
      <c r="J83">
        <f>IF(FT!B83&lt;&gt;"",FT!C83,"")</f>
        <v>32.950600000000001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3.2879100000000001</v>
      </c>
      <c r="G84" s="61">
        <f>IF(FT!B84&lt;&gt;"",FT!B84*100,"")</f>
        <v>33.547800000000002</v>
      </c>
      <c r="H84" s="61">
        <f t="shared" si="9"/>
        <v>1</v>
      </c>
      <c r="I84" t="str">
        <f>IF(FT!B84&lt;&gt;"",FT!E84,"")</f>
        <v>2 [33.355005]</v>
      </c>
      <c r="J84">
        <f>IF(FT!B84&lt;&gt;"",FT!C84,"")</f>
        <v>33.354999999999997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129542</v>
      </c>
      <c r="D85" s="61">
        <f>FH!B85*1</f>
        <v>129542</v>
      </c>
      <c r="E85">
        <f t="shared" si="11"/>
        <v>83</v>
      </c>
      <c r="F85" s="61">
        <f>IF(FT!A85&lt;&gt;"",FT!A85*10,"")</f>
        <v>3.2698100000000001</v>
      </c>
      <c r="G85" s="61">
        <f>IF(FT!B85&lt;&gt;"",FT!B85*100,"")</f>
        <v>33.8292</v>
      </c>
      <c r="H85" s="61">
        <f t="shared" si="9"/>
        <v>1</v>
      </c>
      <c r="I85" t="str">
        <f>IF(FT!B85&lt;&gt;"",FT!E85,"")</f>
        <v>2 [33.763784]</v>
      </c>
      <c r="J85">
        <f>IF(FT!B85&lt;&gt;"",FT!C85,"")</f>
        <v>33.763800000000003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3.25556</v>
      </c>
      <c r="G86" s="61">
        <f>IF(FT!B86&lt;&gt;"",FT!B86*100,"")</f>
        <v>34.092299999999994</v>
      </c>
      <c r="H86" s="61">
        <f t="shared" si="9"/>
        <v>1</v>
      </c>
      <c r="I86" t="str">
        <f>IF(FT!B86&lt;&gt;"",FT!E86,"")</f>
        <v>2 [34.170321]</v>
      </c>
      <c r="J86">
        <f>IF(FT!B86&lt;&gt;"",FT!C86,"")</f>
        <v>34.170299999999997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3.2436100000000003</v>
      </c>
      <c r="G87" s="61">
        <f>IF(FT!B87&lt;&gt;"",FT!B87*100,"")</f>
        <v>34.370899999999999</v>
      </c>
      <c r="H87" s="61">
        <f t="shared" si="9"/>
        <v>1</v>
      </c>
      <c r="I87" t="str">
        <f>IF(FT!B87&lt;&gt;"",FT!E87,"")</f>
        <v>2 [34.577706]</v>
      </c>
      <c r="J87">
        <f>IF(FT!B87&lt;&gt;"",FT!C87,"")</f>
        <v>34.5777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123631</v>
      </c>
      <c r="D88" s="61">
        <f>FH!B88*1</f>
        <v>123631</v>
      </c>
      <c r="E88">
        <f t="shared" si="11"/>
        <v>86</v>
      </c>
      <c r="F88" s="61">
        <f>IF(FT!A88&lt;&gt;"",FT!A88*10,"")</f>
        <v>3.2322499999999996</v>
      </c>
      <c r="G88" s="61">
        <f>IF(FT!B88&lt;&gt;"",FT!B88*100,"")</f>
        <v>34.637900000000002</v>
      </c>
      <c r="H88" s="61">
        <f t="shared" si="9"/>
        <v>1</v>
      </c>
      <c r="I88" t="str">
        <f>IF(FT!B88&lt;&gt;"",FT!E88,"")</f>
        <v>2 [34.979924]</v>
      </c>
      <c r="J88">
        <f>IF(FT!B88&lt;&gt;"",FT!C88,"")</f>
        <v>34.979900000000001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3.2267700000000001</v>
      </c>
      <c r="G89" s="61">
        <f>IF(FT!B89&lt;&gt;"",FT!B89*100,"")</f>
        <v>34.831299999999999</v>
      </c>
      <c r="H89" s="61">
        <f t="shared" si="9"/>
        <v>1</v>
      </c>
      <c r="I89" t="str">
        <f>IF(FT!B89&lt;&gt;"",FT!E89,"")</f>
        <v>2 [35.387442]</v>
      </c>
      <c r="J89">
        <f>IF(FT!B89&lt;&gt;"",FT!C89,"")</f>
        <v>35.3874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117945</v>
      </c>
      <c r="D90" s="61">
        <f>FH!B90*1</f>
        <v>117945</v>
      </c>
      <c r="E90">
        <f t="shared" si="11"/>
        <v>88</v>
      </c>
      <c r="F90" s="61">
        <f>IF(FT!A90&lt;&gt;"",FT!A90*10,"")</f>
        <v>3.2260100000000005</v>
      </c>
      <c r="G90" s="61">
        <f>IF(FT!B90&lt;&gt;"",FT!B90*100,"")</f>
        <v>34.903300000000002</v>
      </c>
      <c r="H90" s="61">
        <f t="shared" si="9"/>
        <v>1</v>
      </c>
      <c r="I90" t="str">
        <f>IF(FT!B90&lt;&gt;"",FT!E90,"")</f>
        <v>2 [35.793488]</v>
      </c>
      <c r="J90">
        <f>IF(FT!B90&lt;&gt;"",FT!C90,"")</f>
        <v>35.793500000000002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3.2268799999999995</v>
      </c>
      <c r="G91" s="61">
        <f>IF(FT!B91&lt;&gt;"",FT!B91*100,"")</f>
        <v>34.952199999999998</v>
      </c>
      <c r="H91" s="61">
        <f t="shared" si="9"/>
        <v>1</v>
      </c>
      <c r="I91" t="str">
        <f>IF(FT!B91&lt;&gt;"",FT!E91,"")</f>
        <v>2 [36.200127]</v>
      </c>
      <c r="J91">
        <f>IF(FT!B91&lt;&gt;"",FT!C91,"")</f>
        <v>36.200099999999999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3.2280599999999997</v>
      </c>
      <c r="G92" s="61">
        <f>IF(FT!B92&lt;&gt;"",FT!B92*100,"")</f>
        <v>35.004999999999995</v>
      </c>
      <c r="H92" s="61">
        <f t="shared" si="9"/>
        <v>1</v>
      </c>
      <c r="I92" t="str">
        <f>IF(FT!B92&lt;&gt;"",FT!E92,"")</f>
        <v>2 [36.608446]</v>
      </c>
      <c r="J92">
        <f>IF(FT!B92&lt;&gt;"",FT!C92,"")</f>
        <v>36.608400000000003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126290</v>
      </c>
      <c r="D93" s="61">
        <f>FH!B93*1</f>
        <v>126290</v>
      </c>
      <c r="E93">
        <f t="shared" si="11"/>
        <v>91</v>
      </c>
      <c r="F93" s="61">
        <f>IF(FT!A93&lt;&gt;"",FT!A93*10,"")</f>
        <v>3.2276500000000001</v>
      </c>
      <c r="G93" s="61">
        <f>IF(FT!B93&lt;&gt;"",FT!B93*100,"")</f>
        <v>35.030799999999999</v>
      </c>
      <c r="H93" s="61">
        <f t="shared" si="9"/>
        <v>1</v>
      </c>
      <c r="I93" t="str">
        <f>IF(FT!B93&lt;&gt;"",FT!E93,"")</f>
        <v>2 [37.012582]</v>
      </c>
      <c r="J93">
        <f>IF(FT!B93&lt;&gt;"",FT!C93,"")</f>
        <v>37.012599999999999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3.2282300000000004</v>
      </c>
      <c r="G94" s="61">
        <f>IF(FT!B94&lt;&gt;"",FT!B94*100,"")</f>
        <v>35.035500000000006</v>
      </c>
      <c r="H94" s="61">
        <f t="shared" si="9"/>
        <v>1</v>
      </c>
      <c r="I94" t="str">
        <f>IF(FT!B94&lt;&gt;"",FT!E94,"")</f>
        <v>2 [37.419296]</v>
      </c>
      <c r="J94">
        <f>IF(FT!B94&lt;&gt;"",FT!C94,"")</f>
        <v>37.4193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122965</v>
      </c>
      <c r="D95" s="61">
        <f>FH!B95*1</f>
        <v>122965</v>
      </c>
      <c r="E95">
        <f t="shared" si="11"/>
        <v>93</v>
      </c>
      <c r="F95" s="61">
        <f>IF(FT!A95&lt;&gt;"",FT!A95*10,"")</f>
        <v>3.2315100000000001</v>
      </c>
      <c r="G95" s="61">
        <f>IF(FT!B95&lt;&gt;"",FT!B95*100,"")</f>
        <v>35.070099999999996</v>
      </c>
      <c r="H95" s="61">
        <f t="shared" si="9"/>
        <v>1</v>
      </c>
      <c r="I95" t="str">
        <f>IF(FT!B95&lt;&gt;"",FT!E95,"")</f>
        <v>2 [37.826505]</v>
      </c>
      <c r="J95">
        <f>IF(FT!B95&lt;&gt;"",FT!C95,"")</f>
        <v>37.826500000000003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3.23733</v>
      </c>
      <c r="G96" s="61">
        <f>IF(FT!B96&lt;&gt;"",FT!B96*100,"")</f>
        <v>35.063200000000002</v>
      </c>
      <c r="H96" s="61">
        <f t="shared" si="9"/>
        <v>1</v>
      </c>
      <c r="I96" t="str">
        <f>IF(FT!B96&lt;&gt;"",FT!E96,"")</f>
        <v>2 [38.233261]</v>
      </c>
      <c r="J96">
        <f>IF(FT!B96&lt;&gt;"",FT!C96,"")</f>
        <v>38.2333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3.2457099999999999</v>
      </c>
      <c r="G97" s="61">
        <f>IF(FT!B97&lt;&gt;"",FT!B97*100,"")</f>
        <v>35.006500000000003</v>
      </c>
      <c r="H97" s="61">
        <f t="shared" si="9"/>
        <v>1</v>
      </c>
      <c r="I97" t="str">
        <f>IF(FT!B97&lt;&gt;"",FT!E97,"")</f>
        <v>2 [38.639949]</v>
      </c>
      <c r="J97">
        <f>IF(FT!B97&lt;&gt;"",FT!C97,"")</f>
        <v>38.639899999999997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124906</v>
      </c>
      <c r="D98" s="61">
        <f>FH!B98*1</f>
        <v>124906</v>
      </c>
      <c r="E98">
        <f t="shared" si="11"/>
        <v>96</v>
      </c>
      <c r="F98" s="61">
        <f>IF(FT!A98&lt;&gt;"",FT!A98*10,"")</f>
        <v>3.2581199999999999</v>
      </c>
      <c r="G98" s="61">
        <f>IF(FT!B98&lt;&gt;"",FT!B98*100,"")</f>
        <v>34.806899999999999</v>
      </c>
      <c r="H98" s="61">
        <f t="shared" si="9"/>
        <v>1</v>
      </c>
      <c r="I98" t="str">
        <f>IF(FT!B98&lt;&gt;"",FT!E98,"")</f>
        <v>2 [39.047316]</v>
      </c>
      <c r="J98">
        <f>IF(FT!B98&lt;&gt;"",FT!C98,"")</f>
        <v>39.0473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3.2718399999999996</v>
      </c>
      <c r="G99" s="61">
        <f>IF(FT!B99&lt;&gt;"",FT!B99*100,"")</f>
        <v>34.5869</v>
      </c>
      <c r="H99" s="61">
        <f t="shared" si="9"/>
        <v>1</v>
      </c>
      <c r="I99" t="str">
        <f>IF(FT!B99&lt;&gt;"",FT!E99,"")</f>
        <v>2 [39.450936]</v>
      </c>
      <c r="J99">
        <f>IF(FT!B99&lt;&gt;"",FT!C99,"")</f>
        <v>39.450899999999997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118894</v>
      </c>
      <c r="D100" s="61">
        <f>FH!B100*1</f>
        <v>118894</v>
      </c>
      <c r="E100">
        <f t="shared" si="11"/>
        <v>98</v>
      </c>
      <c r="F100" s="61">
        <f>IF(FT!A100&lt;&gt;"",FT!A100*10,"")</f>
        <v>3.2867099999999998</v>
      </c>
      <c r="G100" s="61">
        <f>IF(FT!B100&lt;&gt;"",FT!B100*100,"")</f>
        <v>34.340699999999998</v>
      </c>
      <c r="H100" s="61">
        <f t="shared" si="9"/>
        <v>1</v>
      </c>
      <c r="I100" t="str">
        <f>IF(FT!B100&lt;&gt;"",FT!E100,"")</f>
        <v>2 [39.855419]</v>
      </c>
      <c r="J100">
        <f>IF(FT!B100&lt;&gt;"",FT!C100,"")</f>
        <v>39.855400000000003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3.30382</v>
      </c>
      <c r="G101" s="61">
        <f>IF(FT!B101&lt;&gt;"",FT!B101*100,"")</f>
        <v>34.003900000000002</v>
      </c>
      <c r="H101" s="61">
        <f t="shared" si="9"/>
        <v>1</v>
      </c>
      <c r="I101" t="str">
        <f>IF(FT!B101&lt;&gt;"",FT!E101,"")</f>
        <v>2 [40.262704]</v>
      </c>
      <c r="J101">
        <f>IF(FT!B101&lt;&gt;"",FT!C101,"")</f>
        <v>40.262700000000002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3.3247800000000001</v>
      </c>
      <c r="G102" s="61">
        <f>IF(FT!B102&lt;&gt;"",FT!B102*100,"")</f>
        <v>33.639200000000002</v>
      </c>
      <c r="H102" s="61">
        <f t="shared" si="9"/>
        <v>1</v>
      </c>
      <c r="I102" t="str">
        <f>IF(FT!B102&lt;&gt;"",FT!E102,"")</f>
        <v>2 [40.671273]</v>
      </c>
      <c r="J102">
        <f>IF(FT!B102&lt;&gt;"",FT!C102,"")</f>
        <v>40.671300000000002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111921</v>
      </c>
      <c r="D103" s="61">
        <f>FH!B103*1</f>
        <v>111921</v>
      </c>
      <c r="E103">
        <f t="shared" si="11"/>
        <v>101</v>
      </c>
      <c r="F103" s="61">
        <f>IF(FT!A103&lt;&gt;"",FT!A103*10,"")</f>
        <v>3.3467400000000005</v>
      </c>
      <c r="G103" s="61">
        <f>IF(FT!B103&lt;&gt;"",FT!B103*100,"")</f>
        <v>33.278400000000005</v>
      </c>
      <c r="H103" s="61">
        <f t="shared" si="9"/>
        <v>1</v>
      </c>
      <c r="I103" t="str">
        <f>IF(FT!B103&lt;&gt;"",FT!E103,"")</f>
        <v>2 [41.077516]</v>
      </c>
      <c r="J103">
        <f>IF(FT!B103&lt;&gt;"",FT!C103,"")</f>
        <v>41.077500000000001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3.37575</v>
      </c>
      <c r="G104" s="61">
        <f>IF(FT!B104&lt;&gt;"",FT!B104*100,"")</f>
        <v>32.822899999999997</v>
      </c>
      <c r="H104" s="61">
        <f t="shared" si="9"/>
        <v>1</v>
      </c>
      <c r="I104" t="str">
        <f>IF(FT!B104&lt;&gt;"",FT!E104,"")</f>
        <v>2 [41.479754]</v>
      </c>
      <c r="J104">
        <f>IF(FT!B104&lt;&gt;"",FT!C104,"")</f>
        <v>41.479799999999997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3.4082400000000002</v>
      </c>
      <c r="G105" s="61">
        <f>IF(FT!B105&lt;&gt;"",FT!B105*100,"")</f>
        <v>32.300800000000002</v>
      </c>
      <c r="H105" s="61">
        <f t="shared" si="9"/>
        <v>1</v>
      </c>
      <c r="I105" t="str">
        <f>IF(FT!B105&lt;&gt;"",FT!E105,"")</f>
        <v>2 [41.886499]</v>
      </c>
      <c r="J105">
        <f>IF(FT!B105&lt;&gt;"",FT!C105,"")</f>
        <v>41.886499999999998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105697</v>
      </c>
      <c r="D106" s="61">
        <f>FH!B106*1</f>
        <v>105697</v>
      </c>
      <c r="E106">
        <f t="shared" si="11"/>
        <v>104</v>
      </c>
      <c r="F106" s="61">
        <f>IF(FT!A106&lt;&gt;"",FT!A106*10,"")</f>
        <v>3.4432</v>
      </c>
      <c r="G106" s="61">
        <f>IF(FT!B106&lt;&gt;"",FT!B106*100,"")</f>
        <v>31.814700000000002</v>
      </c>
      <c r="H106" s="61">
        <f t="shared" si="9"/>
        <v>1</v>
      </c>
      <c r="I106" t="str">
        <f>IF(FT!B106&lt;&gt;"",FT!E106,"")</f>
        <v>2 [42.294819]</v>
      </c>
      <c r="J106">
        <f>IF(FT!B106&lt;&gt;"",FT!C106,"")</f>
        <v>42.294800000000002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3.4772799999999999</v>
      </c>
      <c r="G107" s="61">
        <f>IF(FT!B107&lt;&gt;"",FT!B107*100,"")</f>
        <v>31.428299999999997</v>
      </c>
      <c r="H107" s="61">
        <f t="shared" si="9"/>
        <v>1</v>
      </c>
      <c r="I107" t="str">
        <f>IF(FT!B107&lt;&gt;"",FT!E107,"")</f>
        <v>2 [42.703534]</v>
      </c>
      <c r="J107">
        <f>IF(FT!B107&lt;&gt;"",FT!C107,"")</f>
        <v>42.703499999999998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106697</v>
      </c>
      <c r="D108" s="61">
        <f>FH!B108*1</f>
        <v>106697</v>
      </c>
      <c r="E108">
        <f t="shared" si="11"/>
        <v>106</v>
      </c>
      <c r="F108" s="61">
        <f>IF(FT!A108&lt;&gt;"",FT!A108*10,"")</f>
        <v>3.5133199999999998</v>
      </c>
      <c r="G108" s="61">
        <f>IF(FT!B108&lt;&gt;"",FT!B108*100,"")</f>
        <v>31.033100000000001</v>
      </c>
      <c r="H108" s="61">
        <f t="shared" si="9"/>
        <v>1</v>
      </c>
      <c r="I108" t="str">
        <f>IF(FT!B108&lt;&gt;"",FT!E108,"")</f>
        <v>2 [43.110603]</v>
      </c>
      <c r="J108">
        <f>IF(FT!B108&lt;&gt;"",FT!C108,"")</f>
        <v>43.110599999999998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3.5498500000000002</v>
      </c>
      <c r="G109" s="61">
        <f>IF(FT!B109&lt;&gt;"",FT!B109*100,"")</f>
        <v>30.659599999999998</v>
      </c>
      <c r="H109" s="61">
        <f t="shared" si="9"/>
        <v>1</v>
      </c>
      <c r="I109" t="str">
        <f>IF(FT!B109&lt;&gt;"",FT!E109,"")</f>
        <v>2 [43.512386]</v>
      </c>
      <c r="J109">
        <f>IF(FT!B109&lt;&gt;"",FT!C109,"")</f>
        <v>43.5124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3.5879100000000004</v>
      </c>
      <c r="G110" s="61">
        <f>IF(FT!B110&lt;&gt;"",FT!B110*100,"")</f>
        <v>30.342799999999997</v>
      </c>
      <c r="H110" s="61">
        <f t="shared" si="9"/>
        <v>1</v>
      </c>
      <c r="I110" t="str">
        <f>IF(FT!B110&lt;&gt;"",FT!E110,"")</f>
        <v>2 [43.916325]</v>
      </c>
      <c r="J110">
        <f>IF(FT!B110&lt;&gt;"",FT!C110,"")</f>
        <v>43.9163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96892</v>
      </c>
      <c r="D111" s="61">
        <f>FH!B111*1</f>
        <v>96892</v>
      </c>
      <c r="E111">
        <f t="shared" si="11"/>
        <v>109</v>
      </c>
      <c r="F111" s="61">
        <f>IF(FT!A111&lt;&gt;"",FT!A111*10,"")</f>
        <v>3.6258699999999999</v>
      </c>
      <c r="G111" s="61">
        <f>IF(FT!B111&lt;&gt;"",FT!B111*100,"")</f>
        <v>30.038599999999999</v>
      </c>
      <c r="H111" s="61">
        <f t="shared" si="9"/>
        <v>1</v>
      </c>
      <c r="I111" t="str">
        <f>IF(FT!B111&lt;&gt;"",FT!E111,"")</f>
        <v>2 [44.325259]</v>
      </c>
      <c r="J111">
        <f>IF(FT!B111&lt;&gt;"",FT!C111,"")</f>
        <v>44.325299999999999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3.6649500000000002</v>
      </c>
      <c r="G112" s="61">
        <f>IF(FT!B112&lt;&gt;"",FT!B112*100,"")</f>
        <v>29.680699999999998</v>
      </c>
      <c r="H112" s="61">
        <f t="shared" si="9"/>
        <v>1</v>
      </c>
      <c r="I112" t="str">
        <f>IF(FT!B112&lt;&gt;"",FT!E112,"")</f>
        <v>2 [44.732940]</v>
      </c>
      <c r="J112">
        <f>IF(FT!B112&lt;&gt;"",FT!C112,"")</f>
        <v>44.732900000000001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87275</v>
      </c>
      <c r="D113" s="61">
        <f>FH!B113*1</f>
        <v>87275</v>
      </c>
      <c r="E113">
        <f t="shared" si="11"/>
        <v>111</v>
      </c>
      <c r="F113" s="61">
        <f>IF(FT!A113&lt;&gt;"",FT!A113*10,"")</f>
        <v>3.7000999999999999</v>
      </c>
      <c r="G113" s="61">
        <f>IF(FT!B113&lt;&gt;"",FT!B113*100,"")</f>
        <v>29.450300000000002</v>
      </c>
      <c r="H113" s="61">
        <f t="shared" si="9"/>
        <v>1</v>
      </c>
      <c r="I113" t="str">
        <f>IF(FT!B113&lt;&gt;"",FT!E113,"")</f>
        <v>2 [45.139611]</v>
      </c>
      <c r="J113">
        <f>IF(FT!B113&lt;&gt;"",FT!C113,"")</f>
        <v>45.139600000000002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3.7321300000000002</v>
      </c>
      <c r="G114" s="61">
        <f>IF(FT!B114&lt;&gt;"",FT!B114*100,"")</f>
        <v>29.141499999999997</v>
      </c>
      <c r="H114" s="61">
        <f t="shared" si="9"/>
        <v>1</v>
      </c>
      <c r="I114" t="str">
        <f>IF(FT!B114&lt;&gt;"",FT!E114,"")</f>
        <v>2 [45.543462]</v>
      </c>
      <c r="J114">
        <f>IF(FT!B114&lt;&gt;"",FT!C114,"")</f>
        <v>45.543500000000002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3.7624999999999997</v>
      </c>
      <c r="G115" s="61">
        <f>IF(FT!B115&lt;&gt;"",FT!B115*100,"")</f>
        <v>28.863299999999999</v>
      </c>
      <c r="H115" s="61">
        <f t="shared" si="9"/>
        <v>1</v>
      </c>
      <c r="I115" t="str">
        <f>IF(FT!B115&lt;&gt;"",FT!E115,"")</f>
        <v>2 [45.949154]</v>
      </c>
      <c r="J115">
        <f>IF(FT!B115&lt;&gt;"",FT!C115,"")</f>
        <v>45.949199999999998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87124</v>
      </c>
      <c r="D116" s="61">
        <f>FH!B116*1</f>
        <v>87124</v>
      </c>
      <c r="E116">
        <f t="shared" si="11"/>
        <v>114</v>
      </c>
      <c r="F116" s="61">
        <f>IF(FT!A116&lt;&gt;"",FT!A116*10,"")</f>
        <v>3.79312</v>
      </c>
      <c r="G116" s="61">
        <f>IF(FT!B116&lt;&gt;"",FT!B116*100,"")</f>
        <v>28.612900000000003</v>
      </c>
      <c r="H116" s="61">
        <f t="shared" si="9"/>
        <v>1</v>
      </c>
      <c r="I116" t="str">
        <f>IF(FT!B116&lt;&gt;"",FT!E116,"")</f>
        <v>2 [46.356824]</v>
      </c>
      <c r="J116">
        <f>IF(FT!B116&lt;&gt;"",FT!C116,"")</f>
        <v>46.3568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3.8189000000000002</v>
      </c>
      <c r="G117" s="61">
        <f>IF(FT!B117&lt;&gt;"",FT!B117*100,"")</f>
        <v>28.453200000000002</v>
      </c>
      <c r="H117" s="61">
        <f t="shared" si="9"/>
        <v>1</v>
      </c>
      <c r="I117" t="str">
        <f>IF(FT!B117&lt;&gt;"",FT!E117,"")</f>
        <v>2 [46.765584]</v>
      </c>
      <c r="J117">
        <f>IF(FT!B117&lt;&gt;"",FT!C117,"")</f>
        <v>46.765599999999999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76841</v>
      </c>
      <c r="D118" s="61">
        <f>FH!B118*1</f>
        <v>76841</v>
      </c>
      <c r="E118">
        <f t="shared" si="11"/>
        <v>116</v>
      </c>
      <c r="F118" s="61">
        <f>IF(FT!A118&lt;&gt;"",FT!A118*10,"")</f>
        <v>3.8422000000000001</v>
      </c>
      <c r="G118" s="61">
        <f>IF(FT!B118&lt;&gt;"",FT!B118*100,"")</f>
        <v>28.4038</v>
      </c>
      <c r="H118" s="61">
        <f t="shared" si="9"/>
        <v>1</v>
      </c>
      <c r="I118" t="str">
        <f>IF(FT!B118&lt;&gt;"",FT!E118,"")</f>
        <v>2 [47.168924]</v>
      </c>
      <c r="J118">
        <f>IF(FT!B118&lt;&gt;"",FT!C118,"")</f>
        <v>47.168900000000001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3.86558</v>
      </c>
      <c r="G119" s="61">
        <f>IF(FT!B119&lt;&gt;"",FT!B119*100,"")</f>
        <v>28.357800000000001</v>
      </c>
      <c r="H119" s="61">
        <f t="shared" si="9"/>
        <v>1</v>
      </c>
      <c r="I119" t="str">
        <f>IF(FT!B119&lt;&gt;"",FT!E119,"")</f>
        <v>2 [47.574417]</v>
      </c>
      <c r="J119">
        <f>IF(FT!B119&lt;&gt;"",FT!C119,"")</f>
        <v>47.574399999999997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3.8909599999999998</v>
      </c>
      <c r="G120" s="61">
        <f>IF(FT!B120&lt;&gt;"",FT!B120*100,"")</f>
        <v>28.224300000000003</v>
      </c>
      <c r="H120" s="61">
        <f t="shared" si="9"/>
        <v>1</v>
      </c>
      <c r="I120" t="str">
        <f>IF(FT!B120&lt;&gt;"",FT!E120,"")</f>
        <v>2 [47.981864]</v>
      </c>
      <c r="J120">
        <f>IF(FT!B120&lt;&gt;"",FT!C120,"")</f>
        <v>47.981900000000003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72781</v>
      </c>
      <c r="D121" s="61">
        <f>FH!B121*1</f>
        <v>72781</v>
      </c>
      <c r="E121">
        <f t="shared" si="11"/>
        <v>119</v>
      </c>
      <c r="F121" s="61">
        <f>IF(FT!A121&lt;&gt;"",FT!A121*10,"")</f>
        <v>3.9114599999999999</v>
      </c>
      <c r="G121" s="61">
        <f>IF(FT!B121&lt;&gt;"",FT!B121*100,"")</f>
        <v>28.131800000000002</v>
      </c>
      <c r="H121" s="61">
        <f t="shared" si="9"/>
        <v>1</v>
      </c>
      <c r="I121" t="str">
        <f>IF(FT!B121&lt;&gt;"",FT!E121,"")</f>
        <v>2 [48.387879]</v>
      </c>
      <c r="J121">
        <f>IF(FT!B121&lt;&gt;"",FT!C121,"")</f>
        <v>48.387900000000002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3.92909</v>
      </c>
      <c r="G122" s="61">
        <f>IF(FT!B122&lt;&gt;"",FT!B122*100,"")</f>
        <v>28.060299999999998</v>
      </c>
      <c r="H122" s="61">
        <f t="shared" si="9"/>
        <v>1</v>
      </c>
      <c r="I122" t="str">
        <f>IF(FT!B122&lt;&gt;"",FT!E122,"")</f>
        <v>2 [48.798135]</v>
      </c>
      <c r="J122">
        <f>IF(FT!B122&lt;&gt;"",FT!C122,"")</f>
        <v>48.798099999999998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3.94435</v>
      </c>
      <c r="G123" s="61">
        <f>IF(FT!B123&lt;&gt;"",FT!B123*100,"")</f>
        <v>28.005999999999997</v>
      </c>
      <c r="H123" s="61">
        <f t="shared" si="9"/>
        <v>1</v>
      </c>
      <c r="I123" t="str">
        <f>IF(FT!B123&lt;&gt;"",FT!E123,"")</f>
        <v>2 [49.201248]</v>
      </c>
      <c r="J123">
        <f>IF(FT!B123&lt;&gt;"",FT!C123,"")</f>
        <v>49.2012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64184</v>
      </c>
      <c r="D124" s="61">
        <f>FH!B124*1</f>
        <v>64184</v>
      </c>
      <c r="E124">
        <f t="shared" si="11"/>
        <v>122</v>
      </c>
      <c r="F124" s="61">
        <f>IF(FT!A124&lt;&gt;"",FT!A124*10,"")</f>
        <v>3.9572800000000004</v>
      </c>
      <c r="G124" s="61">
        <f>IF(FT!B124&lt;&gt;"",FT!B124*100,"")</f>
        <v>28.026299999999999</v>
      </c>
      <c r="H124" s="61">
        <f t="shared" si="9"/>
        <v>1</v>
      </c>
      <c r="I124" t="str">
        <f>IF(FT!B124&lt;&gt;"",FT!E124,"")</f>
        <v>2 [49.605024]</v>
      </c>
      <c r="J124">
        <f>IF(FT!B124&lt;&gt;"",FT!C124,"")</f>
        <v>49.604999999999997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3.96889</v>
      </c>
      <c r="G125" s="61">
        <f>IF(FT!B125&lt;&gt;"",FT!B125*100,"")</f>
        <v>28.086899999999996</v>
      </c>
      <c r="H125" s="61">
        <f t="shared" si="9"/>
        <v>1</v>
      </c>
      <c r="I125" t="str">
        <f>IF(FT!B125&lt;&gt;"",FT!E125,"")</f>
        <v>2 [50.013025]</v>
      </c>
      <c r="J125">
        <f>IF(FT!B125&lt;&gt;"",FT!C125,"")</f>
        <v>50.012999999999998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58063</v>
      </c>
      <c r="D126" s="61">
        <f>FH!B126*1</f>
        <v>58063</v>
      </c>
      <c r="E126">
        <f t="shared" si="11"/>
        <v>124</v>
      </c>
      <c r="F126" s="61">
        <f>IF(FT!A126&lt;&gt;"",FT!A126*10,"")</f>
        <v>3.9809000000000001</v>
      </c>
      <c r="G126" s="61">
        <f>IF(FT!B126&lt;&gt;"",FT!B126*100,"")</f>
        <v>28.086400000000001</v>
      </c>
      <c r="H126" s="61">
        <f t="shared" si="9"/>
        <v>1</v>
      </c>
      <c r="I126" t="str">
        <f>IF(FT!B126&lt;&gt;"",FT!E126,"")</f>
        <v>2 [50.422024]</v>
      </c>
      <c r="J126">
        <f>IF(FT!B126&lt;&gt;"",FT!C126,"")</f>
        <v>50.421999999999997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3.99092</v>
      </c>
      <c r="G127" s="61">
        <f>IF(FT!B127&lt;&gt;"",FT!B127*100,"")</f>
        <v>28.067500000000003</v>
      </c>
      <c r="H127" s="61">
        <f t="shared" si="9"/>
        <v>1</v>
      </c>
      <c r="I127" t="str">
        <f>IF(FT!B127&lt;&gt;"",FT!E127,"")</f>
        <v>2 [50.825725]</v>
      </c>
      <c r="J127">
        <f>IF(FT!B127&lt;&gt;"",FT!C127,"")</f>
        <v>50.825699999999998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4.0008499999999998</v>
      </c>
      <c r="G128" s="61">
        <f>IF(FT!B128&lt;&gt;"",FT!B128*100,"")</f>
        <v>28.044799999999999</v>
      </c>
      <c r="H128" s="61">
        <f t="shared" si="9"/>
        <v>1</v>
      </c>
      <c r="I128" t="str">
        <f>IF(FT!B128&lt;&gt;"",FT!E128,"")</f>
        <v>2 [51.234497]</v>
      </c>
      <c r="J128">
        <f>IF(FT!B128&lt;&gt;"",FT!C128,"")</f>
        <v>51.234499999999997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56999</v>
      </c>
      <c r="D129" s="61">
        <f>FH!B129*1</f>
        <v>56999</v>
      </c>
      <c r="E129">
        <f t="shared" si="11"/>
        <v>127</v>
      </c>
      <c r="F129" s="61">
        <f>IF(FT!A129&lt;&gt;"",FT!A129*10,"")</f>
        <v>4.00746</v>
      </c>
      <c r="G129" s="61">
        <f>IF(FT!B129&lt;&gt;"",FT!B129*100,"")</f>
        <v>28.042899999999999</v>
      </c>
      <c r="H129" s="61">
        <f t="shared" si="9"/>
        <v>1</v>
      </c>
      <c r="I129" t="str">
        <f>IF(FT!B129&lt;&gt;"",FT!E129,"")</f>
        <v>2 [51.637721]</v>
      </c>
      <c r="J129">
        <f>IF(FT!B129&lt;&gt;"",FT!C129,"")</f>
        <v>51.637700000000002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4.0127000000000006</v>
      </c>
      <c r="G130" s="61">
        <f>IF(FT!B130&lt;&gt;"",FT!B130*100,"")</f>
        <v>28.0899</v>
      </c>
      <c r="H130" s="61">
        <f t="shared" si="9"/>
        <v>1</v>
      </c>
      <c r="I130" t="str">
        <f>IF(FT!B130&lt;&gt;"",FT!E130,"")</f>
        <v>2 [52.043495]</v>
      </c>
      <c r="J130">
        <f>IF(FT!B130&lt;&gt;"",FT!C130,"")</f>
        <v>52.043500000000002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58778</v>
      </c>
      <c r="D131" s="61">
        <f>FH!B131*1</f>
        <v>58778</v>
      </c>
      <c r="E131">
        <f t="shared" si="11"/>
        <v>129</v>
      </c>
      <c r="F131" s="61">
        <f>IF(FT!A131&lt;&gt;"",FT!A131*10,"")</f>
        <v>4.0171400000000004</v>
      </c>
      <c r="G131" s="61">
        <f>IF(FT!B131&lt;&gt;"",FT!B131*100,"")</f>
        <v>28.151900000000001</v>
      </c>
      <c r="H131" s="61">
        <f t="shared" ref="H131:H194" si="13">(IF(F131&lt;&gt;"",1,""))</f>
        <v>1</v>
      </c>
      <c r="I131" t="str">
        <f>IF(FT!B131&lt;&gt;"",FT!E131,"")</f>
        <v>2 [52.448857]</v>
      </c>
      <c r="J131">
        <f>IF(FT!B131&lt;&gt;"",FT!C131,"")</f>
        <v>52.448900000000002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4.02386</v>
      </c>
      <c r="G132" s="61">
        <f>IF(FT!B132&lt;&gt;"",FT!B132*100,"")</f>
        <v>28.1843</v>
      </c>
      <c r="H132" s="61">
        <f t="shared" si="13"/>
        <v>1</v>
      </c>
      <c r="I132" t="str">
        <f>IF(FT!B132&lt;&gt;"",FT!E132,"")</f>
        <v>2 [52.860464]</v>
      </c>
      <c r="J132">
        <f>IF(FT!B132&lt;&gt;"",FT!C132,"")</f>
        <v>52.860500000000002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4.0285000000000002</v>
      </c>
      <c r="G133" s="61">
        <f>IF(FT!B133&lt;&gt;"",FT!B133*100,"")</f>
        <v>28.242699999999999</v>
      </c>
      <c r="H133" s="61">
        <f t="shared" si="13"/>
        <v>1</v>
      </c>
      <c r="I133" t="str">
        <f>IF(FT!B133&lt;&gt;"",FT!E133,"")</f>
        <v>2 [53.262789]</v>
      </c>
      <c r="J133">
        <f>IF(FT!B133&lt;&gt;"",FT!C133,"")</f>
        <v>53.262799999999999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58325</v>
      </c>
      <c r="D134" s="61">
        <f>FH!B134*1</f>
        <v>58325</v>
      </c>
      <c r="E134">
        <f t="shared" si="15"/>
        <v>132</v>
      </c>
      <c r="F134" s="61">
        <f>IF(FT!A134&lt;&gt;"",FT!A134*10,"")</f>
        <v>4.0326500000000003</v>
      </c>
      <c r="G134" s="61">
        <f>IF(FT!B134&lt;&gt;"",FT!B134*100,"")</f>
        <v>28.3354</v>
      </c>
      <c r="H134" s="61">
        <f t="shared" si="13"/>
        <v>1</v>
      </c>
      <c r="I134" t="str">
        <f>IF(FT!B134&lt;&gt;"",FT!E134,"")</f>
        <v>2 [53.669164]</v>
      </c>
      <c r="J134">
        <f>IF(FT!B134&lt;&gt;"",FT!C134,"")</f>
        <v>53.669199999999996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4.0343800000000005</v>
      </c>
      <c r="G135" s="61">
        <f>IF(FT!B135&lt;&gt;"",FT!B135*100,"")</f>
        <v>28.3902</v>
      </c>
      <c r="H135" s="61">
        <f t="shared" si="13"/>
        <v>1</v>
      </c>
      <c r="I135" t="str">
        <f>IF(FT!B135&lt;&gt;"",FT!E135,"")</f>
        <v>2 [54.074392]</v>
      </c>
      <c r="J135">
        <f>IF(FT!B135&lt;&gt;"",FT!C135,"")</f>
        <v>54.074399999999997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56363</v>
      </c>
      <c r="D136" s="61">
        <f>FH!B136*1</f>
        <v>56363</v>
      </c>
      <c r="E136">
        <f t="shared" si="15"/>
        <v>134</v>
      </c>
      <c r="F136" s="61">
        <f>IF(FT!A136&lt;&gt;"",FT!A136*10,"")</f>
        <v>4.0319899999999995</v>
      </c>
      <c r="G136" s="61">
        <f>IF(FT!B136&lt;&gt;"",FT!B136*100,"")</f>
        <v>28.435199999999998</v>
      </c>
      <c r="H136" s="61">
        <f t="shared" si="13"/>
        <v>1</v>
      </c>
      <c r="I136" t="str">
        <f>IF(FT!B136&lt;&gt;"",FT!E136,"")</f>
        <v>2 [54.483487]</v>
      </c>
      <c r="J136">
        <f>IF(FT!B136&lt;&gt;"",FT!C136,"")</f>
        <v>54.483499999999999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4.0244999999999997</v>
      </c>
      <c r="G137" s="61">
        <f>IF(FT!B137&lt;&gt;"",FT!B137*100,"")</f>
        <v>28.515499999999999</v>
      </c>
      <c r="H137" s="61">
        <f t="shared" si="13"/>
        <v>1</v>
      </c>
      <c r="I137" t="str">
        <f>IF(FT!B137&lt;&gt;"",FT!E137,"")</f>
        <v>2 [54.885776]</v>
      </c>
      <c r="J137">
        <f>IF(FT!B137&lt;&gt;"",FT!C137,"")</f>
        <v>54.885800000000003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4.0214400000000001</v>
      </c>
      <c r="G138" s="61">
        <f>IF(FT!B138&lt;&gt;"",FT!B138*100,"")</f>
        <v>28.514299999999999</v>
      </c>
      <c r="H138" s="61">
        <f t="shared" si="13"/>
        <v>1</v>
      </c>
      <c r="I138" t="str">
        <f>IF(FT!B138&lt;&gt;"",FT!E138,"")</f>
        <v>2 [55.294210]</v>
      </c>
      <c r="J138">
        <f>IF(FT!B138&lt;&gt;"",FT!C138,"")</f>
        <v>55.294199999999996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58196</v>
      </c>
      <c r="D139" s="61">
        <f>FH!B139*1</f>
        <v>58196</v>
      </c>
      <c r="E139">
        <f t="shared" si="15"/>
        <v>137</v>
      </c>
      <c r="F139" s="61">
        <f>IF(FT!A139&lt;&gt;"",FT!A139*10,"")</f>
        <v>4.0162300000000002</v>
      </c>
      <c r="G139" s="61">
        <f>IF(FT!B139&lt;&gt;"",FT!B139*100,"")</f>
        <v>28.644399999999997</v>
      </c>
      <c r="H139" s="61">
        <f t="shared" si="13"/>
        <v>1</v>
      </c>
      <c r="I139" t="str">
        <f>IF(FT!B139&lt;&gt;"",FT!E139,"")</f>
        <v>2 [55.701185]</v>
      </c>
      <c r="J139">
        <f>IF(FT!B139&lt;&gt;"",FT!C139,"")</f>
        <v>55.7012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4.00901</v>
      </c>
      <c r="G140" s="61">
        <f>IF(FT!B140&lt;&gt;"",FT!B140*100,"")</f>
        <v>28.8155</v>
      </c>
      <c r="H140" s="61">
        <f t="shared" si="13"/>
        <v>1</v>
      </c>
      <c r="I140" t="str">
        <f>IF(FT!B140&lt;&gt;"",FT!E140,"")</f>
        <v>2 [56.112248]</v>
      </c>
      <c r="J140">
        <f>IF(FT!B140&lt;&gt;"",FT!C140,"")</f>
        <v>56.112200000000001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3.9991099999999999</v>
      </c>
      <c r="G141" s="61">
        <f>IF(FT!B141&lt;&gt;"",FT!B141*100,"")</f>
        <v>29.020499999999998</v>
      </c>
      <c r="H141" s="61">
        <f t="shared" si="13"/>
        <v>1</v>
      </c>
      <c r="I141" t="str">
        <f>IF(FT!B141&lt;&gt;"",FT!E141,"")</f>
        <v>2 [56.515048]</v>
      </c>
      <c r="J141">
        <f>IF(FT!B141&lt;&gt;"",FT!C141,"")</f>
        <v>56.515000000000001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54908</v>
      </c>
      <c r="D142" s="61">
        <f>FH!B142*1</f>
        <v>54908</v>
      </c>
      <c r="E142">
        <f t="shared" si="15"/>
        <v>140</v>
      </c>
      <c r="F142" s="61">
        <f>IF(FT!A142&lt;&gt;"",FT!A142*10,"")</f>
        <v>3.99885</v>
      </c>
      <c r="G142" s="61">
        <f>IF(FT!B142&lt;&gt;"",FT!B142*100,"")</f>
        <v>29.170099999999998</v>
      </c>
      <c r="H142" s="61">
        <f t="shared" si="13"/>
        <v>1</v>
      </c>
      <c r="I142" t="str">
        <f>IF(FT!B142&lt;&gt;"",FT!E142,"")</f>
        <v>2 [56.918816]</v>
      </c>
      <c r="J142">
        <f>IF(FT!B142&lt;&gt;"",FT!C142,"")</f>
        <v>56.918799999999997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4.0038099999999996</v>
      </c>
      <c r="G143" s="61">
        <f>IF(FT!B143&lt;&gt;"",FT!B143*100,"")</f>
        <v>29.207599999999999</v>
      </c>
      <c r="H143" s="61">
        <f t="shared" si="13"/>
        <v>1</v>
      </c>
      <c r="I143" t="str">
        <f>IF(FT!B143&lt;&gt;"",FT!E143,"")</f>
        <v>2 [57.327677]</v>
      </c>
      <c r="J143">
        <f>IF(FT!B143&lt;&gt;"",FT!C143,"")</f>
        <v>57.3277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52374</v>
      </c>
      <c r="D144" s="61">
        <f>FH!B144*1</f>
        <v>52374</v>
      </c>
      <c r="E144">
        <f t="shared" si="15"/>
        <v>142</v>
      </c>
      <c r="F144" s="61">
        <f>IF(FT!A144&lt;&gt;"",FT!A144*10,"")</f>
        <v>4.00183</v>
      </c>
      <c r="G144" s="61">
        <f>IF(FT!B144&lt;&gt;"",FT!B144*100,"")</f>
        <v>29.211100000000002</v>
      </c>
      <c r="H144" s="61">
        <f t="shared" si="13"/>
        <v>1</v>
      </c>
      <c r="I144" t="str">
        <f>IF(FT!B144&lt;&gt;"",FT!E144,"")</f>
        <v>2 [57.732031]</v>
      </c>
      <c r="J144">
        <f>IF(FT!B144&lt;&gt;"",FT!C144,"")</f>
        <v>57.731999999999999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3.9822099999999998</v>
      </c>
      <c r="G145" s="61">
        <f>IF(FT!B145&lt;&gt;"",FT!B145*100,"")</f>
        <v>29.395199999999999</v>
      </c>
      <c r="H145" s="61">
        <f t="shared" si="13"/>
        <v>1</v>
      </c>
      <c r="I145" t="str">
        <f>IF(FT!B145&lt;&gt;"",FT!E145,"")</f>
        <v>2 [58.140340]</v>
      </c>
      <c r="J145">
        <f>IF(FT!B145&lt;&gt;"",FT!C145,"")</f>
        <v>58.140300000000003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3.9706399999999995</v>
      </c>
      <c r="G146" s="61">
        <f>IF(FT!B146&lt;&gt;"",FT!B146*100,"")</f>
        <v>29.550700000000003</v>
      </c>
      <c r="H146" s="61">
        <f t="shared" si="13"/>
        <v>1</v>
      </c>
      <c r="I146" t="str">
        <f>IF(FT!B146&lt;&gt;"",FT!E146,"")</f>
        <v>2 [58.548220]</v>
      </c>
      <c r="J146">
        <f>IF(FT!B146&lt;&gt;"",FT!C146,"")</f>
        <v>58.548200000000001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46980</v>
      </c>
      <c r="D147" s="61">
        <f>FH!B147*1</f>
        <v>46980</v>
      </c>
      <c r="E147">
        <f t="shared" si="15"/>
        <v>145</v>
      </c>
      <c r="F147" s="61">
        <f>IF(FT!A147&lt;&gt;"",FT!A147*10,"")</f>
        <v>3.9624900000000003</v>
      </c>
      <c r="G147" s="61">
        <f>IF(FT!B147&lt;&gt;"",FT!B147*100,"")</f>
        <v>29.761900000000001</v>
      </c>
      <c r="H147" s="61">
        <f t="shared" si="13"/>
        <v>1</v>
      </c>
      <c r="I147" t="str">
        <f>IF(FT!B147&lt;&gt;"",FT!E147,"")</f>
        <v>2 [58.950528]</v>
      </c>
      <c r="J147">
        <f>IF(FT!B147&lt;&gt;"",FT!C147,"")</f>
        <v>58.950499999999998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3.9367000000000001</v>
      </c>
      <c r="G148" s="61">
        <f>IF(FT!B148&lt;&gt;"",FT!B148*100,"")</f>
        <v>30.195300000000003</v>
      </c>
      <c r="H148" s="61">
        <f t="shared" si="13"/>
        <v>1</v>
      </c>
      <c r="I148" t="str">
        <f>IF(FT!B148&lt;&gt;"",FT!E148,"")</f>
        <v>2 [59.356321]</v>
      </c>
      <c r="J148">
        <f>IF(FT!B148&lt;&gt;"",FT!C148,"")</f>
        <v>59.356299999999997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52293</v>
      </c>
      <c r="D149" s="61">
        <f>FH!B149*1</f>
        <v>52293</v>
      </c>
      <c r="E149">
        <f t="shared" si="15"/>
        <v>147</v>
      </c>
      <c r="F149" s="61">
        <f>IF(FT!A149&lt;&gt;"",FT!A149*10,"")</f>
        <v>3.9291999999999998</v>
      </c>
      <c r="G149" s="61">
        <f>IF(FT!B149&lt;&gt;"",FT!B149*100,"")</f>
        <v>30.359000000000002</v>
      </c>
      <c r="H149" s="61">
        <f t="shared" si="13"/>
        <v>1</v>
      </c>
      <c r="I149" t="str">
        <f>IF(FT!B149&lt;&gt;"",FT!E149,"")</f>
        <v>2 [59.763934]</v>
      </c>
      <c r="J149">
        <f>IF(FT!B149&lt;&gt;"",FT!C149,"")</f>
        <v>59.7639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45319</v>
      </c>
      <c r="D152" s="61">
        <f>FH!B152*1</f>
        <v>45319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32940</v>
      </c>
      <c r="D154" s="61">
        <f>FH!B154*1</f>
        <v>32940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24124</v>
      </c>
      <c r="D157" s="61">
        <f>FH!B157*1</f>
        <v>24124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20435</v>
      </c>
      <c r="D160" s="61">
        <f>FH!B160*1</f>
        <v>20435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13144</v>
      </c>
      <c r="D162" s="61">
        <f>FH!B162*1</f>
        <v>13144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8723</v>
      </c>
      <c r="D165" s="61">
        <f>FH!B165*1</f>
        <v>8723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6645</v>
      </c>
      <c r="D167" s="61">
        <f>FH!B167*1</f>
        <v>6645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5746</v>
      </c>
      <c r="D170" s="61">
        <f>FH!B170*1</f>
        <v>5746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4139</v>
      </c>
      <c r="D173" s="61">
        <f>FH!B173*1</f>
        <v>4139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4636</v>
      </c>
      <c r="D175" s="61">
        <f>FH!B175*1</f>
        <v>4636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3494</v>
      </c>
      <c r="D178" s="61">
        <f>FH!B178*1</f>
        <v>3494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2321</v>
      </c>
      <c r="D180" s="61">
        <f>FH!B180*1</f>
        <v>2321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652</v>
      </c>
      <c r="D183" s="61">
        <f>FH!B183*1</f>
        <v>652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267</v>
      </c>
      <c r="D185" s="61">
        <f>FH!B185*1</f>
        <v>267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272</v>
      </c>
      <c r="D188" s="61">
        <f>FH!B188*1</f>
        <v>272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43.334299999999999</v>
      </c>
      <c r="C5" s="66">
        <v>9.4068000000000005</v>
      </c>
      <c r="D5" s="66">
        <v>21.7075</v>
      </c>
      <c r="E5" s="66">
        <v>20</v>
      </c>
      <c r="F5" s="66">
        <v>15.4587</v>
      </c>
      <c r="G5" s="66">
        <v>50</v>
      </c>
      <c r="H5" s="66">
        <v>57.764899999999997</v>
      </c>
    </row>
    <row r="6" spans="1:8">
      <c r="A6" s="58" t="s">
        <v>303</v>
      </c>
      <c r="B6" s="66">
        <v>35.807200000000002</v>
      </c>
      <c r="C6" s="66">
        <v>4.94991</v>
      </c>
      <c r="D6" s="66">
        <v>13.8238</v>
      </c>
      <c r="E6" s="66">
        <v>20</v>
      </c>
      <c r="F6" s="66">
        <v>21.524100000000001</v>
      </c>
      <c r="G6" s="66">
        <v>40</v>
      </c>
      <c r="H6" s="66">
        <v>42.838700000000003</v>
      </c>
    </row>
    <row r="7" spans="1:8">
      <c r="A7" s="58" t="s">
        <v>304</v>
      </c>
      <c r="B7" s="66">
        <v>29.6938</v>
      </c>
      <c r="C7" s="66">
        <v>7.6647499999999997</v>
      </c>
      <c r="D7" s="66">
        <v>25.8127</v>
      </c>
      <c r="E7" s="66">
        <v>15</v>
      </c>
      <c r="F7" s="66">
        <v>18.975000000000001</v>
      </c>
      <c r="G7" s="66">
        <v>40</v>
      </c>
      <c r="H7" s="66">
        <v>53.248100000000001</v>
      </c>
    </row>
    <row r="8" spans="1:8">
      <c r="A8" s="58" t="s">
        <v>305</v>
      </c>
      <c r="B8" s="66">
        <v>36.8292</v>
      </c>
      <c r="C8" s="66">
        <v>4.86083</v>
      </c>
      <c r="D8" s="66">
        <v>13.1983</v>
      </c>
      <c r="E8" s="66">
        <v>20</v>
      </c>
      <c r="F8" s="66">
        <v>20.828600000000002</v>
      </c>
      <c r="G8" s="66">
        <v>50</v>
      </c>
      <c r="H8" s="66">
        <v>41.708300000000001</v>
      </c>
    </row>
    <row r="9" spans="1:8">
      <c r="A9" s="58" t="s">
        <v>306</v>
      </c>
      <c r="B9" s="66">
        <v>63.596200000000003</v>
      </c>
      <c r="C9" s="66">
        <v>5.65524</v>
      </c>
      <c r="D9" s="66">
        <v>8.8924299999999992</v>
      </c>
      <c r="E9" s="66">
        <v>50</v>
      </c>
      <c r="F9" s="66">
        <v>54.107999999999997</v>
      </c>
      <c r="G9" s="66">
        <v>100</v>
      </c>
      <c r="H9" s="66">
        <v>77.402699999999996</v>
      </c>
    </row>
    <row r="10" spans="1:8">
      <c r="A10" s="58" t="s">
        <v>307</v>
      </c>
      <c r="B10" s="66">
        <v>73.353700000000003</v>
      </c>
      <c r="C10" s="66">
        <v>3.9539900000000001</v>
      </c>
      <c r="D10" s="66">
        <v>5.3903100000000004</v>
      </c>
      <c r="E10" s="66">
        <v>40</v>
      </c>
      <c r="F10" s="66">
        <v>65.445099999999996</v>
      </c>
      <c r="G10" s="66">
        <v>100</v>
      </c>
      <c r="H10" s="66">
        <v>81.062700000000007</v>
      </c>
    </row>
    <row r="11" spans="1:8">
      <c r="A11" s="58" t="s">
        <v>308</v>
      </c>
      <c r="B11" s="66">
        <v>18.79</v>
      </c>
      <c r="C11" s="66">
        <v>3.8666700000000001</v>
      </c>
      <c r="D11" s="66">
        <v>20.578299999999999</v>
      </c>
      <c r="E11" s="66">
        <v>10</v>
      </c>
      <c r="F11" s="66">
        <v>10.3101</v>
      </c>
      <c r="G11" s="66">
        <v>50</v>
      </c>
      <c r="H11" s="66">
        <v>26.771999999999998</v>
      </c>
    </row>
    <row r="12" spans="1:8">
      <c r="A12" s="58" t="s">
        <v>309</v>
      </c>
      <c r="B12" s="66">
        <v>67.012299999999996</v>
      </c>
      <c r="C12" s="66">
        <v>4.0124500000000003</v>
      </c>
      <c r="D12" s="66">
        <v>5.9876300000000002</v>
      </c>
      <c r="E12" s="66">
        <v>50</v>
      </c>
      <c r="F12" s="66">
        <v>62.581200000000003</v>
      </c>
      <c r="G12" s="66">
        <v>100</v>
      </c>
      <c r="H12" s="66">
        <v>79.0214</v>
      </c>
    </row>
    <row r="13" spans="1:8">
      <c r="A13" s="58" t="s">
        <v>310</v>
      </c>
      <c r="B13" s="66">
        <v>23.604399999999998</v>
      </c>
      <c r="C13" s="66">
        <v>5.2851900000000001</v>
      </c>
      <c r="D13" s="66">
        <v>22.390699999999999</v>
      </c>
      <c r="E13" s="66">
        <v>10</v>
      </c>
      <c r="F13" s="66">
        <v>11.7988</v>
      </c>
      <c r="G13" s="66">
        <v>25</v>
      </c>
      <c r="H13" s="66">
        <v>39.604599999999998</v>
      </c>
    </row>
    <row r="14" spans="1:8">
      <c r="A14" s="58" t="s">
        <v>311</v>
      </c>
      <c r="B14" s="66">
        <v>52.851900000000001</v>
      </c>
      <c r="C14" s="66">
        <v>20.3186</v>
      </c>
      <c r="D14" s="66">
        <v>38.444400000000002</v>
      </c>
      <c r="E14" s="66">
        <v>10</v>
      </c>
      <c r="F14" s="66">
        <v>1.3534999999999999</v>
      </c>
      <c r="G14" s="66">
        <v>50</v>
      </c>
      <c r="H14" s="66">
        <v>57.179099999999998</v>
      </c>
    </row>
    <row r="15" spans="1:8">
      <c r="A15" s="58" t="s">
        <v>312</v>
      </c>
      <c r="B15" s="66">
        <v>3.8085899999999999E-2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3.9455499999999998E-2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17.622599999999998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0.51699799999999996</v>
      </c>
      <c r="C18" s="66">
        <v>8.6453599999999995E-4</v>
      </c>
      <c r="D18" s="66">
        <v>1.6722200000000001E-3</v>
      </c>
      <c r="E18" s="66">
        <v>0</v>
      </c>
      <c r="F18" s="66">
        <v>0.51613299999999995</v>
      </c>
      <c r="G18" s="66">
        <v>0</v>
      </c>
      <c r="H18" s="66">
        <v>0.51786299999999996</v>
      </c>
    </row>
    <row r="19" spans="1:8">
      <c r="A19" s="58" t="s">
        <v>316</v>
      </c>
      <c r="B19" s="66">
        <v>0.65548700000000004</v>
      </c>
      <c r="C19" s="66">
        <v>1.6081999999999999E-2</v>
      </c>
      <c r="D19" s="66">
        <v>2.4534500000000001E-2</v>
      </c>
      <c r="E19" s="66">
        <v>0</v>
      </c>
      <c r="F19" s="66">
        <v>0.639405</v>
      </c>
      <c r="G19" s="66">
        <v>0</v>
      </c>
      <c r="H19" s="66">
        <v>0.67156899999999997</v>
      </c>
    </row>
    <row r="20" spans="1:8">
      <c r="A20" s="58" t="s">
        <v>317</v>
      </c>
      <c r="B20" s="66">
        <v>1.22634E-3</v>
      </c>
      <c r="C20" s="66">
        <v>2.5843100000000001E-2</v>
      </c>
      <c r="D20" s="66">
        <v>21.073399999999999</v>
      </c>
      <c r="E20" s="66">
        <v>0</v>
      </c>
      <c r="F20" s="66">
        <v>0</v>
      </c>
      <c r="G20" s="66">
        <v>0</v>
      </c>
      <c r="H20" s="66">
        <v>0.31196499999999999</v>
      </c>
    </row>
    <row r="21" spans="1:8">
      <c r="A21" s="58" t="s">
        <v>318</v>
      </c>
      <c r="B21" s="66">
        <v>0.183396</v>
      </c>
      <c r="C21" s="66">
        <v>0.29176000000000002</v>
      </c>
      <c r="D21" s="66">
        <v>1.5908800000000001</v>
      </c>
      <c r="E21" s="66">
        <v>0</v>
      </c>
      <c r="F21" s="66">
        <v>2.11663E-3</v>
      </c>
      <c r="G21" s="66">
        <v>0</v>
      </c>
      <c r="H21" s="66">
        <v>1.8178700000000001</v>
      </c>
    </row>
    <row r="22" spans="1:8">
      <c r="A22" s="58" t="s">
        <v>319</v>
      </c>
      <c r="B22" s="66">
        <v>40.995199999999997</v>
      </c>
      <c r="C22" s="66">
        <v>5.96929</v>
      </c>
      <c r="D22" s="66">
        <v>0.14560899999999999</v>
      </c>
      <c r="E22" s="66">
        <v>0</v>
      </c>
      <c r="F22" s="66">
        <v>24.3568</v>
      </c>
      <c r="G22" s="66">
        <v>0</v>
      </c>
      <c r="H22" s="66">
        <v>55.884900000000002</v>
      </c>
    </row>
    <row r="23" spans="1:8">
      <c r="A23" s="58" t="s">
        <v>320</v>
      </c>
      <c r="B23" s="66">
        <v>18.3889</v>
      </c>
      <c r="C23" s="66">
        <v>1.7069099999999999</v>
      </c>
      <c r="D23" s="66">
        <v>9.2823000000000003E-2</v>
      </c>
      <c r="E23" s="66">
        <v>0</v>
      </c>
      <c r="F23" s="66">
        <v>13.2934</v>
      </c>
      <c r="G23" s="66">
        <v>0</v>
      </c>
      <c r="H23" s="66">
        <v>21.8781</v>
      </c>
    </row>
    <row r="24" spans="1:8">
      <c r="A24" s="58" t="s">
        <v>321</v>
      </c>
      <c r="B24" s="66">
        <v>2.5551699999999998E-3</v>
      </c>
      <c r="C24" s="66">
        <v>1.35306E-2</v>
      </c>
      <c r="D24" s="66">
        <v>5.2953700000000001</v>
      </c>
      <c r="E24" s="66">
        <v>0</v>
      </c>
      <c r="F24" s="196">
        <v>5.02769E-5</v>
      </c>
      <c r="G24" s="66">
        <v>0</v>
      </c>
      <c r="H24" s="66">
        <v>6.4399399999999996E-2</v>
      </c>
    </row>
    <row r="25" spans="1:8">
      <c r="A25" s="58" t="s">
        <v>322</v>
      </c>
      <c r="B25" s="66">
        <v>0.28015299999999999</v>
      </c>
      <c r="C25" s="66">
        <v>0.113464</v>
      </c>
      <c r="D25" s="66">
        <v>0.405005</v>
      </c>
      <c r="E25" s="66">
        <v>0</v>
      </c>
      <c r="F25" s="66">
        <v>7.4975100000000003E-2</v>
      </c>
      <c r="G25" s="66">
        <v>0</v>
      </c>
      <c r="H25" s="66">
        <v>0.73839299999999997</v>
      </c>
    </row>
    <row r="26" spans="1:8">
      <c r="A26" s="58" t="s">
        <v>323</v>
      </c>
      <c r="B26" s="66">
        <v>4.5299400000000002E-4</v>
      </c>
      <c r="C26" s="66">
        <v>2.1028399999999999E-3</v>
      </c>
      <c r="D26" s="66">
        <v>4.6421000000000001</v>
      </c>
      <c r="E26" s="66">
        <v>0</v>
      </c>
      <c r="F26" s="66">
        <v>0</v>
      </c>
      <c r="G26" s="66">
        <v>0</v>
      </c>
      <c r="H26" s="66">
        <v>3.9876599999999998E-2</v>
      </c>
    </row>
    <row r="27" spans="1:8">
      <c r="A27" s="58" t="s">
        <v>324</v>
      </c>
      <c r="B27" s="196">
        <v>-9.8476899999999999E-6</v>
      </c>
      <c r="C27" s="66">
        <v>2.1061399999999998E-3</v>
      </c>
      <c r="D27" s="66">
        <v>-213.87100000000001</v>
      </c>
      <c r="E27" s="66">
        <v>0</v>
      </c>
      <c r="F27" s="66">
        <v>-3.9712400000000002E-2</v>
      </c>
      <c r="G27" s="66">
        <v>0</v>
      </c>
      <c r="H27" s="66">
        <v>3.9794499999999997E-2</v>
      </c>
    </row>
    <row r="28" spans="1:8">
      <c r="A28" s="58" t="s">
        <v>325</v>
      </c>
      <c r="B28" s="66">
        <v>2.14063E-2</v>
      </c>
      <c r="C28" s="66">
        <v>2.5750100000000001E-2</v>
      </c>
      <c r="D28" s="66">
        <v>1.20292</v>
      </c>
      <c r="E28" s="66">
        <v>0</v>
      </c>
      <c r="F28" s="66">
        <v>7.3567700000000001E-4</v>
      </c>
      <c r="G28" s="66">
        <v>0</v>
      </c>
      <c r="H28" s="66">
        <v>0.13349900000000001</v>
      </c>
    </row>
    <row r="29" spans="1:8">
      <c r="A29" s="58" t="s">
        <v>326</v>
      </c>
      <c r="B29" s="66">
        <v>64.4131</v>
      </c>
      <c r="C29" s="66">
        <v>6.6724100000000002</v>
      </c>
      <c r="D29" s="66">
        <v>0.103588</v>
      </c>
      <c r="E29" s="66">
        <v>0</v>
      </c>
      <c r="F29" s="66">
        <v>48.578499999999998</v>
      </c>
      <c r="G29" s="66">
        <v>0</v>
      </c>
      <c r="H29" s="66">
        <v>86.113600000000005</v>
      </c>
    </row>
    <row r="30" spans="1:8">
      <c r="A30" s="58" t="s">
        <v>327</v>
      </c>
      <c r="B30" s="66">
        <v>24.860199999999999</v>
      </c>
      <c r="C30" s="66">
        <v>3.1702699999999999</v>
      </c>
      <c r="D30" s="66">
        <v>0.127524</v>
      </c>
      <c r="E30" s="66">
        <v>0</v>
      </c>
      <c r="F30" s="66">
        <v>15.138400000000001</v>
      </c>
      <c r="G30" s="66">
        <v>0</v>
      </c>
      <c r="H30" s="66">
        <v>30.727699999999999</v>
      </c>
    </row>
    <row r="31" spans="1:8">
      <c r="A31" s="58" t="s">
        <v>328</v>
      </c>
      <c r="B31" s="66">
        <v>243.37200000000001</v>
      </c>
      <c r="C31" s="66">
        <v>62.275300000000001</v>
      </c>
      <c r="D31" s="66">
        <v>0.25588499999999997</v>
      </c>
      <c r="E31" s="66">
        <v>0</v>
      </c>
      <c r="F31" s="66">
        <v>98.905199999999994</v>
      </c>
      <c r="G31" s="66">
        <v>0</v>
      </c>
      <c r="H31" s="66">
        <v>315.01499999999999</v>
      </c>
    </row>
    <row r="32" spans="1:8">
      <c r="A32" s="58" t="s">
        <v>329</v>
      </c>
      <c r="B32" s="66">
        <v>0.29693799999999998</v>
      </c>
      <c r="C32" s="66">
        <v>7.6647499999999993E-2</v>
      </c>
      <c r="D32" s="66">
        <v>0.258127</v>
      </c>
      <c r="E32" s="66">
        <v>0.15</v>
      </c>
      <c r="F32" s="66">
        <v>0.18975</v>
      </c>
      <c r="G32" s="66">
        <v>0.4</v>
      </c>
      <c r="H32" s="66">
        <v>0.53248099999999998</v>
      </c>
    </row>
    <row r="33" spans="1:8">
      <c r="A33" s="58" t="s">
        <v>330</v>
      </c>
      <c r="B33" s="66">
        <v>0.367948</v>
      </c>
      <c r="C33" s="66">
        <v>7.0721300000000001E-2</v>
      </c>
      <c r="D33" s="66">
        <v>0.19220499999999999</v>
      </c>
      <c r="E33" s="66">
        <v>0</v>
      </c>
      <c r="F33" s="66">
        <v>0.199879</v>
      </c>
      <c r="G33" s="66">
        <v>0</v>
      </c>
      <c r="H33" s="66">
        <v>0.43790299999999999</v>
      </c>
    </row>
    <row r="34" spans="1:8">
      <c r="A34" s="58" t="s">
        <v>331</v>
      </c>
      <c r="B34" s="66">
        <v>0.236044</v>
      </c>
      <c r="C34" s="66">
        <v>5.28519E-2</v>
      </c>
      <c r="D34" s="66">
        <v>0.22390699999999999</v>
      </c>
      <c r="E34" s="66">
        <v>0.1</v>
      </c>
      <c r="F34" s="66">
        <v>0.117988</v>
      </c>
      <c r="G34" s="66">
        <v>0.25</v>
      </c>
      <c r="H34" s="66">
        <v>0.39604600000000001</v>
      </c>
    </row>
    <row r="35" spans="1:8">
      <c r="A35" s="58" t="s">
        <v>332</v>
      </c>
      <c r="B35" s="66">
        <v>9.6184099999999995E-2</v>
      </c>
      <c r="C35" s="66">
        <v>4.02092E-2</v>
      </c>
      <c r="D35" s="66">
        <v>0.41804400000000003</v>
      </c>
      <c r="E35" s="66">
        <v>0</v>
      </c>
      <c r="F35" s="66">
        <v>2.5065E-2</v>
      </c>
      <c r="G35" s="66">
        <v>0</v>
      </c>
      <c r="H35" s="66">
        <v>0.273642</v>
      </c>
    </row>
    <row r="36" spans="1:8">
      <c r="A36" s="58" t="s">
        <v>333</v>
      </c>
      <c r="B36" s="66">
        <v>0.19808700000000001</v>
      </c>
      <c r="C36" s="66">
        <v>0.122596</v>
      </c>
      <c r="D36" s="66">
        <v>0.61889799999999995</v>
      </c>
      <c r="E36" s="66">
        <v>0</v>
      </c>
      <c r="F36" s="66">
        <v>3.6835199999999998E-2</v>
      </c>
      <c r="G36" s="66">
        <v>0</v>
      </c>
      <c r="H36" s="66">
        <v>0.886741</v>
      </c>
    </row>
    <row r="37" spans="1:8">
      <c r="A37" s="58" t="s">
        <v>334</v>
      </c>
      <c r="B37" s="66">
        <v>0.52851899999999996</v>
      </c>
      <c r="C37" s="66">
        <v>0.20318600000000001</v>
      </c>
      <c r="D37" s="66">
        <v>0.38444400000000001</v>
      </c>
      <c r="E37" s="66">
        <v>0.1</v>
      </c>
      <c r="F37" s="66">
        <v>1.3535E-2</v>
      </c>
      <c r="G37" s="66">
        <v>0.5</v>
      </c>
      <c r="H37" s="66">
        <v>0.57179100000000005</v>
      </c>
    </row>
    <row r="38" spans="1:8">
      <c r="A38" s="58" t="s">
        <v>335</v>
      </c>
      <c r="B38" s="66">
        <v>-20.564299999999999</v>
      </c>
      <c r="C38" s="66">
        <v>66.870500000000007</v>
      </c>
      <c r="D38" s="66">
        <v>-3.2517800000000001</v>
      </c>
      <c r="E38" s="66">
        <v>0</v>
      </c>
      <c r="F38" s="66">
        <v>-141.744</v>
      </c>
      <c r="G38" s="66">
        <v>0</v>
      </c>
      <c r="H38" s="66">
        <v>391.71899999999999</v>
      </c>
    </row>
    <row r="39" spans="1:8">
      <c r="A39" s="58" t="s">
        <v>336</v>
      </c>
      <c r="B39" s="66">
        <v>-8.8306100000000001</v>
      </c>
      <c r="C39" s="66">
        <v>5.7075199999999997</v>
      </c>
      <c r="D39" s="66">
        <v>-0.64633300000000005</v>
      </c>
      <c r="E39" s="66">
        <v>0</v>
      </c>
      <c r="F39" s="66">
        <v>-17.132000000000001</v>
      </c>
      <c r="G39" s="66">
        <v>0</v>
      </c>
      <c r="H39" s="66">
        <v>15.570499999999999</v>
      </c>
    </row>
    <row r="40" spans="1:8">
      <c r="A40" s="58" t="s">
        <v>337</v>
      </c>
      <c r="B40" s="66">
        <v>-5.3289499999999999</v>
      </c>
      <c r="C40" s="66">
        <v>0.62072300000000002</v>
      </c>
      <c r="D40" s="66">
        <v>-0.116481</v>
      </c>
      <c r="E40" s="66">
        <v>0</v>
      </c>
      <c r="F40" s="66">
        <v>-6.5073400000000001</v>
      </c>
      <c r="G40" s="66">
        <v>0</v>
      </c>
      <c r="H40" s="66">
        <v>-3.6939899999999999</v>
      </c>
    </row>
    <row r="41" spans="1:8">
      <c r="A41" s="58" t="s">
        <v>338</v>
      </c>
      <c r="B41" s="66">
        <v>-0.161495</v>
      </c>
      <c r="C41" s="66">
        <v>0.31672699999999998</v>
      </c>
      <c r="D41" s="66">
        <v>-1.96122</v>
      </c>
      <c r="E41" s="66">
        <v>0</v>
      </c>
      <c r="F41" s="66">
        <v>-0.94736799999999999</v>
      </c>
      <c r="G41" s="66">
        <v>0</v>
      </c>
      <c r="H41" s="66">
        <v>1</v>
      </c>
    </row>
    <row r="42" spans="1:8">
      <c r="A42" s="58" t="s">
        <v>339</v>
      </c>
      <c r="B42" s="66">
        <v>-0.139151</v>
      </c>
      <c r="C42" s="66">
        <v>0.102621</v>
      </c>
      <c r="D42" s="66">
        <v>-0.73748199999999997</v>
      </c>
      <c r="E42" s="66">
        <v>0</v>
      </c>
      <c r="F42" s="66">
        <v>-0.27478000000000002</v>
      </c>
      <c r="G42" s="66">
        <v>0</v>
      </c>
      <c r="H42" s="66">
        <v>0.32514500000000002</v>
      </c>
    </row>
    <row r="43" spans="1:8">
      <c r="A43" s="58" t="s">
        <v>340</v>
      </c>
      <c r="B43" s="66">
        <v>-0.12895799999999999</v>
      </c>
      <c r="C43" s="66">
        <v>3.2056099999999997E-2</v>
      </c>
      <c r="D43" s="66">
        <v>-0.24857699999999999</v>
      </c>
      <c r="E43" s="66">
        <v>0</v>
      </c>
      <c r="F43" s="66">
        <v>-0.19436200000000001</v>
      </c>
      <c r="G43" s="66">
        <v>0</v>
      </c>
      <c r="H43" s="66">
        <v>-2.4820800000000001E-2</v>
      </c>
    </row>
    <row r="44" spans="1:8">
      <c r="A44" s="58" t="s">
        <v>341</v>
      </c>
      <c r="B44" s="66">
        <v>-48.244599999999998</v>
      </c>
      <c r="C44" s="66">
        <v>19.827500000000001</v>
      </c>
      <c r="D44" s="66">
        <v>-0.41097800000000001</v>
      </c>
      <c r="E44" s="66">
        <v>0</v>
      </c>
      <c r="F44" s="66">
        <v>-76.334100000000007</v>
      </c>
      <c r="G44" s="66">
        <v>0</v>
      </c>
      <c r="H44" s="66">
        <v>-1.2973600000000001</v>
      </c>
    </row>
    <row r="45" spans="1:8">
      <c r="A45" s="58" t="s">
        <v>342</v>
      </c>
      <c r="B45" s="66">
        <v>53.2057</v>
      </c>
      <c r="C45" s="66">
        <v>6.0577800000000002</v>
      </c>
      <c r="D45" s="66">
        <v>0.113856</v>
      </c>
      <c r="E45" s="66">
        <v>0</v>
      </c>
      <c r="F45" s="66">
        <v>35.771700000000003</v>
      </c>
      <c r="G45" s="66">
        <v>0</v>
      </c>
      <c r="H45" s="66">
        <v>69.386099999999999</v>
      </c>
    </row>
    <row r="46" spans="1:8">
      <c r="A46" s="58" t="s">
        <v>343</v>
      </c>
      <c r="B46" s="66">
        <v>31.8673</v>
      </c>
      <c r="C46" s="66">
        <v>6.8032000000000004</v>
      </c>
      <c r="D46" s="66">
        <v>0.21348500000000001</v>
      </c>
      <c r="E46" s="66">
        <v>0</v>
      </c>
      <c r="F46" s="66">
        <v>10.3811</v>
      </c>
      <c r="G46" s="66">
        <v>0</v>
      </c>
      <c r="H46" s="66">
        <v>39.266100000000002</v>
      </c>
    </row>
    <row r="47" spans="1:8">
      <c r="A47" s="58" t="s">
        <v>344</v>
      </c>
      <c r="B47" s="66">
        <v>1.0505199999999999</v>
      </c>
      <c r="C47" s="66">
        <v>0.32677299999999998</v>
      </c>
      <c r="D47" s="66">
        <v>0.31105899999999997</v>
      </c>
      <c r="E47" s="66">
        <v>0</v>
      </c>
      <c r="F47" s="66">
        <v>0.53779999999999994</v>
      </c>
      <c r="G47" s="66">
        <v>0</v>
      </c>
      <c r="H47" s="66">
        <v>2.7870300000000001</v>
      </c>
    </row>
    <row r="48" spans="1:8">
      <c r="A48" s="58" t="s">
        <v>345</v>
      </c>
      <c r="B48" s="66">
        <v>0.69474800000000003</v>
      </c>
      <c r="C48" s="66">
        <v>0.119073</v>
      </c>
      <c r="D48" s="66">
        <v>0.17138999999999999</v>
      </c>
      <c r="E48" s="66">
        <v>0</v>
      </c>
      <c r="F48" s="66">
        <v>0.50754699999999997</v>
      </c>
      <c r="G48" s="66">
        <v>0</v>
      </c>
      <c r="H48" s="66">
        <v>1.06216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11.4876</v>
      </c>
      <c r="C5" s="66">
        <f>'M2'!C5-'M1'!C5</f>
        <v>-3.0072400000000004</v>
      </c>
      <c r="D5" s="66">
        <f>'M2'!D5-'M1'!D5</f>
        <v>-11.76299</v>
      </c>
      <c r="E5" s="66">
        <f>'M2'!E5-'M1'!E5</f>
        <v>0</v>
      </c>
      <c r="F5" s="66">
        <f>'M2'!F5-'M1'!F5</f>
        <v>24.365000000000002</v>
      </c>
      <c r="G5" s="66">
        <f>'M2'!G5-'M1'!G5</f>
        <v>0</v>
      </c>
      <c r="H5" s="66">
        <f>'M2'!H5-'M1'!H5</f>
        <v>7.9201999999999941</v>
      </c>
    </row>
    <row r="6" spans="1:8">
      <c r="A6" s="66" t="s">
        <v>244</v>
      </c>
      <c r="B6" s="66">
        <f>'M2'!B6-'M1'!B6</f>
        <v>5.4374000000000038</v>
      </c>
      <c r="C6" s="66">
        <f>'M2'!C6-'M1'!C6</f>
        <v>-3.9623599999999999</v>
      </c>
      <c r="D6" s="66">
        <f>'M2'!D6-'M1'!D6</f>
        <v>-14.085229999999999</v>
      </c>
      <c r="E6" s="66">
        <f>'M2'!E6-'M1'!E6</f>
        <v>0</v>
      </c>
      <c r="F6" s="66">
        <f>'M2'!F6-'M1'!F6</f>
        <v>11.986700000000003</v>
      </c>
      <c r="G6" s="66">
        <f>'M2'!G6-'M1'!G6</f>
        <v>0</v>
      </c>
      <c r="H6" s="66">
        <f>'M2'!H6-'M1'!H6</f>
        <v>0.25530000000000541</v>
      </c>
    </row>
    <row r="7" spans="1:8">
      <c r="A7" s="66" t="s">
        <v>245</v>
      </c>
      <c r="B7" s="66">
        <f>'M2'!B7-'M1'!B7</f>
        <v>-2.6978999999999971</v>
      </c>
      <c r="C7" s="66">
        <f>'M2'!C7-'M1'!C7</f>
        <v>-5.4716899999999997</v>
      </c>
      <c r="D7" s="66">
        <f>'M2'!D7-'M1'!D7</f>
        <v>-16.295200000000001</v>
      </c>
      <c r="E7" s="66">
        <f>'M2'!E7-'M1'!E7</f>
        <v>0</v>
      </c>
      <c r="F7" s="66">
        <f>'M2'!F7-'M1'!F7</f>
        <v>-0.39499999999999957</v>
      </c>
      <c r="G7" s="66">
        <f>'M2'!G7-'M1'!G7</f>
        <v>0</v>
      </c>
      <c r="H7" s="66">
        <f>'M2'!H7-'M1'!H7</f>
        <v>-13.740500000000004</v>
      </c>
    </row>
    <row r="8" spans="1:8">
      <c r="A8" s="66" t="s">
        <v>246</v>
      </c>
      <c r="B8" s="66">
        <f>'M2'!B8-'M1'!B8</f>
        <v>3.9784000000000006</v>
      </c>
      <c r="C8" s="66">
        <f>'M2'!C8-'M1'!C8</f>
        <v>-3.7665899999999999</v>
      </c>
      <c r="D8" s="66">
        <f>'M2'!D8-'M1'!D8</f>
        <v>-11.75243</v>
      </c>
      <c r="E8" s="66">
        <f>'M2'!E8-'M1'!E8</f>
        <v>0</v>
      </c>
      <c r="F8" s="66">
        <f>'M2'!F8-'M1'!F8</f>
        <v>13.558700000000002</v>
      </c>
      <c r="G8" s="66">
        <f>'M2'!G8-'M1'!G8</f>
        <v>0</v>
      </c>
      <c r="H8" s="66">
        <f>'M2'!H8-'M1'!H8</f>
        <v>1.0007999999999981</v>
      </c>
    </row>
    <row r="9" spans="1:8">
      <c r="A9" s="66" t="s">
        <v>247</v>
      </c>
      <c r="B9" s="66">
        <f>'M2'!B9-'M1'!B9</f>
        <v>-8.3170999999999964</v>
      </c>
      <c r="C9" s="66">
        <f>'M2'!C9-'M1'!C9</f>
        <v>-1.6919199999999996</v>
      </c>
      <c r="D9" s="66">
        <f>'M2'!D9-'M1'!D9</f>
        <v>-1.8009200000000005</v>
      </c>
      <c r="E9" s="66">
        <f>'M2'!E9-'M1'!E9</f>
        <v>0</v>
      </c>
      <c r="F9" s="66">
        <f>'M2'!F9-'M1'!F9</f>
        <v>-4.2486000000000033</v>
      </c>
      <c r="G9" s="66">
        <f>'M2'!G9-'M1'!G9</f>
        <v>0</v>
      </c>
      <c r="H9" s="66">
        <f>'M2'!H9-'M1'!H9</f>
        <v>-9.3385999999999996</v>
      </c>
    </row>
    <row r="10" spans="1:8">
      <c r="A10" s="66" t="s">
        <v>248</v>
      </c>
      <c r="B10" s="66">
        <f>'M2'!B10-'M1'!B10</f>
        <v>0.14100000000000534</v>
      </c>
      <c r="C10" s="66">
        <f>'M2'!C10-'M1'!C10</f>
        <v>-2.4027100000000003</v>
      </c>
      <c r="D10" s="66">
        <f>'M2'!D10-'M1'!D10</f>
        <v>-3.2860900000000002</v>
      </c>
      <c r="E10" s="66">
        <f>'M2'!E10-'M1'!E10</f>
        <v>0</v>
      </c>
      <c r="F10" s="66">
        <f>'M2'!F10-'M1'!F10</f>
        <v>0.87300000000000466</v>
      </c>
      <c r="G10" s="66">
        <f>'M2'!G10-'M1'!G10</f>
        <v>0</v>
      </c>
      <c r="H10" s="66">
        <f>'M2'!H10-'M1'!H10</f>
        <v>-5.1313000000000102</v>
      </c>
    </row>
    <row r="11" spans="1:8">
      <c r="A11" s="66" t="s">
        <v>249</v>
      </c>
      <c r="B11" s="66">
        <f>'M2'!B11-'M1'!B11</f>
        <v>4.6168999999999976</v>
      </c>
      <c r="C11" s="66">
        <f>'M2'!C11-'M1'!C11</f>
        <v>0.35885999999999996</v>
      </c>
      <c r="D11" s="66">
        <f>'M2'!D11-'M1'!D11</f>
        <v>-1.5082000000000004</v>
      </c>
      <c r="E11" s="66">
        <f>'M2'!E11-'M1'!E11</f>
        <v>0</v>
      </c>
      <c r="F11" s="66">
        <f>'M2'!F11-'M1'!F11</f>
        <v>7.3180999999999994</v>
      </c>
      <c r="G11" s="66">
        <f>'M2'!G11-'M1'!G11</f>
        <v>0</v>
      </c>
      <c r="H11" s="66">
        <f>'M2'!H11-'M1'!H11</f>
        <v>6.1997999999999998</v>
      </c>
    </row>
    <row r="12" spans="1:8">
      <c r="A12" s="66" t="s">
        <v>250</v>
      </c>
      <c r="B12" s="66">
        <f>'M2'!B12-'M1'!B12</f>
        <v>-5.0217999999999989</v>
      </c>
      <c r="C12" s="66">
        <f>'M2'!C12-'M1'!C12</f>
        <v>-3.1437399999999998</v>
      </c>
      <c r="D12" s="66">
        <f>'M2'!D12-'M1'!D12</f>
        <v>-4.2140699999999995</v>
      </c>
      <c r="E12" s="66">
        <f>'M2'!E12-'M1'!E12</f>
        <v>0</v>
      </c>
      <c r="F12" s="66">
        <f>'M2'!F12-'M1'!F12</f>
        <v>0.95579999999999643</v>
      </c>
      <c r="G12" s="66">
        <f>'M2'!G12-'M1'!G12</f>
        <v>0</v>
      </c>
      <c r="H12" s="66">
        <f>'M2'!H12-'M1'!H12</f>
        <v>-8.4542000000000002</v>
      </c>
    </row>
    <row r="13" spans="1:8">
      <c r="A13" s="66" t="s">
        <v>251</v>
      </c>
      <c r="B13" s="66">
        <f>'M2'!B13-'M1'!B13</f>
        <v>0.96039999999999992</v>
      </c>
      <c r="C13" s="66">
        <f>'M2'!C13-'M1'!C13</f>
        <v>-1.43513</v>
      </c>
      <c r="D13" s="66">
        <f>'M2'!D13-'M1'!D13</f>
        <v>-6.9138999999999982</v>
      </c>
      <c r="E13" s="66">
        <f>'M2'!E13-'M1'!E13</f>
        <v>0</v>
      </c>
      <c r="F13" s="66">
        <f>'M2'!F13-'M1'!F13</f>
        <v>6.9210999999999991</v>
      </c>
      <c r="G13" s="66">
        <f>'M2'!G13-'M1'!G13</f>
        <v>0</v>
      </c>
      <c r="H13" s="66">
        <f>'M2'!H13-'M1'!H13</f>
        <v>10.570799999999998</v>
      </c>
    </row>
    <row r="14" spans="1:8">
      <c r="A14" s="66" t="s">
        <v>252</v>
      </c>
      <c r="B14" s="66">
        <f>'M2'!B14-'M1'!B14</f>
        <v>-14.351299999999995</v>
      </c>
      <c r="C14" s="66">
        <f>'M2'!C14-'M1'!C14</f>
        <v>-1.585799999999999</v>
      </c>
      <c r="D14" s="66">
        <f>'M2'!D14-'M1'!D14</f>
        <v>8.6126000000000005</v>
      </c>
      <c r="E14" s="66">
        <f>'M2'!E14-'M1'!E14</f>
        <v>0</v>
      </c>
      <c r="F14" s="66">
        <f>'M2'!F14-'M1'!F14</f>
        <v>4.5858799999999995</v>
      </c>
      <c r="G14" s="66">
        <f>'M2'!G14-'M1'!G14</f>
        <v>0</v>
      </c>
      <c r="H14" s="66">
        <f>'M2'!H14-'M1'!H14</f>
        <v>-1.0300999999999974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0.13083499999999998</v>
      </c>
      <c r="C18" s="66">
        <f>'M2'!C18-'M1'!C18</f>
        <v>8.6453599999999995E-4</v>
      </c>
      <c r="D18" s="66">
        <f>'M2'!D18-'M1'!D18</f>
        <v>1.6722200000000001E-3</v>
      </c>
      <c r="E18" s="66">
        <f>'M2'!E18-'M1'!E18</f>
        <v>0</v>
      </c>
      <c r="F18" s="66">
        <f>'M2'!F18-'M1'!F18</f>
        <v>0.51613299999999995</v>
      </c>
      <c r="G18" s="66">
        <f>'M2'!G18-'M1'!G18</f>
        <v>0</v>
      </c>
      <c r="H18" s="66">
        <f>'M2'!H18-'M1'!H18</f>
        <v>0.51786299999999996</v>
      </c>
    </row>
    <row r="19" spans="1:8">
      <c r="A19" s="66" t="s">
        <v>256</v>
      </c>
      <c r="B19" s="66">
        <f>'M2'!B19-'M1'!B19</f>
        <v>0.1115250000000001</v>
      </c>
      <c r="C19" s="66">
        <f>'M2'!C19-'M1'!C19</f>
        <v>1.6081999999999999E-2</v>
      </c>
      <c r="D19" s="66">
        <f>'M2'!D19-'M1'!D19</f>
        <v>2.4534500000000001E-2</v>
      </c>
      <c r="E19" s="66">
        <f>'M2'!E19-'M1'!E19</f>
        <v>0</v>
      </c>
      <c r="F19" s="66">
        <f>'M2'!F19-'M1'!F19</f>
        <v>0.639405</v>
      </c>
      <c r="G19" s="66">
        <f>'M2'!G19-'M1'!G19</f>
        <v>0</v>
      </c>
      <c r="H19" s="66">
        <f>'M2'!H19-'M1'!H19</f>
        <v>0.67156899999999997</v>
      </c>
    </row>
    <row r="20" spans="1:8">
      <c r="A20" s="66" t="s">
        <v>63</v>
      </c>
      <c r="B20" s="66">
        <f>'M2'!B20-'M1'!B20</f>
        <v>-4.980500000000001E-4</v>
      </c>
      <c r="C20" s="66">
        <f>'M2'!C20-'M1'!C20</f>
        <v>-8.0052000000000005E-3</v>
      </c>
      <c r="D20" s="66">
        <f>'M2'!D20-'M1'!D20</f>
        <v>1.7003999999999984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-0.127662</v>
      </c>
    </row>
    <row r="21" spans="1:8">
      <c r="A21" s="66" t="s">
        <v>64</v>
      </c>
      <c r="B21" s="66">
        <f>'M2'!B21-'M1'!B21</f>
        <v>4.157999999999995E-3</v>
      </c>
      <c r="C21" s="66">
        <f>'M2'!C21-'M1'!C21</f>
        <v>-2.6856999999999964E-2</v>
      </c>
      <c r="D21" s="66">
        <f>'M2'!D21-'M1'!D21</f>
        <v>-0.18250999999999995</v>
      </c>
      <c r="E21" s="66">
        <f>'M2'!E21-'M1'!E21</f>
        <v>0</v>
      </c>
      <c r="F21" s="66">
        <f>'M2'!F21-'M1'!F21</f>
        <v>-4.4310000000000009E-4</v>
      </c>
      <c r="G21" s="66">
        <f>'M2'!G21-'M1'!G21</f>
        <v>0</v>
      </c>
      <c r="H21" s="66">
        <f>'M2'!H21-'M1'!H21</f>
        <v>-0.49259000000000008</v>
      </c>
    </row>
    <row r="22" spans="1:8">
      <c r="A22" s="66" t="s">
        <v>65</v>
      </c>
      <c r="B22" s="66">
        <f>'M2'!B22-'M1'!B22</f>
        <v>-0.52350000000000563</v>
      </c>
      <c r="C22" s="66">
        <f>'M2'!C22-'M1'!C22</f>
        <v>-0.47083999999999993</v>
      </c>
      <c r="D22" s="66">
        <f>'M2'!D22-'M1'!D22</f>
        <v>-9.6229999999999927E-3</v>
      </c>
      <c r="E22" s="66">
        <f>'M2'!E22-'M1'!E22</f>
        <v>0</v>
      </c>
      <c r="F22" s="66">
        <f>'M2'!F22-'M1'!F22</f>
        <v>4.019400000000001</v>
      </c>
      <c r="G22" s="66">
        <f>'M2'!G22-'M1'!G22</f>
        <v>0</v>
      </c>
      <c r="H22" s="66">
        <f>'M2'!H22-'M1'!H22</f>
        <v>0.29590000000000316</v>
      </c>
    </row>
    <row r="23" spans="1:8">
      <c r="A23" s="66" t="s">
        <v>66</v>
      </c>
      <c r="B23" s="66">
        <f>'M2'!B23-'M1'!B23</f>
        <v>2.0482000000000014</v>
      </c>
      <c r="C23" s="66">
        <f>'M2'!C23-'M1'!C23</f>
        <v>-0.33091999999999988</v>
      </c>
      <c r="D23" s="66">
        <f>'M2'!D23-'M1'!D23</f>
        <v>-2.6050499999999997E-2</v>
      </c>
      <c r="E23" s="66">
        <f>'M2'!E23-'M1'!E23</f>
        <v>0</v>
      </c>
      <c r="F23" s="66">
        <f>'M2'!F23-'M1'!F23</f>
        <v>4.4088000000000012</v>
      </c>
      <c r="G23" s="66">
        <f>'M2'!G23-'M1'!G23</f>
        <v>0</v>
      </c>
      <c r="H23" s="66">
        <f>'M2'!H23-'M1'!H23</f>
        <v>2.4004000000000012</v>
      </c>
    </row>
    <row r="24" spans="1:8">
      <c r="A24" s="66" t="s">
        <v>67</v>
      </c>
      <c r="B24" s="66">
        <f>'M2'!B24-'M1'!B24</f>
        <v>-1.7960099999999998E-3</v>
      </c>
      <c r="C24" s="66">
        <f>'M2'!C24-'M1'!C24</f>
        <v>-2.9960000000000004E-3</v>
      </c>
      <c r="D24" s="66">
        <f>'M2'!D24-'M1'!D24</f>
        <v>2.5004599999999995</v>
      </c>
      <c r="E24" s="66">
        <f>'M2'!E24-'M1'!E24</f>
        <v>0</v>
      </c>
      <c r="F24" s="66">
        <f>'M2'!F24-'M1'!F24</f>
        <v>3.2230000000000198E-7</v>
      </c>
      <c r="G24" s="66">
        <f>'M2'!G24-'M1'!G24</f>
        <v>0</v>
      </c>
      <c r="H24" s="66">
        <f>'M2'!H24-'M1'!H24</f>
        <v>-7.089099999999994E-3</v>
      </c>
    </row>
    <row r="25" spans="1:8">
      <c r="A25" s="66" t="s">
        <v>68</v>
      </c>
      <c r="B25" s="66">
        <f>'M2'!B25-'M1'!B25</f>
        <v>-1.0726000000000013E-2</v>
      </c>
      <c r="C25" s="66">
        <f>'M2'!C25-'M1'!C25</f>
        <v>-9.6129999999999965E-3</v>
      </c>
      <c r="D25" s="66">
        <f>'M2'!D25-'M1'!D25</f>
        <v>-1.8913000000000013E-2</v>
      </c>
      <c r="E25" s="66">
        <f>'M2'!E25-'M1'!E25</f>
        <v>0</v>
      </c>
      <c r="F25" s="66">
        <f>'M2'!F25-'M1'!F25</f>
        <v>1.0119000000000003E-2</v>
      </c>
      <c r="G25" s="66">
        <f>'M2'!G25-'M1'!G25</f>
        <v>0</v>
      </c>
      <c r="H25" s="66">
        <f>'M2'!H25-'M1'!H25</f>
        <v>-0.18999599999999994</v>
      </c>
    </row>
    <row r="26" spans="1:8">
      <c r="A26" s="66" t="s">
        <v>69</v>
      </c>
      <c r="B26" s="66">
        <f>'M2'!B26-'M1'!B26</f>
        <v>-1.2637899999999998E-4</v>
      </c>
      <c r="C26" s="66">
        <f>'M2'!C26-'M1'!C26</f>
        <v>-1.0846000000000002E-3</v>
      </c>
      <c r="D26" s="66">
        <f>'M2'!D26-'M1'!D26</f>
        <v>-1.1714300000000004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-3.1013679999999998E-2</v>
      </c>
    </row>
    <row r="27" spans="1:8">
      <c r="A27" s="66" t="s">
        <v>70</v>
      </c>
      <c r="B27" s="66">
        <f>'M2'!B27-'M1'!B27</f>
        <v>3.2826100000000004E-6</v>
      </c>
      <c r="C27" s="66">
        <f>'M2'!C27-'M1'!C27</f>
        <v>-1.7835100000000001E-3</v>
      </c>
      <c r="D27" s="66">
        <f>'M2'!D27-'M1'!D27</f>
        <v>110.01300000000001</v>
      </c>
      <c r="E27" s="66">
        <f>'M2'!E27-'M1'!E27</f>
        <v>0</v>
      </c>
      <c r="F27" s="66">
        <f>'M2'!F27-'M1'!F27</f>
        <v>3.241198E-2</v>
      </c>
      <c r="G27" s="66">
        <f>'M2'!G27-'M1'!G27</f>
        <v>0</v>
      </c>
      <c r="H27" s="66">
        <f>'M2'!H27-'M1'!H27</f>
        <v>-3.2474379999999997E-2</v>
      </c>
    </row>
    <row r="28" spans="1:8">
      <c r="A28" s="66" t="s">
        <v>71</v>
      </c>
      <c r="B28" s="66">
        <f>'M2'!B28-'M1'!B28</f>
        <v>3.1803000000000005E-3</v>
      </c>
      <c r="C28" s="66">
        <f>'M2'!C28-'M1'!C28</f>
        <v>-1.0340999999999996E-3</v>
      </c>
      <c r="D28" s="66">
        <f>'M2'!D28-'M1'!D28</f>
        <v>-0.2260000000000002</v>
      </c>
      <c r="E28" s="66">
        <f>'M2'!E28-'M1'!E28</f>
        <v>0</v>
      </c>
      <c r="F28" s="66">
        <f>'M2'!F28-'M1'!F28</f>
        <v>-5.5338999999999952E-5</v>
      </c>
      <c r="G28" s="66">
        <f>'M2'!G28-'M1'!G28</f>
        <v>0</v>
      </c>
      <c r="H28" s="66">
        <f>'M2'!H28-'M1'!H28</f>
        <v>-2.3964000000000013E-2</v>
      </c>
    </row>
    <row r="29" spans="1:8">
      <c r="A29" s="66" t="s">
        <v>72</v>
      </c>
      <c r="B29" s="66">
        <f>'M2'!B29-'M1'!B29</f>
        <v>1.2952000000000012</v>
      </c>
      <c r="C29" s="66">
        <f>'M2'!C29-'M1'!C29</f>
        <v>6.125999999999987E-2</v>
      </c>
      <c r="D29" s="66">
        <f>'M2'!D29-'M1'!D29</f>
        <v>-1.13400000000001E-3</v>
      </c>
      <c r="E29" s="66">
        <f>'M2'!E29-'M1'!E29</f>
        <v>0</v>
      </c>
      <c r="F29" s="66">
        <f>'M2'!F29-'M1'!F29</f>
        <v>-0.97120000000000317</v>
      </c>
      <c r="G29" s="66">
        <f>'M2'!G29-'M1'!G29</f>
        <v>0</v>
      </c>
      <c r="H29" s="66">
        <f>'M2'!H29-'M1'!H29</f>
        <v>-5.7732000000000028</v>
      </c>
    </row>
    <row r="30" spans="1:8">
      <c r="A30" s="66" t="s">
        <v>73</v>
      </c>
      <c r="B30" s="66">
        <f>'M2'!B30-'M1'!B30</f>
        <v>3.3266000000000027</v>
      </c>
      <c r="C30" s="66">
        <f>'M2'!C30-'M1'!C30</f>
        <v>-0.71417999999999981</v>
      </c>
      <c r="D30" s="66">
        <f>'M2'!D30-'M1'!D30</f>
        <v>-4.0754299999999993E-2</v>
      </c>
      <c r="E30" s="66">
        <f>'M2'!E30-'M1'!E30</f>
        <v>0</v>
      </c>
      <c r="F30" s="66">
        <f>'M2'!F30-'M1'!F30</f>
        <v>9.0906999999999982</v>
      </c>
      <c r="G30" s="66">
        <f>'M2'!G30-'M1'!G30</f>
        <v>0</v>
      </c>
      <c r="H30" s="66">
        <f>'M2'!H30-'M1'!H30</f>
        <v>4.8491</v>
      </c>
    </row>
    <row r="31" spans="1:8">
      <c r="A31" s="66" t="s">
        <v>74</v>
      </c>
      <c r="B31" s="66">
        <f>'M2'!B31-'M1'!B31</f>
        <v>108.56299999999999</v>
      </c>
      <c r="C31" s="66">
        <f>'M2'!C31-'M1'!C31</f>
        <v>-25.693900000000003</v>
      </c>
      <c r="D31" s="66">
        <f>'M2'!D31-'M1'!D31</f>
        <v>-0.21018800000000001</v>
      </c>
      <c r="E31" s="66">
        <f>'M2'!E31-'M1'!E31</f>
        <v>0</v>
      </c>
      <c r="F31" s="66">
        <f>'M2'!F31-'M1'!F31</f>
        <v>127.6878</v>
      </c>
      <c r="G31" s="66">
        <f>'M2'!G31-'M1'!G31</f>
        <v>0</v>
      </c>
      <c r="H31" s="66">
        <f>'M2'!H31-'M1'!H31</f>
        <v>61.066999999999979</v>
      </c>
    </row>
    <row r="32" spans="1:8">
      <c r="A32" s="66" t="s">
        <v>75</v>
      </c>
      <c r="B32" s="66">
        <f>'M2'!B32-'M1'!B32</f>
        <v>-2.6979000000000031E-2</v>
      </c>
      <c r="C32" s="66">
        <f>'M2'!C32-'M1'!C32</f>
        <v>-5.4716899999999999E-2</v>
      </c>
      <c r="D32" s="66">
        <f>'M2'!D32-'M1'!D32</f>
        <v>-0.16295199999999999</v>
      </c>
      <c r="E32" s="66">
        <f>'M2'!E32-'M1'!E32</f>
        <v>0</v>
      </c>
      <c r="F32" s="66">
        <f>'M2'!F32-'M1'!F32</f>
        <v>-3.9500000000000091E-3</v>
      </c>
      <c r="G32" s="66">
        <f>'M2'!G32-'M1'!G32</f>
        <v>0</v>
      </c>
      <c r="H32" s="66">
        <f>'M2'!H32-'M1'!H32</f>
        <v>-0.137405</v>
      </c>
    </row>
    <row r="33" spans="1:8">
      <c r="A33" s="66" t="s">
        <v>76</v>
      </c>
      <c r="B33" s="66">
        <f>'M2'!B33-'M1'!B33</f>
        <v>0.12367500000000003</v>
      </c>
      <c r="C33" s="66">
        <f>'M2'!C33-'M1'!C33</f>
        <v>-4.9748500000000001E-2</v>
      </c>
      <c r="D33" s="66">
        <f>'M2'!D33-'M1'!D33</f>
        <v>-0.20888200000000001</v>
      </c>
      <c r="E33" s="66">
        <f>'M2'!E33-'M1'!E33</f>
        <v>0</v>
      </c>
      <c r="F33" s="66">
        <f>'M2'!F33-'M1'!F33</f>
        <v>0.15682500000000002</v>
      </c>
      <c r="G33" s="66">
        <f>'M2'!G33-'M1'!G33</f>
        <v>0</v>
      </c>
      <c r="H33" s="66">
        <f>'M2'!H33-'M1'!H33</f>
        <v>1.7560999999999993E-2</v>
      </c>
    </row>
    <row r="34" spans="1:8">
      <c r="A34" s="66" t="s">
        <v>77</v>
      </c>
      <c r="B34" s="66">
        <f>'M2'!B34-'M1'!B34</f>
        <v>9.6040000000000014E-3</v>
      </c>
      <c r="C34" s="66">
        <f>'M2'!C34-'M1'!C34</f>
        <v>-1.4351300000000004E-2</v>
      </c>
      <c r="D34" s="66">
        <f>'M2'!D34-'M1'!D34</f>
        <v>-6.9139000000000006E-2</v>
      </c>
      <c r="E34" s="66">
        <f>'M2'!E34-'M1'!E34</f>
        <v>0</v>
      </c>
      <c r="F34" s="66">
        <f>'M2'!F34-'M1'!F34</f>
        <v>6.9211000000000009E-2</v>
      </c>
      <c r="G34" s="66">
        <f>'M2'!G34-'M1'!G34</f>
        <v>0</v>
      </c>
      <c r="H34" s="66">
        <f>'M2'!H34-'M1'!H34</f>
        <v>0.10570800000000002</v>
      </c>
    </row>
    <row r="35" spans="1:8">
      <c r="A35" s="66" t="s">
        <v>78</v>
      </c>
      <c r="B35" s="66">
        <f>'M2'!B35-'M1'!B35</f>
        <v>1.4756000000000005E-2</v>
      </c>
      <c r="C35" s="66">
        <f>'M2'!C35-'M1'!C35</f>
        <v>2.0080199999999996E-2</v>
      </c>
      <c r="D35" s="66">
        <f>'M2'!D35-'M1'!D35</f>
        <v>0.14998600000000001</v>
      </c>
      <c r="E35" s="66">
        <f>'M2'!E35-'M1'!E35</f>
        <v>0</v>
      </c>
      <c r="F35" s="66">
        <f>'M2'!F35-'M1'!F35</f>
        <v>3.6944999999999999E-3</v>
      </c>
      <c r="G35" s="66">
        <f>'M2'!G35-'M1'!G35</f>
        <v>0</v>
      </c>
      <c r="H35" s="66">
        <f>'M2'!H35-'M1'!H35</f>
        <v>0.11401500000000001</v>
      </c>
    </row>
    <row r="36" spans="1:8">
      <c r="A36" s="66" t="s">
        <v>79</v>
      </c>
      <c r="B36" s="66">
        <f>'M2'!B36-'M1'!B36</f>
        <v>2.2564000000000001E-2</v>
      </c>
      <c r="C36" s="66">
        <f>'M2'!C36-'M1'!C36</f>
        <v>2.3207000000000005E-2</v>
      </c>
      <c r="D36" s="66">
        <f>'M2'!D36-'M1'!D36</f>
        <v>4.7393000000000018E-2</v>
      </c>
      <c r="E36" s="66">
        <f>'M2'!E36-'M1'!E36</f>
        <v>0</v>
      </c>
      <c r="F36" s="66">
        <f>'M2'!F36-'M1'!F36</f>
        <v>-1.2803700000000001E-2</v>
      </c>
      <c r="G36" s="66">
        <f>'M2'!G36-'M1'!G36</f>
        <v>0</v>
      </c>
      <c r="H36" s="66">
        <f>'M2'!H36-'M1'!H36</f>
        <v>0.353522</v>
      </c>
    </row>
    <row r="37" spans="1:8">
      <c r="A37" s="66" t="s">
        <v>80</v>
      </c>
      <c r="B37" s="66">
        <f>'M2'!B37-'M1'!B37</f>
        <v>-0.14351300000000006</v>
      </c>
      <c r="C37" s="66">
        <f>'M2'!C37-'M1'!C37</f>
        <v>-1.5857999999999983E-2</v>
      </c>
      <c r="D37" s="66">
        <f>'M2'!D37-'M1'!D37</f>
        <v>8.612599999999998E-2</v>
      </c>
      <c r="E37" s="66">
        <f>'M2'!E37-'M1'!E37</f>
        <v>0</v>
      </c>
      <c r="F37" s="66">
        <f>'M2'!F37-'M1'!F37</f>
        <v>4.5858799999999998E-2</v>
      </c>
      <c r="G37" s="66">
        <f>'M2'!G37-'M1'!G37</f>
        <v>0</v>
      </c>
      <c r="H37" s="66">
        <f>'M2'!H37-'M1'!H37</f>
        <v>-1.0301000000000005E-2</v>
      </c>
    </row>
    <row r="38" spans="1:8">
      <c r="A38" s="66" t="s">
        <v>81</v>
      </c>
      <c r="B38" s="66">
        <f>'M2'!B38-'M1'!B38</f>
        <v>-2.5757000000000012</v>
      </c>
      <c r="C38" s="66">
        <f>'M2'!C38-'M1'!C38</f>
        <v>-9.9050000000000011</v>
      </c>
      <c r="D38" s="66">
        <f>'M2'!D38-'M1'!D38</f>
        <v>0.85204999999999975</v>
      </c>
      <c r="E38" s="66">
        <f>'M2'!E38-'M1'!E38</f>
        <v>0</v>
      </c>
      <c r="F38" s="66">
        <f>'M2'!F38-'M1'!F38</f>
        <v>23.978999999999999</v>
      </c>
      <c r="G38" s="66">
        <f>'M2'!G38-'M1'!G38</f>
        <v>0</v>
      </c>
      <c r="H38" s="66">
        <f>'M2'!H38-'M1'!H38</f>
        <v>-47.125</v>
      </c>
    </row>
    <row r="39" spans="1:8">
      <c r="A39" s="66" t="s">
        <v>82</v>
      </c>
      <c r="B39" s="66">
        <f>'M2'!B39-'M1'!B39</f>
        <v>-0.12479999999999869</v>
      </c>
      <c r="C39" s="66">
        <f>'M2'!C39-'M1'!C39</f>
        <v>-1.6864699999999999</v>
      </c>
      <c r="D39" s="66">
        <f>'M2'!D39-'M1'!D39</f>
        <v>0.19978700000000005</v>
      </c>
      <c r="E39" s="66">
        <f>'M2'!E39-'M1'!E39</f>
        <v>0</v>
      </c>
      <c r="F39" s="66">
        <f>'M2'!F39-'M1'!F39</f>
        <v>-0.37520000000000309</v>
      </c>
      <c r="G39" s="66">
        <f>'M2'!G39-'M1'!G39</f>
        <v>0</v>
      </c>
      <c r="H39" s="66">
        <f>'M2'!H39-'M1'!H39</f>
        <v>1.9220999999999986</v>
      </c>
    </row>
    <row r="40" spans="1:8">
      <c r="A40" s="66" t="s">
        <v>83</v>
      </c>
      <c r="B40" s="66">
        <f>'M2'!B40-'M1'!B40</f>
        <v>-0.28939999999999966</v>
      </c>
      <c r="C40" s="66">
        <f>'M2'!C40-'M1'!C40</f>
        <v>-0.43216300000000002</v>
      </c>
      <c r="D40" s="66">
        <f>'M2'!D40-'M1'!D40</f>
        <v>8.8169299999999992E-2</v>
      </c>
      <c r="E40" s="66">
        <f>'M2'!E40-'M1'!E40</f>
        <v>0</v>
      </c>
      <c r="F40" s="66">
        <f>'M2'!F40-'M1'!F40</f>
        <v>0.41896000000000022</v>
      </c>
      <c r="G40" s="66">
        <f>'M2'!G40-'M1'!G40</f>
        <v>0</v>
      </c>
      <c r="H40" s="66">
        <f>'M2'!H40-'M1'!H40</f>
        <v>-0.90433999999999992</v>
      </c>
    </row>
    <row r="41" spans="1:8">
      <c r="A41" s="66" t="s">
        <v>84</v>
      </c>
      <c r="B41" s="66">
        <f>'M2'!B41-'M1'!B41</f>
        <v>-2.5537000000000004E-2</v>
      </c>
      <c r="C41" s="66">
        <f>'M2'!C41-'M1'!C41</f>
        <v>-1.2762999999999969E-2</v>
      </c>
      <c r="D41" s="66">
        <f>'M2'!D41-'M1'!D41</f>
        <v>0.40871999999999975</v>
      </c>
      <c r="E41" s="66">
        <f>'M2'!E41-'M1'!E41</f>
        <v>0</v>
      </c>
      <c r="F41" s="66">
        <f>'M2'!F41-'M1'!F41</f>
        <v>9.2295999999999934E-2</v>
      </c>
      <c r="G41" s="66">
        <f>'M2'!G41-'M1'!G41</f>
        <v>0</v>
      </c>
      <c r="H41" s="66">
        <f>'M2'!H41-'M1'!H41</f>
        <v>-0.10810799999999998</v>
      </c>
    </row>
    <row r="42" spans="1:8">
      <c r="A42" s="66" t="s">
        <v>85</v>
      </c>
      <c r="B42" s="66">
        <f>'M2'!B42-'M1'!B42</f>
        <v>-8.3209999999999951E-3</v>
      </c>
      <c r="C42" s="66">
        <f>'M2'!C42-'M1'!C42</f>
        <v>-3.9715299999999995E-2</v>
      </c>
      <c r="D42" s="66">
        <f>'M2'!D42-'M1'!D42</f>
        <v>0.32689000000000001</v>
      </c>
      <c r="E42" s="66">
        <f>'M2'!E42-'M1'!E42</f>
        <v>0</v>
      </c>
      <c r="F42" s="66">
        <f>'M2'!F42-'M1'!F42</f>
        <v>-2.0823000000000036E-2</v>
      </c>
      <c r="G42" s="66">
        <f>'M2'!G42-'M1'!G42</f>
        <v>0</v>
      </c>
      <c r="H42" s="66">
        <f>'M2'!H42-'M1'!H42</f>
        <v>-7.822800000000002E-2</v>
      </c>
    </row>
    <row r="43" spans="1:8">
      <c r="A43" s="66" t="s">
        <v>86</v>
      </c>
      <c r="B43" s="66">
        <f>'M2'!B43-'M1'!B43</f>
        <v>-3.3332000000000014E-2</v>
      </c>
      <c r="C43" s="66">
        <f>'M2'!C43-'M1'!C43</f>
        <v>-2.1648500000000001E-2</v>
      </c>
      <c r="D43" s="66">
        <f>'M2'!D43-'M1'!D43</f>
        <v>0.23947700000000002</v>
      </c>
      <c r="E43" s="66">
        <f>'M2'!E43-'M1'!E43</f>
        <v>0</v>
      </c>
      <c r="F43" s="66">
        <f>'M2'!F43-'M1'!F43</f>
        <v>1.4074000000000003E-2</v>
      </c>
      <c r="G43" s="66">
        <f>'M2'!G43-'M1'!G43</f>
        <v>0</v>
      </c>
      <c r="H43" s="66">
        <f>'M2'!H43-'M1'!H43</f>
        <v>-7.7533199999999997E-2</v>
      </c>
    </row>
    <row r="44" spans="1:8">
      <c r="A44" s="66" t="s">
        <v>87</v>
      </c>
      <c r="B44" s="66">
        <f>'M2'!B44-'M1'!B44</f>
        <v>-30.257200000000001</v>
      </c>
      <c r="C44" s="66">
        <f>'M2'!C44-'M1'!C44</f>
        <v>-6.29603</v>
      </c>
      <c r="D44" s="66">
        <f>'M2'!D44-'M1'!D44</f>
        <v>0.32619699999999996</v>
      </c>
      <c r="E44" s="66">
        <f>'M2'!E44-'M1'!E44</f>
        <v>0</v>
      </c>
      <c r="F44" s="66">
        <f>'M2'!F44-'M1'!F44</f>
        <v>-24.042800000000007</v>
      </c>
      <c r="G44" s="66">
        <f>'M2'!G44-'M1'!G44</f>
        <v>0</v>
      </c>
      <c r="H44" s="66">
        <f>'M2'!H44-'M1'!H44</f>
        <v>-37.593140000000005</v>
      </c>
    </row>
    <row r="45" spans="1:8">
      <c r="A45" s="66" t="s">
        <v>88</v>
      </c>
      <c r="B45" s="66">
        <f>'M2'!B45-'M1'!B45</f>
        <v>0.42050000000000409</v>
      </c>
      <c r="C45" s="66">
        <f>'M2'!C45-'M1'!C45</f>
        <v>1.4800500000000003</v>
      </c>
      <c r="D45" s="66">
        <f>'M2'!D45-'M1'!D45</f>
        <v>2.6911700000000011E-2</v>
      </c>
      <c r="E45" s="66">
        <f>'M2'!E45-'M1'!E45</f>
        <v>0</v>
      </c>
      <c r="F45" s="66">
        <f>'M2'!F45-'M1'!F45</f>
        <v>1.160499999999999</v>
      </c>
      <c r="G45" s="66">
        <f>'M2'!G45-'M1'!G45</f>
        <v>0</v>
      </c>
      <c r="H45" s="66">
        <f>'M2'!H45-'M1'!H45</f>
        <v>5.5279999999999987</v>
      </c>
    </row>
    <row r="46" spans="1:8">
      <c r="A46" s="66" t="s">
        <v>89</v>
      </c>
      <c r="B46" s="66">
        <f>'M2'!B46-'M1'!B46</f>
        <v>9.0118999999999971</v>
      </c>
      <c r="C46" s="66">
        <f>'M2'!C46-'M1'!C46</f>
        <v>-3.51335</v>
      </c>
      <c r="D46" s="66">
        <f>'M2'!D46-'M1'!D46</f>
        <v>-0.15836689999999998</v>
      </c>
      <c r="E46" s="66">
        <f>'M2'!E46-'M1'!E46</f>
        <v>0</v>
      </c>
      <c r="F46" s="66">
        <f>'M2'!F46-'M1'!F46</f>
        <v>20.286000000000001</v>
      </c>
      <c r="G46" s="66">
        <f>'M2'!G46-'M1'!G46</f>
        <v>0</v>
      </c>
      <c r="H46" s="66">
        <f>'M2'!H46-'M1'!H46</f>
        <v>2.7668999999999997</v>
      </c>
    </row>
    <row r="47" spans="1:8">
      <c r="A47" s="66" t="s">
        <v>90</v>
      </c>
      <c r="B47" s="66">
        <f>'M2'!B47-'M1'!B47</f>
        <v>-1.3029999999999875E-2</v>
      </c>
      <c r="C47" s="66">
        <f>'M2'!C47-'M1'!C47</f>
        <v>-5.9945999999999999E-2</v>
      </c>
      <c r="D47" s="66">
        <f>'M2'!D47-'M1'!D47</f>
        <v>-5.3021999999999958E-2</v>
      </c>
      <c r="E47" s="66">
        <f>'M2'!E47-'M1'!E47</f>
        <v>0</v>
      </c>
      <c r="F47" s="66">
        <f>'M2'!F47-'M1'!F47</f>
        <v>2.8011000000000008E-2</v>
      </c>
      <c r="G47" s="66">
        <f>'M2'!G47-'M1'!G47</f>
        <v>0</v>
      </c>
      <c r="H47" s="66">
        <f>'M2'!H47-'M1'!H47</f>
        <v>-0.7528100000000002</v>
      </c>
    </row>
    <row r="48" spans="1:8">
      <c r="A48" s="66" t="s">
        <v>91</v>
      </c>
      <c r="B48" s="66">
        <f>'M2'!B48-'M1'!B48</f>
        <v>0.14747699999999997</v>
      </c>
      <c r="C48" s="66">
        <f>'M2'!C48-'M1'!C48</f>
        <v>1.4847100000000002E-2</v>
      </c>
      <c r="D48" s="66">
        <f>'M2'!D48-'M1'!D48</f>
        <v>-6.1700000000000088E-3</v>
      </c>
      <c r="E48" s="66">
        <f>'M2'!E48-'M1'!E48</f>
        <v>0</v>
      </c>
      <c r="F48" s="66">
        <f>'M2'!F48-'M1'!F48</f>
        <v>0.14611600000000002</v>
      </c>
      <c r="G48" s="66">
        <f>'M2'!G48-'M1'!G48</f>
        <v>0</v>
      </c>
      <c r="H48" s="66">
        <f>'M2'!H48-'M1'!H48</f>
        <v>0.15766199999999997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35.257100000000001</v>
      </c>
      <c r="C5" s="66">
        <v>7.6462300000000001</v>
      </c>
      <c r="D5" s="66">
        <v>21.687100000000001</v>
      </c>
      <c r="E5" s="66">
        <v>20</v>
      </c>
      <c r="F5" s="66">
        <v>15.4587</v>
      </c>
      <c r="G5" s="66">
        <v>50</v>
      </c>
      <c r="H5" s="66">
        <v>49.844700000000003</v>
      </c>
    </row>
    <row r="6" spans="1:8">
      <c r="A6" s="66" t="s">
        <v>358</v>
      </c>
      <c r="B6" s="66">
        <v>30.4666</v>
      </c>
      <c r="C6" s="66">
        <v>6.13422</v>
      </c>
      <c r="D6" s="66">
        <v>20.1343</v>
      </c>
      <c r="E6" s="66">
        <v>20</v>
      </c>
      <c r="F6" s="66">
        <v>21.524100000000001</v>
      </c>
      <c r="G6" s="66">
        <v>40</v>
      </c>
      <c r="H6" s="66">
        <v>42.583399999999997</v>
      </c>
    </row>
    <row r="7" spans="1:8">
      <c r="A7" s="66" t="s">
        <v>359</v>
      </c>
      <c r="B7" s="66">
        <v>31.212599999999998</v>
      </c>
      <c r="C7" s="66">
        <v>9.5464599999999997</v>
      </c>
      <c r="D7" s="66">
        <v>30.5853</v>
      </c>
      <c r="E7" s="66">
        <v>15</v>
      </c>
      <c r="F7" s="66">
        <v>19.37</v>
      </c>
      <c r="G7" s="66">
        <v>40</v>
      </c>
      <c r="H7" s="66">
        <v>53.248100000000001</v>
      </c>
    </row>
    <row r="8" spans="1:8">
      <c r="A8" s="66" t="s">
        <v>360</v>
      </c>
      <c r="B8" s="66">
        <v>33.727899999999998</v>
      </c>
      <c r="C8" s="66">
        <v>5.6361299999999996</v>
      </c>
      <c r="D8" s="66">
        <v>16.710599999999999</v>
      </c>
      <c r="E8" s="66">
        <v>20</v>
      </c>
      <c r="F8" s="66">
        <v>20.828600000000002</v>
      </c>
      <c r="G8" s="66">
        <v>50</v>
      </c>
      <c r="H8" s="66">
        <v>40.707500000000003</v>
      </c>
    </row>
    <row r="9" spans="1:8">
      <c r="A9" s="66" t="s">
        <v>361</v>
      </c>
      <c r="B9" s="66">
        <v>69.199299999999994</v>
      </c>
      <c r="C9" s="66">
        <v>4.9543999999999997</v>
      </c>
      <c r="D9" s="66">
        <v>7.1596000000000002</v>
      </c>
      <c r="E9" s="66">
        <v>50</v>
      </c>
      <c r="F9" s="66">
        <v>58.3566</v>
      </c>
      <c r="G9" s="66">
        <v>100</v>
      </c>
      <c r="H9" s="66">
        <v>77.402699999999996</v>
      </c>
    </row>
    <row r="10" spans="1:8">
      <c r="A10" s="66" t="s">
        <v>362</v>
      </c>
      <c r="B10" s="66">
        <v>73.266999999999996</v>
      </c>
      <c r="C10" s="66">
        <v>4.9644000000000004</v>
      </c>
      <c r="D10" s="66">
        <v>6.77576</v>
      </c>
      <c r="E10" s="66">
        <v>40</v>
      </c>
      <c r="F10" s="66">
        <v>65.445099999999996</v>
      </c>
      <c r="G10" s="66">
        <v>100</v>
      </c>
      <c r="H10" s="66">
        <v>81.062700000000007</v>
      </c>
    </row>
    <row r="11" spans="1:8">
      <c r="A11" s="66" t="s">
        <v>363</v>
      </c>
      <c r="B11" s="66">
        <v>16.089300000000001</v>
      </c>
      <c r="C11" s="66">
        <v>2.3389600000000002</v>
      </c>
      <c r="D11" s="66">
        <v>14.5373</v>
      </c>
      <c r="E11" s="66">
        <v>10</v>
      </c>
      <c r="F11" s="66">
        <v>10.3101</v>
      </c>
      <c r="G11" s="66">
        <v>50</v>
      </c>
      <c r="H11" s="66">
        <v>20.572199999999999</v>
      </c>
    </row>
    <row r="12" spans="1:8">
      <c r="A12" s="66" t="s">
        <v>364</v>
      </c>
      <c r="B12" s="66">
        <v>71.629000000000005</v>
      </c>
      <c r="C12" s="66">
        <v>4.8049499999999998</v>
      </c>
      <c r="D12" s="66">
        <v>6.7081099999999996</v>
      </c>
      <c r="E12" s="66">
        <v>50</v>
      </c>
      <c r="F12" s="66">
        <v>62.581200000000003</v>
      </c>
      <c r="G12" s="66">
        <v>100</v>
      </c>
      <c r="H12" s="66">
        <v>79.0214</v>
      </c>
    </row>
    <row r="13" spans="1:8">
      <c r="A13" s="66" t="s">
        <v>365</v>
      </c>
      <c r="B13" s="66">
        <v>23.1678</v>
      </c>
      <c r="C13" s="66">
        <v>5.6214599999999999</v>
      </c>
      <c r="D13" s="66">
        <v>24.264199999999999</v>
      </c>
      <c r="E13" s="66">
        <v>10</v>
      </c>
      <c r="F13" s="66">
        <v>11.7988</v>
      </c>
      <c r="G13" s="66">
        <v>25</v>
      </c>
      <c r="H13" s="66">
        <v>29.033799999999999</v>
      </c>
    </row>
    <row r="14" spans="1:8">
      <c r="A14" s="66" t="s">
        <v>366</v>
      </c>
      <c r="B14" s="66">
        <v>56.214599999999997</v>
      </c>
      <c r="C14" s="66">
        <v>20.334299999999999</v>
      </c>
      <c r="D14" s="66">
        <v>36.172499999999999</v>
      </c>
      <c r="E14" s="66">
        <v>10</v>
      </c>
      <c r="F14" s="66">
        <v>1.3534999999999999</v>
      </c>
      <c r="G14" s="66">
        <v>50</v>
      </c>
      <c r="H14" s="66">
        <v>57.179099999999998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0.38616299999999998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0.54396199999999995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1.5095200000000001E-3</v>
      </c>
      <c r="C20" s="66">
        <v>2.9475899999999999E-2</v>
      </c>
      <c r="D20" s="66">
        <v>19.526700000000002</v>
      </c>
      <c r="E20" s="66">
        <v>0</v>
      </c>
      <c r="F20" s="66">
        <v>0</v>
      </c>
      <c r="G20" s="66">
        <v>0</v>
      </c>
      <c r="H20" s="66">
        <v>0.31196499999999999</v>
      </c>
    </row>
    <row r="21" spans="1:8">
      <c r="A21" s="66" t="s">
        <v>373</v>
      </c>
      <c r="B21" s="66">
        <v>0.18131</v>
      </c>
      <c r="C21" s="66">
        <v>0.30489699999999997</v>
      </c>
      <c r="D21" s="66">
        <v>1.68164</v>
      </c>
      <c r="E21" s="66">
        <v>0</v>
      </c>
      <c r="F21" s="66">
        <v>2.5597300000000001E-3</v>
      </c>
      <c r="G21" s="66">
        <v>0</v>
      </c>
      <c r="H21" s="66">
        <v>1.8178700000000001</v>
      </c>
    </row>
    <row r="22" spans="1:8">
      <c r="A22" s="66" t="s">
        <v>374</v>
      </c>
      <c r="B22" s="66">
        <v>41.305500000000002</v>
      </c>
      <c r="C22" s="66">
        <v>6.1845499999999998</v>
      </c>
      <c r="D22" s="66">
        <v>0.149727</v>
      </c>
      <c r="E22" s="66">
        <v>0</v>
      </c>
      <c r="F22" s="66">
        <v>24.3568</v>
      </c>
      <c r="G22" s="66">
        <v>0</v>
      </c>
      <c r="H22" s="66">
        <v>55.588999999999999</v>
      </c>
    </row>
    <row r="23" spans="1:8">
      <c r="A23" s="66" t="s">
        <v>375</v>
      </c>
      <c r="B23" s="66">
        <v>17.0502</v>
      </c>
      <c r="C23" s="66">
        <v>1.3868499999999999</v>
      </c>
      <c r="D23" s="66">
        <v>8.1339099999999998E-2</v>
      </c>
      <c r="E23" s="66">
        <v>0</v>
      </c>
      <c r="F23" s="66">
        <v>13.2934</v>
      </c>
      <c r="G23" s="66">
        <v>0</v>
      </c>
      <c r="H23" s="66">
        <v>19.477699999999999</v>
      </c>
    </row>
    <row r="24" spans="1:8">
      <c r="A24" s="66" t="s">
        <v>376</v>
      </c>
      <c r="B24" s="66">
        <v>3.5740099999999999E-3</v>
      </c>
      <c r="C24" s="66">
        <v>1.48091E-2</v>
      </c>
      <c r="D24" s="66">
        <v>4.1435700000000004</v>
      </c>
      <c r="E24" s="66">
        <v>0</v>
      </c>
      <c r="F24" s="196">
        <v>5.02769E-5</v>
      </c>
      <c r="G24" s="66">
        <v>0</v>
      </c>
      <c r="H24" s="66">
        <v>6.4399399999999996E-2</v>
      </c>
    </row>
    <row r="25" spans="1:8">
      <c r="A25" s="66" t="s">
        <v>377</v>
      </c>
      <c r="B25" s="66">
        <v>0.28427000000000002</v>
      </c>
      <c r="C25" s="66">
        <v>0.117669</v>
      </c>
      <c r="D25" s="66">
        <v>0.413935</v>
      </c>
      <c r="E25" s="66">
        <v>0</v>
      </c>
      <c r="F25" s="66">
        <v>7.4975100000000003E-2</v>
      </c>
      <c r="G25" s="66">
        <v>0</v>
      </c>
      <c r="H25" s="66">
        <v>0.73839299999999997</v>
      </c>
    </row>
    <row r="26" spans="1:8">
      <c r="A26" s="66" t="s">
        <v>378</v>
      </c>
      <c r="B26" s="66">
        <v>5.4162299999999997E-4</v>
      </c>
      <c r="C26" s="66">
        <v>2.5635900000000001E-3</v>
      </c>
      <c r="D26" s="66">
        <v>4.7331700000000003</v>
      </c>
      <c r="E26" s="66">
        <v>0</v>
      </c>
      <c r="F26" s="66">
        <v>0</v>
      </c>
      <c r="G26" s="66">
        <v>0</v>
      </c>
      <c r="H26" s="66">
        <v>3.9876599999999998E-2</v>
      </c>
    </row>
    <row r="27" spans="1:8">
      <c r="A27" s="66" t="s">
        <v>379</v>
      </c>
      <c r="B27" s="196">
        <v>-1.31303E-5</v>
      </c>
      <c r="C27" s="66">
        <v>2.8005700000000001E-3</v>
      </c>
      <c r="D27" s="66">
        <v>-213.292</v>
      </c>
      <c r="E27" s="66">
        <v>0</v>
      </c>
      <c r="F27" s="66">
        <v>-3.9712400000000002E-2</v>
      </c>
      <c r="G27" s="66">
        <v>0</v>
      </c>
      <c r="H27" s="66">
        <v>3.9794499999999997E-2</v>
      </c>
    </row>
    <row r="28" spans="1:8">
      <c r="A28" s="66" t="s">
        <v>380</v>
      </c>
      <c r="B28" s="66">
        <v>1.99382E-2</v>
      </c>
      <c r="C28" s="66">
        <v>2.6272500000000001E-2</v>
      </c>
      <c r="D28" s="66">
        <v>1.3177000000000001</v>
      </c>
      <c r="E28" s="66">
        <v>0</v>
      </c>
      <c r="F28" s="66">
        <v>7.9101599999999996E-4</v>
      </c>
      <c r="G28" s="66">
        <v>0</v>
      </c>
      <c r="H28" s="66">
        <v>0.13349900000000001</v>
      </c>
    </row>
    <row r="29" spans="1:8">
      <c r="A29" s="66" t="s">
        <v>381</v>
      </c>
      <c r="B29" s="66">
        <v>63.652700000000003</v>
      </c>
      <c r="C29" s="66">
        <v>6.6320699999999997</v>
      </c>
      <c r="D29" s="66">
        <v>0.10419100000000001</v>
      </c>
      <c r="E29" s="66">
        <v>0</v>
      </c>
      <c r="F29" s="66">
        <v>49.549700000000001</v>
      </c>
      <c r="G29" s="66">
        <v>0</v>
      </c>
      <c r="H29" s="66">
        <v>86.113600000000005</v>
      </c>
    </row>
    <row r="30" spans="1:8">
      <c r="A30" s="66" t="s">
        <v>382</v>
      </c>
      <c r="B30" s="66">
        <v>23.082699999999999</v>
      </c>
      <c r="C30" s="66">
        <v>2.5127199999999998</v>
      </c>
      <c r="D30" s="66">
        <v>0.108857</v>
      </c>
      <c r="E30" s="66">
        <v>0</v>
      </c>
      <c r="F30" s="66">
        <v>15.138400000000001</v>
      </c>
      <c r="G30" s="66">
        <v>0</v>
      </c>
      <c r="H30" s="66">
        <v>25.878599999999999</v>
      </c>
    </row>
    <row r="31" spans="1:8">
      <c r="A31" s="66" t="s">
        <v>383</v>
      </c>
      <c r="B31" s="66">
        <v>161.47300000000001</v>
      </c>
      <c r="C31" s="66">
        <v>46.204300000000003</v>
      </c>
      <c r="D31" s="66">
        <v>0.28614200000000001</v>
      </c>
      <c r="E31" s="66">
        <v>0</v>
      </c>
      <c r="F31" s="66">
        <v>98.905199999999994</v>
      </c>
      <c r="G31" s="66">
        <v>0</v>
      </c>
      <c r="H31" s="66">
        <v>253.94800000000001</v>
      </c>
    </row>
    <row r="32" spans="1:8">
      <c r="A32" s="66" t="s">
        <v>384</v>
      </c>
      <c r="B32" s="66">
        <v>0.31212600000000001</v>
      </c>
      <c r="C32" s="66">
        <v>9.5464599999999997E-2</v>
      </c>
      <c r="D32" s="66">
        <v>0.30585299999999999</v>
      </c>
      <c r="E32" s="66">
        <v>0.15</v>
      </c>
      <c r="F32" s="66">
        <v>0.19370000000000001</v>
      </c>
      <c r="G32" s="66">
        <v>0.4</v>
      </c>
      <c r="H32" s="66">
        <v>0.53248099999999998</v>
      </c>
    </row>
    <row r="33" spans="1:8">
      <c r="A33" s="66" t="s">
        <v>385</v>
      </c>
      <c r="B33" s="66">
        <v>0.26657999999999998</v>
      </c>
      <c r="C33" s="66">
        <v>6.8477200000000002E-2</v>
      </c>
      <c r="D33" s="66">
        <v>0.25687300000000002</v>
      </c>
      <c r="E33" s="66">
        <v>0</v>
      </c>
      <c r="F33" s="66">
        <v>0.199879</v>
      </c>
      <c r="G33" s="66">
        <v>0</v>
      </c>
      <c r="H33" s="66">
        <v>0.42034199999999999</v>
      </c>
    </row>
    <row r="34" spans="1:8">
      <c r="A34" s="66" t="s">
        <v>386</v>
      </c>
      <c r="B34" s="66">
        <v>0.231678</v>
      </c>
      <c r="C34" s="66">
        <v>5.6214600000000003E-2</v>
      </c>
      <c r="D34" s="66">
        <v>0.242642</v>
      </c>
      <c r="E34" s="66">
        <v>0.1</v>
      </c>
      <c r="F34" s="66">
        <v>0.117988</v>
      </c>
      <c r="G34" s="66">
        <v>0.25</v>
      </c>
      <c r="H34" s="66">
        <v>0.29033799999999998</v>
      </c>
    </row>
    <row r="35" spans="1:8">
      <c r="A35" s="66" t="s">
        <v>387</v>
      </c>
      <c r="B35" s="66">
        <v>8.9511999999999994E-2</v>
      </c>
      <c r="C35" s="66">
        <v>2.6943100000000001E-2</v>
      </c>
      <c r="D35" s="66">
        <v>0.30099999999999999</v>
      </c>
      <c r="E35" s="66">
        <v>0</v>
      </c>
      <c r="F35" s="66">
        <v>2.5065E-2</v>
      </c>
      <c r="G35" s="66">
        <v>0</v>
      </c>
      <c r="H35" s="66">
        <v>0.15962699999999999</v>
      </c>
    </row>
    <row r="36" spans="1:8">
      <c r="A36" s="66" t="s">
        <v>388</v>
      </c>
      <c r="B36" s="66">
        <v>0.189884</v>
      </c>
      <c r="C36" s="66">
        <v>0.110564</v>
      </c>
      <c r="D36" s="66">
        <v>0.58227099999999998</v>
      </c>
      <c r="E36" s="66">
        <v>0</v>
      </c>
      <c r="F36" s="66">
        <v>4.96389E-2</v>
      </c>
      <c r="G36" s="66">
        <v>0</v>
      </c>
      <c r="H36" s="66">
        <v>0.533219</v>
      </c>
    </row>
    <row r="37" spans="1:8">
      <c r="A37" s="66" t="s">
        <v>389</v>
      </c>
      <c r="B37" s="66">
        <v>0.56214600000000003</v>
      </c>
      <c r="C37" s="66">
        <v>0.203343</v>
      </c>
      <c r="D37" s="66">
        <v>0.36172500000000002</v>
      </c>
      <c r="E37" s="66">
        <v>0.1</v>
      </c>
      <c r="F37" s="66">
        <v>1.3535E-2</v>
      </c>
      <c r="G37" s="66">
        <v>0.5</v>
      </c>
      <c r="H37" s="66">
        <v>0.57179100000000005</v>
      </c>
    </row>
    <row r="38" spans="1:8">
      <c r="A38" s="66" t="s">
        <v>390</v>
      </c>
      <c r="B38" s="66">
        <v>-19.927299999999999</v>
      </c>
      <c r="C38" s="66">
        <v>71.710700000000003</v>
      </c>
      <c r="D38" s="66">
        <v>-3.5986099999999999</v>
      </c>
      <c r="E38" s="66">
        <v>0</v>
      </c>
      <c r="F38" s="66">
        <v>-141.744</v>
      </c>
      <c r="G38" s="66">
        <v>0</v>
      </c>
      <c r="H38" s="66">
        <v>391.71899999999999</v>
      </c>
    </row>
    <row r="39" spans="1:8">
      <c r="A39" s="66" t="s">
        <v>391</v>
      </c>
      <c r="B39" s="66">
        <v>-8.7769200000000005</v>
      </c>
      <c r="C39" s="66">
        <v>6.4691400000000003</v>
      </c>
      <c r="D39" s="66">
        <v>-0.73706199999999999</v>
      </c>
      <c r="E39" s="66">
        <v>0</v>
      </c>
      <c r="F39" s="66">
        <v>-16.756799999999998</v>
      </c>
      <c r="G39" s="66">
        <v>0</v>
      </c>
      <c r="H39" s="66">
        <v>13.648400000000001</v>
      </c>
    </row>
    <row r="40" spans="1:8">
      <c r="A40" s="66" t="s">
        <v>392</v>
      </c>
      <c r="B40" s="66">
        <v>-5.1090600000000004</v>
      </c>
      <c r="C40" s="66">
        <v>0.77345200000000003</v>
      </c>
      <c r="D40" s="66">
        <v>-0.151389</v>
      </c>
      <c r="E40" s="66">
        <v>0</v>
      </c>
      <c r="F40" s="66">
        <v>-6.5073400000000001</v>
      </c>
      <c r="G40" s="66">
        <v>0</v>
      </c>
      <c r="H40" s="66">
        <v>-3.6939899999999999</v>
      </c>
    </row>
    <row r="41" spans="1:8">
      <c r="A41" s="66" t="s">
        <v>393</v>
      </c>
      <c r="B41" s="66">
        <v>-0.145038</v>
      </c>
      <c r="C41" s="66">
        <v>0.32346999999999998</v>
      </c>
      <c r="D41" s="66">
        <v>-2.2302499999999998</v>
      </c>
      <c r="E41" s="66">
        <v>0</v>
      </c>
      <c r="F41" s="66">
        <v>-0.94736799999999999</v>
      </c>
      <c r="G41" s="66">
        <v>0</v>
      </c>
      <c r="H41" s="66">
        <v>1</v>
      </c>
    </row>
    <row r="42" spans="1:8">
      <c r="A42" s="66" t="s">
        <v>394</v>
      </c>
      <c r="B42" s="66">
        <v>-0.13545699999999999</v>
      </c>
      <c r="C42" s="66">
        <v>0.11858399999999999</v>
      </c>
      <c r="D42" s="66">
        <v>-0.87543499999999996</v>
      </c>
      <c r="E42" s="66">
        <v>0</v>
      </c>
      <c r="F42" s="66">
        <v>-0.25395699999999999</v>
      </c>
      <c r="G42" s="66">
        <v>0</v>
      </c>
      <c r="H42" s="66">
        <v>0.32514500000000002</v>
      </c>
    </row>
    <row r="43" spans="1:8">
      <c r="A43" s="66" t="s">
        <v>395</v>
      </c>
      <c r="B43" s="66">
        <v>-0.106724</v>
      </c>
      <c r="C43" s="66">
        <v>3.8075600000000001E-2</v>
      </c>
      <c r="D43" s="66">
        <v>-0.35676600000000003</v>
      </c>
      <c r="E43" s="66">
        <v>0</v>
      </c>
      <c r="F43" s="66">
        <v>-0.19436200000000001</v>
      </c>
      <c r="G43" s="66">
        <v>0</v>
      </c>
      <c r="H43" s="66">
        <v>-2.4820800000000001E-2</v>
      </c>
    </row>
    <row r="44" spans="1:8">
      <c r="A44" s="66" t="s">
        <v>396</v>
      </c>
      <c r="B44" s="66">
        <v>-30.489000000000001</v>
      </c>
      <c r="C44" s="66">
        <v>13.6227</v>
      </c>
      <c r="D44" s="66">
        <v>-0.44680799999999998</v>
      </c>
      <c r="E44" s="66">
        <v>0</v>
      </c>
      <c r="F44" s="66">
        <v>-52.2913</v>
      </c>
      <c r="G44" s="66">
        <v>0</v>
      </c>
      <c r="H44" s="66">
        <v>-1.2973600000000001</v>
      </c>
    </row>
    <row r="45" spans="1:8">
      <c r="A45" s="66" t="s">
        <v>397</v>
      </c>
      <c r="B45" s="66">
        <v>53.018599999999999</v>
      </c>
      <c r="C45" s="66">
        <v>5.28348</v>
      </c>
      <c r="D45" s="66">
        <v>9.96533E-2</v>
      </c>
      <c r="E45" s="66">
        <v>0</v>
      </c>
      <c r="F45" s="66">
        <v>35.771700000000003</v>
      </c>
      <c r="G45" s="66">
        <v>0</v>
      </c>
      <c r="H45" s="66">
        <v>63.8581</v>
      </c>
    </row>
    <row r="46" spans="1:8">
      <c r="A46" s="66" t="s">
        <v>398</v>
      </c>
      <c r="B46" s="66">
        <v>26.476500000000001</v>
      </c>
      <c r="C46" s="66">
        <v>6.1897099999999998</v>
      </c>
      <c r="D46" s="66">
        <v>0.23378199999999999</v>
      </c>
      <c r="E46" s="66">
        <v>0</v>
      </c>
      <c r="F46" s="66">
        <v>10.3811</v>
      </c>
      <c r="G46" s="66">
        <v>0</v>
      </c>
      <c r="H46" s="66">
        <v>36.499200000000002</v>
      </c>
    </row>
    <row r="47" spans="1:8">
      <c r="A47" s="66" t="s">
        <v>399</v>
      </c>
      <c r="B47" s="66">
        <v>1.0613699999999999</v>
      </c>
      <c r="C47" s="66">
        <v>0.35525600000000002</v>
      </c>
      <c r="D47" s="66">
        <v>0.33471299999999998</v>
      </c>
      <c r="E47" s="66">
        <v>0</v>
      </c>
      <c r="F47" s="66">
        <v>0.53779999999999994</v>
      </c>
      <c r="G47" s="66">
        <v>0</v>
      </c>
      <c r="H47" s="66">
        <v>2.7870300000000001</v>
      </c>
    </row>
    <row r="48" spans="1:8">
      <c r="A48" s="66" t="s">
        <v>400</v>
      </c>
      <c r="B48" s="66">
        <v>0.62917100000000004</v>
      </c>
      <c r="C48" s="66">
        <v>8.3785600000000002E-2</v>
      </c>
      <c r="D48" s="66">
        <v>0.13316800000000001</v>
      </c>
      <c r="E48" s="66">
        <v>0</v>
      </c>
      <c r="F48" s="66">
        <v>0.50754699999999997</v>
      </c>
      <c r="G48" s="66">
        <v>0</v>
      </c>
      <c r="H48" s="66">
        <v>0.90449800000000002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46.744700000000002</v>
      </c>
      <c r="C5" s="66">
        <v>4.6389899999999997</v>
      </c>
      <c r="D5" s="66">
        <v>9.9241100000000007</v>
      </c>
      <c r="E5" s="66">
        <v>20</v>
      </c>
      <c r="F5" s="66">
        <v>39.823700000000002</v>
      </c>
      <c r="G5" s="66">
        <v>50</v>
      </c>
      <c r="H5" s="66">
        <v>57.764899999999997</v>
      </c>
    </row>
    <row r="6" spans="1:8">
      <c r="A6" s="66" t="s">
        <v>358</v>
      </c>
      <c r="B6" s="66">
        <v>35.904000000000003</v>
      </c>
      <c r="C6" s="66">
        <v>2.1718600000000001</v>
      </c>
      <c r="D6" s="66">
        <v>6.0490700000000004</v>
      </c>
      <c r="E6" s="66">
        <v>20</v>
      </c>
      <c r="F6" s="66">
        <v>33.510800000000003</v>
      </c>
      <c r="G6" s="66">
        <v>40</v>
      </c>
      <c r="H6" s="66">
        <v>42.838700000000003</v>
      </c>
    </row>
    <row r="7" spans="1:8">
      <c r="A7" s="66" t="s">
        <v>359</v>
      </c>
      <c r="B7" s="66">
        <v>28.514700000000001</v>
      </c>
      <c r="C7" s="66">
        <v>4.07477</v>
      </c>
      <c r="D7" s="66">
        <v>14.290100000000001</v>
      </c>
      <c r="E7" s="66">
        <v>15</v>
      </c>
      <c r="F7" s="66">
        <v>18.975000000000001</v>
      </c>
      <c r="G7" s="66">
        <v>40</v>
      </c>
      <c r="H7" s="66">
        <v>39.507599999999996</v>
      </c>
    </row>
    <row r="8" spans="1:8">
      <c r="A8" s="66" t="s">
        <v>360</v>
      </c>
      <c r="B8" s="66">
        <v>37.706299999999999</v>
      </c>
      <c r="C8" s="66">
        <v>1.86954</v>
      </c>
      <c r="D8" s="66">
        <v>4.95817</v>
      </c>
      <c r="E8" s="66">
        <v>20</v>
      </c>
      <c r="F8" s="66">
        <v>34.387300000000003</v>
      </c>
      <c r="G8" s="66">
        <v>50</v>
      </c>
      <c r="H8" s="66">
        <v>41.708300000000001</v>
      </c>
    </row>
    <row r="9" spans="1:8">
      <c r="A9" s="66" t="s">
        <v>361</v>
      </c>
      <c r="B9" s="66">
        <v>60.882199999999997</v>
      </c>
      <c r="C9" s="66">
        <v>3.26248</v>
      </c>
      <c r="D9" s="66">
        <v>5.3586799999999997</v>
      </c>
      <c r="E9" s="66">
        <v>50</v>
      </c>
      <c r="F9" s="66">
        <v>54.107999999999997</v>
      </c>
      <c r="G9" s="66">
        <v>100</v>
      </c>
      <c r="H9" s="66">
        <v>68.064099999999996</v>
      </c>
    </row>
    <row r="10" spans="1:8">
      <c r="A10" s="66" t="s">
        <v>362</v>
      </c>
      <c r="B10" s="66">
        <v>73.408000000000001</v>
      </c>
      <c r="C10" s="66">
        <v>2.56169</v>
      </c>
      <c r="D10" s="66">
        <v>3.4896699999999998</v>
      </c>
      <c r="E10" s="66">
        <v>40</v>
      </c>
      <c r="F10" s="66">
        <v>66.318100000000001</v>
      </c>
      <c r="G10" s="66">
        <v>100</v>
      </c>
      <c r="H10" s="66">
        <v>75.931399999999996</v>
      </c>
    </row>
    <row r="11" spans="1:8">
      <c r="A11" s="66" t="s">
        <v>363</v>
      </c>
      <c r="B11" s="66">
        <v>20.706199999999999</v>
      </c>
      <c r="C11" s="66">
        <v>2.6978200000000001</v>
      </c>
      <c r="D11" s="66">
        <v>13.0291</v>
      </c>
      <c r="E11" s="66">
        <v>10</v>
      </c>
      <c r="F11" s="66">
        <v>17.6282</v>
      </c>
      <c r="G11" s="66">
        <v>50</v>
      </c>
      <c r="H11" s="66">
        <v>26.771999999999998</v>
      </c>
    </row>
    <row r="12" spans="1:8">
      <c r="A12" s="66" t="s">
        <v>364</v>
      </c>
      <c r="B12" s="66">
        <v>66.607200000000006</v>
      </c>
      <c r="C12" s="66">
        <v>1.6612100000000001</v>
      </c>
      <c r="D12" s="66">
        <v>2.49404</v>
      </c>
      <c r="E12" s="66">
        <v>50</v>
      </c>
      <c r="F12" s="66">
        <v>63.536999999999999</v>
      </c>
      <c r="G12" s="66">
        <v>100</v>
      </c>
      <c r="H12" s="66">
        <v>70.5672</v>
      </c>
    </row>
    <row r="13" spans="1:8">
      <c r="A13" s="66" t="s">
        <v>365</v>
      </c>
      <c r="B13" s="66">
        <v>24.1282</v>
      </c>
      <c r="C13" s="66">
        <v>4.1863299999999999</v>
      </c>
      <c r="D13" s="66">
        <v>17.350300000000001</v>
      </c>
      <c r="E13" s="66">
        <v>10</v>
      </c>
      <c r="F13" s="66">
        <v>18.719899999999999</v>
      </c>
      <c r="G13" s="66">
        <v>25</v>
      </c>
      <c r="H13" s="66">
        <v>39.604599999999998</v>
      </c>
    </row>
    <row r="14" spans="1:8">
      <c r="A14" s="66" t="s">
        <v>366</v>
      </c>
      <c r="B14" s="66">
        <v>41.863300000000002</v>
      </c>
      <c r="C14" s="66">
        <v>18.7485</v>
      </c>
      <c r="D14" s="66">
        <v>44.7851</v>
      </c>
      <c r="E14" s="66">
        <v>10</v>
      </c>
      <c r="F14" s="66">
        <v>5.9393799999999999</v>
      </c>
      <c r="G14" s="66">
        <v>50</v>
      </c>
      <c r="H14" s="66">
        <v>56.149000000000001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0.51699799999999996</v>
      </c>
      <c r="C18" s="66">
        <v>8.6453599999999995E-4</v>
      </c>
      <c r="D18" s="66">
        <v>1.6722200000000001E-3</v>
      </c>
      <c r="E18" s="66">
        <v>0</v>
      </c>
      <c r="F18" s="66">
        <v>0.51613299999999995</v>
      </c>
      <c r="G18" s="66">
        <v>0</v>
      </c>
      <c r="H18" s="66">
        <v>0.51786299999999996</v>
      </c>
    </row>
    <row r="19" spans="1:8">
      <c r="A19" s="66" t="s">
        <v>371</v>
      </c>
      <c r="B19" s="66">
        <v>0.65548700000000004</v>
      </c>
      <c r="C19" s="66">
        <v>1.6081999999999999E-2</v>
      </c>
      <c r="D19" s="66">
        <v>2.4534500000000001E-2</v>
      </c>
      <c r="E19" s="66">
        <v>0</v>
      </c>
      <c r="F19" s="66">
        <v>0.639405</v>
      </c>
      <c r="G19" s="66">
        <v>0</v>
      </c>
      <c r="H19" s="66">
        <v>0.67156899999999997</v>
      </c>
    </row>
    <row r="20" spans="1:8">
      <c r="A20" s="66" t="s">
        <v>401</v>
      </c>
      <c r="B20" s="66">
        <v>1.01147E-3</v>
      </c>
      <c r="C20" s="66">
        <v>2.1470699999999999E-2</v>
      </c>
      <c r="D20" s="66">
        <v>21.2271</v>
      </c>
      <c r="E20" s="66">
        <v>0</v>
      </c>
      <c r="F20" s="66">
        <v>0</v>
      </c>
      <c r="G20" s="66">
        <v>0</v>
      </c>
      <c r="H20" s="66">
        <v>0.18430299999999999</v>
      </c>
    </row>
    <row r="21" spans="1:8">
      <c r="A21" s="66" t="s">
        <v>373</v>
      </c>
      <c r="B21" s="66">
        <v>0.18546799999999999</v>
      </c>
      <c r="C21" s="66">
        <v>0.27804000000000001</v>
      </c>
      <c r="D21" s="66">
        <v>1.4991300000000001</v>
      </c>
      <c r="E21" s="66">
        <v>0</v>
      </c>
      <c r="F21" s="66">
        <v>2.11663E-3</v>
      </c>
      <c r="G21" s="66">
        <v>0</v>
      </c>
      <c r="H21" s="66">
        <v>1.32528</v>
      </c>
    </row>
    <row r="22" spans="1:8">
      <c r="A22" s="66" t="s">
        <v>374</v>
      </c>
      <c r="B22" s="66">
        <v>40.781999999999996</v>
      </c>
      <c r="C22" s="66">
        <v>5.7137099999999998</v>
      </c>
      <c r="D22" s="66">
        <v>0.14010400000000001</v>
      </c>
      <c r="E22" s="66">
        <v>0</v>
      </c>
      <c r="F22" s="66">
        <v>28.376200000000001</v>
      </c>
      <c r="G22" s="66">
        <v>0</v>
      </c>
      <c r="H22" s="66">
        <v>55.884900000000002</v>
      </c>
    </row>
    <row r="23" spans="1:8">
      <c r="A23" s="66" t="s">
        <v>375</v>
      </c>
      <c r="B23" s="66">
        <v>19.098400000000002</v>
      </c>
      <c r="C23" s="66">
        <v>1.05593</v>
      </c>
      <c r="D23" s="66">
        <v>5.52886E-2</v>
      </c>
      <c r="E23" s="66">
        <v>0</v>
      </c>
      <c r="F23" s="66">
        <v>17.702200000000001</v>
      </c>
      <c r="G23" s="66">
        <v>0</v>
      </c>
      <c r="H23" s="66">
        <v>21.8781</v>
      </c>
    </row>
    <row r="24" spans="1:8">
      <c r="A24" s="66" t="s">
        <v>402</v>
      </c>
      <c r="B24" s="66">
        <v>1.7780000000000001E-3</v>
      </c>
      <c r="C24" s="66">
        <v>1.18131E-2</v>
      </c>
      <c r="D24" s="66">
        <v>6.6440299999999999</v>
      </c>
      <c r="E24" s="66">
        <v>0</v>
      </c>
      <c r="F24" s="196">
        <v>5.0599200000000002E-5</v>
      </c>
      <c r="G24" s="66">
        <v>0</v>
      </c>
      <c r="H24" s="66">
        <v>5.7310300000000002E-2</v>
      </c>
    </row>
    <row r="25" spans="1:8">
      <c r="A25" s="66" t="s">
        <v>377</v>
      </c>
      <c r="B25" s="66">
        <v>0.27354400000000001</v>
      </c>
      <c r="C25" s="66">
        <v>0.108056</v>
      </c>
      <c r="D25" s="66">
        <v>0.39502199999999998</v>
      </c>
      <c r="E25" s="66">
        <v>0</v>
      </c>
      <c r="F25" s="66">
        <v>8.5094100000000006E-2</v>
      </c>
      <c r="G25" s="66">
        <v>0</v>
      </c>
      <c r="H25" s="66">
        <v>0.54839700000000002</v>
      </c>
    </row>
    <row r="26" spans="1:8">
      <c r="A26" s="66" t="s">
        <v>378</v>
      </c>
      <c r="B26" s="66">
        <v>4.15244E-4</v>
      </c>
      <c r="C26" s="66">
        <v>1.4789899999999999E-3</v>
      </c>
      <c r="D26" s="66">
        <v>3.5617399999999999</v>
      </c>
      <c r="E26" s="66">
        <v>0</v>
      </c>
      <c r="F26" s="66">
        <v>0</v>
      </c>
      <c r="G26" s="66">
        <v>0</v>
      </c>
      <c r="H26" s="66">
        <v>8.8629199999999998E-3</v>
      </c>
    </row>
    <row r="27" spans="1:8">
      <c r="A27" s="66" t="s">
        <v>379</v>
      </c>
      <c r="B27" s="196">
        <v>-9.8476899999999999E-6</v>
      </c>
      <c r="C27" s="66">
        <v>1.01706E-3</v>
      </c>
      <c r="D27" s="66">
        <v>-103.279</v>
      </c>
      <c r="E27" s="66">
        <v>0</v>
      </c>
      <c r="F27" s="66">
        <v>-7.3004200000000002E-3</v>
      </c>
      <c r="G27" s="66">
        <v>0</v>
      </c>
      <c r="H27" s="66">
        <v>7.3201200000000003E-3</v>
      </c>
    </row>
    <row r="28" spans="1:8">
      <c r="A28" s="66" t="s">
        <v>380</v>
      </c>
      <c r="B28" s="66">
        <v>2.31185E-2</v>
      </c>
      <c r="C28" s="66">
        <v>2.5238400000000001E-2</v>
      </c>
      <c r="D28" s="66">
        <v>1.0916999999999999</v>
      </c>
      <c r="E28" s="66">
        <v>0</v>
      </c>
      <c r="F28" s="66">
        <v>7.3567700000000001E-4</v>
      </c>
      <c r="G28" s="66">
        <v>0</v>
      </c>
      <c r="H28" s="66">
        <v>0.10953499999999999</v>
      </c>
    </row>
    <row r="29" spans="1:8">
      <c r="A29" s="66" t="s">
        <v>381</v>
      </c>
      <c r="B29" s="66">
        <v>64.947900000000004</v>
      </c>
      <c r="C29" s="66">
        <v>6.6933299999999996</v>
      </c>
      <c r="D29" s="66">
        <v>0.103057</v>
      </c>
      <c r="E29" s="66">
        <v>0</v>
      </c>
      <c r="F29" s="66">
        <v>48.578499999999998</v>
      </c>
      <c r="G29" s="66">
        <v>0</v>
      </c>
      <c r="H29" s="66">
        <v>80.340400000000002</v>
      </c>
    </row>
    <row r="30" spans="1:8">
      <c r="A30" s="66" t="s">
        <v>382</v>
      </c>
      <c r="B30" s="66">
        <v>26.409300000000002</v>
      </c>
      <c r="C30" s="66">
        <v>1.79854</v>
      </c>
      <c r="D30" s="66">
        <v>6.8102700000000002E-2</v>
      </c>
      <c r="E30" s="66">
        <v>0</v>
      </c>
      <c r="F30" s="66">
        <v>24.229099999999999</v>
      </c>
      <c r="G30" s="66">
        <v>0</v>
      </c>
      <c r="H30" s="66">
        <v>30.727699999999999</v>
      </c>
    </row>
    <row r="31" spans="1:8">
      <c r="A31" s="66" t="s">
        <v>383</v>
      </c>
      <c r="B31" s="66">
        <v>270.036</v>
      </c>
      <c r="C31" s="66">
        <v>20.510400000000001</v>
      </c>
      <c r="D31" s="66">
        <v>7.5953999999999994E-2</v>
      </c>
      <c r="E31" s="66">
        <v>0</v>
      </c>
      <c r="F31" s="66">
        <v>226.59299999999999</v>
      </c>
      <c r="G31" s="66">
        <v>0</v>
      </c>
      <c r="H31" s="66">
        <v>315.01499999999999</v>
      </c>
    </row>
    <row r="32" spans="1:8">
      <c r="A32" s="66" t="s">
        <v>384</v>
      </c>
      <c r="B32" s="66">
        <v>0.28514699999999998</v>
      </c>
      <c r="C32" s="66">
        <v>4.0747699999999998E-2</v>
      </c>
      <c r="D32" s="66">
        <v>0.142901</v>
      </c>
      <c r="E32" s="66">
        <v>0.15</v>
      </c>
      <c r="F32" s="66">
        <v>0.18975</v>
      </c>
      <c r="G32" s="66">
        <v>0.4</v>
      </c>
      <c r="H32" s="66">
        <v>0.39507599999999998</v>
      </c>
    </row>
    <row r="33" spans="1:8">
      <c r="A33" s="66" t="s">
        <v>385</v>
      </c>
      <c r="B33" s="66">
        <v>0.39025500000000002</v>
      </c>
      <c r="C33" s="66">
        <v>1.8728700000000001E-2</v>
      </c>
      <c r="D33" s="66">
        <v>4.7990999999999999E-2</v>
      </c>
      <c r="E33" s="66">
        <v>0</v>
      </c>
      <c r="F33" s="66">
        <v>0.35670400000000002</v>
      </c>
      <c r="G33" s="66">
        <v>0</v>
      </c>
      <c r="H33" s="66">
        <v>0.43790299999999999</v>
      </c>
    </row>
    <row r="34" spans="1:8">
      <c r="A34" s="66" t="s">
        <v>386</v>
      </c>
      <c r="B34" s="66">
        <v>0.241282</v>
      </c>
      <c r="C34" s="66">
        <v>4.1863299999999999E-2</v>
      </c>
      <c r="D34" s="66">
        <v>0.17350299999999999</v>
      </c>
      <c r="E34" s="66">
        <v>0.1</v>
      </c>
      <c r="F34" s="66">
        <v>0.187199</v>
      </c>
      <c r="G34" s="66">
        <v>0.25</v>
      </c>
      <c r="H34" s="66">
        <v>0.39604600000000001</v>
      </c>
    </row>
    <row r="35" spans="1:8">
      <c r="A35" s="66" t="s">
        <v>387</v>
      </c>
      <c r="B35" s="66">
        <v>0.104268</v>
      </c>
      <c r="C35" s="66">
        <v>4.7023299999999997E-2</v>
      </c>
      <c r="D35" s="66">
        <v>0.450986</v>
      </c>
      <c r="E35" s="66">
        <v>0</v>
      </c>
      <c r="F35" s="66">
        <v>2.87595E-2</v>
      </c>
      <c r="G35" s="66">
        <v>0</v>
      </c>
      <c r="H35" s="66">
        <v>0.273642</v>
      </c>
    </row>
    <row r="36" spans="1:8">
      <c r="A36" s="66" t="s">
        <v>388</v>
      </c>
      <c r="B36" s="66">
        <v>0.212448</v>
      </c>
      <c r="C36" s="66">
        <v>0.133771</v>
      </c>
      <c r="D36" s="66">
        <v>0.629664</v>
      </c>
      <c r="E36" s="66">
        <v>0</v>
      </c>
      <c r="F36" s="66">
        <v>3.6835199999999998E-2</v>
      </c>
      <c r="G36" s="66">
        <v>0</v>
      </c>
      <c r="H36" s="66">
        <v>0.886741</v>
      </c>
    </row>
    <row r="37" spans="1:8">
      <c r="A37" s="66" t="s">
        <v>389</v>
      </c>
      <c r="B37" s="66">
        <v>0.41863299999999998</v>
      </c>
      <c r="C37" s="66">
        <v>0.18748500000000001</v>
      </c>
      <c r="D37" s="66">
        <v>0.447851</v>
      </c>
      <c r="E37" s="66">
        <v>0.1</v>
      </c>
      <c r="F37" s="66">
        <v>5.9393799999999997E-2</v>
      </c>
      <c r="G37" s="66">
        <v>0.5</v>
      </c>
      <c r="H37" s="66">
        <v>0.56149000000000004</v>
      </c>
    </row>
    <row r="38" spans="1:8">
      <c r="A38" s="66" t="s">
        <v>390</v>
      </c>
      <c r="B38" s="66">
        <v>-22.503</v>
      </c>
      <c r="C38" s="66">
        <v>61.805700000000002</v>
      </c>
      <c r="D38" s="66">
        <v>-2.7465600000000001</v>
      </c>
      <c r="E38" s="66">
        <v>0</v>
      </c>
      <c r="F38" s="66">
        <v>-117.765</v>
      </c>
      <c r="G38" s="66">
        <v>0</v>
      </c>
      <c r="H38" s="66">
        <v>344.59399999999999</v>
      </c>
    </row>
    <row r="39" spans="1:8">
      <c r="A39" s="66" t="s">
        <v>391</v>
      </c>
      <c r="B39" s="66">
        <v>-8.9017199999999992</v>
      </c>
      <c r="C39" s="66">
        <v>4.7826700000000004</v>
      </c>
      <c r="D39" s="66">
        <v>-0.53727499999999995</v>
      </c>
      <c r="E39" s="66">
        <v>0</v>
      </c>
      <c r="F39" s="66">
        <v>-17.132000000000001</v>
      </c>
      <c r="G39" s="66">
        <v>0</v>
      </c>
      <c r="H39" s="66">
        <v>15.570499999999999</v>
      </c>
    </row>
    <row r="40" spans="1:8">
      <c r="A40" s="66" t="s">
        <v>392</v>
      </c>
      <c r="B40" s="66">
        <v>-5.39846</v>
      </c>
      <c r="C40" s="66">
        <v>0.34128900000000001</v>
      </c>
      <c r="D40" s="66">
        <v>-6.3219700000000004E-2</v>
      </c>
      <c r="E40" s="66">
        <v>0</v>
      </c>
      <c r="F40" s="66">
        <v>-6.0883799999999999</v>
      </c>
      <c r="G40" s="66">
        <v>0</v>
      </c>
      <c r="H40" s="66">
        <v>-4.5983299999999998</v>
      </c>
    </row>
    <row r="41" spans="1:8">
      <c r="A41" s="66" t="s">
        <v>393</v>
      </c>
      <c r="B41" s="66">
        <v>-0.170575</v>
      </c>
      <c r="C41" s="66">
        <v>0.31070700000000001</v>
      </c>
      <c r="D41" s="66">
        <v>-1.8215300000000001</v>
      </c>
      <c r="E41" s="66">
        <v>0</v>
      </c>
      <c r="F41" s="66">
        <v>-0.85507200000000005</v>
      </c>
      <c r="G41" s="66">
        <v>0</v>
      </c>
      <c r="H41" s="66">
        <v>0.89189200000000002</v>
      </c>
    </row>
    <row r="42" spans="1:8">
      <c r="A42" s="66" t="s">
        <v>394</v>
      </c>
      <c r="B42" s="66">
        <v>-0.14377799999999999</v>
      </c>
      <c r="C42" s="66">
        <v>7.88687E-2</v>
      </c>
      <c r="D42" s="66">
        <v>-0.54854499999999995</v>
      </c>
      <c r="E42" s="66">
        <v>0</v>
      </c>
      <c r="F42" s="66">
        <v>-0.27478000000000002</v>
      </c>
      <c r="G42" s="66">
        <v>0</v>
      </c>
      <c r="H42" s="66">
        <v>0.246917</v>
      </c>
    </row>
    <row r="43" spans="1:8">
      <c r="A43" s="66" t="s">
        <v>395</v>
      </c>
      <c r="B43" s="66">
        <v>-0.14005600000000001</v>
      </c>
      <c r="C43" s="66">
        <v>1.64271E-2</v>
      </c>
      <c r="D43" s="66">
        <v>-0.117289</v>
      </c>
      <c r="E43" s="66">
        <v>0</v>
      </c>
      <c r="F43" s="66">
        <v>-0.180288</v>
      </c>
      <c r="G43" s="66">
        <v>0</v>
      </c>
      <c r="H43" s="66">
        <v>-0.102354</v>
      </c>
    </row>
    <row r="44" spans="1:8">
      <c r="A44" s="66" t="s">
        <v>396</v>
      </c>
      <c r="B44" s="66">
        <v>-60.746200000000002</v>
      </c>
      <c r="C44" s="66">
        <v>7.32667</v>
      </c>
      <c r="D44" s="66">
        <v>-0.120611</v>
      </c>
      <c r="E44" s="66">
        <v>0</v>
      </c>
      <c r="F44" s="66">
        <v>-76.334100000000007</v>
      </c>
      <c r="G44" s="66">
        <v>0</v>
      </c>
      <c r="H44" s="66">
        <v>-38.890500000000003</v>
      </c>
    </row>
    <row r="45" spans="1:8">
      <c r="A45" s="66" t="s">
        <v>397</v>
      </c>
      <c r="B45" s="66">
        <v>53.439100000000003</v>
      </c>
      <c r="C45" s="66">
        <v>6.7635300000000003</v>
      </c>
      <c r="D45" s="66">
        <v>0.12656500000000001</v>
      </c>
      <c r="E45" s="66">
        <v>0</v>
      </c>
      <c r="F45" s="66">
        <v>36.932200000000002</v>
      </c>
      <c r="G45" s="66">
        <v>0</v>
      </c>
      <c r="H45" s="66">
        <v>69.386099999999999</v>
      </c>
    </row>
    <row r="46" spans="1:8">
      <c r="A46" s="66" t="s">
        <v>398</v>
      </c>
      <c r="B46" s="66">
        <v>35.488399999999999</v>
      </c>
      <c r="C46" s="66">
        <v>2.6763599999999999</v>
      </c>
      <c r="D46" s="66">
        <v>7.5415099999999999E-2</v>
      </c>
      <c r="E46" s="66">
        <v>0</v>
      </c>
      <c r="F46" s="66">
        <v>30.667100000000001</v>
      </c>
      <c r="G46" s="66">
        <v>0</v>
      </c>
      <c r="H46" s="66">
        <v>39.266100000000002</v>
      </c>
    </row>
    <row r="47" spans="1:8">
      <c r="A47" s="66" t="s">
        <v>399</v>
      </c>
      <c r="B47" s="66">
        <v>1.04834</v>
      </c>
      <c r="C47" s="66">
        <v>0.29531000000000002</v>
      </c>
      <c r="D47" s="66">
        <v>0.28169100000000002</v>
      </c>
      <c r="E47" s="66">
        <v>0</v>
      </c>
      <c r="F47" s="66">
        <v>0.56581099999999995</v>
      </c>
      <c r="G47" s="66">
        <v>0</v>
      </c>
      <c r="H47" s="66">
        <v>2.0342199999999999</v>
      </c>
    </row>
    <row r="48" spans="1:8">
      <c r="A48" s="66" t="s">
        <v>400</v>
      </c>
      <c r="B48" s="66">
        <v>0.77664800000000001</v>
      </c>
      <c r="C48" s="66">
        <v>9.8632700000000004E-2</v>
      </c>
      <c r="D48" s="66">
        <v>0.126998</v>
      </c>
      <c r="E48" s="66">
        <v>0</v>
      </c>
      <c r="F48" s="66">
        <v>0.65366299999999999</v>
      </c>
      <c r="G48" s="66">
        <v>0</v>
      </c>
      <c r="H48" s="66">
        <v>1.06216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80.589084304753527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1.5559729551249668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0.68077423892555811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1726</v>
      </c>
      <c r="B8" s="66">
        <v>1726</v>
      </c>
      <c r="D8">
        <f t="shared" si="0"/>
        <v>1.2485532407407407E-2</v>
      </c>
      <c r="E8">
        <f t="shared" si="0"/>
        <v>1.2485532407407407E-2</v>
      </c>
      <c r="G8">
        <f t="shared" ca="1" si="1"/>
        <v>6</v>
      </c>
      <c r="H8">
        <f t="shared" ca="1" si="2"/>
        <v>7.4913194444444442E-2</v>
      </c>
      <c r="I8">
        <f t="shared" ca="1" si="3"/>
        <v>69.463652810689609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2507</v>
      </c>
      <c r="B10" s="66">
        <v>2507</v>
      </c>
      <c r="D10">
        <f t="shared" si="0"/>
        <v>1.8135127314814814E-2</v>
      </c>
      <c r="E10">
        <f t="shared" si="0"/>
        <v>1.8135127314814814E-2</v>
      </c>
      <c r="G10">
        <f t="shared" ca="1" si="1"/>
        <v>8</v>
      </c>
      <c r="H10">
        <f t="shared" ca="1" si="2"/>
        <v>0.14508101851851851</v>
      </c>
      <c r="I10">
        <f t="shared" ca="1" si="3"/>
        <v>95.557162374334169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4676</v>
      </c>
      <c r="B13" s="66">
        <v>4676</v>
      </c>
      <c r="D13">
        <f t="shared" si="0"/>
        <v>3.3825231481481484E-2</v>
      </c>
      <c r="E13">
        <f t="shared" si="0"/>
        <v>3.3825231481481484E-2</v>
      </c>
      <c r="G13">
        <f t="shared" ca="1" si="1"/>
        <v>11</v>
      </c>
      <c r="H13">
        <f t="shared" ca="1" si="2"/>
        <v>0.3720775462962963</v>
      </c>
      <c r="I13">
        <f t="shared" ca="1" si="3"/>
        <v>163.8034411158367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10899</v>
      </c>
      <c r="B15" s="66">
        <v>10899</v>
      </c>
      <c r="D15">
        <f t="shared" si="0"/>
        <v>7.8841145833333334E-2</v>
      </c>
      <c r="E15">
        <f t="shared" si="0"/>
        <v>7.8841145833333334E-2</v>
      </c>
      <c r="G15">
        <f t="shared" ca="1" si="1"/>
        <v>13</v>
      </c>
      <c r="H15">
        <f t="shared" ca="1" si="2"/>
        <v>1.0249348958333333</v>
      </c>
      <c r="I15">
        <f t="shared" ca="1" si="3"/>
        <v>360.16877005695318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13709</v>
      </c>
      <c r="B18" s="66">
        <v>13709</v>
      </c>
      <c r="D18">
        <f t="shared" si="0"/>
        <v>9.9168113425925922E-2</v>
      </c>
      <c r="E18">
        <f t="shared" si="0"/>
        <v>9.9168113425925922E-2</v>
      </c>
      <c r="G18">
        <f t="shared" ca="1" si="1"/>
        <v>16</v>
      </c>
      <c r="H18">
        <f t="shared" ca="1" si="2"/>
        <v>1.5866898148148147</v>
      </c>
      <c r="I18">
        <f t="shared" ca="1" si="3"/>
        <v>413.70455847421721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18421</v>
      </c>
      <c r="B21" s="66">
        <v>18421</v>
      </c>
      <c r="D21">
        <f t="shared" si="0"/>
        <v>0.13325376157407406</v>
      </c>
      <c r="E21">
        <f t="shared" si="0"/>
        <v>0.13325376157407406</v>
      </c>
      <c r="G21">
        <f t="shared" ca="1" si="1"/>
        <v>19</v>
      </c>
      <c r="H21">
        <f t="shared" ca="1" si="2"/>
        <v>2.5318214699074071</v>
      </c>
      <c r="I21">
        <f t="shared" ca="1" si="3"/>
        <v>505.46020791796394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24655</v>
      </c>
      <c r="B23" s="66">
        <v>24655</v>
      </c>
      <c r="D23">
        <f t="shared" si="0"/>
        <v>0.17834924768518517</v>
      </c>
      <c r="E23">
        <f t="shared" si="0"/>
        <v>0.17834924768518517</v>
      </c>
      <c r="G23">
        <f t="shared" ca="1" si="1"/>
        <v>21</v>
      </c>
      <c r="H23">
        <f t="shared" ca="1" si="2"/>
        <v>3.7453342013888888</v>
      </c>
      <c r="I23">
        <f t="shared" ca="1" si="3"/>
        <v>633.2930256287566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41204</v>
      </c>
      <c r="B26" s="66">
        <v>41204</v>
      </c>
      <c r="D26">
        <f t="shared" si="0"/>
        <v>0.29806134259259259</v>
      </c>
      <c r="E26">
        <f t="shared" si="0"/>
        <v>0.29806134259259259</v>
      </c>
      <c r="G26">
        <f t="shared" ca="1" si="1"/>
        <v>24</v>
      </c>
      <c r="H26">
        <f t="shared" ca="1" si="2"/>
        <v>7.1534722222222218</v>
      </c>
      <c r="I26">
        <f t="shared" ca="1" si="3"/>
        <v>954.489128695099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69239</v>
      </c>
      <c r="B28" s="66">
        <v>69239</v>
      </c>
      <c r="D28">
        <f t="shared" si="0"/>
        <v>0.50086082175925928</v>
      </c>
      <c r="E28">
        <f t="shared" si="0"/>
        <v>0.50086082175925928</v>
      </c>
      <c r="G28">
        <f t="shared" ca="1" si="1"/>
        <v>26</v>
      </c>
      <c r="H28">
        <f t="shared" ca="1" si="2"/>
        <v>13.022381365740742</v>
      </c>
      <c r="I28">
        <f t="shared" ca="1" si="3"/>
        <v>1492.5492840198422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95166</v>
      </c>
      <c r="B31" s="66">
        <v>95166</v>
      </c>
      <c r="D31">
        <f t="shared" si="0"/>
        <v>0.68841145833333328</v>
      </c>
      <c r="E31">
        <f t="shared" si="0"/>
        <v>0.68841145833333328</v>
      </c>
      <c r="G31">
        <f t="shared" ca="1" si="1"/>
        <v>29</v>
      </c>
      <c r="H31">
        <f t="shared" ca="1" si="2"/>
        <v>19.963932291666666</v>
      </c>
      <c r="I31">
        <f t="shared" ca="1" si="3"/>
        <v>1832.1613991905576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100340</v>
      </c>
      <c r="B33" s="66">
        <v>100340</v>
      </c>
      <c r="D33">
        <f t="shared" si="0"/>
        <v>0.72583912037037035</v>
      </c>
      <c r="E33">
        <f t="shared" si="0"/>
        <v>0.72583912037037035</v>
      </c>
      <c r="G33">
        <f t="shared" ca="1" si="1"/>
        <v>31</v>
      </c>
      <c r="H33">
        <f t="shared" ca="1" si="2"/>
        <v>22.501012731481481</v>
      </c>
      <c r="I33">
        <f t="shared" ca="1" si="3"/>
        <v>1784.8944914231613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111110</v>
      </c>
      <c r="B36" s="66">
        <v>111110</v>
      </c>
      <c r="D36">
        <f t="shared" si="0"/>
        <v>0.80374710648148151</v>
      </c>
      <c r="E36">
        <f t="shared" si="0"/>
        <v>0.80374710648148151</v>
      </c>
      <c r="G36">
        <f t="shared" ca="1" si="1"/>
        <v>34</v>
      </c>
      <c r="H36">
        <f t="shared" ca="1" si="2"/>
        <v>27.32740162037037</v>
      </c>
      <c r="I36">
        <f t="shared" ca="1" si="3"/>
        <v>1744.5674759899593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119631</v>
      </c>
      <c r="B39" s="66">
        <v>119631</v>
      </c>
      <c r="D39">
        <f t="shared" si="0"/>
        <v>0.86538628472222223</v>
      </c>
      <c r="E39">
        <f t="shared" si="0"/>
        <v>0.86538628472222223</v>
      </c>
      <c r="G39">
        <f t="shared" ca="1" si="1"/>
        <v>37</v>
      </c>
      <c r="H39">
        <f t="shared" ca="1" si="2"/>
        <v>32.019292534722226</v>
      </c>
      <c r="I39">
        <f t="shared" ca="1" si="3"/>
        <v>1644.2410981727778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121502</v>
      </c>
      <c r="B41" s="66">
        <v>121502</v>
      </c>
      <c r="D41">
        <f t="shared" si="0"/>
        <v>0.8789207175925926</v>
      </c>
      <c r="E41">
        <f t="shared" si="0"/>
        <v>0.8789207175925926</v>
      </c>
      <c r="G41">
        <f t="shared" ca="1" si="1"/>
        <v>39</v>
      </c>
      <c r="H41">
        <f t="shared" ca="1" si="2"/>
        <v>34.27790798611111</v>
      </c>
      <c r="I41">
        <f t="shared" ca="1" si="3"/>
        <v>1520.2269184083912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118562</v>
      </c>
      <c r="B44" s="66">
        <v>118562</v>
      </c>
      <c r="D44">
        <f t="shared" si="0"/>
        <v>0.85765335648148144</v>
      </c>
      <c r="E44">
        <f t="shared" si="0"/>
        <v>0.85765335648148144</v>
      </c>
      <c r="G44">
        <f t="shared" ca="1" si="1"/>
        <v>42</v>
      </c>
      <c r="H44">
        <f t="shared" ca="1" si="2"/>
        <v>36.021440972222223</v>
      </c>
      <c r="I44">
        <f t="shared" ca="1" si="3"/>
        <v>1277.146559872755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119436</v>
      </c>
      <c r="B46" s="66">
        <v>119436</v>
      </c>
      <c r="D46">
        <f t="shared" si="0"/>
        <v>0.86397569444444444</v>
      </c>
      <c r="E46">
        <f t="shared" si="0"/>
        <v>0.86397569444444444</v>
      </c>
      <c r="G46">
        <f t="shared" ca="1" si="1"/>
        <v>44</v>
      </c>
      <c r="H46">
        <f t="shared" ca="1" si="2"/>
        <v>38.014930555555559</v>
      </c>
      <c r="I46">
        <f t="shared" ca="1" si="3"/>
        <v>1156.6570426528967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126252</v>
      </c>
      <c r="B49" s="66">
        <v>126252</v>
      </c>
      <c r="D49">
        <f t="shared" si="0"/>
        <v>0.91328125000000004</v>
      </c>
      <c r="E49">
        <f t="shared" si="0"/>
        <v>0.91328125000000004</v>
      </c>
      <c r="G49">
        <f t="shared" ca="1" si="1"/>
        <v>47</v>
      </c>
      <c r="H49">
        <f t="shared" ca="1" si="2"/>
        <v>42.924218750000001</v>
      </c>
      <c r="I49">
        <f t="shared" ca="1" si="3"/>
        <v>1030.3881853131411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129812</v>
      </c>
      <c r="B51" s="66">
        <v>129812</v>
      </c>
      <c r="D51">
        <f t="shared" si="0"/>
        <v>0.93903356481481481</v>
      </c>
      <c r="E51">
        <f t="shared" si="0"/>
        <v>0.93903356481481481</v>
      </c>
      <c r="G51">
        <f t="shared" ca="1" si="1"/>
        <v>49</v>
      </c>
      <c r="H51">
        <f t="shared" ca="1" si="2"/>
        <v>46.012644675925927</v>
      </c>
      <c r="I51">
        <f t="shared" ca="1" si="3"/>
        <v>937.03365546290013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132613</v>
      </c>
      <c r="B54" s="66">
        <v>132613</v>
      </c>
      <c r="D54">
        <f t="shared" si="0"/>
        <v>0.95929542824074077</v>
      </c>
      <c r="E54">
        <f t="shared" si="0"/>
        <v>0.95929542824074077</v>
      </c>
      <c r="G54">
        <f t="shared" ca="1" si="1"/>
        <v>52</v>
      </c>
      <c r="H54">
        <f t="shared" ca="1" si="2"/>
        <v>49.883362268518518</v>
      </c>
      <c r="I54">
        <f t="shared" ca="1" si="3"/>
        <v>784.06644004771965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131632</v>
      </c>
      <c r="B57" s="66">
        <v>131632</v>
      </c>
      <c r="D57">
        <f t="shared" si="0"/>
        <v>0.95219907407407411</v>
      </c>
      <c r="E57">
        <f t="shared" si="0"/>
        <v>0.95219907407407411</v>
      </c>
      <c r="G57">
        <f t="shared" ca="1" si="1"/>
        <v>55</v>
      </c>
      <c r="H57">
        <f t="shared" ca="1" si="2"/>
        <v>52.370949074074076</v>
      </c>
      <c r="I57">
        <f t="shared" ca="1" si="3"/>
        <v>623.50113019877654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131118</v>
      </c>
      <c r="B59" s="66">
        <v>131118</v>
      </c>
      <c r="D59">
        <f t="shared" si="0"/>
        <v>0.94848090277777775</v>
      </c>
      <c r="E59">
        <f t="shared" si="0"/>
        <v>0.94848090277777775</v>
      </c>
      <c r="G59">
        <f t="shared" ca="1" si="1"/>
        <v>57</v>
      </c>
      <c r="H59">
        <f t="shared" ca="1" si="2"/>
        <v>54.063411458333334</v>
      </c>
      <c r="I59">
        <f t="shared" ca="1" si="3"/>
        <v>527.77735952054752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127501</v>
      </c>
      <c r="B62" s="66">
        <v>127501</v>
      </c>
      <c r="D62">
        <f t="shared" si="0"/>
        <v>0.92231626157407409</v>
      </c>
      <c r="E62">
        <f t="shared" si="0"/>
        <v>0.92231626157407409</v>
      </c>
      <c r="G62">
        <f t="shared" ca="1" si="1"/>
        <v>60</v>
      </c>
      <c r="H62">
        <f t="shared" ca="1" si="2"/>
        <v>55.338975694444443</v>
      </c>
      <c r="I62">
        <f t="shared" ca="1" si="3"/>
        <v>390.97944846060574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125198</v>
      </c>
      <c r="B64" s="66">
        <v>125198</v>
      </c>
      <c r="D64">
        <f t="shared" si="0"/>
        <v>0.90565682870370368</v>
      </c>
      <c r="E64">
        <f t="shared" si="0"/>
        <v>0.90565682870370368</v>
      </c>
      <c r="G64">
        <f t="shared" ca="1" si="1"/>
        <v>62</v>
      </c>
      <c r="H64">
        <f t="shared" ca="1" si="2"/>
        <v>56.150723379629625</v>
      </c>
      <c r="I64">
        <f t="shared" ca="1" si="3"/>
        <v>312.95338985895188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125153</v>
      </c>
      <c r="B67" s="66">
        <v>125153</v>
      </c>
      <c r="D67">
        <f t="shared" ref="D67:E130" si="4">IFERROR( A67/MAX(A$2:A$257), 0 )</f>
        <v>0.90533130787037042</v>
      </c>
      <c r="E67">
        <f t="shared" si="4"/>
        <v>0.90533130787037042</v>
      </c>
      <c r="G67">
        <f t="shared" ref="G67:G130" ca="1" si="5">CELL("row",D67)-2</f>
        <v>65</v>
      </c>
      <c r="H67">
        <f t="shared" ref="H67:H130" ca="1" si="6">D67*G67</f>
        <v>58.846535011574076</v>
      </c>
      <c r="I67">
        <f t="shared" ref="I67:I130" ca="1" si="7">D67*((G67-$L$1)^2)</f>
        <v>220.01320655133526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138240</v>
      </c>
      <c r="B69" s="66">
        <v>138240</v>
      </c>
      <c r="D69">
        <f t="shared" si="4"/>
        <v>1</v>
      </c>
      <c r="E69">
        <f t="shared" si="4"/>
        <v>1</v>
      </c>
      <c r="G69">
        <f t="shared" ca="1" si="5"/>
        <v>67</v>
      </c>
      <c r="H69">
        <f t="shared" ca="1" si="6"/>
        <v>67</v>
      </c>
      <c r="I69">
        <f t="shared" ca="1" si="7"/>
        <v>184.66321224169866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129271</v>
      </c>
      <c r="B72" s="66">
        <v>129271</v>
      </c>
      <c r="D72">
        <f t="shared" si="4"/>
        <v>0.93512008101851851</v>
      </c>
      <c r="E72">
        <f t="shared" si="4"/>
        <v>0.93512008101851851</v>
      </c>
      <c r="G72">
        <f t="shared" ca="1" si="5"/>
        <v>70</v>
      </c>
      <c r="H72">
        <f t="shared" ca="1" si="6"/>
        <v>65.458405671296291</v>
      </c>
      <c r="I72">
        <f t="shared" ca="1" si="7"/>
        <v>104.85380502559221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132470</v>
      </c>
      <c r="B75" s="66">
        <v>132470</v>
      </c>
      <c r="D75">
        <f t="shared" si="4"/>
        <v>0.95826099537037035</v>
      </c>
      <c r="E75">
        <f t="shared" si="4"/>
        <v>0.95826099537037035</v>
      </c>
      <c r="G75">
        <f t="shared" ca="1" si="5"/>
        <v>73</v>
      </c>
      <c r="H75">
        <f t="shared" ca="1" si="6"/>
        <v>69.953052662037038</v>
      </c>
      <c r="I75">
        <f t="shared" ca="1" si="7"/>
        <v>55.190275979813535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129502</v>
      </c>
      <c r="B77" s="66">
        <v>129502</v>
      </c>
      <c r="D77">
        <f t="shared" si="4"/>
        <v>0.93679108796296295</v>
      </c>
      <c r="E77">
        <f t="shared" si="4"/>
        <v>0.93679108796296295</v>
      </c>
      <c r="G77">
        <f t="shared" ca="1" si="5"/>
        <v>75</v>
      </c>
      <c r="H77">
        <f t="shared" ca="1" si="6"/>
        <v>70.259331597222229</v>
      </c>
      <c r="I77">
        <f t="shared" ca="1" si="7"/>
        <v>29.263352007938355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125448</v>
      </c>
      <c r="B80" s="66">
        <v>125448</v>
      </c>
      <c r="D80">
        <f t="shared" si="4"/>
        <v>0.90746527777777775</v>
      </c>
      <c r="E80">
        <f t="shared" si="4"/>
        <v>0.90746527777777775</v>
      </c>
      <c r="G80">
        <f t="shared" ca="1" si="5"/>
        <v>78</v>
      </c>
      <c r="H80">
        <f t="shared" ca="1" si="6"/>
        <v>70.782291666666666</v>
      </c>
      <c r="I80">
        <f t="shared" ca="1" si="7"/>
        <v>6.0830642094673184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121701</v>
      </c>
      <c r="B82" s="66">
        <v>121701</v>
      </c>
      <c r="D82">
        <f t="shared" si="4"/>
        <v>0.8803602430555556</v>
      </c>
      <c r="E82">
        <f t="shared" si="4"/>
        <v>0.8803602430555556</v>
      </c>
      <c r="G82">
        <f t="shared" ca="1" si="5"/>
        <v>80</v>
      </c>
      <c r="H82">
        <f t="shared" ca="1" si="6"/>
        <v>70.428819444444443</v>
      </c>
      <c r="I82">
        <f t="shared" ca="1" si="7"/>
        <v>0.30550289159384747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129542</v>
      </c>
      <c r="B85" s="66">
        <v>129542</v>
      </c>
      <c r="D85">
        <f t="shared" si="4"/>
        <v>0.93708043981481481</v>
      </c>
      <c r="E85">
        <f t="shared" si="4"/>
        <v>0.93708043981481481</v>
      </c>
      <c r="G85">
        <f t="shared" ca="1" si="5"/>
        <v>83</v>
      </c>
      <c r="H85">
        <f t="shared" ca="1" si="6"/>
        <v>77.777676504629625</v>
      </c>
      <c r="I85">
        <f t="shared" ca="1" si="7"/>
        <v>5.4467936343310308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123631</v>
      </c>
      <c r="B88" s="66">
        <v>123631</v>
      </c>
      <c r="D88">
        <f t="shared" si="4"/>
        <v>0.89432146990740746</v>
      </c>
      <c r="E88">
        <f t="shared" si="4"/>
        <v>0.89432146990740746</v>
      </c>
      <c r="G88">
        <f t="shared" ca="1" si="5"/>
        <v>86</v>
      </c>
      <c r="H88">
        <f t="shared" ca="1" si="6"/>
        <v>76.911646412037044</v>
      </c>
      <c r="I88">
        <f t="shared" ca="1" si="7"/>
        <v>26.183951741725117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117945</v>
      </c>
      <c r="B90" s="66">
        <v>117945</v>
      </c>
      <c r="D90">
        <f t="shared" si="4"/>
        <v>0.85319010416666663</v>
      </c>
      <c r="E90">
        <f t="shared" si="4"/>
        <v>0.85319010416666663</v>
      </c>
      <c r="G90">
        <f t="shared" ca="1" si="5"/>
        <v>88</v>
      </c>
      <c r="H90">
        <f t="shared" ca="1" si="6"/>
        <v>75.080729166666657</v>
      </c>
      <c r="I90">
        <f t="shared" ca="1" si="7"/>
        <v>46.858626578650522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126290</v>
      </c>
      <c r="B93" s="66">
        <v>126290</v>
      </c>
      <c r="D93">
        <f t="shared" si="4"/>
        <v>0.9135561342592593</v>
      </c>
      <c r="E93">
        <f t="shared" si="4"/>
        <v>0.9135561342592593</v>
      </c>
      <c r="G93">
        <f t="shared" ca="1" si="5"/>
        <v>91</v>
      </c>
      <c r="H93">
        <f t="shared" ca="1" si="6"/>
        <v>83.133608217592595</v>
      </c>
      <c r="I93">
        <f t="shared" ca="1" si="7"/>
        <v>99.017760021213988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122965</v>
      </c>
      <c r="B95" s="66">
        <v>122965</v>
      </c>
      <c r="D95">
        <f t="shared" si="4"/>
        <v>0.88950376157407407</v>
      </c>
      <c r="E95">
        <f t="shared" si="4"/>
        <v>0.88950376157407407</v>
      </c>
      <c r="G95">
        <f t="shared" ca="1" si="5"/>
        <v>93</v>
      </c>
      <c r="H95">
        <f t="shared" ca="1" si="6"/>
        <v>82.723849826388886</v>
      </c>
      <c r="I95">
        <f t="shared" ca="1" si="7"/>
        <v>137.011001255292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124906</v>
      </c>
      <c r="B98" s="66">
        <v>124906</v>
      </c>
      <c r="D98">
        <f t="shared" si="4"/>
        <v>0.90354456018518514</v>
      </c>
      <c r="E98">
        <f t="shared" si="4"/>
        <v>0.90354456018518514</v>
      </c>
      <c r="G98">
        <f t="shared" ca="1" si="5"/>
        <v>96</v>
      </c>
      <c r="H98">
        <f t="shared" ca="1" si="6"/>
        <v>86.740277777777777</v>
      </c>
      <c r="I98">
        <f t="shared" ca="1" si="7"/>
        <v>214.58851031848999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118894</v>
      </c>
      <c r="B100" s="66">
        <v>118894</v>
      </c>
      <c r="D100">
        <f t="shared" si="4"/>
        <v>0.86005497685185184</v>
      </c>
      <c r="E100">
        <f t="shared" si="4"/>
        <v>0.86005497685185184</v>
      </c>
      <c r="G100">
        <f t="shared" ca="1" si="5"/>
        <v>98</v>
      </c>
      <c r="H100">
        <f t="shared" ca="1" si="6"/>
        <v>84.285387731481478</v>
      </c>
      <c r="I100">
        <f t="shared" ca="1" si="7"/>
        <v>260.71705308046756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111921</v>
      </c>
      <c r="B103" s="66">
        <v>111921</v>
      </c>
      <c r="D103">
        <f t="shared" si="4"/>
        <v>0.80961371527777781</v>
      </c>
      <c r="E103">
        <f t="shared" si="4"/>
        <v>0.80961371527777781</v>
      </c>
      <c r="G103">
        <f t="shared" ca="1" si="5"/>
        <v>101</v>
      </c>
      <c r="H103">
        <f t="shared" ca="1" si="6"/>
        <v>81.770985243055563</v>
      </c>
      <c r="I103">
        <f t="shared" ca="1" si="7"/>
        <v>337.28951007801959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105697</v>
      </c>
      <c r="B106" s="66">
        <v>105697</v>
      </c>
      <c r="D106">
        <f t="shared" si="4"/>
        <v>0.76459056712962958</v>
      </c>
      <c r="E106">
        <f t="shared" si="4"/>
        <v>0.76459056712962958</v>
      </c>
      <c r="G106">
        <f t="shared" ca="1" si="5"/>
        <v>104</v>
      </c>
      <c r="H106">
        <f t="shared" ca="1" si="6"/>
        <v>79.517418981481484</v>
      </c>
      <c r="I106">
        <f t="shared" ca="1" si="7"/>
        <v>419.04989660087773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106697</v>
      </c>
      <c r="B108" s="66">
        <v>106697</v>
      </c>
      <c r="D108">
        <f t="shared" si="4"/>
        <v>0.77182436342592597</v>
      </c>
      <c r="E108">
        <f t="shared" si="4"/>
        <v>0.77182436342592597</v>
      </c>
      <c r="G108">
        <f t="shared" ca="1" si="5"/>
        <v>106</v>
      </c>
      <c r="H108">
        <f t="shared" ca="1" si="6"/>
        <v>81.81338252314815</v>
      </c>
      <c r="I108">
        <f t="shared" ca="1" si="7"/>
        <v>498.37828824897377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96892</v>
      </c>
      <c r="B111" s="66">
        <v>96892</v>
      </c>
      <c r="D111">
        <f t="shared" si="4"/>
        <v>0.70089699074074074</v>
      </c>
      <c r="E111">
        <f t="shared" si="4"/>
        <v>0.70089699074074074</v>
      </c>
      <c r="G111">
        <f t="shared" ca="1" si="5"/>
        <v>109</v>
      </c>
      <c r="H111">
        <f t="shared" ca="1" si="6"/>
        <v>76.397771990740736</v>
      </c>
      <c r="I111">
        <f t="shared" ca="1" si="7"/>
        <v>565.75012455297781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87275</v>
      </c>
      <c r="B113" s="66">
        <v>87275</v>
      </c>
      <c r="D113">
        <f t="shared" si="4"/>
        <v>0.6313295717592593</v>
      </c>
      <c r="E113">
        <f t="shared" si="4"/>
        <v>0.6313295717592593</v>
      </c>
      <c r="G113">
        <f t="shared" ca="1" si="5"/>
        <v>111</v>
      </c>
      <c r="H113">
        <f t="shared" ca="1" si="6"/>
        <v>70.077582465277786</v>
      </c>
      <c r="I113">
        <f t="shared" ca="1" si="7"/>
        <v>583.86860945476133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87124</v>
      </c>
      <c r="B116" s="66">
        <v>87124</v>
      </c>
      <c r="D116">
        <f t="shared" si="4"/>
        <v>0.63023726851851847</v>
      </c>
      <c r="E116">
        <f t="shared" si="4"/>
        <v>0.63023726851851847</v>
      </c>
      <c r="G116">
        <f t="shared" ca="1" si="5"/>
        <v>114</v>
      </c>
      <c r="H116">
        <f t="shared" ca="1" si="6"/>
        <v>71.847048611111106</v>
      </c>
      <c r="I116">
        <f t="shared" ca="1" si="7"/>
        <v>703.52711149027198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76841</v>
      </c>
      <c r="B118" s="66">
        <v>76841</v>
      </c>
      <c r="D118">
        <f t="shared" si="4"/>
        <v>0.55585214120370374</v>
      </c>
      <c r="E118">
        <f t="shared" si="4"/>
        <v>0.55585214120370374</v>
      </c>
      <c r="G118">
        <f t="shared" ca="1" si="5"/>
        <v>116</v>
      </c>
      <c r="H118">
        <f t="shared" ca="1" si="6"/>
        <v>64.478848379629639</v>
      </c>
      <c r="I118">
        <f t="shared" ca="1" si="7"/>
        <v>697.0013153922954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72781</v>
      </c>
      <c r="B121" s="66">
        <v>72781</v>
      </c>
      <c r="D121">
        <f t="shared" si="4"/>
        <v>0.52648292824074072</v>
      </c>
      <c r="E121">
        <f t="shared" si="4"/>
        <v>0.52648292824074072</v>
      </c>
      <c r="G121">
        <f t="shared" ca="1" si="5"/>
        <v>119</v>
      </c>
      <c r="H121">
        <f t="shared" ca="1" si="6"/>
        <v>62.651468460648147</v>
      </c>
      <c r="I121">
        <f t="shared" ca="1" si="7"/>
        <v>776.7720934071134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64184</v>
      </c>
      <c r="B124" s="66">
        <v>64184</v>
      </c>
      <c r="D124">
        <f t="shared" si="4"/>
        <v>0.46429398148148149</v>
      </c>
      <c r="E124">
        <f t="shared" si="4"/>
        <v>0.46429398148148149</v>
      </c>
      <c r="G124">
        <f t="shared" ca="1" si="5"/>
        <v>122</v>
      </c>
      <c r="H124">
        <f t="shared" ca="1" si="6"/>
        <v>56.643865740740743</v>
      </c>
      <c r="I124">
        <f t="shared" ca="1" si="7"/>
        <v>796.20100580677195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58063</v>
      </c>
      <c r="B126" s="66">
        <v>58063</v>
      </c>
      <c r="D126">
        <f t="shared" si="4"/>
        <v>0.42001591435185187</v>
      </c>
      <c r="E126">
        <f t="shared" si="4"/>
        <v>0.42001591435185187</v>
      </c>
      <c r="G126">
        <f t="shared" ca="1" si="5"/>
        <v>124</v>
      </c>
      <c r="H126">
        <f t="shared" ca="1" si="6"/>
        <v>52.08197337962963</v>
      </c>
      <c r="I126">
        <f t="shared" ca="1" si="7"/>
        <v>791.52318334695235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56999</v>
      </c>
      <c r="B129" s="66">
        <v>56999</v>
      </c>
      <c r="D129">
        <f t="shared" si="4"/>
        <v>0.41231915509259259</v>
      </c>
      <c r="E129">
        <f t="shared" si="4"/>
        <v>0.41231915509259259</v>
      </c>
      <c r="G129">
        <f t="shared" ca="1" si="5"/>
        <v>127</v>
      </c>
      <c r="H129">
        <f t="shared" ca="1" si="6"/>
        <v>52.364532696759262</v>
      </c>
      <c r="I129">
        <f t="shared" ca="1" si="7"/>
        <v>888.12436689935646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58778</v>
      </c>
      <c r="B131" s="66">
        <v>58778</v>
      </c>
      <c r="D131">
        <f t="shared" ref="D131:E194" si="8">IFERROR( A131/MAX(A$2:A$257), 0 )</f>
        <v>0.42518807870370373</v>
      </c>
      <c r="E131">
        <f t="shared" si="8"/>
        <v>0.42518807870370373</v>
      </c>
      <c r="G131">
        <f t="shared" ref="G131:G194" ca="1" si="9">CELL("row",D131)-2</f>
        <v>129</v>
      </c>
      <c r="H131">
        <f t="shared" ref="H131:H194" ca="1" si="10">D131*G131</f>
        <v>54.849262152777783</v>
      </c>
      <c r="I131">
        <f t="shared" ref="I131:I194" ca="1" si="11">D131*((G131-$L$1)^2)</f>
        <v>996.47790674411908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58325</v>
      </c>
      <c r="B134" s="66">
        <v>58325</v>
      </c>
      <c r="D134">
        <f t="shared" si="8"/>
        <v>0.42191116898148145</v>
      </c>
      <c r="E134">
        <f t="shared" si="8"/>
        <v>0.42191116898148145</v>
      </c>
      <c r="G134">
        <f t="shared" ca="1" si="9"/>
        <v>132</v>
      </c>
      <c r="H134">
        <f t="shared" ca="1" si="10"/>
        <v>55.69227430555555</v>
      </c>
      <c r="I134">
        <f t="shared" ca="1" si="11"/>
        <v>1115.1459229186896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56363</v>
      </c>
      <c r="B136" s="66">
        <v>56363</v>
      </c>
      <c r="D136">
        <f t="shared" si="8"/>
        <v>0.40771846064814815</v>
      </c>
      <c r="E136">
        <f t="shared" si="8"/>
        <v>0.40771846064814815</v>
      </c>
      <c r="G136">
        <f t="shared" ca="1" si="9"/>
        <v>134</v>
      </c>
      <c r="H136">
        <f t="shared" ca="1" si="10"/>
        <v>54.634273726851852</v>
      </c>
      <c r="I136">
        <f t="shared" ca="1" si="11"/>
        <v>1163.1090188798942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58196</v>
      </c>
      <c r="B139" s="66">
        <v>58196</v>
      </c>
      <c r="D139">
        <f t="shared" si="8"/>
        <v>0.42097800925925927</v>
      </c>
      <c r="E139">
        <f t="shared" si="8"/>
        <v>0.42097800925925927</v>
      </c>
      <c r="G139">
        <f t="shared" ca="1" si="9"/>
        <v>137</v>
      </c>
      <c r="H139">
        <f t="shared" ca="1" si="10"/>
        <v>57.673987268518516</v>
      </c>
      <c r="I139">
        <f t="shared" ca="1" si="11"/>
        <v>1339.6326046853069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54908</v>
      </c>
      <c r="B142" s="66">
        <v>54908</v>
      </c>
      <c r="D142">
        <f t="shared" si="8"/>
        <v>0.39719328703703705</v>
      </c>
      <c r="E142">
        <f t="shared" si="8"/>
        <v>0.39719328703703705</v>
      </c>
      <c r="G142">
        <f t="shared" ca="1" si="9"/>
        <v>140</v>
      </c>
      <c r="H142">
        <f t="shared" ca="1" si="10"/>
        <v>55.607060185185183</v>
      </c>
      <c r="I142">
        <f t="shared" ca="1" si="11"/>
        <v>1401.9560277125133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52374</v>
      </c>
      <c r="B144" s="66">
        <v>52374</v>
      </c>
      <c r="D144">
        <f t="shared" si="8"/>
        <v>0.37886284722222224</v>
      </c>
      <c r="E144">
        <f t="shared" si="8"/>
        <v>0.37886284722222224</v>
      </c>
      <c r="G144">
        <f t="shared" ca="1" si="9"/>
        <v>142</v>
      </c>
      <c r="H144">
        <f t="shared" ca="1" si="10"/>
        <v>53.79852430555556</v>
      </c>
      <c r="I144">
        <f t="shared" ca="1" si="11"/>
        <v>1428.8056703658315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46980</v>
      </c>
      <c r="B147" s="66">
        <v>46980</v>
      </c>
      <c r="D147">
        <f t="shared" si="8"/>
        <v>0.33984375</v>
      </c>
      <c r="E147">
        <f t="shared" si="8"/>
        <v>0.33984375</v>
      </c>
      <c r="G147">
        <f t="shared" ca="1" si="9"/>
        <v>145</v>
      </c>
      <c r="H147">
        <f t="shared" ca="1" si="10"/>
        <v>49.27734375</v>
      </c>
      <c r="I147">
        <f t="shared" ca="1" si="11"/>
        <v>1409.932215941066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52293</v>
      </c>
      <c r="B149" s="66">
        <v>52293</v>
      </c>
      <c r="D149">
        <f t="shared" si="8"/>
        <v>0.37827690972222222</v>
      </c>
      <c r="E149">
        <f t="shared" si="8"/>
        <v>0.37827690972222222</v>
      </c>
      <c r="G149">
        <f t="shared" ca="1" si="9"/>
        <v>147</v>
      </c>
      <c r="H149">
        <f t="shared" ca="1" si="10"/>
        <v>55.60670572916667</v>
      </c>
      <c r="I149">
        <f t="shared" ca="1" si="11"/>
        <v>1668.3561608072841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45319</v>
      </c>
      <c r="B152" s="66">
        <v>45319</v>
      </c>
      <c r="D152">
        <f t="shared" si="8"/>
        <v>0.32782841435185184</v>
      </c>
      <c r="E152">
        <f t="shared" si="8"/>
        <v>0.32782841435185184</v>
      </c>
      <c r="G152">
        <f t="shared" ca="1" si="9"/>
        <v>150</v>
      </c>
      <c r="H152">
        <f t="shared" ca="1" si="10"/>
        <v>49.174262152777779</v>
      </c>
      <c r="I152">
        <f t="shared" ca="1" si="11"/>
        <v>1579.4363931481391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32940</v>
      </c>
      <c r="B154" s="66">
        <v>32940</v>
      </c>
      <c r="D154">
        <f t="shared" si="8"/>
        <v>0.23828125</v>
      </c>
      <c r="E154">
        <f t="shared" si="8"/>
        <v>0.23828125</v>
      </c>
      <c r="G154">
        <f t="shared" ca="1" si="9"/>
        <v>152</v>
      </c>
      <c r="H154">
        <f t="shared" ca="1" si="10"/>
        <v>36.21875</v>
      </c>
      <c r="I154">
        <f t="shared" ca="1" si="11"/>
        <v>1215.1197332283186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24124</v>
      </c>
      <c r="B157" s="66">
        <v>24124</v>
      </c>
      <c r="D157">
        <f t="shared" si="8"/>
        <v>0.17450810185185187</v>
      </c>
      <c r="E157">
        <f t="shared" si="8"/>
        <v>0.17450810185185187</v>
      </c>
      <c r="G157">
        <f t="shared" ca="1" si="9"/>
        <v>155</v>
      </c>
      <c r="H157">
        <f t="shared" ca="1" si="10"/>
        <v>27.048755787037038</v>
      </c>
      <c r="I157">
        <f t="shared" ca="1" si="11"/>
        <v>966.24863319569533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20435</v>
      </c>
      <c r="B160" s="66">
        <v>20435</v>
      </c>
      <c r="D160">
        <f t="shared" si="8"/>
        <v>0.14782262731481483</v>
      </c>
      <c r="E160">
        <f t="shared" si="8"/>
        <v>0.14782262731481483</v>
      </c>
      <c r="G160">
        <f t="shared" ca="1" si="9"/>
        <v>158</v>
      </c>
      <c r="H160">
        <f t="shared" ca="1" si="10"/>
        <v>23.355975115740744</v>
      </c>
      <c r="I160">
        <f t="shared" ca="1" si="11"/>
        <v>885.81968365486784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13144</v>
      </c>
      <c r="B162" s="66">
        <v>13144</v>
      </c>
      <c r="D162">
        <f t="shared" si="8"/>
        <v>9.5081018518518523E-2</v>
      </c>
      <c r="E162">
        <f t="shared" si="8"/>
        <v>9.5081018518518523E-2</v>
      </c>
      <c r="G162">
        <f t="shared" ca="1" si="9"/>
        <v>160</v>
      </c>
      <c r="H162">
        <f t="shared" ca="1" si="10"/>
        <v>15.212962962962964</v>
      </c>
      <c r="I162">
        <f t="shared" ca="1" si="11"/>
        <v>599.58979585353256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8723</v>
      </c>
      <c r="B165" s="66">
        <v>8723</v>
      </c>
      <c r="D165">
        <f t="shared" si="8"/>
        <v>6.3100405092592599E-2</v>
      </c>
      <c r="E165">
        <f t="shared" si="8"/>
        <v>6.3100405092592599E-2</v>
      </c>
      <c r="G165">
        <f t="shared" ca="1" si="9"/>
        <v>163</v>
      </c>
      <c r="H165">
        <f t="shared" ca="1" si="10"/>
        <v>10.285366030092593</v>
      </c>
      <c r="I165">
        <f t="shared" ca="1" si="11"/>
        <v>428.55012573375478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6645</v>
      </c>
      <c r="B167" s="66">
        <v>6645</v>
      </c>
      <c r="D167">
        <f t="shared" si="8"/>
        <v>4.8068576388888888E-2</v>
      </c>
      <c r="E167">
        <f t="shared" si="8"/>
        <v>4.8068576388888888E-2</v>
      </c>
      <c r="G167">
        <f t="shared" ca="1" si="9"/>
        <v>165</v>
      </c>
      <c r="H167">
        <f t="shared" ca="1" si="10"/>
        <v>7.931315104166667</v>
      </c>
      <c r="I167">
        <f t="shared" ca="1" si="11"/>
        <v>342.49834971895979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5746</v>
      </c>
      <c r="B170" s="66">
        <v>5746</v>
      </c>
      <c r="D170">
        <f t="shared" si="8"/>
        <v>4.1565393518518519E-2</v>
      </c>
      <c r="E170">
        <f t="shared" si="8"/>
        <v>4.1565393518518519E-2</v>
      </c>
      <c r="G170">
        <f t="shared" ca="1" si="9"/>
        <v>168</v>
      </c>
      <c r="H170">
        <f t="shared" ca="1" si="10"/>
        <v>6.9829861111111109</v>
      </c>
      <c r="I170">
        <f t="shared" ca="1" si="11"/>
        <v>317.58737975757975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4139</v>
      </c>
      <c r="B173" s="66">
        <v>4139</v>
      </c>
      <c r="D173">
        <f t="shared" si="8"/>
        <v>2.9940682870370369E-2</v>
      </c>
      <c r="E173">
        <f t="shared" si="8"/>
        <v>2.9940682870370369E-2</v>
      </c>
      <c r="G173">
        <f t="shared" ca="1" si="9"/>
        <v>171</v>
      </c>
      <c r="H173">
        <f t="shared" ca="1" si="10"/>
        <v>5.1198567708333336</v>
      </c>
      <c r="I173">
        <f t="shared" ca="1" si="11"/>
        <v>244.73914415866915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4636</v>
      </c>
      <c r="B175" s="66">
        <v>4636</v>
      </c>
      <c r="D175">
        <f t="shared" si="8"/>
        <v>3.3535879629629631E-2</v>
      </c>
      <c r="E175">
        <f t="shared" si="8"/>
        <v>3.3535879629629631E-2</v>
      </c>
      <c r="G175">
        <f t="shared" ca="1" si="9"/>
        <v>173</v>
      </c>
      <c r="H175">
        <f t="shared" ca="1" si="10"/>
        <v>5.8017071759259258</v>
      </c>
      <c r="I175">
        <f t="shared" ca="1" si="11"/>
        <v>286.38894492580295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3494</v>
      </c>
      <c r="B178" s="66">
        <v>3494</v>
      </c>
      <c r="D178">
        <f t="shared" si="8"/>
        <v>2.5274884259259261E-2</v>
      </c>
      <c r="E178">
        <f t="shared" si="8"/>
        <v>2.5274884259259261E-2</v>
      </c>
      <c r="G178">
        <f t="shared" ca="1" si="9"/>
        <v>176</v>
      </c>
      <c r="H178">
        <f t="shared" ca="1" si="10"/>
        <v>4.4483796296296303</v>
      </c>
      <c r="I178">
        <f t="shared" ca="1" si="11"/>
        <v>230.08340900836353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2321</v>
      </c>
      <c r="B180" s="66">
        <v>2321</v>
      </c>
      <c r="D180">
        <f t="shared" si="8"/>
        <v>1.6789641203703704E-2</v>
      </c>
      <c r="E180">
        <f t="shared" si="8"/>
        <v>1.6789641203703704E-2</v>
      </c>
      <c r="G180">
        <f t="shared" ca="1" si="9"/>
        <v>178</v>
      </c>
      <c r="H180">
        <f t="shared" ca="1" si="10"/>
        <v>2.9885561342592593</v>
      </c>
      <c r="I180">
        <f t="shared" ca="1" si="11"/>
        <v>159.31499970035497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652</v>
      </c>
      <c r="B183" s="66">
        <v>652</v>
      </c>
      <c r="D183">
        <f t="shared" si="8"/>
        <v>4.7164351851851855E-3</v>
      </c>
      <c r="E183">
        <f t="shared" si="8"/>
        <v>4.7164351851851855E-3</v>
      </c>
      <c r="G183">
        <f t="shared" ca="1" si="9"/>
        <v>181</v>
      </c>
      <c r="H183">
        <f t="shared" ca="1" si="10"/>
        <v>0.85367476851851853</v>
      </c>
      <c r="I183">
        <f t="shared" ca="1" si="11"/>
        <v>47.552759678632434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267</v>
      </c>
      <c r="B185" s="66">
        <v>267</v>
      </c>
      <c r="D185">
        <f t="shared" si="8"/>
        <v>1.9314236111111112E-3</v>
      </c>
      <c r="E185">
        <f t="shared" si="8"/>
        <v>1.9314236111111112E-3</v>
      </c>
      <c r="G185">
        <f t="shared" ca="1" si="9"/>
        <v>183</v>
      </c>
      <c r="H185">
        <f t="shared" ca="1" si="10"/>
        <v>0.35345052083333334</v>
      </c>
      <c r="I185">
        <f t="shared" ca="1" si="11"/>
        <v>20.256762438475704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272</v>
      </c>
      <c r="B188" s="66">
        <v>272</v>
      </c>
      <c r="D188">
        <f t="shared" si="8"/>
        <v>1.9675925925925924E-3</v>
      </c>
      <c r="E188">
        <f t="shared" si="8"/>
        <v>1.9675925925925924E-3</v>
      </c>
      <c r="G188">
        <f t="shared" ca="1" si="9"/>
        <v>186</v>
      </c>
      <c r="H188">
        <f t="shared" ca="1" si="10"/>
        <v>0.3659722222222222</v>
      </c>
      <c r="I188">
        <f t="shared" ca="1" si="11"/>
        <v>21.862828647115286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68.210400493547894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1.3169716387997592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0.57662591409318809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681</v>
      </c>
      <c r="B8" s="66">
        <v>681</v>
      </c>
      <c r="D8">
        <f t="shared" si="0"/>
        <v>0.78740157480314965</v>
      </c>
      <c r="E8">
        <f t="shared" si="1"/>
        <v>0.78740157480314965</v>
      </c>
      <c r="G8">
        <f t="shared" ca="1" si="2"/>
        <v>6</v>
      </c>
      <c r="H8">
        <f t="shared" ca="1" si="3"/>
        <v>4.7244094488188981</v>
      </c>
      <c r="I8">
        <f t="shared" ca="1" si="4"/>
        <v>3047.349550840649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1053</v>
      </c>
      <c r="B10" s="66">
        <v>1053</v>
      </c>
      <c r="D10">
        <f t="shared" si="0"/>
        <v>1.2175240209511256</v>
      </c>
      <c r="E10">
        <f t="shared" si="1"/>
        <v>1.2175240209511256</v>
      </c>
      <c r="G10">
        <f t="shared" ca="1" si="2"/>
        <v>8</v>
      </c>
      <c r="H10">
        <f t="shared" ca="1" si="3"/>
        <v>9.7401921676090044</v>
      </c>
      <c r="I10">
        <f t="shared" ca="1" si="4"/>
        <v>4413.8804918148217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1516</v>
      </c>
      <c r="B13" s="66">
        <v>1516</v>
      </c>
      <c r="D13">
        <f t="shared" si="0"/>
        <v>1.7528645923664827</v>
      </c>
      <c r="E13">
        <f t="shared" si="1"/>
        <v>1.7528645923664827</v>
      </c>
      <c r="G13">
        <f t="shared" ca="1" si="2"/>
        <v>11</v>
      </c>
      <c r="H13">
        <f t="shared" ca="1" si="3"/>
        <v>19.281510516031311</v>
      </c>
      <c r="I13">
        <f t="shared" ca="1" si="4"/>
        <v>5737.178264643625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7823</v>
      </c>
      <c r="B15" s="66">
        <v>7823</v>
      </c>
      <c r="D15">
        <f t="shared" si="0"/>
        <v>9.0452900435903665</v>
      </c>
      <c r="E15">
        <f t="shared" si="1"/>
        <v>9.0452900435903665</v>
      </c>
      <c r="G15">
        <f t="shared" ca="1" si="2"/>
        <v>13</v>
      </c>
      <c r="H15">
        <f t="shared" ca="1" si="3"/>
        <v>117.58877056667477</v>
      </c>
      <c r="I15">
        <f t="shared" ca="1" si="4"/>
        <v>27571.747485926408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9127</v>
      </c>
      <c r="B18" s="66">
        <v>9127</v>
      </c>
      <c r="D18">
        <f t="shared" si="0"/>
        <v>10.553031091377894</v>
      </c>
      <c r="E18">
        <f t="shared" si="1"/>
        <v>10.553031091377894</v>
      </c>
      <c r="G18">
        <f t="shared" ca="1" si="2"/>
        <v>16</v>
      </c>
      <c r="H18">
        <f t="shared" ca="1" si="3"/>
        <v>168.84849746204631</v>
      </c>
      <c r="I18">
        <f t="shared" ca="1" si="4"/>
        <v>28766.7809833518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10434</v>
      </c>
      <c r="B21" s="66">
        <v>10434</v>
      </c>
      <c r="D21">
        <f t="shared" si="0"/>
        <v>12.064240868569843</v>
      </c>
      <c r="E21">
        <f t="shared" si="1"/>
        <v>12.064240868569843</v>
      </c>
      <c r="G21">
        <f t="shared" ca="1" si="2"/>
        <v>19</v>
      </c>
      <c r="H21">
        <f t="shared" ca="1" si="3"/>
        <v>229.22057650282702</v>
      </c>
      <c r="I21">
        <f t="shared" ca="1" si="4"/>
        <v>29215.53196852353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12957</v>
      </c>
      <c r="B23" s="66">
        <v>12957</v>
      </c>
      <c r="D23">
        <f t="shared" si="0"/>
        <v>14.981442297686357</v>
      </c>
      <c r="E23">
        <f t="shared" si="1"/>
        <v>14.981442297686357</v>
      </c>
      <c r="G23">
        <f t="shared" ca="1" si="2"/>
        <v>21</v>
      </c>
      <c r="H23">
        <f t="shared" ca="1" si="3"/>
        <v>314.61028825141352</v>
      </c>
      <c r="I23">
        <f t="shared" ca="1" si="4"/>
        <v>33390.966907813548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29077</v>
      </c>
      <c r="B26" s="66">
        <v>29077</v>
      </c>
      <c r="D26">
        <f t="shared" si="0"/>
        <v>33.62008163076532</v>
      </c>
      <c r="E26">
        <f t="shared" si="1"/>
        <v>33.62008163076532</v>
      </c>
      <c r="G26">
        <f t="shared" ca="1" si="2"/>
        <v>24</v>
      </c>
      <c r="H26">
        <f t="shared" ca="1" si="3"/>
        <v>806.88195913836762</v>
      </c>
      <c r="I26">
        <f t="shared" ca="1" si="4"/>
        <v>65712.450338901443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52529</v>
      </c>
      <c r="B28" s="66">
        <v>52529</v>
      </c>
      <c r="D28">
        <f t="shared" si="0"/>
        <v>60.736295628244704</v>
      </c>
      <c r="E28">
        <f t="shared" si="1"/>
        <v>60.736295628244704</v>
      </c>
      <c r="G28">
        <f t="shared" ca="1" si="2"/>
        <v>26</v>
      </c>
      <c r="H28">
        <f t="shared" ca="1" si="3"/>
        <v>1579.1436863343624</v>
      </c>
      <c r="I28">
        <f t="shared" ca="1" si="4"/>
        <v>108214.94569731246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70018</v>
      </c>
      <c r="B31" s="66">
        <v>70018</v>
      </c>
      <c r="D31">
        <f t="shared" si="0"/>
        <v>80.957831812873607</v>
      </c>
      <c r="E31">
        <f t="shared" si="1"/>
        <v>80.957831812873607</v>
      </c>
      <c r="G31">
        <f t="shared" ca="1" si="2"/>
        <v>29</v>
      </c>
      <c r="H31">
        <f t="shared" ca="1" si="3"/>
        <v>2347.7771225733345</v>
      </c>
      <c r="I31">
        <f t="shared" ca="1" si="4"/>
        <v>124469.06434450613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70414</v>
      </c>
      <c r="B33" s="66">
        <v>70414</v>
      </c>
      <c r="D33">
        <f t="shared" si="0"/>
        <v>81.415704094256938</v>
      </c>
      <c r="E33">
        <f t="shared" si="1"/>
        <v>81.415704094256938</v>
      </c>
      <c r="G33">
        <f t="shared" ca="1" si="2"/>
        <v>31</v>
      </c>
      <c r="H33">
        <f t="shared" ca="1" si="3"/>
        <v>2523.8868269219652</v>
      </c>
      <c r="I33">
        <f t="shared" ca="1" si="4"/>
        <v>112729.31596533653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72284</v>
      </c>
      <c r="B36" s="66">
        <v>72284</v>
      </c>
      <c r="D36">
        <f t="shared" si="0"/>
        <v>83.577878756344887</v>
      </c>
      <c r="E36">
        <f t="shared" si="1"/>
        <v>83.577878756344887</v>
      </c>
      <c r="G36">
        <f t="shared" ca="1" si="2"/>
        <v>34</v>
      </c>
      <c r="H36">
        <f t="shared" ca="1" si="3"/>
        <v>2841.6478777157263</v>
      </c>
      <c r="I36">
        <f t="shared" ca="1" si="4"/>
        <v>97815.495930523262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77598</v>
      </c>
      <c r="B39" s="66">
        <v>77598</v>
      </c>
      <c r="D39">
        <f t="shared" si="0"/>
        <v>89.722154774706027</v>
      </c>
      <c r="E39">
        <f t="shared" si="1"/>
        <v>89.722154774706027</v>
      </c>
      <c r="G39">
        <f t="shared" ca="1" si="2"/>
        <v>37</v>
      </c>
      <c r="H39">
        <f t="shared" ca="1" si="3"/>
        <v>3319.7197266641228</v>
      </c>
      <c r="I39">
        <f t="shared" ca="1" si="4"/>
        <v>87397.372901929848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76070</v>
      </c>
      <c r="B41" s="66">
        <v>76070</v>
      </c>
      <c r="D41">
        <f t="shared" si="0"/>
        <v>87.955415264721864</v>
      </c>
      <c r="E41">
        <f t="shared" si="1"/>
        <v>87.955415264721864</v>
      </c>
      <c r="G41">
        <f t="shared" ca="1" si="2"/>
        <v>39</v>
      </c>
      <c r="H41">
        <f t="shared" ca="1" si="3"/>
        <v>3430.2611953241526</v>
      </c>
      <c r="I41">
        <f t="shared" ca="1" si="4"/>
        <v>75047.73792164457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71468</v>
      </c>
      <c r="B44" s="66">
        <v>71468</v>
      </c>
      <c r="D44">
        <f t="shared" si="0"/>
        <v>82.634384358342871</v>
      </c>
      <c r="E44">
        <f t="shared" si="1"/>
        <v>82.634384358342871</v>
      </c>
      <c r="G44">
        <f t="shared" ca="1" si="2"/>
        <v>42</v>
      </c>
      <c r="H44">
        <f t="shared" ca="1" si="3"/>
        <v>3470.6441430504005</v>
      </c>
      <c r="I44">
        <f t="shared" ca="1" si="4"/>
        <v>56768.59030870712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68436</v>
      </c>
      <c r="B46" s="66">
        <v>68436</v>
      </c>
      <c r="D46">
        <f t="shared" si="0"/>
        <v>79.1286551736099</v>
      </c>
      <c r="E46">
        <f t="shared" si="1"/>
        <v>79.1286551736099</v>
      </c>
      <c r="G46">
        <f t="shared" ca="1" si="2"/>
        <v>44</v>
      </c>
      <c r="H46">
        <f t="shared" ca="1" si="3"/>
        <v>3481.6608276388356</v>
      </c>
      <c r="I46">
        <f t="shared" ca="1" si="4"/>
        <v>46380.746265311776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73916</v>
      </c>
      <c r="B49" s="66">
        <v>73916</v>
      </c>
      <c r="D49">
        <f t="shared" si="0"/>
        <v>85.464867552348906</v>
      </c>
      <c r="E49">
        <f t="shared" si="1"/>
        <v>85.464867552348906</v>
      </c>
      <c r="G49">
        <f t="shared" ca="1" si="2"/>
        <v>47</v>
      </c>
      <c r="H49">
        <f t="shared" ca="1" si="3"/>
        <v>4016.8487749603987</v>
      </c>
      <c r="I49">
        <f t="shared" ca="1" si="4"/>
        <v>38449.027693955664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73792</v>
      </c>
      <c r="B51" s="66">
        <v>73792</v>
      </c>
      <c r="D51">
        <f t="shared" si="0"/>
        <v>85.321493403632914</v>
      </c>
      <c r="E51">
        <f t="shared" si="1"/>
        <v>85.321493403632914</v>
      </c>
      <c r="G51">
        <f t="shared" ca="1" si="2"/>
        <v>49</v>
      </c>
      <c r="H51">
        <f t="shared" ca="1" si="3"/>
        <v>4180.7531767780129</v>
      </c>
      <c r="I51">
        <f t="shared" ca="1" si="4"/>
        <v>31487.000166202899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76009</v>
      </c>
      <c r="B54" s="66">
        <v>76009</v>
      </c>
      <c r="D54">
        <f t="shared" si="0"/>
        <v>87.884884433498669</v>
      </c>
      <c r="E54">
        <f t="shared" si="1"/>
        <v>87.884884433498669</v>
      </c>
      <c r="G54">
        <f t="shared" ca="1" si="2"/>
        <v>52</v>
      </c>
      <c r="H54">
        <f t="shared" ca="1" si="3"/>
        <v>4570.013990541931</v>
      </c>
      <c r="I54">
        <f t="shared" ca="1" si="4"/>
        <v>23094.133673280383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71498</v>
      </c>
      <c r="B57" s="66">
        <v>71498</v>
      </c>
      <c r="D57">
        <f t="shared" si="0"/>
        <v>82.669071652387061</v>
      </c>
      <c r="E57">
        <f t="shared" si="1"/>
        <v>82.669071652387061</v>
      </c>
      <c r="G57">
        <f t="shared" ca="1" si="2"/>
        <v>55</v>
      </c>
      <c r="H57">
        <f t="shared" ca="1" si="3"/>
        <v>4546.7989408812882</v>
      </c>
      <c r="I57">
        <f t="shared" ca="1" si="4"/>
        <v>14426.966684510535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73777</v>
      </c>
      <c r="B59" s="66">
        <v>73777</v>
      </c>
      <c r="D59">
        <f t="shared" si="0"/>
        <v>85.304149756610826</v>
      </c>
      <c r="E59">
        <f t="shared" si="1"/>
        <v>85.304149756610826</v>
      </c>
      <c r="G59">
        <f t="shared" ca="1" si="2"/>
        <v>57</v>
      </c>
      <c r="H59">
        <f t="shared" ca="1" si="3"/>
        <v>4862.336536126817</v>
      </c>
      <c r="I59">
        <f t="shared" ca="1" si="4"/>
        <v>10720.435170646844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75330</v>
      </c>
      <c r="B62" s="66">
        <v>75330</v>
      </c>
      <c r="D62">
        <f t="shared" si="0"/>
        <v>87.099795344965145</v>
      </c>
      <c r="E62">
        <f t="shared" si="1"/>
        <v>87.099795344965145</v>
      </c>
      <c r="G62">
        <f t="shared" ca="1" si="2"/>
        <v>60</v>
      </c>
      <c r="H62">
        <f t="shared" ca="1" si="3"/>
        <v>5225.987720697909</v>
      </c>
      <c r="I62">
        <f t="shared" ca="1" si="4"/>
        <v>5871.4561066994247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70629</v>
      </c>
      <c r="B64" s="66">
        <v>70629</v>
      </c>
      <c r="D64">
        <f t="shared" si="0"/>
        <v>81.664296368240315</v>
      </c>
      <c r="E64">
        <f t="shared" si="1"/>
        <v>81.664296368240315</v>
      </c>
      <c r="G64">
        <f t="shared" ca="1" si="2"/>
        <v>62</v>
      </c>
      <c r="H64">
        <f t="shared" ca="1" si="3"/>
        <v>5063.1863748308997</v>
      </c>
      <c r="I64">
        <f t="shared" ca="1" si="4"/>
        <v>3149.7163134884645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72083</v>
      </c>
      <c r="B67" s="66">
        <v>72083</v>
      </c>
      <c r="D67">
        <f t="shared" ref="D67:D130" si="5">IFERROR( 100*A67/MAX(A$2:A$257), 0 )</f>
        <v>83.345473886248797</v>
      </c>
      <c r="E67">
        <f t="shared" ref="E67:E130" si="6">IFERROR( 100*B67/MAX(B$2:B$257), 0 )</f>
        <v>83.345473886248797</v>
      </c>
      <c r="G67">
        <f t="shared" ref="G67:G130" ca="1" si="7">CELL("row",D67)-2</f>
        <v>65</v>
      </c>
      <c r="H67">
        <f t="shared" ref="H67:H130" ca="1" si="8">D67*G67</f>
        <v>5417.4558026061723</v>
      </c>
      <c r="I67">
        <f t="shared" ref="I67:I130" ca="1" si="9">D67*((G67-$L$1)^2)</f>
        <v>859.01440610303177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86487</v>
      </c>
      <c r="B69" s="66">
        <v>86487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146.50693547809854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82358</v>
      </c>
      <c r="B72" s="66">
        <v>82358</v>
      </c>
      <c r="D72">
        <f t="shared" si="5"/>
        <v>95.225872096384421</v>
      </c>
      <c r="E72">
        <f t="shared" si="6"/>
        <v>95.225872096384421</v>
      </c>
      <c r="G72">
        <f t="shared" ca="1" si="7"/>
        <v>70</v>
      </c>
      <c r="H72">
        <f t="shared" ca="1" si="8"/>
        <v>6665.8110467469096</v>
      </c>
      <c r="I72">
        <f t="shared" ca="1" si="9"/>
        <v>304.97670035421237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85737</v>
      </c>
      <c r="B75" s="66">
        <v>85737</v>
      </c>
      <c r="D75">
        <f t="shared" si="5"/>
        <v>99.132817648895212</v>
      </c>
      <c r="E75">
        <f t="shared" si="6"/>
        <v>99.132817648895212</v>
      </c>
      <c r="G75">
        <f t="shared" ca="1" si="7"/>
        <v>73</v>
      </c>
      <c r="H75">
        <f t="shared" ca="1" si="8"/>
        <v>7236.6956883693501</v>
      </c>
      <c r="I75">
        <f t="shared" ca="1" si="9"/>
        <v>2274.1329516425221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79159</v>
      </c>
      <c r="B77" s="66">
        <v>79159</v>
      </c>
      <c r="D77">
        <f t="shared" si="5"/>
        <v>91.527050308138797</v>
      </c>
      <c r="E77">
        <f t="shared" si="6"/>
        <v>91.527050308138797</v>
      </c>
      <c r="G77">
        <f t="shared" ca="1" si="7"/>
        <v>75</v>
      </c>
      <c r="H77">
        <f t="shared" ca="1" si="8"/>
        <v>6864.5287731104099</v>
      </c>
      <c r="I77">
        <f t="shared" ca="1" si="9"/>
        <v>4219.2745064055689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73717</v>
      </c>
      <c r="B80" s="66">
        <v>73717</v>
      </c>
      <c r="D80">
        <f t="shared" si="5"/>
        <v>85.234775168522432</v>
      </c>
      <c r="E80">
        <f t="shared" si="6"/>
        <v>85.234775168522432</v>
      </c>
      <c r="G80">
        <f t="shared" ca="1" si="7"/>
        <v>78</v>
      </c>
      <c r="H80">
        <f t="shared" ca="1" si="8"/>
        <v>6648.3124631447499</v>
      </c>
      <c r="I80">
        <f t="shared" ca="1" si="9"/>
        <v>8168.5819459609502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63418</v>
      </c>
      <c r="B82" s="66">
        <v>63418</v>
      </c>
      <c r="D82">
        <f t="shared" si="5"/>
        <v>73.326627123151454</v>
      </c>
      <c r="E82">
        <f t="shared" si="6"/>
        <v>73.326627123151454</v>
      </c>
      <c r="G82">
        <f t="shared" ca="1" si="7"/>
        <v>80</v>
      </c>
      <c r="H82">
        <f t="shared" ca="1" si="8"/>
        <v>5866.1301698521165</v>
      </c>
      <c r="I82">
        <f t="shared" ca="1" si="9"/>
        <v>10192.00935093849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69369</v>
      </c>
      <c r="B85" s="66">
        <v>69369</v>
      </c>
      <c r="D85">
        <f t="shared" si="5"/>
        <v>80.207430018384272</v>
      </c>
      <c r="E85">
        <f t="shared" si="6"/>
        <v>80.207430018384272</v>
      </c>
      <c r="G85">
        <f t="shared" ca="1" si="7"/>
        <v>83</v>
      </c>
      <c r="H85">
        <f t="shared" ca="1" si="8"/>
        <v>6657.2166915258949</v>
      </c>
      <c r="I85">
        <f t="shared" ca="1" si="9"/>
        <v>17543.951920277312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58697</v>
      </c>
      <c r="B88" s="66">
        <v>58697</v>
      </c>
      <c r="D88">
        <f t="shared" si="5"/>
        <v>67.868003283730502</v>
      </c>
      <c r="E88">
        <f t="shared" si="6"/>
        <v>67.868003283730502</v>
      </c>
      <c r="G88">
        <f t="shared" ca="1" si="7"/>
        <v>86</v>
      </c>
      <c r="H88">
        <f t="shared" ca="1" si="8"/>
        <v>5836.6482824008235</v>
      </c>
      <c r="I88">
        <f t="shared" ca="1" si="9"/>
        <v>21478.176859719857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51647</v>
      </c>
      <c r="B90" s="66">
        <v>51647</v>
      </c>
      <c r="D90">
        <f t="shared" si="5"/>
        <v>59.716489183345473</v>
      </c>
      <c r="E90">
        <f t="shared" si="6"/>
        <v>59.716489183345473</v>
      </c>
      <c r="G90">
        <f t="shared" ca="1" si="7"/>
        <v>88</v>
      </c>
      <c r="H90">
        <f t="shared" ca="1" si="8"/>
        <v>5255.0510481344018</v>
      </c>
      <c r="I90">
        <f t="shared" ca="1" si="9"/>
        <v>23386.664072953292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48418</v>
      </c>
      <c r="B93" s="66">
        <v>48418</v>
      </c>
      <c r="D93">
        <f t="shared" si="5"/>
        <v>55.982980101055652</v>
      </c>
      <c r="E93">
        <f t="shared" si="6"/>
        <v>55.982980101055652</v>
      </c>
      <c r="G93">
        <f t="shared" ca="1" si="7"/>
        <v>91</v>
      </c>
      <c r="H93">
        <f t="shared" ca="1" si="8"/>
        <v>5094.4511891960647</v>
      </c>
      <c r="I93">
        <f t="shared" ca="1" si="9"/>
        <v>29075.647803002641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45268</v>
      </c>
      <c r="B95" s="66">
        <v>45268</v>
      </c>
      <c r="D95">
        <f t="shared" si="5"/>
        <v>52.340814226415532</v>
      </c>
      <c r="E95">
        <f t="shared" si="6"/>
        <v>52.340814226415532</v>
      </c>
      <c r="G95">
        <f t="shared" ca="1" si="7"/>
        <v>93</v>
      </c>
      <c r="H95">
        <f t="shared" ca="1" si="8"/>
        <v>4867.6957230566441</v>
      </c>
      <c r="I95">
        <f t="shared" ca="1" si="9"/>
        <v>32164.699276622003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43355</v>
      </c>
      <c r="B98" s="66">
        <v>43355</v>
      </c>
      <c r="D98">
        <f t="shared" si="5"/>
        <v>50.128921109530914</v>
      </c>
      <c r="E98">
        <f t="shared" si="6"/>
        <v>50.128921109530914</v>
      </c>
      <c r="G98">
        <f t="shared" ca="1" si="7"/>
        <v>96</v>
      </c>
      <c r="H98">
        <f t="shared" ca="1" si="8"/>
        <v>4812.3764265149675</v>
      </c>
      <c r="I98">
        <f t="shared" ca="1" si="9"/>
        <v>38712.652889805322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39486</v>
      </c>
      <c r="B100" s="66">
        <v>39486</v>
      </c>
      <c r="D100">
        <f t="shared" si="5"/>
        <v>45.655416420965004</v>
      </c>
      <c r="E100">
        <f t="shared" si="6"/>
        <v>45.655416420965004</v>
      </c>
      <c r="G100">
        <f t="shared" ca="1" si="7"/>
        <v>98</v>
      </c>
      <c r="H100">
        <f t="shared" ca="1" si="8"/>
        <v>4474.23080925457</v>
      </c>
      <c r="I100">
        <f t="shared" ca="1" si="9"/>
        <v>40515.54054074311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33937</v>
      </c>
      <c r="B103" s="66">
        <v>33937</v>
      </c>
      <c r="D103">
        <f t="shared" si="5"/>
        <v>39.239423265924358</v>
      </c>
      <c r="E103">
        <f t="shared" si="6"/>
        <v>39.239423265924358</v>
      </c>
      <c r="G103">
        <f t="shared" ca="1" si="7"/>
        <v>101</v>
      </c>
      <c r="H103">
        <f t="shared" ca="1" si="8"/>
        <v>3963.18174985836</v>
      </c>
      <c r="I103">
        <f t="shared" ca="1" si="9"/>
        <v>42188.573396377287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31968</v>
      </c>
      <c r="B106" s="66">
        <v>31968</v>
      </c>
      <c r="D106">
        <f t="shared" si="5"/>
        <v>36.96278053349058</v>
      </c>
      <c r="E106">
        <f t="shared" si="6"/>
        <v>36.96278053349058</v>
      </c>
      <c r="G106">
        <f t="shared" ca="1" si="7"/>
        <v>104</v>
      </c>
      <c r="H106">
        <f t="shared" ca="1" si="8"/>
        <v>3844.1291754830204</v>
      </c>
      <c r="I106">
        <f t="shared" ca="1" si="9"/>
        <v>47345.456770128396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32723</v>
      </c>
      <c r="B108" s="66">
        <v>32723</v>
      </c>
      <c r="D108">
        <f t="shared" si="5"/>
        <v>37.835744100269402</v>
      </c>
      <c r="E108">
        <f t="shared" si="6"/>
        <v>37.835744100269402</v>
      </c>
      <c r="G108">
        <f t="shared" ca="1" si="7"/>
        <v>106</v>
      </c>
      <c r="H108">
        <f t="shared" ca="1" si="8"/>
        <v>4010.5888746285564</v>
      </c>
      <c r="I108">
        <f t="shared" ca="1" si="9"/>
        <v>54031.479305754408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25934</v>
      </c>
      <c r="B111" s="66">
        <v>25934</v>
      </c>
      <c r="D111">
        <f t="shared" si="5"/>
        <v>29.986009458068843</v>
      </c>
      <c r="E111">
        <f t="shared" si="6"/>
        <v>29.986009458068843</v>
      </c>
      <c r="G111">
        <f t="shared" ca="1" si="7"/>
        <v>109</v>
      </c>
      <c r="H111">
        <f t="shared" ca="1" si="8"/>
        <v>3268.4750309295036</v>
      </c>
      <c r="I111">
        <f t="shared" ca="1" si="9"/>
        <v>49890.465493166041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24700</v>
      </c>
      <c r="B113" s="66">
        <v>24700</v>
      </c>
      <c r="D113">
        <f t="shared" si="5"/>
        <v>28.55920542971776</v>
      </c>
      <c r="E113">
        <f t="shared" si="6"/>
        <v>28.55920542971776</v>
      </c>
      <c r="G113">
        <f t="shared" ca="1" si="7"/>
        <v>111</v>
      </c>
      <c r="H113">
        <f t="shared" ca="1" si="8"/>
        <v>3170.0718026986715</v>
      </c>
      <c r="I113">
        <f t="shared" ca="1" si="9"/>
        <v>52290.472210028543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28148</v>
      </c>
      <c r="B116" s="66">
        <v>28148</v>
      </c>
      <c r="D116">
        <f t="shared" si="5"/>
        <v>32.54593175853018</v>
      </c>
      <c r="E116">
        <f t="shared" si="6"/>
        <v>32.54593175853018</v>
      </c>
      <c r="G116">
        <f t="shared" ca="1" si="7"/>
        <v>114</v>
      </c>
      <c r="H116">
        <f t="shared" ca="1" si="8"/>
        <v>3710.2362204724404</v>
      </c>
      <c r="I116">
        <f t="shared" ca="1" si="9"/>
        <v>68238.645786666297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20894</v>
      </c>
      <c r="B118" s="66">
        <v>20894</v>
      </c>
      <c r="D118">
        <f t="shared" si="5"/>
        <v>24.158544058644651</v>
      </c>
      <c r="E118">
        <f t="shared" si="6"/>
        <v>24.158544058644651</v>
      </c>
      <c r="G118">
        <f t="shared" ca="1" si="7"/>
        <v>116</v>
      </c>
      <c r="H118">
        <f t="shared" ca="1" si="8"/>
        <v>2802.3911108027796</v>
      </c>
      <c r="I118">
        <f t="shared" ca="1" si="9"/>
        <v>55174.389889468017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21207</v>
      </c>
      <c r="B121" s="66">
        <v>21207</v>
      </c>
      <c r="D121">
        <f t="shared" si="5"/>
        <v>24.520448159839052</v>
      </c>
      <c r="E121">
        <f t="shared" si="6"/>
        <v>24.520448159839052</v>
      </c>
      <c r="G121">
        <f t="shared" ca="1" si="7"/>
        <v>119</v>
      </c>
      <c r="H121">
        <f t="shared" ca="1" si="8"/>
        <v>2917.9333310208472</v>
      </c>
      <c r="I121">
        <f t="shared" ca="1" si="9"/>
        <v>63252.541475682054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18016</v>
      </c>
      <c r="B124" s="66">
        <v>18016</v>
      </c>
      <c r="D124">
        <f t="shared" si="5"/>
        <v>20.830876316671869</v>
      </c>
      <c r="E124">
        <f t="shared" si="6"/>
        <v>20.830876316671869</v>
      </c>
      <c r="G124">
        <f t="shared" ca="1" si="7"/>
        <v>122</v>
      </c>
      <c r="H124">
        <f t="shared" ca="1" si="8"/>
        <v>2541.366910633968</v>
      </c>
      <c r="I124">
        <f t="shared" ca="1" si="9"/>
        <v>60270.412209236369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16471</v>
      </c>
      <c r="B126" s="66">
        <v>16471</v>
      </c>
      <c r="D126">
        <f t="shared" si="5"/>
        <v>19.044480673396002</v>
      </c>
      <c r="E126">
        <f t="shared" si="6"/>
        <v>19.044480673396002</v>
      </c>
      <c r="G126">
        <f t="shared" ca="1" si="7"/>
        <v>124</v>
      </c>
      <c r="H126">
        <f t="shared" ca="1" si="8"/>
        <v>2361.5156035011041</v>
      </c>
      <c r="I126">
        <f t="shared" ca="1" si="9"/>
        <v>59275.554028941551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14166</v>
      </c>
      <c r="B129" s="66">
        <v>14166</v>
      </c>
      <c r="D129">
        <f t="shared" si="5"/>
        <v>16.37934024766728</v>
      </c>
      <c r="E129">
        <f t="shared" si="6"/>
        <v>16.37934024766728</v>
      </c>
      <c r="G129">
        <f t="shared" ca="1" si="7"/>
        <v>127</v>
      </c>
      <c r="H129">
        <f t="shared" ca="1" si="8"/>
        <v>2080.1762114537446</v>
      </c>
      <c r="I129">
        <f t="shared" ca="1" si="9"/>
        <v>56610.554378678746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14016</v>
      </c>
      <c r="B131" s="66">
        <v>14016</v>
      </c>
      <c r="D131">
        <f t="shared" ref="D131:D194" si="10">IFERROR( 100*A131/MAX(A$2:A$257), 0 )</f>
        <v>16.20590377744632</v>
      </c>
      <c r="E131">
        <f t="shared" ref="E131:E194" si="11">IFERROR( 100*B131/MAX(B$2:B$257), 0 )</f>
        <v>16.20590377744632</v>
      </c>
      <c r="G131">
        <f t="shared" ref="G131:G194" ca="1" si="12">CELL("row",D131)-2</f>
        <v>129</v>
      </c>
      <c r="H131">
        <f t="shared" ref="H131:H194" ca="1" si="13">D131*G131</f>
        <v>2090.5615872905751</v>
      </c>
      <c r="I131">
        <f t="shared" ref="I131:I194" ca="1" si="14">D131*((G131-$L$1)^2)</f>
        <v>59886.898286098796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11700</v>
      </c>
      <c r="B134" s="66">
        <v>11700</v>
      </c>
      <c r="D134">
        <f t="shared" si="10"/>
        <v>13.528044677234728</v>
      </c>
      <c r="E134">
        <f t="shared" si="11"/>
        <v>13.528044677234728</v>
      </c>
      <c r="G134">
        <f t="shared" ca="1" si="12"/>
        <v>132</v>
      </c>
      <c r="H134">
        <f t="shared" ca="1" si="13"/>
        <v>1785.7018973949841</v>
      </c>
      <c r="I134">
        <f t="shared" ca="1" si="14"/>
        <v>55047.142530975274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9494</v>
      </c>
      <c r="B136" s="66">
        <v>9494</v>
      </c>
      <c r="D136">
        <f t="shared" si="10"/>
        <v>10.977372321851838</v>
      </c>
      <c r="E136">
        <f t="shared" si="11"/>
        <v>10.977372321851838</v>
      </c>
      <c r="G136">
        <f t="shared" ca="1" si="12"/>
        <v>134</v>
      </c>
      <c r="H136">
        <f t="shared" ca="1" si="13"/>
        <v>1470.9678911281464</v>
      </c>
      <c r="I136">
        <f t="shared" ca="1" si="14"/>
        <v>47513.046703163061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7423</v>
      </c>
      <c r="B139" s="66">
        <v>7423</v>
      </c>
      <c r="D139">
        <f t="shared" si="10"/>
        <v>8.5827927896678116</v>
      </c>
      <c r="E139">
        <f t="shared" si="11"/>
        <v>8.5827927896678116</v>
      </c>
      <c r="G139">
        <f t="shared" ca="1" si="12"/>
        <v>137</v>
      </c>
      <c r="H139">
        <f t="shared" ca="1" si="13"/>
        <v>1175.8426121844902</v>
      </c>
      <c r="I139">
        <f t="shared" ca="1" si="14"/>
        <v>40613.852728058198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7865</v>
      </c>
      <c r="B142" s="66">
        <v>7865</v>
      </c>
      <c r="D142">
        <f t="shared" si="10"/>
        <v>9.0938522552522336</v>
      </c>
      <c r="E142">
        <f t="shared" si="11"/>
        <v>9.0938522552522336</v>
      </c>
      <c r="G142">
        <f t="shared" ca="1" si="12"/>
        <v>140</v>
      </c>
      <c r="H142">
        <f t="shared" ca="1" si="13"/>
        <v>1273.1393157353127</v>
      </c>
      <c r="I142">
        <f t="shared" ca="1" si="14"/>
        <v>46867.410116825922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9413</v>
      </c>
      <c r="B144" s="66">
        <v>9413</v>
      </c>
      <c r="D144">
        <f t="shared" si="10"/>
        <v>10.883716627932522</v>
      </c>
      <c r="E144">
        <f t="shared" si="11"/>
        <v>10.883716627932522</v>
      </c>
      <c r="G144">
        <f t="shared" ca="1" si="12"/>
        <v>142</v>
      </c>
      <c r="H144">
        <f t="shared" ca="1" si="13"/>
        <v>1545.4877611664181</v>
      </c>
      <c r="I144">
        <f t="shared" ca="1" si="14"/>
        <v>59260.803035105397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9437</v>
      </c>
      <c r="B147" s="66">
        <v>9437</v>
      </c>
      <c r="D147">
        <f t="shared" si="10"/>
        <v>10.911466463167875</v>
      </c>
      <c r="E147">
        <f t="shared" si="11"/>
        <v>10.911466463167875</v>
      </c>
      <c r="G147">
        <f t="shared" ca="1" si="12"/>
        <v>145</v>
      </c>
      <c r="H147">
        <f t="shared" ca="1" si="13"/>
        <v>1582.1626371593418</v>
      </c>
      <c r="I147">
        <f t="shared" ca="1" si="14"/>
        <v>64341.017891837706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8435</v>
      </c>
      <c r="B149" s="66">
        <v>8435</v>
      </c>
      <c r="D149">
        <f t="shared" si="10"/>
        <v>9.7529108420918753</v>
      </c>
      <c r="E149">
        <f t="shared" si="11"/>
        <v>9.7529108420918753</v>
      </c>
      <c r="G149">
        <f t="shared" ca="1" si="12"/>
        <v>147</v>
      </c>
      <c r="H149">
        <f t="shared" ca="1" si="13"/>
        <v>1433.6778937875056</v>
      </c>
      <c r="I149">
        <f t="shared" ca="1" si="14"/>
        <v>60544.129584695205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5899</v>
      </c>
      <c r="B152" s="66">
        <v>5899</v>
      </c>
      <c r="D152">
        <f t="shared" si="10"/>
        <v>6.8206782522228773</v>
      </c>
      <c r="E152">
        <f t="shared" si="11"/>
        <v>6.8206782522228773</v>
      </c>
      <c r="G152">
        <f t="shared" ca="1" si="12"/>
        <v>150</v>
      </c>
      <c r="H152">
        <f t="shared" ca="1" si="13"/>
        <v>1023.1017378334316</v>
      </c>
      <c r="I152">
        <f t="shared" ca="1" si="14"/>
        <v>45627.190360661109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3346</v>
      </c>
      <c r="B154" s="66">
        <v>3346</v>
      </c>
      <c r="D154">
        <f t="shared" si="10"/>
        <v>3.868789529062171</v>
      </c>
      <c r="E154">
        <f t="shared" si="11"/>
        <v>3.868789529062171</v>
      </c>
      <c r="G154">
        <f t="shared" ca="1" si="12"/>
        <v>152</v>
      </c>
      <c r="H154">
        <f t="shared" ca="1" si="13"/>
        <v>588.05600841745002</v>
      </c>
      <c r="I154">
        <f t="shared" ca="1" si="14"/>
        <v>27161.598984033652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3177</v>
      </c>
      <c r="B157" s="66">
        <v>3177</v>
      </c>
      <c r="D157">
        <f t="shared" si="10"/>
        <v>3.6733844392798916</v>
      </c>
      <c r="E157">
        <f t="shared" si="11"/>
        <v>3.6733844392798916</v>
      </c>
      <c r="G157">
        <f t="shared" ca="1" si="12"/>
        <v>155</v>
      </c>
      <c r="H157">
        <f t="shared" ca="1" si="13"/>
        <v>569.37458808838323</v>
      </c>
      <c r="I157">
        <f t="shared" ca="1" si="14"/>
        <v>27669.527985213783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2656</v>
      </c>
      <c r="B160" s="66">
        <v>2656</v>
      </c>
      <c r="D160">
        <f t="shared" si="10"/>
        <v>3.0709817660457639</v>
      </c>
      <c r="E160">
        <f t="shared" si="11"/>
        <v>3.0709817660457639</v>
      </c>
      <c r="G160">
        <f t="shared" ca="1" si="12"/>
        <v>158</v>
      </c>
      <c r="H160">
        <f t="shared" ca="1" si="13"/>
        <v>485.21511903523071</v>
      </c>
      <c r="I160">
        <f t="shared" ca="1" si="14"/>
        <v>24758.78375805519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1778</v>
      </c>
      <c r="B162" s="66">
        <v>1778</v>
      </c>
      <c r="D162">
        <f t="shared" si="10"/>
        <v>2.0558002936857562</v>
      </c>
      <c r="E162">
        <f t="shared" si="11"/>
        <v>2.0558002936857562</v>
      </c>
      <c r="G162">
        <f t="shared" ca="1" si="12"/>
        <v>160</v>
      </c>
      <c r="H162">
        <f t="shared" ca="1" si="13"/>
        <v>328.928046989721</v>
      </c>
      <c r="I162">
        <f t="shared" ca="1" si="14"/>
        <v>17320.797075736889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1263</v>
      </c>
      <c r="B165" s="66">
        <v>1263</v>
      </c>
      <c r="D165">
        <f t="shared" si="10"/>
        <v>1.4603350792604668</v>
      </c>
      <c r="E165">
        <f t="shared" si="11"/>
        <v>1.4603350792604668</v>
      </c>
      <c r="G165">
        <f t="shared" ca="1" si="12"/>
        <v>163</v>
      </c>
      <c r="H165">
        <f t="shared" ca="1" si="13"/>
        <v>238.03461791945608</v>
      </c>
      <c r="I165">
        <f t="shared" ca="1" si="14"/>
        <v>13121.210244905822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738</v>
      </c>
      <c r="B167" s="66">
        <v>738</v>
      </c>
      <c r="D167">
        <f t="shared" si="10"/>
        <v>0.85330743348711369</v>
      </c>
      <c r="E167">
        <f t="shared" si="11"/>
        <v>0.85330743348711369</v>
      </c>
      <c r="G167">
        <f t="shared" ca="1" si="12"/>
        <v>165</v>
      </c>
      <c r="H167">
        <f t="shared" ca="1" si="13"/>
        <v>140.79572652537377</v>
      </c>
      <c r="I167">
        <f t="shared" ca="1" si="14"/>
        <v>7993.9773730076349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454</v>
      </c>
      <c r="B170" s="66">
        <v>454</v>
      </c>
      <c r="D170">
        <f t="shared" si="10"/>
        <v>0.52493438320209973</v>
      </c>
      <c r="E170">
        <f t="shared" si="11"/>
        <v>0.52493438320209973</v>
      </c>
      <c r="G170">
        <f t="shared" ca="1" si="12"/>
        <v>168</v>
      </c>
      <c r="H170">
        <f t="shared" ca="1" si="13"/>
        <v>88.188976377952756</v>
      </c>
      <c r="I170">
        <f t="shared" ca="1" si="14"/>
        <v>5227.2777793480873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376</v>
      </c>
      <c r="B173" s="66">
        <v>376</v>
      </c>
      <c r="D173">
        <f t="shared" si="10"/>
        <v>0.43474741868720157</v>
      </c>
      <c r="E173">
        <f t="shared" si="11"/>
        <v>0.43474741868720157</v>
      </c>
      <c r="G173">
        <f t="shared" ca="1" si="12"/>
        <v>171</v>
      </c>
      <c r="H173">
        <f t="shared" ca="1" si="13"/>
        <v>74.341808595511466</v>
      </c>
      <c r="I173">
        <f t="shared" ca="1" si="14"/>
        <v>4593.4115696902472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561</v>
      </c>
      <c r="B175" s="66">
        <v>561</v>
      </c>
      <c r="D175">
        <f t="shared" si="10"/>
        <v>0.64865239862638313</v>
      </c>
      <c r="E175">
        <f t="shared" si="11"/>
        <v>0.64865239862638313</v>
      </c>
      <c r="G175">
        <f t="shared" ca="1" si="12"/>
        <v>173</v>
      </c>
      <c r="H175">
        <f t="shared" ca="1" si="13"/>
        <v>112.21686496236428</v>
      </c>
      <c r="I175">
        <f t="shared" ca="1" si="14"/>
        <v>7122.7612848282333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94</v>
      </c>
      <c r="B178" s="66">
        <v>94</v>
      </c>
      <c r="D178">
        <f t="shared" si="10"/>
        <v>0.10868685467180039</v>
      </c>
      <c r="E178">
        <f t="shared" si="11"/>
        <v>0.10868685467180039</v>
      </c>
      <c r="G178">
        <f t="shared" ca="1" si="12"/>
        <v>176</v>
      </c>
      <c r="H178">
        <f t="shared" ca="1" si="13"/>
        <v>19.128886422236867</v>
      </c>
      <c r="I178">
        <f t="shared" ca="1" si="14"/>
        <v>1262.7888464226601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91.336418615679534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1.7634770069671479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0.69612261114802043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1085</v>
      </c>
      <c r="B8" s="66">
        <v>1085</v>
      </c>
      <c r="D8">
        <f t="shared" si="0"/>
        <v>1.3165398662832319</v>
      </c>
      <c r="E8">
        <f t="shared" si="1"/>
        <v>1.3165398662832319</v>
      </c>
      <c r="G8">
        <f t="shared" ca="1" si="2"/>
        <v>6</v>
      </c>
      <c r="H8">
        <f t="shared" ca="1" si="3"/>
        <v>7.8992391976993916</v>
      </c>
      <c r="I8">
        <f t="shared" ca="1" si="4"/>
        <v>9587.4439848486145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1490</v>
      </c>
      <c r="B10" s="66">
        <v>1490</v>
      </c>
      <c r="D10">
        <f t="shared" si="0"/>
        <v>1.8079671896424108</v>
      </c>
      <c r="E10">
        <f t="shared" si="1"/>
        <v>1.8079671896424108</v>
      </c>
      <c r="G10">
        <f t="shared" ca="1" si="2"/>
        <v>8</v>
      </c>
      <c r="H10">
        <f t="shared" ca="1" si="3"/>
        <v>14.463737517139286</v>
      </c>
      <c r="I10">
        <f t="shared" ca="1" si="4"/>
        <v>12556.257404602173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3186</v>
      </c>
      <c r="B13" s="66">
        <v>3186</v>
      </c>
      <c r="D13">
        <f t="shared" si="0"/>
        <v>3.8658949437588732</v>
      </c>
      <c r="E13">
        <f t="shared" si="1"/>
        <v>3.8658949437588732</v>
      </c>
      <c r="G13">
        <f t="shared" ca="1" si="2"/>
        <v>11</v>
      </c>
      <c r="H13">
        <f t="shared" ca="1" si="3"/>
        <v>42.524844381347606</v>
      </c>
      <c r="I13">
        <f t="shared" ca="1" si="4"/>
        <v>24950.254616378403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3122</v>
      </c>
      <c r="B15" s="66">
        <v>3122</v>
      </c>
      <c r="D15">
        <f t="shared" si="0"/>
        <v>3.7882372926601384</v>
      </c>
      <c r="E15">
        <f t="shared" si="1"/>
        <v>3.7882372926601384</v>
      </c>
      <c r="G15">
        <f t="shared" ca="1" si="2"/>
        <v>13</v>
      </c>
      <c r="H15">
        <f t="shared" ca="1" si="3"/>
        <v>49.247084804581803</v>
      </c>
      <c r="I15">
        <f t="shared" ca="1" si="4"/>
        <v>23246.876064868076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4594</v>
      </c>
      <c r="B18" s="66">
        <v>4594</v>
      </c>
      <c r="D18">
        <f t="shared" si="0"/>
        <v>5.5743632679310302</v>
      </c>
      <c r="E18">
        <f t="shared" si="1"/>
        <v>5.5743632679310302</v>
      </c>
      <c r="G18">
        <f t="shared" ca="1" si="2"/>
        <v>16</v>
      </c>
      <c r="H18">
        <f t="shared" ca="1" si="3"/>
        <v>89.189812286896483</v>
      </c>
      <c r="I18">
        <f t="shared" ca="1" si="4"/>
        <v>31637.722210610878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8171</v>
      </c>
      <c r="B21" s="66">
        <v>8171</v>
      </c>
      <c r="D21">
        <f t="shared" si="0"/>
        <v>9.9146979238712341</v>
      </c>
      <c r="E21">
        <f t="shared" si="1"/>
        <v>9.9146979238712341</v>
      </c>
      <c r="G21">
        <f t="shared" ca="1" si="2"/>
        <v>19</v>
      </c>
      <c r="H21">
        <f t="shared" ca="1" si="3"/>
        <v>188.37926055355345</v>
      </c>
      <c r="I21">
        <f t="shared" ca="1" si="4"/>
        <v>51879.226566785648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11987</v>
      </c>
      <c r="B23" s="66">
        <v>11987</v>
      </c>
      <c r="D23">
        <f t="shared" si="0"/>
        <v>14.545035370633274</v>
      </c>
      <c r="E23">
        <f t="shared" si="1"/>
        <v>14.545035370633274</v>
      </c>
      <c r="G23">
        <f t="shared" ca="1" si="2"/>
        <v>21</v>
      </c>
      <c r="H23">
        <f t="shared" ca="1" si="3"/>
        <v>305.44574278329873</v>
      </c>
      <c r="I23">
        <f t="shared" ca="1" si="4"/>
        <v>71957.370379640939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12361</v>
      </c>
      <c r="B26" s="66">
        <v>12361</v>
      </c>
      <c r="D26">
        <f t="shared" si="0"/>
        <v>14.998847269241503</v>
      </c>
      <c r="E26">
        <f t="shared" si="1"/>
        <v>14.998847269241503</v>
      </c>
      <c r="G26">
        <f t="shared" ca="1" si="2"/>
        <v>24</v>
      </c>
      <c r="H26">
        <f t="shared" ca="1" si="3"/>
        <v>359.97233446179609</v>
      </c>
      <c r="I26">
        <f t="shared" ca="1" si="4"/>
        <v>68007.67237574092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17035</v>
      </c>
      <c r="B28" s="66">
        <v>17035</v>
      </c>
      <c r="D28">
        <f t="shared" si="0"/>
        <v>20.670282601045951</v>
      </c>
      <c r="E28">
        <f t="shared" si="1"/>
        <v>20.670282601045951</v>
      </c>
      <c r="G28">
        <f t="shared" ca="1" si="2"/>
        <v>26</v>
      </c>
      <c r="H28">
        <f t="shared" ca="1" si="3"/>
        <v>537.42734762719476</v>
      </c>
      <c r="I28">
        <f t="shared" ca="1" si="4"/>
        <v>88238.28622160299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25562</v>
      </c>
      <c r="B31" s="66">
        <v>25562</v>
      </c>
      <c r="D31">
        <f t="shared" si="0"/>
        <v>31.016951209153895</v>
      </c>
      <c r="E31">
        <f t="shared" si="1"/>
        <v>31.016951209153895</v>
      </c>
      <c r="G31">
        <f t="shared" ca="1" si="2"/>
        <v>29</v>
      </c>
      <c r="H31">
        <f t="shared" ca="1" si="3"/>
        <v>899.49158506546291</v>
      </c>
      <c r="I31">
        <f t="shared" ca="1" si="4"/>
        <v>120526.57116227655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30392</v>
      </c>
      <c r="B33" s="66">
        <v>30392</v>
      </c>
      <c r="D33">
        <f t="shared" si="0"/>
        <v>36.877677065511506</v>
      </c>
      <c r="E33">
        <f t="shared" si="1"/>
        <v>36.877677065511506</v>
      </c>
      <c r="G33">
        <f t="shared" ca="1" si="2"/>
        <v>31</v>
      </c>
      <c r="H33">
        <f t="shared" ca="1" si="3"/>
        <v>1143.2079890308567</v>
      </c>
      <c r="I33">
        <f t="shared" ca="1" si="4"/>
        <v>134252.57160672618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39601</v>
      </c>
      <c r="B36" s="66">
        <v>39601</v>
      </c>
      <c r="D36">
        <f t="shared" si="0"/>
        <v>48.051885018140339</v>
      </c>
      <c r="E36">
        <f t="shared" si="1"/>
        <v>48.051885018140339</v>
      </c>
      <c r="G36">
        <f t="shared" ca="1" si="2"/>
        <v>34</v>
      </c>
      <c r="H36">
        <f t="shared" ca="1" si="3"/>
        <v>1633.7640906167715</v>
      </c>
      <c r="I36">
        <f t="shared" ca="1" si="4"/>
        <v>157968.8853602325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42800</v>
      </c>
      <c r="B39" s="66">
        <v>42800</v>
      </c>
      <c r="D39">
        <f t="shared" si="0"/>
        <v>51.933554172278647</v>
      </c>
      <c r="E39">
        <f t="shared" si="1"/>
        <v>51.933554172278647</v>
      </c>
      <c r="G39">
        <f t="shared" ca="1" si="2"/>
        <v>37</v>
      </c>
      <c r="H39">
        <f t="shared" ca="1" si="3"/>
        <v>1921.5415043743099</v>
      </c>
      <c r="I39">
        <f t="shared" ca="1" si="4"/>
        <v>153331.03443082285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46291</v>
      </c>
      <c r="B41" s="66">
        <v>46291</v>
      </c>
      <c r="D41">
        <f t="shared" si="0"/>
        <v>56.169536359554925</v>
      </c>
      <c r="E41">
        <f t="shared" si="1"/>
        <v>56.169536359554925</v>
      </c>
      <c r="G41">
        <f t="shared" ca="1" si="2"/>
        <v>39</v>
      </c>
      <c r="H41">
        <f t="shared" ca="1" si="3"/>
        <v>2190.6119180226419</v>
      </c>
      <c r="I41">
        <f t="shared" ca="1" si="4"/>
        <v>153854.01712030001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47759</v>
      </c>
      <c r="B44" s="66">
        <v>47759</v>
      </c>
      <c r="D44">
        <f t="shared" si="0"/>
        <v>57.950808731632144</v>
      </c>
      <c r="E44">
        <f t="shared" si="1"/>
        <v>57.950808731632144</v>
      </c>
      <c r="G44">
        <f t="shared" ca="1" si="2"/>
        <v>42</v>
      </c>
      <c r="H44">
        <f t="shared" ca="1" si="3"/>
        <v>2433.9339667285499</v>
      </c>
      <c r="I44">
        <f t="shared" ca="1" si="4"/>
        <v>141057.03211483182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51572</v>
      </c>
      <c r="B46" s="66">
        <v>51572</v>
      </c>
      <c r="D46">
        <f t="shared" si="0"/>
        <v>62.577505975998932</v>
      </c>
      <c r="E46">
        <f t="shared" si="1"/>
        <v>62.577505975998932</v>
      </c>
      <c r="G46">
        <f t="shared" ca="1" si="2"/>
        <v>44</v>
      </c>
      <c r="H46">
        <f t="shared" ca="1" si="3"/>
        <v>2753.4102629439531</v>
      </c>
      <c r="I46">
        <f t="shared" ca="1" si="4"/>
        <v>140219.70343143767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52908</v>
      </c>
      <c r="B49" s="66">
        <v>52908</v>
      </c>
      <c r="D49">
        <f t="shared" si="0"/>
        <v>64.198609442685012</v>
      </c>
      <c r="E49">
        <f t="shared" si="1"/>
        <v>64.198609442685012</v>
      </c>
      <c r="G49">
        <f t="shared" ca="1" si="2"/>
        <v>47</v>
      </c>
      <c r="H49">
        <f t="shared" ca="1" si="3"/>
        <v>3017.3346438061953</v>
      </c>
      <c r="I49">
        <f t="shared" ca="1" si="4"/>
        <v>126196.36316211266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56922</v>
      </c>
      <c r="B51" s="66">
        <v>56922</v>
      </c>
      <c r="D51">
        <f t="shared" si="0"/>
        <v>69.069200247533757</v>
      </c>
      <c r="E51">
        <f t="shared" si="1"/>
        <v>69.069200247533757</v>
      </c>
      <c r="G51">
        <f t="shared" ca="1" si="2"/>
        <v>49</v>
      </c>
      <c r="H51">
        <f t="shared" ca="1" si="3"/>
        <v>3384.3908121291543</v>
      </c>
      <c r="I51">
        <f t="shared" ca="1" si="4"/>
        <v>123797.72415262574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57120</v>
      </c>
      <c r="B54" s="66">
        <v>57120</v>
      </c>
      <c r="D54">
        <f t="shared" si="0"/>
        <v>69.309453605620476</v>
      </c>
      <c r="E54">
        <f t="shared" si="1"/>
        <v>69.309453605620476</v>
      </c>
      <c r="G54">
        <f t="shared" ca="1" si="2"/>
        <v>52</v>
      </c>
      <c r="H54">
        <f t="shared" ca="1" si="3"/>
        <v>3604.0915874922648</v>
      </c>
      <c r="I54">
        <f t="shared" ca="1" si="4"/>
        <v>107246.24845776247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60696</v>
      </c>
      <c r="B57" s="66">
        <v>60696</v>
      </c>
      <c r="D57">
        <f t="shared" si="0"/>
        <v>73.648574860762253</v>
      </c>
      <c r="E57">
        <f t="shared" si="1"/>
        <v>73.648574860762253</v>
      </c>
      <c r="G57">
        <f t="shared" ca="1" si="2"/>
        <v>55</v>
      </c>
      <c r="H57">
        <f t="shared" ca="1" si="3"/>
        <v>4050.671617341924</v>
      </c>
      <c r="I57">
        <f t="shared" ca="1" si="4"/>
        <v>97240.814495325511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58151</v>
      </c>
      <c r="B59" s="66">
        <v>58151</v>
      </c>
      <c r="D59">
        <f t="shared" si="0"/>
        <v>70.560469828789152</v>
      </c>
      <c r="E59">
        <f t="shared" si="1"/>
        <v>70.560469828789152</v>
      </c>
      <c r="G59">
        <f t="shared" ca="1" si="2"/>
        <v>57</v>
      </c>
      <c r="H59">
        <f t="shared" ca="1" si="3"/>
        <v>4021.9467802409818</v>
      </c>
      <c r="I59">
        <f t="shared" ca="1" si="4"/>
        <v>83190.063158136094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52704</v>
      </c>
      <c r="B62" s="66">
        <v>52704</v>
      </c>
      <c r="D62">
        <f t="shared" si="0"/>
        <v>63.951075679807801</v>
      </c>
      <c r="E62">
        <f t="shared" si="1"/>
        <v>63.951075679807801</v>
      </c>
      <c r="G62">
        <f t="shared" ca="1" si="2"/>
        <v>60</v>
      </c>
      <c r="H62">
        <f t="shared" ca="1" si="3"/>
        <v>3837.0645407884681</v>
      </c>
      <c r="I62">
        <f t="shared" ca="1" si="4"/>
        <v>62798.110155990151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55065</v>
      </c>
      <c r="B64" s="66">
        <v>55065</v>
      </c>
      <c r="D64">
        <f t="shared" si="0"/>
        <v>66.81591496487205</v>
      </c>
      <c r="E64">
        <f t="shared" si="1"/>
        <v>66.81591496487205</v>
      </c>
      <c r="G64">
        <f t="shared" ca="1" si="2"/>
        <v>62</v>
      </c>
      <c r="H64">
        <f t="shared" ca="1" si="3"/>
        <v>4142.5867278220667</v>
      </c>
      <c r="I64">
        <f t="shared" ca="1" si="4"/>
        <v>57503.477364504404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53705</v>
      </c>
      <c r="B67" s="66">
        <v>53705</v>
      </c>
      <c r="D67">
        <f t="shared" ref="D67:D130" si="5">IFERROR(100*A67/MAX(A$2:A$257), 0 )</f>
        <v>65.165689879023944</v>
      </c>
      <c r="E67">
        <f t="shared" ref="E67:E130" si="6">IFERROR(100*B67/MAX(B$2:B$257), 0 )</f>
        <v>65.165689879023944</v>
      </c>
      <c r="G67">
        <f t="shared" ref="G67:G130" ca="1" si="7">CELL("row",D67)-2</f>
        <v>65</v>
      </c>
      <c r="H67">
        <f t="shared" ref="H67:H130" ca="1" si="8">D67*G67</f>
        <v>4235.7698421365567</v>
      </c>
      <c r="I67">
        <f t="shared" ref="I67:I130" ca="1" si="9">D67*((G67-$L$1)^2)</f>
        <v>45199.375108410364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52119</v>
      </c>
      <c r="B69" s="66">
        <v>52119</v>
      </c>
      <c r="D69">
        <f t="shared" si="5"/>
        <v>63.241236212733426</v>
      </c>
      <c r="E69">
        <f t="shared" si="6"/>
        <v>63.241236212733426</v>
      </c>
      <c r="G69">
        <f t="shared" ca="1" si="7"/>
        <v>67</v>
      </c>
      <c r="H69">
        <f t="shared" ca="1" si="8"/>
        <v>4237.1628262531394</v>
      </c>
      <c r="I69">
        <f t="shared" ca="1" si="9"/>
        <v>37455.334941342175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47523</v>
      </c>
      <c r="B72" s="66">
        <v>47523</v>
      </c>
      <c r="D72">
        <f t="shared" si="5"/>
        <v>57.664446143205559</v>
      </c>
      <c r="E72">
        <f t="shared" si="6"/>
        <v>57.664446143205559</v>
      </c>
      <c r="G72">
        <f t="shared" ca="1" si="7"/>
        <v>70</v>
      </c>
      <c r="H72">
        <f t="shared" ca="1" si="8"/>
        <v>4036.5112300243891</v>
      </c>
      <c r="I72">
        <f t="shared" ca="1" si="9"/>
        <v>26251.321578248477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47325</v>
      </c>
      <c r="B75" s="66">
        <v>47325</v>
      </c>
      <c r="D75">
        <f t="shared" si="5"/>
        <v>57.424192785118855</v>
      </c>
      <c r="E75">
        <f t="shared" si="6"/>
        <v>57.424192785118855</v>
      </c>
      <c r="G75">
        <f t="shared" ca="1" si="7"/>
        <v>73</v>
      </c>
      <c r="H75">
        <f t="shared" ca="1" si="8"/>
        <v>4191.9660733136761</v>
      </c>
      <c r="I75">
        <f t="shared" ca="1" si="9"/>
        <v>19307.406016052926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50825</v>
      </c>
      <c r="B77" s="66">
        <v>50825</v>
      </c>
      <c r="D77">
        <f t="shared" si="5"/>
        <v>61.671095579580893</v>
      </c>
      <c r="E77">
        <f t="shared" si="6"/>
        <v>61.671095579580893</v>
      </c>
      <c r="G77">
        <f t="shared" ca="1" si="7"/>
        <v>75</v>
      </c>
      <c r="H77">
        <f t="shared" ca="1" si="8"/>
        <v>4625.332168468567</v>
      </c>
      <c r="I77">
        <f t="shared" ca="1" si="9"/>
        <v>16458.693995140435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52431</v>
      </c>
      <c r="B80" s="66">
        <v>52431</v>
      </c>
      <c r="D80">
        <f t="shared" si="5"/>
        <v>63.619817261839756</v>
      </c>
      <c r="E80">
        <f t="shared" si="6"/>
        <v>63.619817261839756</v>
      </c>
      <c r="G80">
        <f t="shared" ca="1" si="7"/>
        <v>78</v>
      </c>
      <c r="H80">
        <f t="shared" ca="1" si="8"/>
        <v>4962.3457464235007</v>
      </c>
      <c r="I80">
        <f t="shared" ca="1" si="9"/>
        <v>11315.424610341568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59061</v>
      </c>
      <c r="B82" s="66">
        <v>59061</v>
      </c>
      <c r="D82">
        <f t="shared" si="5"/>
        <v>71.664664555349276</v>
      </c>
      <c r="E82">
        <f t="shared" si="6"/>
        <v>71.664664555349276</v>
      </c>
      <c r="G82">
        <f t="shared" ca="1" si="7"/>
        <v>80</v>
      </c>
      <c r="H82">
        <f t="shared" ca="1" si="8"/>
        <v>5733.1731644279425</v>
      </c>
      <c r="I82">
        <f t="shared" ca="1" si="9"/>
        <v>9209.9404370359389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60718</v>
      </c>
      <c r="B85" s="66">
        <v>60718</v>
      </c>
      <c r="D85">
        <f t="shared" si="5"/>
        <v>73.675269678327453</v>
      </c>
      <c r="E85">
        <f t="shared" si="6"/>
        <v>73.675269678327453</v>
      </c>
      <c r="G85">
        <f t="shared" ca="1" si="7"/>
        <v>83</v>
      </c>
      <c r="H85">
        <f t="shared" ca="1" si="8"/>
        <v>6115.0473833011783</v>
      </c>
      <c r="I85">
        <f t="shared" ca="1" si="9"/>
        <v>5120.1273569000477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65677</v>
      </c>
      <c r="B88" s="66">
        <v>65677</v>
      </c>
      <c r="D88">
        <f t="shared" si="5"/>
        <v>79.692524237680942</v>
      </c>
      <c r="E88">
        <f t="shared" si="6"/>
        <v>79.692524237680942</v>
      </c>
      <c r="G88">
        <f t="shared" ca="1" si="7"/>
        <v>86</v>
      </c>
      <c r="H88">
        <f t="shared" ca="1" si="8"/>
        <v>6853.5570844405611</v>
      </c>
      <c r="I88">
        <f t="shared" ca="1" si="9"/>
        <v>2269.4329922470952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67026</v>
      </c>
      <c r="B90" s="66">
        <v>67026</v>
      </c>
      <c r="D90">
        <f t="shared" si="5"/>
        <v>81.329401914746455</v>
      </c>
      <c r="E90">
        <f t="shared" si="6"/>
        <v>81.329401914746455</v>
      </c>
      <c r="G90">
        <f t="shared" ca="1" si="7"/>
        <v>88</v>
      </c>
      <c r="H90">
        <f t="shared" ca="1" si="8"/>
        <v>7156.9873684976883</v>
      </c>
      <c r="I90">
        <f t="shared" ca="1" si="9"/>
        <v>905.33362323323047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78680</v>
      </c>
      <c r="B93" s="66">
        <v>78680</v>
      </c>
      <c r="D93">
        <f t="shared" si="5"/>
        <v>95.470374819506631</v>
      </c>
      <c r="E93">
        <f t="shared" si="6"/>
        <v>95.470374819506631</v>
      </c>
      <c r="G93">
        <f t="shared" ca="1" si="7"/>
        <v>91</v>
      </c>
      <c r="H93">
        <f t="shared" ca="1" si="8"/>
        <v>8687.8041085751029</v>
      </c>
      <c r="I93">
        <f t="shared" ca="1" si="9"/>
        <v>10.805096911762414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78993</v>
      </c>
      <c r="B95" s="66">
        <v>78993</v>
      </c>
      <c r="D95">
        <f t="shared" si="5"/>
        <v>95.850169269411381</v>
      </c>
      <c r="E95">
        <f t="shared" si="6"/>
        <v>95.850169269411381</v>
      </c>
      <c r="G95">
        <f t="shared" ca="1" si="7"/>
        <v>93</v>
      </c>
      <c r="H95">
        <f t="shared" ca="1" si="8"/>
        <v>8914.0657420552579</v>
      </c>
      <c r="I95">
        <f t="shared" ca="1" si="9"/>
        <v>265.2656331369983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82413</v>
      </c>
      <c r="B98" s="66">
        <v>82413</v>
      </c>
      <c r="D98">
        <f t="shared" si="5"/>
        <v>100</v>
      </c>
      <c r="E98">
        <f t="shared" si="6"/>
        <v>100</v>
      </c>
      <c r="G98">
        <f t="shared" ca="1" si="7"/>
        <v>96</v>
      </c>
      <c r="H98">
        <f t="shared" ca="1" si="8"/>
        <v>9600</v>
      </c>
      <c r="I98">
        <f t="shared" ca="1" si="9"/>
        <v>2174.8991328180391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80514</v>
      </c>
      <c r="B100" s="66">
        <v>80514</v>
      </c>
      <c r="D100">
        <f t="shared" si="5"/>
        <v>97.695751883804746</v>
      </c>
      <c r="E100">
        <f t="shared" si="6"/>
        <v>97.695751883804746</v>
      </c>
      <c r="G100">
        <f t="shared" ca="1" si="7"/>
        <v>98</v>
      </c>
      <c r="H100">
        <f t="shared" ca="1" si="8"/>
        <v>9574.1836846128645</v>
      </c>
      <c r="I100">
        <f t="shared" ca="1" si="9"/>
        <v>4338.0154273061635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78637</v>
      </c>
      <c r="B103" s="66">
        <v>78637</v>
      </c>
      <c r="D103">
        <f t="shared" si="5"/>
        <v>95.418198585174665</v>
      </c>
      <c r="E103">
        <f t="shared" si="6"/>
        <v>95.418198585174665</v>
      </c>
      <c r="G103">
        <f t="shared" ca="1" si="7"/>
        <v>101</v>
      </c>
      <c r="H103">
        <f t="shared" ca="1" si="8"/>
        <v>9637.2380571026406</v>
      </c>
      <c r="I103">
        <f t="shared" ca="1" si="9"/>
        <v>8910.6098846810655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74729</v>
      </c>
      <c r="B106" s="66">
        <v>74729</v>
      </c>
      <c r="D106">
        <f t="shared" si="5"/>
        <v>90.676228264958198</v>
      </c>
      <c r="E106">
        <f t="shared" si="6"/>
        <v>90.676228264958198</v>
      </c>
      <c r="G106">
        <f t="shared" ca="1" si="7"/>
        <v>104</v>
      </c>
      <c r="H106">
        <f t="shared" ca="1" si="8"/>
        <v>9430.3277395556524</v>
      </c>
      <c r="I106">
        <f t="shared" ca="1" si="9"/>
        <v>14541.410633353642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75248</v>
      </c>
      <c r="B108" s="66">
        <v>75248</v>
      </c>
      <c r="D108">
        <f t="shared" si="5"/>
        <v>91.305983279336999</v>
      </c>
      <c r="E108">
        <f t="shared" si="6"/>
        <v>91.305983279336999</v>
      </c>
      <c r="G108">
        <f t="shared" ca="1" si="7"/>
        <v>106</v>
      </c>
      <c r="H108">
        <f t="shared" ca="1" si="8"/>
        <v>9678.4342276097213</v>
      </c>
      <c r="I108">
        <f t="shared" ca="1" si="9"/>
        <v>19632.669044458817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71767</v>
      </c>
      <c r="B111" s="66">
        <v>71767</v>
      </c>
      <c r="D111">
        <f t="shared" si="5"/>
        <v>87.082135100044894</v>
      </c>
      <c r="E111">
        <f t="shared" si="6"/>
        <v>87.082135100044894</v>
      </c>
      <c r="G111">
        <f t="shared" ca="1" si="7"/>
        <v>109</v>
      </c>
      <c r="H111">
        <f t="shared" ca="1" si="8"/>
        <v>9491.9527259048937</v>
      </c>
      <c r="I111">
        <f t="shared" ca="1" si="9"/>
        <v>27169.809661183575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63731</v>
      </c>
      <c r="B113" s="66">
        <v>63731</v>
      </c>
      <c r="D113">
        <f t="shared" si="5"/>
        <v>77.331246283960056</v>
      </c>
      <c r="E113">
        <f t="shared" si="6"/>
        <v>77.331246283960056</v>
      </c>
      <c r="G113">
        <f t="shared" ca="1" si="7"/>
        <v>111</v>
      </c>
      <c r="H113">
        <f t="shared" ca="1" si="8"/>
        <v>8583.7683375195666</v>
      </c>
      <c r="I113">
        <f t="shared" ca="1" si="9"/>
        <v>29900.623836603561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59753</v>
      </c>
      <c r="B116" s="66">
        <v>59753</v>
      </c>
      <c r="D116">
        <f t="shared" si="5"/>
        <v>72.50433790785435</v>
      </c>
      <c r="E116">
        <f t="shared" si="6"/>
        <v>72.50433790785435</v>
      </c>
      <c r="G116">
        <f t="shared" ca="1" si="7"/>
        <v>114</v>
      </c>
      <c r="H116">
        <f t="shared" ca="1" si="8"/>
        <v>8265.494521495395</v>
      </c>
      <c r="I116">
        <f t="shared" ca="1" si="9"/>
        <v>37240.977398342002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56537</v>
      </c>
      <c r="B118" s="66">
        <v>56537</v>
      </c>
      <c r="D118">
        <f t="shared" si="5"/>
        <v>68.602040940142942</v>
      </c>
      <c r="E118">
        <f t="shared" si="6"/>
        <v>68.602040940142942</v>
      </c>
      <c r="G118">
        <f t="shared" ca="1" si="7"/>
        <v>116</v>
      </c>
      <c r="H118">
        <f t="shared" ca="1" si="8"/>
        <v>7957.8367490565815</v>
      </c>
      <c r="I118">
        <f t="shared" ca="1" si="9"/>
        <v>41730.089611753465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52027</v>
      </c>
      <c r="B121" s="66">
        <v>52027</v>
      </c>
      <c r="D121">
        <f t="shared" si="5"/>
        <v>63.129603339278994</v>
      </c>
      <c r="E121">
        <f t="shared" si="6"/>
        <v>63.129603339278994</v>
      </c>
      <c r="G121">
        <f t="shared" ca="1" si="7"/>
        <v>119</v>
      </c>
      <c r="H121">
        <f t="shared" ca="1" si="8"/>
        <v>7512.4227973741999</v>
      </c>
      <c r="I121">
        <f t="shared" ca="1" si="9"/>
        <v>48311.427336955479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46539</v>
      </c>
      <c r="B124" s="66">
        <v>46539</v>
      </c>
      <c r="D124">
        <f t="shared" si="5"/>
        <v>56.470459757562523</v>
      </c>
      <c r="E124">
        <f t="shared" si="6"/>
        <v>56.470459757562523</v>
      </c>
      <c r="G124">
        <f t="shared" ca="1" si="7"/>
        <v>122</v>
      </c>
      <c r="H124">
        <f t="shared" ca="1" si="8"/>
        <v>6889.3960904226278</v>
      </c>
      <c r="I124">
        <f t="shared" ca="1" si="9"/>
        <v>53096.644749925952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42190</v>
      </c>
      <c r="B126" s="66">
        <v>42190</v>
      </c>
      <c r="D126">
        <f t="shared" si="5"/>
        <v>51.193379685243833</v>
      </c>
      <c r="E126">
        <f t="shared" si="6"/>
        <v>51.193379685243833</v>
      </c>
      <c r="G126">
        <f t="shared" ca="1" si="7"/>
        <v>124</v>
      </c>
      <c r="H126">
        <f t="shared" ca="1" si="8"/>
        <v>6347.9790809702354</v>
      </c>
      <c r="I126">
        <f t="shared" ca="1" si="9"/>
        <v>54618.705624096721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43618</v>
      </c>
      <c r="B129" s="66">
        <v>43618</v>
      </c>
      <c r="D129">
        <f t="shared" si="5"/>
        <v>52.926116025384346</v>
      </c>
      <c r="E129">
        <f t="shared" si="6"/>
        <v>52.926116025384346</v>
      </c>
      <c r="G129">
        <f t="shared" ca="1" si="7"/>
        <v>127</v>
      </c>
      <c r="H129">
        <f t="shared" ca="1" si="8"/>
        <v>6721.6167352238117</v>
      </c>
      <c r="I129">
        <f t="shared" ca="1" si="9"/>
        <v>67316.252604167501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45227</v>
      </c>
      <c r="B131" s="66">
        <v>45227</v>
      </c>
      <c r="D131">
        <f t="shared" ref="D131:D194" si="10">IFERROR(100*A131/MAX(A$2:A$257), 0 )</f>
        <v>54.878477910038463</v>
      </c>
      <c r="E131">
        <f t="shared" ref="E131:E194" si="11">IFERROR(100*B131/MAX(B$2:B$257), 0 )</f>
        <v>54.878477910038463</v>
      </c>
      <c r="G131">
        <f t="shared" ref="G131:G194" ca="1" si="12">CELL("row",D131)-2</f>
        <v>129</v>
      </c>
      <c r="H131">
        <f t="shared" ref="H131:H194" ca="1" si="13">D131*G131</f>
        <v>7079.323650394962</v>
      </c>
      <c r="I131">
        <f t="shared" ref="I131:I194" ca="1" si="14">D131*((G131-$L$1)^2)</f>
        <v>77847.610350953473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47037</v>
      </c>
      <c r="B134" s="66">
        <v>47037</v>
      </c>
      <c r="D134">
        <f t="shared" si="10"/>
        <v>57.074733355174544</v>
      </c>
      <c r="E134">
        <f t="shared" si="11"/>
        <v>57.074733355174544</v>
      </c>
      <c r="G134">
        <f t="shared" ca="1" si="12"/>
        <v>132</v>
      </c>
      <c r="H134">
        <f t="shared" ca="1" si="13"/>
        <v>7533.8648028830394</v>
      </c>
      <c r="I134">
        <f t="shared" ca="1" si="14"/>
        <v>94374.604116403847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47318</v>
      </c>
      <c r="B136" s="66">
        <v>47318</v>
      </c>
      <c r="D136">
        <f t="shared" si="10"/>
        <v>57.415698979529928</v>
      </c>
      <c r="E136">
        <f t="shared" si="11"/>
        <v>57.415698979529928</v>
      </c>
      <c r="G136">
        <f t="shared" ca="1" si="12"/>
        <v>134</v>
      </c>
      <c r="H136">
        <f t="shared" ca="1" si="13"/>
        <v>7693.7036632570107</v>
      </c>
      <c r="I136">
        <f t="shared" ca="1" si="14"/>
        <v>104506.97452022837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51225</v>
      </c>
      <c r="B139" s="66">
        <v>51225</v>
      </c>
      <c r="D139">
        <f t="shared" si="10"/>
        <v>62.156455898947982</v>
      </c>
      <c r="E139">
        <f t="shared" si="11"/>
        <v>62.156455898947982</v>
      </c>
      <c r="G139">
        <f t="shared" ca="1" si="12"/>
        <v>137</v>
      </c>
      <c r="H139">
        <f t="shared" ca="1" si="13"/>
        <v>8515.4344581558744</v>
      </c>
      <c r="I139">
        <f t="shared" ca="1" si="14"/>
        <v>129606.32121941312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47416</v>
      </c>
      <c r="B142" s="66">
        <v>47416</v>
      </c>
      <c r="D142">
        <f t="shared" si="10"/>
        <v>57.534612257774867</v>
      </c>
      <c r="E142">
        <f t="shared" si="11"/>
        <v>57.534612257774867</v>
      </c>
      <c r="G142">
        <f t="shared" ca="1" si="12"/>
        <v>140</v>
      </c>
      <c r="H142">
        <f t="shared" ca="1" si="13"/>
        <v>8054.8457160884818</v>
      </c>
      <c r="I142">
        <f t="shared" ca="1" si="14"/>
        <v>136250.25562190876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43359</v>
      </c>
      <c r="B144" s="66">
        <v>43359</v>
      </c>
      <c r="D144">
        <f t="shared" si="10"/>
        <v>52.611845218594155</v>
      </c>
      <c r="E144">
        <f t="shared" si="11"/>
        <v>52.611845218594155</v>
      </c>
      <c r="G144">
        <f t="shared" ca="1" si="12"/>
        <v>142</v>
      </c>
      <c r="H144">
        <f t="shared" ca="1" si="13"/>
        <v>7470.8820210403701</v>
      </c>
      <c r="I144">
        <f t="shared" ca="1" si="14"/>
        <v>135044.00426793305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38217</v>
      </c>
      <c r="B147" s="66">
        <v>38217</v>
      </c>
      <c r="D147">
        <f t="shared" si="10"/>
        <v>46.372538313130207</v>
      </c>
      <c r="E147">
        <f t="shared" si="11"/>
        <v>46.372538313130207</v>
      </c>
      <c r="G147">
        <f t="shared" ca="1" si="12"/>
        <v>145</v>
      </c>
      <c r="H147">
        <f t="shared" ca="1" si="13"/>
        <v>6724.0180554038798</v>
      </c>
      <c r="I147">
        <f t="shared" ca="1" si="14"/>
        <v>133542.70685270216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44140</v>
      </c>
      <c r="B149" s="66">
        <v>44140</v>
      </c>
      <c r="D149">
        <f t="shared" si="10"/>
        <v>53.559511242158401</v>
      </c>
      <c r="E149">
        <f t="shared" si="11"/>
        <v>53.559511242158401</v>
      </c>
      <c r="G149">
        <f t="shared" ca="1" si="12"/>
        <v>147</v>
      </c>
      <c r="H149">
        <f t="shared" ca="1" si="13"/>
        <v>7873.2481525972853</v>
      </c>
      <c r="I149">
        <f t="shared" ca="1" si="14"/>
        <v>165950.62632378901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40274</v>
      </c>
      <c r="B152" s="66">
        <v>40274</v>
      </c>
      <c r="D152">
        <f t="shared" si="10"/>
        <v>48.868503755475473</v>
      </c>
      <c r="E152">
        <f t="shared" si="11"/>
        <v>48.868503755475473</v>
      </c>
      <c r="G152">
        <f t="shared" ca="1" si="12"/>
        <v>150</v>
      </c>
      <c r="H152">
        <f t="shared" ca="1" si="13"/>
        <v>7330.275563321321</v>
      </c>
      <c r="I152">
        <f t="shared" ca="1" si="14"/>
        <v>168176.84000987755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29915</v>
      </c>
      <c r="B154" s="66">
        <v>29915</v>
      </c>
      <c r="D154">
        <f t="shared" si="10"/>
        <v>36.298884884666251</v>
      </c>
      <c r="E154">
        <f t="shared" si="11"/>
        <v>36.298884884666251</v>
      </c>
      <c r="G154">
        <f t="shared" ca="1" si="12"/>
        <v>152</v>
      </c>
      <c r="H154">
        <f t="shared" ca="1" si="13"/>
        <v>5517.4305024692703</v>
      </c>
      <c r="I154">
        <f t="shared" ca="1" si="14"/>
        <v>133582.44115870135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21053</v>
      </c>
      <c r="B157" s="66">
        <v>21053</v>
      </c>
      <c r="D157">
        <f t="shared" si="10"/>
        <v>25.54572700908837</v>
      </c>
      <c r="E157">
        <f t="shared" si="11"/>
        <v>25.54572700908837</v>
      </c>
      <c r="G157">
        <f t="shared" ca="1" si="12"/>
        <v>155</v>
      </c>
      <c r="H157">
        <f t="shared" ca="1" si="13"/>
        <v>3959.5876864086972</v>
      </c>
      <c r="I157">
        <f t="shared" ca="1" si="14"/>
        <v>103538.14959139437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17779</v>
      </c>
      <c r="B160" s="66">
        <v>17779</v>
      </c>
      <c r="D160">
        <f t="shared" si="10"/>
        <v>21.57305279506874</v>
      </c>
      <c r="E160">
        <f t="shared" si="11"/>
        <v>21.57305279506874</v>
      </c>
      <c r="G160">
        <f t="shared" ca="1" si="12"/>
        <v>158</v>
      </c>
      <c r="H160">
        <f t="shared" ca="1" si="13"/>
        <v>3408.542341620861</v>
      </c>
      <c r="I160">
        <f t="shared" ca="1" si="14"/>
        <v>95871.360322244174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11366</v>
      </c>
      <c r="B162" s="66">
        <v>11366</v>
      </c>
      <c r="D162">
        <f t="shared" si="10"/>
        <v>13.791513474815867</v>
      </c>
      <c r="E162">
        <f t="shared" si="11"/>
        <v>13.791513474815867</v>
      </c>
      <c r="G162">
        <f t="shared" ca="1" si="12"/>
        <v>160</v>
      </c>
      <c r="H162">
        <f t="shared" ca="1" si="13"/>
        <v>2206.6421559705386</v>
      </c>
      <c r="I162">
        <f t="shared" ca="1" si="14"/>
        <v>65022.674924164836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7606</v>
      </c>
      <c r="B165" s="66">
        <v>7606</v>
      </c>
      <c r="D165">
        <f t="shared" si="10"/>
        <v>9.2291264727652198</v>
      </c>
      <c r="E165">
        <f t="shared" si="11"/>
        <v>9.2291264727652198</v>
      </c>
      <c r="G165">
        <f t="shared" ca="1" si="12"/>
        <v>163</v>
      </c>
      <c r="H165">
        <f t="shared" ca="1" si="13"/>
        <v>1504.3476150607307</v>
      </c>
      <c r="I165">
        <f t="shared" ca="1" si="14"/>
        <v>47397.737771064152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5962</v>
      </c>
      <c r="B167" s="66">
        <v>5962</v>
      </c>
      <c r="D167">
        <f t="shared" si="10"/>
        <v>7.2342955601664789</v>
      </c>
      <c r="E167">
        <f t="shared" si="11"/>
        <v>7.2342955601664789</v>
      </c>
      <c r="G167">
        <f t="shared" ca="1" si="12"/>
        <v>165</v>
      </c>
      <c r="H167">
        <f t="shared" ca="1" si="13"/>
        <v>1193.658767427469</v>
      </c>
      <c r="I167">
        <f t="shared" ca="1" si="14"/>
        <v>39255.625995579074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5292</v>
      </c>
      <c r="B170" s="66">
        <v>5292</v>
      </c>
      <c r="D170">
        <f t="shared" si="10"/>
        <v>6.4213170252266023</v>
      </c>
      <c r="E170">
        <f t="shared" si="11"/>
        <v>6.4213170252266023</v>
      </c>
      <c r="G170">
        <f t="shared" ca="1" si="12"/>
        <v>168</v>
      </c>
      <c r="H170">
        <f t="shared" ca="1" si="13"/>
        <v>1078.7812602380691</v>
      </c>
      <c r="I170">
        <f t="shared" ca="1" si="14"/>
        <v>37740.036801071881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3859</v>
      </c>
      <c r="B173" s="66">
        <v>3859</v>
      </c>
      <c r="D173">
        <f t="shared" si="10"/>
        <v>4.6825136810940018</v>
      </c>
      <c r="E173">
        <f t="shared" si="11"/>
        <v>4.6825136810940018</v>
      </c>
      <c r="G173">
        <f t="shared" ca="1" si="12"/>
        <v>171</v>
      </c>
      <c r="H173">
        <f t="shared" ca="1" si="13"/>
        <v>800.70983946707429</v>
      </c>
      <c r="I173">
        <f t="shared" ca="1" si="14"/>
        <v>29716.571950844344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4075</v>
      </c>
      <c r="B175" s="66">
        <v>4075</v>
      </c>
      <c r="D175">
        <f t="shared" si="10"/>
        <v>4.9446082535522304</v>
      </c>
      <c r="E175">
        <f t="shared" si="11"/>
        <v>4.9446082535522304</v>
      </c>
      <c r="G175">
        <f t="shared" ca="1" si="12"/>
        <v>173</v>
      </c>
      <c r="H175">
        <f t="shared" ca="1" si="13"/>
        <v>855.4172278645359</v>
      </c>
      <c r="I175">
        <f t="shared" ca="1" si="14"/>
        <v>32975.29835995855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3400</v>
      </c>
      <c r="B178" s="66">
        <v>3400</v>
      </c>
      <c r="D178">
        <f t="shared" si="10"/>
        <v>4.1255627146202665</v>
      </c>
      <c r="E178">
        <f t="shared" si="11"/>
        <v>4.1255627146202665</v>
      </c>
      <c r="G178">
        <f t="shared" ca="1" si="12"/>
        <v>176</v>
      </c>
      <c r="H178">
        <f t="shared" ca="1" si="13"/>
        <v>726.09903777316686</v>
      </c>
      <c r="I178">
        <f t="shared" ca="1" si="14"/>
        <v>29571.711797393793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2321</v>
      </c>
      <c r="B180" s="66">
        <v>2321</v>
      </c>
      <c r="D180">
        <f t="shared" si="10"/>
        <v>2.8163032531275407</v>
      </c>
      <c r="E180">
        <f t="shared" si="11"/>
        <v>2.8163032531275407</v>
      </c>
      <c r="G180">
        <f t="shared" ca="1" si="12"/>
        <v>178</v>
      </c>
      <c r="H180">
        <f t="shared" ca="1" si="13"/>
        <v>501.30197905670224</v>
      </c>
      <c r="I180">
        <f t="shared" ca="1" si="14"/>
        <v>21152.060574576808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652</v>
      </c>
      <c r="B183" s="66">
        <v>652</v>
      </c>
      <c r="D183">
        <f t="shared" si="10"/>
        <v>0.79113732056835695</v>
      </c>
      <c r="E183">
        <f t="shared" si="11"/>
        <v>0.79113732056835695</v>
      </c>
      <c r="G183">
        <f t="shared" ca="1" si="12"/>
        <v>181</v>
      </c>
      <c r="H183">
        <f t="shared" ca="1" si="13"/>
        <v>143.19585502287262</v>
      </c>
      <c r="I183">
        <f t="shared" ca="1" si="14"/>
        <v>6360.3942375402594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267</v>
      </c>
      <c r="B185" s="66">
        <v>267</v>
      </c>
      <c r="D185">
        <f t="shared" si="10"/>
        <v>0.32397801317753266</v>
      </c>
      <c r="E185">
        <f t="shared" si="11"/>
        <v>0.32397801317753266</v>
      </c>
      <c r="G185">
        <f t="shared" ca="1" si="12"/>
        <v>183</v>
      </c>
      <c r="H185">
        <f t="shared" ca="1" si="13"/>
        <v>59.287976411488479</v>
      </c>
      <c r="I185">
        <f t="shared" ca="1" si="14"/>
        <v>2722.1319993658576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272</v>
      </c>
      <c r="B188" s="66">
        <v>272</v>
      </c>
      <c r="D188">
        <f t="shared" si="10"/>
        <v>0.33004501716962131</v>
      </c>
      <c r="E188">
        <f t="shared" si="11"/>
        <v>0.33004501716962131</v>
      </c>
      <c r="G188">
        <f t="shared" ca="1" si="12"/>
        <v>186</v>
      </c>
      <c r="H188">
        <f t="shared" ca="1" si="13"/>
        <v>61.388373193549562</v>
      </c>
      <c r="I188">
        <f t="shared" ca="1" si="14"/>
        <v>2957.5973089410591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0.21249399999999999</v>
      </c>
      <c r="B2" s="68">
        <v>0.58422499999999999</v>
      </c>
      <c r="C2" s="68">
        <v>0</v>
      </c>
      <c r="D2" s="68">
        <v>1</v>
      </c>
      <c r="E2" s="68" t="s">
        <v>410</v>
      </c>
    </row>
    <row r="3" spans="1:5">
      <c r="A3" s="68">
        <v>0.21668999999999999</v>
      </c>
      <c r="B3" s="68">
        <v>0.57721299999999998</v>
      </c>
      <c r="C3" s="68">
        <v>0.403997</v>
      </c>
      <c r="D3" s="89">
        <v>1</v>
      </c>
      <c r="E3" s="68" t="s">
        <v>411</v>
      </c>
    </row>
    <row r="4" spans="1:5">
      <c r="A4" s="68">
        <v>0.220857</v>
      </c>
      <c r="B4" s="68">
        <v>0.569859</v>
      </c>
      <c r="C4" s="68">
        <v>0.80804200000000004</v>
      </c>
      <c r="D4" s="89">
        <v>1</v>
      </c>
      <c r="E4" s="68" t="s">
        <v>412</v>
      </c>
    </row>
    <row r="5" spans="1:5">
      <c r="A5" s="89">
        <v>0.224773</v>
      </c>
      <c r="B5" s="89">
        <v>0.56211299999999997</v>
      </c>
      <c r="C5" s="89">
        <v>1.2161500000000001</v>
      </c>
      <c r="D5" s="89">
        <v>1</v>
      </c>
      <c r="E5" s="68" t="s">
        <v>413</v>
      </c>
    </row>
    <row r="6" spans="1:5">
      <c r="A6" s="68">
        <v>0.22850799999999999</v>
      </c>
      <c r="B6" s="68">
        <v>0.55493899999999996</v>
      </c>
      <c r="C6" s="68">
        <v>1.62452</v>
      </c>
      <c r="D6" s="68">
        <v>1</v>
      </c>
      <c r="E6" s="68" t="s">
        <v>414</v>
      </c>
    </row>
    <row r="7" spans="1:5">
      <c r="A7" s="68">
        <v>0.232151</v>
      </c>
      <c r="B7" s="68">
        <v>0.54836099999999999</v>
      </c>
      <c r="C7" s="68">
        <v>2.02963</v>
      </c>
      <c r="D7" s="68">
        <v>1</v>
      </c>
      <c r="E7" s="68" t="s">
        <v>415</v>
      </c>
    </row>
    <row r="8" spans="1:5">
      <c r="A8" s="68">
        <v>0.23574600000000001</v>
      </c>
      <c r="B8" s="68">
        <v>0.54190099999999997</v>
      </c>
      <c r="C8" s="68">
        <v>2.4355000000000002</v>
      </c>
      <c r="D8" s="68">
        <v>1</v>
      </c>
      <c r="E8" s="68" t="s">
        <v>416</v>
      </c>
    </row>
    <row r="9" spans="1:5">
      <c r="A9" s="68">
        <v>0.23930899999999999</v>
      </c>
      <c r="B9" s="68">
        <v>0.53532299999999999</v>
      </c>
      <c r="C9" s="68">
        <v>2.8408500000000001</v>
      </c>
      <c r="D9" s="68">
        <v>1</v>
      </c>
      <c r="E9" s="68" t="s">
        <v>417</v>
      </c>
    </row>
    <row r="10" spans="1:5">
      <c r="A10" s="68">
        <v>0.242786</v>
      </c>
      <c r="B10" s="68">
        <v>0.52854500000000004</v>
      </c>
      <c r="C10" s="68">
        <v>3.24641</v>
      </c>
      <c r="D10" s="68">
        <v>1</v>
      </c>
      <c r="E10" s="68" t="s">
        <v>418</v>
      </c>
    </row>
    <row r="11" spans="1:5">
      <c r="A11" s="68">
        <v>0.24613599999999999</v>
      </c>
      <c r="B11" s="68">
        <v>0.52149000000000001</v>
      </c>
      <c r="C11" s="68">
        <v>3.6534599999999999</v>
      </c>
      <c r="D11" s="68">
        <v>1</v>
      </c>
      <c r="E11" s="68" t="s">
        <v>419</v>
      </c>
    </row>
    <row r="12" spans="1:5">
      <c r="A12" s="68">
        <v>0.24936800000000001</v>
      </c>
      <c r="B12" s="68">
        <v>0.51489799999999997</v>
      </c>
      <c r="C12" s="68">
        <v>4.06271</v>
      </c>
      <c r="D12" s="68">
        <v>1</v>
      </c>
      <c r="E12" s="68" t="s">
        <v>420</v>
      </c>
    </row>
    <row r="13" spans="1:5">
      <c r="A13" s="68">
        <v>0.25238699999999997</v>
      </c>
      <c r="B13" s="68">
        <v>0.50915299999999997</v>
      </c>
      <c r="C13" s="68">
        <v>4.4664099999999998</v>
      </c>
      <c r="D13" s="68">
        <v>1</v>
      </c>
      <c r="E13" s="68" t="s">
        <v>421</v>
      </c>
    </row>
    <row r="14" spans="1:5">
      <c r="A14" s="68">
        <v>0.25495000000000001</v>
      </c>
      <c r="B14" s="68">
        <v>0.50451400000000002</v>
      </c>
      <c r="C14" s="68">
        <v>4.8700599999999996</v>
      </c>
      <c r="D14" s="68">
        <v>1</v>
      </c>
      <c r="E14" s="68" t="s">
        <v>422</v>
      </c>
    </row>
    <row r="15" spans="1:5">
      <c r="A15" s="68">
        <v>0.25739600000000001</v>
      </c>
      <c r="B15" s="68">
        <v>0.49996499999999999</v>
      </c>
      <c r="C15" s="68">
        <v>5.2800099999999999</v>
      </c>
      <c r="D15" s="68">
        <v>1</v>
      </c>
      <c r="E15" s="68" t="s">
        <v>423</v>
      </c>
    </row>
    <row r="16" spans="1:5">
      <c r="A16" s="68">
        <v>0.259467</v>
      </c>
      <c r="B16" s="68">
        <v>0.49530400000000002</v>
      </c>
      <c r="C16" s="68">
        <v>5.6844299999999999</v>
      </c>
      <c r="D16" s="68">
        <v>1</v>
      </c>
      <c r="E16" s="68" t="s">
        <v>424</v>
      </c>
    </row>
    <row r="17" spans="1:5">
      <c r="A17" s="68">
        <v>0.26115500000000003</v>
      </c>
      <c r="B17" s="68">
        <v>0.49158099999999999</v>
      </c>
      <c r="C17" s="68">
        <v>6.0908499999999997</v>
      </c>
      <c r="D17" s="68">
        <v>1</v>
      </c>
      <c r="E17" s="68" t="s">
        <v>425</v>
      </c>
    </row>
    <row r="18" spans="1:5">
      <c r="A18" s="68">
        <v>0.262604</v>
      </c>
      <c r="B18" s="68">
        <v>0.488182</v>
      </c>
      <c r="C18" s="68">
        <v>6.4970400000000001</v>
      </c>
      <c r="D18" s="68">
        <v>1</v>
      </c>
      <c r="E18" s="68" t="s">
        <v>426</v>
      </c>
    </row>
    <row r="19" spans="1:5">
      <c r="A19" s="68">
        <v>0.26388800000000001</v>
      </c>
      <c r="B19" s="68">
        <v>0.48512499999999997</v>
      </c>
      <c r="C19" s="68">
        <v>6.9084700000000003</v>
      </c>
      <c r="D19" s="68">
        <v>1</v>
      </c>
      <c r="E19" s="68" t="s">
        <v>427</v>
      </c>
    </row>
    <row r="20" spans="1:5">
      <c r="A20" s="68">
        <v>0.26483000000000001</v>
      </c>
      <c r="B20" s="68">
        <v>0.48198000000000002</v>
      </c>
      <c r="C20" s="68">
        <v>7.3105900000000004</v>
      </c>
      <c r="D20" s="68">
        <v>1</v>
      </c>
      <c r="E20" s="68" t="s">
        <v>428</v>
      </c>
    </row>
    <row r="21" spans="1:5">
      <c r="A21" s="68">
        <v>0.26572400000000002</v>
      </c>
      <c r="B21" s="68">
        <v>0.47867399999999999</v>
      </c>
      <c r="C21" s="68">
        <v>7.7154800000000003</v>
      </c>
      <c r="D21" s="68">
        <v>1</v>
      </c>
      <c r="E21" s="68" t="s">
        <v>429</v>
      </c>
    </row>
    <row r="22" spans="1:5">
      <c r="A22" s="68">
        <v>0.266704</v>
      </c>
      <c r="B22" s="68">
        <v>0.47537600000000002</v>
      </c>
      <c r="C22" s="68">
        <v>8.1202400000000008</v>
      </c>
      <c r="D22" s="68">
        <v>1</v>
      </c>
      <c r="E22" s="68" t="s">
        <v>430</v>
      </c>
    </row>
    <row r="23" spans="1:5">
      <c r="A23" s="68">
        <v>0.26754499999999998</v>
      </c>
      <c r="B23" s="68">
        <v>0.47214299999999998</v>
      </c>
      <c r="C23" s="68">
        <v>8.5288500000000003</v>
      </c>
      <c r="D23" s="68">
        <v>1</v>
      </c>
      <c r="E23" s="68" t="s">
        <v>431</v>
      </c>
    </row>
    <row r="24" spans="1:5">
      <c r="A24" s="68">
        <v>0.26834400000000003</v>
      </c>
      <c r="B24" s="68">
        <v>0.468727</v>
      </c>
      <c r="C24" s="68">
        <v>8.9340899999999994</v>
      </c>
      <c r="D24" s="68">
        <v>1</v>
      </c>
      <c r="E24" s="68" t="s">
        <v>432</v>
      </c>
    </row>
    <row r="25" spans="1:5">
      <c r="A25" s="68">
        <v>0.26928000000000002</v>
      </c>
      <c r="B25" s="68">
        <v>0.46529999999999999</v>
      </c>
      <c r="C25" s="68">
        <v>9.3432600000000008</v>
      </c>
      <c r="D25" s="68">
        <v>1</v>
      </c>
      <c r="E25" s="68" t="s">
        <v>433</v>
      </c>
    </row>
    <row r="26" spans="1:5">
      <c r="A26" s="68">
        <v>0.27009300000000003</v>
      </c>
      <c r="B26" s="68">
        <v>0.46195000000000003</v>
      </c>
      <c r="C26" s="68">
        <v>9.7474699999999999</v>
      </c>
      <c r="D26" s="68">
        <v>1</v>
      </c>
      <c r="E26" s="68" t="s">
        <v>434</v>
      </c>
    </row>
    <row r="27" spans="1:5">
      <c r="A27" s="68">
        <v>0.27079700000000001</v>
      </c>
      <c r="B27" s="68">
        <v>0.45855400000000002</v>
      </c>
      <c r="C27" s="68">
        <v>10.150700000000001</v>
      </c>
      <c r="D27" s="68">
        <v>1</v>
      </c>
      <c r="E27" s="68" t="s">
        <v>435</v>
      </c>
    </row>
    <row r="28" spans="1:5">
      <c r="A28" s="68">
        <v>0.27149800000000002</v>
      </c>
      <c r="B28" s="68">
        <v>0.45506999999999997</v>
      </c>
      <c r="C28" s="68">
        <v>10.5601</v>
      </c>
      <c r="D28" s="68">
        <v>1</v>
      </c>
      <c r="E28" s="68" t="s">
        <v>436</v>
      </c>
    </row>
    <row r="29" spans="1:5">
      <c r="A29" s="68">
        <v>0.27218799999999999</v>
      </c>
      <c r="B29" s="68">
        <v>0.45163300000000001</v>
      </c>
      <c r="C29" s="68">
        <v>10.9666</v>
      </c>
      <c r="D29" s="68">
        <v>1</v>
      </c>
      <c r="E29" s="68" t="s">
        <v>437</v>
      </c>
    </row>
    <row r="30" spans="1:5">
      <c r="A30" s="68">
        <v>0.27314500000000003</v>
      </c>
      <c r="B30" s="68">
        <v>0.44774700000000001</v>
      </c>
      <c r="C30" s="68">
        <v>11.3734</v>
      </c>
      <c r="D30" s="68">
        <v>1</v>
      </c>
      <c r="E30" s="68" t="s">
        <v>438</v>
      </c>
    </row>
    <row r="31" spans="1:5">
      <c r="A31" s="68">
        <v>0.27437099999999998</v>
      </c>
      <c r="B31" s="68">
        <v>0.44400800000000001</v>
      </c>
      <c r="C31" s="68">
        <v>11.777100000000001</v>
      </c>
      <c r="D31" s="68">
        <v>1</v>
      </c>
      <c r="E31" s="68" t="s">
        <v>439</v>
      </c>
    </row>
    <row r="32" spans="1:5">
      <c r="A32" s="68">
        <v>0.27539200000000003</v>
      </c>
      <c r="B32" s="68">
        <v>0.44039699999999998</v>
      </c>
      <c r="C32" s="68">
        <v>12.1828</v>
      </c>
      <c r="D32" s="68">
        <v>1</v>
      </c>
      <c r="E32" s="68" t="s">
        <v>440</v>
      </c>
    </row>
    <row r="33" spans="1:5">
      <c r="A33" s="68">
        <v>0.27631800000000001</v>
      </c>
      <c r="B33" s="68">
        <v>0.43652800000000003</v>
      </c>
      <c r="C33" s="68">
        <v>12.5901</v>
      </c>
      <c r="D33" s="68">
        <v>1</v>
      </c>
      <c r="E33" s="68" t="s">
        <v>441</v>
      </c>
    </row>
    <row r="34" spans="1:5">
      <c r="A34" s="68">
        <v>0.27720800000000001</v>
      </c>
      <c r="B34" s="68">
        <v>0.43261100000000002</v>
      </c>
      <c r="C34" s="68">
        <v>13.0001</v>
      </c>
      <c r="D34" s="68">
        <v>1</v>
      </c>
      <c r="E34" s="68" t="s">
        <v>442</v>
      </c>
    </row>
    <row r="35" spans="1:5">
      <c r="A35" s="68">
        <v>0.27805600000000003</v>
      </c>
      <c r="B35" s="68">
        <v>0.42869800000000002</v>
      </c>
      <c r="C35" s="68">
        <v>13.404500000000001</v>
      </c>
      <c r="D35" s="68">
        <v>1</v>
      </c>
      <c r="E35" s="68" t="s">
        <v>443</v>
      </c>
    </row>
    <row r="36" spans="1:5">
      <c r="A36" s="68">
        <v>0.27885300000000002</v>
      </c>
      <c r="B36" s="68">
        <v>0.425014</v>
      </c>
      <c r="C36" s="68">
        <v>13.8102</v>
      </c>
      <c r="D36" s="68">
        <v>1</v>
      </c>
      <c r="E36" s="68" t="s">
        <v>444</v>
      </c>
    </row>
    <row r="37" spans="1:5">
      <c r="A37" s="68">
        <v>0.27982000000000001</v>
      </c>
      <c r="B37" s="68">
        <v>0.42083399999999999</v>
      </c>
      <c r="C37" s="68">
        <v>14.2159</v>
      </c>
      <c r="D37" s="68">
        <v>1</v>
      </c>
      <c r="E37" s="68" t="s">
        <v>445</v>
      </c>
    </row>
    <row r="38" spans="1:5">
      <c r="A38" s="68">
        <v>0.28114899999999998</v>
      </c>
      <c r="B38" s="68">
        <v>0.41566399999999998</v>
      </c>
      <c r="C38" s="68">
        <v>14.623699999999999</v>
      </c>
      <c r="D38" s="68">
        <v>1</v>
      </c>
      <c r="E38" s="68" t="s">
        <v>446</v>
      </c>
    </row>
    <row r="39" spans="1:5">
      <c r="A39" s="68">
        <v>0.282781</v>
      </c>
      <c r="B39" s="68">
        <v>0.41001199999999999</v>
      </c>
      <c r="C39" s="68">
        <v>15.0314</v>
      </c>
      <c r="D39" s="68">
        <v>1</v>
      </c>
      <c r="E39" s="68" t="s">
        <v>447</v>
      </c>
    </row>
    <row r="40" spans="1:5">
      <c r="A40" s="68">
        <v>0.284223</v>
      </c>
      <c r="B40" s="68">
        <v>0.40501999999999999</v>
      </c>
      <c r="C40" s="68">
        <v>15.4376</v>
      </c>
      <c r="D40" s="68">
        <v>1</v>
      </c>
      <c r="E40" s="68" t="s">
        <v>448</v>
      </c>
    </row>
    <row r="41" spans="1:5">
      <c r="A41" s="68">
        <v>0.28563100000000002</v>
      </c>
      <c r="B41" s="68">
        <v>0.40064899999999998</v>
      </c>
      <c r="C41" s="68">
        <v>15.842700000000001</v>
      </c>
      <c r="D41" s="68">
        <v>1</v>
      </c>
      <c r="E41" s="68" t="s">
        <v>449</v>
      </c>
    </row>
    <row r="42" spans="1:5">
      <c r="A42" s="68">
        <v>0.28739300000000001</v>
      </c>
      <c r="B42" s="68">
        <v>0.39569599999999999</v>
      </c>
      <c r="C42" s="68">
        <v>16.245699999999999</v>
      </c>
      <c r="D42" s="68">
        <v>1</v>
      </c>
      <c r="E42" s="68" t="s">
        <v>450</v>
      </c>
    </row>
    <row r="43" spans="1:5">
      <c r="A43" s="68">
        <v>0.28944999999999999</v>
      </c>
      <c r="B43" s="68">
        <v>0.39063900000000001</v>
      </c>
      <c r="C43" s="68">
        <v>16.6511</v>
      </c>
      <c r="D43" s="68">
        <v>1</v>
      </c>
      <c r="E43" s="68" t="s">
        <v>451</v>
      </c>
    </row>
    <row r="44" spans="1:5">
      <c r="A44" s="68">
        <v>0.29165799999999997</v>
      </c>
      <c r="B44" s="68">
        <v>0.385347</v>
      </c>
      <c r="C44" s="68">
        <v>17.059699999999999</v>
      </c>
      <c r="D44" s="68">
        <v>1</v>
      </c>
      <c r="E44" s="68" t="s">
        <v>452</v>
      </c>
    </row>
    <row r="45" spans="1:5">
      <c r="A45" s="68">
        <v>0.29425899999999999</v>
      </c>
      <c r="B45" s="68">
        <v>0.380083</v>
      </c>
      <c r="C45" s="68">
        <v>17.465499999999999</v>
      </c>
      <c r="D45" s="68">
        <v>1</v>
      </c>
      <c r="E45" s="68" t="s">
        <v>453</v>
      </c>
    </row>
    <row r="46" spans="1:5">
      <c r="A46" s="68">
        <v>0.29688900000000001</v>
      </c>
      <c r="B46" s="68">
        <v>0.37492599999999998</v>
      </c>
      <c r="C46" s="68">
        <v>17.875800000000002</v>
      </c>
      <c r="D46" s="68">
        <v>1</v>
      </c>
      <c r="E46" s="68" t="s">
        <v>454</v>
      </c>
    </row>
    <row r="47" spans="1:5">
      <c r="A47" s="68">
        <v>0.29961199999999999</v>
      </c>
      <c r="B47" s="68">
        <v>0.36942599999999998</v>
      </c>
      <c r="C47" s="68">
        <v>18.276499999999999</v>
      </c>
      <c r="D47" s="68">
        <v>1</v>
      </c>
      <c r="E47" s="68" t="s">
        <v>455</v>
      </c>
    </row>
    <row r="48" spans="1:5">
      <c r="A48" s="68">
        <v>0.30250300000000002</v>
      </c>
      <c r="B48" s="68">
        <v>0.36429699999999998</v>
      </c>
      <c r="C48" s="68">
        <v>18.687200000000001</v>
      </c>
      <c r="D48" s="68">
        <v>1</v>
      </c>
      <c r="E48" s="68" t="s">
        <v>456</v>
      </c>
    </row>
    <row r="49" spans="1:5">
      <c r="A49" s="68">
        <v>0.305562</v>
      </c>
      <c r="B49" s="68">
        <v>0.35942000000000002</v>
      </c>
      <c r="C49" s="68">
        <v>19.091999999999999</v>
      </c>
      <c r="D49" s="68">
        <v>1</v>
      </c>
      <c r="E49" s="68" t="s">
        <v>457</v>
      </c>
    </row>
    <row r="50" spans="1:5">
      <c r="A50" s="68">
        <v>0.308778</v>
      </c>
      <c r="B50" s="68">
        <v>0.35373599999999999</v>
      </c>
      <c r="C50" s="68">
        <v>19.500900000000001</v>
      </c>
      <c r="D50" s="68">
        <v>1</v>
      </c>
      <c r="E50" s="68" t="s">
        <v>458</v>
      </c>
    </row>
    <row r="51" spans="1:5">
      <c r="A51" s="68">
        <v>0.31183499999999997</v>
      </c>
      <c r="B51" s="68">
        <v>0.34840399999999999</v>
      </c>
      <c r="C51" s="68">
        <v>19.905899999999999</v>
      </c>
      <c r="D51" s="68">
        <v>1</v>
      </c>
      <c r="E51" s="68" t="s">
        <v>459</v>
      </c>
    </row>
    <row r="52" spans="1:5">
      <c r="A52" s="68">
        <v>0.31410700000000003</v>
      </c>
      <c r="B52" s="68">
        <v>0.345223</v>
      </c>
      <c r="C52" s="68">
        <v>20.308499999999999</v>
      </c>
      <c r="D52" s="68">
        <v>1</v>
      </c>
      <c r="E52" s="68" t="s">
        <v>460</v>
      </c>
    </row>
    <row r="53" spans="1:5">
      <c r="A53" s="68">
        <v>0.317633</v>
      </c>
      <c r="B53" s="68">
        <v>0.33844600000000002</v>
      </c>
      <c r="C53" s="68">
        <v>20.717400000000001</v>
      </c>
      <c r="D53" s="68">
        <v>1</v>
      </c>
      <c r="E53" s="68" t="s">
        <v>461</v>
      </c>
    </row>
    <row r="54" spans="1:5">
      <c r="A54" s="68">
        <v>0.320463</v>
      </c>
      <c r="B54" s="68">
        <v>0.33311099999999999</v>
      </c>
      <c r="C54" s="68">
        <v>21.126000000000001</v>
      </c>
      <c r="D54" s="68">
        <v>1</v>
      </c>
      <c r="E54" s="68" t="s">
        <v>462</v>
      </c>
    </row>
    <row r="55" spans="1:5">
      <c r="A55" s="68">
        <v>0.32237300000000002</v>
      </c>
      <c r="B55" s="68">
        <v>0.32945999999999998</v>
      </c>
      <c r="C55" s="68">
        <v>21.529699999999998</v>
      </c>
      <c r="D55" s="68">
        <v>1</v>
      </c>
      <c r="E55" s="68" t="s">
        <v>463</v>
      </c>
    </row>
    <row r="56" spans="1:5">
      <c r="A56" s="68">
        <v>0.32498700000000003</v>
      </c>
      <c r="B56" s="68">
        <v>0.323162</v>
      </c>
      <c r="C56" s="68">
        <v>21.936499999999999</v>
      </c>
      <c r="D56" s="68">
        <v>1</v>
      </c>
      <c r="E56" s="68" t="s">
        <v>464</v>
      </c>
    </row>
    <row r="57" spans="1:5">
      <c r="A57" s="68">
        <v>0.32856000000000002</v>
      </c>
      <c r="B57" s="68">
        <v>0.31604900000000002</v>
      </c>
      <c r="C57" s="68">
        <v>22.3416</v>
      </c>
      <c r="D57" s="68">
        <v>1</v>
      </c>
      <c r="E57" s="68" t="s">
        <v>465</v>
      </c>
    </row>
    <row r="58" spans="1:5">
      <c r="A58" s="68">
        <v>0.33061000000000001</v>
      </c>
      <c r="B58" s="68">
        <v>0.31290699999999999</v>
      </c>
      <c r="C58" s="68">
        <v>22.744599999999998</v>
      </c>
      <c r="D58" s="68">
        <v>1</v>
      </c>
      <c r="E58" s="68" t="s">
        <v>466</v>
      </c>
    </row>
    <row r="59" spans="1:5">
      <c r="A59" s="68">
        <v>0.33359299999999997</v>
      </c>
      <c r="B59" s="68">
        <v>0.30857099999999998</v>
      </c>
      <c r="C59" s="68">
        <v>23.1523</v>
      </c>
      <c r="D59" s="68">
        <v>1</v>
      </c>
      <c r="E59" s="68" t="s">
        <v>467</v>
      </c>
    </row>
    <row r="60" spans="1:5">
      <c r="A60" s="68">
        <v>0.335289</v>
      </c>
      <c r="B60" s="68">
        <v>0.30657200000000001</v>
      </c>
      <c r="C60" s="68">
        <v>23.559699999999999</v>
      </c>
      <c r="D60" s="68">
        <v>1</v>
      </c>
      <c r="E60" s="68" t="s">
        <v>468</v>
      </c>
    </row>
    <row r="61" spans="1:5">
      <c r="A61" s="68">
        <v>0.33736300000000002</v>
      </c>
      <c r="B61" s="68">
        <v>0.30412699999999998</v>
      </c>
      <c r="C61" s="68">
        <v>23.968399999999999</v>
      </c>
      <c r="D61" s="68">
        <v>1</v>
      </c>
      <c r="E61" s="68" t="s">
        <v>469</v>
      </c>
    </row>
    <row r="62" spans="1:5">
      <c r="A62" s="68">
        <v>0.33869300000000002</v>
      </c>
      <c r="B62" s="68">
        <v>0.30234800000000001</v>
      </c>
      <c r="C62" s="68">
        <v>24.372699999999998</v>
      </c>
      <c r="D62" s="68">
        <v>1</v>
      </c>
      <c r="E62" s="68" t="s">
        <v>470</v>
      </c>
    </row>
    <row r="63" spans="1:5">
      <c r="A63" s="68">
        <v>0.34005000000000002</v>
      </c>
      <c r="B63" s="68">
        <v>0.30096299999999998</v>
      </c>
      <c r="C63" s="68">
        <v>24.780100000000001</v>
      </c>
      <c r="D63" s="68">
        <v>1</v>
      </c>
      <c r="E63" s="68" t="s">
        <v>471</v>
      </c>
    </row>
    <row r="64" spans="1:5">
      <c r="A64" s="68">
        <v>0.34099200000000002</v>
      </c>
      <c r="B64" s="68">
        <v>0.29971799999999998</v>
      </c>
      <c r="C64" s="68">
        <v>25.183499999999999</v>
      </c>
      <c r="D64" s="68">
        <v>1</v>
      </c>
      <c r="E64" s="68" t="s">
        <v>472</v>
      </c>
    </row>
    <row r="65" spans="1:5">
      <c r="A65" s="68">
        <v>0.34192800000000001</v>
      </c>
      <c r="B65" s="68">
        <v>0.29928700000000003</v>
      </c>
      <c r="C65" s="68">
        <v>25.591999999999999</v>
      </c>
      <c r="D65" s="68">
        <v>1</v>
      </c>
      <c r="E65" s="68" t="s">
        <v>473</v>
      </c>
    </row>
    <row r="66" spans="1:5">
      <c r="A66" s="68">
        <v>0.34241500000000002</v>
      </c>
      <c r="B66" s="68">
        <v>0.29997800000000002</v>
      </c>
      <c r="C66" s="68">
        <v>25.9986</v>
      </c>
      <c r="D66" s="68">
        <v>1</v>
      </c>
      <c r="E66" s="68" t="s">
        <v>474</v>
      </c>
    </row>
    <row r="67" spans="1:5">
      <c r="A67" s="68">
        <v>0.34320299999999998</v>
      </c>
      <c r="B67" s="68">
        <v>0.29937599999999998</v>
      </c>
      <c r="C67" s="68">
        <v>26.404199999999999</v>
      </c>
      <c r="D67" s="68">
        <v>1</v>
      </c>
      <c r="E67" s="68" t="s">
        <v>475</v>
      </c>
    </row>
    <row r="68" spans="1:5">
      <c r="A68" s="68">
        <v>0.34362100000000001</v>
      </c>
      <c r="B68" s="68">
        <v>0.29974600000000001</v>
      </c>
      <c r="C68" s="68">
        <v>26.8079</v>
      </c>
      <c r="D68" s="68">
        <v>1</v>
      </c>
      <c r="E68" s="68" t="s">
        <v>476</v>
      </c>
    </row>
    <row r="69" spans="1:5">
      <c r="A69" s="68">
        <v>0.34409699999999999</v>
      </c>
      <c r="B69" s="68">
        <v>0.300925</v>
      </c>
      <c r="C69" s="68">
        <v>27.216100000000001</v>
      </c>
      <c r="D69" s="68">
        <v>1</v>
      </c>
      <c r="E69" s="68" t="s">
        <v>477</v>
      </c>
    </row>
    <row r="70" spans="1:5">
      <c r="A70" s="68">
        <v>0.344634</v>
      </c>
      <c r="B70" s="68">
        <v>0.30074099999999998</v>
      </c>
      <c r="C70" s="68">
        <v>27.624199999999998</v>
      </c>
      <c r="D70" s="68">
        <v>1</v>
      </c>
      <c r="E70" s="68" t="s">
        <v>478</v>
      </c>
    </row>
    <row r="71" spans="1:5">
      <c r="A71" s="68">
        <v>0.34483799999999998</v>
      </c>
      <c r="B71" s="68">
        <v>0.30147499999999999</v>
      </c>
      <c r="C71" s="68">
        <v>28.027699999999999</v>
      </c>
      <c r="D71" s="68">
        <v>1</v>
      </c>
      <c r="E71" s="68" t="s">
        <v>479</v>
      </c>
    </row>
    <row r="72" spans="1:5">
      <c r="A72" s="68">
        <v>0.34481600000000001</v>
      </c>
      <c r="B72" s="68">
        <v>0.30224899999999999</v>
      </c>
      <c r="C72" s="68">
        <v>28.4346</v>
      </c>
      <c r="D72" s="68">
        <v>1</v>
      </c>
      <c r="E72" s="68" t="s">
        <v>480</v>
      </c>
    </row>
    <row r="73" spans="1:5">
      <c r="A73" s="68">
        <v>0.34435900000000003</v>
      </c>
      <c r="B73" s="68">
        <v>0.30436299999999999</v>
      </c>
      <c r="C73" s="68">
        <v>28.839300000000001</v>
      </c>
      <c r="D73" s="68">
        <v>1</v>
      </c>
      <c r="E73" s="68" t="s">
        <v>481</v>
      </c>
    </row>
    <row r="74" spans="1:5">
      <c r="A74" s="68">
        <v>0.343837</v>
      </c>
      <c r="B74" s="68">
        <v>0.30590000000000001</v>
      </c>
      <c r="C74" s="68">
        <v>29.246600000000001</v>
      </c>
      <c r="D74" s="68">
        <v>1</v>
      </c>
      <c r="E74" s="68" t="s">
        <v>482</v>
      </c>
    </row>
    <row r="75" spans="1:5">
      <c r="A75" s="68">
        <v>0.34335599999999999</v>
      </c>
      <c r="B75" s="68">
        <v>0.30708099999999999</v>
      </c>
      <c r="C75" s="68">
        <v>29.653199999999998</v>
      </c>
      <c r="D75" s="68">
        <v>1</v>
      </c>
      <c r="E75" s="68" t="s">
        <v>483</v>
      </c>
    </row>
    <row r="76" spans="1:5">
      <c r="A76" s="68">
        <v>0.34255799999999997</v>
      </c>
      <c r="B76" s="68">
        <v>0.30940499999999999</v>
      </c>
      <c r="C76" s="68">
        <v>30.062899999999999</v>
      </c>
      <c r="D76" s="68">
        <v>2</v>
      </c>
      <c r="E76" s="68" t="s">
        <v>484</v>
      </c>
    </row>
    <row r="77" spans="1:5">
      <c r="A77" s="68">
        <v>0.341364</v>
      </c>
      <c r="B77" s="68">
        <v>0.31243500000000002</v>
      </c>
      <c r="C77" s="68">
        <v>30.514600000000002</v>
      </c>
      <c r="D77" s="68">
        <v>2</v>
      </c>
      <c r="E77" s="68" t="s">
        <v>485</v>
      </c>
    </row>
    <row r="78" spans="1:5">
      <c r="A78" s="68">
        <v>0.34043600000000002</v>
      </c>
      <c r="B78" s="68">
        <v>0.31487100000000001</v>
      </c>
      <c r="C78" s="68">
        <v>30.919799999999999</v>
      </c>
      <c r="D78" s="68">
        <v>2</v>
      </c>
      <c r="E78" s="68" t="s">
        <v>486</v>
      </c>
    </row>
    <row r="79" spans="1:5">
      <c r="A79" s="68">
        <v>0.33911200000000002</v>
      </c>
      <c r="B79" s="68">
        <v>0.31764500000000001</v>
      </c>
      <c r="C79" s="68">
        <v>31.324999999999999</v>
      </c>
      <c r="D79" s="68">
        <v>2</v>
      </c>
      <c r="E79" s="68" t="s">
        <v>487</v>
      </c>
    </row>
    <row r="80" spans="1:5">
      <c r="A80" s="68">
        <v>0.337449</v>
      </c>
      <c r="B80" s="68">
        <v>0.32094099999999998</v>
      </c>
      <c r="C80" s="68">
        <v>31.733000000000001</v>
      </c>
      <c r="D80" s="68">
        <v>2</v>
      </c>
      <c r="E80" s="68" t="s">
        <v>488</v>
      </c>
    </row>
    <row r="81" spans="1:5">
      <c r="A81" s="68">
        <v>0.335364</v>
      </c>
      <c r="B81" s="68">
        <v>0.32452500000000001</v>
      </c>
      <c r="C81" s="68">
        <v>32.140300000000003</v>
      </c>
      <c r="D81" s="68">
        <v>2</v>
      </c>
      <c r="E81" s="68" t="s">
        <v>489</v>
      </c>
    </row>
    <row r="82" spans="1:5">
      <c r="A82" s="68">
        <v>0.33311000000000002</v>
      </c>
      <c r="B82" s="68">
        <v>0.328349</v>
      </c>
      <c r="C82" s="68">
        <v>32.545499999999997</v>
      </c>
      <c r="D82" s="68">
        <v>2</v>
      </c>
      <c r="E82" s="68" t="s">
        <v>490</v>
      </c>
    </row>
    <row r="83" spans="1:5">
      <c r="A83" s="68">
        <v>0.330899</v>
      </c>
      <c r="B83" s="68">
        <v>0.33207599999999998</v>
      </c>
      <c r="C83" s="68">
        <v>32.950600000000001</v>
      </c>
      <c r="D83" s="68">
        <v>2</v>
      </c>
      <c r="E83" s="68" t="s">
        <v>491</v>
      </c>
    </row>
    <row r="84" spans="1:5">
      <c r="A84" s="68">
        <v>0.328791</v>
      </c>
      <c r="B84" s="68">
        <v>0.335478</v>
      </c>
      <c r="C84" s="68">
        <v>33.354999999999997</v>
      </c>
      <c r="D84" s="68">
        <v>2</v>
      </c>
      <c r="E84" s="68" t="s">
        <v>492</v>
      </c>
    </row>
    <row r="85" spans="1:5">
      <c r="A85" s="68">
        <v>0.32698100000000002</v>
      </c>
      <c r="B85" s="68">
        <v>0.33829199999999998</v>
      </c>
      <c r="C85" s="68">
        <v>33.763800000000003</v>
      </c>
      <c r="D85" s="68">
        <v>2</v>
      </c>
      <c r="E85" s="68" t="s">
        <v>493</v>
      </c>
    </row>
    <row r="86" spans="1:5">
      <c r="A86" s="68">
        <v>0.32555600000000001</v>
      </c>
      <c r="B86" s="68">
        <v>0.34092299999999998</v>
      </c>
      <c r="C86" s="68">
        <v>34.170299999999997</v>
      </c>
      <c r="D86" s="68">
        <v>2</v>
      </c>
      <c r="E86" s="68" t="s">
        <v>494</v>
      </c>
    </row>
    <row r="87" spans="1:5">
      <c r="A87" s="68">
        <v>0.32436100000000001</v>
      </c>
      <c r="B87" s="68">
        <v>0.34370899999999999</v>
      </c>
      <c r="C87" s="68">
        <v>34.5777</v>
      </c>
      <c r="D87" s="68">
        <v>2</v>
      </c>
      <c r="E87" s="68" t="s">
        <v>495</v>
      </c>
    </row>
    <row r="88" spans="1:5">
      <c r="A88" s="68">
        <v>0.32322499999999998</v>
      </c>
      <c r="B88" s="68">
        <v>0.34637899999999999</v>
      </c>
      <c r="C88" s="68">
        <v>34.979900000000001</v>
      </c>
      <c r="D88" s="68">
        <v>2</v>
      </c>
      <c r="E88" s="68" t="s">
        <v>496</v>
      </c>
    </row>
    <row r="89" spans="1:5">
      <c r="A89" s="68">
        <v>0.32267699999999999</v>
      </c>
      <c r="B89" s="68">
        <v>0.34831299999999998</v>
      </c>
      <c r="C89" s="68">
        <v>35.3874</v>
      </c>
      <c r="D89" s="68">
        <v>2</v>
      </c>
      <c r="E89" s="68" t="s">
        <v>497</v>
      </c>
    </row>
    <row r="90" spans="1:5">
      <c r="A90" s="68">
        <v>0.32260100000000003</v>
      </c>
      <c r="B90" s="68">
        <v>0.34903299999999998</v>
      </c>
      <c r="C90" s="68">
        <v>35.793500000000002</v>
      </c>
      <c r="D90" s="68">
        <v>2</v>
      </c>
      <c r="E90" s="68" t="s">
        <v>498</v>
      </c>
    </row>
    <row r="91" spans="1:5">
      <c r="A91" s="68">
        <v>0.32268799999999997</v>
      </c>
      <c r="B91" s="68">
        <v>0.349522</v>
      </c>
      <c r="C91" s="68">
        <v>36.200099999999999</v>
      </c>
      <c r="D91" s="68">
        <v>2</v>
      </c>
      <c r="E91" s="68" t="s">
        <v>499</v>
      </c>
    </row>
    <row r="92" spans="1:5">
      <c r="A92" s="68">
        <v>0.32280599999999998</v>
      </c>
      <c r="B92" s="68">
        <v>0.35004999999999997</v>
      </c>
      <c r="C92" s="68">
        <v>36.608400000000003</v>
      </c>
      <c r="D92" s="68">
        <v>2</v>
      </c>
      <c r="E92" s="68" t="s">
        <v>500</v>
      </c>
    </row>
    <row r="93" spans="1:5">
      <c r="A93" s="68">
        <v>0.32276500000000002</v>
      </c>
      <c r="B93" s="68">
        <v>0.35030800000000001</v>
      </c>
      <c r="C93" s="68">
        <v>37.012599999999999</v>
      </c>
      <c r="D93" s="68">
        <v>2</v>
      </c>
      <c r="E93" s="68" t="s">
        <v>501</v>
      </c>
    </row>
    <row r="94" spans="1:5">
      <c r="A94" s="68">
        <v>0.32282300000000003</v>
      </c>
      <c r="B94" s="68">
        <v>0.35035500000000003</v>
      </c>
      <c r="C94" s="68">
        <v>37.4193</v>
      </c>
      <c r="D94" s="68">
        <v>2</v>
      </c>
      <c r="E94" s="68" t="s">
        <v>502</v>
      </c>
    </row>
    <row r="95" spans="1:5">
      <c r="A95" s="68">
        <v>0.32315100000000002</v>
      </c>
      <c r="B95" s="68">
        <v>0.35070099999999998</v>
      </c>
      <c r="C95" s="68">
        <v>37.826500000000003</v>
      </c>
      <c r="D95" s="68">
        <v>2</v>
      </c>
      <c r="E95" s="68" t="s">
        <v>503</v>
      </c>
    </row>
    <row r="96" spans="1:5">
      <c r="A96" s="68">
        <v>0.32373299999999999</v>
      </c>
      <c r="B96" s="68">
        <v>0.350632</v>
      </c>
      <c r="C96" s="68">
        <v>38.2333</v>
      </c>
      <c r="D96" s="68">
        <v>2</v>
      </c>
      <c r="E96" s="68" t="s">
        <v>504</v>
      </c>
    </row>
    <row r="97" spans="1:5">
      <c r="A97" s="68">
        <v>0.324571</v>
      </c>
      <c r="B97" s="68">
        <v>0.35006500000000002</v>
      </c>
      <c r="C97" s="68">
        <v>38.639899999999997</v>
      </c>
      <c r="D97" s="68">
        <v>2</v>
      </c>
      <c r="E97" s="68" t="s">
        <v>505</v>
      </c>
    </row>
    <row r="98" spans="1:5">
      <c r="A98" s="68">
        <v>0.32581199999999999</v>
      </c>
      <c r="B98" s="68">
        <v>0.34806900000000002</v>
      </c>
      <c r="C98" s="68">
        <v>39.0473</v>
      </c>
      <c r="D98" s="68">
        <v>2</v>
      </c>
      <c r="E98" s="68" t="s">
        <v>506</v>
      </c>
    </row>
    <row r="99" spans="1:5">
      <c r="A99" s="68">
        <v>0.32718399999999997</v>
      </c>
      <c r="B99" s="68">
        <v>0.34586899999999998</v>
      </c>
      <c r="C99" s="68">
        <v>39.450899999999997</v>
      </c>
      <c r="D99" s="68">
        <v>2</v>
      </c>
      <c r="E99" s="68" t="s">
        <v>507</v>
      </c>
    </row>
    <row r="100" spans="1:5">
      <c r="A100" s="68">
        <v>0.32867099999999999</v>
      </c>
      <c r="B100" s="68">
        <v>0.34340700000000002</v>
      </c>
      <c r="C100" s="68">
        <v>39.855400000000003</v>
      </c>
      <c r="D100" s="68">
        <v>2</v>
      </c>
      <c r="E100" s="68" t="s">
        <v>508</v>
      </c>
    </row>
    <row r="101" spans="1:5">
      <c r="A101" s="68">
        <v>0.33038200000000001</v>
      </c>
      <c r="B101" s="68">
        <v>0.34003899999999998</v>
      </c>
      <c r="C101" s="68">
        <v>40.262700000000002</v>
      </c>
      <c r="D101" s="68">
        <v>2</v>
      </c>
      <c r="E101" s="68" t="s">
        <v>509</v>
      </c>
    </row>
    <row r="102" spans="1:5">
      <c r="A102" s="68">
        <v>0.332478</v>
      </c>
      <c r="B102" s="68">
        <v>0.33639200000000002</v>
      </c>
      <c r="C102" s="68">
        <v>40.671300000000002</v>
      </c>
      <c r="D102" s="68">
        <v>2</v>
      </c>
      <c r="E102" s="68" t="s">
        <v>510</v>
      </c>
    </row>
    <row r="103" spans="1:5">
      <c r="A103" s="68">
        <v>0.33467400000000003</v>
      </c>
      <c r="B103" s="68">
        <v>0.33278400000000002</v>
      </c>
      <c r="C103" s="68">
        <v>41.077500000000001</v>
      </c>
      <c r="D103" s="68">
        <v>2</v>
      </c>
      <c r="E103" s="68" t="s">
        <v>511</v>
      </c>
    </row>
    <row r="104" spans="1:5">
      <c r="A104" s="68">
        <v>0.33757500000000001</v>
      </c>
      <c r="B104" s="68">
        <v>0.32822899999999999</v>
      </c>
      <c r="C104" s="68">
        <v>41.479799999999997</v>
      </c>
      <c r="D104" s="68">
        <v>2</v>
      </c>
      <c r="E104" s="68" t="s">
        <v>512</v>
      </c>
    </row>
    <row r="105" spans="1:5">
      <c r="A105" s="68">
        <v>0.34082400000000002</v>
      </c>
      <c r="B105" s="68">
        <v>0.32300800000000002</v>
      </c>
      <c r="C105" s="68">
        <v>41.886499999999998</v>
      </c>
      <c r="D105" s="68">
        <v>2</v>
      </c>
      <c r="E105" s="68" t="s">
        <v>513</v>
      </c>
    </row>
    <row r="106" spans="1:5">
      <c r="A106" s="68">
        <v>0.34432000000000001</v>
      </c>
      <c r="B106" s="68">
        <v>0.31814700000000001</v>
      </c>
      <c r="C106" s="68">
        <v>42.294800000000002</v>
      </c>
      <c r="D106" s="68">
        <v>2</v>
      </c>
      <c r="E106" s="68" t="s">
        <v>514</v>
      </c>
    </row>
    <row r="107" spans="1:5">
      <c r="A107" s="68">
        <v>0.34772799999999998</v>
      </c>
      <c r="B107" s="68">
        <v>0.31428299999999998</v>
      </c>
      <c r="C107" s="68">
        <v>42.703499999999998</v>
      </c>
      <c r="D107" s="68">
        <v>2</v>
      </c>
      <c r="E107" s="68" t="s">
        <v>515</v>
      </c>
    </row>
    <row r="108" spans="1:5">
      <c r="A108" s="68">
        <v>0.35133199999999998</v>
      </c>
      <c r="B108" s="68">
        <v>0.31033100000000002</v>
      </c>
      <c r="C108" s="68">
        <v>43.110599999999998</v>
      </c>
      <c r="D108" s="68">
        <v>2</v>
      </c>
      <c r="E108" s="68" t="s">
        <v>516</v>
      </c>
    </row>
    <row r="109" spans="1:5">
      <c r="A109" s="68">
        <v>0.35498499999999999</v>
      </c>
      <c r="B109" s="68">
        <v>0.30659599999999998</v>
      </c>
      <c r="C109" s="68">
        <v>43.5124</v>
      </c>
      <c r="D109" s="68">
        <v>2</v>
      </c>
      <c r="E109" s="68" t="s">
        <v>517</v>
      </c>
    </row>
    <row r="110" spans="1:5">
      <c r="A110" s="68">
        <v>0.35879100000000003</v>
      </c>
      <c r="B110" s="68">
        <v>0.30342799999999998</v>
      </c>
      <c r="C110" s="68">
        <v>43.9163</v>
      </c>
      <c r="D110" s="68">
        <v>2</v>
      </c>
      <c r="E110" s="68" t="s">
        <v>518</v>
      </c>
    </row>
    <row r="111" spans="1:5">
      <c r="A111" s="68">
        <v>0.36258699999999999</v>
      </c>
      <c r="B111" s="68">
        <v>0.30038599999999999</v>
      </c>
      <c r="C111" s="68">
        <v>44.325299999999999</v>
      </c>
      <c r="D111" s="68">
        <v>2</v>
      </c>
      <c r="E111" s="68" t="s">
        <v>519</v>
      </c>
    </row>
    <row r="112" spans="1:5">
      <c r="A112" s="68">
        <v>0.36649500000000002</v>
      </c>
      <c r="B112" s="68">
        <v>0.29680699999999999</v>
      </c>
      <c r="C112" s="68">
        <v>44.732900000000001</v>
      </c>
      <c r="D112" s="68">
        <v>2</v>
      </c>
      <c r="E112" s="68" t="s">
        <v>520</v>
      </c>
    </row>
    <row r="113" spans="1:5">
      <c r="A113" s="68">
        <v>0.37001000000000001</v>
      </c>
      <c r="B113" s="68">
        <v>0.29450300000000001</v>
      </c>
      <c r="C113" s="68">
        <v>45.139600000000002</v>
      </c>
      <c r="D113" s="68">
        <v>2</v>
      </c>
      <c r="E113" s="68" t="s">
        <v>521</v>
      </c>
    </row>
    <row r="114" spans="1:5">
      <c r="A114" s="68">
        <v>0.37321300000000002</v>
      </c>
      <c r="B114" s="68">
        <v>0.29141499999999998</v>
      </c>
      <c r="C114" s="68">
        <v>45.543500000000002</v>
      </c>
      <c r="D114" s="68">
        <v>2</v>
      </c>
      <c r="E114" s="68" t="s">
        <v>522</v>
      </c>
    </row>
    <row r="115" spans="1:5">
      <c r="A115" s="68">
        <v>0.37624999999999997</v>
      </c>
      <c r="B115" s="68">
        <v>0.28863299999999997</v>
      </c>
      <c r="C115" s="68">
        <v>45.949199999999998</v>
      </c>
      <c r="D115" s="68">
        <v>2</v>
      </c>
      <c r="E115" s="68" t="s">
        <v>523</v>
      </c>
    </row>
    <row r="116" spans="1:5">
      <c r="A116" s="68">
        <v>0.37931199999999998</v>
      </c>
      <c r="B116" s="68">
        <v>0.28612900000000002</v>
      </c>
      <c r="C116" s="68">
        <v>46.3568</v>
      </c>
      <c r="D116" s="68">
        <v>2</v>
      </c>
      <c r="E116" s="68" t="s">
        <v>524</v>
      </c>
    </row>
    <row r="117" spans="1:5">
      <c r="A117" s="68">
        <v>0.38189000000000001</v>
      </c>
      <c r="B117" s="68">
        <v>0.28453200000000001</v>
      </c>
      <c r="C117" s="68">
        <v>46.765599999999999</v>
      </c>
      <c r="D117" s="68">
        <v>2</v>
      </c>
      <c r="E117" s="68" t="s">
        <v>525</v>
      </c>
    </row>
    <row r="118" spans="1:5">
      <c r="A118" s="68">
        <v>0.38422000000000001</v>
      </c>
      <c r="B118" s="68">
        <v>0.28403800000000001</v>
      </c>
      <c r="C118" s="68">
        <v>47.168900000000001</v>
      </c>
      <c r="D118" s="68">
        <v>2</v>
      </c>
      <c r="E118" s="68" t="s">
        <v>526</v>
      </c>
    </row>
    <row r="119" spans="1:5">
      <c r="A119" s="68">
        <v>0.38655800000000001</v>
      </c>
      <c r="B119" s="68">
        <v>0.283578</v>
      </c>
      <c r="C119" s="68">
        <v>47.574399999999997</v>
      </c>
      <c r="D119" s="68">
        <v>2</v>
      </c>
      <c r="E119" s="68" t="s">
        <v>527</v>
      </c>
    </row>
    <row r="120" spans="1:5">
      <c r="A120" s="68">
        <v>0.389096</v>
      </c>
      <c r="B120" s="68">
        <v>0.28224300000000002</v>
      </c>
      <c r="C120" s="68">
        <v>47.981900000000003</v>
      </c>
      <c r="D120" s="68">
        <v>2</v>
      </c>
      <c r="E120" s="68" t="s">
        <v>528</v>
      </c>
    </row>
    <row r="121" spans="1:5">
      <c r="A121" s="68">
        <v>0.39114599999999999</v>
      </c>
      <c r="B121" s="68">
        <v>0.28131800000000001</v>
      </c>
      <c r="C121" s="68">
        <v>48.387900000000002</v>
      </c>
      <c r="D121" s="68">
        <v>2</v>
      </c>
      <c r="E121" s="68" t="s">
        <v>529</v>
      </c>
    </row>
    <row r="122" spans="1:5">
      <c r="A122" s="68">
        <v>0.39290900000000001</v>
      </c>
      <c r="B122" s="68">
        <v>0.28060299999999999</v>
      </c>
      <c r="C122" s="68">
        <v>48.798099999999998</v>
      </c>
      <c r="D122" s="68">
        <v>2</v>
      </c>
      <c r="E122" s="68" t="s">
        <v>530</v>
      </c>
    </row>
    <row r="123" spans="1:5">
      <c r="A123" s="68">
        <v>0.39443499999999998</v>
      </c>
      <c r="B123" s="68">
        <v>0.28005999999999998</v>
      </c>
      <c r="C123" s="68">
        <v>49.2012</v>
      </c>
      <c r="D123" s="68">
        <v>2</v>
      </c>
      <c r="E123" s="68" t="s">
        <v>531</v>
      </c>
    </row>
    <row r="124" spans="1:5">
      <c r="A124" s="68">
        <v>0.39572800000000002</v>
      </c>
      <c r="B124" s="68">
        <v>0.28026299999999998</v>
      </c>
      <c r="C124" s="68">
        <v>49.604999999999997</v>
      </c>
      <c r="D124" s="68">
        <v>2</v>
      </c>
      <c r="E124" s="68" t="s">
        <v>532</v>
      </c>
    </row>
    <row r="125" spans="1:5">
      <c r="A125" s="68">
        <v>0.39688899999999999</v>
      </c>
      <c r="B125" s="68">
        <v>0.28086899999999998</v>
      </c>
      <c r="C125" s="68">
        <v>50.012999999999998</v>
      </c>
      <c r="D125" s="68">
        <v>2</v>
      </c>
      <c r="E125" s="68" t="s">
        <v>533</v>
      </c>
    </row>
    <row r="126" spans="1:5">
      <c r="A126" s="68">
        <v>0.39809</v>
      </c>
      <c r="B126" s="68">
        <v>0.280864</v>
      </c>
      <c r="C126" s="68">
        <v>50.421999999999997</v>
      </c>
      <c r="D126" s="68">
        <v>2</v>
      </c>
      <c r="E126" s="68" t="s">
        <v>534</v>
      </c>
    </row>
    <row r="127" spans="1:5">
      <c r="A127" s="68">
        <v>0.399092</v>
      </c>
      <c r="B127" s="68">
        <v>0.28067500000000001</v>
      </c>
      <c r="C127" s="68">
        <v>50.825699999999998</v>
      </c>
      <c r="D127" s="68">
        <v>2</v>
      </c>
      <c r="E127" s="68" t="s">
        <v>535</v>
      </c>
    </row>
    <row r="128" spans="1:5">
      <c r="A128" s="68">
        <v>0.40008500000000002</v>
      </c>
      <c r="B128" s="68">
        <v>0.28044799999999998</v>
      </c>
      <c r="C128" s="68">
        <v>51.234499999999997</v>
      </c>
      <c r="D128" s="68">
        <v>2</v>
      </c>
      <c r="E128" s="68" t="s">
        <v>536</v>
      </c>
    </row>
    <row r="129" spans="1:5">
      <c r="A129" s="68">
        <v>0.40074599999999999</v>
      </c>
      <c r="B129" s="68">
        <v>0.28042899999999998</v>
      </c>
      <c r="C129" s="68">
        <v>51.637700000000002</v>
      </c>
      <c r="D129" s="68">
        <v>2</v>
      </c>
      <c r="E129" s="68" t="s">
        <v>537</v>
      </c>
    </row>
    <row r="130" spans="1:5">
      <c r="A130" s="68">
        <v>0.40127000000000002</v>
      </c>
      <c r="B130" s="68">
        <v>0.28089900000000001</v>
      </c>
      <c r="C130" s="68">
        <v>52.043500000000002</v>
      </c>
      <c r="D130" s="68">
        <v>2</v>
      </c>
      <c r="E130" s="68" t="s">
        <v>538</v>
      </c>
    </row>
    <row r="131" spans="1:5">
      <c r="A131" s="68">
        <v>0.40171400000000002</v>
      </c>
      <c r="B131" s="68">
        <v>0.28151900000000002</v>
      </c>
      <c r="C131" s="68">
        <v>52.448900000000002</v>
      </c>
      <c r="D131" s="68">
        <v>2</v>
      </c>
      <c r="E131" s="68" t="s">
        <v>539</v>
      </c>
    </row>
    <row r="132" spans="1:5">
      <c r="A132" s="68">
        <v>0.40238600000000002</v>
      </c>
      <c r="B132" s="68">
        <v>0.28184300000000001</v>
      </c>
      <c r="C132" s="68">
        <v>52.860500000000002</v>
      </c>
      <c r="D132" s="68">
        <v>2</v>
      </c>
      <c r="E132" s="68" t="s">
        <v>540</v>
      </c>
    </row>
    <row r="133" spans="1:5">
      <c r="A133" s="68">
        <v>0.40284999999999999</v>
      </c>
      <c r="B133" s="68">
        <v>0.28242699999999998</v>
      </c>
      <c r="C133" s="68">
        <v>53.262799999999999</v>
      </c>
      <c r="D133" s="68">
        <v>2</v>
      </c>
      <c r="E133" s="68" t="s">
        <v>541</v>
      </c>
    </row>
    <row r="134" spans="1:5">
      <c r="A134" s="68">
        <v>0.40326499999999998</v>
      </c>
      <c r="B134" s="68">
        <v>0.28335399999999999</v>
      </c>
      <c r="C134" s="68">
        <v>53.669199999999996</v>
      </c>
      <c r="D134" s="68">
        <v>2</v>
      </c>
      <c r="E134" s="68" t="s">
        <v>542</v>
      </c>
    </row>
    <row r="135" spans="1:5">
      <c r="A135" s="68">
        <v>0.40343800000000002</v>
      </c>
      <c r="B135" s="68">
        <v>0.28390199999999999</v>
      </c>
      <c r="C135" s="68">
        <v>54.074399999999997</v>
      </c>
      <c r="D135" s="68">
        <v>2</v>
      </c>
      <c r="E135" s="68" t="s">
        <v>543</v>
      </c>
    </row>
    <row r="136" spans="1:5">
      <c r="A136" s="68">
        <v>0.40319899999999997</v>
      </c>
      <c r="B136" s="68">
        <v>0.28435199999999999</v>
      </c>
      <c r="C136" s="68">
        <v>54.483499999999999</v>
      </c>
      <c r="D136" s="68">
        <v>2</v>
      </c>
      <c r="E136" s="68" t="s">
        <v>544</v>
      </c>
    </row>
    <row r="137" spans="1:5">
      <c r="A137" s="68">
        <v>0.40244999999999997</v>
      </c>
      <c r="B137" s="68">
        <v>0.28515499999999999</v>
      </c>
      <c r="C137" s="68">
        <v>54.885800000000003</v>
      </c>
      <c r="D137" s="68">
        <v>2</v>
      </c>
      <c r="E137" s="68" t="s">
        <v>545</v>
      </c>
    </row>
    <row r="138" spans="1:5">
      <c r="A138" s="68">
        <v>0.402144</v>
      </c>
      <c r="B138" s="68">
        <v>0.28514299999999998</v>
      </c>
      <c r="C138" s="68">
        <v>55.294199999999996</v>
      </c>
      <c r="D138" s="68">
        <v>2</v>
      </c>
      <c r="E138" s="68" t="s">
        <v>546</v>
      </c>
    </row>
    <row r="139" spans="1:5">
      <c r="A139" s="68">
        <v>0.40162300000000001</v>
      </c>
      <c r="B139" s="68">
        <v>0.28644399999999998</v>
      </c>
      <c r="C139" s="68">
        <v>55.7012</v>
      </c>
      <c r="D139" s="68">
        <v>2</v>
      </c>
      <c r="E139" s="68" t="s">
        <v>547</v>
      </c>
    </row>
    <row r="140" spans="1:5">
      <c r="A140" s="68">
        <v>0.40090100000000001</v>
      </c>
      <c r="B140" s="68">
        <v>0.28815499999999999</v>
      </c>
      <c r="C140" s="68">
        <v>56.112200000000001</v>
      </c>
      <c r="D140" s="68">
        <v>2</v>
      </c>
      <c r="E140" s="68" t="s">
        <v>548</v>
      </c>
    </row>
    <row r="141" spans="1:5">
      <c r="A141" s="68">
        <v>0.39991100000000002</v>
      </c>
      <c r="B141" s="68">
        <v>0.29020499999999999</v>
      </c>
      <c r="C141" s="68">
        <v>56.515000000000001</v>
      </c>
      <c r="D141" s="68">
        <v>2</v>
      </c>
      <c r="E141" s="68" t="s">
        <v>549</v>
      </c>
    </row>
    <row r="142" spans="1:5">
      <c r="A142" s="68">
        <v>0.39988499999999999</v>
      </c>
      <c r="B142" s="68">
        <v>0.29170099999999999</v>
      </c>
      <c r="C142" s="68">
        <v>56.918799999999997</v>
      </c>
      <c r="D142" s="68">
        <v>2</v>
      </c>
      <c r="E142" s="68" t="s">
        <v>550</v>
      </c>
    </row>
    <row r="143" spans="1:5">
      <c r="A143" s="68">
        <v>0.40038099999999999</v>
      </c>
      <c r="B143" s="68">
        <v>0.292076</v>
      </c>
      <c r="C143" s="68">
        <v>57.3277</v>
      </c>
      <c r="D143" s="68">
        <v>2</v>
      </c>
      <c r="E143" s="68" t="s">
        <v>551</v>
      </c>
    </row>
    <row r="144" spans="1:5">
      <c r="A144" s="68">
        <v>0.40018300000000001</v>
      </c>
      <c r="B144" s="68">
        <v>0.29211100000000001</v>
      </c>
      <c r="C144" s="68">
        <v>57.731999999999999</v>
      </c>
      <c r="D144" s="68">
        <v>2</v>
      </c>
      <c r="E144" s="68" t="s">
        <v>552</v>
      </c>
    </row>
    <row r="145" spans="1:5">
      <c r="A145" s="68">
        <v>0.39822099999999999</v>
      </c>
      <c r="B145" s="68">
        <v>0.29395199999999999</v>
      </c>
      <c r="C145" s="68">
        <v>58.140300000000003</v>
      </c>
      <c r="D145" s="68">
        <v>2</v>
      </c>
      <c r="E145" s="68" t="s">
        <v>553</v>
      </c>
    </row>
    <row r="146" spans="1:5">
      <c r="A146" s="68">
        <v>0.39706399999999997</v>
      </c>
      <c r="B146" s="68">
        <v>0.29550700000000002</v>
      </c>
      <c r="C146" s="68">
        <v>58.548200000000001</v>
      </c>
      <c r="D146" s="68">
        <v>2</v>
      </c>
      <c r="E146" s="68" t="s">
        <v>554</v>
      </c>
    </row>
    <row r="147" spans="1:5">
      <c r="A147" s="68">
        <v>0.39624900000000002</v>
      </c>
      <c r="B147" s="68">
        <v>0.29761900000000002</v>
      </c>
      <c r="C147" s="68">
        <v>58.950499999999998</v>
      </c>
      <c r="D147" s="68">
        <v>2</v>
      </c>
      <c r="E147" s="68" t="s">
        <v>555</v>
      </c>
    </row>
    <row r="148" spans="1:5">
      <c r="A148" s="68">
        <v>0.39367000000000002</v>
      </c>
      <c r="B148" s="68">
        <v>0.30195300000000003</v>
      </c>
      <c r="C148" s="68">
        <v>59.356299999999997</v>
      </c>
      <c r="D148" s="68">
        <v>2</v>
      </c>
      <c r="E148" s="68" t="s">
        <v>556</v>
      </c>
    </row>
    <row r="149" spans="1:5">
      <c r="A149" s="68">
        <v>0.39291999999999999</v>
      </c>
      <c r="B149" s="68">
        <v>0.30359000000000003</v>
      </c>
      <c r="C149" s="68">
        <v>59.7639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43621.445543981485</v>
      </c>
      <c r="B2" s="66" t="s">
        <v>559</v>
      </c>
      <c r="C2" s="66"/>
      <c r="D2" s="66"/>
      <c r="E2" s="66">
        <v>4.9234099999999996</v>
      </c>
      <c r="F2" s="66">
        <v>1.7633099999999999</v>
      </c>
      <c r="G2" s="66">
        <v>0.69629099999999999</v>
      </c>
      <c r="H2" s="66">
        <v>0</v>
      </c>
      <c r="I2" s="66">
        <v>82413</v>
      </c>
      <c r="J2" s="66">
        <v>96</v>
      </c>
      <c r="K2" s="66">
        <v>96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2019-06-05T02:42:21Z</cp:lastPrinted>
  <dcterms:created xsi:type="dcterms:W3CDTF">2010-10-29T12:53:05Z</dcterms:created>
  <dcterms:modified xsi:type="dcterms:W3CDTF">2019-06-05T02:42:42Z</dcterms:modified>
</cp:coreProperties>
</file>