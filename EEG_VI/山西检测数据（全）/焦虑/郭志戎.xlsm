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Z17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<sst xmlns="http://schemas.openxmlformats.org/spreadsheetml/2006/main" count="701" uniqueCount="518">
  <si>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</si>
  <si>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</si>
  <si>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</si>
  <si>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</si>
  <si>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</si>
  <si>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</si>
  <si>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</si>
  <si>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</si>
  <si>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</si>
  <si>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</si>
  <si>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</si>
  <si>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</si>
  <si>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</si>
  <si>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</si>
  <si>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</si>
  <si>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</si>
  <si>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</si>
  <si>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</si>
  <si>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</si>
  <si>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</si>
  <si>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</si>
  <si>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</si>
  <si>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</si>
  <si>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</si>
  <si>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</si>
  <si>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</si>
  <si>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</si>
  <si>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</si>
  <si>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</si>
  <si>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</si>
  <si>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</si>
  <si>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</si>
  <si>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</si>
  <si>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</si>
  <si>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</si>
  <si>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</si>
  <si>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</si>
  <si>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</si>
  <si>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</si>
  <si>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</si>
  <si>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</si>
  <si>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</si>
  <si>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</si>
  <si>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</si>
  <si>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</si>
  <si>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</si>
  <si>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</si>
  <si>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</si>
  <si>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</si>
  <si>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</si>
  <si>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</si>
  <si>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</si>
  <si>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</si>
  <si>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</si>
  <si>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</si>
  <si>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</si>
  <si>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</si>
  <si>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</si>
  <si>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</si>
  <si>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</si>
  <si>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</si>
  <si>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</si>
  <si>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</si>
  <si>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</si>
  <si>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</si>
  <si>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</si>
  <si>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</si>
  <si>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</si>
  <si>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</si>
  <si>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</si>
  <si>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</si>
  <si>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</si>
  <si>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</si>
  <si>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</si>
  <si>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</si>
  <si>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</si>
  <si>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</si>
  <si>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</si>
  <si>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</si>
  <si>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</si>
  <si>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</si>
  <si>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</si>
  <si>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</si>
  <si>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</si>
  <si>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</si>
  <si>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</si>
  <si>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</si>
  <si>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</si>
  <si>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</si>
  <si>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</si>
  <si>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</si>
  <si>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</si>
  <si>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</si>
  <si>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</si>
  <si>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</si>
  <si>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</si>
  <si>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</si>
  <si>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</si>
  <si>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</si>
  <si>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</si>
  <si>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</si>
  <si>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</si>
  <si>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</si>
  <si>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</si>
  <si>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</si>
  <si>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</si>
  <si>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</si>
  <si>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</si>
  <si>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</si>
  <si>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</si>
  <si>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</si>
  <si>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</si>
  <si>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</si>
  <si>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</si>
  <si>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</si>
  <si>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</si>
  <si>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</si>
  <si>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</si>
  <si>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</si>
  <si>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</si>
  <si>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</si>
  <si>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</si>
  <si>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</si>
  <si>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</si>
  <si>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</si>
  <si>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</si>
  <si>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</si>
  <si>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</si>
  <si>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</si>
  <si>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</si>
  <si>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</si>
  <si>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</si>
  <si>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</si>
  <si>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</si>
  <si>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</si>
  <si>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</si>
  <si>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</si>
  <si>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</si>
  <si>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</si>
  <si>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</si>
  <si>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</si>
  <si>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</si>
  <si>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</si>
  <si>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</si>
  <si>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</si>
  <si>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</si>
  <si>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</si>
  <si>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</si>
  <si>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</si>
  <si>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</si>
  <si>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</si>
  <si>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</si>
  <si>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</si>
  <si>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</si>
  <si>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</si>
  <si>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</si>
  <si>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</si>
  <si>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</si>
  <si>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</si>
  <si>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</si>
  <si>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</si>
  <si>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</si>
  <si>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</si>
  <si>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</si>
  <si>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</si>
  <si>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</si>
  <si>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</si>
  <si>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</si>
  <si>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</si>
  <si>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</si>
  <si>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</si>
  <si>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</si>
  <si>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</si>
  <si>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</si>
  <si>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</si>
  <si>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</si>
  <si>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</si>
  <si>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</si>
  <si>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</si>
  <si>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</si>
  <si>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</si>
  <si>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</si>
  <si>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</si>
  <si>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</si>
  <si>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</si>
  <si>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</si>
  <si>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</si>
  <si>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</si>
  <si>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</si>
  <si>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</si>
  <si>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</si>
  <si>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</si>
  <si>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</si>
  <si>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</si>
  <si>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</si>
  <si>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</si>
  <si>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</si>
  <si>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</si>
  <si>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</si>
  <si>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</si>
  <si>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</si>
  <si>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</si>
  <si>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</si>
  <si>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</si>
  <si>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</si>
  <si>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</si>
  <si>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</si>
  <si>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</si>
  <si>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</si>
  <si>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</si>
  <si>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</si>
  <si>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</si>
  <si>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</si>
  <si>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</si>
  <si>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</si>
  <si>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</si>
  <si>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</si>
  <si>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</si>
  <si>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</si>
  <si>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</si>
  <si>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</si>
  <si>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</si>
  <si>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</si>
  <si>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</si>
  <si>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</si>
  <si>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</si>
  <si>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</si>
  <si>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</si>
  <si>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</si>
  <si>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</si>
  <si>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</si>
  <si>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</si>
  <si>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</si>
  <si>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</si>
  <si>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</si>
  <si>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</si>
  <si>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</si>
  <si>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</si>
  <si>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</si>
  <si>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</si>
  <si>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</si>
  <si>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</si>
  <si>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</si>
  <si>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</si>
  <si>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</si>
  <si>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</si>
  <si>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</si>
  <si>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</si>
  <si>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</si>
  <si>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</si>
  <si>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</si>
  <si>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</si>
  <si>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</si>
  <si>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</si>
  <si>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</si>
  <si>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</si>
  <si>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</si>
  <si>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</si>
  <si>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</si>
  <si>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</si>
  <si>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</si>
  <si>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</si>
  <si>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</si>
  <si>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</si>
  <si>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</si>
  <si>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</si>
  <si>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</si>
  <si>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</si>
  <si>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</si>
  <si>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</si>
  <si>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</si>
  <si>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</si>
  <si>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</si>
  <si>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</si>
  <si>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</si>
  <si>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</si>
  <si>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</si>
  <si>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</si>
  <si>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</si>
  <si>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</si>
  <si>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</si>
  <si>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</si>
  <si>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</si>
  <si>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</si>
  <si>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</si>
  <si>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</si>
  <si>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</si>
  <si>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</si>
  <si>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</si>
  <si>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</si>
  <si>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</si>
  <si>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</si>
  <si>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</si>
  <si>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</si>
  <si>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</si>
  <si>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</si>
  <si>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</si>
  <si>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</si>
  <si>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</si>
  <si>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</si>
  <si>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</si>
  <si>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</si>
  <si>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</si>
  <si>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</si>
  <si>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</si>
  <si>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</si>
  <si>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</si>
  <si>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</si>
  <si>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</si>
  <si>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</si>
  <si>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</si>
  <si>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</si>
  <si>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</si>
  <si>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</si>
  <si>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</si>
  <si>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</si>
  <si>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</si>
  <si>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</si>
  <si>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</si>
  <si>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</si>
  <si>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</si>
  <si>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</si>
  <si>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</si>
  <si>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</si>
  <si>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</si>
  <si>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</si>
  <si>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</si>
  <si>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</si>
  <si>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</si>
  <si>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</si>
  <si>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</si>
  <si>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</si>
  <si>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</si>
  <si>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</si>
  <si>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</si>
  <si>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</si>
  <si>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</si>
  <si>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</si>
  <si>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</si>
  <si>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</si>
  <si>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</si>
  <si>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</si>
  <si>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</si>
  <si>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</si>
  <si>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</si>
  <si>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</si>
  <si>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</si>
  <si>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S</t>
    <phoneticPr fontId="29" type="noConversion"/>
  </si>
  <si>
    <t>A2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</si>
  <si>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</si>
  <si>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</si>
  <si>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</si>
  <si>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</si>
  <si>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</si>
  <si>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</si>
  <si>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</si>
  <si>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</si>
  <si>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[0.391385]</t>
  </si>
  <si>
    <t>1 [0.798711]</t>
  </si>
  <si>
    <t>1 [1.204931]</t>
  </si>
  <si>
    <t>1 [1.608566]</t>
  </si>
  <si>
    <t>1 [2.017667]</t>
  </si>
  <si>
    <t>1 [2.421650]</t>
  </si>
  <si>
    <t>1 [2.828303]</t>
  </si>
  <si>
    <t>1 [3.235384]</t>
  </si>
  <si>
    <t>1 [3.642323]</t>
  </si>
  <si>
    <t>1 [4.045343]</t>
  </si>
  <si>
    <t>1 [4.453995]</t>
  </si>
  <si>
    <t>1 [4.860582]</t>
  </si>
  <si>
    <t>1 [5.269772]</t>
  </si>
  <si>
    <t>1 [5.674061]</t>
  </si>
  <si>
    <t>1 [6.079421]</t>
  </si>
  <si>
    <t>1 [6.483431]</t>
  </si>
  <si>
    <t>1 [6.891049]</t>
  </si>
  <si>
    <t>1 [7.299289]</t>
  </si>
  <si>
    <t>1 [7.704989]</t>
  </si>
  <si>
    <t>1 [8.108821]</t>
  </si>
  <si>
    <t>1 [8.514192]</t>
  </si>
  <si>
    <t>1 [8.924037]</t>
  </si>
  <si>
    <t>1 [9.331516]</t>
  </si>
  <si>
    <t>1 [9.734193]</t>
  </si>
  <si>
    <t>1 [10.141567]</t>
  </si>
  <si>
    <t>1 [10.546708]</t>
  </si>
  <si>
    <t>1 [10.953945]</t>
  </si>
  <si>
    <t>1 [11.360073]</t>
  </si>
  <si>
    <t>1 [11.766793]</t>
  </si>
  <si>
    <t>1 [12.170136]</t>
  </si>
  <si>
    <t>1 [12.577957]</t>
  </si>
  <si>
    <t>1 [12.985820]</t>
  </si>
  <si>
    <t>1 [13.390889]</t>
  </si>
  <si>
    <t>1 [13.795995]</t>
  </si>
  <si>
    <t>1 [14.205961]</t>
  </si>
  <si>
    <t>1 [14.613658]</t>
  </si>
  <si>
    <t>1 [15.017918]</t>
  </si>
  <si>
    <t>1 [15.421723]</t>
  </si>
  <si>
    <t>1 [15.827510]</t>
  </si>
  <si>
    <t>1 [16.233624]</t>
  </si>
  <si>
    <t>1 [16.642539]</t>
  </si>
  <si>
    <t>1 [17.047767]</t>
  </si>
  <si>
    <t>1 [17.451079]</t>
  </si>
  <si>
    <t>1 [17.860994]</t>
  </si>
  <si>
    <t>1 [18.267702]</t>
  </si>
  <si>
    <t>1 [18.673691]</t>
  </si>
  <si>
    <t>1 [19.078111]</t>
  </si>
  <si>
    <t>1 [19.484758]</t>
  </si>
  <si>
    <t>1 [19.892298]</t>
  </si>
  <si>
    <t>1 [20.295583]</t>
  </si>
  <si>
    <t>1 [20.704180]</t>
  </si>
  <si>
    <t>1 [21.108950]</t>
  </si>
  <si>
    <t>1 [21.513716]</t>
  </si>
  <si>
    <t>1 [21.919895]</t>
  </si>
  <si>
    <t>1 [22.329649]</t>
  </si>
  <si>
    <t>1 [22.733675]</t>
  </si>
  <si>
    <t>1 [23.142097]</t>
  </si>
  <si>
    <t>1 [23.545249]</t>
  </si>
  <si>
    <t>1 [23.952923]</t>
  </si>
  <si>
    <t>1 [24.359080]</t>
  </si>
  <si>
    <t>1 [24.767130]</t>
  </si>
  <si>
    <t>1 [25.175788]</t>
  </si>
  <si>
    <t>1 [25.578185]</t>
  </si>
  <si>
    <t>1 [25.985771]</t>
  </si>
  <si>
    <t>1 [26.390454]</t>
  </si>
  <si>
    <t>1 [26.796940]</t>
  </si>
  <si>
    <t>1 [27.205140]</t>
  </si>
  <si>
    <t>1 [27.607772]</t>
  </si>
  <si>
    <t>1 [28.014665]</t>
  </si>
  <si>
    <t>1 [28.422159]</t>
  </si>
  <si>
    <t>1 [28.830988]</t>
  </si>
  <si>
    <t>1 [29.236755]</t>
  </si>
  <si>
    <t>1 [29.641483]</t>
  </si>
  <si>
    <t>2 [30.046337]</t>
  </si>
  <si>
    <t>2 [30.621639]</t>
  </si>
  <si>
    <t>2 [30.997708]</t>
  </si>
  <si>
    <t>2 [31.374279]</t>
  </si>
  <si>
    <t>2 [31.749167]</t>
  </si>
  <si>
    <t>2 [32.125213]</t>
  </si>
  <si>
    <t>2 [32.530272]</t>
  </si>
  <si>
    <t>2 [32.936752]</t>
  </si>
  <si>
    <t>2 [33.346064]</t>
  </si>
  <si>
    <t>2 [33.749069]</t>
  </si>
  <si>
    <t>2 [34.158102]</t>
  </si>
  <si>
    <t>2 [34.564072]</t>
  </si>
  <si>
    <t>2 [34.968858]</t>
  </si>
  <si>
    <t>2 [35.374258]</t>
  </si>
  <si>
    <t>2 [35.782265]</t>
  </si>
  <si>
    <t>2 [36.185808]</t>
  </si>
  <si>
    <t>2 [36.591805]</t>
  </si>
  <si>
    <t>2 [36.999858]</t>
  </si>
  <si>
    <t>2 [37.407844]</t>
  </si>
  <si>
    <t>2 [37.811625]</t>
  </si>
  <si>
    <t>2 [38.218910]</t>
  </si>
  <si>
    <t>2 [38.627191]</t>
  </si>
  <si>
    <t>2 [39.031457]</t>
  </si>
  <si>
    <t>2 [39.441190]</t>
  </si>
  <si>
    <t>2 [39.844885]</t>
  </si>
  <si>
    <t>2 [40.249278]</t>
  </si>
  <si>
    <t>2 [40.654293]</t>
  </si>
  <si>
    <t>2 [41.063960]</t>
  </si>
  <si>
    <t>2 [41.466801]</t>
  </si>
  <si>
    <t>2 [41.875949]</t>
  </si>
  <si>
    <t>2 [42.282315]</t>
  </si>
  <si>
    <t>2 [42.686908]</t>
  </si>
  <si>
    <t>2 [43.097587]</t>
  </si>
  <si>
    <t>2 [43.499976]</t>
  </si>
  <si>
    <t>2 [43.908590]</t>
  </si>
  <si>
    <t>2 [44.312536]</t>
  </si>
  <si>
    <t>2 [44.718058]</t>
  </si>
  <si>
    <t>2 [45.125270]</t>
  </si>
  <si>
    <t>2 [45.531485]</t>
  </si>
  <si>
    <t>2 [45.940441]</t>
  </si>
  <si>
    <t>2 [46.344956]</t>
  </si>
  <si>
    <t>2 [46.750669]</t>
  </si>
  <si>
    <t>2 [47.159288]</t>
  </si>
  <si>
    <t>2 [47.565567]</t>
  </si>
  <si>
    <t>2 [47.972732]</t>
  </si>
  <si>
    <t>2 [48.377496]</t>
  </si>
  <si>
    <t>2 [48.781180]</t>
  </si>
  <si>
    <t>2 [49.187254]</t>
  </si>
  <si>
    <t>2 [49.593443]</t>
  </si>
  <si>
    <t>2 [50.001420]</t>
  </si>
  <si>
    <t>2 [50.406725]</t>
  </si>
  <si>
    <t>2 [50.810969]</t>
  </si>
  <si>
    <t>2 [51.216880]</t>
  </si>
  <si>
    <t>2 [51.627506]</t>
  </si>
  <si>
    <t>2 [52.033965]</t>
  </si>
  <si>
    <t>2 [52.438999]</t>
  </si>
  <si>
    <t>2 [52.843217]</t>
  </si>
  <si>
    <t>2 [53.252670]</t>
  </si>
  <si>
    <t>2 [53.657861]</t>
  </si>
  <si>
    <t>2 [54.064303]</t>
  </si>
  <si>
    <t>2 [54.469999]</t>
  </si>
  <si>
    <t>2 [54.875855]</t>
  </si>
  <si>
    <t>2 [55.281586]</t>
  </si>
  <si>
    <t>2 [55.690815]</t>
  </si>
  <si>
    <t>2 [56.095650]</t>
  </si>
  <si>
    <t>2 [56.503908]</t>
  </si>
  <si>
    <t>2 [56.906751]</t>
  </si>
  <si>
    <t>2 [57.313034]</t>
  </si>
  <si>
    <t>2 [57.717380]</t>
  </si>
  <si>
    <t>2 [58.124148]</t>
  </si>
  <si>
    <t>2 [58.533551]</t>
  </si>
  <si>
    <t>2 [58.938315]</t>
  </si>
  <si>
    <t>2 [59.345787]</t>
  </si>
  <si>
    <t>2 [59.751760]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</si>
  <si>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</si>
  <si>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</si>
  <si>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</si>
  <si>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</si>
  <si>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</si>
  <si>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</si>
  <si>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</si>
  <si>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</si>
  <si>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</si>
  <si>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</si>
  <si>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</si>
  <si>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</si>
  <si>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</si>
  <si>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郭志戎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</si>
</sst>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38.187800000000003</c:v>
                </c:pt>
                <c:pt idx="1">
                  <c:v>30.176400000000001</c:v>
                </c:pt>
                <c:pt idx="2">
                  <c:v>30.783899999999999</c:v>
                </c:pt>
                <c:pt idx="3">
                  <c:v>33.006700000000002</c:v>
                </c:pt>
                <c:pt idx="4">
                  <c:v>66.577799999999996</c:v>
                </c:pt>
                <c:pt idx="5">
                  <c:v>75.379400000000004</c:v>
                </c:pt>
                <c:pt idx="6">
                  <c:v>22.539400000000001</c:v>
                </c:pt>
                <c:pt idx="7">
                  <c:v>70.996200000000002</c:v>
                </c:pt>
                <c:pt idx="8">
                  <c:v>15.6441</c:v>
                </c:pt>
                <c:pt idx="9">
                  <c:v>26.083500000000001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0.52203799222704883</c:v>
                </c:pt>
                <c:pt idx="1">
                  <c:v>0.29295938752763234</c:v>
                </c:pt>
                <c:pt idx="2">
                  <c:v>0.18500262024531883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2211</c:v>
                </c:pt>
                <c:pt idx="7">
                  <c:v>0</c:v>
                </c:pt>
                <c:pt idx="8">
                  <c:v>5449</c:v>
                </c:pt>
                <c:pt idx="9">
                  <c:v>0</c:v>
                </c:pt>
                <c:pt idx="10">
                  <c:v>0</c:v>
                </c:pt>
                <c:pt idx="11">
                  <c:v>9572</c:v>
                </c:pt>
                <c:pt idx="12">
                  <c:v>0</c:v>
                </c:pt>
                <c:pt idx="13">
                  <c:v>14822</c:v>
                </c:pt>
                <c:pt idx="14">
                  <c:v>0</c:v>
                </c:pt>
                <c:pt idx="15">
                  <c:v>0</c:v>
                </c:pt>
                <c:pt idx="16">
                  <c:v>17722</c:v>
                </c:pt>
                <c:pt idx="17">
                  <c:v>0</c:v>
                </c:pt>
                <c:pt idx="18">
                  <c:v>0</c:v>
                </c:pt>
                <c:pt idx="19">
                  <c:v>23064</c:v>
                </c:pt>
                <c:pt idx="20">
                  <c:v>0</c:v>
                </c:pt>
                <c:pt idx="21">
                  <c:v>30303</c:v>
                </c:pt>
                <c:pt idx="22">
                  <c:v>0</c:v>
                </c:pt>
                <c:pt idx="23">
                  <c:v>0</c:v>
                </c:pt>
                <c:pt idx="24">
                  <c:v>36416</c:v>
                </c:pt>
                <c:pt idx="25">
                  <c:v>0</c:v>
                </c:pt>
                <c:pt idx="26">
                  <c:v>46402</c:v>
                </c:pt>
                <c:pt idx="27">
                  <c:v>0</c:v>
                </c:pt>
                <c:pt idx="28">
                  <c:v>0</c:v>
                </c:pt>
                <c:pt idx="29">
                  <c:v>62403</c:v>
                </c:pt>
                <c:pt idx="30">
                  <c:v>0</c:v>
                </c:pt>
                <c:pt idx="31">
                  <c:v>60813</c:v>
                </c:pt>
                <c:pt idx="32">
                  <c:v>0</c:v>
                </c:pt>
                <c:pt idx="33">
                  <c:v>0</c:v>
                </c:pt>
                <c:pt idx="34">
                  <c:v>68670</c:v>
                </c:pt>
                <c:pt idx="35">
                  <c:v>0</c:v>
                </c:pt>
                <c:pt idx="36">
                  <c:v>0</c:v>
                </c:pt>
                <c:pt idx="37">
                  <c:v>71473</c:v>
                </c:pt>
                <c:pt idx="38">
                  <c:v>0</c:v>
                </c:pt>
                <c:pt idx="39">
                  <c:v>74973</c:v>
                </c:pt>
                <c:pt idx="40">
                  <c:v>0</c:v>
                </c:pt>
                <c:pt idx="41">
                  <c:v>0</c:v>
                </c:pt>
                <c:pt idx="42">
                  <c:v>77235</c:v>
                </c:pt>
                <c:pt idx="43">
                  <c:v>0</c:v>
                </c:pt>
                <c:pt idx="44">
                  <c:v>74985</c:v>
                </c:pt>
                <c:pt idx="45">
                  <c:v>0</c:v>
                </c:pt>
                <c:pt idx="46">
                  <c:v>0</c:v>
                </c:pt>
                <c:pt idx="47">
                  <c:v>76039</c:v>
                </c:pt>
                <c:pt idx="48">
                  <c:v>0</c:v>
                </c:pt>
                <c:pt idx="49">
                  <c:v>84000</c:v>
                </c:pt>
                <c:pt idx="50">
                  <c:v>0</c:v>
                </c:pt>
                <c:pt idx="51">
                  <c:v>0</c:v>
                </c:pt>
                <c:pt idx="52">
                  <c:v>100185</c:v>
                </c:pt>
                <c:pt idx="53">
                  <c:v>0</c:v>
                </c:pt>
                <c:pt idx="54">
                  <c:v>0</c:v>
                </c:pt>
                <c:pt idx="55">
                  <c:v>103794</c:v>
                </c:pt>
                <c:pt idx="56">
                  <c:v>0</c:v>
                </c:pt>
                <c:pt idx="57">
                  <c:v>109987</c:v>
                </c:pt>
                <c:pt idx="58">
                  <c:v>0</c:v>
                </c:pt>
                <c:pt idx="59">
                  <c:v>0</c:v>
                </c:pt>
                <c:pt idx="60">
                  <c:v>119355</c:v>
                </c:pt>
                <c:pt idx="61">
                  <c:v>0</c:v>
                </c:pt>
                <c:pt idx="62">
                  <c:v>125156</c:v>
                </c:pt>
                <c:pt idx="63">
                  <c:v>0</c:v>
                </c:pt>
                <c:pt idx="64">
                  <c:v>0</c:v>
                </c:pt>
                <c:pt idx="65">
                  <c:v>136240</c:v>
                </c:pt>
                <c:pt idx="66">
                  <c:v>0</c:v>
                </c:pt>
                <c:pt idx="67">
                  <c:v>138812</c:v>
                </c:pt>
                <c:pt idx="68">
                  <c:v>0</c:v>
                </c:pt>
                <c:pt idx="69">
                  <c:v>0</c:v>
                </c:pt>
                <c:pt idx="70">
                  <c:v>145974</c:v>
                </c:pt>
                <c:pt idx="71">
                  <c:v>0</c:v>
                </c:pt>
                <c:pt idx="72">
                  <c:v>0</c:v>
                </c:pt>
                <c:pt idx="73">
                  <c:v>157399</c:v>
                </c:pt>
                <c:pt idx="74">
                  <c:v>0</c:v>
                </c:pt>
                <c:pt idx="75">
                  <c:v>153103</c:v>
                </c:pt>
                <c:pt idx="76">
                  <c:v>0</c:v>
                </c:pt>
                <c:pt idx="77">
                  <c:v>0</c:v>
                </c:pt>
                <c:pt idx="78">
                  <c:v>155568</c:v>
                </c:pt>
                <c:pt idx="79">
                  <c:v>0</c:v>
                </c:pt>
                <c:pt idx="80">
                  <c:v>154344</c:v>
                </c:pt>
                <c:pt idx="81">
                  <c:v>0</c:v>
                </c:pt>
                <c:pt idx="82">
                  <c:v>0</c:v>
                </c:pt>
                <c:pt idx="83">
                  <c:v>153425</c:v>
                </c:pt>
                <c:pt idx="84">
                  <c:v>0</c:v>
                </c:pt>
                <c:pt idx="85">
                  <c:v>0</c:v>
                </c:pt>
                <c:pt idx="86">
                  <c:v>156405</c:v>
                </c:pt>
                <c:pt idx="87">
                  <c:v>0</c:v>
                </c:pt>
                <c:pt idx="88">
                  <c:v>166110</c:v>
                </c:pt>
                <c:pt idx="89">
                  <c:v>0</c:v>
                </c:pt>
                <c:pt idx="90">
                  <c:v>0</c:v>
                </c:pt>
                <c:pt idx="91">
                  <c:v>162223</c:v>
                </c:pt>
                <c:pt idx="92">
                  <c:v>0</c:v>
                </c:pt>
                <c:pt idx="93">
                  <c:v>166105</c:v>
                </c:pt>
                <c:pt idx="94">
                  <c:v>0</c:v>
                </c:pt>
                <c:pt idx="95">
                  <c:v>0</c:v>
                </c:pt>
                <c:pt idx="96">
                  <c:v>156350</c:v>
                </c:pt>
                <c:pt idx="97">
                  <c:v>0</c:v>
                </c:pt>
                <c:pt idx="98">
                  <c:v>168728</c:v>
                </c:pt>
                <c:pt idx="99">
                  <c:v>0</c:v>
                </c:pt>
                <c:pt idx="100">
                  <c:v>0</c:v>
                </c:pt>
                <c:pt idx="101">
                  <c:v>158220</c:v>
                </c:pt>
                <c:pt idx="102">
                  <c:v>0</c:v>
                </c:pt>
                <c:pt idx="103">
                  <c:v>0</c:v>
                </c:pt>
                <c:pt idx="104">
                  <c:v>151604</c:v>
                </c:pt>
                <c:pt idx="105">
                  <c:v>0</c:v>
                </c:pt>
                <c:pt idx="106">
                  <c:v>143222</c:v>
                </c:pt>
                <c:pt idx="107">
                  <c:v>0</c:v>
                </c:pt>
                <c:pt idx="108">
                  <c:v>0</c:v>
                </c:pt>
                <c:pt idx="109">
                  <c:v>124329</c:v>
                </c:pt>
                <c:pt idx="110">
                  <c:v>0</c:v>
                </c:pt>
                <c:pt idx="111">
                  <c:v>120648</c:v>
                </c:pt>
                <c:pt idx="112">
                  <c:v>0</c:v>
                </c:pt>
                <c:pt idx="113">
                  <c:v>0</c:v>
                </c:pt>
                <c:pt idx="114">
                  <c:v>119016</c:v>
                </c:pt>
                <c:pt idx="115">
                  <c:v>0</c:v>
                </c:pt>
                <c:pt idx="116">
                  <c:v>106702</c:v>
                </c:pt>
                <c:pt idx="117">
                  <c:v>0</c:v>
                </c:pt>
                <c:pt idx="118">
                  <c:v>0</c:v>
                </c:pt>
                <c:pt idx="119">
                  <c:v>110282</c:v>
                </c:pt>
                <c:pt idx="120">
                  <c:v>0</c:v>
                </c:pt>
                <c:pt idx="121">
                  <c:v>0</c:v>
                </c:pt>
                <c:pt idx="122">
                  <c:v>96850</c:v>
                </c:pt>
                <c:pt idx="123">
                  <c:v>0</c:v>
                </c:pt>
                <c:pt idx="124">
                  <c:v>94544</c:v>
                </c:pt>
                <c:pt idx="125">
                  <c:v>0</c:v>
                </c:pt>
                <c:pt idx="126">
                  <c:v>0</c:v>
                </c:pt>
                <c:pt idx="127">
                  <c:v>92036</c:v>
                </c:pt>
                <c:pt idx="128">
                  <c:v>0</c:v>
                </c:pt>
                <c:pt idx="129">
                  <c:v>79055</c:v>
                </c:pt>
                <c:pt idx="130">
                  <c:v>0</c:v>
                </c:pt>
                <c:pt idx="131">
                  <c:v>0</c:v>
                </c:pt>
                <c:pt idx="132">
                  <c:v>75800</c:v>
                </c:pt>
                <c:pt idx="133">
                  <c:v>0</c:v>
                </c:pt>
                <c:pt idx="134">
                  <c:v>64723</c:v>
                </c:pt>
                <c:pt idx="135">
                  <c:v>0</c:v>
                </c:pt>
                <c:pt idx="136">
                  <c:v>0</c:v>
                </c:pt>
                <c:pt idx="137">
                  <c:v>58385</c:v>
                </c:pt>
                <c:pt idx="138">
                  <c:v>0</c:v>
                </c:pt>
                <c:pt idx="139">
                  <c:v>0</c:v>
                </c:pt>
                <c:pt idx="140">
                  <c:v>48451</c:v>
                </c:pt>
                <c:pt idx="141">
                  <c:v>0</c:v>
                </c:pt>
                <c:pt idx="142">
                  <c:v>41273</c:v>
                </c:pt>
                <c:pt idx="143">
                  <c:v>0</c:v>
                </c:pt>
                <c:pt idx="144">
                  <c:v>0</c:v>
                </c:pt>
                <c:pt idx="145">
                  <c:v>35484</c:v>
                </c:pt>
                <c:pt idx="146">
                  <c:v>0</c:v>
                </c:pt>
                <c:pt idx="147">
                  <c:v>33623</c:v>
                </c:pt>
                <c:pt idx="148">
                  <c:v>0</c:v>
                </c:pt>
                <c:pt idx="149">
                  <c:v>0</c:v>
                </c:pt>
                <c:pt idx="150">
                  <c:v>21792</c:v>
                </c:pt>
                <c:pt idx="151">
                  <c:v>0</c:v>
                </c:pt>
                <c:pt idx="152">
                  <c:v>17517</c:v>
                </c:pt>
                <c:pt idx="153">
                  <c:v>0</c:v>
                </c:pt>
                <c:pt idx="154">
                  <c:v>0</c:v>
                </c:pt>
                <c:pt idx="155">
                  <c:v>9228</c:v>
                </c:pt>
                <c:pt idx="156">
                  <c:v>0</c:v>
                </c:pt>
                <c:pt idx="157">
                  <c:v>0</c:v>
                </c:pt>
                <c:pt idx="158">
                  <c:v>5302</c:v>
                </c:pt>
                <c:pt idx="159">
                  <c:v>0</c:v>
                </c:pt>
                <c:pt idx="160">
                  <c:v>2956</c:v>
                </c:pt>
                <c:pt idx="161">
                  <c:v>0</c:v>
                </c:pt>
                <c:pt idx="162">
                  <c:v>0</c:v>
                </c:pt>
                <c:pt idx="163">
                  <c:v>1528</c:v>
                </c:pt>
                <c:pt idx="164">
                  <c:v>0</c:v>
                </c:pt>
                <c:pt idx="165">
                  <c:v>917</c:v>
                </c:pt>
                <c:pt idx="166">
                  <c:v>0</c:v>
                </c:pt>
                <c:pt idx="167">
                  <c:v>0</c:v>
                </c:pt>
                <c:pt idx="168">
                  <c:v>104</c:v>
                </c:pt>
                <c:pt idx="169">
                  <c:v>0</c:v>
                </c:pt>
                <c:pt idx="170">
                  <c:v>0</c:v>
                </c:pt>
                <c:pt idx="171">
                  <c:v>70</c:v>
                </c:pt>
                <c:pt idx="172">
                  <c:v>0</c:v>
                </c:pt>
                <c:pt idx="173">
                  <c:v>179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  <c:pt idx="74">
                  <c:v>3.8659500000000002</c:v>
                </c:pt>
                <c:pt idx="75">
                  <c:v>3.8065300000000004</c:v>
                </c:pt>
                <c:pt idx="76">
                  <c:v>3.7446700000000002</c:v>
                </c:pt>
                <c:pt idx="77">
                  <c:v>3.6802099999999998</c:v>
                </c:pt>
                <c:pt idx="78">
                  <c:v>3.6144400000000001</c:v>
                </c:pt>
                <c:pt idx="79">
                  <c:v>3.5474600000000001</c:v>
                </c:pt>
                <c:pt idx="80">
                  <c:v>3.4845799999999998</c:v>
                </c:pt>
                <c:pt idx="81">
                  <c:v>3.42144</c:v>
                </c:pt>
                <c:pt idx="82">
                  <c:v>3.3596199999999996</c:v>
                </c:pt>
                <c:pt idx="83">
                  <c:v>3.2971400000000002</c:v>
                </c:pt>
                <c:pt idx="84">
                  <c:v>3.2301400000000005</c:v>
                </c:pt>
                <c:pt idx="85">
                  <c:v>3.1621899999999998</c:v>
                </c:pt>
                <c:pt idx="86">
                  <c:v>3.09687</c:v>
                </c:pt>
                <c:pt idx="87">
                  <c:v>3.0359099999999999</c:v>
                </c:pt>
                <c:pt idx="88">
                  <c:v>2.9799500000000001</c:v>
                </c:pt>
                <c:pt idx="89">
                  <c:v>2.9289999999999998</c:v>
                </c:pt>
                <c:pt idx="90">
                  <c:v>2.8856900000000003</c:v>
                </c:pt>
                <c:pt idx="91">
                  <c:v>2.8474500000000003</c:v>
                </c:pt>
                <c:pt idx="92">
                  <c:v>2.8134799999999998</c:v>
                </c:pt>
                <c:pt idx="93">
                  <c:v>2.7858200000000002</c:v>
                </c:pt>
                <c:pt idx="94">
                  <c:v>2.7654200000000002</c:v>
                </c:pt>
                <c:pt idx="95">
                  <c:v>2.7510300000000001</c:v>
                </c:pt>
                <c:pt idx="96">
                  <c:v>2.7424500000000003</c:v>
                </c:pt>
                <c:pt idx="97">
                  <c:v>2.7395199999999997</c:v>
                </c:pt>
                <c:pt idx="98">
                  <c:v>2.7390300000000001</c:v>
                </c:pt>
                <c:pt idx="99">
                  <c:v>2.7423399999999996</c:v>
                </c:pt>
                <c:pt idx="100">
                  <c:v>2.7476699999999998</c:v>
                </c:pt>
                <c:pt idx="101">
                  <c:v>2.7589700000000001</c:v>
                </c:pt>
                <c:pt idx="102">
                  <c:v>2.7751799999999998</c:v>
                </c:pt>
                <c:pt idx="103">
                  <c:v>2.7988800000000005</c:v>
                </c:pt>
                <c:pt idx="104">
                  <c:v>2.82599</c:v>
                </c:pt>
                <c:pt idx="105">
                  <c:v>2.8528099999999998</c:v>
                </c:pt>
                <c:pt idx="106">
                  <c:v>2.8821300000000001</c:v>
                </c:pt>
                <c:pt idx="107">
                  <c:v>2.91595</c:v>
                </c:pt>
                <c:pt idx="108">
                  <c:v>2.9542700000000002</c:v>
                </c:pt>
                <c:pt idx="109">
                  <c:v>2.9915399999999996</c:v>
                </c:pt>
                <c:pt idx="110">
                  <c:v>3.0240899999999997</c:v>
                </c:pt>
                <c:pt idx="111">
                  <c:v>3.0558100000000001</c:v>
                </c:pt>
                <c:pt idx="112">
                  <c:v>3.08954</c:v>
                </c:pt>
                <c:pt idx="113">
                  <c:v>3.12649</c:v>
                </c:pt>
                <c:pt idx="114">
                  <c:v>3.1641599999999999</c:v>
                </c:pt>
                <c:pt idx="115">
                  <c:v>3.1983299999999999</c:v>
                </c:pt>
                <c:pt idx="116">
                  <c:v>3.2276199999999999</c:v>
                </c:pt>
                <c:pt idx="117">
                  <c:v>3.2546399999999998</c:v>
                </c:pt>
                <c:pt idx="118">
                  <c:v>3.2812299999999999</c:v>
                </c:pt>
                <c:pt idx="119">
                  <c:v>3.3060200000000002</c:v>
                </c:pt>
                <c:pt idx="120">
                  <c:v>3.33005</c:v>
                </c:pt>
                <c:pt idx="121">
                  <c:v>3.3534100000000002</c:v>
                </c:pt>
                <c:pt idx="122">
                  <c:v>3.3766400000000001</c:v>
                </c:pt>
                <c:pt idx="123">
                  <c:v>3.3994200000000001</c:v>
                </c:pt>
                <c:pt idx="124">
                  <c:v>3.4127000000000001</c:v>
                </c:pt>
                <c:pt idx="125">
                  <c:v>3.4274700000000005</c:v>
                </c:pt>
                <c:pt idx="126">
                  <c:v>3.4413899999999997</c:v>
                </c:pt>
                <c:pt idx="127">
                  <c:v>3.4558899999999997</c:v>
                </c:pt>
                <c:pt idx="128">
                  <c:v>3.4671000000000003</c:v>
                </c:pt>
                <c:pt idx="129">
                  <c:v>3.4744399999999995</c:v>
                </c:pt>
                <c:pt idx="130">
                  <c:v>3.4811999999999999</c:v>
                </c:pt>
                <c:pt idx="131">
                  <c:v>3.4893200000000002</c:v>
                </c:pt>
                <c:pt idx="132">
                  <c:v>3.49532</c:v>
                </c:pt>
                <c:pt idx="133">
                  <c:v>3.4990900000000003</c:v>
                </c:pt>
                <c:pt idx="134">
                  <c:v>3.50502</c:v>
                </c:pt>
                <c:pt idx="135">
                  <c:v>3.5162100000000001</c:v>
                </c:pt>
                <c:pt idx="136">
                  <c:v>3.52948</c:v>
                </c:pt>
                <c:pt idx="137">
                  <c:v>3.54183</c:v>
                </c:pt>
                <c:pt idx="138">
                  <c:v>3.5490300000000001</c:v>
                </c:pt>
                <c:pt idx="139">
                  <c:v>3.5460599999999998</c:v>
                </c:pt>
                <c:pt idx="140">
                  <c:v>3.5442600000000004</c:v>
                </c:pt>
                <c:pt idx="141">
                  <c:v>3.5445100000000003</c:v>
                </c:pt>
                <c:pt idx="142">
                  <c:v>3.5512500000000005</c:v>
                </c:pt>
                <c:pt idx="143">
                  <c:v>3.5620600000000002</c:v>
                </c:pt>
                <c:pt idx="144">
                  <c:v>3.5734599999999999</c:v>
                </c:pt>
                <c:pt idx="145">
                  <c:v>3.5896499999999998</c:v>
                </c:pt>
                <c:pt idx="146">
                  <c:v>3.6007400000000001</c:v>
                </c:pt>
                <c:pt idx="147">
                  <c:v>3.6117700000000004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  <c:pt idx="74">
                  <c:v>36.8857</c:v>
                </c:pt>
                <c:pt idx="75">
                  <c:v>37.0336</c:v>
                </c:pt>
                <c:pt idx="76">
                  <c:v>37.26</c:v>
                </c:pt>
                <c:pt idx="77">
                  <c:v>37.569699999999997</c:v>
                </c:pt>
                <c:pt idx="78">
                  <c:v>37.932000000000002</c:v>
                </c:pt>
                <c:pt idx="79">
                  <c:v>38.379200000000004</c:v>
                </c:pt>
                <c:pt idx="80">
                  <c:v>38.812799999999996</c:v>
                </c:pt>
                <c:pt idx="81">
                  <c:v>39.174599999999998</c:v>
                </c:pt>
                <c:pt idx="82">
                  <c:v>39.379300000000001</c:v>
                </c:pt>
                <c:pt idx="83">
                  <c:v>39.513399999999997</c:v>
                </c:pt>
                <c:pt idx="84">
                  <c:v>39.861799999999995</c:v>
                </c:pt>
                <c:pt idx="85">
                  <c:v>40.528799999999997</c:v>
                </c:pt>
                <c:pt idx="86">
                  <c:v>41.369699999999995</c:v>
                </c:pt>
                <c:pt idx="87">
                  <c:v>42.119500000000002</c:v>
                </c:pt>
                <c:pt idx="88">
                  <c:v>42.737900000000003</c:v>
                </c:pt>
                <c:pt idx="89">
                  <c:v>43.470399999999998</c:v>
                </c:pt>
                <c:pt idx="90">
                  <c:v>44.088799999999999</c:v>
                </c:pt>
                <c:pt idx="91">
                  <c:v>44.730699999999999</c:v>
                </c:pt>
                <c:pt idx="92">
                  <c:v>45.305900000000001</c:v>
                </c:pt>
                <c:pt idx="93">
                  <c:v>45.728900000000003</c:v>
                </c:pt>
                <c:pt idx="94">
                  <c:v>45.997399999999999</c:v>
                </c:pt>
                <c:pt idx="95">
                  <c:v>46.141300000000001</c:v>
                </c:pt>
                <c:pt idx="96">
                  <c:v>46.168599999999998</c:v>
                </c:pt>
                <c:pt idx="97">
                  <c:v>46.072800000000001</c:v>
                </c:pt>
                <c:pt idx="98">
                  <c:v>45.9998</c:v>
                </c:pt>
                <c:pt idx="99">
                  <c:v>45.904800000000002</c:v>
                </c:pt>
                <c:pt idx="100">
                  <c:v>45.812199999999997</c:v>
                </c:pt>
                <c:pt idx="101">
                  <c:v>45.638300000000001</c:v>
                </c:pt>
                <c:pt idx="102">
                  <c:v>45.386600000000001</c:v>
                </c:pt>
                <c:pt idx="103">
                  <c:v>45.072699999999998</c:v>
                </c:pt>
                <c:pt idx="104">
                  <c:v>44.712699999999998</c:v>
                </c:pt>
                <c:pt idx="105">
                  <c:v>44.371300000000005</c:v>
                </c:pt>
                <c:pt idx="106">
                  <c:v>44.110799999999998</c:v>
                </c:pt>
                <c:pt idx="107">
                  <c:v>43.853900000000003</c:v>
                </c:pt>
                <c:pt idx="108">
                  <c:v>43.6432</c:v>
                </c:pt>
                <c:pt idx="109">
                  <c:v>43.57</c:v>
                </c:pt>
                <c:pt idx="110">
                  <c:v>43.609700000000004</c:v>
                </c:pt>
                <c:pt idx="111">
                  <c:v>43.687599999999996</c:v>
                </c:pt>
                <c:pt idx="112">
                  <c:v>43.796300000000002</c:v>
                </c:pt>
                <c:pt idx="113">
                  <c:v>43.878299999999996</c:v>
                </c:pt>
                <c:pt idx="114">
                  <c:v>43.804700000000004</c:v>
                </c:pt>
                <c:pt idx="115">
                  <c:v>43.757899999999999</c:v>
                </c:pt>
                <c:pt idx="116">
                  <c:v>43.680500000000002</c:v>
                </c:pt>
                <c:pt idx="117">
                  <c:v>43.648399999999995</c:v>
                </c:pt>
                <c:pt idx="118">
                  <c:v>43.623600000000003</c:v>
                </c:pt>
                <c:pt idx="119">
                  <c:v>43.610700000000001</c:v>
                </c:pt>
                <c:pt idx="120">
                  <c:v>43.636499999999998</c:v>
                </c:pt>
                <c:pt idx="121">
                  <c:v>43.613700000000001</c:v>
                </c:pt>
                <c:pt idx="122">
                  <c:v>43.540900000000001</c:v>
                </c:pt>
                <c:pt idx="123">
                  <c:v>43.3996</c:v>
                </c:pt>
                <c:pt idx="124">
                  <c:v>43.372399999999999</c:v>
                </c:pt>
                <c:pt idx="125">
                  <c:v>43.343399999999995</c:v>
                </c:pt>
                <c:pt idx="126">
                  <c:v>43.307200000000002</c:v>
                </c:pt>
                <c:pt idx="127">
                  <c:v>43.285699999999999</c:v>
                </c:pt>
                <c:pt idx="128">
                  <c:v>43.237900000000003</c:v>
                </c:pt>
                <c:pt idx="129">
                  <c:v>43.161100000000005</c:v>
                </c:pt>
                <c:pt idx="130">
                  <c:v>43.067299999999996</c:v>
                </c:pt>
                <c:pt idx="131">
                  <c:v>42.964999999999996</c:v>
                </c:pt>
                <c:pt idx="132">
                  <c:v>42.888399999999997</c:v>
                </c:pt>
                <c:pt idx="133">
                  <c:v>42.854399999999998</c:v>
                </c:pt>
                <c:pt idx="134">
                  <c:v>42.787700000000001</c:v>
                </c:pt>
                <c:pt idx="135">
                  <c:v>42.674599999999998</c:v>
                </c:pt>
                <c:pt idx="136">
                  <c:v>42.558500000000002</c:v>
                </c:pt>
                <c:pt idx="137">
                  <c:v>42.426099999999998</c:v>
                </c:pt>
                <c:pt idx="138">
                  <c:v>42.286000000000001</c:v>
                </c:pt>
                <c:pt idx="139">
                  <c:v>42.207499999999996</c:v>
                </c:pt>
                <c:pt idx="140">
                  <c:v>42.125500000000002</c:v>
                </c:pt>
                <c:pt idx="141">
                  <c:v>42.0655</c:v>
                </c:pt>
                <c:pt idx="142">
                  <c:v>41.998600000000003</c:v>
                </c:pt>
                <c:pt idx="143">
                  <c:v>42.0291</c:v>
                </c:pt>
                <c:pt idx="144">
                  <c:v>41.951899999999995</c:v>
                </c:pt>
                <c:pt idx="145">
                  <c:v>41.6402</c:v>
                </c:pt>
                <c:pt idx="146">
                  <c:v>41.324100000000001</c:v>
                </c:pt>
                <c:pt idx="147">
                  <c:v>41.174300000000002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3.9357599999999997</c:v>
                </c:pt>
                <c:pt idx="1">
                  <c:v>3.8659500000000002</c:v>
                </c:pt>
                <c:pt idx="2">
                  <c:v>3.8065300000000004</c:v>
                </c:pt>
                <c:pt idx="3">
                  <c:v>3.7446700000000002</c:v>
                </c:pt>
                <c:pt idx="4">
                  <c:v>3.6802099999999998</c:v>
                </c:pt>
                <c:pt idx="5">
                  <c:v>3.6144400000000001</c:v>
                </c:pt>
                <c:pt idx="6">
                  <c:v>3.5474600000000001</c:v>
                </c:pt>
                <c:pt idx="7">
                  <c:v>3.4845799999999998</c:v>
                </c:pt>
                <c:pt idx="8">
                  <c:v>3.42144</c:v>
                </c:pt>
                <c:pt idx="9">
                  <c:v>3.3596199999999996</c:v>
                </c:pt>
                <c:pt idx="10">
                  <c:v>3.2971400000000002</c:v>
                </c:pt>
                <c:pt idx="11">
                  <c:v>3.2301400000000005</c:v>
                </c:pt>
                <c:pt idx="12">
                  <c:v>3.1621899999999998</c:v>
                </c:pt>
                <c:pt idx="13">
                  <c:v>3.09687</c:v>
                </c:pt>
                <c:pt idx="14">
                  <c:v>3.0359099999999999</c:v>
                </c:pt>
                <c:pt idx="15">
                  <c:v>2.9799500000000001</c:v>
                </c:pt>
                <c:pt idx="16">
                  <c:v>2.9289999999999998</c:v>
                </c:pt>
                <c:pt idx="17">
                  <c:v>2.8856900000000003</c:v>
                </c:pt>
                <c:pt idx="18">
                  <c:v>2.8474500000000003</c:v>
                </c:pt>
                <c:pt idx="19">
                  <c:v>2.8134799999999998</c:v>
                </c:pt>
                <c:pt idx="20">
                  <c:v>2.7858200000000002</c:v>
                </c:pt>
                <c:pt idx="21">
                  <c:v>2.7654200000000002</c:v>
                </c:pt>
                <c:pt idx="22">
                  <c:v>2.7510300000000001</c:v>
                </c:pt>
                <c:pt idx="23">
                  <c:v>2.7424500000000003</c:v>
                </c:pt>
                <c:pt idx="24">
                  <c:v>2.7395199999999997</c:v>
                </c:pt>
                <c:pt idx="25">
                  <c:v>2.7390300000000001</c:v>
                </c:pt>
                <c:pt idx="26">
                  <c:v>2.7423399999999996</c:v>
                </c:pt>
                <c:pt idx="27">
                  <c:v>2.7476699999999998</c:v>
                </c:pt>
                <c:pt idx="28">
                  <c:v>2.7589700000000001</c:v>
                </c:pt>
                <c:pt idx="29">
                  <c:v>2.7751799999999998</c:v>
                </c:pt>
                <c:pt idx="30">
                  <c:v>2.7988800000000005</c:v>
                </c:pt>
                <c:pt idx="31">
                  <c:v>2.82599</c:v>
                </c:pt>
                <c:pt idx="32">
                  <c:v>2.8528099999999998</c:v>
                </c:pt>
                <c:pt idx="33">
                  <c:v>2.8821300000000001</c:v>
                </c:pt>
                <c:pt idx="34">
                  <c:v>2.91595</c:v>
                </c:pt>
                <c:pt idx="35">
                  <c:v>2.9542700000000002</c:v>
                </c:pt>
                <c:pt idx="36">
                  <c:v>2.9915399999999996</c:v>
                </c:pt>
                <c:pt idx="37">
                  <c:v>3.0240899999999997</c:v>
                </c:pt>
                <c:pt idx="38">
                  <c:v>3.0558100000000001</c:v>
                </c:pt>
                <c:pt idx="39">
                  <c:v>3.08954</c:v>
                </c:pt>
                <c:pt idx="40">
                  <c:v>3.12649</c:v>
                </c:pt>
                <c:pt idx="41">
                  <c:v>3.1641599999999999</c:v>
                </c:pt>
                <c:pt idx="42">
                  <c:v>3.1983299999999999</c:v>
                </c:pt>
                <c:pt idx="43">
                  <c:v>3.2276199999999999</c:v>
                </c:pt>
                <c:pt idx="44">
                  <c:v>3.2546399999999998</c:v>
                </c:pt>
                <c:pt idx="45">
                  <c:v>3.2812299999999999</c:v>
                </c:pt>
                <c:pt idx="46">
                  <c:v>3.3060200000000002</c:v>
                </c:pt>
                <c:pt idx="47">
                  <c:v>3.33005</c:v>
                </c:pt>
                <c:pt idx="48">
                  <c:v>3.3534100000000002</c:v>
                </c:pt>
                <c:pt idx="49">
                  <c:v>3.3766400000000001</c:v>
                </c:pt>
                <c:pt idx="50">
                  <c:v>3.3994200000000001</c:v>
                </c:pt>
                <c:pt idx="51">
                  <c:v>3.4127000000000001</c:v>
                </c:pt>
                <c:pt idx="52">
                  <c:v>3.4274700000000005</c:v>
                </c:pt>
                <c:pt idx="53">
                  <c:v>3.4413899999999997</c:v>
                </c:pt>
                <c:pt idx="54">
                  <c:v>3.4558899999999997</c:v>
                </c:pt>
                <c:pt idx="55">
                  <c:v>3.4671000000000003</c:v>
                </c:pt>
                <c:pt idx="56">
                  <c:v>3.4744399999999995</c:v>
                </c:pt>
                <c:pt idx="57">
                  <c:v>3.4811999999999999</c:v>
                </c:pt>
                <c:pt idx="58">
                  <c:v>3.4893200000000002</c:v>
                </c:pt>
                <c:pt idx="59">
                  <c:v>3.49532</c:v>
                </c:pt>
                <c:pt idx="60">
                  <c:v>3.4990900000000003</c:v>
                </c:pt>
                <c:pt idx="61">
                  <c:v>3.50502</c:v>
                </c:pt>
                <c:pt idx="62">
                  <c:v>3.5162100000000001</c:v>
                </c:pt>
                <c:pt idx="63">
                  <c:v>3.52948</c:v>
                </c:pt>
                <c:pt idx="64">
                  <c:v>3.54183</c:v>
                </c:pt>
                <c:pt idx="65">
                  <c:v>3.5490300000000001</c:v>
                </c:pt>
                <c:pt idx="66">
                  <c:v>3.5460599999999998</c:v>
                </c:pt>
                <c:pt idx="67">
                  <c:v>3.5442600000000004</c:v>
                </c:pt>
                <c:pt idx="68">
                  <c:v>3.5445100000000003</c:v>
                </c:pt>
                <c:pt idx="69">
                  <c:v>3.5512500000000005</c:v>
                </c:pt>
                <c:pt idx="70">
                  <c:v>3.5620600000000002</c:v>
                </c:pt>
                <c:pt idx="71">
                  <c:v>3.5734599999999999</c:v>
                </c:pt>
                <c:pt idx="72">
                  <c:v>3.5896499999999998</c:v>
                </c:pt>
                <c:pt idx="73">
                  <c:v>3.6007400000000001</c:v>
                </c:pt>
                <c:pt idx="74">
                  <c:v>3.6117700000000004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36.941299999999998</c:v>
                </c:pt>
                <c:pt idx="1">
                  <c:v>36.8857</c:v>
                </c:pt>
                <c:pt idx="2">
                  <c:v>37.0336</c:v>
                </c:pt>
                <c:pt idx="3">
                  <c:v>37.26</c:v>
                </c:pt>
                <c:pt idx="4">
                  <c:v>37.569699999999997</c:v>
                </c:pt>
                <c:pt idx="5">
                  <c:v>37.932000000000002</c:v>
                </c:pt>
                <c:pt idx="6">
                  <c:v>38.379200000000004</c:v>
                </c:pt>
                <c:pt idx="7">
                  <c:v>38.812799999999996</c:v>
                </c:pt>
                <c:pt idx="8">
                  <c:v>39.174599999999998</c:v>
                </c:pt>
                <c:pt idx="9">
                  <c:v>39.379300000000001</c:v>
                </c:pt>
                <c:pt idx="10">
                  <c:v>39.513399999999997</c:v>
                </c:pt>
                <c:pt idx="11">
                  <c:v>39.861799999999995</c:v>
                </c:pt>
                <c:pt idx="12">
                  <c:v>40.528799999999997</c:v>
                </c:pt>
                <c:pt idx="13">
                  <c:v>41.369699999999995</c:v>
                </c:pt>
                <c:pt idx="14">
                  <c:v>42.119500000000002</c:v>
                </c:pt>
                <c:pt idx="15">
                  <c:v>42.737900000000003</c:v>
                </c:pt>
                <c:pt idx="16">
                  <c:v>43.470399999999998</c:v>
                </c:pt>
                <c:pt idx="17">
                  <c:v>44.088799999999999</c:v>
                </c:pt>
                <c:pt idx="18">
                  <c:v>44.730699999999999</c:v>
                </c:pt>
                <c:pt idx="19">
                  <c:v>45.305900000000001</c:v>
                </c:pt>
                <c:pt idx="20">
                  <c:v>45.728900000000003</c:v>
                </c:pt>
                <c:pt idx="21">
                  <c:v>45.997399999999999</c:v>
                </c:pt>
                <c:pt idx="22">
                  <c:v>46.141300000000001</c:v>
                </c:pt>
                <c:pt idx="23">
                  <c:v>46.168599999999998</c:v>
                </c:pt>
                <c:pt idx="24">
                  <c:v>46.072800000000001</c:v>
                </c:pt>
                <c:pt idx="25">
                  <c:v>45.9998</c:v>
                </c:pt>
                <c:pt idx="26">
                  <c:v>45.904800000000002</c:v>
                </c:pt>
                <c:pt idx="27">
                  <c:v>45.812199999999997</c:v>
                </c:pt>
                <c:pt idx="28">
                  <c:v>45.638300000000001</c:v>
                </c:pt>
                <c:pt idx="29">
                  <c:v>45.386600000000001</c:v>
                </c:pt>
                <c:pt idx="30">
                  <c:v>45.072699999999998</c:v>
                </c:pt>
                <c:pt idx="31">
                  <c:v>44.712699999999998</c:v>
                </c:pt>
                <c:pt idx="32">
                  <c:v>44.371300000000005</c:v>
                </c:pt>
                <c:pt idx="33">
                  <c:v>44.110799999999998</c:v>
                </c:pt>
                <c:pt idx="34">
                  <c:v>43.853900000000003</c:v>
                </c:pt>
                <c:pt idx="35">
                  <c:v>43.6432</c:v>
                </c:pt>
                <c:pt idx="36">
                  <c:v>43.57</c:v>
                </c:pt>
                <c:pt idx="37">
                  <c:v>43.609700000000004</c:v>
                </c:pt>
                <c:pt idx="38">
                  <c:v>43.687599999999996</c:v>
                </c:pt>
                <c:pt idx="39">
                  <c:v>43.796300000000002</c:v>
                </c:pt>
                <c:pt idx="40">
                  <c:v>43.878299999999996</c:v>
                </c:pt>
                <c:pt idx="41">
                  <c:v>43.804700000000004</c:v>
                </c:pt>
                <c:pt idx="42">
                  <c:v>43.757899999999999</c:v>
                </c:pt>
                <c:pt idx="43">
                  <c:v>43.680500000000002</c:v>
                </c:pt>
                <c:pt idx="44">
                  <c:v>43.648399999999995</c:v>
                </c:pt>
                <c:pt idx="45">
                  <c:v>43.623600000000003</c:v>
                </c:pt>
                <c:pt idx="46">
                  <c:v>43.610700000000001</c:v>
                </c:pt>
                <c:pt idx="47">
                  <c:v>43.636499999999998</c:v>
                </c:pt>
                <c:pt idx="48">
                  <c:v>43.613700000000001</c:v>
                </c:pt>
                <c:pt idx="49">
                  <c:v>43.540900000000001</c:v>
                </c:pt>
                <c:pt idx="50">
                  <c:v>43.3996</c:v>
                </c:pt>
                <c:pt idx="51">
                  <c:v>43.372399999999999</c:v>
                </c:pt>
                <c:pt idx="52">
                  <c:v>43.343399999999995</c:v>
                </c:pt>
                <c:pt idx="53">
                  <c:v>43.307200000000002</c:v>
                </c:pt>
                <c:pt idx="54">
                  <c:v>43.285699999999999</c:v>
                </c:pt>
                <c:pt idx="55">
                  <c:v>43.237900000000003</c:v>
                </c:pt>
                <c:pt idx="56">
                  <c:v>43.161100000000005</c:v>
                </c:pt>
                <c:pt idx="57">
                  <c:v>43.067299999999996</c:v>
                </c:pt>
                <c:pt idx="58">
                  <c:v>42.964999999999996</c:v>
                </c:pt>
                <c:pt idx="59">
                  <c:v>42.888399999999997</c:v>
                </c:pt>
                <c:pt idx="60">
                  <c:v>42.854399999999998</c:v>
                </c:pt>
                <c:pt idx="61">
                  <c:v>42.787700000000001</c:v>
                </c:pt>
                <c:pt idx="62">
                  <c:v>42.674599999999998</c:v>
                </c:pt>
                <c:pt idx="63">
                  <c:v>42.558500000000002</c:v>
                </c:pt>
                <c:pt idx="64">
                  <c:v>42.426099999999998</c:v>
                </c:pt>
                <c:pt idx="65">
                  <c:v>42.286000000000001</c:v>
                </c:pt>
                <c:pt idx="66">
                  <c:v>42.207499999999996</c:v>
                </c:pt>
                <c:pt idx="67">
                  <c:v>42.125500000000002</c:v>
                </c:pt>
                <c:pt idx="68">
                  <c:v>42.0655</c:v>
                </c:pt>
                <c:pt idx="69">
                  <c:v>41.998600000000003</c:v>
                </c:pt>
                <c:pt idx="70">
                  <c:v>42.0291</c:v>
                </c:pt>
                <c:pt idx="71">
                  <c:v>41.951899999999995</c:v>
                </c:pt>
                <c:pt idx="72">
                  <c:v>41.6402</c:v>
                </c:pt>
                <c:pt idx="73">
                  <c:v>41.324100000000001</c:v>
                </c:pt>
                <c:pt idx="74">
                  <c:v>41.174300000000002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3.4761341891891888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45.348462162162164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3.2455191891891912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42.788647297297302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3.2455191891891912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42.788647297297302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0.22611525873939683</c:v>
                </c:pt>
                <c:pt idx="1">
                  <c:v>0.34372727004465292</c:v>
                </c:pt>
                <c:pt idx="2">
                  <c:v>0.43015747121595022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  <c:pt idx="74">
                  <c:v>30.046299999999999</c:v>
                </c:pt>
                <c:pt idx="75">
                  <c:v>30.621600000000001</c:v>
                </c:pt>
                <c:pt idx="76">
                  <c:v>30.997699999999998</c:v>
                </c:pt>
                <c:pt idx="77">
                  <c:v>31.374300000000002</c:v>
                </c:pt>
                <c:pt idx="78">
                  <c:v>31.749199999999998</c:v>
                </c:pt>
                <c:pt idx="79">
                  <c:v>32.1252</c:v>
                </c:pt>
                <c:pt idx="80">
                  <c:v>32.530299999999997</c:v>
                </c:pt>
                <c:pt idx="81">
                  <c:v>32.936799999999998</c:v>
                </c:pt>
                <c:pt idx="82">
                  <c:v>33.3461</c:v>
                </c:pt>
                <c:pt idx="83">
                  <c:v>33.749099999999999</c:v>
                </c:pt>
                <c:pt idx="84">
                  <c:v>34.158099999999997</c:v>
                </c:pt>
                <c:pt idx="85">
                  <c:v>34.564100000000003</c:v>
                </c:pt>
                <c:pt idx="86">
                  <c:v>34.968899999999998</c:v>
                </c:pt>
                <c:pt idx="87">
                  <c:v>35.374299999999998</c:v>
                </c:pt>
                <c:pt idx="88">
                  <c:v>35.782299999999999</c:v>
                </c:pt>
                <c:pt idx="89">
                  <c:v>36.1858</c:v>
                </c:pt>
                <c:pt idx="90">
                  <c:v>36.591799999999999</c:v>
                </c:pt>
                <c:pt idx="91">
                  <c:v>36.999899999999997</c:v>
                </c:pt>
                <c:pt idx="92">
                  <c:v>37.407800000000002</c:v>
                </c:pt>
                <c:pt idx="93">
                  <c:v>37.811599999999999</c:v>
                </c:pt>
                <c:pt idx="94">
                  <c:v>38.218899999999998</c:v>
                </c:pt>
                <c:pt idx="95">
                  <c:v>38.627200000000002</c:v>
                </c:pt>
                <c:pt idx="96">
                  <c:v>39.031500000000001</c:v>
                </c:pt>
                <c:pt idx="97">
                  <c:v>39.441200000000002</c:v>
                </c:pt>
                <c:pt idx="98">
                  <c:v>39.844900000000003</c:v>
                </c:pt>
                <c:pt idx="99">
                  <c:v>40.249299999999998</c:v>
                </c:pt>
                <c:pt idx="100">
                  <c:v>40.654299999999999</c:v>
                </c:pt>
                <c:pt idx="101">
                  <c:v>41.064</c:v>
                </c:pt>
                <c:pt idx="102">
                  <c:v>41.466799999999999</c:v>
                </c:pt>
                <c:pt idx="103">
                  <c:v>41.875900000000001</c:v>
                </c:pt>
                <c:pt idx="104">
                  <c:v>42.282299999999999</c:v>
                </c:pt>
                <c:pt idx="105">
                  <c:v>42.686900000000001</c:v>
                </c:pt>
                <c:pt idx="106">
                  <c:v>43.0976</c:v>
                </c:pt>
                <c:pt idx="107">
                  <c:v>43.5</c:v>
                </c:pt>
                <c:pt idx="108">
                  <c:v>43.9086</c:v>
                </c:pt>
                <c:pt idx="109">
                  <c:v>44.3125</c:v>
                </c:pt>
                <c:pt idx="110">
                  <c:v>44.7181</c:v>
                </c:pt>
                <c:pt idx="111">
                  <c:v>45.125300000000003</c:v>
                </c:pt>
                <c:pt idx="112">
                  <c:v>45.531500000000001</c:v>
                </c:pt>
                <c:pt idx="113">
                  <c:v>45.940399999999997</c:v>
                </c:pt>
                <c:pt idx="114">
                  <c:v>46.344999999999999</c:v>
                </c:pt>
                <c:pt idx="115">
                  <c:v>46.750700000000002</c:v>
                </c:pt>
                <c:pt idx="116">
                  <c:v>47.159300000000002</c:v>
                </c:pt>
                <c:pt idx="117">
                  <c:v>47.565600000000003</c:v>
                </c:pt>
                <c:pt idx="118">
                  <c:v>47.972700000000003</c:v>
                </c:pt>
                <c:pt idx="119">
                  <c:v>48.377499999999998</c:v>
                </c:pt>
                <c:pt idx="120">
                  <c:v>48.781199999999998</c:v>
                </c:pt>
                <c:pt idx="121">
                  <c:v>49.1873</c:v>
                </c:pt>
                <c:pt idx="122">
                  <c:v>49.593400000000003</c:v>
                </c:pt>
                <c:pt idx="123">
                  <c:v>50.001399999999997</c:v>
                </c:pt>
                <c:pt idx="124">
                  <c:v>50.406700000000001</c:v>
                </c:pt>
                <c:pt idx="125">
                  <c:v>50.811</c:v>
                </c:pt>
                <c:pt idx="126">
                  <c:v>51.216900000000003</c:v>
                </c:pt>
                <c:pt idx="127">
                  <c:v>51.627499999999998</c:v>
                </c:pt>
                <c:pt idx="128">
                  <c:v>52.033999999999999</c:v>
                </c:pt>
                <c:pt idx="129">
                  <c:v>52.439</c:v>
                </c:pt>
                <c:pt idx="130">
                  <c:v>52.843200000000003</c:v>
                </c:pt>
                <c:pt idx="131">
                  <c:v>53.252699999999997</c:v>
                </c:pt>
                <c:pt idx="132">
                  <c:v>53.657899999999998</c:v>
                </c:pt>
                <c:pt idx="133">
                  <c:v>54.064300000000003</c:v>
                </c:pt>
                <c:pt idx="134">
                  <c:v>54.47</c:v>
                </c:pt>
                <c:pt idx="135">
                  <c:v>54.875900000000001</c:v>
                </c:pt>
                <c:pt idx="136">
                  <c:v>55.281599999999997</c:v>
                </c:pt>
                <c:pt idx="137">
                  <c:v>55.690800000000003</c:v>
                </c:pt>
                <c:pt idx="138">
                  <c:v>56.095700000000001</c:v>
                </c:pt>
                <c:pt idx="139">
                  <c:v>56.503900000000002</c:v>
                </c:pt>
                <c:pt idx="140">
                  <c:v>56.906799999999997</c:v>
                </c:pt>
                <c:pt idx="141">
                  <c:v>57.313000000000002</c:v>
                </c:pt>
                <c:pt idx="142">
                  <c:v>57.717399999999998</c:v>
                </c:pt>
                <c:pt idx="143">
                  <c:v>58.124099999999999</c:v>
                </c:pt>
                <c:pt idx="144">
                  <c:v>58.5336</c:v>
                </c:pt>
                <c:pt idx="145">
                  <c:v>58.938299999999998</c:v>
                </c:pt>
                <c:pt idx="146">
                  <c:v>59.345799999999997</c:v>
                </c:pt>
                <c:pt idx="147">
                  <c:v>59.751800000000003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  <c:pt idx="74">
                  <c:v>3.8659500000000002</c:v>
                </c:pt>
                <c:pt idx="75">
                  <c:v>3.8065300000000004</c:v>
                </c:pt>
                <c:pt idx="76">
                  <c:v>3.7446700000000002</c:v>
                </c:pt>
                <c:pt idx="77">
                  <c:v>3.6802099999999998</c:v>
                </c:pt>
                <c:pt idx="78">
                  <c:v>3.6144400000000001</c:v>
                </c:pt>
                <c:pt idx="79">
                  <c:v>3.5474600000000001</c:v>
                </c:pt>
                <c:pt idx="80">
                  <c:v>3.4845799999999998</c:v>
                </c:pt>
                <c:pt idx="81">
                  <c:v>3.42144</c:v>
                </c:pt>
                <c:pt idx="82">
                  <c:v>3.3596199999999996</c:v>
                </c:pt>
                <c:pt idx="83">
                  <c:v>3.2971400000000002</c:v>
                </c:pt>
                <c:pt idx="84">
                  <c:v>3.2301400000000005</c:v>
                </c:pt>
                <c:pt idx="85">
                  <c:v>3.1621899999999998</c:v>
                </c:pt>
                <c:pt idx="86">
                  <c:v>3.09687</c:v>
                </c:pt>
                <c:pt idx="87">
                  <c:v>3.0359099999999999</c:v>
                </c:pt>
                <c:pt idx="88">
                  <c:v>2.9799500000000001</c:v>
                </c:pt>
                <c:pt idx="89">
                  <c:v>2.9289999999999998</c:v>
                </c:pt>
                <c:pt idx="90">
                  <c:v>2.8856900000000003</c:v>
                </c:pt>
                <c:pt idx="91">
                  <c:v>2.8474500000000003</c:v>
                </c:pt>
                <c:pt idx="92">
                  <c:v>2.8134799999999998</c:v>
                </c:pt>
                <c:pt idx="93">
                  <c:v>2.7858200000000002</c:v>
                </c:pt>
                <c:pt idx="94">
                  <c:v>2.7654200000000002</c:v>
                </c:pt>
                <c:pt idx="95">
                  <c:v>2.7510300000000001</c:v>
                </c:pt>
                <c:pt idx="96">
                  <c:v>2.7424500000000003</c:v>
                </c:pt>
                <c:pt idx="97">
                  <c:v>2.7395199999999997</c:v>
                </c:pt>
                <c:pt idx="98">
                  <c:v>2.7390300000000001</c:v>
                </c:pt>
                <c:pt idx="99">
                  <c:v>2.7423399999999996</c:v>
                </c:pt>
                <c:pt idx="100">
                  <c:v>2.7476699999999998</c:v>
                </c:pt>
                <c:pt idx="101">
                  <c:v>2.7589700000000001</c:v>
                </c:pt>
                <c:pt idx="102">
                  <c:v>2.7751799999999998</c:v>
                </c:pt>
                <c:pt idx="103">
                  <c:v>2.7988800000000005</c:v>
                </c:pt>
                <c:pt idx="104">
                  <c:v>2.82599</c:v>
                </c:pt>
                <c:pt idx="105">
                  <c:v>2.8528099999999998</c:v>
                </c:pt>
                <c:pt idx="106">
                  <c:v>2.8821300000000001</c:v>
                </c:pt>
                <c:pt idx="107">
                  <c:v>2.91595</c:v>
                </c:pt>
                <c:pt idx="108">
                  <c:v>2.9542700000000002</c:v>
                </c:pt>
                <c:pt idx="109">
                  <c:v>2.9915399999999996</c:v>
                </c:pt>
                <c:pt idx="110">
                  <c:v>3.0240899999999997</c:v>
                </c:pt>
                <c:pt idx="111">
                  <c:v>3.0558100000000001</c:v>
                </c:pt>
                <c:pt idx="112">
                  <c:v>3.08954</c:v>
                </c:pt>
                <c:pt idx="113">
                  <c:v>3.12649</c:v>
                </c:pt>
                <c:pt idx="114">
                  <c:v>3.1641599999999999</c:v>
                </c:pt>
                <c:pt idx="115">
                  <c:v>3.1983299999999999</c:v>
                </c:pt>
                <c:pt idx="116">
                  <c:v>3.2276199999999999</c:v>
                </c:pt>
                <c:pt idx="117">
                  <c:v>3.2546399999999998</c:v>
                </c:pt>
                <c:pt idx="118">
                  <c:v>3.2812299999999999</c:v>
                </c:pt>
                <c:pt idx="119">
                  <c:v>3.3060200000000002</c:v>
                </c:pt>
                <c:pt idx="120">
                  <c:v>3.33005</c:v>
                </c:pt>
                <c:pt idx="121">
                  <c:v>3.3534100000000002</c:v>
                </c:pt>
                <c:pt idx="122">
                  <c:v>3.3766400000000001</c:v>
                </c:pt>
                <c:pt idx="123">
                  <c:v>3.3994200000000001</c:v>
                </c:pt>
                <c:pt idx="124">
                  <c:v>3.4127000000000001</c:v>
                </c:pt>
                <c:pt idx="125">
                  <c:v>3.4274700000000005</c:v>
                </c:pt>
                <c:pt idx="126">
                  <c:v>3.4413899999999997</c:v>
                </c:pt>
                <c:pt idx="127">
                  <c:v>3.4558899999999997</c:v>
                </c:pt>
                <c:pt idx="128">
                  <c:v>3.4671000000000003</c:v>
                </c:pt>
                <c:pt idx="129">
                  <c:v>3.4744399999999995</c:v>
                </c:pt>
                <c:pt idx="130">
                  <c:v>3.4811999999999999</c:v>
                </c:pt>
                <c:pt idx="131">
                  <c:v>3.4893200000000002</c:v>
                </c:pt>
                <c:pt idx="132">
                  <c:v>3.49532</c:v>
                </c:pt>
                <c:pt idx="133">
                  <c:v>3.4990900000000003</c:v>
                </c:pt>
                <c:pt idx="134">
                  <c:v>3.50502</c:v>
                </c:pt>
                <c:pt idx="135">
                  <c:v>3.5162100000000001</c:v>
                </c:pt>
                <c:pt idx="136">
                  <c:v>3.52948</c:v>
                </c:pt>
                <c:pt idx="137">
                  <c:v>3.54183</c:v>
                </c:pt>
                <c:pt idx="138">
                  <c:v>3.5490300000000001</c:v>
                </c:pt>
                <c:pt idx="139">
                  <c:v>3.5460599999999998</c:v>
                </c:pt>
                <c:pt idx="140">
                  <c:v>3.5442600000000004</c:v>
                </c:pt>
                <c:pt idx="141">
                  <c:v>3.5445100000000003</c:v>
                </c:pt>
                <c:pt idx="142">
                  <c:v>3.5512500000000005</c:v>
                </c:pt>
                <c:pt idx="143">
                  <c:v>3.5620600000000002</c:v>
                </c:pt>
                <c:pt idx="144">
                  <c:v>3.5734599999999999</c:v>
                </c:pt>
                <c:pt idx="145">
                  <c:v>3.5896499999999998</c:v>
                </c:pt>
                <c:pt idx="146">
                  <c:v>3.6007400000000001</c:v>
                </c:pt>
                <c:pt idx="147">
                  <c:v>3.6117700000000004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29.641500000000001</c:v>
                </c:pt>
                <c:pt idx="1">
                  <c:v>30.046299999999999</c:v>
                </c:pt>
                <c:pt idx="2">
                  <c:v>30.621600000000001</c:v>
                </c:pt>
                <c:pt idx="3">
                  <c:v>30.997699999999998</c:v>
                </c:pt>
                <c:pt idx="4">
                  <c:v>31.374300000000002</c:v>
                </c:pt>
                <c:pt idx="5">
                  <c:v>31.749199999999998</c:v>
                </c:pt>
                <c:pt idx="6">
                  <c:v>32.1252</c:v>
                </c:pt>
                <c:pt idx="7">
                  <c:v>32.530299999999997</c:v>
                </c:pt>
                <c:pt idx="8">
                  <c:v>32.936799999999998</c:v>
                </c:pt>
                <c:pt idx="9">
                  <c:v>33.3461</c:v>
                </c:pt>
                <c:pt idx="10">
                  <c:v>33.749099999999999</c:v>
                </c:pt>
                <c:pt idx="11">
                  <c:v>34.158099999999997</c:v>
                </c:pt>
                <c:pt idx="12">
                  <c:v>34.564100000000003</c:v>
                </c:pt>
                <c:pt idx="13">
                  <c:v>34.968899999999998</c:v>
                </c:pt>
                <c:pt idx="14">
                  <c:v>35.374299999999998</c:v>
                </c:pt>
                <c:pt idx="15">
                  <c:v>35.782299999999999</c:v>
                </c:pt>
                <c:pt idx="16">
                  <c:v>36.1858</c:v>
                </c:pt>
                <c:pt idx="17">
                  <c:v>36.591799999999999</c:v>
                </c:pt>
                <c:pt idx="18">
                  <c:v>36.999899999999997</c:v>
                </c:pt>
                <c:pt idx="19">
                  <c:v>37.407800000000002</c:v>
                </c:pt>
                <c:pt idx="20">
                  <c:v>37.811599999999999</c:v>
                </c:pt>
                <c:pt idx="21">
                  <c:v>38.218899999999998</c:v>
                </c:pt>
                <c:pt idx="22">
                  <c:v>38.627200000000002</c:v>
                </c:pt>
                <c:pt idx="23">
                  <c:v>39.031500000000001</c:v>
                </c:pt>
                <c:pt idx="24">
                  <c:v>39.441200000000002</c:v>
                </c:pt>
                <c:pt idx="25">
                  <c:v>39.844900000000003</c:v>
                </c:pt>
                <c:pt idx="26">
                  <c:v>40.249299999999998</c:v>
                </c:pt>
                <c:pt idx="27">
                  <c:v>40.654299999999999</c:v>
                </c:pt>
                <c:pt idx="28">
                  <c:v>41.064</c:v>
                </c:pt>
                <c:pt idx="29">
                  <c:v>41.466799999999999</c:v>
                </c:pt>
                <c:pt idx="30">
                  <c:v>41.875900000000001</c:v>
                </c:pt>
                <c:pt idx="31">
                  <c:v>42.282299999999999</c:v>
                </c:pt>
                <c:pt idx="32">
                  <c:v>42.686900000000001</c:v>
                </c:pt>
                <c:pt idx="33">
                  <c:v>43.0976</c:v>
                </c:pt>
                <c:pt idx="34">
                  <c:v>43.5</c:v>
                </c:pt>
                <c:pt idx="35">
                  <c:v>43.9086</c:v>
                </c:pt>
                <c:pt idx="36">
                  <c:v>44.3125</c:v>
                </c:pt>
                <c:pt idx="37">
                  <c:v>44.7181</c:v>
                </c:pt>
                <c:pt idx="38">
                  <c:v>45.125300000000003</c:v>
                </c:pt>
                <c:pt idx="39">
                  <c:v>45.531500000000001</c:v>
                </c:pt>
                <c:pt idx="40">
                  <c:v>45.940399999999997</c:v>
                </c:pt>
                <c:pt idx="41">
                  <c:v>46.344999999999999</c:v>
                </c:pt>
                <c:pt idx="42">
                  <c:v>46.750700000000002</c:v>
                </c:pt>
                <c:pt idx="43">
                  <c:v>47.159300000000002</c:v>
                </c:pt>
                <c:pt idx="44">
                  <c:v>47.565600000000003</c:v>
                </c:pt>
                <c:pt idx="45">
                  <c:v>47.972700000000003</c:v>
                </c:pt>
                <c:pt idx="46">
                  <c:v>48.377499999999998</c:v>
                </c:pt>
                <c:pt idx="47">
                  <c:v>48.781199999999998</c:v>
                </c:pt>
                <c:pt idx="48">
                  <c:v>49.1873</c:v>
                </c:pt>
                <c:pt idx="49">
                  <c:v>49.593400000000003</c:v>
                </c:pt>
                <c:pt idx="50">
                  <c:v>50.001399999999997</c:v>
                </c:pt>
                <c:pt idx="51">
                  <c:v>50.406700000000001</c:v>
                </c:pt>
                <c:pt idx="52">
                  <c:v>50.811</c:v>
                </c:pt>
                <c:pt idx="53">
                  <c:v>51.216900000000003</c:v>
                </c:pt>
                <c:pt idx="54">
                  <c:v>51.627499999999998</c:v>
                </c:pt>
                <c:pt idx="55">
                  <c:v>52.033999999999999</c:v>
                </c:pt>
                <c:pt idx="56">
                  <c:v>52.439</c:v>
                </c:pt>
                <c:pt idx="57">
                  <c:v>52.843200000000003</c:v>
                </c:pt>
                <c:pt idx="58">
                  <c:v>53.252699999999997</c:v>
                </c:pt>
                <c:pt idx="59">
                  <c:v>53.657899999999998</c:v>
                </c:pt>
                <c:pt idx="60">
                  <c:v>54.064300000000003</c:v>
                </c:pt>
                <c:pt idx="61">
                  <c:v>54.47</c:v>
                </c:pt>
                <c:pt idx="62">
                  <c:v>54.875900000000001</c:v>
                </c:pt>
                <c:pt idx="63">
                  <c:v>55.281599999999997</c:v>
                </c:pt>
                <c:pt idx="64">
                  <c:v>55.690800000000003</c:v>
                </c:pt>
                <c:pt idx="65">
                  <c:v>56.095700000000001</c:v>
                </c:pt>
                <c:pt idx="66">
                  <c:v>56.503900000000002</c:v>
                </c:pt>
                <c:pt idx="67">
                  <c:v>56.906799999999997</c:v>
                </c:pt>
                <c:pt idx="68">
                  <c:v>57.313000000000002</c:v>
                </c:pt>
                <c:pt idx="69">
                  <c:v>57.717399999999998</c:v>
                </c:pt>
                <c:pt idx="70">
                  <c:v>58.124099999999999</c:v>
                </c:pt>
                <c:pt idx="71">
                  <c:v>58.5336</c:v>
                </c:pt>
                <c:pt idx="72">
                  <c:v>58.938299999999998</c:v>
                </c:pt>
                <c:pt idx="73">
                  <c:v>59.345799999999997</c:v>
                </c:pt>
                <c:pt idx="74">
                  <c:v>59.751800000000003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3.9357599999999997</c:v>
                </c:pt>
                <c:pt idx="1">
                  <c:v>3.8659500000000002</c:v>
                </c:pt>
                <c:pt idx="2">
                  <c:v>3.8065300000000004</c:v>
                </c:pt>
                <c:pt idx="3">
                  <c:v>3.7446700000000002</c:v>
                </c:pt>
                <c:pt idx="4">
                  <c:v>3.6802099999999998</c:v>
                </c:pt>
                <c:pt idx="5">
                  <c:v>3.6144400000000001</c:v>
                </c:pt>
                <c:pt idx="6">
                  <c:v>3.5474600000000001</c:v>
                </c:pt>
                <c:pt idx="7">
                  <c:v>3.4845799999999998</c:v>
                </c:pt>
                <c:pt idx="8">
                  <c:v>3.42144</c:v>
                </c:pt>
                <c:pt idx="9">
                  <c:v>3.3596199999999996</c:v>
                </c:pt>
                <c:pt idx="10">
                  <c:v>3.2971400000000002</c:v>
                </c:pt>
                <c:pt idx="11">
                  <c:v>3.2301400000000005</c:v>
                </c:pt>
                <c:pt idx="12">
                  <c:v>3.1621899999999998</c:v>
                </c:pt>
                <c:pt idx="13">
                  <c:v>3.09687</c:v>
                </c:pt>
                <c:pt idx="14">
                  <c:v>3.0359099999999999</c:v>
                </c:pt>
                <c:pt idx="15">
                  <c:v>2.9799500000000001</c:v>
                </c:pt>
                <c:pt idx="16">
                  <c:v>2.9289999999999998</c:v>
                </c:pt>
                <c:pt idx="17">
                  <c:v>2.8856900000000003</c:v>
                </c:pt>
                <c:pt idx="18">
                  <c:v>2.8474500000000003</c:v>
                </c:pt>
                <c:pt idx="19">
                  <c:v>2.8134799999999998</c:v>
                </c:pt>
                <c:pt idx="20">
                  <c:v>2.7858200000000002</c:v>
                </c:pt>
                <c:pt idx="21">
                  <c:v>2.7654200000000002</c:v>
                </c:pt>
                <c:pt idx="22">
                  <c:v>2.7510300000000001</c:v>
                </c:pt>
                <c:pt idx="23">
                  <c:v>2.7424500000000003</c:v>
                </c:pt>
                <c:pt idx="24">
                  <c:v>2.7395199999999997</c:v>
                </c:pt>
                <c:pt idx="25">
                  <c:v>2.7390300000000001</c:v>
                </c:pt>
                <c:pt idx="26">
                  <c:v>2.7423399999999996</c:v>
                </c:pt>
                <c:pt idx="27">
                  <c:v>2.7476699999999998</c:v>
                </c:pt>
                <c:pt idx="28">
                  <c:v>2.7589700000000001</c:v>
                </c:pt>
                <c:pt idx="29">
                  <c:v>2.7751799999999998</c:v>
                </c:pt>
                <c:pt idx="30">
                  <c:v>2.7988800000000005</c:v>
                </c:pt>
                <c:pt idx="31">
                  <c:v>2.82599</c:v>
                </c:pt>
                <c:pt idx="32">
                  <c:v>2.8528099999999998</c:v>
                </c:pt>
                <c:pt idx="33">
                  <c:v>2.8821300000000001</c:v>
                </c:pt>
                <c:pt idx="34">
                  <c:v>2.91595</c:v>
                </c:pt>
                <c:pt idx="35">
                  <c:v>2.9542700000000002</c:v>
                </c:pt>
                <c:pt idx="36">
                  <c:v>2.9915399999999996</c:v>
                </c:pt>
                <c:pt idx="37">
                  <c:v>3.0240899999999997</c:v>
                </c:pt>
                <c:pt idx="38">
                  <c:v>3.0558100000000001</c:v>
                </c:pt>
                <c:pt idx="39">
                  <c:v>3.08954</c:v>
                </c:pt>
                <c:pt idx="40">
                  <c:v>3.12649</c:v>
                </c:pt>
                <c:pt idx="41">
                  <c:v>3.1641599999999999</c:v>
                </c:pt>
                <c:pt idx="42">
                  <c:v>3.1983299999999999</c:v>
                </c:pt>
                <c:pt idx="43">
                  <c:v>3.2276199999999999</c:v>
                </c:pt>
                <c:pt idx="44">
                  <c:v>3.2546399999999998</c:v>
                </c:pt>
                <c:pt idx="45">
                  <c:v>3.2812299999999999</c:v>
                </c:pt>
                <c:pt idx="46">
                  <c:v>3.3060200000000002</c:v>
                </c:pt>
                <c:pt idx="47">
                  <c:v>3.33005</c:v>
                </c:pt>
                <c:pt idx="48">
                  <c:v>3.3534100000000002</c:v>
                </c:pt>
                <c:pt idx="49">
                  <c:v>3.3766400000000001</c:v>
                </c:pt>
                <c:pt idx="50">
                  <c:v>3.3994200000000001</c:v>
                </c:pt>
                <c:pt idx="51">
                  <c:v>3.4127000000000001</c:v>
                </c:pt>
                <c:pt idx="52">
                  <c:v>3.4274700000000005</c:v>
                </c:pt>
                <c:pt idx="53">
                  <c:v>3.4413899999999997</c:v>
                </c:pt>
                <c:pt idx="54">
                  <c:v>3.4558899999999997</c:v>
                </c:pt>
                <c:pt idx="55">
                  <c:v>3.4671000000000003</c:v>
                </c:pt>
                <c:pt idx="56">
                  <c:v>3.4744399999999995</c:v>
                </c:pt>
                <c:pt idx="57">
                  <c:v>3.4811999999999999</c:v>
                </c:pt>
                <c:pt idx="58">
                  <c:v>3.4893200000000002</c:v>
                </c:pt>
                <c:pt idx="59">
                  <c:v>3.49532</c:v>
                </c:pt>
                <c:pt idx="60">
                  <c:v>3.4990900000000003</c:v>
                </c:pt>
                <c:pt idx="61">
                  <c:v>3.50502</c:v>
                </c:pt>
                <c:pt idx="62">
                  <c:v>3.5162100000000001</c:v>
                </c:pt>
                <c:pt idx="63">
                  <c:v>3.52948</c:v>
                </c:pt>
                <c:pt idx="64">
                  <c:v>3.54183</c:v>
                </c:pt>
                <c:pt idx="65">
                  <c:v>3.5490300000000001</c:v>
                </c:pt>
                <c:pt idx="66">
                  <c:v>3.5460599999999998</c:v>
                </c:pt>
                <c:pt idx="67">
                  <c:v>3.5442600000000004</c:v>
                </c:pt>
                <c:pt idx="68">
                  <c:v>3.5445100000000003</c:v>
                </c:pt>
                <c:pt idx="69">
                  <c:v>3.5512500000000005</c:v>
                </c:pt>
                <c:pt idx="70">
                  <c:v>3.5620600000000002</c:v>
                </c:pt>
                <c:pt idx="71">
                  <c:v>3.5734599999999999</c:v>
                </c:pt>
                <c:pt idx="72">
                  <c:v>3.5896499999999998</c:v>
                </c:pt>
                <c:pt idx="73">
                  <c:v>3.6007400000000001</c:v>
                </c:pt>
                <c:pt idx="74">
                  <c:v>3.6117700000000004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14.937950000000001</c:v>
                </c:pt>
                <c:pt idx="1">
                  <c:v>44.813850000000002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3.4761341891891888</c:v>
                </c:pt>
                <c:pt idx="1">
                  <c:v>3.2455191891891912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  <c:pt idx="74">
                  <c:v>30.046299999999999</c:v>
                </c:pt>
                <c:pt idx="75">
                  <c:v>30.621600000000001</c:v>
                </c:pt>
                <c:pt idx="76">
                  <c:v>30.997699999999998</c:v>
                </c:pt>
                <c:pt idx="77">
                  <c:v>31.374300000000002</c:v>
                </c:pt>
                <c:pt idx="78">
                  <c:v>31.749199999999998</c:v>
                </c:pt>
                <c:pt idx="79">
                  <c:v>32.1252</c:v>
                </c:pt>
                <c:pt idx="80">
                  <c:v>32.530299999999997</c:v>
                </c:pt>
                <c:pt idx="81">
                  <c:v>32.936799999999998</c:v>
                </c:pt>
                <c:pt idx="82">
                  <c:v>33.3461</c:v>
                </c:pt>
                <c:pt idx="83">
                  <c:v>33.749099999999999</c:v>
                </c:pt>
                <c:pt idx="84">
                  <c:v>34.158099999999997</c:v>
                </c:pt>
                <c:pt idx="85">
                  <c:v>34.564100000000003</c:v>
                </c:pt>
                <c:pt idx="86">
                  <c:v>34.968899999999998</c:v>
                </c:pt>
                <c:pt idx="87">
                  <c:v>35.374299999999998</c:v>
                </c:pt>
                <c:pt idx="88">
                  <c:v>35.782299999999999</c:v>
                </c:pt>
                <c:pt idx="89">
                  <c:v>36.1858</c:v>
                </c:pt>
                <c:pt idx="90">
                  <c:v>36.591799999999999</c:v>
                </c:pt>
                <c:pt idx="91">
                  <c:v>36.999899999999997</c:v>
                </c:pt>
                <c:pt idx="92">
                  <c:v>37.407800000000002</c:v>
                </c:pt>
                <c:pt idx="93">
                  <c:v>37.811599999999999</c:v>
                </c:pt>
                <c:pt idx="94">
                  <c:v>38.218899999999998</c:v>
                </c:pt>
                <c:pt idx="95">
                  <c:v>38.627200000000002</c:v>
                </c:pt>
                <c:pt idx="96">
                  <c:v>39.031500000000001</c:v>
                </c:pt>
                <c:pt idx="97">
                  <c:v>39.441200000000002</c:v>
                </c:pt>
                <c:pt idx="98">
                  <c:v>39.844900000000003</c:v>
                </c:pt>
                <c:pt idx="99">
                  <c:v>40.249299999999998</c:v>
                </c:pt>
                <c:pt idx="100">
                  <c:v>40.654299999999999</c:v>
                </c:pt>
                <c:pt idx="101">
                  <c:v>41.064</c:v>
                </c:pt>
                <c:pt idx="102">
                  <c:v>41.466799999999999</c:v>
                </c:pt>
                <c:pt idx="103">
                  <c:v>41.875900000000001</c:v>
                </c:pt>
                <c:pt idx="104">
                  <c:v>42.282299999999999</c:v>
                </c:pt>
                <c:pt idx="105">
                  <c:v>42.686900000000001</c:v>
                </c:pt>
                <c:pt idx="106">
                  <c:v>43.0976</c:v>
                </c:pt>
                <c:pt idx="107">
                  <c:v>43.5</c:v>
                </c:pt>
                <c:pt idx="108">
                  <c:v>43.9086</c:v>
                </c:pt>
                <c:pt idx="109">
                  <c:v>44.3125</c:v>
                </c:pt>
                <c:pt idx="110">
                  <c:v>44.7181</c:v>
                </c:pt>
                <c:pt idx="111">
                  <c:v>45.125300000000003</c:v>
                </c:pt>
                <c:pt idx="112">
                  <c:v>45.531500000000001</c:v>
                </c:pt>
                <c:pt idx="113">
                  <c:v>45.940399999999997</c:v>
                </c:pt>
                <c:pt idx="114">
                  <c:v>46.344999999999999</c:v>
                </c:pt>
                <c:pt idx="115">
                  <c:v>46.750700000000002</c:v>
                </c:pt>
                <c:pt idx="116">
                  <c:v>47.159300000000002</c:v>
                </c:pt>
                <c:pt idx="117">
                  <c:v>47.565600000000003</c:v>
                </c:pt>
                <c:pt idx="118">
                  <c:v>47.972700000000003</c:v>
                </c:pt>
                <c:pt idx="119">
                  <c:v>48.377499999999998</c:v>
                </c:pt>
                <c:pt idx="120">
                  <c:v>48.781199999999998</c:v>
                </c:pt>
                <c:pt idx="121">
                  <c:v>49.1873</c:v>
                </c:pt>
                <c:pt idx="122">
                  <c:v>49.593400000000003</c:v>
                </c:pt>
                <c:pt idx="123">
                  <c:v>50.001399999999997</c:v>
                </c:pt>
                <c:pt idx="124">
                  <c:v>50.406700000000001</c:v>
                </c:pt>
                <c:pt idx="125">
                  <c:v>50.811</c:v>
                </c:pt>
                <c:pt idx="126">
                  <c:v>51.216900000000003</c:v>
                </c:pt>
                <c:pt idx="127">
                  <c:v>51.627499999999998</c:v>
                </c:pt>
                <c:pt idx="128">
                  <c:v>52.033999999999999</c:v>
                </c:pt>
                <c:pt idx="129">
                  <c:v>52.439</c:v>
                </c:pt>
                <c:pt idx="130">
                  <c:v>52.843200000000003</c:v>
                </c:pt>
                <c:pt idx="131">
                  <c:v>53.252699999999997</c:v>
                </c:pt>
                <c:pt idx="132">
                  <c:v>53.657899999999998</c:v>
                </c:pt>
                <c:pt idx="133">
                  <c:v>54.064300000000003</c:v>
                </c:pt>
                <c:pt idx="134">
                  <c:v>54.47</c:v>
                </c:pt>
                <c:pt idx="135">
                  <c:v>54.875900000000001</c:v>
                </c:pt>
                <c:pt idx="136">
                  <c:v>55.281599999999997</c:v>
                </c:pt>
                <c:pt idx="137">
                  <c:v>55.690800000000003</c:v>
                </c:pt>
                <c:pt idx="138">
                  <c:v>56.095700000000001</c:v>
                </c:pt>
                <c:pt idx="139">
                  <c:v>56.503900000000002</c:v>
                </c:pt>
                <c:pt idx="140">
                  <c:v>56.906799999999997</c:v>
                </c:pt>
                <c:pt idx="141">
                  <c:v>57.313000000000002</c:v>
                </c:pt>
                <c:pt idx="142">
                  <c:v>57.717399999999998</c:v>
                </c:pt>
                <c:pt idx="143">
                  <c:v>58.124099999999999</c:v>
                </c:pt>
                <c:pt idx="144">
                  <c:v>58.5336</c:v>
                </c:pt>
                <c:pt idx="145">
                  <c:v>58.938299999999998</c:v>
                </c:pt>
                <c:pt idx="146">
                  <c:v>59.345799999999997</c:v>
                </c:pt>
                <c:pt idx="147">
                  <c:v>59.751800000000003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  <c:pt idx="74">
                  <c:v>36.8857</c:v>
                </c:pt>
                <c:pt idx="75">
                  <c:v>37.0336</c:v>
                </c:pt>
                <c:pt idx="76">
                  <c:v>37.26</c:v>
                </c:pt>
                <c:pt idx="77">
                  <c:v>37.569699999999997</c:v>
                </c:pt>
                <c:pt idx="78">
                  <c:v>37.932000000000002</c:v>
                </c:pt>
                <c:pt idx="79">
                  <c:v>38.379200000000004</c:v>
                </c:pt>
                <c:pt idx="80">
                  <c:v>38.812799999999996</c:v>
                </c:pt>
                <c:pt idx="81">
                  <c:v>39.174599999999998</c:v>
                </c:pt>
                <c:pt idx="82">
                  <c:v>39.379300000000001</c:v>
                </c:pt>
                <c:pt idx="83">
                  <c:v>39.513399999999997</c:v>
                </c:pt>
                <c:pt idx="84">
                  <c:v>39.861799999999995</c:v>
                </c:pt>
                <c:pt idx="85">
                  <c:v>40.528799999999997</c:v>
                </c:pt>
                <c:pt idx="86">
                  <c:v>41.369699999999995</c:v>
                </c:pt>
                <c:pt idx="87">
                  <c:v>42.119500000000002</c:v>
                </c:pt>
                <c:pt idx="88">
                  <c:v>42.737900000000003</c:v>
                </c:pt>
                <c:pt idx="89">
                  <c:v>43.470399999999998</c:v>
                </c:pt>
                <c:pt idx="90">
                  <c:v>44.088799999999999</c:v>
                </c:pt>
                <c:pt idx="91">
                  <c:v>44.730699999999999</c:v>
                </c:pt>
                <c:pt idx="92">
                  <c:v>45.305900000000001</c:v>
                </c:pt>
                <c:pt idx="93">
                  <c:v>45.728900000000003</c:v>
                </c:pt>
                <c:pt idx="94">
                  <c:v>45.997399999999999</c:v>
                </c:pt>
                <c:pt idx="95">
                  <c:v>46.141300000000001</c:v>
                </c:pt>
                <c:pt idx="96">
                  <c:v>46.168599999999998</c:v>
                </c:pt>
                <c:pt idx="97">
                  <c:v>46.072800000000001</c:v>
                </c:pt>
                <c:pt idx="98">
                  <c:v>45.9998</c:v>
                </c:pt>
                <c:pt idx="99">
                  <c:v>45.904800000000002</c:v>
                </c:pt>
                <c:pt idx="100">
                  <c:v>45.812199999999997</c:v>
                </c:pt>
                <c:pt idx="101">
                  <c:v>45.638300000000001</c:v>
                </c:pt>
                <c:pt idx="102">
                  <c:v>45.386600000000001</c:v>
                </c:pt>
                <c:pt idx="103">
                  <c:v>45.072699999999998</c:v>
                </c:pt>
                <c:pt idx="104">
                  <c:v>44.712699999999998</c:v>
                </c:pt>
                <c:pt idx="105">
                  <c:v>44.371300000000005</c:v>
                </c:pt>
                <c:pt idx="106">
                  <c:v>44.110799999999998</c:v>
                </c:pt>
                <c:pt idx="107">
                  <c:v>43.853900000000003</c:v>
                </c:pt>
                <c:pt idx="108">
                  <c:v>43.6432</c:v>
                </c:pt>
                <c:pt idx="109">
                  <c:v>43.57</c:v>
                </c:pt>
                <c:pt idx="110">
                  <c:v>43.609700000000004</c:v>
                </c:pt>
                <c:pt idx="111">
                  <c:v>43.687599999999996</c:v>
                </c:pt>
                <c:pt idx="112">
                  <c:v>43.796300000000002</c:v>
                </c:pt>
                <c:pt idx="113">
                  <c:v>43.878299999999996</c:v>
                </c:pt>
                <c:pt idx="114">
                  <c:v>43.804700000000004</c:v>
                </c:pt>
                <c:pt idx="115">
                  <c:v>43.757899999999999</c:v>
                </c:pt>
                <c:pt idx="116">
                  <c:v>43.680500000000002</c:v>
                </c:pt>
                <c:pt idx="117">
                  <c:v>43.648399999999995</c:v>
                </c:pt>
                <c:pt idx="118">
                  <c:v>43.623600000000003</c:v>
                </c:pt>
                <c:pt idx="119">
                  <c:v>43.610700000000001</c:v>
                </c:pt>
                <c:pt idx="120">
                  <c:v>43.636499999999998</c:v>
                </c:pt>
                <c:pt idx="121">
                  <c:v>43.613700000000001</c:v>
                </c:pt>
                <c:pt idx="122">
                  <c:v>43.540900000000001</c:v>
                </c:pt>
                <c:pt idx="123">
                  <c:v>43.3996</c:v>
                </c:pt>
                <c:pt idx="124">
                  <c:v>43.372399999999999</c:v>
                </c:pt>
                <c:pt idx="125">
                  <c:v>43.343399999999995</c:v>
                </c:pt>
                <c:pt idx="126">
                  <c:v>43.307200000000002</c:v>
                </c:pt>
                <c:pt idx="127">
                  <c:v>43.285699999999999</c:v>
                </c:pt>
                <c:pt idx="128">
                  <c:v>43.237900000000003</c:v>
                </c:pt>
                <c:pt idx="129">
                  <c:v>43.161100000000005</c:v>
                </c:pt>
                <c:pt idx="130">
                  <c:v>43.067299999999996</c:v>
                </c:pt>
                <c:pt idx="131">
                  <c:v>42.964999999999996</c:v>
                </c:pt>
                <c:pt idx="132">
                  <c:v>42.888399999999997</c:v>
                </c:pt>
                <c:pt idx="133">
                  <c:v>42.854399999999998</c:v>
                </c:pt>
                <c:pt idx="134">
                  <c:v>42.787700000000001</c:v>
                </c:pt>
                <c:pt idx="135">
                  <c:v>42.674599999999998</c:v>
                </c:pt>
                <c:pt idx="136">
                  <c:v>42.558500000000002</c:v>
                </c:pt>
                <c:pt idx="137">
                  <c:v>42.426099999999998</c:v>
                </c:pt>
                <c:pt idx="138">
                  <c:v>42.286000000000001</c:v>
                </c:pt>
                <c:pt idx="139">
                  <c:v>42.207499999999996</c:v>
                </c:pt>
                <c:pt idx="140">
                  <c:v>42.125500000000002</c:v>
                </c:pt>
                <c:pt idx="141">
                  <c:v>42.0655</c:v>
                </c:pt>
                <c:pt idx="142">
                  <c:v>41.998600000000003</c:v>
                </c:pt>
                <c:pt idx="143">
                  <c:v>42.0291</c:v>
                </c:pt>
                <c:pt idx="144">
                  <c:v>41.951899999999995</c:v>
                </c:pt>
                <c:pt idx="145">
                  <c:v>41.6402</c:v>
                </c:pt>
                <c:pt idx="146">
                  <c:v>41.324100000000001</c:v>
                </c:pt>
                <c:pt idx="147">
                  <c:v>41.174300000000002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29.641500000000001</c:v>
                </c:pt>
                <c:pt idx="1">
                  <c:v>30.046299999999999</c:v>
                </c:pt>
                <c:pt idx="2">
                  <c:v>30.621600000000001</c:v>
                </c:pt>
                <c:pt idx="3">
                  <c:v>30.997699999999998</c:v>
                </c:pt>
                <c:pt idx="4">
                  <c:v>31.374300000000002</c:v>
                </c:pt>
                <c:pt idx="5">
                  <c:v>31.749199999999998</c:v>
                </c:pt>
                <c:pt idx="6">
                  <c:v>32.1252</c:v>
                </c:pt>
                <c:pt idx="7">
                  <c:v>32.530299999999997</c:v>
                </c:pt>
                <c:pt idx="8">
                  <c:v>32.936799999999998</c:v>
                </c:pt>
                <c:pt idx="9">
                  <c:v>33.3461</c:v>
                </c:pt>
                <c:pt idx="10">
                  <c:v>33.749099999999999</c:v>
                </c:pt>
                <c:pt idx="11">
                  <c:v>34.158099999999997</c:v>
                </c:pt>
                <c:pt idx="12">
                  <c:v>34.564100000000003</c:v>
                </c:pt>
                <c:pt idx="13">
                  <c:v>34.968899999999998</c:v>
                </c:pt>
                <c:pt idx="14">
                  <c:v>35.374299999999998</c:v>
                </c:pt>
                <c:pt idx="15">
                  <c:v>35.782299999999999</c:v>
                </c:pt>
                <c:pt idx="16">
                  <c:v>36.1858</c:v>
                </c:pt>
                <c:pt idx="17">
                  <c:v>36.591799999999999</c:v>
                </c:pt>
                <c:pt idx="18">
                  <c:v>36.999899999999997</c:v>
                </c:pt>
                <c:pt idx="19">
                  <c:v>37.407800000000002</c:v>
                </c:pt>
                <c:pt idx="20">
                  <c:v>37.811599999999999</c:v>
                </c:pt>
                <c:pt idx="21">
                  <c:v>38.218899999999998</c:v>
                </c:pt>
                <c:pt idx="22">
                  <c:v>38.627200000000002</c:v>
                </c:pt>
                <c:pt idx="23">
                  <c:v>39.031500000000001</c:v>
                </c:pt>
                <c:pt idx="24">
                  <c:v>39.441200000000002</c:v>
                </c:pt>
                <c:pt idx="25">
                  <c:v>39.844900000000003</c:v>
                </c:pt>
                <c:pt idx="26">
                  <c:v>40.249299999999998</c:v>
                </c:pt>
                <c:pt idx="27">
                  <c:v>40.654299999999999</c:v>
                </c:pt>
                <c:pt idx="28">
                  <c:v>41.064</c:v>
                </c:pt>
                <c:pt idx="29">
                  <c:v>41.466799999999999</c:v>
                </c:pt>
                <c:pt idx="30">
                  <c:v>41.875900000000001</c:v>
                </c:pt>
                <c:pt idx="31">
                  <c:v>42.282299999999999</c:v>
                </c:pt>
                <c:pt idx="32">
                  <c:v>42.686900000000001</c:v>
                </c:pt>
                <c:pt idx="33">
                  <c:v>43.0976</c:v>
                </c:pt>
                <c:pt idx="34">
                  <c:v>43.5</c:v>
                </c:pt>
                <c:pt idx="35">
                  <c:v>43.9086</c:v>
                </c:pt>
                <c:pt idx="36">
                  <c:v>44.3125</c:v>
                </c:pt>
                <c:pt idx="37">
                  <c:v>44.7181</c:v>
                </c:pt>
                <c:pt idx="38">
                  <c:v>45.125300000000003</c:v>
                </c:pt>
                <c:pt idx="39">
                  <c:v>45.531500000000001</c:v>
                </c:pt>
                <c:pt idx="40">
                  <c:v>45.940399999999997</c:v>
                </c:pt>
                <c:pt idx="41">
                  <c:v>46.344999999999999</c:v>
                </c:pt>
                <c:pt idx="42">
                  <c:v>46.750700000000002</c:v>
                </c:pt>
                <c:pt idx="43">
                  <c:v>47.159300000000002</c:v>
                </c:pt>
                <c:pt idx="44">
                  <c:v>47.565600000000003</c:v>
                </c:pt>
                <c:pt idx="45">
                  <c:v>47.972700000000003</c:v>
                </c:pt>
                <c:pt idx="46">
                  <c:v>48.377499999999998</c:v>
                </c:pt>
                <c:pt idx="47">
                  <c:v>48.781199999999998</c:v>
                </c:pt>
                <c:pt idx="48">
                  <c:v>49.1873</c:v>
                </c:pt>
                <c:pt idx="49">
                  <c:v>49.593400000000003</c:v>
                </c:pt>
                <c:pt idx="50">
                  <c:v>50.001399999999997</c:v>
                </c:pt>
                <c:pt idx="51">
                  <c:v>50.406700000000001</c:v>
                </c:pt>
                <c:pt idx="52">
                  <c:v>50.811</c:v>
                </c:pt>
                <c:pt idx="53">
                  <c:v>51.216900000000003</c:v>
                </c:pt>
                <c:pt idx="54">
                  <c:v>51.627499999999998</c:v>
                </c:pt>
                <c:pt idx="55">
                  <c:v>52.033999999999999</c:v>
                </c:pt>
                <c:pt idx="56">
                  <c:v>52.439</c:v>
                </c:pt>
                <c:pt idx="57">
                  <c:v>52.843200000000003</c:v>
                </c:pt>
                <c:pt idx="58">
                  <c:v>53.252699999999997</c:v>
                </c:pt>
                <c:pt idx="59">
                  <c:v>53.657899999999998</c:v>
                </c:pt>
                <c:pt idx="60">
                  <c:v>54.064300000000003</c:v>
                </c:pt>
                <c:pt idx="61">
                  <c:v>54.47</c:v>
                </c:pt>
                <c:pt idx="62">
                  <c:v>54.875900000000001</c:v>
                </c:pt>
                <c:pt idx="63">
                  <c:v>55.281599999999997</c:v>
                </c:pt>
                <c:pt idx="64">
                  <c:v>55.690800000000003</c:v>
                </c:pt>
                <c:pt idx="65">
                  <c:v>56.095700000000001</c:v>
                </c:pt>
                <c:pt idx="66">
                  <c:v>56.503900000000002</c:v>
                </c:pt>
                <c:pt idx="67">
                  <c:v>56.906799999999997</c:v>
                </c:pt>
                <c:pt idx="68">
                  <c:v>57.313000000000002</c:v>
                </c:pt>
                <c:pt idx="69">
                  <c:v>57.717399999999998</c:v>
                </c:pt>
                <c:pt idx="70">
                  <c:v>58.124099999999999</c:v>
                </c:pt>
                <c:pt idx="71">
                  <c:v>58.5336</c:v>
                </c:pt>
                <c:pt idx="72">
                  <c:v>58.938299999999998</c:v>
                </c:pt>
                <c:pt idx="73">
                  <c:v>59.345799999999997</c:v>
                </c:pt>
                <c:pt idx="74">
                  <c:v>59.751800000000003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36.941299999999998</c:v>
                </c:pt>
                <c:pt idx="1">
                  <c:v>36.8857</c:v>
                </c:pt>
                <c:pt idx="2">
                  <c:v>37.0336</c:v>
                </c:pt>
                <c:pt idx="3">
                  <c:v>37.26</c:v>
                </c:pt>
                <c:pt idx="4">
                  <c:v>37.569699999999997</c:v>
                </c:pt>
                <c:pt idx="5">
                  <c:v>37.932000000000002</c:v>
                </c:pt>
                <c:pt idx="6">
                  <c:v>38.379200000000004</c:v>
                </c:pt>
                <c:pt idx="7">
                  <c:v>38.812799999999996</c:v>
                </c:pt>
                <c:pt idx="8">
                  <c:v>39.174599999999998</c:v>
                </c:pt>
                <c:pt idx="9">
                  <c:v>39.379300000000001</c:v>
                </c:pt>
                <c:pt idx="10">
                  <c:v>39.513399999999997</c:v>
                </c:pt>
                <c:pt idx="11">
                  <c:v>39.861799999999995</c:v>
                </c:pt>
                <c:pt idx="12">
                  <c:v>40.528799999999997</c:v>
                </c:pt>
                <c:pt idx="13">
                  <c:v>41.369699999999995</c:v>
                </c:pt>
                <c:pt idx="14">
                  <c:v>42.119500000000002</c:v>
                </c:pt>
                <c:pt idx="15">
                  <c:v>42.737900000000003</c:v>
                </c:pt>
                <c:pt idx="16">
                  <c:v>43.470399999999998</c:v>
                </c:pt>
                <c:pt idx="17">
                  <c:v>44.088799999999999</c:v>
                </c:pt>
                <c:pt idx="18">
                  <c:v>44.730699999999999</c:v>
                </c:pt>
                <c:pt idx="19">
                  <c:v>45.305900000000001</c:v>
                </c:pt>
                <c:pt idx="20">
                  <c:v>45.728900000000003</c:v>
                </c:pt>
                <c:pt idx="21">
                  <c:v>45.997399999999999</c:v>
                </c:pt>
                <c:pt idx="22">
                  <c:v>46.141300000000001</c:v>
                </c:pt>
                <c:pt idx="23">
                  <c:v>46.168599999999998</c:v>
                </c:pt>
                <c:pt idx="24">
                  <c:v>46.072800000000001</c:v>
                </c:pt>
                <c:pt idx="25">
                  <c:v>45.9998</c:v>
                </c:pt>
                <c:pt idx="26">
                  <c:v>45.904800000000002</c:v>
                </c:pt>
                <c:pt idx="27">
                  <c:v>45.812199999999997</c:v>
                </c:pt>
                <c:pt idx="28">
                  <c:v>45.638300000000001</c:v>
                </c:pt>
                <c:pt idx="29">
                  <c:v>45.386600000000001</c:v>
                </c:pt>
                <c:pt idx="30">
                  <c:v>45.072699999999998</c:v>
                </c:pt>
                <c:pt idx="31">
                  <c:v>44.712699999999998</c:v>
                </c:pt>
                <c:pt idx="32">
                  <c:v>44.371300000000005</c:v>
                </c:pt>
                <c:pt idx="33">
                  <c:v>44.110799999999998</c:v>
                </c:pt>
                <c:pt idx="34">
                  <c:v>43.853900000000003</c:v>
                </c:pt>
                <c:pt idx="35">
                  <c:v>43.6432</c:v>
                </c:pt>
                <c:pt idx="36">
                  <c:v>43.57</c:v>
                </c:pt>
                <c:pt idx="37">
                  <c:v>43.609700000000004</c:v>
                </c:pt>
                <c:pt idx="38">
                  <c:v>43.687599999999996</c:v>
                </c:pt>
                <c:pt idx="39">
                  <c:v>43.796300000000002</c:v>
                </c:pt>
                <c:pt idx="40">
                  <c:v>43.878299999999996</c:v>
                </c:pt>
                <c:pt idx="41">
                  <c:v>43.804700000000004</c:v>
                </c:pt>
                <c:pt idx="42">
                  <c:v>43.757899999999999</c:v>
                </c:pt>
                <c:pt idx="43">
                  <c:v>43.680500000000002</c:v>
                </c:pt>
                <c:pt idx="44">
                  <c:v>43.648399999999995</c:v>
                </c:pt>
                <c:pt idx="45">
                  <c:v>43.623600000000003</c:v>
                </c:pt>
                <c:pt idx="46">
                  <c:v>43.610700000000001</c:v>
                </c:pt>
                <c:pt idx="47">
                  <c:v>43.636499999999998</c:v>
                </c:pt>
                <c:pt idx="48">
                  <c:v>43.613700000000001</c:v>
                </c:pt>
                <c:pt idx="49">
                  <c:v>43.540900000000001</c:v>
                </c:pt>
                <c:pt idx="50">
                  <c:v>43.3996</c:v>
                </c:pt>
                <c:pt idx="51">
                  <c:v>43.372399999999999</c:v>
                </c:pt>
                <c:pt idx="52">
                  <c:v>43.343399999999995</c:v>
                </c:pt>
                <c:pt idx="53">
                  <c:v>43.307200000000002</c:v>
                </c:pt>
                <c:pt idx="54">
                  <c:v>43.285699999999999</c:v>
                </c:pt>
                <c:pt idx="55">
                  <c:v>43.237900000000003</c:v>
                </c:pt>
                <c:pt idx="56">
                  <c:v>43.161100000000005</c:v>
                </c:pt>
                <c:pt idx="57">
                  <c:v>43.067299999999996</c:v>
                </c:pt>
                <c:pt idx="58">
                  <c:v>42.964999999999996</c:v>
                </c:pt>
                <c:pt idx="59">
                  <c:v>42.888399999999997</c:v>
                </c:pt>
                <c:pt idx="60">
                  <c:v>42.854399999999998</c:v>
                </c:pt>
                <c:pt idx="61">
                  <c:v>42.787700000000001</c:v>
                </c:pt>
                <c:pt idx="62">
                  <c:v>42.674599999999998</c:v>
                </c:pt>
                <c:pt idx="63">
                  <c:v>42.558500000000002</c:v>
                </c:pt>
                <c:pt idx="64">
                  <c:v>42.426099999999998</c:v>
                </c:pt>
                <c:pt idx="65">
                  <c:v>42.286000000000001</c:v>
                </c:pt>
                <c:pt idx="66">
                  <c:v>42.207499999999996</c:v>
                </c:pt>
                <c:pt idx="67">
                  <c:v>42.125500000000002</c:v>
                </c:pt>
                <c:pt idx="68">
                  <c:v>42.0655</c:v>
                </c:pt>
                <c:pt idx="69">
                  <c:v>41.998600000000003</c:v>
                </c:pt>
                <c:pt idx="70">
                  <c:v>42.0291</c:v>
                </c:pt>
                <c:pt idx="71">
                  <c:v>41.951899999999995</c:v>
                </c:pt>
                <c:pt idx="72">
                  <c:v>41.6402</c:v>
                </c:pt>
                <c:pt idx="73">
                  <c:v>41.324100000000001</c:v>
                </c:pt>
                <c:pt idx="74">
                  <c:v>41.174300000000002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14.937950000000001</c:v>
                </c:pt>
                <c:pt idx="1">
                  <c:v>44.813850000000002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45.348462162162164</c:v>
                </c:pt>
                <c:pt idx="1">
                  <c:v>42.788647297297302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37.185899999999997</c:v>
                </c:pt>
                <c:pt idx="1">
                  <c:v>27.245699999999999</c:v>
                </c:pt>
                <c:pt idx="2">
                  <c:v>28.2364</c:v>
                </c:pt>
                <c:pt idx="3">
                  <c:v>30.323</c:v>
                </c:pt>
                <c:pt idx="4">
                  <c:v>71.107799999999997</c:v>
                </c:pt>
                <c:pt idx="5">
                  <c:v>81.262900000000002</c:v>
                </c:pt>
                <c:pt idx="6">
                  <c:v>22.653600000000001</c:v>
                </c:pt>
                <c:pt idx="7">
                  <c:v>76.215999999999994</c:v>
                </c:pt>
                <c:pt idx="8">
                  <c:v>14.9879</c:v>
                </c:pt>
                <c:pt idx="9">
                  <c:v>21.7759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39.295000000000002</c:v>
                </c:pt>
                <c:pt idx="1">
                  <c:v>31.096299999999999</c:v>
                </c:pt>
                <c:pt idx="2">
                  <c:v>36.6325</c:v>
                </c:pt>
                <c:pt idx="3">
                  <c:v>37.354799999999997</c:v>
                </c:pt>
                <c:pt idx="4">
                  <c:v>63.7361</c:v>
                </c:pt>
                <c:pt idx="5">
                  <c:v>71.672899999999998</c:v>
                </c:pt>
                <c:pt idx="6">
                  <c:v>22.335699999999999</c:v>
                </c:pt>
                <c:pt idx="7">
                  <c:v>67.560500000000005</c:v>
                </c:pt>
                <c:pt idx="8">
                  <c:v>16.346900000000002</c:v>
                </c:pt>
                <c:pt idx="9">
                  <c:v>29.6099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0.56110621140082295</c:v>
                </c:pt>
                <c:pt idx="1">
                  <c:v>0.27468130728389767</c:v>
                </c:pt>
                <c:pt idx="2">
                  <c:v>0.16421248131527927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431</c:v>
                </c:pt>
                <c:pt idx="7">
                  <c:v>0</c:v>
                </c:pt>
                <c:pt idx="8">
                  <c:v>1557</c:v>
                </c:pt>
                <c:pt idx="9">
                  <c:v>0</c:v>
                </c:pt>
                <c:pt idx="10">
                  <c:v>0</c:v>
                </c:pt>
                <c:pt idx="11">
                  <c:v>2286</c:v>
                </c:pt>
                <c:pt idx="12">
                  <c:v>0</c:v>
                </c:pt>
                <c:pt idx="13">
                  <c:v>3163</c:v>
                </c:pt>
                <c:pt idx="14">
                  <c:v>0</c:v>
                </c:pt>
                <c:pt idx="15">
                  <c:v>0</c:v>
                </c:pt>
                <c:pt idx="16">
                  <c:v>5490</c:v>
                </c:pt>
                <c:pt idx="17">
                  <c:v>0</c:v>
                </c:pt>
                <c:pt idx="18">
                  <c:v>0</c:v>
                </c:pt>
                <c:pt idx="19">
                  <c:v>6126</c:v>
                </c:pt>
                <c:pt idx="20">
                  <c:v>0</c:v>
                </c:pt>
                <c:pt idx="21">
                  <c:v>11260</c:v>
                </c:pt>
                <c:pt idx="22">
                  <c:v>0</c:v>
                </c:pt>
                <c:pt idx="23">
                  <c:v>0</c:v>
                </c:pt>
                <c:pt idx="24">
                  <c:v>17252</c:v>
                </c:pt>
                <c:pt idx="25">
                  <c:v>0</c:v>
                </c:pt>
                <c:pt idx="26">
                  <c:v>24420</c:v>
                </c:pt>
                <c:pt idx="27">
                  <c:v>0</c:v>
                </c:pt>
                <c:pt idx="28">
                  <c:v>0</c:v>
                </c:pt>
                <c:pt idx="29">
                  <c:v>37127</c:v>
                </c:pt>
                <c:pt idx="30">
                  <c:v>0</c:v>
                </c:pt>
                <c:pt idx="31">
                  <c:v>37282</c:v>
                </c:pt>
                <c:pt idx="32">
                  <c:v>0</c:v>
                </c:pt>
                <c:pt idx="33">
                  <c:v>0</c:v>
                </c:pt>
                <c:pt idx="34">
                  <c:v>42024</c:v>
                </c:pt>
                <c:pt idx="35">
                  <c:v>0</c:v>
                </c:pt>
                <c:pt idx="36">
                  <c:v>0</c:v>
                </c:pt>
                <c:pt idx="37">
                  <c:v>40997</c:v>
                </c:pt>
                <c:pt idx="38">
                  <c:v>0</c:v>
                </c:pt>
                <c:pt idx="39">
                  <c:v>44133</c:v>
                </c:pt>
                <c:pt idx="40">
                  <c:v>0</c:v>
                </c:pt>
                <c:pt idx="41">
                  <c:v>0</c:v>
                </c:pt>
                <c:pt idx="42">
                  <c:v>47226</c:v>
                </c:pt>
                <c:pt idx="43">
                  <c:v>0</c:v>
                </c:pt>
                <c:pt idx="44">
                  <c:v>42503</c:v>
                </c:pt>
                <c:pt idx="45">
                  <c:v>0</c:v>
                </c:pt>
                <c:pt idx="46">
                  <c:v>0</c:v>
                </c:pt>
                <c:pt idx="47">
                  <c:v>44904</c:v>
                </c:pt>
                <c:pt idx="48">
                  <c:v>0</c:v>
                </c:pt>
                <c:pt idx="49">
                  <c:v>47386</c:v>
                </c:pt>
                <c:pt idx="50">
                  <c:v>0</c:v>
                </c:pt>
                <c:pt idx="51">
                  <c:v>0</c:v>
                </c:pt>
                <c:pt idx="52">
                  <c:v>57533</c:v>
                </c:pt>
                <c:pt idx="53">
                  <c:v>0</c:v>
                </c:pt>
                <c:pt idx="54">
                  <c:v>0</c:v>
                </c:pt>
                <c:pt idx="55">
                  <c:v>62152</c:v>
                </c:pt>
                <c:pt idx="56">
                  <c:v>0</c:v>
                </c:pt>
                <c:pt idx="57">
                  <c:v>58019</c:v>
                </c:pt>
                <c:pt idx="58">
                  <c:v>0</c:v>
                </c:pt>
                <c:pt idx="59">
                  <c:v>0</c:v>
                </c:pt>
                <c:pt idx="60">
                  <c:v>62546</c:v>
                </c:pt>
                <c:pt idx="61">
                  <c:v>0</c:v>
                </c:pt>
                <c:pt idx="62">
                  <c:v>62024</c:v>
                </c:pt>
                <c:pt idx="63">
                  <c:v>0</c:v>
                </c:pt>
                <c:pt idx="64">
                  <c:v>0</c:v>
                </c:pt>
                <c:pt idx="65">
                  <c:v>66285</c:v>
                </c:pt>
                <c:pt idx="66">
                  <c:v>0</c:v>
                </c:pt>
                <c:pt idx="67">
                  <c:v>67568</c:v>
                </c:pt>
                <c:pt idx="68">
                  <c:v>0</c:v>
                </c:pt>
                <c:pt idx="69">
                  <c:v>0</c:v>
                </c:pt>
                <c:pt idx="70">
                  <c:v>69233</c:v>
                </c:pt>
                <c:pt idx="71">
                  <c:v>0</c:v>
                </c:pt>
                <c:pt idx="72">
                  <c:v>0</c:v>
                </c:pt>
                <c:pt idx="73">
                  <c:v>80005</c:v>
                </c:pt>
                <c:pt idx="74">
                  <c:v>0</c:v>
                </c:pt>
                <c:pt idx="75">
                  <c:v>75287</c:v>
                </c:pt>
                <c:pt idx="76">
                  <c:v>0</c:v>
                </c:pt>
                <c:pt idx="77">
                  <c:v>0</c:v>
                </c:pt>
                <c:pt idx="78">
                  <c:v>76852</c:v>
                </c:pt>
                <c:pt idx="79">
                  <c:v>0</c:v>
                </c:pt>
                <c:pt idx="80">
                  <c:v>77531</c:v>
                </c:pt>
                <c:pt idx="81">
                  <c:v>0</c:v>
                </c:pt>
                <c:pt idx="82">
                  <c:v>0</c:v>
                </c:pt>
                <c:pt idx="83">
                  <c:v>72176</c:v>
                </c:pt>
                <c:pt idx="84">
                  <c:v>0</c:v>
                </c:pt>
                <c:pt idx="85">
                  <c:v>0</c:v>
                </c:pt>
                <c:pt idx="86">
                  <c:v>75828</c:v>
                </c:pt>
                <c:pt idx="87">
                  <c:v>0</c:v>
                </c:pt>
                <c:pt idx="88">
                  <c:v>77451</c:v>
                </c:pt>
                <c:pt idx="89">
                  <c:v>0</c:v>
                </c:pt>
                <c:pt idx="90">
                  <c:v>0</c:v>
                </c:pt>
                <c:pt idx="91">
                  <c:v>76417</c:v>
                </c:pt>
                <c:pt idx="92">
                  <c:v>0</c:v>
                </c:pt>
                <c:pt idx="93">
                  <c:v>82488</c:v>
                </c:pt>
                <c:pt idx="94">
                  <c:v>0</c:v>
                </c:pt>
                <c:pt idx="95">
                  <c:v>0</c:v>
                </c:pt>
                <c:pt idx="96">
                  <c:v>77892</c:v>
                </c:pt>
                <c:pt idx="97">
                  <c:v>0</c:v>
                </c:pt>
                <c:pt idx="98">
                  <c:v>88879</c:v>
                </c:pt>
                <c:pt idx="99">
                  <c:v>0</c:v>
                </c:pt>
                <c:pt idx="100">
                  <c:v>0</c:v>
                </c:pt>
                <c:pt idx="101">
                  <c:v>81163</c:v>
                </c:pt>
                <c:pt idx="102">
                  <c:v>0</c:v>
                </c:pt>
                <c:pt idx="103">
                  <c:v>0</c:v>
                </c:pt>
                <c:pt idx="104">
                  <c:v>79333</c:v>
                </c:pt>
                <c:pt idx="105">
                  <c:v>0</c:v>
                </c:pt>
                <c:pt idx="106">
                  <c:v>74847</c:v>
                </c:pt>
                <c:pt idx="107">
                  <c:v>0</c:v>
                </c:pt>
                <c:pt idx="108">
                  <c:v>0</c:v>
                </c:pt>
                <c:pt idx="109">
                  <c:v>60158</c:v>
                </c:pt>
                <c:pt idx="110">
                  <c:v>0</c:v>
                </c:pt>
                <c:pt idx="111">
                  <c:v>60850</c:v>
                </c:pt>
                <c:pt idx="112">
                  <c:v>0</c:v>
                </c:pt>
                <c:pt idx="113">
                  <c:v>0</c:v>
                </c:pt>
                <c:pt idx="114">
                  <c:v>55729</c:v>
                </c:pt>
                <c:pt idx="115">
                  <c:v>0</c:v>
                </c:pt>
                <c:pt idx="116">
                  <c:v>51894</c:v>
                </c:pt>
                <c:pt idx="117">
                  <c:v>0</c:v>
                </c:pt>
                <c:pt idx="118">
                  <c:v>0</c:v>
                </c:pt>
                <c:pt idx="119">
                  <c:v>51906</c:v>
                </c:pt>
                <c:pt idx="120">
                  <c:v>0</c:v>
                </c:pt>
                <c:pt idx="121">
                  <c:v>0</c:v>
                </c:pt>
                <c:pt idx="122">
                  <c:v>45859</c:v>
                </c:pt>
                <c:pt idx="123">
                  <c:v>0</c:v>
                </c:pt>
                <c:pt idx="124">
                  <c:v>45845</c:v>
                </c:pt>
                <c:pt idx="125">
                  <c:v>0</c:v>
                </c:pt>
                <c:pt idx="126">
                  <c:v>0</c:v>
                </c:pt>
                <c:pt idx="127">
                  <c:v>42606</c:v>
                </c:pt>
                <c:pt idx="128">
                  <c:v>0</c:v>
                </c:pt>
                <c:pt idx="129">
                  <c:v>35248</c:v>
                </c:pt>
                <c:pt idx="130">
                  <c:v>0</c:v>
                </c:pt>
                <c:pt idx="131">
                  <c:v>0</c:v>
                </c:pt>
                <c:pt idx="132">
                  <c:v>33528</c:v>
                </c:pt>
                <c:pt idx="133">
                  <c:v>0</c:v>
                </c:pt>
                <c:pt idx="134">
                  <c:v>28003</c:v>
                </c:pt>
                <c:pt idx="135">
                  <c:v>0</c:v>
                </c:pt>
                <c:pt idx="136">
                  <c:v>0</c:v>
                </c:pt>
                <c:pt idx="137">
                  <c:v>25022</c:v>
                </c:pt>
                <c:pt idx="138">
                  <c:v>0</c:v>
                </c:pt>
                <c:pt idx="139">
                  <c:v>0</c:v>
                </c:pt>
                <c:pt idx="140">
                  <c:v>20729</c:v>
                </c:pt>
                <c:pt idx="141">
                  <c:v>0</c:v>
                </c:pt>
                <c:pt idx="142">
                  <c:v>17483</c:v>
                </c:pt>
                <c:pt idx="143">
                  <c:v>0</c:v>
                </c:pt>
                <c:pt idx="144">
                  <c:v>0</c:v>
                </c:pt>
                <c:pt idx="145">
                  <c:v>15310</c:v>
                </c:pt>
                <c:pt idx="146">
                  <c:v>0</c:v>
                </c:pt>
                <c:pt idx="147">
                  <c:v>13707</c:v>
                </c:pt>
                <c:pt idx="148">
                  <c:v>0</c:v>
                </c:pt>
                <c:pt idx="149">
                  <c:v>0</c:v>
                </c:pt>
                <c:pt idx="150">
                  <c:v>7887</c:v>
                </c:pt>
                <c:pt idx="151">
                  <c:v>0</c:v>
                </c:pt>
                <c:pt idx="152">
                  <c:v>5574</c:v>
                </c:pt>
                <c:pt idx="153">
                  <c:v>0</c:v>
                </c:pt>
                <c:pt idx="154">
                  <c:v>0</c:v>
                </c:pt>
                <c:pt idx="155">
                  <c:v>3824</c:v>
                </c:pt>
                <c:pt idx="156">
                  <c:v>0</c:v>
                </c:pt>
                <c:pt idx="157">
                  <c:v>0</c:v>
                </c:pt>
                <c:pt idx="158">
                  <c:v>2366</c:v>
                </c:pt>
                <c:pt idx="159">
                  <c:v>0</c:v>
                </c:pt>
                <c:pt idx="160">
                  <c:v>1151</c:v>
                </c:pt>
                <c:pt idx="161">
                  <c:v>0</c:v>
                </c:pt>
                <c:pt idx="162">
                  <c:v>0</c:v>
                </c:pt>
                <c:pt idx="163">
                  <c:v>478</c:v>
                </c:pt>
                <c:pt idx="164">
                  <c:v>0</c:v>
                </c:pt>
                <c:pt idx="165">
                  <c:v>280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1784</c:v>
                </c:pt>
                <c:pt idx="7">
                  <c:v>0</c:v>
                </c:pt>
                <c:pt idx="8">
                  <c:v>3892</c:v>
                </c:pt>
                <c:pt idx="9">
                  <c:v>0</c:v>
                </c:pt>
                <c:pt idx="10">
                  <c:v>0</c:v>
                </c:pt>
                <c:pt idx="11">
                  <c:v>7355</c:v>
                </c:pt>
                <c:pt idx="12">
                  <c:v>0</c:v>
                </c:pt>
                <c:pt idx="13">
                  <c:v>11770</c:v>
                </c:pt>
                <c:pt idx="14">
                  <c:v>0</c:v>
                </c:pt>
                <c:pt idx="15">
                  <c:v>0</c:v>
                </c:pt>
                <c:pt idx="16">
                  <c:v>12400</c:v>
                </c:pt>
                <c:pt idx="17">
                  <c:v>0</c:v>
                </c:pt>
                <c:pt idx="18">
                  <c:v>0</c:v>
                </c:pt>
                <c:pt idx="19">
                  <c:v>17119</c:v>
                </c:pt>
                <c:pt idx="20">
                  <c:v>0</c:v>
                </c:pt>
                <c:pt idx="21">
                  <c:v>19235</c:v>
                </c:pt>
                <c:pt idx="22">
                  <c:v>0</c:v>
                </c:pt>
                <c:pt idx="23">
                  <c:v>0</c:v>
                </c:pt>
                <c:pt idx="24">
                  <c:v>19414</c:v>
                </c:pt>
                <c:pt idx="25">
                  <c:v>0</c:v>
                </c:pt>
                <c:pt idx="26">
                  <c:v>22221</c:v>
                </c:pt>
                <c:pt idx="27">
                  <c:v>0</c:v>
                </c:pt>
                <c:pt idx="28">
                  <c:v>0</c:v>
                </c:pt>
                <c:pt idx="29">
                  <c:v>25580</c:v>
                </c:pt>
                <c:pt idx="30">
                  <c:v>0</c:v>
                </c:pt>
                <c:pt idx="31">
                  <c:v>23780</c:v>
                </c:pt>
                <c:pt idx="32">
                  <c:v>0</c:v>
                </c:pt>
                <c:pt idx="33">
                  <c:v>0</c:v>
                </c:pt>
                <c:pt idx="34">
                  <c:v>27151</c:v>
                </c:pt>
                <c:pt idx="35">
                  <c:v>0</c:v>
                </c:pt>
                <c:pt idx="36">
                  <c:v>0</c:v>
                </c:pt>
                <c:pt idx="37">
                  <c:v>31019</c:v>
                </c:pt>
                <c:pt idx="38">
                  <c:v>0</c:v>
                </c:pt>
                <c:pt idx="39">
                  <c:v>31385</c:v>
                </c:pt>
                <c:pt idx="40">
                  <c:v>0</c:v>
                </c:pt>
                <c:pt idx="41">
                  <c:v>0</c:v>
                </c:pt>
                <c:pt idx="42">
                  <c:v>30404</c:v>
                </c:pt>
                <c:pt idx="43">
                  <c:v>0</c:v>
                </c:pt>
                <c:pt idx="44">
                  <c:v>33078</c:v>
                </c:pt>
                <c:pt idx="45">
                  <c:v>0</c:v>
                </c:pt>
                <c:pt idx="46">
                  <c:v>0</c:v>
                </c:pt>
                <c:pt idx="47">
                  <c:v>31468</c:v>
                </c:pt>
                <c:pt idx="48">
                  <c:v>0</c:v>
                </c:pt>
                <c:pt idx="49">
                  <c:v>37263</c:v>
                </c:pt>
                <c:pt idx="50">
                  <c:v>0</c:v>
                </c:pt>
                <c:pt idx="51">
                  <c:v>0</c:v>
                </c:pt>
                <c:pt idx="52">
                  <c:v>43571</c:v>
                </c:pt>
                <c:pt idx="53">
                  <c:v>0</c:v>
                </c:pt>
                <c:pt idx="54">
                  <c:v>0</c:v>
                </c:pt>
                <c:pt idx="55">
                  <c:v>42030</c:v>
                </c:pt>
                <c:pt idx="56">
                  <c:v>0</c:v>
                </c:pt>
                <c:pt idx="57">
                  <c:v>52295</c:v>
                </c:pt>
                <c:pt idx="58">
                  <c:v>0</c:v>
                </c:pt>
                <c:pt idx="59">
                  <c:v>0</c:v>
                </c:pt>
                <c:pt idx="60">
                  <c:v>57307</c:v>
                </c:pt>
                <c:pt idx="61">
                  <c:v>0</c:v>
                </c:pt>
                <c:pt idx="62">
                  <c:v>63482</c:v>
                </c:pt>
                <c:pt idx="63">
                  <c:v>0</c:v>
                </c:pt>
                <c:pt idx="64">
                  <c:v>0</c:v>
                </c:pt>
                <c:pt idx="65">
                  <c:v>70796</c:v>
                </c:pt>
                <c:pt idx="66">
                  <c:v>0</c:v>
                </c:pt>
                <c:pt idx="67">
                  <c:v>71923</c:v>
                </c:pt>
                <c:pt idx="68">
                  <c:v>0</c:v>
                </c:pt>
                <c:pt idx="69">
                  <c:v>0</c:v>
                </c:pt>
                <c:pt idx="70">
                  <c:v>77330</c:v>
                </c:pt>
                <c:pt idx="71">
                  <c:v>0</c:v>
                </c:pt>
                <c:pt idx="72">
                  <c:v>0</c:v>
                </c:pt>
                <c:pt idx="73">
                  <c:v>78118</c:v>
                </c:pt>
                <c:pt idx="74">
                  <c:v>0</c:v>
                </c:pt>
                <c:pt idx="75">
                  <c:v>78346</c:v>
                </c:pt>
                <c:pt idx="76">
                  <c:v>0</c:v>
                </c:pt>
                <c:pt idx="77">
                  <c:v>0</c:v>
                </c:pt>
                <c:pt idx="78">
                  <c:v>79346</c:v>
                </c:pt>
                <c:pt idx="79">
                  <c:v>0</c:v>
                </c:pt>
                <c:pt idx="80">
                  <c:v>77536</c:v>
                </c:pt>
                <c:pt idx="81">
                  <c:v>0</c:v>
                </c:pt>
                <c:pt idx="82">
                  <c:v>0</c:v>
                </c:pt>
                <c:pt idx="83">
                  <c:v>82873</c:v>
                </c:pt>
                <c:pt idx="84">
                  <c:v>0</c:v>
                </c:pt>
                <c:pt idx="85">
                  <c:v>0</c:v>
                </c:pt>
                <c:pt idx="86">
                  <c:v>81294</c:v>
                </c:pt>
                <c:pt idx="87">
                  <c:v>0</c:v>
                </c:pt>
                <c:pt idx="88">
                  <c:v>89490</c:v>
                </c:pt>
                <c:pt idx="89">
                  <c:v>0</c:v>
                </c:pt>
                <c:pt idx="90">
                  <c:v>0</c:v>
                </c:pt>
                <c:pt idx="91">
                  <c:v>87036</c:v>
                </c:pt>
                <c:pt idx="92">
                  <c:v>0</c:v>
                </c:pt>
                <c:pt idx="93">
                  <c:v>84485</c:v>
                </c:pt>
                <c:pt idx="94">
                  <c:v>0</c:v>
                </c:pt>
                <c:pt idx="95">
                  <c:v>0</c:v>
                </c:pt>
                <c:pt idx="96">
                  <c:v>78972</c:v>
                </c:pt>
                <c:pt idx="97">
                  <c:v>0</c:v>
                </c:pt>
                <c:pt idx="98">
                  <c:v>81145</c:v>
                </c:pt>
                <c:pt idx="99">
                  <c:v>0</c:v>
                </c:pt>
                <c:pt idx="100">
                  <c:v>0</c:v>
                </c:pt>
                <c:pt idx="101">
                  <c:v>78778</c:v>
                </c:pt>
                <c:pt idx="102">
                  <c:v>0</c:v>
                </c:pt>
                <c:pt idx="103">
                  <c:v>0</c:v>
                </c:pt>
                <c:pt idx="104">
                  <c:v>74677</c:v>
                </c:pt>
                <c:pt idx="105">
                  <c:v>0</c:v>
                </c:pt>
                <c:pt idx="106">
                  <c:v>71109</c:v>
                </c:pt>
                <c:pt idx="107">
                  <c:v>0</c:v>
                </c:pt>
                <c:pt idx="108">
                  <c:v>0</c:v>
                </c:pt>
                <c:pt idx="109">
                  <c:v>66332</c:v>
                </c:pt>
                <c:pt idx="110">
                  <c:v>0</c:v>
                </c:pt>
                <c:pt idx="111">
                  <c:v>62011</c:v>
                </c:pt>
                <c:pt idx="112">
                  <c:v>0</c:v>
                </c:pt>
                <c:pt idx="113">
                  <c:v>0</c:v>
                </c:pt>
                <c:pt idx="114">
                  <c:v>65446</c:v>
                </c:pt>
                <c:pt idx="115">
                  <c:v>0</c:v>
                </c:pt>
                <c:pt idx="116">
                  <c:v>56805</c:v>
                </c:pt>
                <c:pt idx="117">
                  <c:v>0</c:v>
                </c:pt>
                <c:pt idx="118">
                  <c:v>0</c:v>
                </c:pt>
                <c:pt idx="119">
                  <c:v>60977</c:v>
                </c:pt>
                <c:pt idx="120">
                  <c:v>0</c:v>
                </c:pt>
                <c:pt idx="121">
                  <c:v>0</c:v>
                </c:pt>
                <c:pt idx="122">
                  <c:v>53465</c:v>
                </c:pt>
                <c:pt idx="123">
                  <c:v>0</c:v>
                </c:pt>
                <c:pt idx="124">
                  <c:v>52128</c:v>
                </c:pt>
                <c:pt idx="125">
                  <c:v>0</c:v>
                </c:pt>
                <c:pt idx="126">
                  <c:v>0</c:v>
                </c:pt>
                <c:pt idx="127">
                  <c:v>53028</c:v>
                </c:pt>
                <c:pt idx="128">
                  <c:v>0</c:v>
                </c:pt>
                <c:pt idx="129">
                  <c:v>46629</c:v>
                </c:pt>
                <c:pt idx="130">
                  <c:v>0</c:v>
                </c:pt>
                <c:pt idx="131">
                  <c:v>0</c:v>
                </c:pt>
                <c:pt idx="132">
                  <c:v>45819</c:v>
                </c:pt>
                <c:pt idx="133">
                  <c:v>0</c:v>
                </c:pt>
                <c:pt idx="134">
                  <c:v>39688</c:v>
                </c:pt>
                <c:pt idx="135">
                  <c:v>0</c:v>
                </c:pt>
                <c:pt idx="136">
                  <c:v>0</c:v>
                </c:pt>
                <c:pt idx="137">
                  <c:v>36930</c:v>
                </c:pt>
                <c:pt idx="138">
                  <c:v>0</c:v>
                </c:pt>
                <c:pt idx="139">
                  <c:v>0</c:v>
                </c:pt>
                <c:pt idx="140">
                  <c:v>30182</c:v>
                </c:pt>
                <c:pt idx="141">
                  <c:v>0</c:v>
                </c:pt>
                <c:pt idx="142">
                  <c:v>26171</c:v>
                </c:pt>
                <c:pt idx="143">
                  <c:v>0</c:v>
                </c:pt>
                <c:pt idx="144">
                  <c:v>0</c:v>
                </c:pt>
                <c:pt idx="145">
                  <c:v>23405</c:v>
                </c:pt>
                <c:pt idx="146">
                  <c:v>0</c:v>
                </c:pt>
                <c:pt idx="147">
                  <c:v>23324</c:v>
                </c:pt>
                <c:pt idx="148">
                  <c:v>0</c:v>
                </c:pt>
                <c:pt idx="149">
                  <c:v>0</c:v>
                </c:pt>
                <c:pt idx="150">
                  <c:v>15969</c:v>
                </c:pt>
                <c:pt idx="151">
                  <c:v>0</c:v>
                </c:pt>
                <c:pt idx="152">
                  <c:v>13431</c:v>
                </c:pt>
                <c:pt idx="153">
                  <c:v>0</c:v>
                </c:pt>
                <c:pt idx="154">
                  <c:v>0</c:v>
                </c:pt>
                <c:pt idx="155">
                  <c:v>6555</c:v>
                </c:pt>
                <c:pt idx="156">
                  <c:v>0</c:v>
                </c:pt>
                <c:pt idx="157">
                  <c:v>0</c:v>
                </c:pt>
                <c:pt idx="158">
                  <c:v>3665</c:v>
                </c:pt>
                <c:pt idx="159">
                  <c:v>0</c:v>
                </c:pt>
                <c:pt idx="160">
                  <c:v>2305</c:v>
                </c:pt>
                <c:pt idx="161">
                  <c:v>0</c:v>
                </c:pt>
                <c:pt idx="162">
                  <c:v>0</c:v>
                </c:pt>
                <c:pt idx="163">
                  <c:v>1224</c:v>
                </c:pt>
                <c:pt idx="164">
                  <c:v>0</c:v>
                </c:pt>
                <c:pt idx="165">
                  <c:v>674</c:v>
                </c:pt>
                <c:pt idx="166">
                  <c:v>0</c:v>
                </c:pt>
                <c:pt idx="167">
                  <c:v>0</c:v>
                </c:pt>
                <c:pt idx="168">
                  <c:v>104</c:v>
                </c:pt>
                <c:pt idx="169">
                  <c:v>0</c:v>
                </c:pt>
                <c:pt idx="170">
                  <c:v>0</c:v>
                </c:pt>
                <c:pt idx="171">
                  <c:v>70</c:v>
                </c:pt>
                <c:pt idx="172">
                  <c:v>0</c:v>
                </c:pt>
                <c:pt idx="173">
                  <c:v>179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0.23019849652736493</c:v>
                </c:pt>
                <c:pt idx="1">
                  <c:v>0.28434865917120966</c:v>
                </c:pt>
                <c:pt idx="2">
                  <c:v>0.48545284430142543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0.48809893643248425</c:v>
                </c:pt>
                <c:pt idx="1">
                  <c:v>0.31278035794829001</c:v>
                </c:pt>
                <c:pt idx="2">
                  <c:v>0.19912070561922576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10.444324999999999</c:v>
                </c:pt>
                <c:pt idx="1">
                  <c:v>17.193950000000001</c:v>
                </c:pt>
                <c:pt idx="2">
                  <c:v>22.801549999999999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  <c:pt idx="74">
                  <c:v>30.046299999999999</c:v>
                </c:pt>
                <c:pt idx="75">
                  <c:v>30.621600000000001</c:v>
                </c:pt>
                <c:pt idx="76">
                  <c:v>30.997699999999998</c:v>
                </c:pt>
                <c:pt idx="77">
                  <c:v>31.374300000000002</c:v>
                </c:pt>
                <c:pt idx="78">
                  <c:v>31.749199999999998</c:v>
                </c:pt>
                <c:pt idx="79">
                  <c:v>32.1252</c:v>
                </c:pt>
                <c:pt idx="80">
                  <c:v>32.530299999999997</c:v>
                </c:pt>
                <c:pt idx="81">
                  <c:v>32.936799999999998</c:v>
                </c:pt>
                <c:pt idx="82">
                  <c:v>33.3461</c:v>
                </c:pt>
                <c:pt idx="83">
                  <c:v>33.749099999999999</c:v>
                </c:pt>
                <c:pt idx="84">
                  <c:v>34.158099999999997</c:v>
                </c:pt>
                <c:pt idx="85">
                  <c:v>34.564100000000003</c:v>
                </c:pt>
                <c:pt idx="86">
                  <c:v>34.968899999999998</c:v>
                </c:pt>
                <c:pt idx="87">
                  <c:v>35.374299999999998</c:v>
                </c:pt>
                <c:pt idx="88">
                  <c:v>35.782299999999999</c:v>
                </c:pt>
                <c:pt idx="89">
                  <c:v>36.1858</c:v>
                </c:pt>
                <c:pt idx="90">
                  <c:v>36.591799999999999</c:v>
                </c:pt>
                <c:pt idx="91">
                  <c:v>36.999899999999997</c:v>
                </c:pt>
                <c:pt idx="92">
                  <c:v>37.407800000000002</c:v>
                </c:pt>
                <c:pt idx="93">
                  <c:v>37.811599999999999</c:v>
                </c:pt>
                <c:pt idx="94">
                  <c:v>38.218899999999998</c:v>
                </c:pt>
                <c:pt idx="95">
                  <c:v>38.627200000000002</c:v>
                </c:pt>
                <c:pt idx="96">
                  <c:v>39.031500000000001</c:v>
                </c:pt>
                <c:pt idx="97">
                  <c:v>39.441200000000002</c:v>
                </c:pt>
                <c:pt idx="98">
                  <c:v>39.844900000000003</c:v>
                </c:pt>
                <c:pt idx="99">
                  <c:v>40.249299999999998</c:v>
                </c:pt>
                <c:pt idx="100">
                  <c:v>40.654299999999999</c:v>
                </c:pt>
                <c:pt idx="101">
                  <c:v>41.064</c:v>
                </c:pt>
                <c:pt idx="102">
                  <c:v>41.466799999999999</c:v>
                </c:pt>
                <c:pt idx="103">
                  <c:v>41.875900000000001</c:v>
                </c:pt>
                <c:pt idx="104">
                  <c:v>42.282299999999999</c:v>
                </c:pt>
                <c:pt idx="105">
                  <c:v>42.686900000000001</c:v>
                </c:pt>
                <c:pt idx="106">
                  <c:v>43.0976</c:v>
                </c:pt>
                <c:pt idx="107">
                  <c:v>43.5</c:v>
                </c:pt>
                <c:pt idx="108">
                  <c:v>43.9086</c:v>
                </c:pt>
                <c:pt idx="109">
                  <c:v>44.3125</c:v>
                </c:pt>
                <c:pt idx="110">
                  <c:v>44.7181</c:v>
                </c:pt>
                <c:pt idx="111">
                  <c:v>45.125300000000003</c:v>
                </c:pt>
                <c:pt idx="112">
                  <c:v>45.531500000000001</c:v>
                </c:pt>
                <c:pt idx="113">
                  <c:v>45.940399999999997</c:v>
                </c:pt>
                <c:pt idx="114">
                  <c:v>46.344999999999999</c:v>
                </c:pt>
                <c:pt idx="115">
                  <c:v>46.750700000000002</c:v>
                </c:pt>
                <c:pt idx="116">
                  <c:v>47.159300000000002</c:v>
                </c:pt>
                <c:pt idx="117">
                  <c:v>47.565600000000003</c:v>
                </c:pt>
                <c:pt idx="118">
                  <c:v>47.972700000000003</c:v>
                </c:pt>
                <c:pt idx="119">
                  <c:v>48.377499999999998</c:v>
                </c:pt>
                <c:pt idx="120">
                  <c:v>48.781199999999998</c:v>
                </c:pt>
                <c:pt idx="121">
                  <c:v>49.1873</c:v>
                </c:pt>
                <c:pt idx="122">
                  <c:v>49.593400000000003</c:v>
                </c:pt>
                <c:pt idx="123">
                  <c:v>50.001399999999997</c:v>
                </c:pt>
                <c:pt idx="124">
                  <c:v>50.406700000000001</c:v>
                </c:pt>
                <c:pt idx="125">
                  <c:v>50.811</c:v>
                </c:pt>
                <c:pt idx="126">
                  <c:v>51.216900000000003</c:v>
                </c:pt>
                <c:pt idx="127">
                  <c:v>51.627499999999998</c:v>
                </c:pt>
                <c:pt idx="128">
                  <c:v>52.033999999999999</c:v>
                </c:pt>
                <c:pt idx="129">
                  <c:v>52.439</c:v>
                </c:pt>
                <c:pt idx="130">
                  <c:v>52.843200000000003</c:v>
                </c:pt>
                <c:pt idx="131">
                  <c:v>53.252699999999997</c:v>
                </c:pt>
                <c:pt idx="132">
                  <c:v>53.657899999999998</c:v>
                </c:pt>
                <c:pt idx="133">
                  <c:v>54.064300000000003</c:v>
                </c:pt>
                <c:pt idx="134">
                  <c:v>54.47</c:v>
                </c:pt>
                <c:pt idx="135">
                  <c:v>54.875900000000001</c:v>
                </c:pt>
                <c:pt idx="136">
                  <c:v>55.281599999999997</c:v>
                </c:pt>
                <c:pt idx="137">
                  <c:v>55.690800000000003</c:v>
                </c:pt>
                <c:pt idx="138">
                  <c:v>56.095700000000001</c:v>
                </c:pt>
                <c:pt idx="139">
                  <c:v>56.503900000000002</c:v>
                </c:pt>
                <c:pt idx="140">
                  <c:v>56.906799999999997</c:v>
                </c:pt>
                <c:pt idx="141">
                  <c:v>57.313000000000002</c:v>
                </c:pt>
                <c:pt idx="142">
                  <c:v>57.717399999999998</c:v>
                </c:pt>
                <c:pt idx="143">
                  <c:v>58.124099999999999</c:v>
                </c:pt>
                <c:pt idx="144">
                  <c:v>58.5336</c:v>
                </c:pt>
                <c:pt idx="145">
                  <c:v>58.938299999999998</c:v>
                </c:pt>
                <c:pt idx="146">
                  <c:v>59.345799999999997</c:v>
                </c:pt>
                <c:pt idx="147">
                  <c:v>59.751800000000003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  <c:pt idx="74">
                  <c:v>3.8659500000000002</c:v>
                </c:pt>
                <c:pt idx="75">
                  <c:v>3.8065300000000004</c:v>
                </c:pt>
                <c:pt idx="76">
                  <c:v>3.7446700000000002</c:v>
                </c:pt>
                <c:pt idx="77">
                  <c:v>3.6802099999999998</c:v>
                </c:pt>
                <c:pt idx="78">
                  <c:v>3.6144400000000001</c:v>
                </c:pt>
                <c:pt idx="79">
                  <c:v>3.5474600000000001</c:v>
                </c:pt>
                <c:pt idx="80">
                  <c:v>3.4845799999999998</c:v>
                </c:pt>
                <c:pt idx="81">
                  <c:v>3.42144</c:v>
                </c:pt>
                <c:pt idx="82">
                  <c:v>3.3596199999999996</c:v>
                </c:pt>
                <c:pt idx="83">
                  <c:v>3.2971400000000002</c:v>
                </c:pt>
                <c:pt idx="84">
                  <c:v>3.2301400000000005</c:v>
                </c:pt>
                <c:pt idx="85">
                  <c:v>3.1621899999999998</c:v>
                </c:pt>
                <c:pt idx="86">
                  <c:v>3.09687</c:v>
                </c:pt>
                <c:pt idx="87">
                  <c:v>3.0359099999999999</c:v>
                </c:pt>
                <c:pt idx="88">
                  <c:v>2.9799500000000001</c:v>
                </c:pt>
                <c:pt idx="89">
                  <c:v>2.9289999999999998</c:v>
                </c:pt>
                <c:pt idx="90">
                  <c:v>2.8856900000000003</c:v>
                </c:pt>
                <c:pt idx="91">
                  <c:v>2.8474500000000003</c:v>
                </c:pt>
                <c:pt idx="92">
                  <c:v>2.8134799999999998</c:v>
                </c:pt>
                <c:pt idx="93">
                  <c:v>2.7858200000000002</c:v>
                </c:pt>
                <c:pt idx="94">
                  <c:v>2.7654200000000002</c:v>
                </c:pt>
                <c:pt idx="95">
                  <c:v>2.7510300000000001</c:v>
                </c:pt>
                <c:pt idx="96">
                  <c:v>2.7424500000000003</c:v>
                </c:pt>
                <c:pt idx="97">
                  <c:v>2.7395199999999997</c:v>
                </c:pt>
                <c:pt idx="98">
                  <c:v>2.7390300000000001</c:v>
                </c:pt>
                <c:pt idx="99">
                  <c:v>2.7423399999999996</c:v>
                </c:pt>
                <c:pt idx="100">
                  <c:v>2.7476699999999998</c:v>
                </c:pt>
                <c:pt idx="101">
                  <c:v>2.7589700000000001</c:v>
                </c:pt>
                <c:pt idx="102">
                  <c:v>2.7751799999999998</c:v>
                </c:pt>
                <c:pt idx="103">
                  <c:v>2.7988800000000005</c:v>
                </c:pt>
                <c:pt idx="104">
                  <c:v>2.82599</c:v>
                </c:pt>
                <c:pt idx="105">
                  <c:v>2.8528099999999998</c:v>
                </c:pt>
                <c:pt idx="106">
                  <c:v>2.8821300000000001</c:v>
                </c:pt>
                <c:pt idx="107">
                  <c:v>2.91595</c:v>
                </c:pt>
                <c:pt idx="108">
                  <c:v>2.9542700000000002</c:v>
                </c:pt>
                <c:pt idx="109">
                  <c:v>2.9915399999999996</c:v>
                </c:pt>
                <c:pt idx="110">
                  <c:v>3.0240899999999997</c:v>
                </c:pt>
                <c:pt idx="111">
                  <c:v>3.0558100000000001</c:v>
                </c:pt>
                <c:pt idx="112">
                  <c:v>3.08954</c:v>
                </c:pt>
                <c:pt idx="113">
                  <c:v>3.12649</c:v>
                </c:pt>
                <c:pt idx="114">
                  <c:v>3.1641599999999999</c:v>
                </c:pt>
                <c:pt idx="115">
                  <c:v>3.1983299999999999</c:v>
                </c:pt>
                <c:pt idx="116">
                  <c:v>3.2276199999999999</c:v>
                </c:pt>
                <c:pt idx="117">
                  <c:v>3.2546399999999998</c:v>
                </c:pt>
                <c:pt idx="118">
                  <c:v>3.2812299999999999</c:v>
                </c:pt>
                <c:pt idx="119">
                  <c:v>3.3060200000000002</c:v>
                </c:pt>
                <c:pt idx="120">
                  <c:v>3.33005</c:v>
                </c:pt>
                <c:pt idx="121">
                  <c:v>3.3534100000000002</c:v>
                </c:pt>
                <c:pt idx="122">
                  <c:v>3.3766400000000001</c:v>
                </c:pt>
                <c:pt idx="123">
                  <c:v>3.3994200000000001</c:v>
                </c:pt>
                <c:pt idx="124">
                  <c:v>3.4127000000000001</c:v>
                </c:pt>
                <c:pt idx="125">
                  <c:v>3.4274700000000005</c:v>
                </c:pt>
                <c:pt idx="126">
                  <c:v>3.4413899999999997</c:v>
                </c:pt>
                <c:pt idx="127">
                  <c:v>3.4558899999999997</c:v>
                </c:pt>
                <c:pt idx="128">
                  <c:v>3.4671000000000003</c:v>
                </c:pt>
                <c:pt idx="129">
                  <c:v>3.4744399999999995</c:v>
                </c:pt>
                <c:pt idx="130">
                  <c:v>3.4811999999999999</c:v>
                </c:pt>
                <c:pt idx="131">
                  <c:v>3.4893200000000002</c:v>
                </c:pt>
                <c:pt idx="132">
                  <c:v>3.49532</c:v>
                </c:pt>
                <c:pt idx="133">
                  <c:v>3.4990900000000003</c:v>
                </c:pt>
                <c:pt idx="134">
                  <c:v>3.50502</c:v>
                </c:pt>
                <c:pt idx="135">
                  <c:v>3.5162100000000001</c:v>
                </c:pt>
                <c:pt idx="136">
                  <c:v>3.52948</c:v>
                </c:pt>
                <c:pt idx="137">
                  <c:v>3.54183</c:v>
                </c:pt>
                <c:pt idx="138">
                  <c:v>3.5490300000000001</c:v>
                </c:pt>
                <c:pt idx="139">
                  <c:v>3.5460599999999998</c:v>
                </c:pt>
                <c:pt idx="140">
                  <c:v>3.5442600000000004</c:v>
                </c:pt>
                <c:pt idx="141">
                  <c:v>3.5445100000000003</c:v>
                </c:pt>
                <c:pt idx="142">
                  <c:v>3.5512500000000005</c:v>
                </c:pt>
                <c:pt idx="143">
                  <c:v>3.5620600000000002</c:v>
                </c:pt>
                <c:pt idx="144">
                  <c:v>3.5734599999999999</c:v>
                </c:pt>
                <c:pt idx="145">
                  <c:v>3.5896499999999998</c:v>
                </c:pt>
                <c:pt idx="146">
                  <c:v>3.6007400000000001</c:v>
                </c:pt>
                <c:pt idx="147">
                  <c:v>3.6117700000000004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29.641500000000001</c:v>
                </c:pt>
                <c:pt idx="1">
                  <c:v>30.046299999999999</c:v>
                </c:pt>
                <c:pt idx="2">
                  <c:v>30.621600000000001</c:v>
                </c:pt>
                <c:pt idx="3">
                  <c:v>30.997699999999998</c:v>
                </c:pt>
                <c:pt idx="4">
                  <c:v>31.374300000000002</c:v>
                </c:pt>
                <c:pt idx="5">
                  <c:v>31.749199999999998</c:v>
                </c:pt>
                <c:pt idx="6">
                  <c:v>32.1252</c:v>
                </c:pt>
                <c:pt idx="7">
                  <c:v>32.530299999999997</c:v>
                </c:pt>
                <c:pt idx="8">
                  <c:v>32.936799999999998</c:v>
                </c:pt>
                <c:pt idx="9">
                  <c:v>33.3461</c:v>
                </c:pt>
                <c:pt idx="10">
                  <c:v>33.749099999999999</c:v>
                </c:pt>
                <c:pt idx="11">
                  <c:v>34.158099999999997</c:v>
                </c:pt>
                <c:pt idx="12">
                  <c:v>34.564100000000003</c:v>
                </c:pt>
                <c:pt idx="13">
                  <c:v>34.968899999999998</c:v>
                </c:pt>
                <c:pt idx="14">
                  <c:v>35.374299999999998</c:v>
                </c:pt>
                <c:pt idx="15">
                  <c:v>35.782299999999999</c:v>
                </c:pt>
                <c:pt idx="16">
                  <c:v>36.1858</c:v>
                </c:pt>
                <c:pt idx="17">
                  <c:v>36.591799999999999</c:v>
                </c:pt>
                <c:pt idx="18">
                  <c:v>36.999899999999997</c:v>
                </c:pt>
                <c:pt idx="19">
                  <c:v>37.407800000000002</c:v>
                </c:pt>
                <c:pt idx="20">
                  <c:v>37.811599999999999</c:v>
                </c:pt>
                <c:pt idx="21">
                  <c:v>38.218899999999998</c:v>
                </c:pt>
                <c:pt idx="22">
                  <c:v>38.627200000000002</c:v>
                </c:pt>
                <c:pt idx="23">
                  <c:v>39.031500000000001</c:v>
                </c:pt>
                <c:pt idx="24">
                  <c:v>39.441200000000002</c:v>
                </c:pt>
                <c:pt idx="25">
                  <c:v>39.844900000000003</c:v>
                </c:pt>
                <c:pt idx="26">
                  <c:v>40.249299999999998</c:v>
                </c:pt>
                <c:pt idx="27">
                  <c:v>40.654299999999999</c:v>
                </c:pt>
                <c:pt idx="28">
                  <c:v>41.064</c:v>
                </c:pt>
                <c:pt idx="29">
                  <c:v>41.466799999999999</c:v>
                </c:pt>
                <c:pt idx="30">
                  <c:v>41.875900000000001</c:v>
                </c:pt>
                <c:pt idx="31">
                  <c:v>42.282299999999999</c:v>
                </c:pt>
                <c:pt idx="32">
                  <c:v>42.686900000000001</c:v>
                </c:pt>
                <c:pt idx="33">
                  <c:v>43.0976</c:v>
                </c:pt>
                <c:pt idx="34">
                  <c:v>43.5</c:v>
                </c:pt>
                <c:pt idx="35">
                  <c:v>43.9086</c:v>
                </c:pt>
                <c:pt idx="36">
                  <c:v>44.3125</c:v>
                </c:pt>
                <c:pt idx="37">
                  <c:v>44.7181</c:v>
                </c:pt>
                <c:pt idx="38">
                  <c:v>45.125300000000003</c:v>
                </c:pt>
                <c:pt idx="39">
                  <c:v>45.531500000000001</c:v>
                </c:pt>
                <c:pt idx="40">
                  <c:v>45.940399999999997</c:v>
                </c:pt>
                <c:pt idx="41">
                  <c:v>46.344999999999999</c:v>
                </c:pt>
                <c:pt idx="42">
                  <c:v>46.750700000000002</c:v>
                </c:pt>
                <c:pt idx="43">
                  <c:v>47.159300000000002</c:v>
                </c:pt>
                <c:pt idx="44">
                  <c:v>47.565600000000003</c:v>
                </c:pt>
                <c:pt idx="45">
                  <c:v>47.972700000000003</c:v>
                </c:pt>
                <c:pt idx="46">
                  <c:v>48.377499999999998</c:v>
                </c:pt>
                <c:pt idx="47">
                  <c:v>48.781199999999998</c:v>
                </c:pt>
                <c:pt idx="48">
                  <c:v>49.1873</c:v>
                </c:pt>
                <c:pt idx="49">
                  <c:v>49.593400000000003</c:v>
                </c:pt>
                <c:pt idx="50">
                  <c:v>50.001399999999997</c:v>
                </c:pt>
                <c:pt idx="51">
                  <c:v>50.406700000000001</c:v>
                </c:pt>
                <c:pt idx="52">
                  <c:v>50.811</c:v>
                </c:pt>
                <c:pt idx="53">
                  <c:v>51.216900000000003</c:v>
                </c:pt>
                <c:pt idx="54">
                  <c:v>51.627499999999998</c:v>
                </c:pt>
                <c:pt idx="55">
                  <c:v>52.033999999999999</c:v>
                </c:pt>
                <c:pt idx="56">
                  <c:v>52.439</c:v>
                </c:pt>
                <c:pt idx="57">
                  <c:v>52.843200000000003</c:v>
                </c:pt>
                <c:pt idx="58">
                  <c:v>53.252699999999997</c:v>
                </c:pt>
                <c:pt idx="59">
                  <c:v>53.657899999999998</c:v>
                </c:pt>
                <c:pt idx="60">
                  <c:v>54.064300000000003</c:v>
                </c:pt>
                <c:pt idx="61">
                  <c:v>54.47</c:v>
                </c:pt>
                <c:pt idx="62">
                  <c:v>54.875900000000001</c:v>
                </c:pt>
                <c:pt idx="63">
                  <c:v>55.281599999999997</c:v>
                </c:pt>
                <c:pt idx="64">
                  <c:v>55.690800000000003</c:v>
                </c:pt>
                <c:pt idx="65">
                  <c:v>56.095700000000001</c:v>
                </c:pt>
                <c:pt idx="66">
                  <c:v>56.503900000000002</c:v>
                </c:pt>
                <c:pt idx="67">
                  <c:v>56.906799999999997</c:v>
                </c:pt>
                <c:pt idx="68">
                  <c:v>57.313000000000002</c:v>
                </c:pt>
                <c:pt idx="69">
                  <c:v>57.717399999999998</c:v>
                </c:pt>
                <c:pt idx="70">
                  <c:v>58.124099999999999</c:v>
                </c:pt>
                <c:pt idx="71">
                  <c:v>58.5336</c:v>
                </c:pt>
                <c:pt idx="72">
                  <c:v>58.938299999999998</c:v>
                </c:pt>
                <c:pt idx="73">
                  <c:v>59.345799999999997</c:v>
                </c:pt>
                <c:pt idx="74">
                  <c:v>59.751800000000003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3.9357599999999997</c:v>
                </c:pt>
                <c:pt idx="1">
                  <c:v>3.8659500000000002</c:v>
                </c:pt>
                <c:pt idx="2">
                  <c:v>3.8065300000000004</c:v>
                </c:pt>
                <c:pt idx="3">
                  <c:v>3.7446700000000002</c:v>
                </c:pt>
                <c:pt idx="4">
                  <c:v>3.6802099999999998</c:v>
                </c:pt>
                <c:pt idx="5">
                  <c:v>3.6144400000000001</c:v>
                </c:pt>
                <c:pt idx="6">
                  <c:v>3.5474600000000001</c:v>
                </c:pt>
                <c:pt idx="7">
                  <c:v>3.4845799999999998</c:v>
                </c:pt>
                <c:pt idx="8">
                  <c:v>3.42144</c:v>
                </c:pt>
                <c:pt idx="9">
                  <c:v>3.3596199999999996</c:v>
                </c:pt>
                <c:pt idx="10">
                  <c:v>3.2971400000000002</c:v>
                </c:pt>
                <c:pt idx="11">
                  <c:v>3.2301400000000005</c:v>
                </c:pt>
                <c:pt idx="12">
                  <c:v>3.1621899999999998</c:v>
                </c:pt>
                <c:pt idx="13">
                  <c:v>3.09687</c:v>
                </c:pt>
                <c:pt idx="14">
                  <c:v>3.0359099999999999</c:v>
                </c:pt>
                <c:pt idx="15">
                  <c:v>2.9799500000000001</c:v>
                </c:pt>
                <c:pt idx="16">
                  <c:v>2.9289999999999998</c:v>
                </c:pt>
                <c:pt idx="17">
                  <c:v>2.8856900000000003</c:v>
                </c:pt>
                <c:pt idx="18">
                  <c:v>2.8474500000000003</c:v>
                </c:pt>
                <c:pt idx="19">
                  <c:v>2.8134799999999998</c:v>
                </c:pt>
                <c:pt idx="20">
                  <c:v>2.7858200000000002</c:v>
                </c:pt>
                <c:pt idx="21">
                  <c:v>2.7654200000000002</c:v>
                </c:pt>
                <c:pt idx="22">
                  <c:v>2.7510300000000001</c:v>
                </c:pt>
                <c:pt idx="23">
                  <c:v>2.7424500000000003</c:v>
                </c:pt>
                <c:pt idx="24">
                  <c:v>2.7395199999999997</c:v>
                </c:pt>
                <c:pt idx="25">
                  <c:v>2.7390300000000001</c:v>
                </c:pt>
                <c:pt idx="26">
                  <c:v>2.7423399999999996</c:v>
                </c:pt>
                <c:pt idx="27">
                  <c:v>2.7476699999999998</c:v>
                </c:pt>
                <c:pt idx="28">
                  <c:v>2.7589700000000001</c:v>
                </c:pt>
                <c:pt idx="29">
                  <c:v>2.7751799999999998</c:v>
                </c:pt>
                <c:pt idx="30">
                  <c:v>2.7988800000000005</c:v>
                </c:pt>
                <c:pt idx="31">
                  <c:v>2.82599</c:v>
                </c:pt>
                <c:pt idx="32">
                  <c:v>2.8528099999999998</c:v>
                </c:pt>
                <c:pt idx="33">
                  <c:v>2.8821300000000001</c:v>
                </c:pt>
                <c:pt idx="34">
                  <c:v>2.91595</c:v>
                </c:pt>
                <c:pt idx="35">
                  <c:v>2.9542700000000002</c:v>
                </c:pt>
                <c:pt idx="36">
                  <c:v>2.9915399999999996</c:v>
                </c:pt>
                <c:pt idx="37">
                  <c:v>3.0240899999999997</c:v>
                </c:pt>
                <c:pt idx="38">
                  <c:v>3.0558100000000001</c:v>
                </c:pt>
                <c:pt idx="39">
                  <c:v>3.08954</c:v>
                </c:pt>
                <c:pt idx="40">
                  <c:v>3.12649</c:v>
                </c:pt>
                <c:pt idx="41">
                  <c:v>3.1641599999999999</c:v>
                </c:pt>
                <c:pt idx="42">
                  <c:v>3.1983299999999999</c:v>
                </c:pt>
                <c:pt idx="43">
                  <c:v>3.2276199999999999</c:v>
                </c:pt>
                <c:pt idx="44">
                  <c:v>3.2546399999999998</c:v>
                </c:pt>
                <c:pt idx="45">
                  <c:v>3.2812299999999999</c:v>
                </c:pt>
                <c:pt idx="46">
                  <c:v>3.3060200000000002</c:v>
                </c:pt>
                <c:pt idx="47">
                  <c:v>3.33005</c:v>
                </c:pt>
                <c:pt idx="48">
                  <c:v>3.3534100000000002</c:v>
                </c:pt>
                <c:pt idx="49">
                  <c:v>3.3766400000000001</c:v>
                </c:pt>
                <c:pt idx="50">
                  <c:v>3.3994200000000001</c:v>
                </c:pt>
                <c:pt idx="51">
                  <c:v>3.4127000000000001</c:v>
                </c:pt>
                <c:pt idx="52">
                  <c:v>3.4274700000000005</c:v>
                </c:pt>
                <c:pt idx="53">
                  <c:v>3.4413899999999997</c:v>
                </c:pt>
                <c:pt idx="54">
                  <c:v>3.4558899999999997</c:v>
                </c:pt>
                <c:pt idx="55">
                  <c:v>3.4671000000000003</c:v>
                </c:pt>
                <c:pt idx="56">
                  <c:v>3.4744399999999995</c:v>
                </c:pt>
                <c:pt idx="57">
                  <c:v>3.4811999999999999</c:v>
                </c:pt>
                <c:pt idx="58">
                  <c:v>3.4893200000000002</c:v>
                </c:pt>
                <c:pt idx="59">
                  <c:v>3.49532</c:v>
                </c:pt>
                <c:pt idx="60">
                  <c:v>3.4990900000000003</c:v>
                </c:pt>
                <c:pt idx="61">
                  <c:v>3.50502</c:v>
                </c:pt>
                <c:pt idx="62">
                  <c:v>3.5162100000000001</c:v>
                </c:pt>
                <c:pt idx="63">
                  <c:v>3.52948</c:v>
                </c:pt>
                <c:pt idx="64">
                  <c:v>3.54183</c:v>
                </c:pt>
                <c:pt idx="65">
                  <c:v>3.5490300000000001</c:v>
                </c:pt>
                <c:pt idx="66">
                  <c:v>3.5460599999999998</c:v>
                </c:pt>
                <c:pt idx="67">
                  <c:v>3.5442600000000004</c:v>
                </c:pt>
                <c:pt idx="68">
                  <c:v>3.5445100000000003</c:v>
                </c:pt>
                <c:pt idx="69">
                  <c:v>3.5512500000000005</c:v>
                </c:pt>
                <c:pt idx="70">
                  <c:v>3.5620600000000002</c:v>
                </c:pt>
                <c:pt idx="71">
                  <c:v>3.5734599999999999</c:v>
                </c:pt>
                <c:pt idx="72">
                  <c:v>3.5896499999999998</c:v>
                </c:pt>
                <c:pt idx="73">
                  <c:v>3.6007400000000001</c:v>
                </c:pt>
                <c:pt idx="74">
                  <c:v>3.6117700000000004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14.937950000000001</c:v>
                </c:pt>
                <c:pt idx="1">
                  <c:v>44.813850000000002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3.4761341891891888</c:v>
                </c:pt>
                <c:pt idx="1">
                  <c:v>3.2455191891891912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  <c:pt idx="74">
                  <c:v>30.046299999999999</c:v>
                </c:pt>
                <c:pt idx="75">
                  <c:v>30.621600000000001</c:v>
                </c:pt>
                <c:pt idx="76">
                  <c:v>30.997699999999998</c:v>
                </c:pt>
                <c:pt idx="77">
                  <c:v>31.374300000000002</c:v>
                </c:pt>
                <c:pt idx="78">
                  <c:v>31.749199999999998</c:v>
                </c:pt>
                <c:pt idx="79">
                  <c:v>32.1252</c:v>
                </c:pt>
                <c:pt idx="80">
                  <c:v>32.530299999999997</c:v>
                </c:pt>
                <c:pt idx="81">
                  <c:v>32.936799999999998</c:v>
                </c:pt>
                <c:pt idx="82">
                  <c:v>33.3461</c:v>
                </c:pt>
                <c:pt idx="83">
                  <c:v>33.749099999999999</c:v>
                </c:pt>
                <c:pt idx="84">
                  <c:v>34.158099999999997</c:v>
                </c:pt>
                <c:pt idx="85">
                  <c:v>34.564100000000003</c:v>
                </c:pt>
                <c:pt idx="86">
                  <c:v>34.968899999999998</c:v>
                </c:pt>
                <c:pt idx="87">
                  <c:v>35.374299999999998</c:v>
                </c:pt>
                <c:pt idx="88">
                  <c:v>35.782299999999999</c:v>
                </c:pt>
                <c:pt idx="89">
                  <c:v>36.1858</c:v>
                </c:pt>
                <c:pt idx="90">
                  <c:v>36.591799999999999</c:v>
                </c:pt>
                <c:pt idx="91">
                  <c:v>36.999899999999997</c:v>
                </c:pt>
                <c:pt idx="92">
                  <c:v>37.407800000000002</c:v>
                </c:pt>
                <c:pt idx="93">
                  <c:v>37.811599999999999</c:v>
                </c:pt>
                <c:pt idx="94">
                  <c:v>38.218899999999998</c:v>
                </c:pt>
                <c:pt idx="95">
                  <c:v>38.627200000000002</c:v>
                </c:pt>
                <c:pt idx="96">
                  <c:v>39.031500000000001</c:v>
                </c:pt>
                <c:pt idx="97">
                  <c:v>39.441200000000002</c:v>
                </c:pt>
                <c:pt idx="98">
                  <c:v>39.844900000000003</c:v>
                </c:pt>
                <c:pt idx="99">
                  <c:v>40.249299999999998</c:v>
                </c:pt>
                <c:pt idx="100">
                  <c:v>40.654299999999999</c:v>
                </c:pt>
                <c:pt idx="101">
                  <c:v>41.064</c:v>
                </c:pt>
                <c:pt idx="102">
                  <c:v>41.466799999999999</c:v>
                </c:pt>
                <c:pt idx="103">
                  <c:v>41.875900000000001</c:v>
                </c:pt>
                <c:pt idx="104">
                  <c:v>42.282299999999999</c:v>
                </c:pt>
                <c:pt idx="105">
                  <c:v>42.686900000000001</c:v>
                </c:pt>
                <c:pt idx="106">
                  <c:v>43.0976</c:v>
                </c:pt>
                <c:pt idx="107">
                  <c:v>43.5</c:v>
                </c:pt>
                <c:pt idx="108">
                  <c:v>43.9086</c:v>
                </c:pt>
                <c:pt idx="109">
                  <c:v>44.3125</c:v>
                </c:pt>
                <c:pt idx="110">
                  <c:v>44.7181</c:v>
                </c:pt>
                <c:pt idx="111">
                  <c:v>45.125300000000003</c:v>
                </c:pt>
                <c:pt idx="112">
                  <c:v>45.531500000000001</c:v>
                </c:pt>
                <c:pt idx="113">
                  <c:v>45.940399999999997</c:v>
                </c:pt>
                <c:pt idx="114">
                  <c:v>46.344999999999999</c:v>
                </c:pt>
                <c:pt idx="115">
                  <c:v>46.750700000000002</c:v>
                </c:pt>
                <c:pt idx="116">
                  <c:v>47.159300000000002</c:v>
                </c:pt>
                <c:pt idx="117">
                  <c:v>47.565600000000003</c:v>
                </c:pt>
                <c:pt idx="118">
                  <c:v>47.972700000000003</c:v>
                </c:pt>
                <c:pt idx="119">
                  <c:v>48.377499999999998</c:v>
                </c:pt>
                <c:pt idx="120">
                  <c:v>48.781199999999998</c:v>
                </c:pt>
                <c:pt idx="121">
                  <c:v>49.1873</c:v>
                </c:pt>
                <c:pt idx="122">
                  <c:v>49.593400000000003</c:v>
                </c:pt>
                <c:pt idx="123">
                  <c:v>50.001399999999997</c:v>
                </c:pt>
                <c:pt idx="124">
                  <c:v>50.406700000000001</c:v>
                </c:pt>
                <c:pt idx="125">
                  <c:v>50.811</c:v>
                </c:pt>
                <c:pt idx="126">
                  <c:v>51.216900000000003</c:v>
                </c:pt>
                <c:pt idx="127">
                  <c:v>51.627499999999998</c:v>
                </c:pt>
                <c:pt idx="128">
                  <c:v>52.033999999999999</c:v>
                </c:pt>
                <c:pt idx="129">
                  <c:v>52.439</c:v>
                </c:pt>
                <c:pt idx="130">
                  <c:v>52.843200000000003</c:v>
                </c:pt>
                <c:pt idx="131">
                  <c:v>53.252699999999997</c:v>
                </c:pt>
                <c:pt idx="132">
                  <c:v>53.657899999999998</c:v>
                </c:pt>
                <c:pt idx="133">
                  <c:v>54.064300000000003</c:v>
                </c:pt>
                <c:pt idx="134">
                  <c:v>54.47</c:v>
                </c:pt>
                <c:pt idx="135">
                  <c:v>54.875900000000001</c:v>
                </c:pt>
                <c:pt idx="136">
                  <c:v>55.281599999999997</c:v>
                </c:pt>
                <c:pt idx="137">
                  <c:v>55.690800000000003</c:v>
                </c:pt>
                <c:pt idx="138">
                  <c:v>56.095700000000001</c:v>
                </c:pt>
                <c:pt idx="139">
                  <c:v>56.503900000000002</c:v>
                </c:pt>
                <c:pt idx="140">
                  <c:v>56.906799999999997</c:v>
                </c:pt>
                <c:pt idx="141">
                  <c:v>57.313000000000002</c:v>
                </c:pt>
                <c:pt idx="142">
                  <c:v>57.717399999999998</c:v>
                </c:pt>
                <c:pt idx="143">
                  <c:v>58.124099999999999</c:v>
                </c:pt>
                <c:pt idx="144">
                  <c:v>58.5336</c:v>
                </c:pt>
                <c:pt idx="145">
                  <c:v>58.938299999999998</c:v>
                </c:pt>
                <c:pt idx="146">
                  <c:v>59.345799999999997</c:v>
                </c:pt>
                <c:pt idx="147">
                  <c:v>59.751800000000003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  <c:pt idx="74">
                  <c:v>36.8857</c:v>
                </c:pt>
                <c:pt idx="75">
                  <c:v>37.0336</c:v>
                </c:pt>
                <c:pt idx="76">
                  <c:v>37.26</c:v>
                </c:pt>
                <c:pt idx="77">
                  <c:v>37.569699999999997</c:v>
                </c:pt>
                <c:pt idx="78">
                  <c:v>37.932000000000002</c:v>
                </c:pt>
                <c:pt idx="79">
                  <c:v>38.379200000000004</c:v>
                </c:pt>
                <c:pt idx="80">
                  <c:v>38.812799999999996</c:v>
                </c:pt>
                <c:pt idx="81">
                  <c:v>39.174599999999998</c:v>
                </c:pt>
                <c:pt idx="82">
                  <c:v>39.379300000000001</c:v>
                </c:pt>
                <c:pt idx="83">
                  <c:v>39.513399999999997</c:v>
                </c:pt>
                <c:pt idx="84">
                  <c:v>39.861799999999995</c:v>
                </c:pt>
                <c:pt idx="85">
                  <c:v>40.528799999999997</c:v>
                </c:pt>
                <c:pt idx="86">
                  <c:v>41.369699999999995</c:v>
                </c:pt>
                <c:pt idx="87">
                  <c:v>42.119500000000002</c:v>
                </c:pt>
                <c:pt idx="88">
                  <c:v>42.737900000000003</c:v>
                </c:pt>
                <c:pt idx="89">
                  <c:v>43.470399999999998</c:v>
                </c:pt>
                <c:pt idx="90">
                  <c:v>44.088799999999999</c:v>
                </c:pt>
                <c:pt idx="91">
                  <c:v>44.730699999999999</c:v>
                </c:pt>
                <c:pt idx="92">
                  <c:v>45.305900000000001</c:v>
                </c:pt>
                <c:pt idx="93">
                  <c:v>45.728900000000003</c:v>
                </c:pt>
                <c:pt idx="94">
                  <c:v>45.997399999999999</c:v>
                </c:pt>
                <c:pt idx="95">
                  <c:v>46.141300000000001</c:v>
                </c:pt>
                <c:pt idx="96">
                  <c:v>46.168599999999998</c:v>
                </c:pt>
                <c:pt idx="97">
                  <c:v>46.072800000000001</c:v>
                </c:pt>
                <c:pt idx="98">
                  <c:v>45.9998</c:v>
                </c:pt>
                <c:pt idx="99">
                  <c:v>45.904800000000002</c:v>
                </c:pt>
                <c:pt idx="100">
                  <c:v>45.812199999999997</c:v>
                </c:pt>
                <c:pt idx="101">
                  <c:v>45.638300000000001</c:v>
                </c:pt>
                <c:pt idx="102">
                  <c:v>45.386600000000001</c:v>
                </c:pt>
                <c:pt idx="103">
                  <c:v>45.072699999999998</c:v>
                </c:pt>
                <c:pt idx="104">
                  <c:v>44.712699999999998</c:v>
                </c:pt>
                <c:pt idx="105">
                  <c:v>44.371300000000005</c:v>
                </c:pt>
                <c:pt idx="106">
                  <c:v>44.110799999999998</c:v>
                </c:pt>
                <c:pt idx="107">
                  <c:v>43.853900000000003</c:v>
                </c:pt>
                <c:pt idx="108">
                  <c:v>43.6432</c:v>
                </c:pt>
                <c:pt idx="109">
                  <c:v>43.57</c:v>
                </c:pt>
                <c:pt idx="110">
                  <c:v>43.609700000000004</c:v>
                </c:pt>
                <c:pt idx="111">
                  <c:v>43.687599999999996</c:v>
                </c:pt>
                <c:pt idx="112">
                  <c:v>43.796300000000002</c:v>
                </c:pt>
                <c:pt idx="113">
                  <c:v>43.878299999999996</c:v>
                </c:pt>
                <c:pt idx="114">
                  <c:v>43.804700000000004</c:v>
                </c:pt>
                <c:pt idx="115">
                  <c:v>43.757899999999999</c:v>
                </c:pt>
                <c:pt idx="116">
                  <c:v>43.680500000000002</c:v>
                </c:pt>
                <c:pt idx="117">
                  <c:v>43.648399999999995</c:v>
                </c:pt>
                <c:pt idx="118">
                  <c:v>43.623600000000003</c:v>
                </c:pt>
                <c:pt idx="119">
                  <c:v>43.610700000000001</c:v>
                </c:pt>
                <c:pt idx="120">
                  <c:v>43.636499999999998</c:v>
                </c:pt>
                <c:pt idx="121">
                  <c:v>43.613700000000001</c:v>
                </c:pt>
                <c:pt idx="122">
                  <c:v>43.540900000000001</c:v>
                </c:pt>
                <c:pt idx="123">
                  <c:v>43.3996</c:v>
                </c:pt>
                <c:pt idx="124">
                  <c:v>43.372399999999999</c:v>
                </c:pt>
                <c:pt idx="125">
                  <c:v>43.343399999999995</c:v>
                </c:pt>
                <c:pt idx="126">
                  <c:v>43.307200000000002</c:v>
                </c:pt>
                <c:pt idx="127">
                  <c:v>43.285699999999999</c:v>
                </c:pt>
                <c:pt idx="128">
                  <c:v>43.237900000000003</c:v>
                </c:pt>
                <c:pt idx="129">
                  <c:v>43.161100000000005</c:v>
                </c:pt>
                <c:pt idx="130">
                  <c:v>43.067299999999996</c:v>
                </c:pt>
                <c:pt idx="131">
                  <c:v>42.964999999999996</c:v>
                </c:pt>
                <c:pt idx="132">
                  <c:v>42.888399999999997</c:v>
                </c:pt>
                <c:pt idx="133">
                  <c:v>42.854399999999998</c:v>
                </c:pt>
                <c:pt idx="134">
                  <c:v>42.787700000000001</c:v>
                </c:pt>
                <c:pt idx="135">
                  <c:v>42.674599999999998</c:v>
                </c:pt>
                <c:pt idx="136">
                  <c:v>42.558500000000002</c:v>
                </c:pt>
                <c:pt idx="137">
                  <c:v>42.426099999999998</c:v>
                </c:pt>
                <c:pt idx="138">
                  <c:v>42.286000000000001</c:v>
                </c:pt>
                <c:pt idx="139">
                  <c:v>42.207499999999996</c:v>
                </c:pt>
                <c:pt idx="140">
                  <c:v>42.125500000000002</c:v>
                </c:pt>
                <c:pt idx="141">
                  <c:v>42.0655</c:v>
                </c:pt>
                <c:pt idx="142">
                  <c:v>41.998600000000003</c:v>
                </c:pt>
                <c:pt idx="143">
                  <c:v>42.0291</c:v>
                </c:pt>
                <c:pt idx="144">
                  <c:v>41.951899999999995</c:v>
                </c:pt>
                <c:pt idx="145">
                  <c:v>41.6402</c:v>
                </c:pt>
                <c:pt idx="146">
                  <c:v>41.324100000000001</c:v>
                </c:pt>
                <c:pt idx="147">
                  <c:v>41.174300000000002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0.39138499999999998</c:v>
                </c:pt>
                <c:pt idx="2">
                  <c:v>0.79871099999999995</c:v>
                </c:pt>
                <c:pt idx="3">
                  <c:v>1.2049300000000001</c:v>
                </c:pt>
                <c:pt idx="4">
                  <c:v>1.6085700000000001</c:v>
                </c:pt>
                <c:pt idx="5">
                  <c:v>2.0176699999999999</c:v>
                </c:pt>
                <c:pt idx="6">
                  <c:v>2.4216500000000001</c:v>
                </c:pt>
                <c:pt idx="7">
                  <c:v>2.8283</c:v>
                </c:pt>
                <c:pt idx="8">
                  <c:v>3.2353800000000001</c:v>
                </c:pt>
                <c:pt idx="9">
                  <c:v>3.6423199999999998</c:v>
                </c:pt>
                <c:pt idx="10">
                  <c:v>4.0453400000000004</c:v>
                </c:pt>
                <c:pt idx="11">
                  <c:v>4.4539900000000001</c:v>
                </c:pt>
                <c:pt idx="12">
                  <c:v>4.8605799999999997</c:v>
                </c:pt>
                <c:pt idx="13">
                  <c:v>5.2697700000000003</c:v>
                </c:pt>
                <c:pt idx="14">
                  <c:v>5.6740599999999999</c:v>
                </c:pt>
                <c:pt idx="15">
                  <c:v>6.0794199999999998</c:v>
                </c:pt>
                <c:pt idx="16">
                  <c:v>6.4834300000000002</c:v>
                </c:pt>
                <c:pt idx="17">
                  <c:v>6.8910499999999999</c:v>
                </c:pt>
                <c:pt idx="18">
                  <c:v>7.2992900000000001</c:v>
                </c:pt>
                <c:pt idx="19">
                  <c:v>7.7049899999999996</c:v>
                </c:pt>
                <c:pt idx="20">
                  <c:v>8.1088199999999997</c:v>
                </c:pt>
                <c:pt idx="21">
                  <c:v>8.5141899999999993</c:v>
                </c:pt>
                <c:pt idx="22">
                  <c:v>8.9240399999999998</c:v>
                </c:pt>
                <c:pt idx="23">
                  <c:v>9.3315199999999994</c:v>
                </c:pt>
                <c:pt idx="24">
                  <c:v>9.7341899999999999</c:v>
                </c:pt>
                <c:pt idx="25">
                  <c:v>10.1416</c:v>
                </c:pt>
                <c:pt idx="26">
                  <c:v>10.5467</c:v>
                </c:pt>
                <c:pt idx="27">
                  <c:v>10.953900000000001</c:v>
                </c:pt>
                <c:pt idx="28">
                  <c:v>11.360099999999999</c:v>
                </c:pt>
                <c:pt idx="29">
                  <c:v>11.7668</c:v>
                </c:pt>
                <c:pt idx="30">
                  <c:v>12.1701</c:v>
                </c:pt>
                <c:pt idx="31">
                  <c:v>12.577999999999999</c:v>
                </c:pt>
                <c:pt idx="32">
                  <c:v>12.985799999999999</c:v>
                </c:pt>
                <c:pt idx="33">
                  <c:v>13.3909</c:v>
                </c:pt>
                <c:pt idx="34">
                  <c:v>13.795999999999999</c:v>
                </c:pt>
                <c:pt idx="35">
                  <c:v>14.206</c:v>
                </c:pt>
                <c:pt idx="36">
                  <c:v>14.6137</c:v>
                </c:pt>
                <c:pt idx="37">
                  <c:v>15.017899999999999</c:v>
                </c:pt>
                <c:pt idx="38">
                  <c:v>15.4217</c:v>
                </c:pt>
                <c:pt idx="39">
                  <c:v>15.827500000000001</c:v>
                </c:pt>
                <c:pt idx="40">
                  <c:v>16.233599999999999</c:v>
                </c:pt>
                <c:pt idx="41">
                  <c:v>16.642499999999998</c:v>
                </c:pt>
                <c:pt idx="42">
                  <c:v>17.047799999999999</c:v>
                </c:pt>
                <c:pt idx="43">
                  <c:v>17.4511</c:v>
                </c:pt>
                <c:pt idx="44">
                  <c:v>17.861000000000001</c:v>
                </c:pt>
                <c:pt idx="45">
                  <c:v>18.267700000000001</c:v>
                </c:pt>
                <c:pt idx="46">
                  <c:v>18.6737</c:v>
                </c:pt>
                <c:pt idx="47">
                  <c:v>19.078099999999999</c:v>
                </c:pt>
                <c:pt idx="48">
                  <c:v>19.4848</c:v>
                </c:pt>
                <c:pt idx="49">
                  <c:v>19.892299999999999</c:v>
                </c:pt>
                <c:pt idx="50">
                  <c:v>20.2956</c:v>
                </c:pt>
                <c:pt idx="51">
                  <c:v>20.7042</c:v>
                </c:pt>
                <c:pt idx="52">
                  <c:v>21.109000000000002</c:v>
                </c:pt>
                <c:pt idx="53">
                  <c:v>21.5137</c:v>
                </c:pt>
                <c:pt idx="54">
                  <c:v>21.919899999999998</c:v>
                </c:pt>
                <c:pt idx="55">
                  <c:v>22.329599999999999</c:v>
                </c:pt>
                <c:pt idx="56">
                  <c:v>22.733699999999999</c:v>
                </c:pt>
                <c:pt idx="57">
                  <c:v>23.142099999999999</c:v>
                </c:pt>
                <c:pt idx="58">
                  <c:v>23.545200000000001</c:v>
                </c:pt>
                <c:pt idx="59">
                  <c:v>23.9529</c:v>
                </c:pt>
                <c:pt idx="60">
                  <c:v>24.359100000000002</c:v>
                </c:pt>
                <c:pt idx="61">
                  <c:v>24.767099999999999</c:v>
                </c:pt>
                <c:pt idx="62">
                  <c:v>25.175799999999999</c:v>
                </c:pt>
                <c:pt idx="63">
                  <c:v>25.578199999999999</c:v>
                </c:pt>
                <c:pt idx="64">
                  <c:v>25.985800000000001</c:v>
                </c:pt>
                <c:pt idx="65">
                  <c:v>26.390499999999999</c:v>
                </c:pt>
                <c:pt idx="66">
                  <c:v>26.796900000000001</c:v>
                </c:pt>
                <c:pt idx="67">
                  <c:v>27.205100000000002</c:v>
                </c:pt>
                <c:pt idx="68">
                  <c:v>27.607800000000001</c:v>
                </c:pt>
                <c:pt idx="69">
                  <c:v>28.014700000000001</c:v>
                </c:pt>
                <c:pt idx="70">
                  <c:v>28.4222</c:v>
                </c:pt>
                <c:pt idx="71">
                  <c:v>28.831</c:v>
                </c:pt>
                <c:pt idx="72">
                  <c:v>29.236799999999999</c:v>
                </c:pt>
                <c:pt idx="73">
                  <c:v>29.641500000000001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29.641500000000001</c:v>
                </c:pt>
                <c:pt idx="1">
                  <c:v>30.046299999999999</c:v>
                </c:pt>
                <c:pt idx="2">
                  <c:v>30.621600000000001</c:v>
                </c:pt>
                <c:pt idx="3">
                  <c:v>30.997699999999998</c:v>
                </c:pt>
                <c:pt idx="4">
                  <c:v>31.374300000000002</c:v>
                </c:pt>
                <c:pt idx="5">
                  <c:v>31.749199999999998</c:v>
                </c:pt>
                <c:pt idx="6">
                  <c:v>32.1252</c:v>
                </c:pt>
                <c:pt idx="7">
                  <c:v>32.530299999999997</c:v>
                </c:pt>
                <c:pt idx="8">
                  <c:v>32.936799999999998</c:v>
                </c:pt>
                <c:pt idx="9">
                  <c:v>33.3461</c:v>
                </c:pt>
                <c:pt idx="10">
                  <c:v>33.749099999999999</c:v>
                </c:pt>
                <c:pt idx="11">
                  <c:v>34.158099999999997</c:v>
                </c:pt>
                <c:pt idx="12">
                  <c:v>34.564100000000003</c:v>
                </c:pt>
                <c:pt idx="13">
                  <c:v>34.968899999999998</c:v>
                </c:pt>
                <c:pt idx="14">
                  <c:v>35.374299999999998</c:v>
                </c:pt>
                <c:pt idx="15">
                  <c:v>35.782299999999999</c:v>
                </c:pt>
                <c:pt idx="16">
                  <c:v>36.1858</c:v>
                </c:pt>
                <c:pt idx="17">
                  <c:v>36.591799999999999</c:v>
                </c:pt>
                <c:pt idx="18">
                  <c:v>36.999899999999997</c:v>
                </c:pt>
                <c:pt idx="19">
                  <c:v>37.407800000000002</c:v>
                </c:pt>
                <c:pt idx="20">
                  <c:v>37.811599999999999</c:v>
                </c:pt>
                <c:pt idx="21">
                  <c:v>38.218899999999998</c:v>
                </c:pt>
                <c:pt idx="22">
                  <c:v>38.627200000000002</c:v>
                </c:pt>
                <c:pt idx="23">
                  <c:v>39.031500000000001</c:v>
                </c:pt>
                <c:pt idx="24">
                  <c:v>39.441200000000002</c:v>
                </c:pt>
                <c:pt idx="25">
                  <c:v>39.844900000000003</c:v>
                </c:pt>
                <c:pt idx="26">
                  <c:v>40.249299999999998</c:v>
                </c:pt>
                <c:pt idx="27">
                  <c:v>40.654299999999999</c:v>
                </c:pt>
                <c:pt idx="28">
                  <c:v>41.064</c:v>
                </c:pt>
                <c:pt idx="29">
                  <c:v>41.466799999999999</c:v>
                </c:pt>
                <c:pt idx="30">
                  <c:v>41.875900000000001</c:v>
                </c:pt>
                <c:pt idx="31">
                  <c:v>42.282299999999999</c:v>
                </c:pt>
                <c:pt idx="32">
                  <c:v>42.686900000000001</c:v>
                </c:pt>
                <c:pt idx="33">
                  <c:v>43.0976</c:v>
                </c:pt>
                <c:pt idx="34">
                  <c:v>43.5</c:v>
                </c:pt>
                <c:pt idx="35">
                  <c:v>43.9086</c:v>
                </c:pt>
                <c:pt idx="36">
                  <c:v>44.3125</c:v>
                </c:pt>
                <c:pt idx="37">
                  <c:v>44.7181</c:v>
                </c:pt>
                <c:pt idx="38">
                  <c:v>45.125300000000003</c:v>
                </c:pt>
                <c:pt idx="39">
                  <c:v>45.531500000000001</c:v>
                </c:pt>
                <c:pt idx="40">
                  <c:v>45.940399999999997</c:v>
                </c:pt>
                <c:pt idx="41">
                  <c:v>46.344999999999999</c:v>
                </c:pt>
                <c:pt idx="42">
                  <c:v>46.750700000000002</c:v>
                </c:pt>
                <c:pt idx="43">
                  <c:v>47.159300000000002</c:v>
                </c:pt>
                <c:pt idx="44">
                  <c:v>47.565600000000003</c:v>
                </c:pt>
                <c:pt idx="45">
                  <c:v>47.972700000000003</c:v>
                </c:pt>
                <c:pt idx="46">
                  <c:v>48.377499999999998</c:v>
                </c:pt>
                <c:pt idx="47">
                  <c:v>48.781199999999998</c:v>
                </c:pt>
                <c:pt idx="48">
                  <c:v>49.1873</c:v>
                </c:pt>
                <c:pt idx="49">
                  <c:v>49.593400000000003</c:v>
                </c:pt>
                <c:pt idx="50">
                  <c:v>50.001399999999997</c:v>
                </c:pt>
                <c:pt idx="51">
                  <c:v>50.406700000000001</c:v>
                </c:pt>
                <c:pt idx="52">
                  <c:v>50.811</c:v>
                </c:pt>
                <c:pt idx="53">
                  <c:v>51.216900000000003</c:v>
                </c:pt>
                <c:pt idx="54">
                  <c:v>51.627499999999998</c:v>
                </c:pt>
                <c:pt idx="55">
                  <c:v>52.033999999999999</c:v>
                </c:pt>
                <c:pt idx="56">
                  <c:v>52.439</c:v>
                </c:pt>
                <c:pt idx="57">
                  <c:v>52.843200000000003</c:v>
                </c:pt>
                <c:pt idx="58">
                  <c:v>53.252699999999997</c:v>
                </c:pt>
                <c:pt idx="59">
                  <c:v>53.657899999999998</c:v>
                </c:pt>
                <c:pt idx="60">
                  <c:v>54.064300000000003</c:v>
                </c:pt>
                <c:pt idx="61">
                  <c:v>54.47</c:v>
                </c:pt>
                <c:pt idx="62">
                  <c:v>54.875900000000001</c:v>
                </c:pt>
                <c:pt idx="63">
                  <c:v>55.281599999999997</c:v>
                </c:pt>
                <c:pt idx="64">
                  <c:v>55.690800000000003</c:v>
                </c:pt>
                <c:pt idx="65">
                  <c:v>56.095700000000001</c:v>
                </c:pt>
                <c:pt idx="66">
                  <c:v>56.503900000000002</c:v>
                </c:pt>
                <c:pt idx="67">
                  <c:v>56.906799999999997</c:v>
                </c:pt>
                <c:pt idx="68">
                  <c:v>57.313000000000002</c:v>
                </c:pt>
                <c:pt idx="69">
                  <c:v>57.717399999999998</c:v>
                </c:pt>
                <c:pt idx="70">
                  <c:v>58.124099999999999</c:v>
                </c:pt>
                <c:pt idx="71">
                  <c:v>58.5336</c:v>
                </c:pt>
                <c:pt idx="72">
                  <c:v>58.938299999999998</c:v>
                </c:pt>
                <c:pt idx="73">
                  <c:v>59.345799999999997</c:v>
                </c:pt>
                <c:pt idx="74">
                  <c:v>59.751800000000003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36.941299999999998</c:v>
                </c:pt>
                <c:pt idx="1">
                  <c:v>36.8857</c:v>
                </c:pt>
                <c:pt idx="2">
                  <c:v>37.0336</c:v>
                </c:pt>
                <c:pt idx="3">
                  <c:v>37.26</c:v>
                </c:pt>
                <c:pt idx="4">
                  <c:v>37.569699999999997</c:v>
                </c:pt>
                <c:pt idx="5">
                  <c:v>37.932000000000002</c:v>
                </c:pt>
                <c:pt idx="6">
                  <c:v>38.379200000000004</c:v>
                </c:pt>
                <c:pt idx="7">
                  <c:v>38.812799999999996</c:v>
                </c:pt>
                <c:pt idx="8">
                  <c:v>39.174599999999998</c:v>
                </c:pt>
                <c:pt idx="9">
                  <c:v>39.379300000000001</c:v>
                </c:pt>
                <c:pt idx="10">
                  <c:v>39.513399999999997</c:v>
                </c:pt>
                <c:pt idx="11">
                  <c:v>39.861799999999995</c:v>
                </c:pt>
                <c:pt idx="12">
                  <c:v>40.528799999999997</c:v>
                </c:pt>
                <c:pt idx="13">
                  <c:v>41.369699999999995</c:v>
                </c:pt>
                <c:pt idx="14">
                  <c:v>42.119500000000002</c:v>
                </c:pt>
                <c:pt idx="15">
                  <c:v>42.737900000000003</c:v>
                </c:pt>
                <c:pt idx="16">
                  <c:v>43.470399999999998</c:v>
                </c:pt>
                <c:pt idx="17">
                  <c:v>44.088799999999999</c:v>
                </c:pt>
                <c:pt idx="18">
                  <c:v>44.730699999999999</c:v>
                </c:pt>
                <c:pt idx="19">
                  <c:v>45.305900000000001</c:v>
                </c:pt>
                <c:pt idx="20">
                  <c:v>45.728900000000003</c:v>
                </c:pt>
                <c:pt idx="21">
                  <c:v>45.997399999999999</c:v>
                </c:pt>
                <c:pt idx="22">
                  <c:v>46.141300000000001</c:v>
                </c:pt>
                <c:pt idx="23">
                  <c:v>46.168599999999998</c:v>
                </c:pt>
                <c:pt idx="24">
                  <c:v>46.072800000000001</c:v>
                </c:pt>
                <c:pt idx="25">
                  <c:v>45.9998</c:v>
                </c:pt>
                <c:pt idx="26">
                  <c:v>45.904800000000002</c:v>
                </c:pt>
                <c:pt idx="27">
                  <c:v>45.812199999999997</c:v>
                </c:pt>
                <c:pt idx="28">
                  <c:v>45.638300000000001</c:v>
                </c:pt>
                <c:pt idx="29">
                  <c:v>45.386600000000001</c:v>
                </c:pt>
                <c:pt idx="30">
                  <c:v>45.072699999999998</c:v>
                </c:pt>
                <c:pt idx="31">
                  <c:v>44.712699999999998</c:v>
                </c:pt>
                <c:pt idx="32">
                  <c:v>44.371300000000005</c:v>
                </c:pt>
                <c:pt idx="33">
                  <c:v>44.110799999999998</c:v>
                </c:pt>
                <c:pt idx="34">
                  <c:v>43.853900000000003</c:v>
                </c:pt>
                <c:pt idx="35">
                  <c:v>43.6432</c:v>
                </c:pt>
                <c:pt idx="36">
                  <c:v>43.57</c:v>
                </c:pt>
                <c:pt idx="37">
                  <c:v>43.609700000000004</c:v>
                </c:pt>
                <c:pt idx="38">
                  <c:v>43.687599999999996</c:v>
                </c:pt>
                <c:pt idx="39">
                  <c:v>43.796300000000002</c:v>
                </c:pt>
                <c:pt idx="40">
                  <c:v>43.878299999999996</c:v>
                </c:pt>
                <c:pt idx="41">
                  <c:v>43.804700000000004</c:v>
                </c:pt>
                <c:pt idx="42">
                  <c:v>43.757899999999999</c:v>
                </c:pt>
                <c:pt idx="43">
                  <c:v>43.680500000000002</c:v>
                </c:pt>
                <c:pt idx="44">
                  <c:v>43.648399999999995</c:v>
                </c:pt>
                <c:pt idx="45">
                  <c:v>43.623600000000003</c:v>
                </c:pt>
                <c:pt idx="46">
                  <c:v>43.610700000000001</c:v>
                </c:pt>
                <c:pt idx="47">
                  <c:v>43.636499999999998</c:v>
                </c:pt>
                <c:pt idx="48">
                  <c:v>43.613700000000001</c:v>
                </c:pt>
                <c:pt idx="49">
                  <c:v>43.540900000000001</c:v>
                </c:pt>
                <c:pt idx="50">
                  <c:v>43.3996</c:v>
                </c:pt>
                <c:pt idx="51">
                  <c:v>43.372399999999999</c:v>
                </c:pt>
                <c:pt idx="52">
                  <c:v>43.343399999999995</c:v>
                </c:pt>
                <c:pt idx="53">
                  <c:v>43.307200000000002</c:v>
                </c:pt>
                <c:pt idx="54">
                  <c:v>43.285699999999999</c:v>
                </c:pt>
                <c:pt idx="55">
                  <c:v>43.237900000000003</c:v>
                </c:pt>
                <c:pt idx="56">
                  <c:v>43.161100000000005</c:v>
                </c:pt>
                <c:pt idx="57">
                  <c:v>43.067299999999996</c:v>
                </c:pt>
                <c:pt idx="58">
                  <c:v>42.964999999999996</c:v>
                </c:pt>
                <c:pt idx="59">
                  <c:v>42.888399999999997</c:v>
                </c:pt>
                <c:pt idx="60">
                  <c:v>42.854399999999998</c:v>
                </c:pt>
                <c:pt idx="61">
                  <c:v>42.787700000000001</c:v>
                </c:pt>
                <c:pt idx="62">
                  <c:v>42.674599999999998</c:v>
                </c:pt>
                <c:pt idx="63">
                  <c:v>42.558500000000002</c:v>
                </c:pt>
                <c:pt idx="64">
                  <c:v>42.426099999999998</c:v>
                </c:pt>
                <c:pt idx="65">
                  <c:v>42.286000000000001</c:v>
                </c:pt>
                <c:pt idx="66">
                  <c:v>42.207499999999996</c:v>
                </c:pt>
                <c:pt idx="67">
                  <c:v>42.125500000000002</c:v>
                </c:pt>
                <c:pt idx="68">
                  <c:v>42.0655</c:v>
                </c:pt>
                <c:pt idx="69">
                  <c:v>41.998600000000003</c:v>
                </c:pt>
                <c:pt idx="70">
                  <c:v>42.0291</c:v>
                </c:pt>
                <c:pt idx="71">
                  <c:v>41.951899999999995</c:v>
                </c:pt>
                <c:pt idx="72">
                  <c:v>41.6402</c:v>
                </c:pt>
                <c:pt idx="73">
                  <c:v>41.324100000000001</c:v>
                </c:pt>
                <c:pt idx="74">
                  <c:v>41.174300000000002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14.937950000000001</c:v>
                </c:pt>
                <c:pt idx="1">
                  <c:v>44.813850000000002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45.348462162162164</c:v>
                </c:pt>
                <c:pt idx="1">
                  <c:v>42.788647297297302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  <c:pt idx="74">
                  <c:v>3.8659500000000002</c:v>
                </c:pt>
                <c:pt idx="75">
                  <c:v>3.8065300000000004</c:v>
                </c:pt>
                <c:pt idx="76">
                  <c:v>3.7446700000000002</c:v>
                </c:pt>
                <c:pt idx="77">
                  <c:v>3.6802099999999998</c:v>
                </c:pt>
                <c:pt idx="78">
                  <c:v>3.6144400000000001</c:v>
                </c:pt>
                <c:pt idx="79">
                  <c:v>3.5474600000000001</c:v>
                </c:pt>
                <c:pt idx="80">
                  <c:v>3.4845799999999998</c:v>
                </c:pt>
                <c:pt idx="81">
                  <c:v>3.42144</c:v>
                </c:pt>
                <c:pt idx="82">
                  <c:v>3.3596199999999996</c:v>
                </c:pt>
                <c:pt idx="83">
                  <c:v>3.2971400000000002</c:v>
                </c:pt>
                <c:pt idx="84">
                  <c:v>3.2301400000000005</c:v>
                </c:pt>
                <c:pt idx="85">
                  <c:v>3.1621899999999998</c:v>
                </c:pt>
                <c:pt idx="86">
                  <c:v>3.09687</c:v>
                </c:pt>
                <c:pt idx="87">
                  <c:v>3.0359099999999999</c:v>
                </c:pt>
                <c:pt idx="88">
                  <c:v>2.9799500000000001</c:v>
                </c:pt>
                <c:pt idx="89">
                  <c:v>2.9289999999999998</c:v>
                </c:pt>
                <c:pt idx="90">
                  <c:v>2.8856900000000003</c:v>
                </c:pt>
                <c:pt idx="91">
                  <c:v>2.8474500000000003</c:v>
                </c:pt>
                <c:pt idx="92">
                  <c:v>2.8134799999999998</c:v>
                </c:pt>
                <c:pt idx="93">
                  <c:v>2.7858200000000002</c:v>
                </c:pt>
                <c:pt idx="94">
                  <c:v>2.7654200000000002</c:v>
                </c:pt>
                <c:pt idx="95">
                  <c:v>2.7510300000000001</c:v>
                </c:pt>
                <c:pt idx="96">
                  <c:v>2.7424500000000003</c:v>
                </c:pt>
                <c:pt idx="97">
                  <c:v>2.7395199999999997</c:v>
                </c:pt>
                <c:pt idx="98">
                  <c:v>2.7390300000000001</c:v>
                </c:pt>
                <c:pt idx="99">
                  <c:v>2.7423399999999996</c:v>
                </c:pt>
                <c:pt idx="100">
                  <c:v>2.7476699999999998</c:v>
                </c:pt>
                <c:pt idx="101">
                  <c:v>2.7589700000000001</c:v>
                </c:pt>
                <c:pt idx="102">
                  <c:v>2.7751799999999998</c:v>
                </c:pt>
                <c:pt idx="103">
                  <c:v>2.7988800000000005</c:v>
                </c:pt>
                <c:pt idx="104">
                  <c:v>2.82599</c:v>
                </c:pt>
                <c:pt idx="105">
                  <c:v>2.8528099999999998</c:v>
                </c:pt>
                <c:pt idx="106">
                  <c:v>2.8821300000000001</c:v>
                </c:pt>
                <c:pt idx="107">
                  <c:v>2.91595</c:v>
                </c:pt>
                <c:pt idx="108">
                  <c:v>2.9542700000000002</c:v>
                </c:pt>
                <c:pt idx="109">
                  <c:v>2.9915399999999996</c:v>
                </c:pt>
                <c:pt idx="110">
                  <c:v>3.0240899999999997</c:v>
                </c:pt>
                <c:pt idx="111">
                  <c:v>3.0558100000000001</c:v>
                </c:pt>
                <c:pt idx="112">
                  <c:v>3.08954</c:v>
                </c:pt>
                <c:pt idx="113">
                  <c:v>3.12649</c:v>
                </c:pt>
                <c:pt idx="114">
                  <c:v>3.1641599999999999</c:v>
                </c:pt>
                <c:pt idx="115">
                  <c:v>3.1983299999999999</c:v>
                </c:pt>
                <c:pt idx="116">
                  <c:v>3.2276199999999999</c:v>
                </c:pt>
                <c:pt idx="117">
                  <c:v>3.2546399999999998</c:v>
                </c:pt>
                <c:pt idx="118">
                  <c:v>3.2812299999999999</c:v>
                </c:pt>
                <c:pt idx="119">
                  <c:v>3.3060200000000002</c:v>
                </c:pt>
                <c:pt idx="120">
                  <c:v>3.33005</c:v>
                </c:pt>
                <c:pt idx="121">
                  <c:v>3.3534100000000002</c:v>
                </c:pt>
                <c:pt idx="122">
                  <c:v>3.3766400000000001</c:v>
                </c:pt>
                <c:pt idx="123">
                  <c:v>3.3994200000000001</c:v>
                </c:pt>
                <c:pt idx="124">
                  <c:v>3.4127000000000001</c:v>
                </c:pt>
                <c:pt idx="125">
                  <c:v>3.4274700000000005</c:v>
                </c:pt>
                <c:pt idx="126">
                  <c:v>3.4413899999999997</c:v>
                </c:pt>
                <c:pt idx="127">
                  <c:v>3.4558899999999997</c:v>
                </c:pt>
                <c:pt idx="128">
                  <c:v>3.4671000000000003</c:v>
                </c:pt>
                <c:pt idx="129">
                  <c:v>3.4744399999999995</c:v>
                </c:pt>
                <c:pt idx="130">
                  <c:v>3.4811999999999999</c:v>
                </c:pt>
                <c:pt idx="131">
                  <c:v>3.4893200000000002</c:v>
                </c:pt>
                <c:pt idx="132">
                  <c:v>3.49532</c:v>
                </c:pt>
                <c:pt idx="133">
                  <c:v>3.4990900000000003</c:v>
                </c:pt>
                <c:pt idx="134">
                  <c:v>3.50502</c:v>
                </c:pt>
                <c:pt idx="135">
                  <c:v>3.5162100000000001</c:v>
                </c:pt>
                <c:pt idx="136">
                  <c:v>3.52948</c:v>
                </c:pt>
                <c:pt idx="137">
                  <c:v>3.54183</c:v>
                </c:pt>
                <c:pt idx="138">
                  <c:v>3.5490300000000001</c:v>
                </c:pt>
                <c:pt idx="139">
                  <c:v>3.5460599999999998</c:v>
                </c:pt>
                <c:pt idx="140">
                  <c:v>3.5442600000000004</c:v>
                </c:pt>
                <c:pt idx="141">
                  <c:v>3.5445100000000003</c:v>
                </c:pt>
                <c:pt idx="142">
                  <c:v>3.5512500000000005</c:v>
                </c:pt>
                <c:pt idx="143">
                  <c:v>3.5620600000000002</c:v>
                </c:pt>
                <c:pt idx="144">
                  <c:v>3.5734599999999999</c:v>
                </c:pt>
                <c:pt idx="145">
                  <c:v>3.5896499999999998</c:v>
                </c:pt>
                <c:pt idx="146">
                  <c:v>3.6007400000000001</c:v>
                </c:pt>
                <c:pt idx="147">
                  <c:v>3.6117700000000004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  <c:pt idx="74">
                  <c:v>36.8857</c:v>
                </c:pt>
                <c:pt idx="75">
                  <c:v>37.0336</c:v>
                </c:pt>
                <c:pt idx="76">
                  <c:v>37.26</c:v>
                </c:pt>
                <c:pt idx="77">
                  <c:v>37.569699999999997</c:v>
                </c:pt>
                <c:pt idx="78">
                  <c:v>37.932000000000002</c:v>
                </c:pt>
                <c:pt idx="79">
                  <c:v>38.379200000000004</c:v>
                </c:pt>
                <c:pt idx="80">
                  <c:v>38.812799999999996</c:v>
                </c:pt>
                <c:pt idx="81">
                  <c:v>39.174599999999998</c:v>
                </c:pt>
                <c:pt idx="82">
                  <c:v>39.379300000000001</c:v>
                </c:pt>
                <c:pt idx="83">
                  <c:v>39.513399999999997</c:v>
                </c:pt>
                <c:pt idx="84">
                  <c:v>39.861799999999995</c:v>
                </c:pt>
                <c:pt idx="85">
                  <c:v>40.528799999999997</c:v>
                </c:pt>
                <c:pt idx="86">
                  <c:v>41.369699999999995</c:v>
                </c:pt>
                <c:pt idx="87">
                  <c:v>42.119500000000002</c:v>
                </c:pt>
                <c:pt idx="88">
                  <c:v>42.737900000000003</c:v>
                </c:pt>
                <c:pt idx="89">
                  <c:v>43.470399999999998</c:v>
                </c:pt>
                <c:pt idx="90">
                  <c:v>44.088799999999999</c:v>
                </c:pt>
                <c:pt idx="91">
                  <c:v>44.730699999999999</c:v>
                </c:pt>
                <c:pt idx="92">
                  <c:v>45.305900000000001</c:v>
                </c:pt>
                <c:pt idx="93">
                  <c:v>45.728900000000003</c:v>
                </c:pt>
                <c:pt idx="94">
                  <c:v>45.997399999999999</c:v>
                </c:pt>
                <c:pt idx="95">
                  <c:v>46.141300000000001</c:v>
                </c:pt>
                <c:pt idx="96">
                  <c:v>46.168599999999998</c:v>
                </c:pt>
                <c:pt idx="97">
                  <c:v>46.072800000000001</c:v>
                </c:pt>
                <c:pt idx="98">
                  <c:v>45.9998</c:v>
                </c:pt>
                <c:pt idx="99">
                  <c:v>45.904800000000002</c:v>
                </c:pt>
                <c:pt idx="100">
                  <c:v>45.812199999999997</c:v>
                </c:pt>
                <c:pt idx="101">
                  <c:v>45.638300000000001</c:v>
                </c:pt>
                <c:pt idx="102">
                  <c:v>45.386600000000001</c:v>
                </c:pt>
                <c:pt idx="103">
                  <c:v>45.072699999999998</c:v>
                </c:pt>
                <c:pt idx="104">
                  <c:v>44.712699999999998</c:v>
                </c:pt>
                <c:pt idx="105">
                  <c:v>44.371300000000005</c:v>
                </c:pt>
                <c:pt idx="106">
                  <c:v>44.110799999999998</c:v>
                </c:pt>
                <c:pt idx="107">
                  <c:v>43.853900000000003</c:v>
                </c:pt>
                <c:pt idx="108">
                  <c:v>43.6432</c:v>
                </c:pt>
                <c:pt idx="109">
                  <c:v>43.57</c:v>
                </c:pt>
                <c:pt idx="110">
                  <c:v>43.609700000000004</c:v>
                </c:pt>
                <c:pt idx="111">
                  <c:v>43.687599999999996</c:v>
                </c:pt>
                <c:pt idx="112">
                  <c:v>43.796300000000002</c:v>
                </c:pt>
                <c:pt idx="113">
                  <c:v>43.878299999999996</c:v>
                </c:pt>
                <c:pt idx="114">
                  <c:v>43.804700000000004</c:v>
                </c:pt>
                <c:pt idx="115">
                  <c:v>43.757899999999999</c:v>
                </c:pt>
                <c:pt idx="116">
                  <c:v>43.680500000000002</c:v>
                </c:pt>
                <c:pt idx="117">
                  <c:v>43.648399999999995</c:v>
                </c:pt>
                <c:pt idx="118">
                  <c:v>43.623600000000003</c:v>
                </c:pt>
                <c:pt idx="119">
                  <c:v>43.610700000000001</c:v>
                </c:pt>
                <c:pt idx="120">
                  <c:v>43.636499999999998</c:v>
                </c:pt>
                <c:pt idx="121">
                  <c:v>43.613700000000001</c:v>
                </c:pt>
                <c:pt idx="122">
                  <c:v>43.540900000000001</c:v>
                </c:pt>
                <c:pt idx="123">
                  <c:v>43.3996</c:v>
                </c:pt>
                <c:pt idx="124">
                  <c:v>43.372399999999999</c:v>
                </c:pt>
                <c:pt idx="125">
                  <c:v>43.343399999999995</c:v>
                </c:pt>
                <c:pt idx="126">
                  <c:v>43.307200000000002</c:v>
                </c:pt>
                <c:pt idx="127">
                  <c:v>43.285699999999999</c:v>
                </c:pt>
                <c:pt idx="128">
                  <c:v>43.237900000000003</c:v>
                </c:pt>
                <c:pt idx="129">
                  <c:v>43.161100000000005</c:v>
                </c:pt>
                <c:pt idx="130">
                  <c:v>43.067299999999996</c:v>
                </c:pt>
                <c:pt idx="131">
                  <c:v>42.964999999999996</c:v>
                </c:pt>
                <c:pt idx="132">
                  <c:v>42.888399999999997</c:v>
                </c:pt>
                <c:pt idx="133">
                  <c:v>42.854399999999998</c:v>
                </c:pt>
                <c:pt idx="134">
                  <c:v>42.787700000000001</c:v>
                </c:pt>
                <c:pt idx="135">
                  <c:v>42.674599999999998</c:v>
                </c:pt>
                <c:pt idx="136">
                  <c:v>42.558500000000002</c:v>
                </c:pt>
                <c:pt idx="137">
                  <c:v>42.426099999999998</c:v>
                </c:pt>
                <c:pt idx="138">
                  <c:v>42.286000000000001</c:v>
                </c:pt>
                <c:pt idx="139">
                  <c:v>42.207499999999996</c:v>
                </c:pt>
                <c:pt idx="140">
                  <c:v>42.125500000000002</c:v>
                </c:pt>
                <c:pt idx="141">
                  <c:v>42.0655</c:v>
                </c:pt>
                <c:pt idx="142">
                  <c:v>41.998600000000003</c:v>
                </c:pt>
                <c:pt idx="143">
                  <c:v>42.0291</c:v>
                </c:pt>
                <c:pt idx="144">
                  <c:v>41.951899999999995</c:v>
                </c:pt>
                <c:pt idx="145">
                  <c:v>41.6402</c:v>
                </c:pt>
                <c:pt idx="146">
                  <c:v>41.324100000000001</c:v>
                </c:pt>
                <c:pt idx="147">
                  <c:v>41.174300000000002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2.3857300000000001</c:v>
                </c:pt>
                <c:pt idx="1">
                  <c:v>2.4495399999999998</c:v>
                </c:pt>
                <c:pt idx="2">
                  <c:v>2.5112699999999997</c:v>
                </c:pt>
                <c:pt idx="3">
                  <c:v>2.5708199999999999</c:v>
                </c:pt>
                <c:pt idx="4">
                  <c:v>2.6293800000000003</c:v>
                </c:pt>
                <c:pt idx="5">
                  <c:v>2.6867799999999997</c:v>
                </c:pt>
                <c:pt idx="6">
                  <c:v>2.7418300000000002</c:v>
                </c:pt>
                <c:pt idx="7">
                  <c:v>2.7927499999999998</c:v>
                </c:pt>
                <c:pt idx="8">
                  <c:v>2.8407500000000003</c:v>
                </c:pt>
                <c:pt idx="9">
                  <c:v>2.8846400000000001</c:v>
                </c:pt>
                <c:pt idx="10">
                  <c:v>2.9246100000000004</c:v>
                </c:pt>
                <c:pt idx="11">
                  <c:v>2.9606700000000004</c:v>
                </c:pt>
                <c:pt idx="12">
                  <c:v>2.9948999999999999</c:v>
                </c:pt>
                <c:pt idx="13">
                  <c:v>3.0292599999999998</c:v>
                </c:pt>
                <c:pt idx="14">
                  <c:v>3.0626500000000001</c:v>
                </c:pt>
                <c:pt idx="15">
                  <c:v>3.0937799999999998</c:v>
                </c:pt>
                <c:pt idx="16">
                  <c:v>3.12317</c:v>
                </c:pt>
                <c:pt idx="17">
                  <c:v>3.1517400000000002</c:v>
                </c:pt>
                <c:pt idx="18">
                  <c:v>3.17889</c:v>
                </c:pt>
                <c:pt idx="19">
                  <c:v>3.2019799999999998</c:v>
                </c:pt>
                <c:pt idx="20">
                  <c:v>3.2216299999999998</c:v>
                </c:pt>
                <c:pt idx="21">
                  <c:v>3.2367699999999999</c:v>
                </c:pt>
                <c:pt idx="22">
                  <c:v>3.2478400000000001</c:v>
                </c:pt>
                <c:pt idx="23">
                  <c:v>3.2548399999999997</c:v>
                </c:pt>
                <c:pt idx="24">
                  <c:v>3.2584499999999998</c:v>
                </c:pt>
                <c:pt idx="25">
                  <c:v>3.2622900000000001</c:v>
                </c:pt>
                <c:pt idx="26">
                  <c:v>3.2667400000000004</c:v>
                </c:pt>
                <c:pt idx="27">
                  <c:v>3.2705500000000001</c:v>
                </c:pt>
                <c:pt idx="28">
                  <c:v>3.2746300000000002</c:v>
                </c:pt>
                <c:pt idx="29">
                  <c:v>3.2774700000000001</c:v>
                </c:pt>
                <c:pt idx="30">
                  <c:v>3.2777000000000003</c:v>
                </c:pt>
                <c:pt idx="31">
                  <c:v>3.2790999999999997</c:v>
                </c:pt>
                <c:pt idx="32">
                  <c:v>3.2874999999999996</c:v>
                </c:pt>
                <c:pt idx="33">
                  <c:v>3.2979000000000003</c:v>
                </c:pt>
                <c:pt idx="34">
                  <c:v>3.3150900000000001</c:v>
                </c:pt>
                <c:pt idx="35">
                  <c:v>3.3349099999999998</c:v>
                </c:pt>
                <c:pt idx="36">
                  <c:v>3.3548</c:v>
                </c:pt>
                <c:pt idx="37">
                  <c:v>3.37765</c:v>
                </c:pt>
                <c:pt idx="38">
                  <c:v>3.4059200000000001</c:v>
                </c:pt>
                <c:pt idx="39">
                  <c:v>3.4338500000000001</c:v>
                </c:pt>
                <c:pt idx="40">
                  <c:v>3.4620299999999999</c:v>
                </c:pt>
                <c:pt idx="41">
                  <c:v>3.4932099999999999</c:v>
                </c:pt>
                <c:pt idx="42">
                  <c:v>3.5252699999999999</c:v>
                </c:pt>
                <c:pt idx="43">
                  <c:v>3.5582799999999999</c:v>
                </c:pt>
                <c:pt idx="44">
                  <c:v>3.5952600000000001</c:v>
                </c:pt>
                <c:pt idx="45">
                  <c:v>3.6315900000000001</c:v>
                </c:pt>
                <c:pt idx="46">
                  <c:v>3.67082</c:v>
                </c:pt>
                <c:pt idx="47">
                  <c:v>3.7149000000000001</c:v>
                </c:pt>
                <c:pt idx="48">
                  <c:v>3.7648999999999999</c:v>
                </c:pt>
                <c:pt idx="49">
                  <c:v>3.8136399999999999</c:v>
                </c:pt>
                <c:pt idx="50">
                  <c:v>3.8455599999999999</c:v>
                </c:pt>
                <c:pt idx="51">
                  <c:v>3.8910899999999997</c:v>
                </c:pt>
                <c:pt idx="52">
                  <c:v>3.9350800000000001</c:v>
                </c:pt>
                <c:pt idx="53">
                  <c:v>3.97905</c:v>
                </c:pt>
                <c:pt idx="54">
                  <c:v>4.0207600000000001</c:v>
                </c:pt>
                <c:pt idx="55">
                  <c:v>4.0642499999999995</c:v>
                </c:pt>
                <c:pt idx="56">
                  <c:v>4.0936500000000002</c:v>
                </c:pt>
                <c:pt idx="57">
                  <c:v>4.11822</c:v>
                </c:pt>
                <c:pt idx="58">
                  <c:v>4.1378599999999999</c:v>
                </c:pt>
                <c:pt idx="59">
                  <c:v>4.1524000000000001</c:v>
                </c:pt>
                <c:pt idx="60">
                  <c:v>4.16411</c:v>
                </c:pt>
                <c:pt idx="61">
                  <c:v>4.1784699999999999</c:v>
                </c:pt>
                <c:pt idx="62">
                  <c:v>4.18607</c:v>
                </c:pt>
                <c:pt idx="63">
                  <c:v>4.1854200000000006</c:v>
                </c:pt>
                <c:pt idx="64">
                  <c:v>4.18248</c:v>
                </c:pt>
                <c:pt idx="65">
                  <c:v>4.18363</c:v>
                </c:pt>
                <c:pt idx="66">
                  <c:v>4.1708499999999997</c:v>
                </c:pt>
                <c:pt idx="67">
                  <c:v>4.1435899999999997</c:v>
                </c:pt>
                <c:pt idx="68">
                  <c:v>4.1327599999999993</c:v>
                </c:pt>
                <c:pt idx="69">
                  <c:v>4.1042000000000005</c:v>
                </c:pt>
                <c:pt idx="70">
                  <c:v>4.0571800000000007</c:v>
                </c:pt>
                <c:pt idx="71">
                  <c:v>4.0182400000000005</c:v>
                </c:pt>
                <c:pt idx="72">
                  <c:v>3.9725799999999998</c:v>
                </c:pt>
                <c:pt idx="73">
                  <c:v>3.9357599999999997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54.689900000000002</c:v>
                </c:pt>
                <c:pt idx="1">
                  <c:v>53.656499999999994</c:v>
                </c:pt>
                <c:pt idx="2">
                  <c:v>52.809399999999997</c:v>
                </c:pt>
                <c:pt idx="3">
                  <c:v>52.084299999999992</c:v>
                </c:pt>
                <c:pt idx="4">
                  <c:v>51.454599999999992</c:v>
                </c:pt>
                <c:pt idx="5">
                  <c:v>50.910400000000003</c:v>
                </c:pt>
                <c:pt idx="6">
                  <c:v>50.448499999999996</c:v>
                </c:pt>
                <c:pt idx="7">
                  <c:v>50.180800000000005</c:v>
                </c:pt>
                <c:pt idx="8">
                  <c:v>50.072799999999994</c:v>
                </c:pt>
                <c:pt idx="9">
                  <c:v>50.121899999999997</c:v>
                </c:pt>
                <c:pt idx="10">
                  <c:v>50.285999999999994</c:v>
                </c:pt>
                <c:pt idx="11">
                  <c:v>50.531400000000005</c:v>
                </c:pt>
                <c:pt idx="12">
                  <c:v>50.758600000000001</c:v>
                </c:pt>
                <c:pt idx="13">
                  <c:v>50.987000000000002</c:v>
                </c:pt>
                <c:pt idx="14">
                  <c:v>51.200400000000002</c:v>
                </c:pt>
                <c:pt idx="15">
                  <c:v>51.321799999999996</c:v>
                </c:pt>
                <c:pt idx="16">
                  <c:v>51.402300000000004</c:v>
                </c:pt>
                <c:pt idx="17">
                  <c:v>51.471699999999998</c:v>
                </c:pt>
                <c:pt idx="18">
                  <c:v>51.550899999999999</c:v>
                </c:pt>
                <c:pt idx="19">
                  <c:v>51.563099999999991</c:v>
                </c:pt>
                <c:pt idx="20">
                  <c:v>51.489799999999995</c:v>
                </c:pt>
                <c:pt idx="21">
                  <c:v>51.357799999999997</c:v>
                </c:pt>
                <c:pt idx="22">
                  <c:v>51.222299999999997</c:v>
                </c:pt>
                <c:pt idx="23">
                  <c:v>51.097899999999996</c:v>
                </c:pt>
                <c:pt idx="24">
                  <c:v>50.957500000000003</c:v>
                </c:pt>
                <c:pt idx="25">
                  <c:v>50.783900000000003</c:v>
                </c:pt>
                <c:pt idx="26">
                  <c:v>50.575299999999999</c:v>
                </c:pt>
                <c:pt idx="27">
                  <c:v>50.368199999999995</c:v>
                </c:pt>
                <c:pt idx="28">
                  <c:v>50.0854</c:v>
                </c:pt>
                <c:pt idx="29">
                  <c:v>49.850999999999999</c:v>
                </c:pt>
                <c:pt idx="30">
                  <c:v>49.698900000000002</c:v>
                </c:pt>
                <c:pt idx="31">
                  <c:v>49.568899999999999</c:v>
                </c:pt>
                <c:pt idx="32">
                  <c:v>49.357500000000002</c:v>
                </c:pt>
                <c:pt idx="33">
                  <c:v>49.075499999999998</c:v>
                </c:pt>
                <c:pt idx="34">
                  <c:v>48.648400000000002</c:v>
                </c:pt>
                <c:pt idx="35">
                  <c:v>48.2072</c:v>
                </c:pt>
                <c:pt idx="36">
                  <c:v>47.822600000000001</c:v>
                </c:pt>
                <c:pt idx="37">
                  <c:v>47.365600000000001</c:v>
                </c:pt>
                <c:pt idx="38">
                  <c:v>46.742100000000001</c:v>
                </c:pt>
                <c:pt idx="39">
                  <c:v>46.1494</c:v>
                </c:pt>
                <c:pt idx="40">
                  <c:v>45.575400000000002</c:v>
                </c:pt>
                <c:pt idx="41">
                  <c:v>44.910699999999999</c:v>
                </c:pt>
                <c:pt idx="42">
                  <c:v>44.251200000000004</c:v>
                </c:pt>
                <c:pt idx="43">
                  <c:v>43.575499999999998</c:v>
                </c:pt>
                <c:pt idx="44">
                  <c:v>42.842700000000001</c:v>
                </c:pt>
                <c:pt idx="45">
                  <c:v>42.223399999999998</c:v>
                </c:pt>
                <c:pt idx="46">
                  <c:v>41.560499999999998</c:v>
                </c:pt>
                <c:pt idx="47">
                  <c:v>40.856900000000003</c:v>
                </c:pt>
                <c:pt idx="48">
                  <c:v>40.015599999999999</c:v>
                </c:pt>
                <c:pt idx="49">
                  <c:v>39.366900000000001</c:v>
                </c:pt>
                <c:pt idx="50">
                  <c:v>39.017099999999999</c:v>
                </c:pt>
                <c:pt idx="51">
                  <c:v>38.494099999999996</c:v>
                </c:pt>
                <c:pt idx="52">
                  <c:v>38.125399999999999</c:v>
                </c:pt>
                <c:pt idx="53">
                  <c:v>37.899899999999995</c:v>
                </c:pt>
                <c:pt idx="54">
                  <c:v>37.826300000000003</c:v>
                </c:pt>
                <c:pt idx="55">
                  <c:v>37.911999999999999</c:v>
                </c:pt>
                <c:pt idx="56">
                  <c:v>38.034199999999998</c:v>
                </c:pt>
                <c:pt idx="57">
                  <c:v>38.176700000000004</c:v>
                </c:pt>
                <c:pt idx="58">
                  <c:v>38.371000000000002</c:v>
                </c:pt>
                <c:pt idx="59">
                  <c:v>38.502399999999994</c:v>
                </c:pt>
                <c:pt idx="60">
                  <c:v>38.587199999999996</c:v>
                </c:pt>
                <c:pt idx="61">
                  <c:v>38.578800000000001</c:v>
                </c:pt>
                <c:pt idx="62">
                  <c:v>38.543900000000001</c:v>
                </c:pt>
                <c:pt idx="63">
                  <c:v>38.502700000000004</c:v>
                </c:pt>
                <c:pt idx="64">
                  <c:v>38.434200000000004</c:v>
                </c:pt>
                <c:pt idx="65">
                  <c:v>38.3187</c:v>
                </c:pt>
                <c:pt idx="66">
                  <c:v>38.188499999999998</c:v>
                </c:pt>
                <c:pt idx="67">
                  <c:v>37.997799999999998</c:v>
                </c:pt>
                <c:pt idx="68">
                  <c:v>37.829599999999999</c:v>
                </c:pt>
                <c:pt idx="69">
                  <c:v>37.601199999999999</c:v>
                </c:pt>
                <c:pt idx="70">
                  <c:v>37.168300000000002</c:v>
                </c:pt>
                <c:pt idx="71">
                  <c:v>36.894599999999997</c:v>
                </c:pt>
                <c:pt idx="72">
                  <c:v>36.734000000000002</c:v>
                </c:pt>
                <c:pt idx="73">
                  <c:v>36.941299999999998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3.9357599999999997</c:v>
                </c:pt>
                <c:pt idx="1">
                  <c:v>3.8659500000000002</c:v>
                </c:pt>
                <c:pt idx="2">
                  <c:v>3.8065300000000004</c:v>
                </c:pt>
                <c:pt idx="3">
                  <c:v>3.7446700000000002</c:v>
                </c:pt>
                <c:pt idx="4">
                  <c:v>3.6802099999999998</c:v>
                </c:pt>
                <c:pt idx="5">
                  <c:v>3.6144400000000001</c:v>
                </c:pt>
                <c:pt idx="6">
                  <c:v>3.5474600000000001</c:v>
                </c:pt>
                <c:pt idx="7">
                  <c:v>3.4845799999999998</c:v>
                </c:pt>
                <c:pt idx="8">
                  <c:v>3.42144</c:v>
                </c:pt>
                <c:pt idx="9">
                  <c:v>3.3596199999999996</c:v>
                </c:pt>
                <c:pt idx="10">
                  <c:v>3.2971400000000002</c:v>
                </c:pt>
                <c:pt idx="11">
                  <c:v>3.2301400000000005</c:v>
                </c:pt>
                <c:pt idx="12">
                  <c:v>3.1621899999999998</c:v>
                </c:pt>
                <c:pt idx="13">
                  <c:v>3.09687</c:v>
                </c:pt>
                <c:pt idx="14">
                  <c:v>3.0359099999999999</c:v>
                </c:pt>
                <c:pt idx="15">
                  <c:v>2.9799500000000001</c:v>
                </c:pt>
                <c:pt idx="16">
                  <c:v>2.9289999999999998</c:v>
                </c:pt>
                <c:pt idx="17">
                  <c:v>2.8856900000000003</c:v>
                </c:pt>
                <c:pt idx="18">
                  <c:v>2.8474500000000003</c:v>
                </c:pt>
                <c:pt idx="19">
                  <c:v>2.8134799999999998</c:v>
                </c:pt>
                <c:pt idx="20">
                  <c:v>2.7858200000000002</c:v>
                </c:pt>
                <c:pt idx="21">
                  <c:v>2.7654200000000002</c:v>
                </c:pt>
                <c:pt idx="22">
                  <c:v>2.7510300000000001</c:v>
                </c:pt>
                <c:pt idx="23">
                  <c:v>2.7424500000000003</c:v>
                </c:pt>
                <c:pt idx="24">
                  <c:v>2.7395199999999997</c:v>
                </c:pt>
                <c:pt idx="25">
                  <c:v>2.7390300000000001</c:v>
                </c:pt>
                <c:pt idx="26">
                  <c:v>2.7423399999999996</c:v>
                </c:pt>
                <c:pt idx="27">
                  <c:v>2.7476699999999998</c:v>
                </c:pt>
                <c:pt idx="28">
                  <c:v>2.7589700000000001</c:v>
                </c:pt>
                <c:pt idx="29">
                  <c:v>2.7751799999999998</c:v>
                </c:pt>
                <c:pt idx="30">
                  <c:v>2.7988800000000005</c:v>
                </c:pt>
                <c:pt idx="31">
                  <c:v>2.82599</c:v>
                </c:pt>
                <c:pt idx="32">
                  <c:v>2.8528099999999998</c:v>
                </c:pt>
                <c:pt idx="33">
                  <c:v>2.8821300000000001</c:v>
                </c:pt>
                <c:pt idx="34">
                  <c:v>2.91595</c:v>
                </c:pt>
                <c:pt idx="35">
                  <c:v>2.9542700000000002</c:v>
                </c:pt>
                <c:pt idx="36">
                  <c:v>2.9915399999999996</c:v>
                </c:pt>
                <c:pt idx="37">
                  <c:v>3.0240899999999997</c:v>
                </c:pt>
                <c:pt idx="38">
                  <c:v>3.0558100000000001</c:v>
                </c:pt>
                <c:pt idx="39">
                  <c:v>3.08954</c:v>
                </c:pt>
                <c:pt idx="40">
                  <c:v>3.12649</c:v>
                </c:pt>
                <c:pt idx="41">
                  <c:v>3.1641599999999999</c:v>
                </c:pt>
                <c:pt idx="42">
                  <c:v>3.1983299999999999</c:v>
                </c:pt>
                <c:pt idx="43">
                  <c:v>3.2276199999999999</c:v>
                </c:pt>
                <c:pt idx="44">
                  <c:v>3.2546399999999998</c:v>
                </c:pt>
                <c:pt idx="45">
                  <c:v>3.2812299999999999</c:v>
                </c:pt>
                <c:pt idx="46">
                  <c:v>3.3060200000000002</c:v>
                </c:pt>
                <c:pt idx="47">
                  <c:v>3.33005</c:v>
                </c:pt>
                <c:pt idx="48">
                  <c:v>3.3534100000000002</c:v>
                </c:pt>
                <c:pt idx="49">
                  <c:v>3.3766400000000001</c:v>
                </c:pt>
                <c:pt idx="50">
                  <c:v>3.3994200000000001</c:v>
                </c:pt>
                <c:pt idx="51">
                  <c:v>3.4127000000000001</c:v>
                </c:pt>
                <c:pt idx="52">
                  <c:v>3.4274700000000005</c:v>
                </c:pt>
                <c:pt idx="53">
                  <c:v>3.4413899999999997</c:v>
                </c:pt>
                <c:pt idx="54">
                  <c:v>3.4558899999999997</c:v>
                </c:pt>
                <c:pt idx="55">
                  <c:v>3.4671000000000003</c:v>
                </c:pt>
                <c:pt idx="56">
                  <c:v>3.4744399999999995</c:v>
                </c:pt>
                <c:pt idx="57">
                  <c:v>3.4811999999999999</c:v>
                </c:pt>
                <c:pt idx="58">
                  <c:v>3.4893200000000002</c:v>
                </c:pt>
                <c:pt idx="59">
                  <c:v>3.49532</c:v>
                </c:pt>
                <c:pt idx="60">
                  <c:v>3.4990900000000003</c:v>
                </c:pt>
                <c:pt idx="61">
                  <c:v>3.50502</c:v>
                </c:pt>
                <c:pt idx="62">
                  <c:v>3.5162100000000001</c:v>
                </c:pt>
                <c:pt idx="63">
                  <c:v>3.52948</c:v>
                </c:pt>
                <c:pt idx="64">
                  <c:v>3.54183</c:v>
                </c:pt>
                <c:pt idx="65">
                  <c:v>3.5490300000000001</c:v>
                </c:pt>
                <c:pt idx="66">
                  <c:v>3.5460599999999998</c:v>
                </c:pt>
                <c:pt idx="67">
                  <c:v>3.5442600000000004</c:v>
                </c:pt>
                <c:pt idx="68">
                  <c:v>3.5445100000000003</c:v>
                </c:pt>
                <c:pt idx="69">
                  <c:v>3.5512500000000005</c:v>
                </c:pt>
                <c:pt idx="70">
                  <c:v>3.5620600000000002</c:v>
                </c:pt>
                <c:pt idx="71">
                  <c:v>3.5734599999999999</c:v>
                </c:pt>
                <c:pt idx="72">
                  <c:v>3.5896499999999998</c:v>
                </c:pt>
                <c:pt idx="73">
                  <c:v>3.6007400000000001</c:v>
                </c:pt>
                <c:pt idx="74">
                  <c:v>3.6117700000000004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36.941299999999998</c:v>
                </c:pt>
                <c:pt idx="1">
                  <c:v>36.8857</c:v>
                </c:pt>
                <c:pt idx="2">
                  <c:v>37.0336</c:v>
                </c:pt>
                <c:pt idx="3">
                  <c:v>37.26</c:v>
                </c:pt>
                <c:pt idx="4">
                  <c:v>37.569699999999997</c:v>
                </c:pt>
                <c:pt idx="5">
                  <c:v>37.932000000000002</c:v>
                </c:pt>
                <c:pt idx="6">
                  <c:v>38.379200000000004</c:v>
                </c:pt>
                <c:pt idx="7">
                  <c:v>38.812799999999996</c:v>
                </c:pt>
                <c:pt idx="8">
                  <c:v>39.174599999999998</c:v>
                </c:pt>
                <c:pt idx="9">
                  <c:v>39.379300000000001</c:v>
                </c:pt>
                <c:pt idx="10">
                  <c:v>39.513399999999997</c:v>
                </c:pt>
                <c:pt idx="11">
                  <c:v>39.861799999999995</c:v>
                </c:pt>
                <c:pt idx="12">
                  <c:v>40.528799999999997</c:v>
                </c:pt>
                <c:pt idx="13">
                  <c:v>41.369699999999995</c:v>
                </c:pt>
                <c:pt idx="14">
                  <c:v>42.119500000000002</c:v>
                </c:pt>
                <c:pt idx="15">
                  <c:v>42.737900000000003</c:v>
                </c:pt>
                <c:pt idx="16">
                  <c:v>43.470399999999998</c:v>
                </c:pt>
                <c:pt idx="17">
                  <c:v>44.088799999999999</c:v>
                </c:pt>
                <c:pt idx="18">
                  <c:v>44.730699999999999</c:v>
                </c:pt>
                <c:pt idx="19">
                  <c:v>45.305900000000001</c:v>
                </c:pt>
                <c:pt idx="20">
                  <c:v>45.728900000000003</c:v>
                </c:pt>
                <c:pt idx="21">
                  <c:v>45.997399999999999</c:v>
                </c:pt>
                <c:pt idx="22">
                  <c:v>46.141300000000001</c:v>
                </c:pt>
                <c:pt idx="23">
                  <c:v>46.168599999999998</c:v>
                </c:pt>
                <c:pt idx="24">
                  <c:v>46.072800000000001</c:v>
                </c:pt>
                <c:pt idx="25">
                  <c:v>45.9998</c:v>
                </c:pt>
                <c:pt idx="26">
                  <c:v>45.904800000000002</c:v>
                </c:pt>
                <c:pt idx="27">
                  <c:v>45.812199999999997</c:v>
                </c:pt>
                <c:pt idx="28">
                  <c:v>45.638300000000001</c:v>
                </c:pt>
                <c:pt idx="29">
                  <c:v>45.386600000000001</c:v>
                </c:pt>
                <c:pt idx="30">
                  <c:v>45.072699999999998</c:v>
                </c:pt>
                <c:pt idx="31">
                  <c:v>44.712699999999998</c:v>
                </c:pt>
                <c:pt idx="32">
                  <c:v>44.371300000000005</c:v>
                </c:pt>
                <c:pt idx="33">
                  <c:v>44.110799999999998</c:v>
                </c:pt>
                <c:pt idx="34">
                  <c:v>43.853900000000003</c:v>
                </c:pt>
                <c:pt idx="35">
                  <c:v>43.6432</c:v>
                </c:pt>
                <c:pt idx="36">
                  <c:v>43.57</c:v>
                </c:pt>
                <c:pt idx="37">
                  <c:v>43.609700000000004</c:v>
                </c:pt>
                <c:pt idx="38">
                  <c:v>43.687599999999996</c:v>
                </c:pt>
                <c:pt idx="39">
                  <c:v>43.796300000000002</c:v>
                </c:pt>
                <c:pt idx="40">
                  <c:v>43.878299999999996</c:v>
                </c:pt>
                <c:pt idx="41">
                  <c:v>43.804700000000004</c:v>
                </c:pt>
                <c:pt idx="42">
                  <c:v>43.757899999999999</c:v>
                </c:pt>
                <c:pt idx="43">
                  <c:v>43.680500000000002</c:v>
                </c:pt>
                <c:pt idx="44">
                  <c:v>43.648399999999995</c:v>
                </c:pt>
                <c:pt idx="45">
                  <c:v>43.623600000000003</c:v>
                </c:pt>
                <c:pt idx="46">
                  <c:v>43.610700000000001</c:v>
                </c:pt>
                <c:pt idx="47">
                  <c:v>43.636499999999998</c:v>
                </c:pt>
                <c:pt idx="48">
                  <c:v>43.613700000000001</c:v>
                </c:pt>
                <c:pt idx="49">
                  <c:v>43.540900000000001</c:v>
                </c:pt>
                <c:pt idx="50">
                  <c:v>43.3996</c:v>
                </c:pt>
                <c:pt idx="51">
                  <c:v>43.372399999999999</c:v>
                </c:pt>
                <c:pt idx="52">
                  <c:v>43.343399999999995</c:v>
                </c:pt>
                <c:pt idx="53">
                  <c:v>43.307200000000002</c:v>
                </c:pt>
                <c:pt idx="54">
                  <c:v>43.285699999999999</c:v>
                </c:pt>
                <c:pt idx="55">
                  <c:v>43.237900000000003</c:v>
                </c:pt>
                <c:pt idx="56">
                  <c:v>43.161100000000005</c:v>
                </c:pt>
                <c:pt idx="57">
                  <c:v>43.067299999999996</c:v>
                </c:pt>
                <c:pt idx="58">
                  <c:v>42.964999999999996</c:v>
                </c:pt>
                <c:pt idx="59">
                  <c:v>42.888399999999997</c:v>
                </c:pt>
                <c:pt idx="60">
                  <c:v>42.854399999999998</c:v>
                </c:pt>
                <c:pt idx="61">
                  <c:v>42.787700000000001</c:v>
                </c:pt>
                <c:pt idx="62">
                  <c:v>42.674599999999998</c:v>
                </c:pt>
                <c:pt idx="63">
                  <c:v>42.558500000000002</c:v>
                </c:pt>
                <c:pt idx="64">
                  <c:v>42.426099999999998</c:v>
                </c:pt>
                <c:pt idx="65">
                  <c:v>42.286000000000001</c:v>
                </c:pt>
                <c:pt idx="66">
                  <c:v>42.207499999999996</c:v>
                </c:pt>
                <c:pt idx="67">
                  <c:v>42.125500000000002</c:v>
                </c:pt>
                <c:pt idx="68">
                  <c:v>42.0655</c:v>
                </c:pt>
                <c:pt idx="69">
                  <c:v>41.998600000000003</c:v>
                </c:pt>
                <c:pt idx="70">
                  <c:v>42.0291</c:v>
                </c:pt>
                <c:pt idx="71">
                  <c:v>41.951899999999995</c:v>
                </c:pt>
                <c:pt idx="72">
                  <c:v>41.6402</c:v>
                </c:pt>
                <c:pt idx="73">
                  <c:v>41.324100000000001</c:v>
                </c:pt>
                <c:pt idx="74">
                  <c:v>41.174300000000002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2.3857300000000001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54.689900000000002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3.4761341891891888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45.348462162162164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3.2455191891891912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42.788647297297302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3.2455191891891912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42.788647297297302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517</v>
      </c>
      <c r="D5" s="191"/>
      <c r="E5" s="191"/>
      <c r="F5" s="192"/>
      <c r="G5" s="48" t="str">
        <f>lang!B27</f>
        <v>编号</v>
      </c>
      <c r="H5" s="190">
        <v>16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516</v>
      </c>
      <c r="D6" s="145"/>
      <c r="E6" s="145"/>
      <c r="F6" s="146"/>
      <c r="G6" s="49" t="str">
        <f>lang!B28</f>
        <v xml:space="preserve"> 日期</v>
      </c>
      <c r="H6" s="129">
        <f>FH_info!A2</f>
        <v>43612.726111111115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45</v>
      </c>
      <c r="D7" s="148"/>
      <c r="E7" s="148"/>
      <c r="F7" s="149"/>
      <c r="G7" s="50" t="str">
        <f>lang!B29</f>
        <v>误差率（%）</v>
      </c>
      <c r="H7" s="132">
        <f>M!B17*1</f>
        <v>17.422699999999999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38.187800000000003</v>
      </c>
      <c r="O8" s="59">
        <f>M!C5*1</f>
        <v>7.2273800000000001</v>
      </c>
      <c r="P8" s="59">
        <f>M!D5*1</f>
        <v>18.925899999999999</v>
      </c>
      <c r="Q8" s="59">
        <f>M!E5*1</f>
        <v>20</v>
      </c>
      <c r="R8" s="59">
        <f>M!F5*1</f>
        <v>19.182099999999998</v>
      </c>
      <c r="S8" s="59">
        <f>M!G5*1</f>
        <v>50</v>
      </c>
      <c r="T8" s="59">
        <f>M!H5*1</f>
        <v>55.010899999999999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30.176400000000001</v>
      </c>
      <c r="O9" s="59">
        <f>M!C6*1</f>
        <v>2.2124100000000002</v>
      </c>
      <c r="P9" s="59">
        <f>M!D6*1</f>
        <v>7.3315999999999999</v>
      </c>
      <c r="Q9" s="59">
        <f>M!E6*1</f>
        <v>20</v>
      </c>
      <c r="R9" s="59">
        <f>M!F6*1</f>
        <v>25.335100000000001</v>
      </c>
      <c r="S9" s="59">
        <f>M!G6*1</f>
        <v>40</v>
      </c>
      <c r="T9" s="59">
        <f>M!H6*1</f>
        <v>33.723500000000001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19.182099999999998</v>
      </c>
      <c r="D10" s="99">
        <f>N8</f>
        <v>38.187800000000003</v>
      </c>
      <c r="E10" s="100">
        <f>T8</f>
        <v>55.010899999999999</v>
      </c>
      <c r="F10" s="91">
        <f>P8</f>
        <v>18.925899999999999</v>
      </c>
      <c r="G10" s="81" t="str">
        <f>CONCATENATE(M9,"
(20 ~ 40)")</f>
        <v>压力
(20 ~ 40)</v>
      </c>
      <c r="H10" s="98">
        <f>R9</f>
        <v>25.335100000000001</v>
      </c>
      <c r="I10" s="108">
        <f>N9</f>
        <v>30.176400000000001</v>
      </c>
      <c r="J10" s="98">
        <f>T9</f>
        <v>33.723500000000001</v>
      </c>
      <c r="K10" s="92">
        <f>P9</f>
        <v>7.3315999999999999</v>
      </c>
      <c r="L10" s="6"/>
      <c r="M10" s="27" t="str">
        <f>lang!B16</f>
        <v>焦虑</v>
      </c>
      <c r="N10" s="59">
        <f>M!B7*1</f>
        <v>30.783899999999999</v>
      </c>
      <c r="O10" s="59">
        <f>M!C7*1</f>
        <v>10.962400000000001</v>
      </c>
      <c r="P10" s="59">
        <f>M!D7*1</f>
        <v>35.610900000000001</v>
      </c>
      <c r="Q10" s="59">
        <f>M!E7*1</f>
        <v>15</v>
      </c>
      <c r="R10" s="59">
        <f>M!F7*1</f>
        <v>6.3977500000000003</v>
      </c>
      <c r="S10" s="59">
        <f>M!G7*1</f>
        <v>40</v>
      </c>
      <c r="T10" s="59">
        <f>M!H7*1</f>
        <v>51.373199999999997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6.3977500000000003</v>
      </c>
      <c r="D11" s="102">
        <f>N10</f>
        <v>30.783899999999999</v>
      </c>
      <c r="E11" s="103">
        <f>T10</f>
        <v>51.373199999999997</v>
      </c>
      <c r="F11" s="94">
        <f>P10</f>
        <v>35.610900000000001</v>
      </c>
      <c r="G11" s="52" t="str">
        <f>CONCATENATE(M11,"
(20 ~ 50)")</f>
        <v>可疑
(20 ~ 50)</v>
      </c>
      <c r="H11" s="101">
        <f>R11</f>
        <v>24.671299999999999</v>
      </c>
      <c r="I11" s="104">
        <f>N11</f>
        <v>33.006700000000002</v>
      </c>
      <c r="J11" s="101">
        <f>T11</f>
        <v>40.576999999999998</v>
      </c>
      <c r="K11" s="95">
        <f>P11</f>
        <v>14.427899999999999</v>
      </c>
      <c r="L11" s="4"/>
      <c r="M11" s="27" t="str">
        <f>lang!B17</f>
        <v>可疑</v>
      </c>
      <c r="N11" s="59">
        <f>M!B8*1</f>
        <v>33.006700000000002</v>
      </c>
      <c r="O11" s="59">
        <f>M!C8*1</f>
        <v>4.7621700000000002</v>
      </c>
      <c r="P11" s="59">
        <f>M!D8*1</f>
        <v>14.427899999999999</v>
      </c>
      <c r="Q11" s="59">
        <f>M!E8*1</f>
        <v>20</v>
      </c>
      <c r="R11" s="59">
        <f>M!F8*1</f>
        <v>24.671299999999999</v>
      </c>
      <c r="S11" s="59">
        <f>M!G8*1</f>
        <v>50</v>
      </c>
      <c r="T11" s="59">
        <f>M!H8*1</f>
        <v>40.576999999999998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47.092799999999997</v>
      </c>
      <c r="D12" s="104">
        <f>N12</f>
        <v>66.577799999999996</v>
      </c>
      <c r="E12" s="101">
        <f>T12</f>
        <v>83.629000000000005</v>
      </c>
      <c r="F12" s="93">
        <f>P12</f>
        <v>12.418200000000001</v>
      </c>
      <c r="G12" s="52" t="str">
        <f>CONCATENATE(M13,"
(40 ~ 100)")</f>
        <v>自信
(40 ~ 100)</v>
      </c>
      <c r="H12" s="101">
        <f>R13</f>
        <v>66.861699999999999</v>
      </c>
      <c r="I12" s="104">
        <f>N13</f>
        <v>75.379400000000004</v>
      </c>
      <c r="J12" s="101">
        <f>T13</f>
        <v>85.660399999999996</v>
      </c>
      <c r="K12" s="95">
        <f>P13</f>
        <v>7.0284399999999998</v>
      </c>
      <c r="L12" s="4"/>
      <c r="M12" s="27" t="str">
        <f>lang!B18</f>
        <v>平衡</v>
      </c>
      <c r="N12" s="59">
        <f>M!B9*1</f>
        <v>66.577799999999996</v>
      </c>
      <c r="O12" s="59">
        <f>M!C9*1</f>
        <v>8.2677899999999998</v>
      </c>
      <c r="P12" s="59">
        <f>M!D9*1</f>
        <v>12.418200000000001</v>
      </c>
      <c r="Q12" s="59">
        <f>M!E9*1</f>
        <v>50</v>
      </c>
      <c r="R12" s="59">
        <f>M!F9*1</f>
        <v>47.092799999999997</v>
      </c>
      <c r="S12" s="59">
        <f>M!G9*1</f>
        <v>100</v>
      </c>
      <c r="T12" s="59">
        <f>M!H9*1</f>
        <v>83.629000000000005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11.3461</v>
      </c>
      <c r="D13" s="102">
        <f>N14</f>
        <v>22.539400000000001</v>
      </c>
      <c r="E13" s="103">
        <f>T14</f>
        <v>31.672599999999999</v>
      </c>
      <c r="F13" s="94">
        <f>P14</f>
        <v>22.150300000000001</v>
      </c>
      <c r="G13" s="52" t="str">
        <f>CONCATENATE(M15,"
(50 ~ 100)")</f>
        <v>自我调节
(50 ~ 100)</v>
      </c>
      <c r="H13" s="101">
        <f>R15</f>
        <v>59.609699999999997</v>
      </c>
      <c r="I13" s="104">
        <f>N15</f>
        <v>70.996200000000002</v>
      </c>
      <c r="J13" s="101">
        <f>T15</f>
        <v>83.334999999999994</v>
      </c>
      <c r="K13" s="95">
        <f>P15</f>
        <v>8.5933100000000007</v>
      </c>
      <c r="L13" s="4"/>
      <c r="M13" s="27" t="str">
        <f>lang!B19</f>
        <v>自信</v>
      </c>
      <c r="N13" s="59">
        <f>M!B10*1</f>
        <v>75.379400000000004</v>
      </c>
      <c r="O13" s="59">
        <f>M!C10*1</f>
        <v>5.298</v>
      </c>
      <c r="P13" s="59">
        <f>M!D10*1</f>
        <v>7.0284399999999998</v>
      </c>
      <c r="Q13" s="59">
        <f>M!E10*1</f>
        <v>40</v>
      </c>
      <c r="R13" s="59">
        <f>M!F10*1</f>
        <v>66.861699999999999</v>
      </c>
      <c r="S13" s="59">
        <f>M!G10*1</f>
        <v>100</v>
      </c>
      <c r="T13" s="59">
        <f>M!H10*1</f>
        <v>85.660399999999996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10.6591</v>
      </c>
      <c r="D14" s="106">
        <f>N16</f>
        <v>15.6441</v>
      </c>
      <c r="E14" s="107">
        <f>T16</f>
        <v>24.099799999999998</v>
      </c>
      <c r="F14" s="96">
        <f>P16</f>
        <v>16.673100000000002</v>
      </c>
      <c r="G14" s="112" t="str">
        <f>CONCATENATE(M17,"
(10 ~ 50)")</f>
        <v>神经质
(10 ~ 50)</v>
      </c>
      <c r="H14" s="105">
        <f>R17</f>
        <v>1.4259200000000001</v>
      </c>
      <c r="I14" s="106">
        <f>N17</f>
        <v>26.083500000000001</v>
      </c>
      <c r="J14" s="107">
        <f>T17</f>
        <v>30.253599999999999</v>
      </c>
      <c r="K14" s="97">
        <f>P17</f>
        <v>31.067399999999999</v>
      </c>
      <c r="M14" s="27" t="str">
        <f>lang!B20</f>
        <v>活力</v>
      </c>
      <c r="N14" s="59">
        <f>M!B11*1</f>
        <v>22.539400000000001</v>
      </c>
      <c r="O14" s="59">
        <f>M!C11*1</f>
        <v>4.9925300000000004</v>
      </c>
      <c r="P14" s="59">
        <f>M!D11*1</f>
        <v>22.150300000000001</v>
      </c>
      <c r="Q14" s="59">
        <f>M!E11*1</f>
        <v>10</v>
      </c>
      <c r="R14" s="59">
        <f>M!F11*1</f>
        <v>11.3461</v>
      </c>
      <c r="S14" s="59">
        <f>M!G11*1</f>
        <v>50</v>
      </c>
      <c r="T14" s="59">
        <f>M!H11*1</f>
        <v>31.672599999999999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70.996200000000002</v>
      </c>
      <c r="O15" s="59">
        <f>M!C12*1</f>
        <v>6.10093</v>
      </c>
      <c r="P15" s="59">
        <f>M!D12*1</f>
        <v>8.5933100000000007</v>
      </c>
      <c r="Q15" s="59">
        <f>M!E12*1</f>
        <v>50</v>
      </c>
      <c r="R15" s="59">
        <f>M!F12*1</f>
        <v>59.609699999999997</v>
      </c>
      <c r="S15" s="59">
        <f>M!G12*1</f>
        <v>100</v>
      </c>
      <c r="T15" s="59">
        <f>M!H12*1</f>
        <v>83.334999999999994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15.6441</v>
      </c>
      <c r="O16" s="59">
        <f>M!C13*1</f>
        <v>2.6083500000000002</v>
      </c>
      <c r="P16" s="59">
        <f>M!D13*1</f>
        <v>16.673100000000002</v>
      </c>
      <c r="Q16" s="59">
        <f>M!E13*1</f>
        <v>10</v>
      </c>
      <c r="R16" s="59">
        <f>M!F13*1</f>
        <v>10.6591</v>
      </c>
      <c r="S16" s="59">
        <f>M!G13*1</f>
        <v>25</v>
      </c>
      <c r="T16" s="59">
        <f>M!H13*1</f>
        <v>24.099799999999998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26.083500000000001</v>
      </c>
      <c r="O17" s="59">
        <f>M!C14*1</f>
        <v>8.1034900000000007</v>
      </c>
      <c r="P17" s="59">
        <f>M!D14*1</f>
        <v>31.067399999999999</v>
      </c>
      <c r="Q17" s="59">
        <f>M!E14*1</f>
        <v>10</v>
      </c>
      <c r="R17" s="59">
        <f>M!F14*1</f>
        <v>1.4259200000000001</v>
      </c>
      <c r="S17" s="59">
        <f>M!G14*1</f>
        <v>50</v>
      </c>
      <c r="T17" s="59">
        <f>M!H14*1</f>
        <v>30.253599999999999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58.873199999999997</v>
      </c>
      <c r="O18" s="22">
        <f>N18/(N18+N19+N20)</f>
        <v>0.52203799222704883</v>
      </c>
      <c r="P18" s="65">
        <f>SUM(P12:P15)/4</f>
        <v>12.547562500000002</v>
      </c>
      <c r="Q18" s="22">
        <f>P18/(P18+P19+P20)</f>
        <v>0.22611525873939683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33.038700000000006</v>
      </c>
      <c r="O19" s="22">
        <f>N19/(N18+N19+N20)</f>
        <v>0.29295938752763234</v>
      </c>
      <c r="P19" s="18">
        <f>SUM(P8:P11)/4</f>
        <v>19.074075000000001</v>
      </c>
      <c r="Q19" s="22">
        <f>P19/(P18+P19+P20)</f>
        <v>0.34372727004465292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20.863800000000001</v>
      </c>
      <c r="O20" s="22">
        <f>N20/(N18+N19+N20)</f>
        <v>0.18500262024531883</v>
      </c>
      <c r="P20" s="18">
        <f>(P16+P17)/2</f>
        <v>23.870249999999999</v>
      </c>
      <c r="Q20" s="22">
        <f>P20/(P18+P19+P20)</f>
        <v>0.43015747121595022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-2.5366486486488315E-3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1.6402685742320853</v>
      </c>
      <c r="D25" s="44" t="str">
        <f>lang!B11</f>
        <v>频率方差</v>
      </c>
      <c r="E25" s="182">
        <f ca="1">FH!L3</f>
        <v>0.60897017455154712</v>
      </c>
      <c r="F25" s="183"/>
      <c r="G25" s="174" t="str">
        <f>lang!B12</f>
        <v>生理变化率</v>
      </c>
      <c r="H25" s="175"/>
      <c r="I25" s="62" t="str">
        <f ca="1">CONCATENATE(info!M7,"-",info!M8)</f>
        <v>36.7-54.7</v>
      </c>
      <c r="J25" s="42" t="str">
        <f>lang!B13</f>
        <v>千卡l/分钟</v>
      </c>
      <c r="K25" s="41" t="str">
        <f ca="1">CONCATENATE(info!M5,"-",info!M6)</f>
        <v>2.4-4.2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52.802099999999996</v>
      </c>
      <c r="F28" s="121"/>
      <c r="G28" s="135" t="str">
        <f>lang!B33</f>
        <v>稳定性</v>
      </c>
      <c r="H28" s="136"/>
      <c r="I28" s="137"/>
      <c r="J28" s="138">
        <f>M!B19*100</f>
        <v>54.038299999999992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43612.726111111115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2.1091000000000051</v>
      </c>
      <c r="O7" s="59">
        <f t="shared" ref="O7:T7" si="2">AG7-X7</f>
        <v>-3.1059399999999995</v>
      </c>
      <c r="P7" s="59">
        <f t="shared" si="2"/>
        <v>-9.1133000000000006</v>
      </c>
      <c r="Q7" s="59">
        <f t="shared" si="2"/>
        <v>0</v>
      </c>
      <c r="R7" s="59">
        <f t="shared" si="2"/>
        <v>12.748000000000001</v>
      </c>
      <c r="S7" s="59">
        <f t="shared" si="2"/>
        <v>0</v>
      </c>
      <c r="T7" s="59">
        <f t="shared" si="2"/>
        <v>-1.0259</v>
      </c>
      <c r="U7" s="14"/>
      <c r="V7" s="27" t="str">
        <f>M7</f>
        <v>攻击性</v>
      </c>
      <c r="W7" s="59">
        <f>'M1'!B5*1</f>
        <v>37.185899999999997</v>
      </c>
      <c r="X7" s="59">
        <f>'M1'!C5*1</f>
        <v>8.3768999999999991</v>
      </c>
      <c r="Y7" s="59">
        <f>'M1'!D5*1</f>
        <v>22.527100000000001</v>
      </c>
      <c r="Z7" s="59">
        <f>'M1'!E5*1</f>
        <v>20</v>
      </c>
      <c r="AA7" s="59">
        <f>'M1'!F5*1</f>
        <v>19.182099999999998</v>
      </c>
      <c r="AB7" s="59">
        <f>'M1'!G5*1</f>
        <v>50</v>
      </c>
      <c r="AC7" s="59">
        <f>'M1'!H5*1</f>
        <v>55.010899999999999</v>
      </c>
      <c r="AE7" s="27" t="str">
        <f>V7</f>
        <v>攻击性</v>
      </c>
      <c r="AF7" s="59">
        <f>'M2'!B5*1</f>
        <v>39.295000000000002</v>
      </c>
      <c r="AG7" s="59">
        <f>'M2'!C5*1</f>
        <v>5.2709599999999996</v>
      </c>
      <c r="AH7" s="59">
        <f>'M2'!D5*1</f>
        <v>13.4138</v>
      </c>
      <c r="AI7" s="59">
        <f>'M2'!E5*1</f>
        <v>20</v>
      </c>
      <c r="AJ7" s="59">
        <f>'M2'!F5*1</f>
        <v>31.930099999999999</v>
      </c>
      <c r="AK7" s="59">
        <f>'M2'!G5*1</f>
        <v>50</v>
      </c>
      <c r="AL7" s="59">
        <f>'M2'!H5*1</f>
        <v>53.984999999999999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3.8506</v>
      </c>
      <c r="O8" s="59">
        <f t="shared" ref="O8:O16" si="5">AG8-X8</f>
        <v>-0.55058999999999991</v>
      </c>
      <c r="P8" s="59">
        <f t="shared" ref="P8:P16" si="6">AH8-Y8</f>
        <v>-2.5918399999999995</v>
      </c>
      <c r="Q8" s="59">
        <f t="shared" ref="Q8:Q16" si="7">AI8-Z8</f>
        <v>0</v>
      </c>
      <c r="R8" s="59">
        <f t="shared" ref="R8:R16" si="8">AJ8-AA8</f>
        <v>3.8352000000000004</v>
      </c>
      <c r="S8" s="59">
        <f t="shared" ref="S8:S16" si="9">AK8-AB8</f>
        <v>0</v>
      </c>
      <c r="T8" s="59">
        <f t="shared" ref="T8:T16" si="10">AL8-AC8</f>
        <v>1.8433000000000028</v>
      </c>
      <c r="U8" s="15"/>
      <c r="V8" s="27" t="str">
        <f t="shared" ref="V8:V16" si="11">M8</f>
        <v>压力</v>
      </c>
      <c r="W8" s="59">
        <f>'M1'!B6*1</f>
        <v>27.245699999999999</v>
      </c>
      <c r="X8" s="59">
        <f>'M1'!C6*1</f>
        <v>1.80697</v>
      </c>
      <c r="Y8" s="59">
        <f>'M1'!D6*1</f>
        <v>6.6321399999999997</v>
      </c>
      <c r="Z8" s="59">
        <f>'M1'!E6*1</f>
        <v>20</v>
      </c>
      <c r="AA8" s="59">
        <f>'M1'!F6*1</f>
        <v>25.335100000000001</v>
      </c>
      <c r="AB8" s="59">
        <f>'M1'!G6*1</f>
        <v>40</v>
      </c>
      <c r="AC8" s="59">
        <f>'M1'!H6*1</f>
        <v>31.880199999999999</v>
      </c>
      <c r="AE8" s="27" t="str">
        <f t="shared" ref="AE8:AE16" si="12">V8</f>
        <v>压力</v>
      </c>
      <c r="AF8" s="59">
        <f>'M2'!B6*1</f>
        <v>31.096299999999999</v>
      </c>
      <c r="AG8" s="59">
        <f>'M2'!C6*1</f>
        <v>1.2563800000000001</v>
      </c>
      <c r="AH8" s="59">
        <f>'M2'!D6*1</f>
        <v>4.0403000000000002</v>
      </c>
      <c r="AI8" s="59">
        <f>'M2'!E6*1</f>
        <v>20</v>
      </c>
      <c r="AJ8" s="59">
        <f>'M2'!F6*1</f>
        <v>29.170300000000001</v>
      </c>
      <c r="AK8" s="59">
        <f>'M2'!G6*1</f>
        <v>40</v>
      </c>
      <c r="AL8" s="59">
        <f>'M2'!H6*1</f>
        <v>33.723500000000001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12.748000000000001</v>
      </c>
      <c r="D9" s="78">
        <f>N7</f>
        <v>2.1091000000000051</v>
      </c>
      <c r="E9" s="79">
        <f>T7</f>
        <v>-1.0259</v>
      </c>
      <c r="F9" s="79">
        <f>P7</f>
        <v>-9.1133000000000006</v>
      </c>
      <c r="G9" s="80" t="str">
        <f>CONCATENATE(M8,"
(20 ~ 40)")</f>
        <v>压力
(20 ~ 40)</v>
      </c>
      <c r="H9" s="77">
        <f>R8</f>
        <v>3.8352000000000004</v>
      </c>
      <c r="I9" s="81">
        <f>N8</f>
        <v>3.8506</v>
      </c>
      <c r="J9" s="77">
        <f>T8</f>
        <v>1.8433000000000028</v>
      </c>
      <c r="K9" s="82">
        <f>P8</f>
        <v>-2.5918399999999995</v>
      </c>
      <c r="L9" s="6"/>
      <c r="M9" s="27" t="str">
        <f>lang!B16</f>
        <v>焦虑</v>
      </c>
      <c r="N9" s="59">
        <f t="shared" si="4"/>
        <v>8.3961000000000006</v>
      </c>
      <c r="O9" s="59">
        <f t="shared" si="5"/>
        <v>8.4953699999999994</v>
      </c>
      <c r="P9" s="59">
        <f t="shared" si="6"/>
        <v>18.706300000000002</v>
      </c>
      <c r="Q9" s="59">
        <f t="shared" si="7"/>
        <v>0</v>
      </c>
      <c r="R9" s="59">
        <f t="shared" si="8"/>
        <v>-8.1832499999999992</v>
      </c>
      <c r="S9" s="59">
        <f t="shared" si="9"/>
        <v>0</v>
      </c>
      <c r="T9" s="59">
        <f t="shared" si="10"/>
        <v>7.4881999999999991</v>
      </c>
      <c r="U9" s="14"/>
      <c r="V9" s="27" t="str">
        <f t="shared" si="11"/>
        <v>焦虑</v>
      </c>
      <c r="W9" s="59">
        <f>'M1'!B7*1</f>
        <v>28.2364</v>
      </c>
      <c r="X9" s="59">
        <f>'M1'!C7*1</f>
        <v>5.5247299999999999</v>
      </c>
      <c r="Y9" s="59">
        <f>'M1'!D7*1</f>
        <v>19.565999999999999</v>
      </c>
      <c r="Z9" s="59">
        <f>'M1'!E7*1</f>
        <v>15</v>
      </c>
      <c r="AA9" s="59">
        <f>'M1'!F7*1</f>
        <v>14.581</v>
      </c>
      <c r="AB9" s="59">
        <f>'M1'!G7*1</f>
        <v>40</v>
      </c>
      <c r="AC9" s="59">
        <f>'M1'!H7*1</f>
        <v>43.884999999999998</v>
      </c>
      <c r="AE9" s="27" t="str">
        <f t="shared" si="12"/>
        <v>焦虑</v>
      </c>
      <c r="AF9" s="59">
        <f>'M2'!B7*1</f>
        <v>36.6325</v>
      </c>
      <c r="AG9" s="59">
        <f>'M2'!C7*1</f>
        <v>14.020099999999999</v>
      </c>
      <c r="AH9" s="59">
        <f>'M2'!D7*1</f>
        <v>38.272300000000001</v>
      </c>
      <c r="AI9" s="59">
        <f>'M2'!E7*1</f>
        <v>15</v>
      </c>
      <c r="AJ9" s="59">
        <f>'M2'!F7*1</f>
        <v>6.3977500000000003</v>
      </c>
      <c r="AK9" s="59">
        <f>'M2'!G7*1</f>
        <v>40</v>
      </c>
      <c r="AL9" s="59">
        <f>'M2'!H7*1</f>
        <v>51.373199999999997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-8.1832499999999992</v>
      </c>
      <c r="D10" s="51">
        <f>N9</f>
        <v>8.3961000000000006</v>
      </c>
      <c r="E10" s="53">
        <f>T9</f>
        <v>7.4881999999999991</v>
      </c>
      <c r="F10" s="53">
        <f>P9</f>
        <v>18.706300000000002</v>
      </c>
      <c r="G10" s="73" t="str">
        <f>CONCATENATE(M10,"
(20 ~ 50)")</f>
        <v>可疑
(20 ~ 50)</v>
      </c>
      <c r="H10" s="24">
        <f>R10</f>
        <v>0.49690000000000012</v>
      </c>
      <c r="I10" s="52">
        <f>N10</f>
        <v>7.0317999999999969</v>
      </c>
      <c r="J10" s="24">
        <f>T10</f>
        <v>0.50609999999999644</v>
      </c>
      <c r="K10" s="25">
        <f>P10</f>
        <v>1.8922000000000008</v>
      </c>
      <c r="L10" s="4"/>
      <c r="M10" s="27" t="str">
        <f>lang!B17</f>
        <v>可疑</v>
      </c>
      <c r="N10" s="59">
        <f t="shared" si="4"/>
        <v>7.0317999999999969</v>
      </c>
      <c r="O10" s="59">
        <f t="shared" si="5"/>
        <v>1.4913600000000002</v>
      </c>
      <c r="P10" s="59">
        <f t="shared" si="6"/>
        <v>1.8922000000000008</v>
      </c>
      <c r="Q10" s="59">
        <f t="shared" si="7"/>
        <v>0</v>
      </c>
      <c r="R10" s="59">
        <f t="shared" si="8"/>
        <v>0.49690000000000012</v>
      </c>
      <c r="S10" s="59">
        <f t="shared" si="9"/>
        <v>0</v>
      </c>
      <c r="T10" s="59">
        <f t="shared" si="10"/>
        <v>0.50609999999999644</v>
      </c>
      <c r="U10" s="14"/>
      <c r="V10" s="27" t="str">
        <f t="shared" si="11"/>
        <v>可疑</v>
      </c>
      <c r="W10" s="59">
        <f>'M1'!B8*1</f>
        <v>30.323</v>
      </c>
      <c r="X10" s="59">
        <f>'M1'!C8*1</f>
        <v>3.3832100000000001</v>
      </c>
      <c r="Y10" s="59">
        <f>'M1'!D8*1</f>
        <v>11.1572</v>
      </c>
      <c r="Z10" s="59">
        <f>'M1'!E8*1</f>
        <v>20</v>
      </c>
      <c r="AA10" s="59">
        <f>'M1'!F8*1</f>
        <v>24.671299999999999</v>
      </c>
      <c r="AB10" s="59">
        <f>'M1'!G8*1</f>
        <v>50</v>
      </c>
      <c r="AC10" s="59">
        <f>'M1'!H8*1</f>
        <v>40.070900000000002</v>
      </c>
      <c r="AE10" s="27" t="str">
        <f t="shared" si="12"/>
        <v>可疑</v>
      </c>
      <c r="AF10" s="59">
        <f>'M2'!B8*1</f>
        <v>37.354799999999997</v>
      </c>
      <c r="AG10" s="59">
        <f>'M2'!C8*1</f>
        <v>4.8745700000000003</v>
      </c>
      <c r="AH10" s="59">
        <f>'M2'!D8*1</f>
        <v>13.0494</v>
      </c>
      <c r="AI10" s="59">
        <f>'M2'!E8*1</f>
        <v>20</v>
      </c>
      <c r="AJ10" s="59">
        <f>'M2'!F8*1</f>
        <v>25.168199999999999</v>
      </c>
      <c r="AK10" s="59">
        <f>'M2'!G8*1</f>
        <v>50</v>
      </c>
      <c r="AL10" s="59">
        <f>'M2'!H8*1</f>
        <v>40.576999999999998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0.39550000000000551</v>
      </c>
      <c r="D11" s="52">
        <f>N11</f>
        <v>-7.371699999999997</v>
      </c>
      <c r="E11" s="24">
        <f>T11</f>
        <v>-9.0405000000000086</v>
      </c>
      <c r="F11" s="24">
        <f>P11</f>
        <v>-3.0756000000000014</v>
      </c>
      <c r="G11" s="73" t="str">
        <f>CONCATENATE(M12,"
(40 ~ 100)")</f>
        <v>自信
(40 ~ 100)</v>
      </c>
      <c r="H11" s="24">
        <f>R12</f>
        <v>-4.593199999999996</v>
      </c>
      <c r="I11" s="52">
        <f>N12</f>
        <v>-9.5900000000000034</v>
      </c>
      <c r="J11" s="24">
        <f>T12</f>
        <v>-8.6452000000000027</v>
      </c>
      <c r="K11" s="25">
        <f>P12</f>
        <v>-0.67987999999999937</v>
      </c>
      <c r="L11" s="4"/>
      <c r="M11" s="27" t="str">
        <f>lang!B18</f>
        <v>平衡</v>
      </c>
      <c r="N11" s="59">
        <f t="shared" si="4"/>
        <v>-7.371699999999997</v>
      </c>
      <c r="O11" s="59">
        <f t="shared" si="5"/>
        <v>-2.9264600000000005</v>
      </c>
      <c r="P11" s="59">
        <f t="shared" si="6"/>
        <v>-3.0756000000000014</v>
      </c>
      <c r="Q11" s="59">
        <f t="shared" si="7"/>
        <v>0</v>
      </c>
      <c r="R11" s="59">
        <f t="shared" si="8"/>
        <v>0.39550000000000551</v>
      </c>
      <c r="S11" s="59">
        <f t="shared" si="9"/>
        <v>0</v>
      </c>
      <c r="T11" s="59">
        <f t="shared" si="10"/>
        <v>-9.0405000000000086</v>
      </c>
      <c r="U11" s="14"/>
      <c r="V11" s="27" t="str">
        <f t="shared" si="11"/>
        <v>平衡</v>
      </c>
      <c r="W11" s="59">
        <f>'M1'!B9*1</f>
        <v>71.107799999999997</v>
      </c>
      <c r="X11" s="59">
        <f>'M1'!C9*1</f>
        <v>9.3202200000000008</v>
      </c>
      <c r="Y11" s="59">
        <f>'M1'!D9*1</f>
        <v>13.107200000000001</v>
      </c>
      <c r="Z11" s="59">
        <f>'M1'!E9*1</f>
        <v>50</v>
      </c>
      <c r="AA11" s="59">
        <f>'M1'!F9*1</f>
        <v>47.092799999999997</v>
      </c>
      <c r="AB11" s="59">
        <f>'M1'!G9*1</f>
        <v>100</v>
      </c>
      <c r="AC11" s="59">
        <f>'M1'!H9*1</f>
        <v>83.629000000000005</v>
      </c>
      <c r="AE11" s="27" t="str">
        <f t="shared" si="12"/>
        <v>平衡</v>
      </c>
      <c r="AF11" s="59">
        <f>'M2'!B9*1</f>
        <v>63.7361</v>
      </c>
      <c r="AG11" s="59">
        <f>'M2'!C9*1</f>
        <v>6.3937600000000003</v>
      </c>
      <c r="AH11" s="59">
        <f>'M2'!D9*1</f>
        <v>10.031599999999999</v>
      </c>
      <c r="AI11" s="59">
        <f>'M2'!E9*1</f>
        <v>50</v>
      </c>
      <c r="AJ11" s="59">
        <f>'M2'!F9*1</f>
        <v>47.488300000000002</v>
      </c>
      <c r="AK11" s="59">
        <f>'M2'!G9*1</f>
        <v>100</v>
      </c>
      <c r="AL11" s="59">
        <f>'M2'!H9*1</f>
        <v>74.588499999999996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2.3887999999999998</v>
      </c>
      <c r="D12" s="51">
        <f>N13</f>
        <v>-0.31790000000000163</v>
      </c>
      <c r="E12" s="53">
        <f>T13</f>
        <v>8.3500000000000796E-2</v>
      </c>
      <c r="F12" s="53">
        <f>P13</f>
        <v>-0.68310000000000315</v>
      </c>
      <c r="G12" s="73" t="str">
        <f>CONCATENATE(M14,"
(50 ~ 100)")</f>
        <v>自我调节
(50 ~ 100)</v>
      </c>
      <c r="H12" s="24">
        <f>R14</f>
        <v>-0.6583000000000041</v>
      </c>
      <c r="I12" s="52">
        <f>N14</f>
        <v>-8.6554999999999893</v>
      </c>
      <c r="J12" s="24">
        <f>T14</f>
        <v>-9.4288999999999987</v>
      </c>
      <c r="K12" s="25">
        <f>P14</f>
        <v>-2.2628000000000004</v>
      </c>
      <c r="L12" s="4"/>
      <c r="M12" s="27" t="str">
        <f>lang!B19</f>
        <v>自信</v>
      </c>
      <c r="N12" s="59">
        <f t="shared" si="4"/>
        <v>-9.5900000000000034</v>
      </c>
      <c r="O12" s="59">
        <f t="shared" si="5"/>
        <v>-0.93246000000000029</v>
      </c>
      <c r="P12" s="59">
        <f t="shared" si="6"/>
        <v>-0.67987999999999937</v>
      </c>
      <c r="Q12" s="59">
        <f t="shared" si="7"/>
        <v>0</v>
      </c>
      <c r="R12" s="59">
        <f t="shared" si="8"/>
        <v>-4.593199999999996</v>
      </c>
      <c r="S12" s="59">
        <f t="shared" si="9"/>
        <v>0</v>
      </c>
      <c r="T12" s="59">
        <f t="shared" si="10"/>
        <v>-8.6452000000000027</v>
      </c>
      <c r="U12" s="15"/>
      <c r="V12" s="27" t="str">
        <f t="shared" si="11"/>
        <v>自信</v>
      </c>
      <c r="W12" s="59">
        <f>'M1'!B10*1</f>
        <v>81.262900000000002</v>
      </c>
      <c r="X12" s="59">
        <f>'M1'!C10*1</f>
        <v>3.7721900000000002</v>
      </c>
      <c r="Y12" s="59">
        <f>'M1'!D10*1</f>
        <v>4.6419499999999996</v>
      </c>
      <c r="Z12" s="59">
        <f>'M1'!E10*1</f>
        <v>40</v>
      </c>
      <c r="AA12" s="59">
        <f>'M1'!F10*1</f>
        <v>71.454899999999995</v>
      </c>
      <c r="AB12" s="59">
        <f>'M1'!G10*1</f>
        <v>100</v>
      </c>
      <c r="AC12" s="59">
        <f>'M1'!H10*1</f>
        <v>85.660399999999996</v>
      </c>
      <c r="AE12" s="27" t="str">
        <f t="shared" si="12"/>
        <v>自信</v>
      </c>
      <c r="AF12" s="59">
        <f>'M2'!B10*1</f>
        <v>71.672899999999998</v>
      </c>
      <c r="AG12" s="59">
        <f>'M2'!C10*1</f>
        <v>2.8397299999999999</v>
      </c>
      <c r="AH12" s="59">
        <f>'M2'!D10*1</f>
        <v>3.9620700000000002</v>
      </c>
      <c r="AI12" s="59">
        <f>'M2'!E10*1</f>
        <v>40</v>
      </c>
      <c r="AJ12" s="59">
        <f>'M2'!F10*1</f>
        <v>66.861699999999999</v>
      </c>
      <c r="AK12" s="59">
        <f>'M2'!G10*1</f>
        <v>100</v>
      </c>
      <c r="AL12" s="59">
        <f>'M2'!H10*1</f>
        <v>77.015199999999993</v>
      </c>
    </row>
    <row r="13" spans="2:38" ht="25.5" customHeight="1" thickBot="1">
      <c r="B13" s="72" t="str">
        <f>CONCATENATE(M15,"
(10 ~ 25)")</f>
        <v>抑郁
(10 ~ 25)</v>
      </c>
      <c r="C13" s="54">
        <f>R15</f>
        <v>-1.9481999999999999</v>
      </c>
      <c r="D13" s="55">
        <f>N15</f>
        <v>1.3590000000000018</v>
      </c>
      <c r="E13" s="56">
        <f>T15</f>
        <v>2.8167999999999971</v>
      </c>
      <c r="F13" s="56">
        <f>P15</f>
        <v>3.5844999999999985</v>
      </c>
      <c r="G13" s="74" t="str">
        <f>CONCATENATE(M16,"
(10 ~ 50)")</f>
        <v>神经质
(10 ~ 50)</v>
      </c>
      <c r="H13" s="54">
        <f>R16</f>
        <v>-0.48976999999999982</v>
      </c>
      <c r="I13" s="55">
        <f>N16</f>
        <v>7.8339999999999996</v>
      </c>
      <c r="J13" s="56">
        <f>T16</f>
        <v>5.0793999999999997</v>
      </c>
      <c r="K13" s="57">
        <f>P16</f>
        <v>-9.0984000000000016</v>
      </c>
      <c r="M13" s="27" t="str">
        <f>lang!B20</f>
        <v>活力</v>
      </c>
      <c r="N13" s="59">
        <f t="shared" si="4"/>
        <v>-0.31790000000000163</v>
      </c>
      <c r="O13" s="59">
        <f t="shared" si="5"/>
        <v>-0.22424999999999962</v>
      </c>
      <c r="P13" s="59">
        <f t="shared" si="6"/>
        <v>-0.68310000000000315</v>
      </c>
      <c r="Q13" s="59">
        <f t="shared" si="7"/>
        <v>0</v>
      </c>
      <c r="R13" s="59">
        <f t="shared" si="8"/>
        <v>2.3887999999999998</v>
      </c>
      <c r="S13" s="59">
        <f t="shared" si="9"/>
        <v>0</v>
      </c>
      <c r="T13" s="59">
        <f t="shared" si="10"/>
        <v>8.3500000000000796E-2</v>
      </c>
      <c r="U13" s="14"/>
      <c r="V13" s="27" t="str">
        <f t="shared" si="11"/>
        <v>活力</v>
      </c>
      <c r="W13" s="59">
        <f>'M1'!B11*1</f>
        <v>22.653600000000001</v>
      </c>
      <c r="X13" s="59">
        <f>'M1'!C11*1</f>
        <v>5.1072499999999996</v>
      </c>
      <c r="Y13" s="59">
        <f>'M1'!D11*1</f>
        <v>22.545000000000002</v>
      </c>
      <c r="Z13" s="59">
        <f>'M1'!E11*1</f>
        <v>10</v>
      </c>
      <c r="AA13" s="59">
        <f>'M1'!F11*1</f>
        <v>11.3461</v>
      </c>
      <c r="AB13" s="59">
        <f>'M1'!G11*1</f>
        <v>50</v>
      </c>
      <c r="AC13" s="59">
        <f>'M1'!H11*1</f>
        <v>31.589099999999998</v>
      </c>
      <c r="AE13" s="27" t="str">
        <f t="shared" si="12"/>
        <v>活力</v>
      </c>
      <c r="AF13" s="59">
        <f>'M2'!B11*1</f>
        <v>22.335699999999999</v>
      </c>
      <c r="AG13" s="59">
        <f>'M2'!C11*1</f>
        <v>4.883</v>
      </c>
      <c r="AH13" s="59">
        <f>'M2'!D11*1</f>
        <v>21.861899999999999</v>
      </c>
      <c r="AI13" s="59">
        <f>'M2'!E11*1</f>
        <v>10</v>
      </c>
      <c r="AJ13" s="59">
        <f>'M2'!F11*1</f>
        <v>13.7349</v>
      </c>
      <c r="AK13" s="59">
        <f>'M2'!G11*1</f>
        <v>50</v>
      </c>
      <c r="AL13" s="59">
        <f>'M2'!H11*1</f>
        <v>31.672599999999999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-8.6554999999999893</v>
      </c>
      <c r="O14" s="59">
        <f t="shared" si="5"/>
        <v>-2.2371699999999999</v>
      </c>
      <c r="P14" s="59">
        <f t="shared" si="6"/>
        <v>-2.2628000000000004</v>
      </c>
      <c r="Q14" s="59">
        <f t="shared" si="7"/>
        <v>0</v>
      </c>
      <c r="R14" s="59">
        <f t="shared" si="8"/>
        <v>-0.6583000000000041</v>
      </c>
      <c r="S14" s="59">
        <f t="shared" si="9"/>
        <v>0</v>
      </c>
      <c r="T14" s="59">
        <f t="shared" si="10"/>
        <v>-9.4288999999999987</v>
      </c>
      <c r="U14" s="14"/>
      <c r="V14" s="27" t="str">
        <f t="shared" si="11"/>
        <v>自我调节</v>
      </c>
      <c r="W14" s="59">
        <f>'M1'!B12*1</f>
        <v>76.215999999999994</v>
      </c>
      <c r="X14" s="59">
        <f>'M1'!C12*1</f>
        <v>6.2379199999999999</v>
      </c>
      <c r="Y14" s="59">
        <f>'M1'!D12*1</f>
        <v>8.1845300000000005</v>
      </c>
      <c r="Z14" s="59">
        <f>'M1'!E12*1</f>
        <v>50</v>
      </c>
      <c r="AA14" s="59">
        <f>'M1'!F12*1</f>
        <v>60.268000000000001</v>
      </c>
      <c r="AB14" s="59">
        <f>'M1'!G12*1</f>
        <v>100</v>
      </c>
      <c r="AC14" s="59">
        <f>'M1'!H12*1</f>
        <v>83.334999999999994</v>
      </c>
      <c r="AE14" s="27" t="str">
        <f t="shared" si="12"/>
        <v>自我调节</v>
      </c>
      <c r="AF14" s="59">
        <f>'M2'!B12*1</f>
        <v>67.560500000000005</v>
      </c>
      <c r="AG14" s="59">
        <f>'M2'!C12*1</f>
        <v>4.00075</v>
      </c>
      <c r="AH14" s="59">
        <f>'M2'!D12*1</f>
        <v>5.9217300000000002</v>
      </c>
      <c r="AI14" s="59">
        <f>'M2'!E12*1</f>
        <v>50</v>
      </c>
      <c r="AJ14" s="59">
        <f>'M2'!F12*1</f>
        <v>59.609699999999997</v>
      </c>
      <c r="AK14" s="59">
        <f>'M2'!G12*1</f>
        <v>100</v>
      </c>
      <c r="AL14" s="59">
        <f>'M2'!H12*1</f>
        <v>73.906099999999995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1.3590000000000018</v>
      </c>
      <c r="O15" s="59">
        <f t="shared" si="5"/>
        <v>0.78339999999999987</v>
      </c>
      <c r="P15" s="59">
        <f t="shared" si="6"/>
        <v>3.5844999999999985</v>
      </c>
      <c r="Q15" s="59">
        <f t="shared" si="7"/>
        <v>0</v>
      </c>
      <c r="R15" s="59">
        <f t="shared" si="8"/>
        <v>-1.9481999999999999</v>
      </c>
      <c r="S15" s="59">
        <f t="shared" si="9"/>
        <v>0</v>
      </c>
      <c r="T15" s="59">
        <f t="shared" si="10"/>
        <v>2.8167999999999971</v>
      </c>
      <c r="U15" s="14"/>
      <c r="V15" s="27" t="str">
        <f t="shared" si="11"/>
        <v>抑郁</v>
      </c>
      <c r="W15" s="59">
        <f>'M1'!B13*1</f>
        <v>14.9879</v>
      </c>
      <c r="X15" s="59">
        <f>'M1'!C13*1</f>
        <v>2.1775899999999999</v>
      </c>
      <c r="Y15" s="59">
        <f>'M1'!D13*1</f>
        <v>14.529</v>
      </c>
      <c r="Z15" s="59">
        <f>'M1'!E13*1</f>
        <v>10</v>
      </c>
      <c r="AA15" s="59">
        <f>'M1'!F13*1</f>
        <v>12.6073</v>
      </c>
      <c r="AB15" s="59">
        <f>'M1'!G13*1</f>
        <v>25</v>
      </c>
      <c r="AC15" s="59">
        <f>'M1'!H13*1</f>
        <v>21.283000000000001</v>
      </c>
      <c r="AE15" s="27" t="str">
        <f t="shared" si="12"/>
        <v>抑郁</v>
      </c>
      <c r="AF15" s="59">
        <f>'M2'!B13*1</f>
        <v>16.346900000000002</v>
      </c>
      <c r="AG15" s="59">
        <f>'M2'!C13*1</f>
        <v>2.9609899999999998</v>
      </c>
      <c r="AH15" s="59">
        <f>'M2'!D13*1</f>
        <v>18.113499999999998</v>
      </c>
      <c r="AI15" s="59">
        <f>'M2'!E13*1</f>
        <v>10</v>
      </c>
      <c r="AJ15" s="59">
        <f>'M2'!F13*1</f>
        <v>10.6591</v>
      </c>
      <c r="AK15" s="59">
        <f>'M2'!G13*1</f>
        <v>25</v>
      </c>
      <c r="AL15" s="59">
        <f>'M2'!H13*1</f>
        <v>24.099799999999998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7.8339999999999996</v>
      </c>
      <c r="O16" s="59">
        <f t="shared" si="5"/>
        <v>0.17227999999999977</v>
      </c>
      <c r="P16" s="59">
        <f t="shared" si="6"/>
        <v>-9.0984000000000016</v>
      </c>
      <c r="Q16" s="59">
        <f t="shared" si="7"/>
        <v>0</v>
      </c>
      <c r="R16" s="59">
        <f t="shared" si="8"/>
        <v>-0.48976999999999982</v>
      </c>
      <c r="S16" s="59">
        <f t="shared" si="9"/>
        <v>0</v>
      </c>
      <c r="T16" s="59">
        <f t="shared" si="10"/>
        <v>5.0793999999999997</v>
      </c>
      <c r="U16" s="15"/>
      <c r="V16" s="27" t="str">
        <f t="shared" si="11"/>
        <v>神经质</v>
      </c>
      <c r="W16" s="59">
        <f>'M1'!B14*1</f>
        <v>21.7759</v>
      </c>
      <c r="X16" s="59">
        <f>'M1'!C14*1</f>
        <v>7.9673600000000002</v>
      </c>
      <c r="Y16" s="59">
        <f>'M1'!D14*1</f>
        <v>36.588000000000001</v>
      </c>
      <c r="Z16" s="59">
        <f>'M1'!E14*1</f>
        <v>10</v>
      </c>
      <c r="AA16" s="59">
        <f>'M1'!F14*1</f>
        <v>1.9156899999999999</v>
      </c>
      <c r="AB16" s="59">
        <f>'M1'!G14*1</f>
        <v>50</v>
      </c>
      <c r="AC16" s="59">
        <f>'M1'!H14*1</f>
        <v>25.174199999999999</v>
      </c>
      <c r="AE16" s="27" t="str">
        <f t="shared" si="12"/>
        <v>神经质</v>
      </c>
      <c r="AF16" s="59">
        <f>'M2'!B14*1</f>
        <v>29.6099</v>
      </c>
      <c r="AG16" s="59">
        <f>'M2'!C14*1</f>
        <v>8.13964</v>
      </c>
      <c r="AH16" s="59">
        <f>'M2'!D14*1</f>
        <v>27.489599999999999</v>
      </c>
      <c r="AI16" s="59">
        <f>'M2'!E14*1</f>
        <v>10</v>
      </c>
      <c r="AJ16" s="59">
        <f>'M2'!F14*1</f>
        <v>1.4259200000000001</v>
      </c>
      <c r="AK16" s="59">
        <f>'M2'!G14*1</f>
        <v>50</v>
      </c>
      <c r="AL16" s="59">
        <f>'M2'!H14*1</f>
        <v>30.253599999999999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-6.4837749999999978</v>
      </c>
      <c r="O17" s="22">
        <f>N17/(N17+N18+N19)</f>
        <v>-1.8741265310546638</v>
      </c>
      <c r="P17" s="65">
        <f>SUM(P11:P14)/4</f>
        <v>-1.675345000000001</v>
      </c>
      <c r="Q17" s="22">
        <f>P17/(P17+P18+P19)</f>
        <v>0.7584332863276978</v>
      </c>
      <c r="R17" s="14"/>
      <c r="S17" s="14"/>
      <c r="T17" s="14"/>
      <c r="U17" s="14"/>
      <c r="V17" s="21" t="str">
        <f>M17</f>
        <v>Positive</v>
      </c>
      <c r="W17" s="65">
        <f>SUM(W11:W14)/4</f>
        <v>62.810074999999998</v>
      </c>
      <c r="X17" s="22">
        <f>W17/(W17+W18+W19)</f>
        <v>0.56110621140082295</v>
      </c>
      <c r="Y17" s="65">
        <f>SUM(Y11:Y14)/4</f>
        <v>12.119670000000001</v>
      </c>
      <c r="Z17" s="22">
        <f>Y17/(Y17+Y18+Y19)</f>
        <v>0.23019849652736493</v>
      </c>
      <c r="AA17" s="14"/>
      <c r="AB17" s="14"/>
      <c r="AC17" s="14"/>
      <c r="AE17" s="21" t="str">
        <f>V17</f>
        <v>Positive</v>
      </c>
      <c r="AF17" s="65">
        <f>SUM(AF11:AF14)/4</f>
        <v>56.326300000000003</v>
      </c>
      <c r="AG17" s="22">
        <f>AF17/(AF17+AF18+AF19)</f>
        <v>0.48809893643248425</v>
      </c>
      <c r="AH17" s="65">
        <f>SUM(AH11:AH14)/4</f>
        <v>10.444324999999999</v>
      </c>
      <c r="AI17" s="22">
        <f>AH17/(AH17+AH18+AH19)</f>
        <v>0.20706505226772692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5.3469000000000007</v>
      </c>
      <c r="O18" s="22">
        <f>N18/(N17+N18+N19)</f>
        <v>1.5455143259746347</v>
      </c>
      <c r="P18" s="18">
        <f>SUM(P7:P10)/4</f>
        <v>2.2233400000000008</v>
      </c>
      <c r="Q18" s="22">
        <f>P18/(P17+P18+P19)</f>
        <v>-1.0065121290383909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30.747750000000003</v>
      </c>
      <c r="X18" s="22">
        <f>W18/(W17+W18+W19)</f>
        <v>0.27468130728389767</v>
      </c>
      <c r="Y18" s="18">
        <f>SUM(Y7:Y10)/4</f>
        <v>14.970610000000001</v>
      </c>
      <c r="Z18" s="22">
        <f>Y18/(Y17+Y18+Y19)</f>
        <v>0.28434865917120966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36.094650000000001</v>
      </c>
      <c r="AG18" s="22">
        <f>AF18/(AF17+AF18+AF19)</f>
        <v>0.31278035794829001</v>
      </c>
      <c r="AH18" s="18">
        <f>SUM(AH7:AH10)/4</f>
        <v>17.193950000000001</v>
      </c>
      <c r="AI18" s="22">
        <f>AH18/(AH17+AH18+AH19)</f>
        <v>0.34088044516411392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4.5965000000000007</v>
      </c>
      <c r="O19" s="22">
        <f>N19/(N17+N18+N19)</f>
        <v>1.3286122050800293</v>
      </c>
      <c r="P19" s="18">
        <f>(P15+P16)/2</f>
        <v>-2.7569500000000016</v>
      </c>
      <c r="Q19" s="22">
        <f>P19/(P17+P18+P19)</f>
        <v>1.2480788427106932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18.381900000000002</v>
      </c>
      <c r="X19" s="22">
        <f>W19/(W17+W18+W19)</f>
        <v>0.16421248131527927</v>
      </c>
      <c r="Y19" s="18">
        <f>(Y15+Y16)/2</f>
        <v>25.558500000000002</v>
      </c>
      <c r="Z19" s="22">
        <f>Y19/(Y17+Y18+Y19)</f>
        <v>0.48545284430142543</v>
      </c>
      <c r="AA19" s="14"/>
      <c r="AB19" s="14"/>
      <c r="AC19" s="14"/>
      <c r="AE19" s="21" t="str">
        <f t="shared" si="14"/>
        <v>Physiological</v>
      </c>
      <c r="AF19" s="18">
        <f>(AF15+AF16)/2</f>
        <v>22.978400000000001</v>
      </c>
      <c r="AG19" s="22">
        <f>AF19/(AF17+AF18+AF19)</f>
        <v>0.19912070561922576</v>
      </c>
      <c r="AH19" s="18">
        <f>(AH15+AH16)/2</f>
        <v>22.801549999999999</v>
      </c>
      <c r="AI19" s="22">
        <f>AH19/(AH17+AH18+AH19)</f>
        <v>0.45205450256815916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1.61/1.69</v>
      </c>
      <c r="D24" s="44" t="str">
        <f>lang!B11</f>
        <v>频率方差</v>
      </c>
      <c r="E24" s="182" t="str">
        <f ca="1">CONCATENATE(ROUND('FH1'!L3,2),"/",ROUND('FH2'!L3,2))</f>
        <v>0.6/0.62</v>
      </c>
      <c r="F24" s="183"/>
      <c r="G24" s="174" t="str">
        <f>lang!B12</f>
        <v>生理变化率</v>
      </c>
      <c r="H24" s="175"/>
      <c r="I24" s="62" t="str">
        <f ca="1">CONCATENATE(info!M7,"-",info!M8)</f>
        <v>36.7-54.7</v>
      </c>
      <c r="J24" s="42" t="str">
        <f>lang!B13</f>
        <v>千卡l/分钟</v>
      </c>
      <c r="K24" s="41" t="str">
        <f ca="1">CONCATENATE(info!M5,"-",info!M6)</f>
        <v>2.4-4.2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-0.58630000000000626</v>
      </c>
      <c r="F27" s="121"/>
      <c r="G27" s="135" t="str">
        <f>lang!B33</f>
        <v>稳定性</v>
      </c>
      <c r="H27" s="136"/>
      <c r="I27" s="137"/>
      <c r="J27" s="138">
        <f>dM!B19*100</f>
        <v>-5.2777000000000074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-0.93711929380267489</v>
      </c>
      <c r="C2">
        <f t="array" aca="1" ref="C2" ca="1">CORREL(FT_E02,FT_PH02)</f>
        <v>-0.77634148501621802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2.3857300000000001</v>
      </c>
      <c r="G2" s="61">
        <f>IF(FT!B2&lt;&gt;"",FT!B2*100,"")</f>
        <v>54.689900000000002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2.4495399999999998</v>
      </c>
      <c r="G3" s="61">
        <f>IF(FT!B3&lt;&gt;"",FT!B3*100,"")</f>
        <v>53.656499999999994</v>
      </c>
      <c r="H3" s="61">
        <f t="shared" ref="H3:H66" si="1">(IF(F3&lt;&gt;"",1,""))</f>
        <v>1</v>
      </c>
      <c r="I3" t="str">
        <f>IF(FT!B3&lt;&gt;"",FT!E3,"")</f>
        <v>1 [0.391385]</v>
      </c>
      <c r="J3">
        <f>IF(FT!B3&lt;&gt;"",FT!C3,"")</f>
        <v>0.39138499999999998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0.45348462162162162</v>
      </c>
      <c r="V3">
        <f ca="1">AVERAGE(OFFSET(FT!B2,info!$L$3/2,0,info!$L$3/2,1))</f>
        <v>0.427886472972973</v>
      </c>
      <c r="W3">
        <f ca="1">AVERAGE(OFFSET(FT!A2,0,0,info!$L$3/2,1))</f>
        <v>0.34761341891891889</v>
      </c>
      <c r="X3">
        <f ca="1">AVERAGE(OFFSET(FT!A2,info!$L$3/2,0,info!$L$3/2,1))</f>
        <v>0.3245519189189191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2.5112699999999997</v>
      </c>
      <c r="G4" s="61">
        <f>IF(FT!B4&lt;&gt;"",FT!B4*100,"")</f>
        <v>52.809399999999997</v>
      </c>
      <c r="H4" s="61">
        <f t="shared" si="1"/>
        <v>1</v>
      </c>
      <c r="I4" t="str">
        <f>IF(FT!B4&lt;&gt;"",FT!E4,"")</f>
        <v>1 [0.798711]</v>
      </c>
      <c r="J4">
        <f>IF(FT!B4&lt;&gt;"",FT!C4,"")</f>
        <v>0.79871099999999995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14.937950000000001</v>
      </c>
      <c r="V4">
        <f>U4*3</f>
        <v>44.813850000000002</v>
      </c>
      <c r="W4">
        <f>U4</f>
        <v>14.937950000000001</v>
      </c>
      <c r="X4">
        <f>V4</f>
        <v>44.813850000000002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2.5708199999999999</v>
      </c>
      <c r="G5" s="61">
        <f>IF(FT!B5&lt;&gt;"",FT!B5*100,"")</f>
        <v>52.084299999999992</v>
      </c>
      <c r="H5" s="61">
        <f t="shared" si="1"/>
        <v>1</v>
      </c>
      <c r="I5" t="str">
        <f>IF(FT!B5&lt;&gt;"",FT!E5,"")</f>
        <v>1 [1.204931]</v>
      </c>
      <c r="J5">
        <f>IF(FT!B5&lt;&gt;"",FT!C5,"")</f>
        <v>1.2049300000000001</v>
      </c>
      <c r="K5" t="s">
        <v>53</v>
      </c>
      <c r="L5" s="63">
        <f ca="1">MIN(FT_E)</f>
        <v>2.3857300000000001</v>
      </c>
      <c r="M5" s="63">
        <f ca="1">ROUND(L5,1)</f>
        <v>2.4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45.348462162162164</v>
      </c>
      <c r="V5">
        <f ca="1">V3*100</f>
        <v>42.788647297297302</v>
      </c>
      <c r="W5">
        <f ca="1">W3*10</f>
        <v>3.4761341891891888</v>
      </c>
      <c r="X5">
        <f ca="1">X3*10</f>
        <v>3.2455191891891912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2.6293800000000003</v>
      </c>
      <c r="G6" s="61">
        <f>IF(FT!B6&lt;&gt;"",FT!B6*100,"")</f>
        <v>51.454599999999992</v>
      </c>
      <c r="H6" s="61">
        <f t="shared" si="1"/>
        <v>1</v>
      </c>
      <c r="I6" t="str">
        <f>IF(FT!B6&lt;&gt;"",FT!E6,"")</f>
        <v>1 [1.608566]</v>
      </c>
      <c r="J6">
        <f>IF(FT!B6&lt;&gt;"",FT!C6,"")</f>
        <v>1.6085700000000001</v>
      </c>
      <c r="K6" t="s">
        <v>54</v>
      </c>
      <c r="L6" s="63">
        <f ca="1">MAX(FT_E)</f>
        <v>4.18607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2.6867799999999997</v>
      </c>
      <c r="G7" s="61">
        <f>IF(FT!B7&lt;&gt;"",FT!B7*100,"")</f>
        <v>50.910400000000003</v>
      </c>
      <c r="H7" s="61">
        <f t="shared" si="1"/>
        <v>1</v>
      </c>
      <c r="I7" t="str">
        <f>IF(FT!B7&lt;&gt;"",FT!E7,"")</f>
        <v>1 [2.017667]</v>
      </c>
      <c r="J7">
        <f>IF(FT!B7&lt;&gt;"",FT!C7,"")</f>
        <v>2.0176699999999999</v>
      </c>
      <c r="K7" t="s">
        <v>55</v>
      </c>
      <c r="L7" s="63">
        <f ca="1">MIN(FT_PH)</f>
        <v>36.734000000000002</v>
      </c>
      <c r="M7" s="63">
        <f ca="1">ROUND(L7,1)</f>
        <v>36.700000000000003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2211</v>
      </c>
      <c r="D8" s="61">
        <f>FH!B8*1</f>
        <v>2211</v>
      </c>
      <c r="E8">
        <f t="shared" si="3"/>
        <v>6</v>
      </c>
      <c r="F8" s="61">
        <f>IF(FT!A8&lt;&gt;"",FT!A8*10,"")</f>
        <v>2.7418300000000002</v>
      </c>
      <c r="G8" s="61">
        <f>IF(FT!B8&lt;&gt;"",FT!B8*100,"")</f>
        <v>50.448499999999996</v>
      </c>
      <c r="H8" s="61">
        <f t="shared" si="1"/>
        <v>1</v>
      </c>
      <c r="I8" t="str">
        <f>IF(FT!B8&lt;&gt;"",FT!E8,"")</f>
        <v>1 [2.421650]</v>
      </c>
      <c r="J8">
        <f>IF(FT!B8&lt;&gt;"",FT!C8,"")</f>
        <v>2.4216500000000001</v>
      </c>
      <c r="K8" t="s">
        <v>56</v>
      </c>
      <c r="L8" s="63">
        <f ca="1">MAX(FT_PH)</f>
        <v>54.689900000000002</v>
      </c>
      <c r="M8" s="63">
        <f ca="1">ROUND(L8,1)</f>
        <v>54.7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2.7927499999999998</v>
      </c>
      <c r="G9" s="61">
        <f>IF(FT!B9&lt;&gt;"",FT!B9*100,"")</f>
        <v>50.180800000000005</v>
      </c>
      <c r="H9" s="61">
        <f t="shared" si="1"/>
        <v>1</v>
      </c>
      <c r="I9" t="str">
        <f>IF(FT!B9&lt;&gt;"",FT!E9,"")</f>
        <v>1 [2.828303]</v>
      </c>
      <c r="J9">
        <f>IF(FT!B9&lt;&gt;"",FT!C9,"")</f>
        <v>2.8283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5449</v>
      </c>
      <c r="D10" s="61">
        <f>FH!B10*1</f>
        <v>5449</v>
      </c>
      <c r="E10">
        <f t="shared" si="3"/>
        <v>8</v>
      </c>
      <c r="F10" s="61">
        <f>IF(FT!A10&lt;&gt;"",FT!A10*10,"")</f>
        <v>2.8407500000000003</v>
      </c>
      <c r="G10" s="61">
        <f>IF(FT!B10&lt;&gt;"",FT!B10*100,"")</f>
        <v>50.072799999999994</v>
      </c>
      <c r="H10" s="61">
        <f t="shared" si="1"/>
        <v>1</v>
      </c>
      <c r="I10" t="str">
        <f>IF(FT!B10&lt;&gt;"",FT!E10,"")</f>
        <v>1 [3.235384]</v>
      </c>
      <c r="J10">
        <f>IF(FT!B10&lt;&gt;"",FT!C10,"")</f>
        <v>3.2353800000000001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2.8846400000000001</v>
      </c>
      <c r="G11" s="61">
        <f>IF(FT!B11&lt;&gt;"",FT!B11*100,"")</f>
        <v>50.121899999999997</v>
      </c>
      <c r="H11" s="61">
        <f t="shared" si="1"/>
        <v>1</v>
      </c>
      <c r="I11" t="str">
        <f>IF(FT!B11&lt;&gt;"",FT!E11,"")</f>
        <v>1 [3.642323]</v>
      </c>
      <c r="J11">
        <f>IF(FT!B11&lt;&gt;"",FT!C11,"")</f>
        <v>3.6423199999999998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2.9246100000000004</v>
      </c>
      <c r="G12" s="61">
        <f>IF(FT!B12&lt;&gt;"",FT!B12*100,"")</f>
        <v>50.285999999999994</v>
      </c>
      <c r="H12" s="61">
        <f t="shared" si="1"/>
        <v>1</v>
      </c>
      <c r="I12" t="str">
        <f>IF(FT!B12&lt;&gt;"",FT!E12,"")</f>
        <v>1 [4.045343]</v>
      </c>
      <c r="J12">
        <f>IF(FT!B12&lt;&gt;"",FT!C12,"")</f>
        <v>4.0453400000000004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9572</v>
      </c>
      <c r="D13" s="61">
        <f>FH!B13*1</f>
        <v>9572</v>
      </c>
      <c r="E13">
        <f t="shared" si="3"/>
        <v>11</v>
      </c>
      <c r="F13" s="61">
        <f>IF(FT!A13&lt;&gt;"",FT!A13*10,"")</f>
        <v>2.9606700000000004</v>
      </c>
      <c r="G13" s="61">
        <f>IF(FT!B13&lt;&gt;"",FT!B13*100,"")</f>
        <v>50.531400000000005</v>
      </c>
      <c r="H13" s="61">
        <f t="shared" si="1"/>
        <v>1</v>
      </c>
      <c r="I13" t="str">
        <f>IF(FT!B13&lt;&gt;"",FT!E13,"")</f>
        <v>1 [4.453995]</v>
      </c>
      <c r="J13">
        <f>IF(FT!B13&lt;&gt;"",FT!C13,"")</f>
        <v>4.4539900000000001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2.9948999999999999</v>
      </c>
      <c r="G14" s="61">
        <f>IF(FT!B14&lt;&gt;"",FT!B14*100,"")</f>
        <v>50.758600000000001</v>
      </c>
      <c r="H14" s="61">
        <f t="shared" si="1"/>
        <v>1</v>
      </c>
      <c r="I14" t="str">
        <f>IF(FT!B14&lt;&gt;"",FT!E14,"")</f>
        <v>1 [4.860582]</v>
      </c>
      <c r="J14">
        <f>IF(FT!B14&lt;&gt;"",FT!C14,"")</f>
        <v>4.8605799999999997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14822</v>
      </c>
      <c r="D15" s="61">
        <f>FH!B15*1</f>
        <v>14822</v>
      </c>
      <c r="E15">
        <f t="shared" si="3"/>
        <v>13</v>
      </c>
      <c r="F15" s="61">
        <f>IF(FT!A15&lt;&gt;"",FT!A15*10,"")</f>
        <v>3.0292599999999998</v>
      </c>
      <c r="G15" s="61">
        <f>IF(FT!B15&lt;&gt;"",FT!B15*100,"")</f>
        <v>50.987000000000002</v>
      </c>
      <c r="H15" s="61">
        <f t="shared" si="1"/>
        <v>1</v>
      </c>
      <c r="I15" t="str">
        <f>IF(FT!B15&lt;&gt;"",FT!E15,"")</f>
        <v>1 [5.269772]</v>
      </c>
      <c r="J15">
        <f>IF(FT!B15&lt;&gt;"",FT!C15,"")</f>
        <v>5.2697700000000003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3.0626500000000001</v>
      </c>
      <c r="G16" s="61">
        <f>IF(FT!B16&lt;&gt;"",FT!B16*100,"")</f>
        <v>51.200400000000002</v>
      </c>
      <c r="H16" s="61">
        <f t="shared" si="1"/>
        <v>1</v>
      </c>
      <c r="I16" t="str">
        <f>IF(FT!B16&lt;&gt;"",FT!E16,"")</f>
        <v>1 [5.674061]</v>
      </c>
      <c r="J16">
        <f>IF(FT!B16&lt;&gt;"",FT!C16,"")</f>
        <v>5.6740599999999999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3.0937799999999998</v>
      </c>
      <c r="G17" s="61">
        <f>IF(FT!B17&lt;&gt;"",FT!B17*100,"")</f>
        <v>51.321799999999996</v>
      </c>
      <c r="H17" s="61">
        <f t="shared" si="1"/>
        <v>1</v>
      </c>
      <c r="I17" t="str">
        <f>IF(FT!B17&lt;&gt;"",FT!E17,"")</f>
        <v>1 [6.079421]</v>
      </c>
      <c r="J17">
        <f>IF(FT!B17&lt;&gt;"",FT!C17,"")</f>
        <v>6.0794199999999998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17722</v>
      </c>
      <c r="D18" s="61">
        <f>FH!B18*1</f>
        <v>17722</v>
      </c>
      <c r="E18">
        <f t="shared" si="3"/>
        <v>16</v>
      </c>
      <c r="F18" s="61">
        <f>IF(FT!A18&lt;&gt;"",FT!A18*10,"")</f>
        <v>3.12317</v>
      </c>
      <c r="G18" s="61">
        <f>IF(FT!B18&lt;&gt;"",FT!B18*100,"")</f>
        <v>51.402300000000004</v>
      </c>
      <c r="H18" s="61">
        <f t="shared" si="1"/>
        <v>1</v>
      </c>
      <c r="I18" t="str">
        <f>IF(FT!B18&lt;&gt;"",FT!E18,"")</f>
        <v>1 [6.483431]</v>
      </c>
      <c r="J18">
        <f>IF(FT!B18&lt;&gt;"",FT!C18,"")</f>
        <v>6.4834300000000002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3.1517400000000002</v>
      </c>
      <c r="G19" s="61">
        <f>IF(FT!B19&lt;&gt;"",FT!B19*100,"")</f>
        <v>51.471699999999998</v>
      </c>
      <c r="H19" s="61">
        <f t="shared" si="1"/>
        <v>1</v>
      </c>
      <c r="I19" t="str">
        <f>IF(FT!B19&lt;&gt;"",FT!E19,"")</f>
        <v>1 [6.891049]</v>
      </c>
      <c r="J19">
        <f>IF(FT!B19&lt;&gt;"",FT!C19,"")</f>
        <v>6.8910499999999999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3.17889</v>
      </c>
      <c r="G20" s="61">
        <f>IF(FT!B20&lt;&gt;"",FT!B20*100,"")</f>
        <v>51.550899999999999</v>
      </c>
      <c r="H20" s="61">
        <f t="shared" si="1"/>
        <v>1</v>
      </c>
      <c r="I20" t="str">
        <f>IF(FT!B20&lt;&gt;"",FT!E20,"")</f>
        <v>1 [7.299289]</v>
      </c>
      <c r="J20">
        <f>IF(FT!B20&lt;&gt;"",FT!C20,"")</f>
        <v>7.2992900000000001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23064</v>
      </c>
      <c r="D21" s="61">
        <f>FH!B21*1</f>
        <v>23064</v>
      </c>
      <c r="E21">
        <f t="shared" si="3"/>
        <v>19</v>
      </c>
      <c r="F21" s="61">
        <f>IF(FT!A21&lt;&gt;"",FT!A21*10,"")</f>
        <v>3.2019799999999998</v>
      </c>
      <c r="G21" s="61">
        <f>IF(FT!B21&lt;&gt;"",FT!B21*100,"")</f>
        <v>51.563099999999991</v>
      </c>
      <c r="H21" s="61">
        <f t="shared" si="1"/>
        <v>1</v>
      </c>
      <c r="I21" t="str">
        <f>IF(FT!B21&lt;&gt;"",FT!E21,"")</f>
        <v>1 [7.704989]</v>
      </c>
      <c r="J21">
        <f>IF(FT!B21&lt;&gt;"",FT!C21,"")</f>
        <v>7.7049899999999996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3.2216299999999998</v>
      </c>
      <c r="G22" s="61">
        <f>IF(FT!B22&lt;&gt;"",FT!B22*100,"")</f>
        <v>51.489799999999995</v>
      </c>
      <c r="H22" s="61">
        <f t="shared" si="1"/>
        <v>1</v>
      </c>
      <c r="I22" t="str">
        <f>IF(FT!B22&lt;&gt;"",FT!E22,"")</f>
        <v>1 [8.108821]</v>
      </c>
      <c r="J22">
        <f>IF(FT!B22&lt;&gt;"",FT!C22,"")</f>
        <v>8.1088199999999997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30303</v>
      </c>
      <c r="D23" s="61">
        <f>FH!B23*1</f>
        <v>30303</v>
      </c>
      <c r="E23">
        <f t="shared" si="3"/>
        <v>21</v>
      </c>
      <c r="F23" s="61">
        <f>IF(FT!A23&lt;&gt;"",FT!A23*10,"")</f>
        <v>3.2367699999999999</v>
      </c>
      <c r="G23" s="61">
        <f>IF(FT!B23&lt;&gt;"",FT!B23*100,"")</f>
        <v>51.357799999999997</v>
      </c>
      <c r="H23" s="61">
        <f t="shared" si="1"/>
        <v>1</v>
      </c>
      <c r="I23" t="str">
        <f>IF(FT!B23&lt;&gt;"",FT!E23,"")</f>
        <v>1 [8.514192]</v>
      </c>
      <c r="J23">
        <f>IF(FT!B23&lt;&gt;"",FT!C23,"")</f>
        <v>8.5141899999999993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3.2478400000000001</v>
      </c>
      <c r="G24" s="61">
        <f>IF(FT!B24&lt;&gt;"",FT!B24*100,"")</f>
        <v>51.222299999999997</v>
      </c>
      <c r="H24" s="61">
        <f t="shared" si="1"/>
        <v>1</v>
      </c>
      <c r="I24" t="str">
        <f>IF(FT!B24&lt;&gt;"",FT!E24,"")</f>
        <v>1 [8.924037]</v>
      </c>
      <c r="J24">
        <f>IF(FT!B24&lt;&gt;"",FT!C24,"")</f>
        <v>8.9240399999999998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3.2548399999999997</v>
      </c>
      <c r="G25" s="61">
        <f>IF(FT!B25&lt;&gt;"",FT!B25*100,"")</f>
        <v>51.097899999999996</v>
      </c>
      <c r="H25" s="61">
        <f t="shared" si="1"/>
        <v>1</v>
      </c>
      <c r="I25" t="str">
        <f>IF(FT!B25&lt;&gt;"",FT!E25,"")</f>
        <v>1 [9.331516]</v>
      </c>
      <c r="J25">
        <f>IF(FT!B25&lt;&gt;"",FT!C25,"")</f>
        <v>9.3315199999999994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36416</v>
      </c>
      <c r="D26" s="61">
        <f>FH!B26*1</f>
        <v>36416</v>
      </c>
      <c r="E26">
        <f t="shared" si="3"/>
        <v>24</v>
      </c>
      <c r="F26" s="61">
        <f>IF(FT!A26&lt;&gt;"",FT!A26*10,"")</f>
        <v>3.2584499999999998</v>
      </c>
      <c r="G26" s="61">
        <f>IF(FT!B26&lt;&gt;"",FT!B26*100,"")</f>
        <v>50.957500000000003</v>
      </c>
      <c r="H26" s="61">
        <f t="shared" si="1"/>
        <v>1</v>
      </c>
      <c r="I26" t="str">
        <f>IF(FT!B26&lt;&gt;"",FT!E26,"")</f>
        <v>1 [9.734193]</v>
      </c>
      <c r="J26">
        <f>IF(FT!B26&lt;&gt;"",FT!C26,"")</f>
        <v>9.7341899999999999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3.2622900000000001</v>
      </c>
      <c r="G27" s="61">
        <f>IF(FT!B27&lt;&gt;"",FT!B27*100,"")</f>
        <v>50.783900000000003</v>
      </c>
      <c r="H27" s="61">
        <f t="shared" si="1"/>
        <v>1</v>
      </c>
      <c r="I27" t="str">
        <f>IF(FT!B27&lt;&gt;"",FT!E27,"")</f>
        <v>1 [10.141567]</v>
      </c>
      <c r="J27">
        <f>IF(FT!B27&lt;&gt;"",FT!C27,"")</f>
        <v>10.1416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46402</v>
      </c>
      <c r="D28" s="61">
        <f>FH!B28*1</f>
        <v>46402</v>
      </c>
      <c r="E28">
        <f t="shared" si="3"/>
        <v>26</v>
      </c>
      <c r="F28" s="61">
        <f>IF(FT!A28&lt;&gt;"",FT!A28*10,"")</f>
        <v>3.2667400000000004</v>
      </c>
      <c r="G28" s="61">
        <f>IF(FT!B28&lt;&gt;"",FT!B28*100,"")</f>
        <v>50.575299999999999</v>
      </c>
      <c r="H28" s="61">
        <f t="shared" si="1"/>
        <v>1</v>
      </c>
      <c r="I28" t="str">
        <f>IF(FT!B28&lt;&gt;"",FT!E28,"")</f>
        <v>1 [10.546708]</v>
      </c>
      <c r="J28">
        <f>IF(FT!B28&lt;&gt;"",FT!C28,"")</f>
        <v>10.5467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3.2705500000000001</v>
      </c>
      <c r="G29" s="61">
        <f>IF(FT!B29&lt;&gt;"",FT!B29*100,"")</f>
        <v>50.368199999999995</v>
      </c>
      <c r="H29" s="61">
        <f t="shared" si="1"/>
        <v>1</v>
      </c>
      <c r="I29" t="str">
        <f>IF(FT!B29&lt;&gt;"",FT!E29,"")</f>
        <v>1 [10.953945]</v>
      </c>
      <c r="J29">
        <f>IF(FT!B29&lt;&gt;"",FT!C29,"")</f>
        <v>10.953900000000001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3.2746300000000002</v>
      </c>
      <c r="G30" s="61">
        <f>IF(FT!B30&lt;&gt;"",FT!B30*100,"")</f>
        <v>50.0854</v>
      </c>
      <c r="H30" s="61">
        <f t="shared" si="1"/>
        <v>1</v>
      </c>
      <c r="I30" t="str">
        <f>IF(FT!B30&lt;&gt;"",FT!E30,"")</f>
        <v>1 [11.360073]</v>
      </c>
      <c r="J30">
        <f>IF(FT!B30&lt;&gt;"",FT!C30,"")</f>
        <v>11.360099999999999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62403</v>
      </c>
      <c r="D31" s="61">
        <f>FH!B31*1</f>
        <v>62403</v>
      </c>
      <c r="E31">
        <f t="shared" si="3"/>
        <v>29</v>
      </c>
      <c r="F31" s="61">
        <f>IF(FT!A31&lt;&gt;"",FT!A31*10,"")</f>
        <v>3.2774700000000001</v>
      </c>
      <c r="G31" s="61">
        <f>IF(FT!B31&lt;&gt;"",FT!B31*100,"")</f>
        <v>49.850999999999999</v>
      </c>
      <c r="H31" s="61">
        <f t="shared" si="1"/>
        <v>1</v>
      </c>
      <c r="I31" t="str">
        <f>IF(FT!B31&lt;&gt;"",FT!E31,"")</f>
        <v>1 [11.766793]</v>
      </c>
      <c r="J31">
        <f>IF(FT!B31&lt;&gt;"",FT!C31,"")</f>
        <v>11.7668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3.2777000000000003</v>
      </c>
      <c r="G32" s="61">
        <f>IF(FT!B32&lt;&gt;"",FT!B32*100,"")</f>
        <v>49.698900000000002</v>
      </c>
      <c r="H32" s="61">
        <f t="shared" si="1"/>
        <v>1</v>
      </c>
      <c r="I32" t="str">
        <f>IF(FT!B32&lt;&gt;"",FT!E32,"")</f>
        <v>1 [12.170136]</v>
      </c>
      <c r="J32">
        <f>IF(FT!B32&lt;&gt;"",FT!C32,"")</f>
        <v>12.1701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60813</v>
      </c>
      <c r="D33" s="61">
        <f>FH!B33*1</f>
        <v>60813</v>
      </c>
      <c r="E33">
        <f t="shared" si="3"/>
        <v>31</v>
      </c>
      <c r="F33" s="61">
        <f>IF(FT!A33&lt;&gt;"",FT!A33*10,"")</f>
        <v>3.2790999999999997</v>
      </c>
      <c r="G33" s="61">
        <f>IF(FT!B33&lt;&gt;"",FT!B33*100,"")</f>
        <v>49.568899999999999</v>
      </c>
      <c r="H33" s="61">
        <f t="shared" si="1"/>
        <v>1</v>
      </c>
      <c r="I33" t="str">
        <f>IF(FT!B33&lt;&gt;"",FT!E33,"")</f>
        <v>1 [12.577957]</v>
      </c>
      <c r="J33">
        <f>IF(FT!B33&lt;&gt;"",FT!C33,"")</f>
        <v>12.577999999999999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3.2874999999999996</v>
      </c>
      <c r="G34" s="61">
        <f>IF(FT!B34&lt;&gt;"",FT!B34*100,"")</f>
        <v>49.357500000000002</v>
      </c>
      <c r="H34" s="61">
        <f t="shared" si="1"/>
        <v>1</v>
      </c>
      <c r="I34" t="str">
        <f>IF(FT!B34&lt;&gt;"",FT!E34,"")</f>
        <v>1 [12.985820]</v>
      </c>
      <c r="J34">
        <f>IF(FT!B34&lt;&gt;"",FT!C34,"")</f>
        <v>12.985799999999999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3.2979000000000003</v>
      </c>
      <c r="G35" s="61">
        <f>IF(FT!B35&lt;&gt;"",FT!B35*100,"")</f>
        <v>49.075499999999998</v>
      </c>
      <c r="H35" s="61">
        <f t="shared" si="1"/>
        <v>1</v>
      </c>
      <c r="I35" t="str">
        <f>IF(FT!B35&lt;&gt;"",FT!E35,"")</f>
        <v>1 [13.390889]</v>
      </c>
      <c r="J35">
        <f>IF(FT!B35&lt;&gt;"",FT!C35,"")</f>
        <v>13.3909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68670</v>
      </c>
      <c r="D36" s="61">
        <f>FH!B36*1</f>
        <v>68670</v>
      </c>
      <c r="E36">
        <f t="shared" si="3"/>
        <v>34</v>
      </c>
      <c r="F36" s="61">
        <f>IF(FT!A36&lt;&gt;"",FT!A36*10,"")</f>
        <v>3.3150900000000001</v>
      </c>
      <c r="G36" s="61">
        <f>IF(FT!B36&lt;&gt;"",FT!B36*100,"")</f>
        <v>48.648400000000002</v>
      </c>
      <c r="H36" s="61">
        <f t="shared" si="1"/>
        <v>1</v>
      </c>
      <c r="I36" t="str">
        <f>IF(FT!B36&lt;&gt;"",FT!E36,"")</f>
        <v>1 [13.795995]</v>
      </c>
      <c r="J36">
        <f>IF(FT!B36&lt;&gt;"",FT!C36,"")</f>
        <v>13.795999999999999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3.3349099999999998</v>
      </c>
      <c r="G37" s="61">
        <f>IF(FT!B37&lt;&gt;"",FT!B37*100,"")</f>
        <v>48.2072</v>
      </c>
      <c r="H37" s="61">
        <f t="shared" si="1"/>
        <v>1</v>
      </c>
      <c r="I37" t="str">
        <f>IF(FT!B37&lt;&gt;"",FT!E37,"")</f>
        <v>1 [14.205961]</v>
      </c>
      <c r="J37">
        <f>IF(FT!B37&lt;&gt;"",FT!C37,"")</f>
        <v>14.206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3.3548</v>
      </c>
      <c r="G38" s="61">
        <f>IF(FT!B38&lt;&gt;"",FT!B38*100,"")</f>
        <v>47.822600000000001</v>
      </c>
      <c r="H38" s="61">
        <f t="shared" si="1"/>
        <v>1</v>
      </c>
      <c r="I38" t="str">
        <f>IF(FT!B38&lt;&gt;"",FT!E38,"")</f>
        <v>1 [14.613658]</v>
      </c>
      <c r="J38">
        <f>IF(FT!B38&lt;&gt;"",FT!C38,"")</f>
        <v>14.6137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71473</v>
      </c>
      <c r="D39" s="61">
        <f>FH!B39*1</f>
        <v>71473</v>
      </c>
      <c r="E39">
        <f t="shared" si="3"/>
        <v>37</v>
      </c>
      <c r="F39" s="61">
        <f>IF(FT!A39&lt;&gt;"",FT!A39*10,"")</f>
        <v>3.37765</v>
      </c>
      <c r="G39" s="61">
        <f>IF(FT!B39&lt;&gt;"",FT!B39*100,"")</f>
        <v>47.365600000000001</v>
      </c>
      <c r="H39" s="61">
        <f t="shared" si="1"/>
        <v>1</v>
      </c>
      <c r="I39" t="str">
        <f>IF(FT!B39&lt;&gt;"",FT!E39,"")</f>
        <v>1 [15.017918]</v>
      </c>
      <c r="J39">
        <f>IF(FT!B39&lt;&gt;"",FT!C39,"")</f>
        <v>15.017899999999999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3.4059200000000001</v>
      </c>
      <c r="G40" s="61">
        <f>IF(FT!B40&lt;&gt;"",FT!B40*100,"")</f>
        <v>46.742100000000001</v>
      </c>
      <c r="H40" s="61">
        <f t="shared" si="1"/>
        <v>1</v>
      </c>
      <c r="I40" t="str">
        <f>IF(FT!B40&lt;&gt;"",FT!E40,"")</f>
        <v>1 [15.421723]</v>
      </c>
      <c r="J40">
        <f>IF(FT!B40&lt;&gt;"",FT!C40,"")</f>
        <v>15.4217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74973</v>
      </c>
      <c r="D41" s="61">
        <f>FH!B41*1</f>
        <v>74973</v>
      </c>
      <c r="E41">
        <f t="shared" si="3"/>
        <v>39</v>
      </c>
      <c r="F41" s="61">
        <f>IF(FT!A41&lt;&gt;"",FT!A41*10,"")</f>
        <v>3.4338500000000001</v>
      </c>
      <c r="G41" s="61">
        <f>IF(FT!B41&lt;&gt;"",FT!B41*100,"")</f>
        <v>46.1494</v>
      </c>
      <c r="H41" s="61">
        <f t="shared" si="1"/>
        <v>1</v>
      </c>
      <c r="I41" t="str">
        <f>IF(FT!B41&lt;&gt;"",FT!E41,"")</f>
        <v>1 [15.827510]</v>
      </c>
      <c r="J41">
        <f>IF(FT!B41&lt;&gt;"",FT!C41,"")</f>
        <v>15.827500000000001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3.4620299999999999</v>
      </c>
      <c r="G42" s="61">
        <f>IF(FT!B42&lt;&gt;"",FT!B42*100,"")</f>
        <v>45.575400000000002</v>
      </c>
      <c r="H42" s="61">
        <f t="shared" si="1"/>
        <v>1</v>
      </c>
      <c r="I42" t="str">
        <f>IF(FT!B42&lt;&gt;"",FT!E42,"")</f>
        <v>1 [16.233624]</v>
      </c>
      <c r="J42">
        <f>IF(FT!B42&lt;&gt;"",FT!C42,"")</f>
        <v>16.233599999999999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3.4932099999999999</v>
      </c>
      <c r="G43" s="61">
        <f>IF(FT!B43&lt;&gt;"",FT!B43*100,"")</f>
        <v>44.910699999999999</v>
      </c>
      <c r="H43" s="61">
        <f t="shared" si="1"/>
        <v>1</v>
      </c>
      <c r="I43" t="str">
        <f>IF(FT!B43&lt;&gt;"",FT!E43,"")</f>
        <v>1 [16.642539]</v>
      </c>
      <c r="J43">
        <f>IF(FT!B43&lt;&gt;"",FT!C43,"")</f>
        <v>16.642499999999998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77235</v>
      </c>
      <c r="D44" s="61">
        <f>FH!B44*1</f>
        <v>77235</v>
      </c>
      <c r="E44">
        <f t="shared" si="3"/>
        <v>42</v>
      </c>
      <c r="F44" s="61">
        <f>IF(FT!A44&lt;&gt;"",FT!A44*10,"")</f>
        <v>3.5252699999999999</v>
      </c>
      <c r="G44" s="61">
        <f>IF(FT!B44&lt;&gt;"",FT!B44*100,"")</f>
        <v>44.251200000000004</v>
      </c>
      <c r="H44" s="61">
        <f t="shared" si="1"/>
        <v>1</v>
      </c>
      <c r="I44" t="str">
        <f>IF(FT!B44&lt;&gt;"",FT!E44,"")</f>
        <v>1 [17.047767]</v>
      </c>
      <c r="J44">
        <f>IF(FT!B44&lt;&gt;"",FT!C44,"")</f>
        <v>17.047799999999999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3.5582799999999999</v>
      </c>
      <c r="G45" s="61">
        <f>IF(FT!B45&lt;&gt;"",FT!B45*100,"")</f>
        <v>43.575499999999998</v>
      </c>
      <c r="H45" s="61">
        <f t="shared" si="1"/>
        <v>1</v>
      </c>
      <c r="I45" t="str">
        <f>IF(FT!B45&lt;&gt;"",FT!E45,"")</f>
        <v>1 [17.451079]</v>
      </c>
      <c r="J45">
        <f>IF(FT!B45&lt;&gt;"",FT!C45,"")</f>
        <v>17.4511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74985</v>
      </c>
      <c r="D46" s="61">
        <f>FH!B46*1</f>
        <v>74985</v>
      </c>
      <c r="E46">
        <f t="shared" si="3"/>
        <v>44</v>
      </c>
      <c r="F46" s="61">
        <f>IF(FT!A46&lt;&gt;"",FT!A46*10,"")</f>
        <v>3.5952600000000001</v>
      </c>
      <c r="G46" s="61">
        <f>IF(FT!B46&lt;&gt;"",FT!B46*100,"")</f>
        <v>42.842700000000001</v>
      </c>
      <c r="H46" s="61">
        <f t="shared" si="1"/>
        <v>1</v>
      </c>
      <c r="I46" t="str">
        <f>IF(FT!B46&lt;&gt;"",FT!E46,"")</f>
        <v>1 [17.860994]</v>
      </c>
      <c r="J46">
        <f>IF(FT!B46&lt;&gt;"",FT!C46,"")</f>
        <v>17.861000000000001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3.6315900000000001</v>
      </c>
      <c r="G47" s="61">
        <f>IF(FT!B47&lt;&gt;"",FT!B47*100,"")</f>
        <v>42.223399999999998</v>
      </c>
      <c r="H47" s="61">
        <f t="shared" si="1"/>
        <v>1</v>
      </c>
      <c r="I47" t="str">
        <f>IF(FT!B47&lt;&gt;"",FT!E47,"")</f>
        <v>1 [18.267702]</v>
      </c>
      <c r="J47">
        <f>IF(FT!B47&lt;&gt;"",FT!C47,"")</f>
        <v>18.267700000000001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3.67082</v>
      </c>
      <c r="G48" s="61">
        <f>IF(FT!B48&lt;&gt;"",FT!B48*100,"")</f>
        <v>41.560499999999998</v>
      </c>
      <c r="H48" s="61">
        <f t="shared" si="1"/>
        <v>1</v>
      </c>
      <c r="I48" t="str">
        <f>IF(FT!B48&lt;&gt;"",FT!E48,"")</f>
        <v>1 [18.673691]</v>
      </c>
      <c r="J48">
        <f>IF(FT!B48&lt;&gt;"",FT!C48,"")</f>
        <v>18.6737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76039</v>
      </c>
      <c r="D49" s="61">
        <f>FH!B49*1</f>
        <v>76039</v>
      </c>
      <c r="E49">
        <f t="shared" si="3"/>
        <v>47</v>
      </c>
      <c r="F49" s="61">
        <f>IF(FT!A49&lt;&gt;"",FT!A49*10,"")</f>
        <v>3.7149000000000001</v>
      </c>
      <c r="G49" s="61">
        <f>IF(FT!B49&lt;&gt;"",FT!B49*100,"")</f>
        <v>40.856900000000003</v>
      </c>
      <c r="H49" s="61">
        <f t="shared" si="1"/>
        <v>1</v>
      </c>
      <c r="I49" t="str">
        <f>IF(FT!B49&lt;&gt;"",FT!E49,"")</f>
        <v>1 [19.078111]</v>
      </c>
      <c r="J49">
        <f>IF(FT!B49&lt;&gt;"",FT!C49,"")</f>
        <v>19.078099999999999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3.7648999999999999</v>
      </c>
      <c r="G50" s="61">
        <f>IF(FT!B50&lt;&gt;"",FT!B50*100,"")</f>
        <v>40.015599999999999</v>
      </c>
      <c r="H50" s="61">
        <f t="shared" si="1"/>
        <v>1</v>
      </c>
      <c r="I50" t="str">
        <f>IF(FT!B50&lt;&gt;"",FT!E50,"")</f>
        <v>1 [19.484758]</v>
      </c>
      <c r="J50">
        <f>IF(FT!B50&lt;&gt;"",FT!C50,"")</f>
        <v>19.4848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84000</v>
      </c>
      <c r="D51" s="61">
        <f>FH!B51*1</f>
        <v>84000</v>
      </c>
      <c r="E51">
        <f t="shared" si="3"/>
        <v>49</v>
      </c>
      <c r="F51" s="61">
        <f>IF(FT!A51&lt;&gt;"",FT!A51*10,"")</f>
        <v>3.8136399999999999</v>
      </c>
      <c r="G51" s="61">
        <f>IF(FT!B51&lt;&gt;"",FT!B51*100,"")</f>
        <v>39.366900000000001</v>
      </c>
      <c r="H51" s="61">
        <f t="shared" si="1"/>
        <v>1</v>
      </c>
      <c r="I51" t="str">
        <f>IF(FT!B51&lt;&gt;"",FT!E51,"")</f>
        <v>1 [19.892298]</v>
      </c>
      <c r="J51">
        <f>IF(FT!B51&lt;&gt;"",FT!C51,"")</f>
        <v>19.892299999999999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3.8455599999999999</v>
      </c>
      <c r="G52" s="61">
        <f>IF(FT!B52&lt;&gt;"",FT!B52*100,"")</f>
        <v>39.017099999999999</v>
      </c>
      <c r="H52" s="61">
        <f t="shared" si="1"/>
        <v>1</v>
      </c>
      <c r="I52" t="str">
        <f>IF(FT!B52&lt;&gt;"",FT!E52,"")</f>
        <v>1 [20.295583]</v>
      </c>
      <c r="J52">
        <f>IF(FT!B52&lt;&gt;"",FT!C52,"")</f>
        <v>20.2956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3.8910899999999997</v>
      </c>
      <c r="G53" s="61">
        <f>IF(FT!B53&lt;&gt;"",FT!B53*100,"")</f>
        <v>38.494099999999996</v>
      </c>
      <c r="H53" s="61">
        <f t="shared" si="1"/>
        <v>1</v>
      </c>
      <c r="I53" t="str">
        <f>IF(FT!B53&lt;&gt;"",FT!E53,"")</f>
        <v>1 [20.704180]</v>
      </c>
      <c r="J53">
        <f>IF(FT!B53&lt;&gt;"",FT!C53,"")</f>
        <v>20.7042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100185</v>
      </c>
      <c r="D54" s="61">
        <f>FH!B54*1</f>
        <v>100185</v>
      </c>
      <c r="E54">
        <f t="shared" si="3"/>
        <v>52</v>
      </c>
      <c r="F54" s="61">
        <f>IF(FT!A54&lt;&gt;"",FT!A54*10,"")</f>
        <v>3.9350800000000001</v>
      </c>
      <c r="G54" s="61">
        <f>IF(FT!B54&lt;&gt;"",FT!B54*100,"")</f>
        <v>38.125399999999999</v>
      </c>
      <c r="H54" s="61">
        <f t="shared" si="1"/>
        <v>1</v>
      </c>
      <c r="I54" t="str">
        <f>IF(FT!B54&lt;&gt;"",FT!E54,"")</f>
        <v>1 [21.108950]</v>
      </c>
      <c r="J54">
        <f>IF(FT!B54&lt;&gt;"",FT!C54,"")</f>
        <v>21.109000000000002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3.97905</v>
      </c>
      <c r="G55" s="61">
        <f>IF(FT!B55&lt;&gt;"",FT!B55*100,"")</f>
        <v>37.899899999999995</v>
      </c>
      <c r="H55" s="61">
        <f t="shared" si="1"/>
        <v>1</v>
      </c>
      <c r="I55" t="str">
        <f>IF(FT!B55&lt;&gt;"",FT!E55,"")</f>
        <v>1 [21.513716]</v>
      </c>
      <c r="J55">
        <f>IF(FT!B55&lt;&gt;"",FT!C55,"")</f>
        <v>21.5137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4.0207600000000001</v>
      </c>
      <c r="G56" s="61">
        <f>IF(FT!B56&lt;&gt;"",FT!B56*100,"")</f>
        <v>37.826300000000003</v>
      </c>
      <c r="H56" s="61">
        <f t="shared" si="1"/>
        <v>1</v>
      </c>
      <c r="I56" t="str">
        <f>IF(FT!B56&lt;&gt;"",FT!E56,"")</f>
        <v>1 [21.919895]</v>
      </c>
      <c r="J56">
        <f>IF(FT!B56&lt;&gt;"",FT!C56,"")</f>
        <v>21.919899999999998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103794</v>
      </c>
      <c r="D57" s="61">
        <f>FH!B57*1</f>
        <v>103794</v>
      </c>
      <c r="E57">
        <f t="shared" si="3"/>
        <v>55</v>
      </c>
      <c r="F57" s="61">
        <f>IF(FT!A57&lt;&gt;"",FT!A57*10,"")</f>
        <v>4.0642499999999995</v>
      </c>
      <c r="G57" s="61">
        <f>IF(FT!B57&lt;&gt;"",FT!B57*100,"")</f>
        <v>37.911999999999999</v>
      </c>
      <c r="H57" s="61">
        <f t="shared" si="1"/>
        <v>1</v>
      </c>
      <c r="I57" t="str">
        <f>IF(FT!B57&lt;&gt;"",FT!E57,"")</f>
        <v>1 [22.329649]</v>
      </c>
      <c r="J57">
        <f>IF(FT!B57&lt;&gt;"",FT!C57,"")</f>
        <v>22.329599999999999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4.0936500000000002</v>
      </c>
      <c r="G58" s="61">
        <f>IF(FT!B58&lt;&gt;"",FT!B58*100,"")</f>
        <v>38.034199999999998</v>
      </c>
      <c r="H58" s="61">
        <f t="shared" si="1"/>
        <v>1</v>
      </c>
      <c r="I58" t="str">
        <f>IF(FT!B58&lt;&gt;"",FT!E58,"")</f>
        <v>1 [22.733675]</v>
      </c>
      <c r="J58">
        <f>IF(FT!B58&lt;&gt;"",FT!C58,"")</f>
        <v>22.733699999999999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109987</v>
      </c>
      <c r="D59" s="61">
        <f>FH!B59*1</f>
        <v>109987</v>
      </c>
      <c r="E59">
        <f t="shared" si="3"/>
        <v>57</v>
      </c>
      <c r="F59" s="61">
        <f>IF(FT!A59&lt;&gt;"",FT!A59*10,"")</f>
        <v>4.11822</v>
      </c>
      <c r="G59" s="61">
        <f>IF(FT!B59&lt;&gt;"",FT!B59*100,"")</f>
        <v>38.176700000000004</v>
      </c>
      <c r="H59" s="61">
        <f t="shared" si="1"/>
        <v>1</v>
      </c>
      <c r="I59" t="str">
        <f>IF(FT!B59&lt;&gt;"",FT!E59,"")</f>
        <v>1 [23.142097]</v>
      </c>
      <c r="J59">
        <f>IF(FT!B59&lt;&gt;"",FT!C59,"")</f>
        <v>23.142099999999999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4.1378599999999999</v>
      </c>
      <c r="G60" s="61">
        <f>IF(FT!B60&lt;&gt;"",FT!B60*100,"")</f>
        <v>38.371000000000002</v>
      </c>
      <c r="H60" s="61">
        <f t="shared" si="1"/>
        <v>1</v>
      </c>
      <c r="I60" t="str">
        <f>IF(FT!B60&lt;&gt;"",FT!E60,"")</f>
        <v>1 [23.545249]</v>
      </c>
      <c r="J60">
        <f>IF(FT!B60&lt;&gt;"",FT!C60,"")</f>
        <v>23.545200000000001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4.1524000000000001</v>
      </c>
      <c r="G61" s="61">
        <f>IF(FT!B61&lt;&gt;"",FT!B61*100,"")</f>
        <v>38.502399999999994</v>
      </c>
      <c r="H61" s="61">
        <f t="shared" si="1"/>
        <v>1</v>
      </c>
      <c r="I61" t="str">
        <f>IF(FT!B61&lt;&gt;"",FT!E61,"")</f>
        <v>1 [23.952923]</v>
      </c>
      <c r="J61">
        <f>IF(FT!B61&lt;&gt;"",FT!C61,"")</f>
        <v>23.9529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119355</v>
      </c>
      <c r="D62" s="61">
        <f>FH!B62*1</f>
        <v>119355</v>
      </c>
      <c r="E62">
        <f t="shared" si="3"/>
        <v>60</v>
      </c>
      <c r="F62" s="61">
        <f>IF(FT!A62&lt;&gt;"",FT!A62*10,"")</f>
        <v>4.16411</v>
      </c>
      <c r="G62" s="61">
        <f>IF(FT!B62&lt;&gt;"",FT!B62*100,"")</f>
        <v>38.587199999999996</v>
      </c>
      <c r="H62" s="61">
        <f t="shared" si="1"/>
        <v>1</v>
      </c>
      <c r="I62" t="str">
        <f>IF(FT!B62&lt;&gt;"",FT!E62,"")</f>
        <v>1 [24.359080]</v>
      </c>
      <c r="J62">
        <f>IF(FT!B62&lt;&gt;"",FT!C62,"")</f>
        <v>24.359100000000002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4.1784699999999999</v>
      </c>
      <c r="G63" s="61">
        <f>IF(FT!B63&lt;&gt;"",FT!B63*100,"")</f>
        <v>38.578800000000001</v>
      </c>
      <c r="H63" s="61">
        <f t="shared" si="1"/>
        <v>1</v>
      </c>
      <c r="I63" t="str">
        <f>IF(FT!B63&lt;&gt;"",FT!E63,"")</f>
        <v>1 [24.767130]</v>
      </c>
      <c r="J63">
        <f>IF(FT!B63&lt;&gt;"",FT!C63,"")</f>
        <v>24.767099999999999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125156</v>
      </c>
      <c r="D64" s="61">
        <f>FH!B64*1</f>
        <v>125156</v>
      </c>
      <c r="E64">
        <f t="shared" si="3"/>
        <v>62</v>
      </c>
      <c r="F64" s="61">
        <f>IF(FT!A64&lt;&gt;"",FT!A64*10,"")</f>
        <v>4.18607</v>
      </c>
      <c r="G64" s="61">
        <f>IF(FT!B64&lt;&gt;"",FT!B64*100,"")</f>
        <v>38.543900000000001</v>
      </c>
      <c r="H64" s="61">
        <f t="shared" si="1"/>
        <v>1</v>
      </c>
      <c r="I64" t="str">
        <f>IF(FT!B64&lt;&gt;"",FT!E64,"")</f>
        <v>1 [25.175788]</v>
      </c>
      <c r="J64">
        <f>IF(FT!B64&lt;&gt;"",FT!C64,"")</f>
        <v>25.175799999999999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4.1854200000000006</v>
      </c>
      <c r="G65" s="61">
        <f>IF(FT!B65&lt;&gt;"",FT!B65*100,"")</f>
        <v>38.502700000000004</v>
      </c>
      <c r="H65" s="61">
        <f t="shared" si="1"/>
        <v>1</v>
      </c>
      <c r="I65" t="str">
        <f>IF(FT!B65&lt;&gt;"",FT!E65,"")</f>
        <v>1 [25.578185]</v>
      </c>
      <c r="J65">
        <f>IF(FT!B65&lt;&gt;"",FT!C65,"")</f>
        <v>25.578199999999999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4.18248</v>
      </c>
      <c r="G66" s="61">
        <f>IF(FT!B66&lt;&gt;"",FT!B66*100,"")</f>
        <v>38.434200000000004</v>
      </c>
      <c r="H66" s="61">
        <f t="shared" si="1"/>
        <v>1</v>
      </c>
      <c r="I66" t="str">
        <f>IF(FT!B66&lt;&gt;"",FT!E66,"")</f>
        <v>1 [25.985771]</v>
      </c>
      <c r="J66">
        <f>IF(FT!B66&lt;&gt;"",FT!C66,"")</f>
        <v>25.985800000000001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136240</v>
      </c>
      <c r="D67" s="61">
        <f>FH!B67*1</f>
        <v>136240</v>
      </c>
      <c r="E67">
        <f t="shared" si="3"/>
        <v>65</v>
      </c>
      <c r="F67" s="61">
        <f>IF(FT!A67&lt;&gt;"",FT!A67*10,"")</f>
        <v>4.18363</v>
      </c>
      <c r="G67" s="61">
        <f>IF(FT!B67&lt;&gt;"",FT!B67*100,"")</f>
        <v>38.3187</v>
      </c>
      <c r="H67" s="61">
        <f t="shared" ref="H67:H130" si="9">(IF(F67&lt;&gt;"",1,""))</f>
        <v>1</v>
      </c>
      <c r="I67" t="str">
        <f>IF(FT!B67&lt;&gt;"",FT!E67,"")</f>
        <v>1 [26.390454]</v>
      </c>
      <c r="J67">
        <f>IF(FT!B67&lt;&gt;"",FT!C67,"")</f>
        <v>26.390499999999999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4.1708499999999997</v>
      </c>
      <c r="G68" s="61">
        <f>IF(FT!B68&lt;&gt;"",FT!B68*100,"")</f>
        <v>38.188499999999998</v>
      </c>
      <c r="H68" s="61">
        <f t="shared" si="9"/>
        <v>1</v>
      </c>
      <c r="I68" t="str">
        <f>IF(FT!B68&lt;&gt;"",FT!E68,"")</f>
        <v>1 [26.796940]</v>
      </c>
      <c r="J68">
        <f>IF(FT!B68&lt;&gt;"",FT!C68,"")</f>
        <v>26.796900000000001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138812</v>
      </c>
      <c r="D69" s="61">
        <f>FH!B69*1</f>
        <v>138812</v>
      </c>
      <c r="E69">
        <f t="shared" si="11"/>
        <v>67</v>
      </c>
      <c r="F69" s="61">
        <f>IF(FT!A69&lt;&gt;"",FT!A69*10,"")</f>
        <v>4.1435899999999997</v>
      </c>
      <c r="G69" s="61">
        <f>IF(FT!B69&lt;&gt;"",FT!B69*100,"")</f>
        <v>37.997799999999998</v>
      </c>
      <c r="H69" s="61">
        <f t="shared" si="9"/>
        <v>1</v>
      </c>
      <c r="I69" t="str">
        <f>IF(FT!B69&lt;&gt;"",FT!E69,"")</f>
        <v>1 [27.205140]</v>
      </c>
      <c r="J69">
        <f>IF(FT!B69&lt;&gt;"",FT!C69,"")</f>
        <v>27.205100000000002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4.1327599999999993</v>
      </c>
      <c r="G70" s="61">
        <f>IF(FT!B70&lt;&gt;"",FT!B70*100,"")</f>
        <v>37.829599999999999</v>
      </c>
      <c r="H70" s="61">
        <f t="shared" si="9"/>
        <v>1</v>
      </c>
      <c r="I70" t="str">
        <f>IF(FT!B70&lt;&gt;"",FT!E70,"")</f>
        <v>1 [27.607772]</v>
      </c>
      <c r="J70">
        <f>IF(FT!B70&lt;&gt;"",FT!C70,"")</f>
        <v>27.607800000000001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4.1042000000000005</v>
      </c>
      <c r="G71" s="61">
        <f>IF(FT!B71&lt;&gt;"",FT!B71*100,"")</f>
        <v>37.601199999999999</v>
      </c>
      <c r="H71" s="61">
        <f t="shared" si="9"/>
        <v>1</v>
      </c>
      <c r="I71" t="str">
        <f>IF(FT!B71&lt;&gt;"",FT!E71,"")</f>
        <v>1 [28.014665]</v>
      </c>
      <c r="J71">
        <f>IF(FT!B71&lt;&gt;"",FT!C71,"")</f>
        <v>28.014700000000001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145974</v>
      </c>
      <c r="D72" s="61">
        <f>FH!B72*1</f>
        <v>145974</v>
      </c>
      <c r="E72">
        <f t="shared" si="11"/>
        <v>70</v>
      </c>
      <c r="F72" s="61">
        <f>IF(FT!A72&lt;&gt;"",FT!A72*10,"")</f>
        <v>4.0571800000000007</v>
      </c>
      <c r="G72" s="61">
        <f>IF(FT!B72&lt;&gt;"",FT!B72*100,"")</f>
        <v>37.168300000000002</v>
      </c>
      <c r="H72" s="61">
        <f t="shared" si="9"/>
        <v>1</v>
      </c>
      <c r="I72" t="str">
        <f>IF(FT!B72&lt;&gt;"",FT!E72,"")</f>
        <v>1 [28.422159]</v>
      </c>
      <c r="J72">
        <f>IF(FT!B72&lt;&gt;"",FT!C72,"")</f>
        <v>28.4222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4.0182400000000005</v>
      </c>
      <c r="G73" s="61">
        <f>IF(FT!B73&lt;&gt;"",FT!B73*100,"")</f>
        <v>36.894599999999997</v>
      </c>
      <c r="H73" s="61">
        <f t="shared" si="9"/>
        <v>1</v>
      </c>
      <c r="I73" t="str">
        <f>IF(FT!B73&lt;&gt;"",FT!E73,"")</f>
        <v>1 [28.830988]</v>
      </c>
      <c r="J73">
        <f>IF(FT!B73&lt;&gt;"",FT!C73,"")</f>
        <v>28.831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3.9725799999999998</v>
      </c>
      <c r="G74" s="61">
        <f>IF(FT!B74&lt;&gt;"",FT!B74*100,"")</f>
        <v>36.734000000000002</v>
      </c>
      <c r="H74" s="61">
        <f t="shared" si="9"/>
        <v>1</v>
      </c>
      <c r="I74" t="str">
        <f>IF(FT!B74&lt;&gt;"",FT!E74,"")</f>
        <v>1 [29.236755]</v>
      </c>
      <c r="J74">
        <f>IF(FT!B74&lt;&gt;"",FT!C74,"")</f>
        <v>29.236799999999999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157399</v>
      </c>
      <c r="D75" s="61">
        <f>FH!B75*1</f>
        <v>157399</v>
      </c>
      <c r="E75">
        <f t="shared" si="11"/>
        <v>73</v>
      </c>
      <c r="F75" s="61">
        <f>IF(FT!A75&lt;&gt;"",FT!A75*10,"")</f>
        <v>3.9357599999999997</v>
      </c>
      <c r="G75" s="61">
        <f>IF(FT!B75&lt;&gt;"",FT!B75*100,"")</f>
        <v>36.941299999999998</v>
      </c>
      <c r="H75" s="61">
        <f t="shared" si="9"/>
        <v>1</v>
      </c>
      <c r="I75" t="str">
        <f>IF(FT!B75&lt;&gt;"",FT!E75,"")</f>
        <v>1 [29.641483]</v>
      </c>
      <c r="J75">
        <f>IF(FT!B75&lt;&gt;"",FT!C75,"")</f>
        <v>29.641500000000001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3.8659500000000002</v>
      </c>
      <c r="G76" s="61">
        <f>IF(FT!B76&lt;&gt;"",FT!B76*100,"")</f>
        <v>36.8857</v>
      </c>
      <c r="H76" s="61">
        <f t="shared" si="9"/>
        <v>1</v>
      </c>
      <c r="I76" t="str">
        <f>IF(FT!B76&lt;&gt;"",FT!E76,"")</f>
        <v>2 [30.046337]</v>
      </c>
      <c r="J76">
        <f>IF(FT!B76&lt;&gt;"",FT!C76,"")</f>
        <v>30.046299999999999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153103</v>
      </c>
      <c r="D77" s="61">
        <f>FH!B77*1</f>
        <v>153103</v>
      </c>
      <c r="E77">
        <f t="shared" si="11"/>
        <v>75</v>
      </c>
      <c r="F77" s="61">
        <f>IF(FT!A77&lt;&gt;"",FT!A77*10,"")</f>
        <v>3.8065300000000004</v>
      </c>
      <c r="G77" s="61">
        <f>IF(FT!B77&lt;&gt;"",FT!B77*100,"")</f>
        <v>37.0336</v>
      </c>
      <c r="H77" s="61">
        <f t="shared" si="9"/>
        <v>1</v>
      </c>
      <c r="I77" t="str">
        <f>IF(FT!B77&lt;&gt;"",FT!E77,"")</f>
        <v>2 [30.621639]</v>
      </c>
      <c r="J77">
        <f>IF(FT!B77&lt;&gt;"",FT!C77,"")</f>
        <v>30.621600000000001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3.7446700000000002</v>
      </c>
      <c r="G78" s="61">
        <f>IF(FT!B78&lt;&gt;"",FT!B78*100,"")</f>
        <v>37.26</v>
      </c>
      <c r="H78" s="61">
        <f t="shared" si="9"/>
        <v>1</v>
      </c>
      <c r="I78" t="str">
        <f>IF(FT!B78&lt;&gt;"",FT!E78,"")</f>
        <v>2 [30.997708]</v>
      </c>
      <c r="J78">
        <f>IF(FT!B78&lt;&gt;"",FT!C78,"")</f>
        <v>30.997699999999998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3.6802099999999998</v>
      </c>
      <c r="G79" s="61">
        <f>IF(FT!B79&lt;&gt;"",FT!B79*100,"")</f>
        <v>37.569699999999997</v>
      </c>
      <c r="H79" s="61">
        <f t="shared" si="9"/>
        <v>1</v>
      </c>
      <c r="I79" t="str">
        <f>IF(FT!B79&lt;&gt;"",FT!E79,"")</f>
        <v>2 [31.374279]</v>
      </c>
      <c r="J79">
        <f>IF(FT!B79&lt;&gt;"",FT!C79,"")</f>
        <v>31.374300000000002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155568</v>
      </c>
      <c r="D80" s="61">
        <f>FH!B80*1</f>
        <v>155568</v>
      </c>
      <c r="E80">
        <f t="shared" si="11"/>
        <v>78</v>
      </c>
      <c r="F80" s="61">
        <f>IF(FT!A80&lt;&gt;"",FT!A80*10,"")</f>
        <v>3.6144400000000001</v>
      </c>
      <c r="G80" s="61">
        <f>IF(FT!B80&lt;&gt;"",FT!B80*100,"")</f>
        <v>37.932000000000002</v>
      </c>
      <c r="H80" s="61">
        <f t="shared" si="9"/>
        <v>1</v>
      </c>
      <c r="I80" t="str">
        <f>IF(FT!B80&lt;&gt;"",FT!E80,"")</f>
        <v>2 [31.749167]</v>
      </c>
      <c r="J80">
        <f>IF(FT!B80&lt;&gt;"",FT!C80,"")</f>
        <v>31.749199999999998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3.5474600000000001</v>
      </c>
      <c r="G81" s="61">
        <f>IF(FT!B81&lt;&gt;"",FT!B81*100,"")</f>
        <v>38.379200000000004</v>
      </c>
      <c r="H81" s="61">
        <f t="shared" si="9"/>
        <v>1</v>
      </c>
      <c r="I81" t="str">
        <f>IF(FT!B81&lt;&gt;"",FT!E81,"")</f>
        <v>2 [32.125213]</v>
      </c>
      <c r="J81">
        <f>IF(FT!B81&lt;&gt;"",FT!C81,"")</f>
        <v>32.1252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154344</v>
      </c>
      <c r="D82" s="61">
        <f>FH!B82*1</f>
        <v>154344</v>
      </c>
      <c r="E82">
        <f t="shared" si="11"/>
        <v>80</v>
      </c>
      <c r="F82" s="61">
        <f>IF(FT!A82&lt;&gt;"",FT!A82*10,"")</f>
        <v>3.4845799999999998</v>
      </c>
      <c r="G82" s="61">
        <f>IF(FT!B82&lt;&gt;"",FT!B82*100,"")</f>
        <v>38.812799999999996</v>
      </c>
      <c r="H82" s="61">
        <f t="shared" si="9"/>
        <v>1</v>
      </c>
      <c r="I82" t="str">
        <f>IF(FT!B82&lt;&gt;"",FT!E82,"")</f>
        <v>2 [32.530272]</v>
      </c>
      <c r="J82">
        <f>IF(FT!B82&lt;&gt;"",FT!C82,"")</f>
        <v>32.530299999999997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3.42144</v>
      </c>
      <c r="G83" s="61">
        <f>IF(FT!B83&lt;&gt;"",FT!B83*100,"")</f>
        <v>39.174599999999998</v>
      </c>
      <c r="H83" s="61">
        <f t="shared" si="9"/>
        <v>1</v>
      </c>
      <c r="I83" t="str">
        <f>IF(FT!B83&lt;&gt;"",FT!E83,"")</f>
        <v>2 [32.936752]</v>
      </c>
      <c r="J83">
        <f>IF(FT!B83&lt;&gt;"",FT!C83,"")</f>
        <v>32.936799999999998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3.3596199999999996</v>
      </c>
      <c r="G84" s="61">
        <f>IF(FT!B84&lt;&gt;"",FT!B84*100,"")</f>
        <v>39.379300000000001</v>
      </c>
      <c r="H84" s="61">
        <f t="shared" si="9"/>
        <v>1</v>
      </c>
      <c r="I84" t="str">
        <f>IF(FT!B84&lt;&gt;"",FT!E84,"")</f>
        <v>2 [33.346064]</v>
      </c>
      <c r="J84">
        <f>IF(FT!B84&lt;&gt;"",FT!C84,"")</f>
        <v>33.3461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153425</v>
      </c>
      <c r="D85" s="61">
        <f>FH!B85*1</f>
        <v>153425</v>
      </c>
      <c r="E85">
        <f t="shared" si="11"/>
        <v>83</v>
      </c>
      <c r="F85" s="61">
        <f>IF(FT!A85&lt;&gt;"",FT!A85*10,"")</f>
        <v>3.2971400000000002</v>
      </c>
      <c r="G85" s="61">
        <f>IF(FT!B85&lt;&gt;"",FT!B85*100,"")</f>
        <v>39.513399999999997</v>
      </c>
      <c r="H85" s="61">
        <f t="shared" si="9"/>
        <v>1</v>
      </c>
      <c r="I85" t="str">
        <f>IF(FT!B85&lt;&gt;"",FT!E85,"")</f>
        <v>2 [33.749069]</v>
      </c>
      <c r="J85">
        <f>IF(FT!B85&lt;&gt;"",FT!C85,"")</f>
        <v>33.749099999999999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3.2301400000000005</v>
      </c>
      <c r="G86" s="61">
        <f>IF(FT!B86&lt;&gt;"",FT!B86*100,"")</f>
        <v>39.861799999999995</v>
      </c>
      <c r="H86" s="61">
        <f t="shared" si="9"/>
        <v>1</v>
      </c>
      <c r="I86" t="str">
        <f>IF(FT!B86&lt;&gt;"",FT!E86,"")</f>
        <v>2 [34.158102]</v>
      </c>
      <c r="J86">
        <f>IF(FT!B86&lt;&gt;"",FT!C86,"")</f>
        <v>34.158099999999997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3.1621899999999998</v>
      </c>
      <c r="G87" s="61">
        <f>IF(FT!B87&lt;&gt;"",FT!B87*100,"")</f>
        <v>40.528799999999997</v>
      </c>
      <c r="H87" s="61">
        <f t="shared" si="9"/>
        <v>1</v>
      </c>
      <c r="I87" t="str">
        <f>IF(FT!B87&lt;&gt;"",FT!E87,"")</f>
        <v>2 [34.564072]</v>
      </c>
      <c r="J87">
        <f>IF(FT!B87&lt;&gt;"",FT!C87,"")</f>
        <v>34.564100000000003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156405</v>
      </c>
      <c r="D88" s="61">
        <f>FH!B88*1</f>
        <v>156405</v>
      </c>
      <c r="E88">
        <f t="shared" si="11"/>
        <v>86</v>
      </c>
      <c r="F88" s="61">
        <f>IF(FT!A88&lt;&gt;"",FT!A88*10,"")</f>
        <v>3.09687</v>
      </c>
      <c r="G88" s="61">
        <f>IF(FT!B88&lt;&gt;"",FT!B88*100,"")</f>
        <v>41.369699999999995</v>
      </c>
      <c r="H88" s="61">
        <f t="shared" si="9"/>
        <v>1</v>
      </c>
      <c r="I88" t="str">
        <f>IF(FT!B88&lt;&gt;"",FT!E88,"")</f>
        <v>2 [34.968858]</v>
      </c>
      <c r="J88">
        <f>IF(FT!B88&lt;&gt;"",FT!C88,"")</f>
        <v>34.968899999999998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3.0359099999999999</v>
      </c>
      <c r="G89" s="61">
        <f>IF(FT!B89&lt;&gt;"",FT!B89*100,"")</f>
        <v>42.119500000000002</v>
      </c>
      <c r="H89" s="61">
        <f t="shared" si="9"/>
        <v>1</v>
      </c>
      <c r="I89" t="str">
        <f>IF(FT!B89&lt;&gt;"",FT!E89,"")</f>
        <v>2 [35.374258]</v>
      </c>
      <c r="J89">
        <f>IF(FT!B89&lt;&gt;"",FT!C89,"")</f>
        <v>35.374299999999998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166110</v>
      </c>
      <c r="D90" s="61">
        <f>FH!B90*1</f>
        <v>166110</v>
      </c>
      <c r="E90">
        <f t="shared" si="11"/>
        <v>88</v>
      </c>
      <c r="F90" s="61">
        <f>IF(FT!A90&lt;&gt;"",FT!A90*10,"")</f>
        <v>2.9799500000000001</v>
      </c>
      <c r="G90" s="61">
        <f>IF(FT!B90&lt;&gt;"",FT!B90*100,"")</f>
        <v>42.737900000000003</v>
      </c>
      <c r="H90" s="61">
        <f t="shared" si="9"/>
        <v>1</v>
      </c>
      <c r="I90" t="str">
        <f>IF(FT!B90&lt;&gt;"",FT!E90,"")</f>
        <v>2 [35.782265]</v>
      </c>
      <c r="J90">
        <f>IF(FT!B90&lt;&gt;"",FT!C90,"")</f>
        <v>35.782299999999999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2.9289999999999998</v>
      </c>
      <c r="G91" s="61">
        <f>IF(FT!B91&lt;&gt;"",FT!B91*100,"")</f>
        <v>43.470399999999998</v>
      </c>
      <c r="H91" s="61">
        <f t="shared" si="9"/>
        <v>1</v>
      </c>
      <c r="I91" t="str">
        <f>IF(FT!B91&lt;&gt;"",FT!E91,"")</f>
        <v>2 [36.185808]</v>
      </c>
      <c r="J91">
        <f>IF(FT!B91&lt;&gt;"",FT!C91,"")</f>
        <v>36.1858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2.8856900000000003</v>
      </c>
      <c r="G92" s="61">
        <f>IF(FT!B92&lt;&gt;"",FT!B92*100,"")</f>
        <v>44.088799999999999</v>
      </c>
      <c r="H92" s="61">
        <f t="shared" si="9"/>
        <v>1</v>
      </c>
      <c r="I92" t="str">
        <f>IF(FT!B92&lt;&gt;"",FT!E92,"")</f>
        <v>2 [36.591805]</v>
      </c>
      <c r="J92">
        <f>IF(FT!B92&lt;&gt;"",FT!C92,"")</f>
        <v>36.591799999999999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162223</v>
      </c>
      <c r="D93" s="61">
        <f>FH!B93*1</f>
        <v>162223</v>
      </c>
      <c r="E93">
        <f t="shared" si="11"/>
        <v>91</v>
      </c>
      <c r="F93" s="61">
        <f>IF(FT!A93&lt;&gt;"",FT!A93*10,"")</f>
        <v>2.8474500000000003</v>
      </c>
      <c r="G93" s="61">
        <f>IF(FT!B93&lt;&gt;"",FT!B93*100,"")</f>
        <v>44.730699999999999</v>
      </c>
      <c r="H93" s="61">
        <f t="shared" si="9"/>
        <v>1</v>
      </c>
      <c r="I93" t="str">
        <f>IF(FT!B93&lt;&gt;"",FT!E93,"")</f>
        <v>2 [36.999858]</v>
      </c>
      <c r="J93">
        <f>IF(FT!B93&lt;&gt;"",FT!C93,"")</f>
        <v>36.999899999999997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2.8134799999999998</v>
      </c>
      <c r="G94" s="61">
        <f>IF(FT!B94&lt;&gt;"",FT!B94*100,"")</f>
        <v>45.305900000000001</v>
      </c>
      <c r="H94" s="61">
        <f t="shared" si="9"/>
        <v>1</v>
      </c>
      <c r="I94" t="str">
        <f>IF(FT!B94&lt;&gt;"",FT!E94,"")</f>
        <v>2 [37.407844]</v>
      </c>
      <c r="J94">
        <f>IF(FT!B94&lt;&gt;"",FT!C94,"")</f>
        <v>37.407800000000002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166105</v>
      </c>
      <c r="D95" s="61">
        <f>FH!B95*1</f>
        <v>166105</v>
      </c>
      <c r="E95">
        <f t="shared" si="11"/>
        <v>93</v>
      </c>
      <c r="F95" s="61">
        <f>IF(FT!A95&lt;&gt;"",FT!A95*10,"")</f>
        <v>2.7858200000000002</v>
      </c>
      <c r="G95" s="61">
        <f>IF(FT!B95&lt;&gt;"",FT!B95*100,"")</f>
        <v>45.728900000000003</v>
      </c>
      <c r="H95" s="61">
        <f t="shared" si="9"/>
        <v>1</v>
      </c>
      <c r="I95" t="str">
        <f>IF(FT!B95&lt;&gt;"",FT!E95,"")</f>
        <v>2 [37.811625]</v>
      </c>
      <c r="J95">
        <f>IF(FT!B95&lt;&gt;"",FT!C95,"")</f>
        <v>37.811599999999999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2.7654200000000002</v>
      </c>
      <c r="G96" s="61">
        <f>IF(FT!B96&lt;&gt;"",FT!B96*100,"")</f>
        <v>45.997399999999999</v>
      </c>
      <c r="H96" s="61">
        <f t="shared" si="9"/>
        <v>1</v>
      </c>
      <c r="I96" t="str">
        <f>IF(FT!B96&lt;&gt;"",FT!E96,"")</f>
        <v>2 [38.218910]</v>
      </c>
      <c r="J96">
        <f>IF(FT!B96&lt;&gt;"",FT!C96,"")</f>
        <v>38.218899999999998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2.7510300000000001</v>
      </c>
      <c r="G97" s="61">
        <f>IF(FT!B97&lt;&gt;"",FT!B97*100,"")</f>
        <v>46.141300000000001</v>
      </c>
      <c r="H97" s="61">
        <f t="shared" si="9"/>
        <v>1</v>
      </c>
      <c r="I97" t="str">
        <f>IF(FT!B97&lt;&gt;"",FT!E97,"")</f>
        <v>2 [38.627191]</v>
      </c>
      <c r="J97">
        <f>IF(FT!B97&lt;&gt;"",FT!C97,"")</f>
        <v>38.627200000000002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156350</v>
      </c>
      <c r="D98" s="61">
        <f>FH!B98*1</f>
        <v>156350</v>
      </c>
      <c r="E98">
        <f t="shared" si="11"/>
        <v>96</v>
      </c>
      <c r="F98" s="61">
        <f>IF(FT!A98&lt;&gt;"",FT!A98*10,"")</f>
        <v>2.7424500000000003</v>
      </c>
      <c r="G98" s="61">
        <f>IF(FT!B98&lt;&gt;"",FT!B98*100,"")</f>
        <v>46.168599999999998</v>
      </c>
      <c r="H98" s="61">
        <f t="shared" si="9"/>
        <v>1</v>
      </c>
      <c r="I98" t="str">
        <f>IF(FT!B98&lt;&gt;"",FT!E98,"")</f>
        <v>2 [39.031457]</v>
      </c>
      <c r="J98">
        <f>IF(FT!B98&lt;&gt;"",FT!C98,"")</f>
        <v>39.031500000000001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2.7395199999999997</v>
      </c>
      <c r="G99" s="61">
        <f>IF(FT!B99&lt;&gt;"",FT!B99*100,"")</f>
        <v>46.072800000000001</v>
      </c>
      <c r="H99" s="61">
        <f t="shared" si="9"/>
        <v>1</v>
      </c>
      <c r="I99" t="str">
        <f>IF(FT!B99&lt;&gt;"",FT!E99,"")</f>
        <v>2 [39.441190]</v>
      </c>
      <c r="J99">
        <f>IF(FT!B99&lt;&gt;"",FT!C99,"")</f>
        <v>39.441200000000002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168728</v>
      </c>
      <c r="D100" s="61">
        <f>FH!B100*1</f>
        <v>168728</v>
      </c>
      <c r="E100">
        <f t="shared" si="11"/>
        <v>98</v>
      </c>
      <c r="F100" s="61">
        <f>IF(FT!A100&lt;&gt;"",FT!A100*10,"")</f>
        <v>2.7390300000000001</v>
      </c>
      <c r="G100" s="61">
        <f>IF(FT!B100&lt;&gt;"",FT!B100*100,"")</f>
        <v>45.9998</v>
      </c>
      <c r="H100" s="61">
        <f t="shared" si="9"/>
        <v>1</v>
      </c>
      <c r="I100" t="str">
        <f>IF(FT!B100&lt;&gt;"",FT!E100,"")</f>
        <v>2 [39.844885]</v>
      </c>
      <c r="J100">
        <f>IF(FT!B100&lt;&gt;"",FT!C100,"")</f>
        <v>39.844900000000003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2.7423399999999996</v>
      </c>
      <c r="G101" s="61">
        <f>IF(FT!B101&lt;&gt;"",FT!B101*100,"")</f>
        <v>45.904800000000002</v>
      </c>
      <c r="H101" s="61">
        <f t="shared" si="9"/>
        <v>1</v>
      </c>
      <c r="I101" t="str">
        <f>IF(FT!B101&lt;&gt;"",FT!E101,"")</f>
        <v>2 [40.249278]</v>
      </c>
      <c r="J101">
        <f>IF(FT!B101&lt;&gt;"",FT!C101,"")</f>
        <v>40.249299999999998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2.7476699999999998</v>
      </c>
      <c r="G102" s="61">
        <f>IF(FT!B102&lt;&gt;"",FT!B102*100,"")</f>
        <v>45.812199999999997</v>
      </c>
      <c r="H102" s="61">
        <f t="shared" si="9"/>
        <v>1</v>
      </c>
      <c r="I102" t="str">
        <f>IF(FT!B102&lt;&gt;"",FT!E102,"")</f>
        <v>2 [40.654293]</v>
      </c>
      <c r="J102">
        <f>IF(FT!B102&lt;&gt;"",FT!C102,"")</f>
        <v>40.654299999999999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158220</v>
      </c>
      <c r="D103" s="61">
        <f>FH!B103*1</f>
        <v>158220</v>
      </c>
      <c r="E103">
        <f t="shared" si="11"/>
        <v>101</v>
      </c>
      <c r="F103" s="61">
        <f>IF(FT!A103&lt;&gt;"",FT!A103*10,"")</f>
        <v>2.7589700000000001</v>
      </c>
      <c r="G103" s="61">
        <f>IF(FT!B103&lt;&gt;"",FT!B103*100,"")</f>
        <v>45.638300000000001</v>
      </c>
      <c r="H103" s="61">
        <f t="shared" si="9"/>
        <v>1</v>
      </c>
      <c r="I103" t="str">
        <f>IF(FT!B103&lt;&gt;"",FT!E103,"")</f>
        <v>2 [41.063960]</v>
      </c>
      <c r="J103">
        <f>IF(FT!B103&lt;&gt;"",FT!C103,"")</f>
        <v>41.064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2.7751799999999998</v>
      </c>
      <c r="G104" s="61">
        <f>IF(FT!B104&lt;&gt;"",FT!B104*100,"")</f>
        <v>45.386600000000001</v>
      </c>
      <c r="H104" s="61">
        <f t="shared" si="9"/>
        <v>1</v>
      </c>
      <c r="I104" t="str">
        <f>IF(FT!B104&lt;&gt;"",FT!E104,"")</f>
        <v>2 [41.466801]</v>
      </c>
      <c r="J104">
        <f>IF(FT!B104&lt;&gt;"",FT!C104,"")</f>
        <v>41.466799999999999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2.7988800000000005</v>
      </c>
      <c r="G105" s="61">
        <f>IF(FT!B105&lt;&gt;"",FT!B105*100,"")</f>
        <v>45.072699999999998</v>
      </c>
      <c r="H105" s="61">
        <f t="shared" si="9"/>
        <v>1</v>
      </c>
      <c r="I105" t="str">
        <f>IF(FT!B105&lt;&gt;"",FT!E105,"")</f>
        <v>2 [41.875949]</v>
      </c>
      <c r="J105">
        <f>IF(FT!B105&lt;&gt;"",FT!C105,"")</f>
        <v>41.875900000000001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151604</v>
      </c>
      <c r="D106" s="61">
        <f>FH!B106*1</f>
        <v>151604</v>
      </c>
      <c r="E106">
        <f t="shared" si="11"/>
        <v>104</v>
      </c>
      <c r="F106" s="61">
        <f>IF(FT!A106&lt;&gt;"",FT!A106*10,"")</f>
        <v>2.82599</v>
      </c>
      <c r="G106" s="61">
        <f>IF(FT!B106&lt;&gt;"",FT!B106*100,"")</f>
        <v>44.712699999999998</v>
      </c>
      <c r="H106" s="61">
        <f t="shared" si="9"/>
        <v>1</v>
      </c>
      <c r="I106" t="str">
        <f>IF(FT!B106&lt;&gt;"",FT!E106,"")</f>
        <v>2 [42.282315]</v>
      </c>
      <c r="J106">
        <f>IF(FT!B106&lt;&gt;"",FT!C106,"")</f>
        <v>42.282299999999999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2.8528099999999998</v>
      </c>
      <c r="G107" s="61">
        <f>IF(FT!B107&lt;&gt;"",FT!B107*100,"")</f>
        <v>44.371300000000005</v>
      </c>
      <c r="H107" s="61">
        <f t="shared" si="9"/>
        <v>1</v>
      </c>
      <c r="I107" t="str">
        <f>IF(FT!B107&lt;&gt;"",FT!E107,"")</f>
        <v>2 [42.686908]</v>
      </c>
      <c r="J107">
        <f>IF(FT!B107&lt;&gt;"",FT!C107,"")</f>
        <v>42.686900000000001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143222</v>
      </c>
      <c r="D108" s="61">
        <f>FH!B108*1</f>
        <v>143222</v>
      </c>
      <c r="E108">
        <f t="shared" si="11"/>
        <v>106</v>
      </c>
      <c r="F108" s="61">
        <f>IF(FT!A108&lt;&gt;"",FT!A108*10,"")</f>
        <v>2.8821300000000001</v>
      </c>
      <c r="G108" s="61">
        <f>IF(FT!B108&lt;&gt;"",FT!B108*100,"")</f>
        <v>44.110799999999998</v>
      </c>
      <c r="H108" s="61">
        <f t="shared" si="9"/>
        <v>1</v>
      </c>
      <c r="I108" t="str">
        <f>IF(FT!B108&lt;&gt;"",FT!E108,"")</f>
        <v>2 [43.097587]</v>
      </c>
      <c r="J108">
        <f>IF(FT!B108&lt;&gt;"",FT!C108,"")</f>
        <v>43.0976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2.91595</v>
      </c>
      <c r="G109" s="61">
        <f>IF(FT!B109&lt;&gt;"",FT!B109*100,"")</f>
        <v>43.853900000000003</v>
      </c>
      <c r="H109" s="61">
        <f t="shared" si="9"/>
        <v>1</v>
      </c>
      <c r="I109" t="str">
        <f>IF(FT!B109&lt;&gt;"",FT!E109,"")</f>
        <v>2 [43.499976]</v>
      </c>
      <c r="J109">
        <f>IF(FT!B109&lt;&gt;"",FT!C109,"")</f>
        <v>43.5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2.9542700000000002</v>
      </c>
      <c r="G110" s="61">
        <f>IF(FT!B110&lt;&gt;"",FT!B110*100,"")</f>
        <v>43.6432</v>
      </c>
      <c r="H110" s="61">
        <f t="shared" si="9"/>
        <v>1</v>
      </c>
      <c r="I110" t="str">
        <f>IF(FT!B110&lt;&gt;"",FT!E110,"")</f>
        <v>2 [43.908590]</v>
      </c>
      <c r="J110">
        <f>IF(FT!B110&lt;&gt;"",FT!C110,"")</f>
        <v>43.9086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124329</v>
      </c>
      <c r="D111" s="61">
        <f>FH!B111*1</f>
        <v>124329</v>
      </c>
      <c r="E111">
        <f t="shared" si="11"/>
        <v>109</v>
      </c>
      <c r="F111" s="61">
        <f>IF(FT!A111&lt;&gt;"",FT!A111*10,"")</f>
        <v>2.9915399999999996</v>
      </c>
      <c r="G111" s="61">
        <f>IF(FT!B111&lt;&gt;"",FT!B111*100,"")</f>
        <v>43.57</v>
      </c>
      <c r="H111" s="61">
        <f t="shared" si="9"/>
        <v>1</v>
      </c>
      <c r="I111" t="str">
        <f>IF(FT!B111&lt;&gt;"",FT!E111,"")</f>
        <v>2 [44.312536]</v>
      </c>
      <c r="J111">
        <f>IF(FT!B111&lt;&gt;"",FT!C111,"")</f>
        <v>44.3125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3.0240899999999997</v>
      </c>
      <c r="G112" s="61">
        <f>IF(FT!B112&lt;&gt;"",FT!B112*100,"")</f>
        <v>43.609700000000004</v>
      </c>
      <c r="H112" s="61">
        <f t="shared" si="9"/>
        <v>1</v>
      </c>
      <c r="I112" t="str">
        <f>IF(FT!B112&lt;&gt;"",FT!E112,"")</f>
        <v>2 [44.718058]</v>
      </c>
      <c r="J112">
        <f>IF(FT!B112&lt;&gt;"",FT!C112,"")</f>
        <v>44.7181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120648</v>
      </c>
      <c r="D113" s="61">
        <f>FH!B113*1</f>
        <v>120648</v>
      </c>
      <c r="E113">
        <f t="shared" si="11"/>
        <v>111</v>
      </c>
      <c r="F113" s="61">
        <f>IF(FT!A113&lt;&gt;"",FT!A113*10,"")</f>
        <v>3.0558100000000001</v>
      </c>
      <c r="G113" s="61">
        <f>IF(FT!B113&lt;&gt;"",FT!B113*100,"")</f>
        <v>43.687599999999996</v>
      </c>
      <c r="H113" s="61">
        <f t="shared" si="9"/>
        <v>1</v>
      </c>
      <c r="I113" t="str">
        <f>IF(FT!B113&lt;&gt;"",FT!E113,"")</f>
        <v>2 [45.125270]</v>
      </c>
      <c r="J113">
        <f>IF(FT!B113&lt;&gt;"",FT!C113,"")</f>
        <v>45.125300000000003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3.08954</v>
      </c>
      <c r="G114" s="61">
        <f>IF(FT!B114&lt;&gt;"",FT!B114*100,"")</f>
        <v>43.796300000000002</v>
      </c>
      <c r="H114" s="61">
        <f t="shared" si="9"/>
        <v>1</v>
      </c>
      <c r="I114" t="str">
        <f>IF(FT!B114&lt;&gt;"",FT!E114,"")</f>
        <v>2 [45.531485]</v>
      </c>
      <c r="J114">
        <f>IF(FT!B114&lt;&gt;"",FT!C114,"")</f>
        <v>45.531500000000001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3.12649</v>
      </c>
      <c r="G115" s="61">
        <f>IF(FT!B115&lt;&gt;"",FT!B115*100,"")</f>
        <v>43.878299999999996</v>
      </c>
      <c r="H115" s="61">
        <f t="shared" si="9"/>
        <v>1</v>
      </c>
      <c r="I115" t="str">
        <f>IF(FT!B115&lt;&gt;"",FT!E115,"")</f>
        <v>2 [45.940441]</v>
      </c>
      <c r="J115">
        <f>IF(FT!B115&lt;&gt;"",FT!C115,"")</f>
        <v>45.940399999999997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119016</v>
      </c>
      <c r="D116" s="61">
        <f>FH!B116*1</f>
        <v>119016</v>
      </c>
      <c r="E116">
        <f t="shared" si="11"/>
        <v>114</v>
      </c>
      <c r="F116" s="61">
        <f>IF(FT!A116&lt;&gt;"",FT!A116*10,"")</f>
        <v>3.1641599999999999</v>
      </c>
      <c r="G116" s="61">
        <f>IF(FT!B116&lt;&gt;"",FT!B116*100,"")</f>
        <v>43.804700000000004</v>
      </c>
      <c r="H116" s="61">
        <f t="shared" si="9"/>
        <v>1</v>
      </c>
      <c r="I116" t="str">
        <f>IF(FT!B116&lt;&gt;"",FT!E116,"")</f>
        <v>2 [46.344956]</v>
      </c>
      <c r="J116">
        <f>IF(FT!B116&lt;&gt;"",FT!C116,"")</f>
        <v>46.344999999999999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3.1983299999999999</v>
      </c>
      <c r="G117" s="61">
        <f>IF(FT!B117&lt;&gt;"",FT!B117*100,"")</f>
        <v>43.757899999999999</v>
      </c>
      <c r="H117" s="61">
        <f t="shared" si="9"/>
        <v>1</v>
      </c>
      <c r="I117" t="str">
        <f>IF(FT!B117&lt;&gt;"",FT!E117,"")</f>
        <v>2 [46.750669]</v>
      </c>
      <c r="J117">
        <f>IF(FT!B117&lt;&gt;"",FT!C117,"")</f>
        <v>46.750700000000002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106702</v>
      </c>
      <c r="D118" s="61">
        <f>FH!B118*1</f>
        <v>106702</v>
      </c>
      <c r="E118">
        <f t="shared" si="11"/>
        <v>116</v>
      </c>
      <c r="F118" s="61">
        <f>IF(FT!A118&lt;&gt;"",FT!A118*10,"")</f>
        <v>3.2276199999999999</v>
      </c>
      <c r="G118" s="61">
        <f>IF(FT!B118&lt;&gt;"",FT!B118*100,"")</f>
        <v>43.680500000000002</v>
      </c>
      <c r="H118" s="61">
        <f t="shared" si="9"/>
        <v>1</v>
      </c>
      <c r="I118" t="str">
        <f>IF(FT!B118&lt;&gt;"",FT!E118,"")</f>
        <v>2 [47.159288]</v>
      </c>
      <c r="J118">
        <f>IF(FT!B118&lt;&gt;"",FT!C118,"")</f>
        <v>47.159300000000002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3.2546399999999998</v>
      </c>
      <c r="G119" s="61">
        <f>IF(FT!B119&lt;&gt;"",FT!B119*100,"")</f>
        <v>43.648399999999995</v>
      </c>
      <c r="H119" s="61">
        <f t="shared" si="9"/>
        <v>1</v>
      </c>
      <c r="I119" t="str">
        <f>IF(FT!B119&lt;&gt;"",FT!E119,"")</f>
        <v>2 [47.565567]</v>
      </c>
      <c r="J119">
        <f>IF(FT!B119&lt;&gt;"",FT!C119,"")</f>
        <v>47.565600000000003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3.2812299999999999</v>
      </c>
      <c r="G120" s="61">
        <f>IF(FT!B120&lt;&gt;"",FT!B120*100,"")</f>
        <v>43.623600000000003</v>
      </c>
      <c r="H120" s="61">
        <f t="shared" si="9"/>
        <v>1</v>
      </c>
      <c r="I120" t="str">
        <f>IF(FT!B120&lt;&gt;"",FT!E120,"")</f>
        <v>2 [47.972732]</v>
      </c>
      <c r="J120">
        <f>IF(FT!B120&lt;&gt;"",FT!C120,"")</f>
        <v>47.972700000000003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110282</v>
      </c>
      <c r="D121" s="61">
        <f>FH!B121*1</f>
        <v>110282</v>
      </c>
      <c r="E121">
        <f t="shared" si="11"/>
        <v>119</v>
      </c>
      <c r="F121" s="61">
        <f>IF(FT!A121&lt;&gt;"",FT!A121*10,"")</f>
        <v>3.3060200000000002</v>
      </c>
      <c r="G121" s="61">
        <f>IF(FT!B121&lt;&gt;"",FT!B121*100,"")</f>
        <v>43.610700000000001</v>
      </c>
      <c r="H121" s="61">
        <f t="shared" si="9"/>
        <v>1</v>
      </c>
      <c r="I121" t="str">
        <f>IF(FT!B121&lt;&gt;"",FT!E121,"")</f>
        <v>2 [48.377496]</v>
      </c>
      <c r="J121">
        <f>IF(FT!B121&lt;&gt;"",FT!C121,"")</f>
        <v>48.377499999999998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3.33005</v>
      </c>
      <c r="G122" s="61">
        <f>IF(FT!B122&lt;&gt;"",FT!B122*100,"")</f>
        <v>43.636499999999998</v>
      </c>
      <c r="H122" s="61">
        <f t="shared" si="9"/>
        <v>1</v>
      </c>
      <c r="I122" t="str">
        <f>IF(FT!B122&lt;&gt;"",FT!E122,"")</f>
        <v>2 [48.781180]</v>
      </c>
      <c r="J122">
        <f>IF(FT!B122&lt;&gt;"",FT!C122,"")</f>
        <v>48.781199999999998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3.3534100000000002</v>
      </c>
      <c r="G123" s="61">
        <f>IF(FT!B123&lt;&gt;"",FT!B123*100,"")</f>
        <v>43.613700000000001</v>
      </c>
      <c r="H123" s="61">
        <f t="shared" si="9"/>
        <v>1</v>
      </c>
      <c r="I123" t="str">
        <f>IF(FT!B123&lt;&gt;"",FT!E123,"")</f>
        <v>2 [49.187254]</v>
      </c>
      <c r="J123">
        <f>IF(FT!B123&lt;&gt;"",FT!C123,"")</f>
        <v>49.1873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96850</v>
      </c>
      <c r="D124" s="61">
        <f>FH!B124*1</f>
        <v>96850</v>
      </c>
      <c r="E124">
        <f t="shared" si="11"/>
        <v>122</v>
      </c>
      <c r="F124" s="61">
        <f>IF(FT!A124&lt;&gt;"",FT!A124*10,"")</f>
        <v>3.3766400000000001</v>
      </c>
      <c r="G124" s="61">
        <f>IF(FT!B124&lt;&gt;"",FT!B124*100,"")</f>
        <v>43.540900000000001</v>
      </c>
      <c r="H124" s="61">
        <f t="shared" si="9"/>
        <v>1</v>
      </c>
      <c r="I124" t="str">
        <f>IF(FT!B124&lt;&gt;"",FT!E124,"")</f>
        <v>2 [49.593443]</v>
      </c>
      <c r="J124">
        <f>IF(FT!B124&lt;&gt;"",FT!C124,"")</f>
        <v>49.593400000000003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3.3994200000000001</v>
      </c>
      <c r="G125" s="61">
        <f>IF(FT!B125&lt;&gt;"",FT!B125*100,"")</f>
        <v>43.3996</v>
      </c>
      <c r="H125" s="61">
        <f t="shared" si="9"/>
        <v>1</v>
      </c>
      <c r="I125" t="str">
        <f>IF(FT!B125&lt;&gt;"",FT!E125,"")</f>
        <v>2 [50.001420]</v>
      </c>
      <c r="J125">
        <f>IF(FT!B125&lt;&gt;"",FT!C125,"")</f>
        <v>50.001399999999997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94544</v>
      </c>
      <c r="D126" s="61">
        <f>FH!B126*1</f>
        <v>94544</v>
      </c>
      <c r="E126">
        <f t="shared" si="11"/>
        <v>124</v>
      </c>
      <c r="F126" s="61">
        <f>IF(FT!A126&lt;&gt;"",FT!A126*10,"")</f>
        <v>3.4127000000000001</v>
      </c>
      <c r="G126" s="61">
        <f>IF(FT!B126&lt;&gt;"",FT!B126*100,"")</f>
        <v>43.372399999999999</v>
      </c>
      <c r="H126" s="61">
        <f t="shared" si="9"/>
        <v>1</v>
      </c>
      <c r="I126" t="str">
        <f>IF(FT!B126&lt;&gt;"",FT!E126,"")</f>
        <v>2 [50.406725]</v>
      </c>
      <c r="J126">
        <f>IF(FT!B126&lt;&gt;"",FT!C126,"")</f>
        <v>50.406700000000001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3.4274700000000005</v>
      </c>
      <c r="G127" s="61">
        <f>IF(FT!B127&lt;&gt;"",FT!B127*100,"")</f>
        <v>43.343399999999995</v>
      </c>
      <c r="H127" s="61">
        <f t="shared" si="9"/>
        <v>1</v>
      </c>
      <c r="I127" t="str">
        <f>IF(FT!B127&lt;&gt;"",FT!E127,"")</f>
        <v>2 [50.810969]</v>
      </c>
      <c r="J127">
        <f>IF(FT!B127&lt;&gt;"",FT!C127,"")</f>
        <v>50.811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3.4413899999999997</v>
      </c>
      <c r="G128" s="61">
        <f>IF(FT!B128&lt;&gt;"",FT!B128*100,"")</f>
        <v>43.307200000000002</v>
      </c>
      <c r="H128" s="61">
        <f t="shared" si="9"/>
        <v>1</v>
      </c>
      <c r="I128" t="str">
        <f>IF(FT!B128&lt;&gt;"",FT!E128,"")</f>
        <v>2 [51.216880]</v>
      </c>
      <c r="J128">
        <f>IF(FT!B128&lt;&gt;"",FT!C128,"")</f>
        <v>51.216900000000003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92036</v>
      </c>
      <c r="D129" s="61">
        <f>FH!B129*1</f>
        <v>92036</v>
      </c>
      <c r="E129">
        <f t="shared" si="11"/>
        <v>127</v>
      </c>
      <c r="F129" s="61">
        <f>IF(FT!A129&lt;&gt;"",FT!A129*10,"")</f>
        <v>3.4558899999999997</v>
      </c>
      <c r="G129" s="61">
        <f>IF(FT!B129&lt;&gt;"",FT!B129*100,"")</f>
        <v>43.285699999999999</v>
      </c>
      <c r="H129" s="61">
        <f t="shared" si="9"/>
        <v>1</v>
      </c>
      <c r="I129" t="str">
        <f>IF(FT!B129&lt;&gt;"",FT!E129,"")</f>
        <v>2 [51.627506]</v>
      </c>
      <c r="J129">
        <f>IF(FT!B129&lt;&gt;"",FT!C129,"")</f>
        <v>51.627499999999998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3.4671000000000003</v>
      </c>
      <c r="G130" s="61">
        <f>IF(FT!B130&lt;&gt;"",FT!B130*100,"")</f>
        <v>43.237900000000003</v>
      </c>
      <c r="H130" s="61">
        <f t="shared" si="9"/>
        <v>1</v>
      </c>
      <c r="I130" t="str">
        <f>IF(FT!B130&lt;&gt;"",FT!E130,"")</f>
        <v>2 [52.033965]</v>
      </c>
      <c r="J130">
        <f>IF(FT!B130&lt;&gt;"",FT!C130,"")</f>
        <v>52.033999999999999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79055</v>
      </c>
      <c r="D131" s="61">
        <f>FH!B131*1</f>
        <v>79055</v>
      </c>
      <c r="E131">
        <f t="shared" si="11"/>
        <v>129</v>
      </c>
      <c r="F131" s="61">
        <f>IF(FT!A131&lt;&gt;"",FT!A131*10,"")</f>
        <v>3.4744399999999995</v>
      </c>
      <c r="G131" s="61">
        <f>IF(FT!B131&lt;&gt;"",FT!B131*100,"")</f>
        <v>43.161100000000005</v>
      </c>
      <c r="H131" s="61">
        <f t="shared" ref="H131:H194" si="13">(IF(F131&lt;&gt;"",1,""))</f>
        <v>1</v>
      </c>
      <c r="I131" t="str">
        <f>IF(FT!B131&lt;&gt;"",FT!E131,"")</f>
        <v>2 [52.438999]</v>
      </c>
      <c r="J131">
        <f>IF(FT!B131&lt;&gt;"",FT!C131,"")</f>
        <v>52.439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3.4811999999999999</v>
      </c>
      <c r="G132" s="61">
        <f>IF(FT!B132&lt;&gt;"",FT!B132*100,"")</f>
        <v>43.067299999999996</v>
      </c>
      <c r="H132" s="61">
        <f t="shared" si="13"/>
        <v>1</v>
      </c>
      <c r="I132" t="str">
        <f>IF(FT!B132&lt;&gt;"",FT!E132,"")</f>
        <v>2 [52.843217]</v>
      </c>
      <c r="J132">
        <f>IF(FT!B132&lt;&gt;"",FT!C132,"")</f>
        <v>52.843200000000003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3.4893200000000002</v>
      </c>
      <c r="G133" s="61">
        <f>IF(FT!B133&lt;&gt;"",FT!B133*100,"")</f>
        <v>42.964999999999996</v>
      </c>
      <c r="H133" s="61">
        <f t="shared" si="13"/>
        <v>1</v>
      </c>
      <c r="I133" t="str">
        <f>IF(FT!B133&lt;&gt;"",FT!E133,"")</f>
        <v>2 [53.252670]</v>
      </c>
      <c r="J133">
        <f>IF(FT!B133&lt;&gt;"",FT!C133,"")</f>
        <v>53.252699999999997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75800</v>
      </c>
      <c r="D134" s="61">
        <f>FH!B134*1</f>
        <v>75800</v>
      </c>
      <c r="E134">
        <f t="shared" si="15"/>
        <v>132</v>
      </c>
      <c r="F134" s="61">
        <f>IF(FT!A134&lt;&gt;"",FT!A134*10,"")</f>
        <v>3.49532</v>
      </c>
      <c r="G134" s="61">
        <f>IF(FT!B134&lt;&gt;"",FT!B134*100,"")</f>
        <v>42.888399999999997</v>
      </c>
      <c r="H134" s="61">
        <f t="shared" si="13"/>
        <v>1</v>
      </c>
      <c r="I134" t="str">
        <f>IF(FT!B134&lt;&gt;"",FT!E134,"")</f>
        <v>2 [53.657861]</v>
      </c>
      <c r="J134">
        <f>IF(FT!B134&lt;&gt;"",FT!C134,"")</f>
        <v>53.657899999999998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3.4990900000000003</v>
      </c>
      <c r="G135" s="61">
        <f>IF(FT!B135&lt;&gt;"",FT!B135*100,"")</f>
        <v>42.854399999999998</v>
      </c>
      <c r="H135" s="61">
        <f t="shared" si="13"/>
        <v>1</v>
      </c>
      <c r="I135" t="str">
        <f>IF(FT!B135&lt;&gt;"",FT!E135,"")</f>
        <v>2 [54.064303]</v>
      </c>
      <c r="J135">
        <f>IF(FT!B135&lt;&gt;"",FT!C135,"")</f>
        <v>54.064300000000003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64723</v>
      </c>
      <c r="D136" s="61">
        <f>FH!B136*1</f>
        <v>64723</v>
      </c>
      <c r="E136">
        <f t="shared" si="15"/>
        <v>134</v>
      </c>
      <c r="F136" s="61">
        <f>IF(FT!A136&lt;&gt;"",FT!A136*10,"")</f>
        <v>3.50502</v>
      </c>
      <c r="G136" s="61">
        <f>IF(FT!B136&lt;&gt;"",FT!B136*100,"")</f>
        <v>42.787700000000001</v>
      </c>
      <c r="H136" s="61">
        <f t="shared" si="13"/>
        <v>1</v>
      </c>
      <c r="I136" t="str">
        <f>IF(FT!B136&lt;&gt;"",FT!E136,"")</f>
        <v>2 [54.469999]</v>
      </c>
      <c r="J136">
        <f>IF(FT!B136&lt;&gt;"",FT!C136,"")</f>
        <v>54.47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3.5162100000000001</v>
      </c>
      <c r="G137" s="61">
        <f>IF(FT!B137&lt;&gt;"",FT!B137*100,"")</f>
        <v>42.674599999999998</v>
      </c>
      <c r="H137" s="61">
        <f t="shared" si="13"/>
        <v>1</v>
      </c>
      <c r="I137" t="str">
        <f>IF(FT!B137&lt;&gt;"",FT!E137,"")</f>
        <v>2 [54.875855]</v>
      </c>
      <c r="J137">
        <f>IF(FT!B137&lt;&gt;"",FT!C137,"")</f>
        <v>54.875900000000001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3.52948</v>
      </c>
      <c r="G138" s="61">
        <f>IF(FT!B138&lt;&gt;"",FT!B138*100,"")</f>
        <v>42.558500000000002</v>
      </c>
      <c r="H138" s="61">
        <f t="shared" si="13"/>
        <v>1</v>
      </c>
      <c r="I138" t="str">
        <f>IF(FT!B138&lt;&gt;"",FT!E138,"")</f>
        <v>2 [55.281586]</v>
      </c>
      <c r="J138">
        <f>IF(FT!B138&lt;&gt;"",FT!C138,"")</f>
        <v>55.281599999999997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58385</v>
      </c>
      <c r="D139" s="61">
        <f>FH!B139*1</f>
        <v>58385</v>
      </c>
      <c r="E139">
        <f t="shared" si="15"/>
        <v>137</v>
      </c>
      <c r="F139" s="61">
        <f>IF(FT!A139&lt;&gt;"",FT!A139*10,"")</f>
        <v>3.54183</v>
      </c>
      <c r="G139" s="61">
        <f>IF(FT!B139&lt;&gt;"",FT!B139*100,"")</f>
        <v>42.426099999999998</v>
      </c>
      <c r="H139" s="61">
        <f t="shared" si="13"/>
        <v>1</v>
      </c>
      <c r="I139" t="str">
        <f>IF(FT!B139&lt;&gt;"",FT!E139,"")</f>
        <v>2 [55.690815]</v>
      </c>
      <c r="J139">
        <f>IF(FT!B139&lt;&gt;"",FT!C139,"")</f>
        <v>55.690800000000003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3.5490300000000001</v>
      </c>
      <c r="G140" s="61">
        <f>IF(FT!B140&lt;&gt;"",FT!B140*100,"")</f>
        <v>42.286000000000001</v>
      </c>
      <c r="H140" s="61">
        <f t="shared" si="13"/>
        <v>1</v>
      </c>
      <c r="I140" t="str">
        <f>IF(FT!B140&lt;&gt;"",FT!E140,"")</f>
        <v>2 [56.095650]</v>
      </c>
      <c r="J140">
        <f>IF(FT!B140&lt;&gt;"",FT!C140,"")</f>
        <v>56.095700000000001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3.5460599999999998</v>
      </c>
      <c r="G141" s="61">
        <f>IF(FT!B141&lt;&gt;"",FT!B141*100,"")</f>
        <v>42.207499999999996</v>
      </c>
      <c r="H141" s="61">
        <f t="shared" si="13"/>
        <v>1</v>
      </c>
      <c r="I141" t="str">
        <f>IF(FT!B141&lt;&gt;"",FT!E141,"")</f>
        <v>2 [56.503908]</v>
      </c>
      <c r="J141">
        <f>IF(FT!B141&lt;&gt;"",FT!C141,"")</f>
        <v>56.503900000000002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48451</v>
      </c>
      <c r="D142" s="61">
        <f>FH!B142*1</f>
        <v>48451</v>
      </c>
      <c r="E142">
        <f t="shared" si="15"/>
        <v>140</v>
      </c>
      <c r="F142" s="61">
        <f>IF(FT!A142&lt;&gt;"",FT!A142*10,"")</f>
        <v>3.5442600000000004</v>
      </c>
      <c r="G142" s="61">
        <f>IF(FT!B142&lt;&gt;"",FT!B142*100,"")</f>
        <v>42.125500000000002</v>
      </c>
      <c r="H142" s="61">
        <f t="shared" si="13"/>
        <v>1</v>
      </c>
      <c r="I142" t="str">
        <f>IF(FT!B142&lt;&gt;"",FT!E142,"")</f>
        <v>2 [56.906751]</v>
      </c>
      <c r="J142">
        <f>IF(FT!B142&lt;&gt;"",FT!C142,"")</f>
        <v>56.906799999999997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3.5445100000000003</v>
      </c>
      <c r="G143" s="61">
        <f>IF(FT!B143&lt;&gt;"",FT!B143*100,"")</f>
        <v>42.0655</v>
      </c>
      <c r="H143" s="61">
        <f t="shared" si="13"/>
        <v>1</v>
      </c>
      <c r="I143" t="str">
        <f>IF(FT!B143&lt;&gt;"",FT!E143,"")</f>
        <v>2 [57.313034]</v>
      </c>
      <c r="J143">
        <f>IF(FT!B143&lt;&gt;"",FT!C143,"")</f>
        <v>57.313000000000002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41273</v>
      </c>
      <c r="D144" s="61">
        <f>FH!B144*1</f>
        <v>41273</v>
      </c>
      <c r="E144">
        <f t="shared" si="15"/>
        <v>142</v>
      </c>
      <c r="F144" s="61">
        <f>IF(FT!A144&lt;&gt;"",FT!A144*10,"")</f>
        <v>3.5512500000000005</v>
      </c>
      <c r="G144" s="61">
        <f>IF(FT!B144&lt;&gt;"",FT!B144*100,"")</f>
        <v>41.998600000000003</v>
      </c>
      <c r="H144" s="61">
        <f t="shared" si="13"/>
        <v>1</v>
      </c>
      <c r="I144" t="str">
        <f>IF(FT!B144&lt;&gt;"",FT!E144,"")</f>
        <v>2 [57.717380]</v>
      </c>
      <c r="J144">
        <f>IF(FT!B144&lt;&gt;"",FT!C144,"")</f>
        <v>57.717399999999998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3.5620600000000002</v>
      </c>
      <c r="G145" s="61">
        <f>IF(FT!B145&lt;&gt;"",FT!B145*100,"")</f>
        <v>42.0291</v>
      </c>
      <c r="H145" s="61">
        <f t="shared" si="13"/>
        <v>1</v>
      </c>
      <c r="I145" t="str">
        <f>IF(FT!B145&lt;&gt;"",FT!E145,"")</f>
        <v>2 [58.124148]</v>
      </c>
      <c r="J145">
        <f>IF(FT!B145&lt;&gt;"",FT!C145,"")</f>
        <v>58.124099999999999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3.5734599999999999</v>
      </c>
      <c r="G146" s="61">
        <f>IF(FT!B146&lt;&gt;"",FT!B146*100,"")</f>
        <v>41.951899999999995</v>
      </c>
      <c r="H146" s="61">
        <f t="shared" si="13"/>
        <v>1</v>
      </c>
      <c r="I146" t="str">
        <f>IF(FT!B146&lt;&gt;"",FT!E146,"")</f>
        <v>2 [58.533551]</v>
      </c>
      <c r="J146">
        <f>IF(FT!B146&lt;&gt;"",FT!C146,"")</f>
        <v>58.5336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35484</v>
      </c>
      <c r="D147" s="61">
        <f>FH!B147*1</f>
        <v>35484</v>
      </c>
      <c r="E147">
        <f t="shared" si="15"/>
        <v>145</v>
      </c>
      <c r="F147" s="61">
        <f>IF(FT!A147&lt;&gt;"",FT!A147*10,"")</f>
        <v>3.5896499999999998</v>
      </c>
      <c r="G147" s="61">
        <f>IF(FT!B147&lt;&gt;"",FT!B147*100,"")</f>
        <v>41.6402</v>
      </c>
      <c r="H147" s="61">
        <f t="shared" si="13"/>
        <v>1</v>
      </c>
      <c r="I147" t="str">
        <f>IF(FT!B147&lt;&gt;"",FT!E147,"")</f>
        <v>2 [58.938315]</v>
      </c>
      <c r="J147">
        <f>IF(FT!B147&lt;&gt;"",FT!C147,"")</f>
        <v>58.938299999999998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3.6007400000000001</v>
      </c>
      <c r="G148" s="61">
        <f>IF(FT!B148&lt;&gt;"",FT!B148*100,"")</f>
        <v>41.324100000000001</v>
      </c>
      <c r="H148" s="61">
        <f t="shared" si="13"/>
        <v>1</v>
      </c>
      <c r="I148" t="str">
        <f>IF(FT!B148&lt;&gt;"",FT!E148,"")</f>
        <v>2 [59.345787]</v>
      </c>
      <c r="J148">
        <f>IF(FT!B148&lt;&gt;"",FT!C148,"")</f>
        <v>59.345799999999997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33623</v>
      </c>
      <c r="D149" s="61">
        <f>FH!B149*1</f>
        <v>33623</v>
      </c>
      <c r="E149">
        <f t="shared" si="15"/>
        <v>147</v>
      </c>
      <c r="F149" s="61">
        <f>IF(FT!A149&lt;&gt;"",FT!A149*10,"")</f>
        <v>3.6117700000000004</v>
      </c>
      <c r="G149" s="61">
        <f>IF(FT!B149&lt;&gt;"",FT!B149*100,"")</f>
        <v>41.174300000000002</v>
      </c>
      <c r="H149" s="61">
        <f t="shared" si="13"/>
        <v>1</v>
      </c>
      <c r="I149" t="str">
        <f>IF(FT!B149&lt;&gt;"",FT!E149,"")</f>
        <v>2 [59.751760]</v>
      </c>
      <c r="J149">
        <f>IF(FT!B149&lt;&gt;"",FT!C149,"")</f>
        <v>59.751800000000003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21792</v>
      </c>
      <c r="D152" s="61">
        <f>FH!B152*1</f>
        <v>21792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17517</v>
      </c>
      <c r="D154" s="61">
        <f>FH!B154*1</f>
        <v>17517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9228</v>
      </c>
      <c r="D157" s="61">
        <f>FH!B157*1</f>
        <v>9228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5302</v>
      </c>
      <c r="D160" s="61">
        <f>FH!B160*1</f>
        <v>5302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2956</v>
      </c>
      <c r="D162" s="61">
        <f>FH!B162*1</f>
        <v>2956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1528</v>
      </c>
      <c r="D165" s="61">
        <f>FH!B165*1</f>
        <v>1528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917</v>
      </c>
      <c r="D167" s="61">
        <f>FH!B167*1</f>
        <v>917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104</v>
      </c>
      <c r="D170" s="61">
        <f>FH!B170*1</f>
        <v>104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70</v>
      </c>
      <c r="D173" s="61">
        <f>FH!B173*1</f>
        <v>70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179</v>
      </c>
      <c r="D175" s="61">
        <f>FH!B175*1</f>
        <v>179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38.187800000000003</v>
      </c>
      <c r="C5" s="66">
        <v>7.2273800000000001</v>
      </c>
      <c r="D5" s="66">
        <v>18.925899999999999</v>
      </c>
      <c r="E5" s="66">
        <v>20</v>
      </c>
      <c r="F5" s="66">
        <v>19.182099999999998</v>
      </c>
      <c r="G5" s="66">
        <v>50</v>
      </c>
      <c r="H5" s="66">
        <v>55.010899999999999</v>
      </c>
    </row>
    <row r="6" spans="1:8">
      <c r="A6" s="58" t="s">
        <v>303</v>
      </c>
      <c r="B6" s="66">
        <v>30.176400000000001</v>
      </c>
      <c r="C6" s="66">
        <v>2.2124100000000002</v>
      </c>
      <c r="D6" s="66">
        <v>7.3315999999999999</v>
      </c>
      <c r="E6" s="66">
        <v>20</v>
      </c>
      <c r="F6" s="66">
        <v>25.335100000000001</v>
      </c>
      <c r="G6" s="66">
        <v>40</v>
      </c>
      <c r="H6" s="66">
        <v>33.723500000000001</v>
      </c>
    </row>
    <row r="7" spans="1:8">
      <c r="A7" s="58" t="s">
        <v>304</v>
      </c>
      <c r="B7" s="66">
        <v>30.783899999999999</v>
      </c>
      <c r="C7" s="66">
        <v>10.962400000000001</v>
      </c>
      <c r="D7" s="66">
        <v>35.610900000000001</v>
      </c>
      <c r="E7" s="66">
        <v>15</v>
      </c>
      <c r="F7" s="66">
        <v>6.3977500000000003</v>
      </c>
      <c r="G7" s="66">
        <v>40</v>
      </c>
      <c r="H7" s="66">
        <v>51.373199999999997</v>
      </c>
    </row>
    <row r="8" spans="1:8">
      <c r="A8" s="58" t="s">
        <v>305</v>
      </c>
      <c r="B8" s="66">
        <v>33.006700000000002</v>
      </c>
      <c r="C8" s="66">
        <v>4.7621700000000002</v>
      </c>
      <c r="D8" s="66">
        <v>14.427899999999999</v>
      </c>
      <c r="E8" s="66">
        <v>20</v>
      </c>
      <c r="F8" s="66">
        <v>24.671299999999999</v>
      </c>
      <c r="G8" s="66">
        <v>50</v>
      </c>
      <c r="H8" s="66">
        <v>40.576999999999998</v>
      </c>
    </row>
    <row r="9" spans="1:8">
      <c r="A9" s="58" t="s">
        <v>306</v>
      </c>
      <c r="B9" s="66">
        <v>66.577799999999996</v>
      </c>
      <c r="C9" s="66">
        <v>8.2677899999999998</v>
      </c>
      <c r="D9" s="66">
        <v>12.418200000000001</v>
      </c>
      <c r="E9" s="66">
        <v>50</v>
      </c>
      <c r="F9" s="66">
        <v>47.092799999999997</v>
      </c>
      <c r="G9" s="66">
        <v>100</v>
      </c>
      <c r="H9" s="66">
        <v>83.629000000000005</v>
      </c>
    </row>
    <row r="10" spans="1:8">
      <c r="A10" s="58" t="s">
        <v>307</v>
      </c>
      <c r="B10" s="66">
        <v>75.379400000000004</v>
      </c>
      <c r="C10" s="66">
        <v>5.298</v>
      </c>
      <c r="D10" s="66">
        <v>7.0284399999999998</v>
      </c>
      <c r="E10" s="66">
        <v>40</v>
      </c>
      <c r="F10" s="66">
        <v>66.861699999999999</v>
      </c>
      <c r="G10" s="66">
        <v>100</v>
      </c>
      <c r="H10" s="66">
        <v>85.660399999999996</v>
      </c>
    </row>
    <row r="11" spans="1:8">
      <c r="A11" s="58" t="s">
        <v>308</v>
      </c>
      <c r="B11" s="66">
        <v>22.539400000000001</v>
      </c>
      <c r="C11" s="66">
        <v>4.9925300000000004</v>
      </c>
      <c r="D11" s="66">
        <v>22.150300000000001</v>
      </c>
      <c r="E11" s="66">
        <v>10</v>
      </c>
      <c r="F11" s="66">
        <v>11.3461</v>
      </c>
      <c r="G11" s="66">
        <v>50</v>
      </c>
      <c r="H11" s="66">
        <v>31.672599999999999</v>
      </c>
    </row>
    <row r="12" spans="1:8">
      <c r="A12" s="58" t="s">
        <v>309</v>
      </c>
      <c r="B12" s="66">
        <v>70.996200000000002</v>
      </c>
      <c r="C12" s="66">
        <v>6.10093</v>
      </c>
      <c r="D12" s="66">
        <v>8.5933100000000007</v>
      </c>
      <c r="E12" s="66">
        <v>50</v>
      </c>
      <c r="F12" s="66">
        <v>59.609699999999997</v>
      </c>
      <c r="G12" s="66">
        <v>100</v>
      </c>
      <c r="H12" s="66">
        <v>83.334999999999994</v>
      </c>
    </row>
    <row r="13" spans="1:8">
      <c r="A13" s="58" t="s">
        <v>310</v>
      </c>
      <c r="B13" s="66">
        <v>15.6441</v>
      </c>
      <c r="C13" s="66">
        <v>2.6083500000000002</v>
      </c>
      <c r="D13" s="66">
        <v>16.673100000000002</v>
      </c>
      <c r="E13" s="66">
        <v>10</v>
      </c>
      <c r="F13" s="66">
        <v>10.6591</v>
      </c>
      <c r="G13" s="66">
        <v>25</v>
      </c>
      <c r="H13" s="66">
        <v>24.099799999999998</v>
      </c>
    </row>
    <row r="14" spans="1:8">
      <c r="A14" s="58" t="s">
        <v>311</v>
      </c>
      <c r="B14" s="66">
        <v>26.083500000000001</v>
      </c>
      <c r="C14" s="66">
        <v>8.1034900000000007</v>
      </c>
      <c r="D14" s="66">
        <v>31.067399999999999</v>
      </c>
      <c r="E14" s="66">
        <v>10</v>
      </c>
      <c r="F14" s="66">
        <v>1.4259200000000001</v>
      </c>
      <c r="G14" s="66">
        <v>50</v>
      </c>
      <c r="H14" s="66">
        <v>30.253599999999999</v>
      </c>
    </row>
    <row r="15" spans="1:8">
      <c r="A15" s="58" t="s">
        <v>312</v>
      </c>
      <c r="B15" s="66">
        <v>8.4962700000000002E-3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4.6745599999999998E-2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17.422699999999999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0.52802099999999996</v>
      </c>
      <c r="C18" s="66">
        <v>3.7534499999999998E-2</v>
      </c>
      <c r="D18" s="66">
        <v>7.1085200000000001E-2</v>
      </c>
      <c r="E18" s="66">
        <v>0</v>
      </c>
      <c r="F18" s="66">
        <v>0.49048700000000001</v>
      </c>
      <c r="G18" s="66">
        <v>0</v>
      </c>
      <c r="H18" s="66">
        <v>0.56555599999999995</v>
      </c>
    </row>
    <row r="19" spans="1:8">
      <c r="A19" s="58" t="s">
        <v>316</v>
      </c>
      <c r="B19" s="66">
        <v>0.54038299999999995</v>
      </c>
      <c r="C19" s="66">
        <v>2.0774899999999999E-2</v>
      </c>
      <c r="D19" s="66">
        <v>3.8444699999999998E-2</v>
      </c>
      <c r="E19" s="66">
        <v>0</v>
      </c>
      <c r="F19" s="66">
        <v>0.51960799999999996</v>
      </c>
      <c r="G19" s="66">
        <v>0</v>
      </c>
      <c r="H19" s="66">
        <v>0.56115800000000005</v>
      </c>
    </row>
    <row r="20" spans="1:8">
      <c r="A20" s="58" t="s">
        <v>317</v>
      </c>
      <c r="B20" s="66">
        <v>5.7796300000000002E-4</v>
      </c>
      <c r="C20" s="66">
        <v>2.1921599999999999E-2</v>
      </c>
      <c r="D20" s="66">
        <v>37.929099999999998</v>
      </c>
      <c r="E20" s="66">
        <v>0</v>
      </c>
      <c r="F20" s="196">
        <v>9.4267500000000005E-5</v>
      </c>
      <c r="G20" s="66">
        <v>0</v>
      </c>
      <c r="H20" s="66">
        <v>0.60294300000000001</v>
      </c>
    </row>
    <row r="21" spans="1:8">
      <c r="A21" s="58" t="s">
        <v>318</v>
      </c>
      <c r="B21" s="66">
        <v>3.86033E-2</v>
      </c>
      <c r="C21" s="66">
        <v>0.105433</v>
      </c>
      <c r="D21" s="66">
        <v>2.7311899999999998</v>
      </c>
      <c r="E21" s="66">
        <v>0</v>
      </c>
      <c r="F21" s="66">
        <v>3.12155E-4</v>
      </c>
      <c r="G21" s="66">
        <v>0</v>
      </c>
      <c r="H21" s="66">
        <v>0.87517400000000001</v>
      </c>
    </row>
    <row r="22" spans="1:8">
      <c r="A22" s="58" t="s">
        <v>319</v>
      </c>
      <c r="B22" s="66">
        <v>29.832000000000001</v>
      </c>
      <c r="C22" s="66">
        <v>7.8072299999999997</v>
      </c>
      <c r="D22" s="66">
        <v>0.26170700000000002</v>
      </c>
      <c r="E22" s="66">
        <v>0</v>
      </c>
      <c r="F22" s="66">
        <v>13.872999999999999</v>
      </c>
      <c r="G22" s="66">
        <v>0</v>
      </c>
      <c r="H22" s="66">
        <v>58.260199999999998</v>
      </c>
    </row>
    <row r="23" spans="1:8">
      <c r="A23" s="58" t="s">
        <v>320</v>
      </c>
      <c r="B23" s="66">
        <v>13.4993</v>
      </c>
      <c r="C23" s="66">
        <v>1.0307900000000001</v>
      </c>
      <c r="D23" s="66">
        <v>7.6358800000000004E-2</v>
      </c>
      <c r="E23" s="66">
        <v>0</v>
      </c>
      <c r="F23" s="66">
        <v>10.883100000000001</v>
      </c>
      <c r="G23" s="66">
        <v>0</v>
      </c>
      <c r="H23" s="66">
        <v>15.9061</v>
      </c>
    </row>
    <row r="24" spans="1:8">
      <c r="A24" s="58" t="s">
        <v>321</v>
      </c>
      <c r="B24" s="66">
        <v>6.2922900000000003E-4</v>
      </c>
      <c r="C24" s="66">
        <v>9.5111799999999993E-3</v>
      </c>
      <c r="D24" s="66">
        <v>15.115600000000001</v>
      </c>
      <c r="E24" s="66">
        <v>0</v>
      </c>
      <c r="F24" s="66">
        <v>2.6237299999999999E-4</v>
      </c>
      <c r="G24" s="66">
        <v>0</v>
      </c>
      <c r="H24" s="66">
        <v>7.7672199999999997E-2</v>
      </c>
    </row>
    <row r="25" spans="1:8">
      <c r="A25" s="58" t="s">
        <v>322</v>
      </c>
      <c r="B25" s="66">
        <v>6.8072300000000002E-2</v>
      </c>
      <c r="C25" s="66">
        <v>4.8397900000000001E-2</v>
      </c>
      <c r="D25" s="66">
        <v>0.71097699999999997</v>
      </c>
      <c r="E25" s="66">
        <v>0</v>
      </c>
      <c r="F25" s="66">
        <v>6.6507700000000003E-3</v>
      </c>
      <c r="G25" s="66">
        <v>0</v>
      </c>
      <c r="H25" s="66">
        <v>0.29642600000000002</v>
      </c>
    </row>
    <row r="26" spans="1:8">
      <c r="A26" s="58" t="s">
        <v>323</v>
      </c>
      <c r="B26" s="66">
        <v>1.57563E-4</v>
      </c>
      <c r="C26" s="66">
        <v>2.84622E-3</v>
      </c>
      <c r="D26" s="66">
        <v>18.064</v>
      </c>
      <c r="E26" s="66">
        <v>0</v>
      </c>
      <c r="F26" s="196">
        <v>2.9543099999999998E-5</v>
      </c>
      <c r="G26" s="66">
        <v>0</v>
      </c>
      <c r="H26" s="66">
        <v>8.0609899999999998E-2</v>
      </c>
    </row>
    <row r="27" spans="1:8">
      <c r="A27" s="58" t="s">
        <v>324</v>
      </c>
      <c r="B27" s="196">
        <v>-3.2825599999999999E-6</v>
      </c>
      <c r="C27" s="66">
        <v>3.7742499999999998E-3</v>
      </c>
      <c r="D27" s="66">
        <v>-1149.79</v>
      </c>
      <c r="E27" s="66">
        <v>0</v>
      </c>
      <c r="F27" s="66">
        <v>-8.04753E-2</v>
      </c>
      <c r="G27" s="66">
        <v>0</v>
      </c>
      <c r="H27" s="66">
        <v>8.04425E-2</v>
      </c>
    </row>
    <row r="28" spans="1:8">
      <c r="A28" s="58" t="s">
        <v>325</v>
      </c>
      <c r="B28" s="66">
        <v>8.1901000000000005E-3</v>
      </c>
      <c r="C28" s="66">
        <v>1.15386E-2</v>
      </c>
      <c r="D28" s="66">
        <v>1.4088499999999999</v>
      </c>
      <c r="E28" s="66">
        <v>0</v>
      </c>
      <c r="F28" s="196">
        <v>6.8359400000000001E-5</v>
      </c>
      <c r="G28" s="66">
        <v>0</v>
      </c>
      <c r="H28" s="66">
        <v>6.98796E-2</v>
      </c>
    </row>
    <row r="29" spans="1:8">
      <c r="A29" s="58" t="s">
        <v>326</v>
      </c>
      <c r="B29" s="66">
        <v>73.848699999999994</v>
      </c>
      <c r="C29" s="66">
        <v>11.825900000000001</v>
      </c>
      <c r="D29" s="66">
        <v>0.160137</v>
      </c>
      <c r="E29" s="66">
        <v>0</v>
      </c>
      <c r="F29" s="66">
        <v>49.201999999999998</v>
      </c>
      <c r="G29" s="66">
        <v>0</v>
      </c>
      <c r="H29" s="66">
        <v>100.154</v>
      </c>
    </row>
    <row r="30" spans="1:8">
      <c r="A30" s="58" t="s">
        <v>327</v>
      </c>
      <c r="B30" s="66">
        <v>22.132999999999999</v>
      </c>
      <c r="C30" s="66">
        <v>4.0973199999999999</v>
      </c>
      <c r="D30" s="66">
        <v>0.18512300000000001</v>
      </c>
      <c r="E30" s="66">
        <v>0</v>
      </c>
      <c r="F30" s="66">
        <v>12.9869</v>
      </c>
      <c r="G30" s="66">
        <v>0</v>
      </c>
      <c r="H30" s="66">
        <v>32.134599999999999</v>
      </c>
    </row>
    <row r="31" spans="1:8">
      <c r="A31" s="58" t="s">
        <v>328</v>
      </c>
      <c r="B31" s="66">
        <v>99.030699999999996</v>
      </c>
      <c r="C31" s="66">
        <v>15.927899999999999</v>
      </c>
      <c r="D31" s="66">
        <v>0.16083800000000001</v>
      </c>
      <c r="E31" s="66">
        <v>0</v>
      </c>
      <c r="F31" s="66">
        <v>60.029899999999998</v>
      </c>
      <c r="G31" s="66">
        <v>0</v>
      </c>
      <c r="H31" s="66">
        <v>122.733</v>
      </c>
    </row>
    <row r="32" spans="1:8">
      <c r="A32" s="58" t="s">
        <v>329</v>
      </c>
      <c r="B32" s="66">
        <v>0.30783899999999997</v>
      </c>
      <c r="C32" s="66">
        <v>0.109624</v>
      </c>
      <c r="D32" s="66">
        <v>0.35610900000000001</v>
      </c>
      <c r="E32" s="66">
        <v>0.15</v>
      </c>
      <c r="F32" s="66">
        <v>6.3977500000000007E-2</v>
      </c>
      <c r="G32" s="66">
        <v>0.4</v>
      </c>
      <c r="H32" s="66">
        <v>0.51373199999999997</v>
      </c>
    </row>
    <row r="33" spans="1:8">
      <c r="A33" s="58" t="s">
        <v>330</v>
      </c>
      <c r="B33" s="66">
        <v>0.36259400000000003</v>
      </c>
      <c r="C33" s="66">
        <v>4.7509599999999999E-2</v>
      </c>
      <c r="D33" s="66">
        <v>0.131027</v>
      </c>
      <c r="E33" s="66">
        <v>0</v>
      </c>
      <c r="F33" s="66">
        <v>0.27654600000000001</v>
      </c>
      <c r="G33" s="66">
        <v>0</v>
      </c>
      <c r="H33" s="66">
        <v>0.426286</v>
      </c>
    </row>
    <row r="34" spans="1:8">
      <c r="A34" s="58" t="s">
        <v>331</v>
      </c>
      <c r="B34" s="66">
        <v>0.156441</v>
      </c>
      <c r="C34" s="66">
        <v>2.6083499999999999E-2</v>
      </c>
      <c r="D34" s="66">
        <v>0.16673099999999999</v>
      </c>
      <c r="E34" s="66">
        <v>0.1</v>
      </c>
      <c r="F34" s="66">
        <v>0.10659100000000001</v>
      </c>
      <c r="G34" s="66">
        <v>0.25</v>
      </c>
      <c r="H34" s="66">
        <v>0.24099799999999999</v>
      </c>
    </row>
    <row r="35" spans="1:8">
      <c r="A35" s="58" t="s">
        <v>332</v>
      </c>
      <c r="B35" s="66">
        <v>6.6457000000000002E-2</v>
      </c>
      <c r="C35" s="66">
        <v>3.1664299999999999E-2</v>
      </c>
      <c r="D35" s="66">
        <v>0.47646300000000003</v>
      </c>
      <c r="E35" s="66">
        <v>0</v>
      </c>
      <c r="F35" s="66">
        <v>2.0448500000000001E-2</v>
      </c>
      <c r="G35" s="66">
        <v>0</v>
      </c>
      <c r="H35" s="66">
        <v>0.20648900000000001</v>
      </c>
    </row>
    <row r="36" spans="1:8">
      <c r="A36" s="58" t="s">
        <v>333</v>
      </c>
      <c r="B36" s="66">
        <v>0.12804699999999999</v>
      </c>
      <c r="C36" s="66">
        <v>8.0560800000000002E-2</v>
      </c>
      <c r="D36" s="66">
        <v>0.62914999999999999</v>
      </c>
      <c r="E36" s="66">
        <v>0</v>
      </c>
      <c r="F36" s="66">
        <v>3.2461200000000003E-2</v>
      </c>
      <c r="G36" s="66">
        <v>0</v>
      </c>
      <c r="H36" s="66">
        <v>0.70149300000000003</v>
      </c>
    </row>
    <row r="37" spans="1:8">
      <c r="A37" s="58" t="s">
        <v>334</v>
      </c>
      <c r="B37" s="66">
        <v>0.26083499999999998</v>
      </c>
      <c r="C37" s="66">
        <v>8.1034900000000007E-2</v>
      </c>
      <c r="D37" s="66">
        <v>0.31067400000000001</v>
      </c>
      <c r="E37" s="66">
        <v>0.1</v>
      </c>
      <c r="F37" s="66">
        <v>1.42592E-2</v>
      </c>
      <c r="G37" s="66">
        <v>0.5</v>
      </c>
      <c r="H37" s="66">
        <v>0.30253600000000003</v>
      </c>
    </row>
    <row r="38" spans="1:8">
      <c r="A38" s="58" t="s">
        <v>335</v>
      </c>
      <c r="B38" s="66">
        <v>-7.60283</v>
      </c>
      <c r="C38" s="66">
        <v>42.241100000000003</v>
      </c>
      <c r="D38" s="66">
        <v>-5.5559700000000003</v>
      </c>
      <c r="E38" s="66">
        <v>0</v>
      </c>
      <c r="F38" s="66">
        <v>-193.751</v>
      </c>
      <c r="G38" s="66">
        <v>0</v>
      </c>
      <c r="H38" s="66">
        <v>301.60899999999998</v>
      </c>
    </row>
    <row r="39" spans="1:8">
      <c r="A39" s="58" t="s">
        <v>336</v>
      </c>
      <c r="B39" s="66">
        <v>-6.2376800000000001</v>
      </c>
      <c r="C39" s="66">
        <v>5.6324699999999996</v>
      </c>
      <c r="D39" s="66">
        <v>-0.90297499999999997</v>
      </c>
      <c r="E39" s="66">
        <v>0</v>
      </c>
      <c r="F39" s="66">
        <v>-17.398599999999998</v>
      </c>
      <c r="G39" s="66">
        <v>0</v>
      </c>
      <c r="H39" s="66">
        <v>20.167200000000001</v>
      </c>
    </row>
    <row r="40" spans="1:8">
      <c r="A40" s="58" t="s">
        <v>337</v>
      </c>
      <c r="B40" s="66">
        <v>-2.82911</v>
      </c>
      <c r="C40" s="66">
        <v>0.76777899999999999</v>
      </c>
      <c r="D40" s="66">
        <v>-0.27138600000000002</v>
      </c>
      <c r="E40" s="66">
        <v>0</v>
      </c>
      <c r="F40" s="66">
        <v>-3.75522</v>
      </c>
      <c r="G40" s="66">
        <v>0</v>
      </c>
      <c r="H40" s="66">
        <v>-1.20438</v>
      </c>
    </row>
    <row r="41" spans="1:8">
      <c r="A41" s="58" t="s">
        <v>338</v>
      </c>
      <c r="B41" s="66">
        <v>-0.11951299999999999</v>
      </c>
      <c r="C41" s="66">
        <v>0.38104100000000002</v>
      </c>
      <c r="D41" s="66">
        <v>-3.1882799999999998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-0.197268</v>
      </c>
      <c r="C42" s="66">
        <v>0.109733</v>
      </c>
      <c r="D42" s="66">
        <v>-0.55626500000000001</v>
      </c>
      <c r="E42" s="66">
        <v>0</v>
      </c>
      <c r="F42" s="66">
        <v>-0.428809</v>
      </c>
      <c r="G42" s="66">
        <v>0</v>
      </c>
      <c r="H42" s="66">
        <v>0.27637899999999999</v>
      </c>
    </row>
    <row r="43" spans="1:8">
      <c r="A43" s="58" t="s">
        <v>340</v>
      </c>
      <c r="B43" s="66">
        <v>-0.17214599999999999</v>
      </c>
      <c r="C43" s="66">
        <v>9.3958200000000006E-2</v>
      </c>
      <c r="D43" s="66">
        <v>-0.54580399999999996</v>
      </c>
      <c r="E43" s="66">
        <v>0</v>
      </c>
      <c r="F43" s="66">
        <v>-0.28722799999999998</v>
      </c>
      <c r="G43" s="66">
        <v>0</v>
      </c>
      <c r="H43" s="66">
        <v>1.84713E-2</v>
      </c>
    </row>
    <row r="44" spans="1:8">
      <c r="A44" s="58" t="s">
        <v>341</v>
      </c>
      <c r="B44" s="66">
        <v>-3.5352899999999998</v>
      </c>
      <c r="C44" s="66">
        <v>10.1205</v>
      </c>
      <c r="D44" s="66">
        <v>-2.8627199999999999</v>
      </c>
      <c r="E44" s="66">
        <v>0</v>
      </c>
      <c r="F44" s="66">
        <v>-26.696400000000001</v>
      </c>
      <c r="G44" s="66">
        <v>0</v>
      </c>
      <c r="H44" s="66">
        <v>16.129300000000001</v>
      </c>
    </row>
    <row r="45" spans="1:8">
      <c r="A45" s="58" t="s">
        <v>342</v>
      </c>
      <c r="B45" s="66">
        <v>51.932899999999997</v>
      </c>
      <c r="C45" s="66">
        <v>8.1667500000000004</v>
      </c>
      <c r="D45" s="66">
        <v>0.15725600000000001</v>
      </c>
      <c r="E45" s="66">
        <v>0</v>
      </c>
      <c r="F45" s="66">
        <v>34.275799999999997</v>
      </c>
      <c r="G45" s="66">
        <v>0</v>
      </c>
      <c r="H45" s="66">
        <v>71.223299999999995</v>
      </c>
    </row>
    <row r="46" spans="1:8">
      <c r="A46" s="58" t="s">
        <v>343</v>
      </c>
      <c r="B46" s="66">
        <v>29.409199999999998</v>
      </c>
      <c r="C46" s="66">
        <v>6.20791</v>
      </c>
      <c r="D46" s="66">
        <v>0.211087</v>
      </c>
      <c r="E46" s="66">
        <v>0</v>
      </c>
      <c r="F46" s="66">
        <v>12.349399999999999</v>
      </c>
      <c r="G46" s="66">
        <v>0</v>
      </c>
      <c r="H46" s="66">
        <v>40.520499999999998</v>
      </c>
    </row>
    <row r="47" spans="1:8">
      <c r="A47" s="58" t="s">
        <v>344</v>
      </c>
      <c r="B47" s="66">
        <v>1.03424</v>
      </c>
      <c r="C47" s="66">
        <v>0.374421</v>
      </c>
      <c r="D47" s="66">
        <v>0.36202400000000001</v>
      </c>
      <c r="E47" s="66">
        <v>0</v>
      </c>
      <c r="F47" s="66">
        <v>0.37760700000000003</v>
      </c>
      <c r="G47" s="66">
        <v>0</v>
      </c>
      <c r="H47" s="66">
        <v>2.2847200000000001</v>
      </c>
    </row>
    <row r="48" spans="1:8">
      <c r="A48" s="58" t="s">
        <v>345</v>
      </c>
      <c r="B48" s="66">
        <v>0.97684899999999997</v>
      </c>
      <c r="C48" s="66">
        <v>0.26660499999999998</v>
      </c>
      <c r="D48" s="66">
        <v>0.272924</v>
      </c>
      <c r="E48" s="66">
        <v>0</v>
      </c>
      <c r="F48" s="66">
        <v>0.49497000000000002</v>
      </c>
      <c r="G48" s="66">
        <v>0</v>
      </c>
      <c r="H48" s="66">
        <v>1.7168300000000001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2.1091000000000051</v>
      </c>
      <c r="C5" s="66">
        <f>'M2'!C5-'M1'!C5</f>
        <v>-3.1059399999999995</v>
      </c>
      <c r="D5" s="66">
        <f>'M2'!D5-'M1'!D5</f>
        <v>-9.1133000000000006</v>
      </c>
      <c r="E5" s="66">
        <f>'M2'!E5-'M1'!E5</f>
        <v>0</v>
      </c>
      <c r="F5" s="66">
        <f>'M2'!F5-'M1'!F5</f>
        <v>12.748000000000001</v>
      </c>
      <c r="G5" s="66">
        <f>'M2'!G5-'M1'!G5</f>
        <v>0</v>
      </c>
      <c r="H5" s="66">
        <f>'M2'!H5-'M1'!H5</f>
        <v>-1.0259</v>
      </c>
    </row>
    <row r="6" spans="1:8">
      <c r="A6" s="66" t="s">
        <v>244</v>
      </c>
      <c r="B6" s="66">
        <f>'M2'!B6-'M1'!B6</f>
        <v>3.8506</v>
      </c>
      <c r="C6" s="66">
        <f>'M2'!C6-'M1'!C6</f>
        <v>-0.55058999999999991</v>
      </c>
      <c r="D6" s="66">
        <f>'M2'!D6-'M1'!D6</f>
        <v>-2.5918399999999995</v>
      </c>
      <c r="E6" s="66">
        <f>'M2'!E6-'M1'!E6</f>
        <v>0</v>
      </c>
      <c r="F6" s="66">
        <f>'M2'!F6-'M1'!F6</f>
        <v>3.8352000000000004</v>
      </c>
      <c r="G6" s="66">
        <f>'M2'!G6-'M1'!G6</f>
        <v>0</v>
      </c>
      <c r="H6" s="66">
        <f>'M2'!H6-'M1'!H6</f>
        <v>1.8433000000000028</v>
      </c>
    </row>
    <row r="7" spans="1:8">
      <c r="A7" s="66" t="s">
        <v>245</v>
      </c>
      <c r="B7" s="66">
        <f>'M2'!B7-'M1'!B7</f>
        <v>8.3961000000000006</v>
      </c>
      <c r="C7" s="66">
        <f>'M2'!C7-'M1'!C7</f>
        <v>8.4953699999999994</v>
      </c>
      <c r="D7" s="66">
        <f>'M2'!D7-'M1'!D7</f>
        <v>18.706300000000002</v>
      </c>
      <c r="E7" s="66">
        <f>'M2'!E7-'M1'!E7</f>
        <v>0</v>
      </c>
      <c r="F7" s="66">
        <f>'M2'!F7-'M1'!F7</f>
        <v>-8.1832499999999992</v>
      </c>
      <c r="G7" s="66">
        <f>'M2'!G7-'M1'!G7</f>
        <v>0</v>
      </c>
      <c r="H7" s="66">
        <f>'M2'!H7-'M1'!H7</f>
        <v>7.4881999999999991</v>
      </c>
    </row>
    <row r="8" spans="1:8">
      <c r="A8" s="66" t="s">
        <v>246</v>
      </c>
      <c r="B8" s="66">
        <f>'M2'!B8-'M1'!B8</f>
        <v>7.0317999999999969</v>
      </c>
      <c r="C8" s="66">
        <f>'M2'!C8-'M1'!C8</f>
        <v>1.4913600000000002</v>
      </c>
      <c r="D8" s="66">
        <f>'M2'!D8-'M1'!D8</f>
        <v>1.8922000000000008</v>
      </c>
      <c r="E8" s="66">
        <f>'M2'!E8-'M1'!E8</f>
        <v>0</v>
      </c>
      <c r="F8" s="66">
        <f>'M2'!F8-'M1'!F8</f>
        <v>0.49690000000000012</v>
      </c>
      <c r="G8" s="66">
        <f>'M2'!G8-'M1'!G8</f>
        <v>0</v>
      </c>
      <c r="H8" s="66">
        <f>'M2'!H8-'M1'!H8</f>
        <v>0.50609999999999644</v>
      </c>
    </row>
    <row r="9" spans="1:8">
      <c r="A9" s="66" t="s">
        <v>247</v>
      </c>
      <c r="B9" s="66">
        <f>'M2'!B9-'M1'!B9</f>
        <v>-7.371699999999997</v>
      </c>
      <c r="C9" s="66">
        <f>'M2'!C9-'M1'!C9</f>
        <v>-2.9264600000000005</v>
      </c>
      <c r="D9" s="66">
        <f>'M2'!D9-'M1'!D9</f>
        <v>-3.0756000000000014</v>
      </c>
      <c r="E9" s="66">
        <f>'M2'!E9-'M1'!E9</f>
        <v>0</v>
      </c>
      <c r="F9" s="66">
        <f>'M2'!F9-'M1'!F9</f>
        <v>0.39550000000000551</v>
      </c>
      <c r="G9" s="66">
        <f>'M2'!G9-'M1'!G9</f>
        <v>0</v>
      </c>
      <c r="H9" s="66">
        <f>'M2'!H9-'M1'!H9</f>
        <v>-9.0405000000000086</v>
      </c>
    </row>
    <row r="10" spans="1:8">
      <c r="A10" s="66" t="s">
        <v>248</v>
      </c>
      <c r="B10" s="66">
        <f>'M2'!B10-'M1'!B10</f>
        <v>-9.5900000000000034</v>
      </c>
      <c r="C10" s="66">
        <f>'M2'!C10-'M1'!C10</f>
        <v>-0.93246000000000029</v>
      </c>
      <c r="D10" s="66">
        <f>'M2'!D10-'M1'!D10</f>
        <v>-0.67987999999999937</v>
      </c>
      <c r="E10" s="66">
        <f>'M2'!E10-'M1'!E10</f>
        <v>0</v>
      </c>
      <c r="F10" s="66">
        <f>'M2'!F10-'M1'!F10</f>
        <v>-4.593199999999996</v>
      </c>
      <c r="G10" s="66">
        <f>'M2'!G10-'M1'!G10</f>
        <v>0</v>
      </c>
      <c r="H10" s="66">
        <f>'M2'!H10-'M1'!H10</f>
        <v>-8.6452000000000027</v>
      </c>
    </row>
    <row r="11" spans="1:8">
      <c r="A11" s="66" t="s">
        <v>249</v>
      </c>
      <c r="B11" s="66">
        <f>'M2'!B11-'M1'!B11</f>
        <v>-0.31790000000000163</v>
      </c>
      <c r="C11" s="66">
        <f>'M2'!C11-'M1'!C11</f>
        <v>-0.22424999999999962</v>
      </c>
      <c r="D11" s="66">
        <f>'M2'!D11-'M1'!D11</f>
        <v>-0.68310000000000315</v>
      </c>
      <c r="E11" s="66">
        <f>'M2'!E11-'M1'!E11</f>
        <v>0</v>
      </c>
      <c r="F11" s="66">
        <f>'M2'!F11-'M1'!F11</f>
        <v>2.3887999999999998</v>
      </c>
      <c r="G11" s="66">
        <f>'M2'!G11-'M1'!G11</f>
        <v>0</v>
      </c>
      <c r="H11" s="66">
        <f>'M2'!H11-'M1'!H11</f>
        <v>8.3500000000000796E-2</v>
      </c>
    </row>
    <row r="12" spans="1:8">
      <c r="A12" s="66" t="s">
        <v>250</v>
      </c>
      <c r="B12" s="66">
        <f>'M2'!B12-'M1'!B12</f>
        <v>-8.6554999999999893</v>
      </c>
      <c r="C12" s="66">
        <f>'M2'!C12-'M1'!C12</f>
        <v>-2.2371699999999999</v>
      </c>
      <c r="D12" s="66">
        <f>'M2'!D12-'M1'!D12</f>
        <v>-2.2628000000000004</v>
      </c>
      <c r="E12" s="66">
        <f>'M2'!E12-'M1'!E12</f>
        <v>0</v>
      </c>
      <c r="F12" s="66">
        <f>'M2'!F12-'M1'!F12</f>
        <v>-0.6583000000000041</v>
      </c>
      <c r="G12" s="66">
        <f>'M2'!G12-'M1'!G12</f>
        <v>0</v>
      </c>
      <c r="H12" s="66">
        <f>'M2'!H12-'M1'!H12</f>
        <v>-9.4288999999999987</v>
      </c>
    </row>
    <row r="13" spans="1:8">
      <c r="A13" s="66" t="s">
        <v>251</v>
      </c>
      <c r="B13" s="66">
        <f>'M2'!B13-'M1'!B13</f>
        <v>1.3590000000000018</v>
      </c>
      <c r="C13" s="66">
        <f>'M2'!C13-'M1'!C13</f>
        <v>0.78339999999999987</v>
      </c>
      <c r="D13" s="66">
        <f>'M2'!D13-'M1'!D13</f>
        <v>3.5844999999999985</v>
      </c>
      <c r="E13" s="66">
        <f>'M2'!E13-'M1'!E13</f>
        <v>0</v>
      </c>
      <c r="F13" s="66">
        <f>'M2'!F13-'M1'!F13</f>
        <v>-1.9481999999999999</v>
      </c>
      <c r="G13" s="66">
        <f>'M2'!G13-'M1'!G13</f>
        <v>0</v>
      </c>
      <c r="H13" s="66">
        <f>'M2'!H13-'M1'!H13</f>
        <v>2.8167999999999971</v>
      </c>
    </row>
    <row r="14" spans="1:8">
      <c r="A14" s="66" t="s">
        <v>252</v>
      </c>
      <c r="B14" s="66">
        <f>'M2'!B14-'M1'!B14</f>
        <v>7.8339999999999996</v>
      </c>
      <c r="C14" s="66">
        <f>'M2'!C14-'M1'!C14</f>
        <v>0.17227999999999977</v>
      </c>
      <c r="D14" s="66">
        <f>'M2'!D14-'M1'!D14</f>
        <v>-9.0984000000000016</v>
      </c>
      <c r="E14" s="66">
        <f>'M2'!E14-'M1'!E14</f>
        <v>0</v>
      </c>
      <c r="F14" s="66">
        <f>'M2'!F14-'M1'!F14</f>
        <v>-0.48976999999999982</v>
      </c>
      <c r="G14" s="66">
        <f>'M2'!G14-'M1'!G14</f>
        <v>0</v>
      </c>
      <c r="H14" s="66">
        <f>'M2'!H14-'M1'!H14</f>
        <v>5.0793999999999997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-5.8630000000000626E-3</v>
      </c>
      <c r="C18" s="66">
        <f>'M2'!C18-'M1'!C18</f>
        <v>3.7534499999999998E-2</v>
      </c>
      <c r="D18" s="66">
        <f>'M2'!D18-'M1'!D18</f>
        <v>7.1085200000000001E-2</v>
      </c>
      <c r="E18" s="66">
        <f>'M2'!E18-'M1'!E18</f>
        <v>0</v>
      </c>
      <c r="F18" s="66">
        <f>'M2'!F18-'M1'!F18</f>
        <v>0.49048700000000001</v>
      </c>
      <c r="G18" s="66">
        <f>'M2'!G18-'M1'!G18</f>
        <v>0</v>
      </c>
      <c r="H18" s="66">
        <f>'M2'!H18-'M1'!H18</f>
        <v>0.56555599999999995</v>
      </c>
    </row>
    <row r="19" spans="1:8">
      <c r="A19" s="66" t="s">
        <v>256</v>
      </c>
      <c r="B19" s="66">
        <f>'M2'!B19-'M1'!B19</f>
        <v>-5.2777000000000074E-2</v>
      </c>
      <c r="C19" s="66">
        <f>'M2'!C19-'M1'!C19</f>
        <v>2.0774899999999999E-2</v>
      </c>
      <c r="D19" s="66">
        <f>'M2'!D19-'M1'!D19</f>
        <v>3.8444699999999998E-2</v>
      </c>
      <c r="E19" s="66">
        <f>'M2'!E19-'M1'!E19</f>
        <v>0</v>
      </c>
      <c r="F19" s="66">
        <f>'M2'!F19-'M1'!F19</f>
        <v>0.51960799999999996</v>
      </c>
      <c r="G19" s="66">
        <f>'M2'!G19-'M1'!G19</f>
        <v>0</v>
      </c>
      <c r="H19" s="66">
        <f>'M2'!H19-'M1'!H19</f>
        <v>0.56115800000000005</v>
      </c>
    </row>
    <row r="20" spans="1:8">
      <c r="A20" s="66" t="s">
        <v>63</v>
      </c>
      <c r="B20" s="66">
        <f>'M2'!B20-'M1'!B20</f>
        <v>-1.3262199999999999E-4</v>
      </c>
      <c r="C20" s="66">
        <f>'M2'!C20-'M1'!C20</f>
        <v>1.6303499999999999E-2</v>
      </c>
      <c r="D20" s="66">
        <f>'M2'!D20-'M1'!D20</f>
        <v>37.427999999999997</v>
      </c>
      <c r="E20" s="66">
        <f>'M2'!E20-'M1'!E20</f>
        <v>0</v>
      </c>
      <c r="F20" s="66">
        <f>'M2'!F20-'M1'!F20</f>
        <v>-9.6934999999999979E-6</v>
      </c>
      <c r="G20" s="66">
        <f>'M2'!G20-'M1'!G20</f>
        <v>0</v>
      </c>
      <c r="H20" s="66">
        <f>'M2'!H20-'M1'!H20</f>
        <v>0.42983499999999997</v>
      </c>
    </row>
    <row r="21" spans="1:8">
      <c r="A21" s="66" t="s">
        <v>64</v>
      </c>
      <c r="B21" s="66">
        <f>'M2'!B21-'M1'!B21</f>
        <v>-1.0930100000000005E-2</v>
      </c>
      <c r="C21" s="66">
        <f>'M2'!C21-'M1'!C21</f>
        <v>-7.7789999999999943E-3</v>
      </c>
      <c r="D21" s="66">
        <f>'M2'!D21-'M1'!D21</f>
        <v>0.55322999999999967</v>
      </c>
      <c r="E21" s="66">
        <f>'M2'!E21-'M1'!E21</f>
        <v>0</v>
      </c>
      <c r="F21" s="66">
        <f>'M2'!F21-'M1'!F21</f>
        <v>-1.3078299999999998E-4</v>
      </c>
      <c r="G21" s="66">
        <f>'M2'!G21-'M1'!G21</f>
        <v>0</v>
      </c>
      <c r="H21" s="66">
        <f>'M2'!H21-'M1'!H21</f>
        <v>-0.35170800000000002</v>
      </c>
    </row>
    <row r="22" spans="1:8">
      <c r="A22" s="66" t="s">
        <v>65</v>
      </c>
      <c r="B22" s="66">
        <f>'M2'!B22-'M1'!B22</f>
        <v>-0.89879999999999782</v>
      </c>
      <c r="C22" s="66">
        <f>'M2'!C22-'M1'!C22</f>
        <v>-0.83861000000000097</v>
      </c>
      <c r="D22" s="66">
        <f>'M2'!D22-'M1'!D22</f>
        <v>-2.0228999999999997E-2</v>
      </c>
      <c r="E22" s="66">
        <f>'M2'!E22-'M1'!E22</f>
        <v>0</v>
      </c>
      <c r="F22" s="66">
        <f>'M2'!F22-'M1'!F22</f>
        <v>-0.76200000000000045</v>
      </c>
      <c r="G22" s="66">
        <f>'M2'!G22-'M1'!G22</f>
        <v>0</v>
      </c>
      <c r="H22" s="66">
        <f>'M2'!H22-'M1'!H22</f>
        <v>-14.006899999999995</v>
      </c>
    </row>
    <row r="23" spans="1:8">
      <c r="A23" s="66" t="s">
        <v>66</v>
      </c>
      <c r="B23" s="66">
        <f>'M2'!B23-'M1'!B23</f>
        <v>-0.47349999999999959</v>
      </c>
      <c r="C23" s="66">
        <f>'M2'!C23-'M1'!C23</f>
        <v>0.46154499999999998</v>
      </c>
      <c r="D23" s="66">
        <f>'M2'!D23-'M1'!D23</f>
        <v>3.7336700000000007E-2</v>
      </c>
      <c r="E23" s="66">
        <f>'M2'!E23-'M1'!E23</f>
        <v>0</v>
      </c>
      <c r="F23" s="66">
        <f>'M2'!F23-'M1'!F23</f>
        <v>0.46059999999999945</v>
      </c>
      <c r="G23" s="66">
        <f>'M2'!G23-'M1'!G23</f>
        <v>0</v>
      </c>
      <c r="H23" s="66">
        <f>'M2'!H23-'M1'!H23</f>
        <v>0.38830000000000098</v>
      </c>
    </row>
    <row r="24" spans="1:8">
      <c r="A24" s="66" t="s">
        <v>67</v>
      </c>
      <c r="B24" s="66">
        <f>'M2'!B24-'M1'!B24</f>
        <v>-1.9341900000000001E-4</v>
      </c>
      <c r="C24" s="66">
        <f>'M2'!C24-'M1'!C24</f>
        <v>1.1853800000000015E-3</v>
      </c>
      <c r="D24" s="66">
        <f>'M2'!D24-'M1'!D24</f>
        <v>6.1271999999999984</v>
      </c>
      <c r="E24" s="66">
        <f>'M2'!E24-'M1'!E24</f>
        <v>0</v>
      </c>
      <c r="F24" s="66">
        <f>'M2'!F24-'M1'!F24</f>
        <v>-1.1354300000000002E-4</v>
      </c>
      <c r="G24" s="66">
        <f>'M2'!G24-'M1'!G24</f>
        <v>0</v>
      </c>
      <c r="H24" s="66">
        <f>'M2'!H24-'M1'!H24</f>
        <v>-1.2350299999999995E-2</v>
      </c>
    </row>
    <row r="25" spans="1:8">
      <c r="A25" s="66" t="s">
        <v>68</v>
      </c>
      <c r="B25" s="66">
        <f>'M2'!B25-'M1'!B25</f>
        <v>4.4686999999999921E-3</v>
      </c>
      <c r="C25" s="66">
        <f>'M2'!C25-'M1'!C25</f>
        <v>-1.4708899999999997E-2</v>
      </c>
      <c r="D25" s="66">
        <f>'M2'!D25-'M1'!D25</f>
        <v>-0.25901699999999994</v>
      </c>
      <c r="E25" s="66">
        <f>'M2'!E25-'M1'!E25</f>
        <v>0</v>
      </c>
      <c r="F25" s="66">
        <f>'M2'!F25-'M1'!F25</f>
        <v>-6.2066299999999994E-3</v>
      </c>
      <c r="G25" s="66">
        <f>'M2'!G25-'M1'!G25</f>
        <v>0</v>
      </c>
      <c r="H25" s="66">
        <f>'M2'!H25-'M1'!H25</f>
        <v>-0.13340500000000002</v>
      </c>
    </row>
    <row r="26" spans="1:8">
      <c r="A26" s="66" t="s">
        <v>69</v>
      </c>
      <c r="B26" s="66">
        <f>'M2'!B26-'M1'!B26</f>
        <v>-4.2672999999999989E-5</v>
      </c>
      <c r="C26" s="66">
        <f>'M2'!C26-'M1'!C26</f>
        <v>2.3546999999999999E-3</v>
      </c>
      <c r="D26" s="66">
        <f>'M2'!D26-'M1'!D26</f>
        <v>20.031200000000002</v>
      </c>
      <c r="E26" s="66">
        <f>'M2'!E26-'M1'!E26</f>
        <v>0</v>
      </c>
      <c r="F26" s="66">
        <f>'M2'!F26-'M1'!F26</f>
        <v>-3.2825000000000012E-6</v>
      </c>
      <c r="G26" s="66">
        <f>'M2'!G26-'M1'!G26</f>
        <v>0</v>
      </c>
      <c r="H26" s="66">
        <f>'M2'!H26-'M1'!H26</f>
        <v>6.5470699999999993E-2</v>
      </c>
    </row>
    <row r="27" spans="1:8">
      <c r="A27" s="66" t="s">
        <v>70</v>
      </c>
      <c r="B27" s="66">
        <f>'M2'!B27-'M1'!B27</f>
        <v>0</v>
      </c>
      <c r="C27" s="66">
        <f>'M2'!C27-'M1'!C27</f>
        <v>4.3444199999999999E-3</v>
      </c>
      <c r="D27" s="66">
        <f>'M2'!D27-'M1'!D27</f>
        <v>-1323.4789999999998</v>
      </c>
      <c r="E27" s="66">
        <f>'M2'!E27-'M1'!E27</f>
        <v>0</v>
      </c>
      <c r="F27" s="66">
        <f>'M2'!F27-'M1'!F27</f>
        <v>-7.2104760000000004E-2</v>
      </c>
      <c r="G27" s="66">
        <f>'M2'!G27-'M1'!G27</f>
        <v>0</v>
      </c>
      <c r="H27" s="66">
        <f>'M2'!H27-'M1'!H27</f>
        <v>7.1727299999999994E-2</v>
      </c>
    </row>
    <row r="28" spans="1:8">
      <c r="A28" s="66" t="s">
        <v>71</v>
      </c>
      <c r="B28" s="66">
        <f>'M2'!B28-'M1'!B28</f>
        <v>-1.9352200000000005E-3</v>
      </c>
      <c r="C28" s="66">
        <f>'M2'!C28-'M1'!C28</f>
        <v>1.0589999999999992E-3</v>
      </c>
      <c r="D28" s="66">
        <f>'M2'!D28-'M1'!D28</f>
        <v>0.45805999999999991</v>
      </c>
      <c r="E28" s="66">
        <f>'M2'!E28-'M1'!E28</f>
        <v>0</v>
      </c>
      <c r="F28" s="66">
        <f>'M2'!F28-'M1'!F28</f>
        <v>-4.88276E-5</v>
      </c>
      <c r="G28" s="66">
        <f>'M2'!G28-'M1'!G28</f>
        <v>0</v>
      </c>
      <c r="H28" s="66">
        <f>'M2'!H28-'M1'!H28</f>
        <v>-9.2155000000000015E-3</v>
      </c>
    </row>
    <row r="29" spans="1:8">
      <c r="A29" s="66" t="s">
        <v>72</v>
      </c>
      <c r="B29" s="66">
        <f>'M2'!B29-'M1'!B29</f>
        <v>-5.0500999999999863</v>
      </c>
      <c r="C29" s="66">
        <f>'M2'!C29-'M1'!C29</f>
        <v>2.2126999999999999</v>
      </c>
      <c r="D29" s="66">
        <f>'M2'!D29-'M1'!D29</f>
        <v>4.0901999999999994E-2</v>
      </c>
      <c r="E29" s="66">
        <f>'M2'!E29-'M1'!E29</f>
        <v>0</v>
      </c>
      <c r="F29" s="66">
        <f>'M2'!F29-'M1'!F29</f>
        <v>-2.8243000000000009</v>
      </c>
      <c r="G29" s="66">
        <f>'M2'!G29-'M1'!G29</f>
        <v>0</v>
      </c>
      <c r="H29" s="66">
        <f>'M2'!H29-'M1'!H29</f>
        <v>4.5534999999999997</v>
      </c>
    </row>
    <row r="30" spans="1:8">
      <c r="A30" s="66" t="s">
        <v>73</v>
      </c>
      <c r="B30" s="66">
        <f>'M2'!B30-'M1'!B30</f>
        <v>-0.17790000000000106</v>
      </c>
      <c r="C30" s="66">
        <f>'M2'!C30-'M1'!C30</f>
        <v>-0.69897000000000009</v>
      </c>
      <c r="D30" s="66">
        <f>'M2'!D30-'M1'!D30</f>
        <v>-3.0012000000000011E-2</v>
      </c>
      <c r="E30" s="66">
        <f>'M2'!E30-'M1'!E30</f>
        <v>0</v>
      </c>
      <c r="F30" s="66">
        <f>'M2'!F30-'M1'!F30</f>
        <v>6.1126999999999985</v>
      </c>
      <c r="G30" s="66">
        <f>'M2'!G30-'M1'!G30</f>
        <v>0</v>
      </c>
      <c r="H30" s="66">
        <f>'M2'!H30-'M1'!H30</f>
        <v>0.74509999999999721</v>
      </c>
    </row>
    <row r="31" spans="1:8">
      <c r="A31" s="66" t="s">
        <v>74</v>
      </c>
      <c r="B31" s="66">
        <f>'M2'!B31-'M1'!B31</f>
        <v>9.6032000000000011</v>
      </c>
      <c r="C31" s="66">
        <f>'M2'!C31-'M1'!C31</f>
        <v>-2.1916999999999991</v>
      </c>
      <c r="D31" s="66">
        <f>'M2'!D31-'M1'!D31</f>
        <v>-3.7348999999999993E-2</v>
      </c>
      <c r="E31" s="66">
        <f>'M2'!E31-'M1'!E31</f>
        <v>0</v>
      </c>
      <c r="F31" s="66">
        <f>'M2'!F31-'M1'!F31</f>
        <v>19.211399999999998</v>
      </c>
      <c r="G31" s="66">
        <f>'M2'!G31-'M1'!G31</f>
        <v>0</v>
      </c>
      <c r="H31" s="66">
        <f>'M2'!H31-'M1'!H31</f>
        <v>7.2060000000000031</v>
      </c>
    </row>
    <row r="32" spans="1:8">
      <c r="A32" s="66" t="s">
        <v>75</v>
      </c>
      <c r="B32" s="66">
        <f>'M2'!B32-'M1'!B32</f>
        <v>8.3961000000000008E-2</v>
      </c>
      <c r="C32" s="66">
        <f>'M2'!C32-'M1'!C32</f>
        <v>8.4953699999999993E-2</v>
      </c>
      <c r="D32" s="66">
        <f>'M2'!D32-'M1'!D32</f>
        <v>0.18706299999999998</v>
      </c>
      <c r="E32" s="66">
        <f>'M2'!E32-'M1'!E32</f>
        <v>0</v>
      </c>
      <c r="F32" s="66">
        <f>'M2'!F32-'M1'!F32</f>
        <v>-8.1832499999999989E-2</v>
      </c>
      <c r="G32" s="66">
        <f>'M2'!G32-'M1'!G32</f>
        <v>0</v>
      </c>
      <c r="H32" s="66">
        <f>'M2'!H32-'M1'!H32</f>
        <v>7.4881999999999949E-2</v>
      </c>
    </row>
    <row r="33" spans="1:8">
      <c r="A33" s="66" t="s">
        <v>76</v>
      </c>
      <c r="B33" s="66">
        <f>'M2'!B33-'M1'!B33</f>
        <v>9.1474E-2</v>
      </c>
      <c r="C33" s="66">
        <f>'M2'!C33-'M1'!C33</f>
        <v>-1.9847799999999999E-2</v>
      </c>
      <c r="D33" s="66">
        <f>'M2'!D33-'M1'!D33</f>
        <v>-8.7648000000000004E-2</v>
      </c>
      <c r="E33" s="66">
        <f>'M2'!E33-'M1'!E33</f>
        <v>0</v>
      </c>
      <c r="F33" s="66">
        <f>'M2'!F33-'M1'!F33</f>
        <v>7.2747000000000006E-2</v>
      </c>
      <c r="G33" s="66">
        <f>'M2'!G33-'M1'!G33</f>
        <v>0</v>
      </c>
      <c r="H33" s="66">
        <f>'M2'!H33-'M1'!H33</f>
        <v>2.0299999999999763E-3</v>
      </c>
    </row>
    <row r="34" spans="1:8">
      <c r="A34" s="66" t="s">
        <v>77</v>
      </c>
      <c r="B34" s="66">
        <f>'M2'!B34-'M1'!B34</f>
        <v>1.3589999999999991E-2</v>
      </c>
      <c r="C34" s="66">
        <f>'M2'!C34-'M1'!C34</f>
        <v>7.8340000000000007E-3</v>
      </c>
      <c r="D34" s="66">
        <f>'M2'!D34-'M1'!D34</f>
        <v>3.5844999999999988E-2</v>
      </c>
      <c r="E34" s="66">
        <f>'M2'!E34-'M1'!E34</f>
        <v>0</v>
      </c>
      <c r="F34" s="66">
        <f>'M2'!F34-'M1'!F34</f>
        <v>-1.9481999999999985E-2</v>
      </c>
      <c r="G34" s="66">
        <f>'M2'!G34-'M1'!G34</f>
        <v>0</v>
      </c>
      <c r="H34" s="66">
        <f>'M2'!H34-'M1'!H34</f>
        <v>2.8167999999999999E-2</v>
      </c>
    </row>
    <row r="35" spans="1:8">
      <c r="A35" s="66" t="s">
        <v>78</v>
      </c>
      <c r="B35" s="66">
        <f>'M2'!B35-'M1'!B35</f>
        <v>-4.0410000000000446E-4</v>
      </c>
      <c r="C35" s="66">
        <f>'M2'!C35-'M1'!C35</f>
        <v>1.3631299999999999E-2</v>
      </c>
      <c r="D35" s="66">
        <f>'M2'!D35-'M1'!D35</f>
        <v>0.20858900000000002</v>
      </c>
      <c r="E35" s="66">
        <f>'M2'!E35-'M1'!E35</f>
        <v>0</v>
      </c>
      <c r="F35" s="66">
        <f>'M2'!F35-'M1'!F35</f>
        <v>-1.8294600000000001E-2</v>
      </c>
      <c r="G35" s="66">
        <f>'M2'!G35-'M1'!G35</f>
        <v>0</v>
      </c>
      <c r="H35" s="66">
        <f>'M2'!H35-'M1'!H35</f>
        <v>5.5082999999999993E-2</v>
      </c>
    </row>
    <row r="36" spans="1:8">
      <c r="A36" s="66" t="s">
        <v>79</v>
      </c>
      <c r="B36" s="66">
        <f>'M2'!B36-'M1'!B36</f>
        <v>-4.3030000000000013E-3</v>
      </c>
      <c r="C36" s="66">
        <f>'M2'!C36-'M1'!C36</f>
        <v>7.5757999999999937E-3</v>
      </c>
      <c r="D36" s="66">
        <f>'M2'!D36-'M1'!D36</f>
        <v>7.9728000000000021E-2</v>
      </c>
      <c r="E36" s="66">
        <f>'M2'!E36-'M1'!E36</f>
        <v>0</v>
      </c>
      <c r="F36" s="66">
        <f>'M2'!F36-'M1'!F36</f>
        <v>1.3866299999999998E-2</v>
      </c>
      <c r="G36" s="66">
        <f>'M2'!G36-'M1'!G36</f>
        <v>0</v>
      </c>
      <c r="H36" s="66">
        <f>'M2'!H36-'M1'!H36</f>
        <v>0.17187800000000009</v>
      </c>
    </row>
    <row r="37" spans="1:8">
      <c r="A37" s="66" t="s">
        <v>80</v>
      </c>
      <c r="B37" s="66">
        <f>'M2'!B37-'M1'!B37</f>
        <v>7.8339999999999993E-2</v>
      </c>
      <c r="C37" s="66">
        <f>'M2'!C37-'M1'!C37</f>
        <v>1.7227999999999966E-3</v>
      </c>
      <c r="D37" s="66">
        <f>'M2'!D37-'M1'!D37</f>
        <v>-9.0984000000000009E-2</v>
      </c>
      <c r="E37" s="66">
        <f>'M2'!E37-'M1'!E37</f>
        <v>0</v>
      </c>
      <c r="F37" s="66">
        <f>'M2'!F37-'M1'!F37</f>
        <v>-4.8977000000000014E-3</v>
      </c>
      <c r="G37" s="66">
        <f>'M2'!G37-'M1'!G37</f>
        <v>0</v>
      </c>
      <c r="H37" s="66">
        <f>'M2'!H37-'M1'!H37</f>
        <v>5.0794000000000006E-2</v>
      </c>
    </row>
    <row r="38" spans="1:8">
      <c r="A38" s="66" t="s">
        <v>81</v>
      </c>
      <c r="B38" s="66">
        <f>'M2'!B38-'M1'!B38</f>
        <v>-4.170189999999999</v>
      </c>
      <c r="C38" s="66">
        <f>'M2'!C38-'M1'!C38</f>
        <v>-9.2781999999999982</v>
      </c>
      <c r="D38" s="66">
        <f>'M2'!D38-'M1'!D38</f>
        <v>3.6718199999999999</v>
      </c>
      <c r="E38" s="66">
        <f>'M2'!E38-'M1'!E38</f>
        <v>0</v>
      </c>
      <c r="F38" s="66">
        <f>'M2'!F38-'M1'!F38</f>
        <v>127.55890000000001</v>
      </c>
      <c r="G38" s="66">
        <f>'M2'!G38-'M1'!G38</f>
        <v>0</v>
      </c>
      <c r="H38" s="66">
        <f>'M2'!H38-'M1'!H38</f>
        <v>-83.065999999999974</v>
      </c>
    </row>
    <row r="39" spans="1:8">
      <c r="A39" s="66" t="s">
        <v>82</v>
      </c>
      <c r="B39" s="66">
        <f>'M2'!B39-'M1'!B39</f>
        <v>-0.98061000000000043</v>
      </c>
      <c r="C39" s="66">
        <f>'M2'!C39-'M1'!C39</f>
        <v>-1.6484999999999994</v>
      </c>
      <c r="D39" s="66">
        <f>'M2'!D39-'M1'!D39</f>
        <v>0.40740500000000013</v>
      </c>
      <c r="E39" s="66">
        <f>'M2'!E39-'M1'!E39</f>
        <v>0</v>
      </c>
      <c r="F39" s="66">
        <f>'M2'!F39-'M1'!F39</f>
        <v>-3.4755999999999982</v>
      </c>
      <c r="G39" s="66">
        <f>'M2'!G39-'M1'!G39</f>
        <v>0</v>
      </c>
      <c r="H39" s="66">
        <f>'M2'!H39-'M1'!H39</f>
        <v>-13.86505</v>
      </c>
    </row>
    <row r="40" spans="1:8">
      <c r="A40" s="66" t="s">
        <v>83</v>
      </c>
      <c r="B40" s="66">
        <f>'M2'!B40-'M1'!B40</f>
        <v>-1.4142000000000001</v>
      </c>
      <c r="C40" s="66">
        <f>'M2'!C40-'M1'!C40</f>
        <v>-0.30415299999999995</v>
      </c>
      <c r="D40" s="66">
        <f>'M2'!D40-'M1'!D40</f>
        <v>0.22759349999999998</v>
      </c>
      <c r="E40" s="66">
        <f>'M2'!E40-'M1'!E40</f>
        <v>0</v>
      </c>
      <c r="F40" s="66">
        <f>'M2'!F40-'M1'!F40</f>
        <v>-0.40350000000000019</v>
      </c>
      <c r="G40" s="66">
        <f>'M2'!G40-'M1'!G40</f>
        <v>0</v>
      </c>
      <c r="H40" s="66">
        <f>'M2'!H40-'M1'!H40</f>
        <v>-1.4925000000000002</v>
      </c>
    </row>
    <row r="41" spans="1:8">
      <c r="A41" s="66" t="s">
        <v>84</v>
      </c>
      <c r="B41" s="66">
        <f>'M2'!B41-'M1'!B41</f>
        <v>-7.2138400000000005E-2</v>
      </c>
      <c r="C41" s="66">
        <f>'M2'!C41-'M1'!C41</f>
        <v>1.3641000000000014E-2</v>
      </c>
      <c r="D41" s="66">
        <f>'M2'!D41-'M1'!D41</f>
        <v>1.5233000000000003</v>
      </c>
      <c r="E41" s="66">
        <f>'M2'!E41-'M1'!E41</f>
        <v>0</v>
      </c>
      <c r="F41" s="66">
        <f>'M2'!F41-'M1'!F41</f>
        <v>-0.12270599999999998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-4.3264999999999998E-2</v>
      </c>
      <c r="C42" s="66">
        <f>'M2'!C42-'M1'!C42</f>
        <v>-1.9867799999999991E-2</v>
      </c>
      <c r="D42" s="66">
        <f>'M2'!D42-'M1'!D42</f>
        <v>0.22874700000000003</v>
      </c>
      <c r="E42" s="66">
        <f>'M2'!E42-'M1'!E42</f>
        <v>0</v>
      </c>
      <c r="F42" s="66">
        <f>'M2'!F42-'M1'!F42</f>
        <v>-6.3506000000000007E-2</v>
      </c>
      <c r="G42" s="66">
        <f>'M2'!G42-'M1'!G42</f>
        <v>0</v>
      </c>
      <c r="H42" s="66">
        <f>'M2'!H42-'M1'!H42</f>
        <v>-0.1873147</v>
      </c>
    </row>
    <row r="43" spans="1:8">
      <c r="A43" s="66" t="s">
        <v>86</v>
      </c>
      <c r="B43" s="66">
        <f>'M2'!B43-'M1'!B43</f>
        <v>-0.181725</v>
      </c>
      <c r="C43" s="66">
        <f>'M2'!C43-'M1'!C43</f>
        <v>-3.6810900000000008E-2</v>
      </c>
      <c r="D43" s="66">
        <f>'M2'!D43-'M1'!D43</f>
        <v>1.9648020000000002</v>
      </c>
      <c r="E43" s="66">
        <f>'M2'!E43-'M1'!E43</f>
        <v>0</v>
      </c>
      <c r="F43" s="66">
        <f>'M2'!F43-'M1'!F43</f>
        <v>-9.0055999999999997E-2</v>
      </c>
      <c r="G43" s="66">
        <f>'M2'!G43-'M1'!G43</f>
        <v>0</v>
      </c>
      <c r="H43" s="66">
        <f>'M2'!H43-'M1'!H43</f>
        <v>-0.18916430000000001</v>
      </c>
    </row>
    <row r="44" spans="1:8">
      <c r="A44" s="66" t="s">
        <v>87</v>
      </c>
      <c r="B44" s="66">
        <f>'M2'!B44-'M1'!B44</f>
        <v>-6.2168099999999988</v>
      </c>
      <c r="C44" s="66">
        <f>'M2'!C44-'M1'!C44</f>
        <v>-2.3310499999999994</v>
      </c>
      <c r="D44" s="66">
        <f>'M2'!D44-'M1'!D44</f>
        <v>3.0703180000000003</v>
      </c>
      <c r="E44" s="66">
        <f>'M2'!E44-'M1'!E44</f>
        <v>0</v>
      </c>
      <c r="F44" s="66">
        <f>'M2'!F44-'M1'!F44</f>
        <v>0.86380000000000123</v>
      </c>
      <c r="G44" s="66">
        <f>'M2'!G44-'M1'!G44</f>
        <v>0</v>
      </c>
      <c r="H44" s="66">
        <f>'M2'!H44-'M1'!H44</f>
        <v>-15.052480000000001</v>
      </c>
    </row>
    <row r="45" spans="1:8">
      <c r="A45" s="66" t="s">
        <v>88</v>
      </c>
      <c r="B45" s="66">
        <f>'M2'!B45-'M1'!B45</f>
        <v>-1.1623000000000019</v>
      </c>
      <c r="C45" s="66">
        <f>'M2'!C45-'M1'!C45</f>
        <v>0.46409000000000056</v>
      </c>
      <c r="D45" s="66">
        <f>'M2'!D45-'M1'!D45</f>
        <v>1.2442999999999982E-2</v>
      </c>
      <c r="E45" s="66">
        <f>'M2'!E45-'M1'!E45</f>
        <v>0</v>
      </c>
      <c r="F45" s="66">
        <f>'M2'!F45-'M1'!F45</f>
        <v>0.97700000000000387</v>
      </c>
      <c r="G45" s="66">
        <f>'M2'!G45-'M1'!G45</f>
        <v>0</v>
      </c>
      <c r="H45" s="66">
        <f>'M2'!H45-'M1'!H45</f>
        <v>2.3038999999999987</v>
      </c>
    </row>
    <row r="46" spans="1:8">
      <c r="A46" s="66" t="s">
        <v>89</v>
      </c>
      <c r="B46" s="66">
        <f>'M2'!B46-'M1'!B46</f>
        <v>5.1541999999999994</v>
      </c>
      <c r="C46" s="66">
        <f>'M2'!C46-'M1'!C46</f>
        <v>-3.5007199999999998</v>
      </c>
      <c r="D46" s="66">
        <f>'M2'!D46-'M1'!D46</f>
        <v>-0.15801799999999999</v>
      </c>
      <c r="E46" s="66">
        <f>'M2'!E46-'M1'!E46</f>
        <v>0</v>
      </c>
      <c r="F46" s="66">
        <f>'M2'!F46-'M1'!F46</f>
        <v>13.740100000000002</v>
      </c>
      <c r="G46" s="66">
        <f>'M2'!G46-'M1'!G46</f>
        <v>0</v>
      </c>
      <c r="H46" s="66">
        <f>'M2'!H46-'M1'!H46</f>
        <v>-1.2209999999999965</v>
      </c>
    </row>
    <row r="47" spans="1:8">
      <c r="A47" s="66" t="s">
        <v>90</v>
      </c>
      <c r="B47" s="66">
        <f>'M2'!B47-'M1'!B47</f>
        <v>-8.2784999999999886E-2</v>
      </c>
      <c r="C47" s="66">
        <f>'M2'!C47-'M1'!C47</f>
        <v>-5.5279999999999774E-3</v>
      </c>
      <c r="D47" s="66">
        <f>'M2'!D47-'M1'!D47</f>
        <v>2.3302999999999963E-2</v>
      </c>
      <c r="E47" s="66">
        <f>'M2'!E47-'M1'!E47</f>
        <v>0</v>
      </c>
      <c r="F47" s="66">
        <f>'M2'!F47-'M1'!F47</f>
        <v>2.0270999999999983E-2</v>
      </c>
      <c r="G47" s="66">
        <f>'M2'!G47-'M1'!G47</f>
        <v>0</v>
      </c>
      <c r="H47" s="66">
        <f>'M2'!H47-'M1'!H47</f>
        <v>2.986000000000022E-2</v>
      </c>
    </row>
    <row r="48" spans="1:8">
      <c r="A48" s="66" t="s">
        <v>91</v>
      </c>
      <c r="B48" s="66">
        <f>'M2'!B48-'M1'!B48</f>
        <v>-5.3028000000000075E-2</v>
      </c>
      <c r="C48" s="66">
        <f>'M2'!C48-'M1'!C48</f>
        <v>5.398799999999998E-2</v>
      </c>
      <c r="D48" s="66">
        <f>'M2'!D48-'M1'!D48</f>
        <v>7.1578000000000003E-2</v>
      </c>
      <c r="E48" s="66">
        <f>'M2'!E48-'M1'!E48</f>
        <v>0</v>
      </c>
      <c r="F48" s="66">
        <f>'M2'!F48-'M1'!F48</f>
        <v>-0.18821100000000002</v>
      </c>
      <c r="G48" s="66">
        <f>'M2'!G48-'M1'!G48</f>
        <v>0</v>
      </c>
      <c r="H48" s="66">
        <f>'M2'!H48-'M1'!H48</f>
        <v>4.8290000000000166E-2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347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37.185899999999997</v>
      </c>
      <c r="C5" s="66">
        <v>8.3768999999999991</v>
      </c>
      <c r="D5" s="66">
        <v>22.527100000000001</v>
      </c>
      <c r="E5" s="66">
        <v>20</v>
      </c>
      <c r="F5" s="66">
        <v>19.182099999999998</v>
      </c>
      <c r="G5" s="66">
        <v>50</v>
      </c>
      <c r="H5" s="66">
        <v>55.010899999999999</v>
      </c>
    </row>
    <row r="6" spans="1:8">
      <c r="A6" s="66" t="s">
        <v>303</v>
      </c>
      <c r="B6" s="66">
        <v>27.245699999999999</v>
      </c>
      <c r="C6" s="66">
        <v>1.80697</v>
      </c>
      <c r="D6" s="66">
        <v>6.6321399999999997</v>
      </c>
      <c r="E6" s="66">
        <v>20</v>
      </c>
      <c r="F6" s="66">
        <v>25.335100000000001</v>
      </c>
      <c r="G6" s="66">
        <v>40</v>
      </c>
      <c r="H6" s="66">
        <v>31.880199999999999</v>
      </c>
    </row>
    <row r="7" spans="1:8">
      <c r="A7" s="66" t="s">
        <v>304</v>
      </c>
      <c r="B7" s="66">
        <v>28.2364</v>
      </c>
      <c r="C7" s="66">
        <v>5.5247299999999999</v>
      </c>
      <c r="D7" s="66">
        <v>19.565999999999999</v>
      </c>
      <c r="E7" s="66">
        <v>15</v>
      </c>
      <c r="F7" s="66">
        <v>14.581</v>
      </c>
      <c r="G7" s="66">
        <v>40</v>
      </c>
      <c r="H7" s="66">
        <v>43.884999999999998</v>
      </c>
    </row>
    <row r="8" spans="1:8">
      <c r="A8" s="66" t="s">
        <v>305</v>
      </c>
      <c r="B8" s="66">
        <v>30.323</v>
      </c>
      <c r="C8" s="66">
        <v>3.3832100000000001</v>
      </c>
      <c r="D8" s="66">
        <v>11.1572</v>
      </c>
      <c r="E8" s="66">
        <v>20</v>
      </c>
      <c r="F8" s="66">
        <v>24.671299999999999</v>
      </c>
      <c r="G8" s="66">
        <v>50</v>
      </c>
      <c r="H8" s="66">
        <v>40.070900000000002</v>
      </c>
    </row>
    <row r="9" spans="1:8">
      <c r="A9" s="66" t="s">
        <v>306</v>
      </c>
      <c r="B9" s="66">
        <v>71.107799999999997</v>
      </c>
      <c r="C9" s="66">
        <v>9.3202200000000008</v>
      </c>
      <c r="D9" s="66">
        <v>13.107200000000001</v>
      </c>
      <c r="E9" s="66">
        <v>50</v>
      </c>
      <c r="F9" s="66">
        <v>47.092799999999997</v>
      </c>
      <c r="G9" s="66">
        <v>100</v>
      </c>
      <c r="H9" s="66">
        <v>83.629000000000005</v>
      </c>
    </row>
    <row r="10" spans="1:8">
      <c r="A10" s="66" t="s">
        <v>307</v>
      </c>
      <c r="B10" s="66">
        <v>81.262900000000002</v>
      </c>
      <c r="C10" s="66">
        <v>3.7721900000000002</v>
      </c>
      <c r="D10" s="66">
        <v>4.6419499999999996</v>
      </c>
      <c r="E10" s="66">
        <v>40</v>
      </c>
      <c r="F10" s="66">
        <v>71.454899999999995</v>
      </c>
      <c r="G10" s="66">
        <v>100</v>
      </c>
      <c r="H10" s="66">
        <v>85.660399999999996</v>
      </c>
    </row>
    <row r="11" spans="1:8">
      <c r="A11" s="66" t="s">
        <v>308</v>
      </c>
      <c r="B11" s="66">
        <v>22.653600000000001</v>
      </c>
      <c r="C11" s="66">
        <v>5.1072499999999996</v>
      </c>
      <c r="D11" s="66">
        <v>22.545000000000002</v>
      </c>
      <c r="E11" s="66">
        <v>10</v>
      </c>
      <c r="F11" s="66">
        <v>11.3461</v>
      </c>
      <c r="G11" s="66">
        <v>50</v>
      </c>
      <c r="H11" s="66">
        <v>31.589099999999998</v>
      </c>
    </row>
    <row r="12" spans="1:8">
      <c r="A12" s="66" t="s">
        <v>309</v>
      </c>
      <c r="B12" s="66">
        <v>76.215999999999994</v>
      </c>
      <c r="C12" s="66">
        <v>6.2379199999999999</v>
      </c>
      <c r="D12" s="66">
        <v>8.1845300000000005</v>
      </c>
      <c r="E12" s="66">
        <v>50</v>
      </c>
      <c r="F12" s="66">
        <v>60.268000000000001</v>
      </c>
      <c r="G12" s="66">
        <v>100</v>
      </c>
      <c r="H12" s="66">
        <v>83.334999999999994</v>
      </c>
    </row>
    <row r="13" spans="1:8">
      <c r="A13" s="66" t="s">
        <v>310</v>
      </c>
      <c r="B13" s="66">
        <v>14.9879</v>
      </c>
      <c r="C13" s="66">
        <v>2.1775899999999999</v>
      </c>
      <c r="D13" s="66">
        <v>14.529</v>
      </c>
      <c r="E13" s="66">
        <v>10</v>
      </c>
      <c r="F13" s="66">
        <v>12.6073</v>
      </c>
      <c r="G13" s="66">
        <v>25</v>
      </c>
      <c r="H13" s="66">
        <v>21.283000000000001</v>
      </c>
    </row>
    <row r="14" spans="1:8">
      <c r="A14" s="66" t="s">
        <v>311</v>
      </c>
      <c r="B14" s="66">
        <v>21.7759</v>
      </c>
      <c r="C14" s="66">
        <v>7.9673600000000002</v>
      </c>
      <c r="D14" s="66">
        <v>36.588000000000001</v>
      </c>
      <c r="E14" s="66">
        <v>10</v>
      </c>
      <c r="F14" s="66">
        <v>1.9156899999999999</v>
      </c>
      <c r="G14" s="66">
        <v>50</v>
      </c>
      <c r="H14" s="66">
        <v>25.174199999999999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0.53388400000000003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0.59316000000000002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6.3628299999999997E-4</v>
      </c>
      <c r="C20" s="66">
        <v>1.22223E-2</v>
      </c>
      <c r="D20" s="66">
        <v>19.209</v>
      </c>
      <c r="E20" s="66">
        <v>0</v>
      </c>
      <c r="F20" s="66">
        <v>1.03961E-4</v>
      </c>
      <c r="G20" s="66">
        <v>0</v>
      </c>
      <c r="H20" s="66">
        <v>0.17310800000000001</v>
      </c>
    </row>
    <row r="21" spans="1:8">
      <c r="A21" s="66" t="s">
        <v>318</v>
      </c>
      <c r="B21" s="66">
        <v>4.4928500000000003E-2</v>
      </c>
      <c r="C21" s="66">
        <v>0.109292</v>
      </c>
      <c r="D21" s="66">
        <v>2.4325700000000001</v>
      </c>
      <c r="E21" s="66">
        <v>0</v>
      </c>
      <c r="F21" s="66">
        <v>4.4293799999999998E-4</v>
      </c>
      <c r="G21" s="66">
        <v>0</v>
      </c>
      <c r="H21" s="66">
        <v>0.87517400000000001</v>
      </c>
    </row>
    <row r="22" spans="1:8">
      <c r="A22" s="66" t="s">
        <v>319</v>
      </c>
      <c r="B22" s="66">
        <v>30.501799999999999</v>
      </c>
      <c r="C22" s="66">
        <v>8.1370400000000007</v>
      </c>
      <c r="D22" s="66">
        <v>0.26677200000000001</v>
      </c>
      <c r="E22" s="66">
        <v>0</v>
      </c>
      <c r="F22" s="66">
        <v>14.635</v>
      </c>
      <c r="G22" s="66">
        <v>0</v>
      </c>
      <c r="H22" s="66">
        <v>58.260199999999998</v>
      </c>
    </row>
    <row r="23" spans="1:8">
      <c r="A23" s="66" t="s">
        <v>320</v>
      </c>
      <c r="B23" s="66">
        <v>13.552</v>
      </c>
      <c r="C23" s="66">
        <v>0.76571500000000003</v>
      </c>
      <c r="D23" s="66">
        <v>5.6501799999999998E-2</v>
      </c>
      <c r="E23" s="66">
        <v>0</v>
      </c>
      <c r="F23" s="66">
        <v>10.883100000000001</v>
      </c>
      <c r="G23" s="66">
        <v>0</v>
      </c>
      <c r="H23" s="66">
        <v>15.517799999999999</v>
      </c>
    </row>
    <row r="24" spans="1:8">
      <c r="A24" s="66" t="s">
        <v>321</v>
      </c>
      <c r="B24" s="66">
        <v>7.5777600000000004E-4</v>
      </c>
      <c r="C24" s="66">
        <v>8.9036199999999992E-3</v>
      </c>
      <c r="D24" s="66">
        <v>11.749700000000001</v>
      </c>
      <c r="E24" s="66">
        <v>0</v>
      </c>
      <c r="F24" s="66">
        <v>3.7591600000000001E-4</v>
      </c>
      <c r="G24" s="66">
        <v>0</v>
      </c>
      <c r="H24" s="66">
        <v>7.7672199999999997E-2</v>
      </c>
    </row>
    <row r="25" spans="1:8">
      <c r="A25" s="66" t="s">
        <v>322</v>
      </c>
      <c r="B25" s="66">
        <v>6.6598000000000004E-2</v>
      </c>
      <c r="C25" s="66">
        <v>5.5120599999999999E-2</v>
      </c>
      <c r="D25" s="66">
        <v>0.82766099999999998</v>
      </c>
      <c r="E25" s="66">
        <v>0</v>
      </c>
      <c r="F25" s="66">
        <v>1.28574E-2</v>
      </c>
      <c r="G25" s="66">
        <v>0</v>
      </c>
      <c r="H25" s="66">
        <v>0.29642600000000002</v>
      </c>
    </row>
    <row r="26" spans="1:8">
      <c r="A26" s="66" t="s">
        <v>323</v>
      </c>
      <c r="B26" s="66">
        <v>1.7725799999999999E-4</v>
      </c>
      <c r="C26" s="66">
        <v>1.41727E-3</v>
      </c>
      <c r="D26" s="66">
        <v>7.9954999999999998</v>
      </c>
      <c r="E26" s="66">
        <v>0</v>
      </c>
      <c r="F26" s="196">
        <v>3.28256E-5</v>
      </c>
      <c r="G26" s="66">
        <v>0</v>
      </c>
      <c r="H26" s="66">
        <v>1.51392E-2</v>
      </c>
    </row>
    <row r="27" spans="1:8">
      <c r="A27" s="66" t="s">
        <v>324</v>
      </c>
      <c r="B27" s="196">
        <v>-3.2825599999999999E-6</v>
      </c>
      <c r="C27" s="66">
        <v>9.2040000000000004E-4</v>
      </c>
      <c r="D27" s="66">
        <v>-280.39100000000002</v>
      </c>
      <c r="E27" s="66">
        <v>0</v>
      </c>
      <c r="F27" s="66">
        <v>-8.3705399999999992E-3</v>
      </c>
      <c r="G27" s="66">
        <v>0</v>
      </c>
      <c r="H27" s="66">
        <v>8.7151999999999993E-3</v>
      </c>
    </row>
    <row r="28" spans="1:8">
      <c r="A28" s="66" t="s">
        <v>325</v>
      </c>
      <c r="B28" s="66">
        <v>9.2659500000000002E-3</v>
      </c>
      <c r="C28" s="66">
        <v>1.1007400000000001E-2</v>
      </c>
      <c r="D28" s="66">
        <v>1.18794</v>
      </c>
      <c r="E28" s="66">
        <v>0</v>
      </c>
      <c r="F28" s="66">
        <v>1.17187E-4</v>
      </c>
      <c r="G28" s="66">
        <v>0</v>
      </c>
      <c r="H28" s="66">
        <v>6.98796E-2</v>
      </c>
    </row>
    <row r="29" spans="1:8">
      <c r="A29" s="66" t="s">
        <v>326</v>
      </c>
      <c r="B29" s="66">
        <v>76.278899999999993</v>
      </c>
      <c r="C29" s="66">
        <v>10.5838</v>
      </c>
      <c r="D29" s="66">
        <v>0.13875100000000001</v>
      </c>
      <c r="E29" s="66">
        <v>0</v>
      </c>
      <c r="F29" s="66">
        <v>52.026299999999999</v>
      </c>
      <c r="G29" s="66">
        <v>0</v>
      </c>
      <c r="H29" s="66">
        <v>95.600499999999997</v>
      </c>
    </row>
    <row r="30" spans="1:8">
      <c r="A30" s="66" t="s">
        <v>327</v>
      </c>
      <c r="B30" s="66">
        <v>22.305099999999999</v>
      </c>
      <c r="C30" s="66">
        <v>4.3737599999999999</v>
      </c>
      <c r="D30" s="66">
        <v>0.19608800000000001</v>
      </c>
      <c r="E30" s="66">
        <v>0</v>
      </c>
      <c r="F30" s="66">
        <v>12.9869</v>
      </c>
      <c r="G30" s="66">
        <v>0</v>
      </c>
      <c r="H30" s="66">
        <v>31.389500000000002</v>
      </c>
    </row>
    <row r="31" spans="1:8">
      <c r="A31" s="66" t="s">
        <v>328</v>
      </c>
      <c r="B31" s="66">
        <v>93.791799999999995</v>
      </c>
      <c r="C31" s="66">
        <v>16.3095</v>
      </c>
      <c r="D31" s="66">
        <v>0.17389099999999999</v>
      </c>
      <c r="E31" s="66">
        <v>0</v>
      </c>
      <c r="F31" s="66">
        <v>60.029899999999998</v>
      </c>
      <c r="G31" s="66">
        <v>0</v>
      </c>
      <c r="H31" s="66">
        <v>115.527</v>
      </c>
    </row>
    <row r="32" spans="1:8">
      <c r="A32" s="66" t="s">
        <v>329</v>
      </c>
      <c r="B32" s="66">
        <v>0.282364</v>
      </c>
      <c r="C32" s="66">
        <v>5.5247299999999999E-2</v>
      </c>
      <c r="D32" s="66">
        <v>0.19566</v>
      </c>
      <c r="E32" s="66">
        <v>0.15</v>
      </c>
      <c r="F32" s="66">
        <v>0.14581</v>
      </c>
      <c r="G32" s="66">
        <v>0.4</v>
      </c>
      <c r="H32" s="66">
        <v>0.43885000000000002</v>
      </c>
    </row>
    <row r="33" spans="1:8">
      <c r="A33" s="66" t="s">
        <v>330</v>
      </c>
      <c r="B33" s="66">
        <v>0.28959200000000002</v>
      </c>
      <c r="C33" s="66">
        <v>4.29031E-2</v>
      </c>
      <c r="D33" s="66">
        <v>0.14815</v>
      </c>
      <c r="E33" s="66">
        <v>0</v>
      </c>
      <c r="F33" s="66">
        <v>0.27654600000000001</v>
      </c>
      <c r="G33" s="66">
        <v>0</v>
      </c>
      <c r="H33" s="66">
        <v>0.42425600000000002</v>
      </c>
    </row>
    <row r="34" spans="1:8">
      <c r="A34" s="66" t="s">
        <v>331</v>
      </c>
      <c r="B34" s="66">
        <v>0.14987900000000001</v>
      </c>
      <c r="C34" s="66">
        <v>2.1775900000000001E-2</v>
      </c>
      <c r="D34" s="66">
        <v>0.14529</v>
      </c>
      <c r="E34" s="66">
        <v>0.1</v>
      </c>
      <c r="F34" s="66">
        <v>0.12607299999999999</v>
      </c>
      <c r="G34" s="66">
        <v>0.25</v>
      </c>
      <c r="H34" s="66">
        <v>0.21282999999999999</v>
      </c>
    </row>
    <row r="35" spans="1:8">
      <c r="A35" s="66" t="s">
        <v>332</v>
      </c>
      <c r="B35" s="66">
        <v>6.6457000000000002E-2</v>
      </c>
      <c r="C35" s="66">
        <v>2.4121799999999999E-2</v>
      </c>
      <c r="D35" s="66">
        <v>0.36296899999999999</v>
      </c>
      <c r="E35" s="66">
        <v>0</v>
      </c>
      <c r="F35" s="66">
        <v>3.8743100000000003E-2</v>
      </c>
      <c r="G35" s="66">
        <v>0</v>
      </c>
      <c r="H35" s="66">
        <v>0.15140600000000001</v>
      </c>
    </row>
    <row r="36" spans="1:8">
      <c r="A36" s="66" t="s">
        <v>333</v>
      </c>
      <c r="B36" s="66">
        <v>0.130935</v>
      </c>
      <c r="C36" s="66">
        <v>7.6693200000000003E-2</v>
      </c>
      <c r="D36" s="66">
        <v>0.58573399999999998</v>
      </c>
      <c r="E36" s="66">
        <v>0</v>
      </c>
      <c r="F36" s="66">
        <v>3.2461200000000003E-2</v>
      </c>
      <c r="G36" s="66">
        <v>0</v>
      </c>
      <c r="H36" s="66">
        <v>0.52961499999999995</v>
      </c>
    </row>
    <row r="37" spans="1:8">
      <c r="A37" s="66" t="s">
        <v>334</v>
      </c>
      <c r="B37" s="66">
        <v>0.21775900000000001</v>
      </c>
      <c r="C37" s="66">
        <v>7.9673599999999997E-2</v>
      </c>
      <c r="D37" s="66">
        <v>0.36587999999999998</v>
      </c>
      <c r="E37" s="66">
        <v>0.1</v>
      </c>
      <c r="F37" s="66">
        <v>1.9156900000000001E-2</v>
      </c>
      <c r="G37" s="66">
        <v>0.5</v>
      </c>
      <c r="H37" s="66">
        <v>0.25174200000000002</v>
      </c>
    </row>
    <row r="38" spans="1:8">
      <c r="A38" s="66" t="s">
        <v>335</v>
      </c>
      <c r="B38" s="66">
        <v>-6.5024100000000002</v>
      </c>
      <c r="C38" s="66">
        <v>46.637099999999997</v>
      </c>
      <c r="D38" s="66">
        <v>-7.1722799999999998</v>
      </c>
      <c r="E38" s="66">
        <v>0</v>
      </c>
      <c r="F38" s="66">
        <v>-193.751</v>
      </c>
      <c r="G38" s="66">
        <v>0</v>
      </c>
      <c r="H38" s="66">
        <v>301.60899999999998</v>
      </c>
    </row>
    <row r="39" spans="1:8">
      <c r="A39" s="66" t="s">
        <v>336</v>
      </c>
      <c r="B39" s="66">
        <v>-5.70892</v>
      </c>
      <c r="C39" s="66">
        <v>6.2693899999999996</v>
      </c>
      <c r="D39" s="66">
        <v>-1.0981700000000001</v>
      </c>
      <c r="E39" s="66">
        <v>0</v>
      </c>
      <c r="F39" s="66">
        <v>-13.923</v>
      </c>
      <c r="G39" s="66">
        <v>0</v>
      </c>
      <c r="H39" s="66">
        <v>20.167200000000001</v>
      </c>
    </row>
    <row r="40" spans="1:8">
      <c r="A40" s="66" t="s">
        <v>337</v>
      </c>
      <c r="B40" s="66">
        <v>-1.7809200000000001</v>
      </c>
      <c r="C40" s="66">
        <v>0.53273099999999995</v>
      </c>
      <c r="D40" s="66">
        <v>-0.29913299999999998</v>
      </c>
      <c r="E40" s="66">
        <v>0</v>
      </c>
      <c r="F40" s="66">
        <v>-3.3517199999999998</v>
      </c>
      <c r="G40" s="66">
        <v>0</v>
      </c>
      <c r="H40" s="66">
        <v>-1.20438</v>
      </c>
    </row>
    <row r="41" spans="1:8">
      <c r="A41" s="66" t="s">
        <v>338</v>
      </c>
      <c r="B41" s="66">
        <v>-9.8610600000000007E-2</v>
      </c>
      <c r="C41" s="66">
        <v>0.374197</v>
      </c>
      <c r="D41" s="66">
        <v>-3.7946900000000001</v>
      </c>
      <c r="E41" s="66">
        <v>0</v>
      </c>
      <c r="F41" s="66">
        <v>-0.87729400000000002</v>
      </c>
      <c r="G41" s="66">
        <v>0</v>
      </c>
      <c r="H41" s="66">
        <v>1</v>
      </c>
    </row>
    <row r="42" spans="1:8">
      <c r="A42" s="66" t="s">
        <v>339</v>
      </c>
      <c r="B42" s="66">
        <v>-0.17096</v>
      </c>
      <c r="C42" s="66">
        <v>0.11512699999999999</v>
      </c>
      <c r="D42" s="66">
        <v>-0.67341600000000001</v>
      </c>
      <c r="E42" s="66">
        <v>0</v>
      </c>
      <c r="F42" s="66">
        <v>-0.36530299999999999</v>
      </c>
      <c r="G42" s="66">
        <v>0</v>
      </c>
      <c r="H42" s="66">
        <v>0.27637899999999999</v>
      </c>
    </row>
    <row r="43" spans="1:8">
      <c r="A43" s="66" t="s">
        <v>340</v>
      </c>
      <c r="B43" s="66">
        <v>-3.1396E-2</v>
      </c>
      <c r="C43" s="66">
        <v>6.5984600000000004E-2</v>
      </c>
      <c r="D43" s="66">
        <v>-2.1016900000000001</v>
      </c>
      <c r="E43" s="66">
        <v>0</v>
      </c>
      <c r="F43" s="66">
        <v>-0.19717199999999999</v>
      </c>
      <c r="G43" s="66">
        <v>0</v>
      </c>
      <c r="H43" s="66">
        <v>1.84713E-2</v>
      </c>
    </row>
    <row r="44" spans="1:8">
      <c r="A44" s="66" t="s">
        <v>341</v>
      </c>
      <c r="B44" s="66">
        <v>-2.62771</v>
      </c>
      <c r="C44" s="66">
        <v>10.492699999999999</v>
      </c>
      <c r="D44" s="66">
        <v>-3.9931100000000002</v>
      </c>
      <c r="E44" s="66">
        <v>0</v>
      </c>
      <c r="F44" s="66">
        <v>-26.696400000000001</v>
      </c>
      <c r="G44" s="66">
        <v>0</v>
      </c>
      <c r="H44" s="66">
        <v>16.129300000000001</v>
      </c>
    </row>
    <row r="45" spans="1:8">
      <c r="A45" s="66" t="s">
        <v>342</v>
      </c>
      <c r="B45" s="66">
        <v>52.482399999999998</v>
      </c>
      <c r="C45" s="66">
        <v>7.8790800000000001</v>
      </c>
      <c r="D45" s="66">
        <v>0.15012800000000001</v>
      </c>
      <c r="E45" s="66">
        <v>0</v>
      </c>
      <c r="F45" s="66">
        <v>34.275799999999997</v>
      </c>
      <c r="G45" s="66">
        <v>0</v>
      </c>
      <c r="H45" s="66">
        <v>68.919399999999996</v>
      </c>
    </row>
    <row r="46" spans="1:8">
      <c r="A46" s="66" t="s">
        <v>343</v>
      </c>
      <c r="B46" s="66">
        <v>25.9284</v>
      </c>
      <c r="C46" s="66">
        <v>7.0975099999999998</v>
      </c>
      <c r="D46" s="66">
        <v>0.27373500000000001</v>
      </c>
      <c r="E46" s="66">
        <v>0</v>
      </c>
      <c r="F46" s="66">
        <v>12.349399999999999</v>
      </c>
      <c r="G46" s="66">
        <v>0</v>
      </c>
      <c r="H46" s="66">
        <v>40.520499999999998</v>
      </c>
    </row>
    <row r="47" spans="1:8">
      <c r="A47" s="66" t="s">
        <v>344</v>
      </c>
      <c r="B47" s="66">
        <v>1.0777699999999999</v>
      </c>
      <c r="C47" s="66">
        <v>0.37382199999999999</v>
      </c>
      <c r="D47" s="66">
        <v>0.34684700000000002</v>
      </c>
      <c r="E47" s="66">
        <v>0</v>
      </c>
      <c r="F47" s="66">
        <v>0.37760700000000003</v>
      </c>
      <c r="G47" s="66">
        <v>0</v>
      </c>
      <c r="H47" s="66">
        <v>2.2548599999999999</v>
      </c>
    </row>
    <row r="48" spans="1:8">
      <c r="A48" s="66" t="s">
        <v>345</v>
      </c>
      <c r="B48" s="66">
        <v>0.98542300000000005</v>
      </c>
      <c r="C48" s="66">
        <v>0.23696</v>
      </c>
      <c r="D48" s="66">
        <v>0.24046500000000001</v>
      </c>
      <c r="E48" s="66">
        <v>0</v>
      </c>
      <c r="F48" s="66">
        <v>0.68318100000000004</v>
      </c>
      <c r="G48" s="66">
        <v>0</v>
      </c>
      <c r="H48" s="66">
        <v>1.6685399999999999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347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39.295000000000002</v>
      </c>
      <c r="C5" s="66">
        <v>5.2709599999999996</v>
      </c>
      <c r="D5" s="66">
        <v>13.4138</v>
      </c>
      <c r="E5" s="66">
        <v>20</v>
      </c>
      <c r="F5" s="66">
        <v>31.930099999999999</v>
      </c>
      <c r="G5" s="66">
        <v>50</v>
      </c>
      <c r="H5" s="66">
        <v>53.984999999999999</v>
      </c>
    </row>
    <row r="6" spans="1:8">
      <c r="A6" s="66" t="s">
        <v>303</v>
      </c>
      <c r="B6" s="66">
        <v>31.096299999999999</v>
      </c>
      <c r="C6" s="66">
        <v>1.2563800000000001</v>
      </c>
      <c r="D6" s="66">
        <v>4.0403000000000002</v>
      </c>
      <c r="E6" s="66">
        <v>20</v>
      </c>
      <c r="F6" s="66">
        <v>29.170300000000001</v>
      </c>
      <c r="G6" s="66">
        <v>40</v>
      </c>
      <c r="H6" s="66">
        <v>33.723500000000001</v>
      </c>
    </row>
    <row r="7" spans="1:8">
      <c r="A7" s="66" t="s">
        <v>304</v>
      </c>
      <c r="B7" s="66">
        <v>36.6325</v>
      </c>
      <c r="C7" s="66">
        <v>14.020099999999999</v>
      </c>
      <c r="D7" s="66">
        <v>38.272300000000001</v>
      </c>
      <c r="E7" s="66">
        <v>15</v>
      </c>
      <c r="F7" s="66">
        <v>6.3977500000000003</v>
      </c>
      <c r="G7" s="66">
        <v>40</v>
      </c>
      <c r="H7" s="66">
        <v>51.373199999999997</v>
      </c>
    </row>
    <row r="8" spans="1:8">
      <c r="A8" s="66" t="s">
        <v>305</v>
      </c>
      <c r="B8" s="66">
        <v>37.354799999999997</v>
      </c>
      <c r="C8" s="66">
        <v>4.8745700000000003</v>
      </c>
      <c r="D8" s="66">
        <v>13.0494</v>
      </c>
      <c r="E8" s="66">
        <v>20</v>
      </c>
      <c r="F8" s="66">
        <v>25.168199999999999</v>
      </c>
      <c r="G8" s="66">
        <v>50</v>
      </c>
      <c r="H8" s="66">
        <v>40.576999999999998</v>
      </c>
    </row>
    <row r="9" spans="1:8">
      <c r="A9" s="66" t="s">
        <v>306</v>
      </c>
      <c r="B9" s="66">
        <v>63.7361</v>
      </c>
      <c r="C9" s="66">
        <v>6.3937600000000003</v>
      </c>
      <c r="D9" s="66">
        <v>10.031599999999999</v>
      </c>
      <c r="E9" s="66">
        <v>50</v>
      </c>
      <c r="F9" s="66">
        <v>47.488300000000002</v>
      </c>
      <c r="G9" s="66">
        <v>100</v>
      </c>
      <c r="H9" s="66">
        <v>74.588499999999996</v>
      </c>
    </row>
    <row r="10" spans="1:8">
      <c r="A10" s="66" t="s">
        <v>307</v>
      </c>
      <c r="B10" s="66">
        <v>71.672899999999998</v>
      </c>
      <c r="C10" s="66">
        <v>2.8397299999999999</v>
      </c>
      <c r="D10" s="66">
        <v>3.9620700000000002</v>
      </c>
      <c r="E10" s="66">
        <v>40</v>
      </c>
      <c r="F10" s="66">
        <v>66.861699999999999</v>
      </c>
      <c r="G10" s="66">
        <v>100</v>
      </c>
      <c r="H10" s="66">
        <v>77.015199999999993</v>
      </c>
    </row>
    <row r="11" spans="1:8">
      <c r="A11" s="66" t="s">
        <v>308</v>
      </c>
      <c r="B11" s="66">
        <v>22.335699999999999</v>
      </c>
      <c r="C11" s="66">
        <v>4.883</v>
      </c>
      <c r="D11" s="66">
        <v>21.861899999999999</v>
      </c>
      <c r="E11" s="66">
        <v>10</v>
      </c>
      <c r="F11" s="66">
        <v>13.7349</v>
      </c>
      <c r="G11" s="66">
        <v>50</v>
      </c>
      <c r="H11" s="66">
        <v>31.672599999999999</v>
      </c>
    </row>
    <row r="12" spans="1:8">
      <c r="A12" s="66" t="s">
        <v>309</v>
      </c>
      <c r="B12" s="66">
        <v>67.560500000000005</v>
      </c>
      <c r="C12" s="66">
        <v>4.00075</v>
      </c>
      <c r="D12" s="66">
        <v>5.9217300000000002</v>
      </c>
      <c r="E12" s="66">
        <v>50</v>
      </c>
      <c r="F12" s="66">
        <v>59.609699999999997</v>
      </c>
      <c r="G12" s="66">
        <v>100</v>
      </c>
      <c r="H12" s="66">
        <v>73.906099999999995</v>
      </c>
    </row>
    <row r="13" spans="1:8">
      <c r="A13" s="66" t="s">
        <v>310</v>
      </c>
      <c r="B13" s="66">
        <v>16.346900000000002</v>
      </c>
      <c r="C13" s="66">
        <v>2.9609899999999998</v>
      </c>
      <c r="D13" s="66">
        <v>18.113499999999998</v>
      </c>
      <c r="E13" s="66">
        <v>10</v>
      </c>
      <c r="F13" s="66">
        <v>10.6591</v>
      </c>
      <c r="G13" s="66">
        <v>25</v>
      </c>
      <c r="H13" s="66">
        <v>24.099799999999998</v>
      </c>
    </row>
    <row r="14" spans="1:8">
      <c r="A14" s="66" t="s">
        <v>311</v>
      </c>
      <c r="B14" s="66">
        <v>29.6099</v>
      </c>
      <c r="C14" s="66">
        <v>8.13964</v>
      </c>
      <c r="D14" s="66">
        <v>27.489599999999999</v>
      </c>
      <c r="E14" s="66">
        <v>10</v>
      </c>
      <c r="F14" s="66">
        <v>1.4259200000000001</v>
      </c>
      <c r="G14" s="66">
        <v>50</v>
      </c>
      <c r="H14" s="66">
        <v>30.253599999999999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0.52802099999999996</v>
      </c>
      <c r="C18" s="66">
        <v>3.7534499999999998E-2</v>
      </c>
      <c r="D18" s="66">
        <v>7.1085200000000001E-2</v>
      </c>
      <c r="E18" s="66">
        <v>0</v>
      </c>
      <c r="F18" s="66">
        <v>0.49048700000000001</v>
      </c>
      <c r="G18" s="66">
        <v>0</v>
      </c>
      <c r="H18" s="66">
        <v>0.56555599999999995</v>
      </c>
    </row>
    <row r="19" spans="1:8">
      <c r="A19" s="66" t="s">
        <v>316</v>
      </c>
      <c r="B19" s="66">
        <v>0.54038299999999995</v>
      </c>
      <c r="C19" s="66">
        <v>2.0774899999999999E-2</v>
      </c>
      <c r="D19" s="66">
        <v>3.8444699999999998E-2</v>
      </c>
      <c r="E19" s="66">
        <v>0</v>
      </c>
      <c r="F19" s="66">
        <v>0.51960799999999996</v>
      </c>
      <c r="G19" s="66">
        <v>0</v>
      </c>
      <c r="H19" s="66">
        <v>0.56115800000000005</v>
      </c>
    </row>
    <row r="20" spans="1:8">
      <c r="A20" s="66" t="s">
        <v>317</v>
      </c>
      <c r="B20" s="66">
        <v>5.0366099999999997E-4</v>
      </c>
      <c r="C20" s="66">
        <v>2.85258E-2</v>
      </c>
      <c r="D20" s="66">
        <v>56.637</v>
      </c>
      <c r="E20" s="66">
        <v>0</v>
      </c>
      <c r="F20" s="196">
        <v>9.4267500000000005E-5</v>
      </c>
      <c r="G20" s="66">
        <v>0</v>
      </c>
      <c r="H20" s="66">
        <v>0.60294300000000001</v>
      </c>
    </row>
    <row r="21" spans="1:8">
      <c r="A21" s="66" t="s">
        <v>318</v>
      </c>
      <c r="B21" s="66">
        <v>3.3998399999999998E-2</v>
      </c>
      <c r="C21" s="66">
        <v>0.10151300000000001</v>
      </c>
      <c r="D21" s="66">
        <v>2.9857999999999998</v>
      </c>
      <c r="E21" s="66">
        <v>0</v>
      </c>
      <c r="F21" s="66">
        <v>3.12155E-4</v>
      </c>
      <c r="G21" s="66">
        <v>0</v>
      </c>
      <c r="H21" s="66">
        <v>0.52346599999999999</v>
      </c>
    </row>
    <row r="22" spans="1:8">
      <c r="A22" s="66" t="s">
        <v>348</v>
      </c>
      <c r="B22" s="66">
        <v>29.603000000000002</v>
      </c>
      <c r="C22" s="66">
        <v>7.2984299999999998</v>
      </c>
      <c r="D22" s="66">
        <v>0.24654300000000001</v>
      </c>
      <c r="E22" s="66">
        <v>0</v>
      </c>
      <c r="F22" s="66">
        <v>13.872999999999999</v>
      </c>
      <c r="G22" s="66">
        <v>0</v>
      </c>
      <c r="H22" s="66">
        <v>44.253300000000003</v>
      </c>
    </row>
    <row r="23" spans="1:8">
      <c r="A23" s="66" t="s">
        <v>320</v>
      </c>
      <c r="B23" s="66">
        <v>13.0785</v>
      </c>
      <c r="C23" s="66">
        <v>1.22726</v>
      </c>
      <c r="D23" s="66">
        <v>9.3838500000000005E-2</v>
      </c>
      <c r="E23" s="66">
        <v>0</v>
      </c>
      <c r="F23" s="66">
        <v>11.3437</v>
      </c>
      <c r="G23" s="66">
        <v>0</v>
      </c>
      <c r="H23" s="66">
        <v>15.9061</v>
      </c>
    </row>
    <row r="24" spans="1:8">
      <c r="A24" s="66" t="s">
        <v>321</v>
      </c>
      <c r="B24" s="66">
        <v>5.6435700000000003E-4</v>
      </c>
      <c r="C24" s="66">
        <v>1.0089000000000001E-2</v>
      </c>
      <c r="D24" s="66">
        <v>17.876899999999999</v>
      </c>
      <c r="E24" s="66">
        <v>0</v>
      </c>
      <c r="F24" s="66">
        <v>2.6237299999999999E-4</v>
      </c>
      <c r="G24" s="66">
        <v>0</v>
      </c>
      <c r="H24" s="66">
        <v>6.5321900000000002E-2</v>
      </c>
    </row>
    <row r="25" spans="1:8">
      <c r="A25" s="66" t="s">
        <v>322</v>
      </c>
      <c r="B25" s="66">
        <v>7.1066699999999997E-2</v>
      </c>
      <c r="C25" s="66">
        <v>4.0411700000000002E-2</v>
      </c>
      <c r="D25" s="66">
        <v>0.56864400000000004</v>
      </c>
      <c r="E25" s="66">
        <v>0</v>
      </c>
      <c r="F25" s="66">
        <v>6.6507700000000003E-3</v>
      </c>
      <c r="G25" s="66">
        <v>0</v>
      </c>
      <c r="H25" s="66">
        <v>0.163021</v>
      </c>
    </row>
    <row r="26" spans="1:8">
      <c r="A26" s="66" t="s">
        <v>323</v>
      </c>
      <c r="B26" s="66">
        <v>1.34585E-4</v>
      </c>
      <c r="C26" s="66">
        <v>3.7719699999999999E-3</v>
      </c>
      <c r="D26" s="66">
        <v>28.026700000000002</v>
      </c>
      <c r="E26" s="66">
        <v>0</v>
      </c>
      <c r="F26" s="196">
        <v>2.9543099999999998E-5</v>
      </c>
      <c r="G26" s="66">
        <v>0</v>
      </c>
      <c r="H26" s="66">
        <v>8.0609899999999998E-2</v>
      </c>
    </row>
    <row r="27" spans="1:8">
      <c r="A27" s="66" t="s">
        <v>324</v>
      </c>
      <c r="B27" s="196">
        <v>-3.2825599999999999E-6</v>
      </c>
      <c r="C27" s="66">
        <v>5.2648199999999999E-3</v>
      </c>
      <c r="D27" s="66">
        <v>-1603.87</v>
      </c>
      <c r="E27" s="66">
        <v>0</v>
      </c>
      <c r="F27" s="66">
        <v>-8.04753E-2</v>
      </c>
      <c r="G27" s="66">
        <v>0</v>
      </c>
      <c r="H27" s="66">
        <v>8.04425E-2</v>
      </c>
    </row>
    <row r="28" spans="1:8">
      <c r="A28" s="66" t="s">
        <v>325</v>
      </c>
      <c r="B28" s="66">
        <v>7.3307299999999997E-3</v>
      </c>
      <c r="C28" s="66">
        <v>1.20664E-2</v>
      </c>
      <c r="D28" s="66">
        <v>1.6459999999999999</v>
      </c>
      <c r="E28" s="66">
        <v>0</v>
      </c>
      <c r="F28" s="196">
        <v>6.8359400000000001E-5</v>
      </c>
      <c r="G28" s="66">
        <v>0</v>
      </c>
      <c r="H28" s="66">
        <v>6.0664099999999999E-2</v>
      </c>
    </row>
    <row r="29" spans="1:8">
      <c r="A29" s="66" t="s">
        <v>326</v>
      </c>
      <c r="B29" s="66">
        <v>71.228800000000007</v>
      </c>
      <c r="C29" s="66">
        <v>12.7965</v>
      </c>
      <c r="D29" s="66">
        <v>0.17965300000000001</v>
      </c>
      <c r="E29" s="66">
        <v>0</v>
      </c>
      <c r="F29" s="66">
        <v>49.201999999999998</v>
      </c>
      <c r="G29" s="66">
        <v>0</v>
      </c>
      <c r="H29" s="66">
        <v>100.154</v>
      </c>
    </row>
    <row r="30" spans="1:8">
      <c r="A30" s="66" t="s">
        <v>327</v>
      </c>
      <c r="B30" s="66">
        <v>22.127199999999998</v>
      </c>
      <c r="C30" s="66">
        <v>3.6747899999999998</v>
      </c>
      <c r="D30" s="66">
        <v>0.166076</v>
      </c>
      <c r="E30" s="66">
        <v>0</v>
      </c>
      <c r="F30" s="66">
        <v>19.099599999999999</v>
      </c>
      <c r="G30" s="66">
        <v>0</v>
      </c>
      <c r="H30" s="66">
        <v>32.134599999999999</v>
      </c>
    </row>
    <row r="31" spans="1:8">
      <c r="A31" s="66" t="s">
        <v>328</v>
      </c>
      <c r="B31" s="66">
        <v>103.395</v>
      </c>
      <c r="C31" s="66">
        <v>14.117800000000001</v>
      </c>
      <c r="D31" s="66">
        <v>0.136542</v>
      </c>
      <c r="E31" s="66">
        <v>0</v>
      </c>
      <c r="F31" s="66">
        <v>79.241299999999995</v>
      </c>
      <c r="G31" s="66">
        <v>0</v>
      </c>
      <c r="H31" s="66">
        <v>122.733</v>
      </c>
    </row>
    <row r="32" spans="1:8">
      <c r="A32" s="66" t="s">
        <v>329</v>
      </c>
      <c r="B32" s="66">
        <v>0.36632500000000001</v>
      </c>
      <c r="C32" s="66">
        <v>0.14020099999999999</v>
      </c>
      <c r="D32" s="66">
        <v>0.38272299999999998</v>
      </c>
      <c r="E32" s="66">
        <v>0.15</v>
      </c>
      <c r="F32" s="66">
        <v>6.3977500000000007E-2</v>
      </c>
      <c r="G32" s="66">
        <v>0.4</v>
      </c>
      <c r="H32" s="66">
        <v>0.51373199999999997</v>
      </c>
    </row>
    <row r="33" spans="1:8">
      <c r="A33" s="66" t="s">
        <v>330</v>
      </c>
      <c r="B33" s="66">
        <v>0.38106600000000002</v>
      </c>
      <c r="C33" s="66">
        <v>2.3055300000000001E-2</v>
      </c>
      <c r="D33" s="66">
        <v>6.0502E-2</v>
      </c>
      <c r="E33" s="66">
        <v>0</v>
      </c>
      <c r="F33" s="66">
        <v>0.34929300000000002</v>
      </c>
      <c r="G33" s="66">
        <v>0</v>
      </c>
      <c r="H33" s="66">
        <v>0.426286</v>
      </c>
    </row>
    <row r="34" spans="1:8">
      <c r="A34" s="66" t="s">
        <v>331</v>
      </c>
      <c r="B34" s="66">
        <v>0.163469</v>
      </c>
      <c r="C34" s="66">
        <v>2.9609900000000001E-2</v>
      </c>
      <c r="D34" s="66">
        <v>0.18113499999999999</v>
      </c>
      <c r="E34" s="66">
        <v>0.1</v>
      </c>
      <c r="F34" s="66">
        <v>0.10659100000000001</v>
      </c>
      <c r="G34" s="66">
        <v>0.25</v>
      </c>
      <c r="H34" s="66">
        <v>0.24099799999999999</v>
      </c>
    </row>
    <row r="35" spans="1:8">
      <c r="A35" s="66" t="s">
        <v>332</v>
      </c>
      <c r="B35" s="66">
        <v>6.6052899999999998E-2</v>
      </c>
      <c r="C35" s="66">
        <v>3.7753099999999998E-2</v>
      </c>
      <c r="D35" s="66">
        <v>0.57155800000000001</v>
      </c>
      <c r="E35" s="66">
        <v>0</v>
      </c>
      <c r="F35" s="66">
        <v>2.0448500000000001E-2</v>
      </c>
      <c r="G35" s="66">
        <v>0</v>
      </c>
      <c r="H35" s="66">
        <v>0.20648900000000001</v>
      </c>
    </row>
    <row r="36" spans="1:8">
      <c r="A36" s="66" t="s">
        <v>333</v>
      </c>
      <c r="B36" s="66">
        <v>0.12663199999999999</v>
      </c>
      <c r="C36" s="66">
        <v>8.4268999999999997E-2</v>
      </c>
      <c r="D36" s="66">
        <v>0.665462</v>
      </c>
      <c r="E36" s="66">
        <v>0</v>
      </c>
      <c r="F36" s="66">
        <v>4.6327500000000001E-2</v>
      </c>
      <c r="G36" s="66">
        <v>0</v>
      </c>
      <c r="H36" s="66">
        <v>0.70149300000000003</v>
      </c>
    </row>
    <row r="37" spans="1:8">
      <c r="A37" s="66" t="s">
        <v>334</v>
      </c>
      <c r="B37" s="66">
        <v>0.296099</v>
      </c>
      <c r="C37" s="66">
        <v>8.1396399999999994E-2</v>
      </c>
      <c r="D37" s="66">
        <v>0.27489599999999997</v>
      </c>
      <c r="E37" s="66">
        <v>0.1</v>
      </c>
      <c r="F37" s="66">
        <v>1.42592E-2</v>
      </c>
      <c r="G37" s="66">
        <v>0.5</v>
      </c>
      <c r="H37" s="66">
        <v>0.30253600000000003</v>
      </c>
    </row>
    <row r="38" spans="1:8">
      <c r="A38" s="66" t="s">
        <v>335</v>
      </c>
      <c r="B38" s="66">
        <v>-10.672599999999999</v>
      </c>
      <c r="C38" s="66">
        <v>37.358899999999998</v>
      </c>
      <c r="D38" s="66">
        <v>-3.5004599999999999</v>
      </c>
      <c r="E38" s="66">
        <v>0</v>
      </c>
      <c r="F38" s="66">
        <v>-66.192099999999996</v>
      </c>
      <c r="G38" s="66">
        <v>0</v>
      </c>
      <c r="H38" s="66">
        <v>218.54300000000001</v>
      </c>
    </row>
    <row r="39" spans="1:8">
      <c r="A39" s="66" t="s">
        <v>336</v>
      </c>
      <c r="B39" s="66">
        <v>-6.6895300000000004</v>
      </c>
      <c r="C39" s="66">
        <v>4.6208900000000002</v>
      </c>
      <c r="D39" s="66">
        <v>-0.69076499999999996</v>
      </c>
      <c r="E39" s="66">
        <v>0</v>
      </c>
      <c r="F39" s="66">
        <v>-17.398599999999998</v>
      </c>
      <c r="G39" s="66">
        <v>0</v>
      </c>
      <c r="H39" s="66">
        <v>6.3021500000000001</v>
      </c>
    </row>
    <row r="40" spans="1:8">
      <c r="A40" s="66" t="s">
        <v>337</v>
      </c>
      <c r="B40" s="66">
        <v>-3.1951200000000002</v>
      </c>
      <c r="C40" s="66">
        <v>0.228578</v>
      </c>
      <c r="D40" s="66">
        <v>-7.1539500000000006E-2</v>
      </c>
      <c r="E40" s="66">
        <v>0</v>
      </c>
      <c r="F40" s="66">
        <v>-3.75522</v>
      </c>
      <c r="G40" s="66">
        <v>0</v>
      </c>
      <c r="H40" s="66">
        <v>-2.6968800000000002</v>
      </c>
    </row>
    <row r="41" spans="1:8">
      <c r="A41" s="66" t="s">
        <v>338</v>
      </c>
      <c r="B41" s="66">
        <v>-0.17074900000000001</v>
      </c>
      <c r="C41" s="66">
        <v>0.38783800000000002</v>
      </c>
      <c r="D41" s="66">
        <v>-2.2713899999999998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-0.214225</v>
      </c>
      <c r="C42" s="66">
        <v>9.5259200000000002E-2</v>
      </c>
      <c r="D42" s="66">
        <v>-0.44466899999999998</v>
      </c>
      <c r="E42" s="66">
        <v>0</v>
      </c>
      <c r="F42" s="66">
        <v>-0.428809</v>
      </c>
      <c r="G42" s="66">
        <v>0</v>
      </c>
      <c r="H42" s="66">
        <v>8.9064299999999999E-2</v>
      </c>
    </row>
    <row r="43" spans="1:8">
      <c r="A43" s="66" t="s">
        <v>340</v>
      </c>
      <c r="B43" s="66">
        <v>-0.213121</v>
      </c>
      <c r="C43" s="66">
        <v>2.91737E-2</v>
      </c>
      <c r="D43" s="66">
        <v>-0.13688800000000001</v>
      </c>
      <c r="E43" s="66">
        <v>0</v>
      </c>
      <c r="F43" s="66">
        <v>-0.28722799999999998</v>
      </c>
      <c r="G43" s="66">
        <v>0</v>
      </c>
      <c r="H43" s="66">
        <v>-0.17069300000000001</v>
      </c>
    </row>
    <row r="44" spans="1:8">
      <c r="A44" s="66" t="s">
        <v>341</v>
      </c>
      <c r="B44" s="66">
        <v>-8.8445199999999993</v>
      </c>
      <c r="C44" s="66">
        <v>8.1616499999999998</v>
      </c>
      <c r="D44" s="66">
        <v>-0.92279199999999995</v>
      </c>
      <c r="E44" s="66">
        <v>0</v>
      </c>
      <c r="F44" s="66">
        <v>-25.832599999999999</v>
      </c>
      <c r="G44" s="66">
        <v>0</v>
      </c>
      <c r="H44" s="66">
        <v>1.0768200000000001</v>
      </c>
    </row>
    <row r="45" spans="1:8">
      <c r="A45" s="66" t="s">
        <v>342</v>
      </c>
      <c r="B45" s="66">
        <v>51.320099999999996</v>
      </c>
      <c r="C45" s="66">
        <v>8.3431700000000006</v>
      </c>
      <c r="D45" s="66">
        <v>0.16257099999999999</v>
      </c>
      <c r="E45" s="66">
        <v>0</v>
      </c>
      <c r="F45" s="66">
        <v>35.252800000000001</v>
      </c>
      <c r="G45" s="66">
        <v>0</v>
      </c>
      <c r="H45" s="66">
        <v>71.223299999999995</v>
      </c>
    </row>
    <row r="46" spans="1:8">
      <c r="A46" s="66" t="s">
        <v>343</v>
      </c>
      <c r="B46" s="66">
        <v>31.082599999999999</v>
      </c>
      <c r="C46" s="66">
        <v>3.5967899999999999</v>
      </c>
      <c r="D46" s="66">
        <v>0.115717</v>
      </c>
      <c r="E46" s="66">
        <v>0</v>
      </c>
      <c r="F46" s="66">
        <v>26.089500000000001</v>
      </c>
      <c r="G46" s="66">
        <v>0</v>
      </c>
      <c r="H46" s="66">
        <v>39.299500000000002</v>
      </c>
    </row>
    <row r="47" spans="1:8">
      <c r="A47" s="66" t="s">
        <v>344</v>
      </c>
      <c r="B47" s="66">
        <v>0.99498500000000001</v>
      </c>
      <c r="C47" s="66">
        <v>0.36829400000000001</v>
      </c>
      <c r="D47" s="66">
        <v>0.37014999999999998</v>
      </c>
      <c r="E47" s="66">
        <v>0</v>
      </c>
      <c r="F47" s="66">
        <v>0.39787800000000001</v>
      </c>
      <c r="G47" s="66">
        <v>0</v>
      </c>
      <c r="H47" s="66">
        <v>2.2847200000000001</v>
      </c>
    </row>
    <row r="48" spans="1:8">
      <c r="A48" s="66" t="s">
        <v>345</v>
      </c>
      <c r="B48" s="66">
        <v>0.93239499999999997</v>
      </c>
      <c r="C48" s="66">
        <v>0.29094799999999998</v>
      </c>
      <c r="D48" s="66">
        <v>0.31204300000000001</v>
      </c>
      <c r="E48" s="66">
        <v>0</v>
      </c>
      <c r="F48" s="66">
        <v>0.49497000000000002</v>
      </c>
      <c r="G48" s="66">
        <v>0</v>
      </c>
      <c r="H48" s="66">
        <v>1.7168300000000001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84.955038566599526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1.6402685742320853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0.60897017455154712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2211</v>
      </c>
      <c r="B8" s="66">
        <v>2211</v>
      </c>
      <c r="D8">
        <f t="shared" si="0"/>
        <v>1.3103930586506093E-2</v>
      </c>
      <c r="E8">
        <f t="shared" si="0"/>
        <v>1.3103930586506093E-2</v>
      </c>
      <c r="G8">
        <f t="shared" ca="1" si="1"/>
        <v>6</v>
      </c>
      <c r="H8">
        <f t="shared" ca="1" si="2"/>
        <v>7.8623583519036561E-2</v>
      </c>
      <c r="I8">
        <f t="shared" ca="1" si="3"/>
        <v>81.688568183008556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5449</v>
      </c>
      <c r="B10" s="66">
        <v>5449</v>
      </c>
      <c r="D10">
        <f t="shared" si="0"/>
        <v>3.2294580626807644E-2</v>
      </c>
      <c r="E10">
        <f t="shared" si="0"/>
        <v>3.2294580626807644E-2</v>
      </c>
      <c r="G10">
        <f t="shared" ca="1" si="1"/>
        <v>8</v>
      </c>
      <c r="H10">
        <f t="shared" ca="1" si="2"/>
        <v>0.25835664501446115</v>
      </c>
      <c r="I10">
        <f t="shared" ca="1" si="3"/>
        <v>191.25102418287057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9572</v>
      </c>
      <c r="B13" s="66">
        <v>9572</v>
      </c>
      <c r="D13">
        <f t="shared" si="0"/>
        <v>5.6730358920866718E-2</v>
      </c>
      <c r="E13">
        <f t="shared" si="0"/>
        <v>5.6730358920866718E-2</v>
      </c>
      <c r="G13">
        <f t="shared" ca="1" si="1"/>
        <v>11</v>
      </c>
      <c r="H13">
        <f t="shared" ca="1" si="2"/>
        <v>0.62403394812953394</v>
      </c>
      <c r="I13">
        <f t="shared" ca="1" si="3"/>
        <v>310.27805975116456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14822</v>
      </c>
      <c r="B15" s="66">
        <v>14822</v>
      </c>
      <c r="D15">
        <f t="shared" si="0"/>
        <v>8.7845526527902895E-2</v>
      </c>
      <c r="E15">
        <f t="shared" si="0"/>
        <v>8.7845526527902895E-2</v>
      </c>
      <c r="G15">
        <f t="shared" ca="1" si="1"/>
        <v>13</v>
      </c>
      <c r="H15">
        <f t="shared" ca="1" si="2"/>
        <v>1.1419918448627375</v>
      </c>
      <c r="I15">
        <f t="shared" ca="1" si="3"/>
        <v>454.82263594922523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17722</v>
      </c>
      <c r="B18" s="66">
        <v>17722</v>
      </c>
      <c r="D18">
        <f t="shared" si="0"/>
        <v>0.1050329524441705</v>
      </c>
      <c r="E18">
        <f t="shared" si="0"/>
        <v>0.1050329524441705</v>
      </c>
      <c r="G18">
        <f t="shared" ca="1" si="1"/>
        <v>16</v>
      </c>
      <c r="H18">
        <f t="shared" ca="1" si="2"/>
        <v>1.6805272391067281</v>
      </c>
      <c r="I18">
        <f t="shared" ca="1" si="3"/>
        <v>499.41040328473997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23064</v>
      </c>
      <c r="B21" s="66">
        <v>23064</v>
      </c>
      <c r="D21">
        <f t="shared" si="0"/>
        <v>0.13669337632165379</v>
      </c>
      <c r="E21">
        <f t="shared" si="0"/>
        <v>0.13669337632165379</v>
      </c>
      <c r="G21">
        <f t="shared" ca="1" si="1"/>
        <v>19</v>
      </c>
      <c r="H21">
        <f t="shared" ca="1" si="2"/>
        <v>2.5971741501114218</v>
      </c>
      <c r="I21">
        <f t="shared" ca="1" si="3"/>
        <v>594.62536080903044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30303</v>
      </c>
      <c r="B23" s="66">
        <v>30303</v>
      </c>
      <c r="D23">
        <f t="shared" si="0"/>
        <v>0.17959674742781281</v>
      </c>
      <c r="E23">
        <f t="shared" si="0"/>
        <v>0.17959674742781281</v>
      </c>
      <c r="G23">
        <f t="shared" ca="1" si="1"/>
        <v>21</v>
      </c>
      <c r="H23">
        <f t="shared" ca="1" si="2"/>
        <v>3.771531695984069</v>
      </c>
      <c r="I23">
        <f t="shared" ca="1" si="3"/>
        <v>734.5950498432253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36416</v>
      </c>
      <c r="B26" s="66">
        <v>36416</v>
      </c>
      <c r="D26">
        <f t="shared" si="0"/>
        <v>0.21582665591958655</v>
      </c>
      <c r="E26">
        <f t="shared" si="0"/>
        <v>0.21582665591958655</v>
      </c>
      <c r="G26">
        <f t="shared" ca="1" si="1"/>
        <v>24</v>
      </c>
      <c r="H26">
        <f t="shared" ca="1" si="2"/>
        <v>5.1798397420700777</v>
      </c>
      <c r="I26">
        <f t="shared" ca="1" si="3"/>
        <v>801.90755012737441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46402</v>
      </c>
      <c r="B28" s="66">
        <v>46402</v>
      </c>
      <c r="D28">
        <f t="shared" si="0"/>
        <v>0.27501066805746527</v>
      </c>
      <c r="E28">
        <f t="shared" si="0"/>
        <v>0.27501066805746527</v>
      </c>
      <c r="G28">
        <f t="shared" ca="1" si="1"/>
        <v>26</v>
      </c>
      <c r="H28">
        <f t="shared" ca="1" si="2"/>
        <v>7.1502773694940966</v>
      </c>
      <c r="I28">
        <f t="shared" ca="1" si="3"/>
        <v>955.85363633780639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62403</v>
      </c>
      <c r="B31" s="66">
        <v>62403</v>
      </c>
      <c r="D31">
        <f t="shared" si="0"/>
        <v>0.36984377222511972</v>
      </c>
      <c r="E31">
        <f t="shared" si="0"/>
        <v>0.36984377222511972</v>
      </c>
      <c r="G31">
        <f t="shared" ca="1" si="1"/>
        <v>29</v>
      </c>
      <c r="H31">
        <f t="shared" ca="1" si="2"/>
        <v>10.725469394528472</v>
      </c>
      <c r="I31">
        <f t="shared" ca="1" si="3"/>
        <v>1157.968402261489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60813</v>
      </c>
      <c r="B33" s="66">
        <v>60813</v>
      </c>
      <c r="D33">
        <f t="shared" si="0"/>
        <v>0.36042032146413161</v>
      </c>
      <c r="E33">
        <f t="shared" si="0"/>
        <v>0.36042032146413161</v>
      </c>
      <c r="G33">
        <f t="shared" ca="1" si="1"/>
        <v>31</v>
      </c>
      <c r="H33">
        <f t="shared" ca="1" si="2"/>
        <v>11.17302996538808</v>
      </c>
      <c r="I33">
        <f t="shared" ca="1" si="3"/>
        <v>1049.236244447872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68670</v>
      </c>
      <c r="B36" s="66">
        <v>68670</v>
      </c>
      <c r="D36">
        <f t="shared" si="0"/>
        <v>0.4069863923000332</v>
      </c>
      <c r="E36">
        <f t="shared" si="0"/>
        <v>0.4069863923000332</v>
      </c>
      <c r="G36">
        <f t="shared" ca="1" si="1"/>
        <v>34</v>
      </c>
      <c r="H36">
        <f t="shared" ca="1" si="2"/>
        <v>13.837537338201129</v>
      </c>
      <c r="I36">
        <f t="shared" ca="1" si="3"/>
        <v>1056.7059625674144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71473</v>
      </c>
      <c r="B39" s="66">
        <v>71473</v>
      </c>
      <c r="D39">
        <f t="shared" si="0"/>
        <v>0.4235989284528946</v>
      </c>
      <c r="E39">
        <f t="shared" si="0"/>
        <v>0.4235989284528946</v>
      </c>
      <c r="G39">
        <f t="shared" ca="1" si="1"/>
        <v>37</v>
      </c>
      <c r="H39">
        <f t="shared" ca="1" si="2"/>
        <v>15.673160352757099</v>
      </c>
      <c r="I39">
        <f t="shared" ca="1" si="3"/>
        <v>974.14440843264595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74973</v>
      </c>
      <c r="B41" s="66">
        <v>74973</v>
      </c>
      <c r="D41">
        <f t="shared" si="0"/>
        <v>0.44434237352425204</v>
      </c>
      <c r="E41">
        <f t="shared" si="0"/>
        <v>0.44434237352425204</v>
      </c>
      <c r="G41">
        <f t="shared" ca="1" si="1"/>
        <v>39</v>
      </c>
      <c r="H41">
        <f t="shared" ca="1" si="2"/>
        <v>17.329352567445831</v>
      </c>
      <c r="I41">
        <f t="shared" ca="1" si="3"/>
        <v>938.39135978582669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77235</v>
      </c>
      <c r="B44" s="66">
        <v>77235</v>
      </c>
      <c r="D44">
        <f t="shared" si="0"/>
        <v>0.45774856573894079</v>
      </c>
      <c r="E44">
        <f t="shared" si="0"/>
        <v>0.45774856573894079</v>
      </c>
      <c r="G44">
        <f t="shared" ca="1" si="1"/>
        <v>42</v>
      </c>
      <c r="H44">
        <f t="shared" ca="1" si="2"/>
        <v>19.225439761035513</v>
      </c>
      <c r="I44">
        <f t="shared" ca="1" si="3"/>
        <v>844.60805468185902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74985</v>
      </c>
      <c r="B46" s="66">
        <v>74985</v>
      </c>
      <c r="D46">
        <f t="shared" si="0"/>
        <v>0.44441349390735385</v>
      </c>
      <c r="E46">
        <f t="shared" si="0"/>
        <v>0.44441349390735385</v>
      </c>
      <c r="G46">
        <f t="shared" ca="1" si="1"/>
        <v>44</v>
      </c>
      <c r="H46">
        <f t="shared" ca="1" si="2"/>
        <v>19.554193731923569</v>
      </c>
      <c r="I46">
        <f t="shared" ca="1" si="3"/>
        <v>745.42150130158723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76039</v>
      </c>
      <c r="B49" s="66">
        <v>76039</v>
      </c>
      <c r="D49">
        <f t="shared" si="0"/>
        <v>0.45066023422312834</v>
      </c>
      <c r="E49">
        <f t="shared" si="0"/>
        <v>0.45066023422312834</v>
      </c>
      <c r="G49">
        <f t="shared" ca="1" si="1"/>
        <v>47</v>
      </c>
      <c r="H49">
        <f t="shared" ca="1" si="2"/>
        <v>21.181031008487032</v>
      </c>
      <c r="I49">
        <f t="shared" ca="1" si="3"/>
        <v>649.21435215345082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84000</v>
      </c>
      <c r="B51" s="66">
        <v>84000</v>
      </c>
      <c r="D51">
        <f t="shared" si="0"/>
        <v>0.49784268171257884</v>
      </c>
      <c r="E51">
        <f t="shared" si="0"/>
        <v>0.49784268171257884</v>
      </c>
      <c r="G51">
        <f t="shared" ca="1" si="1"/>
        <v>49</v>
      </c>
      <c r="H51">
        <f t="shared" ca="1" si="2"/>
        <v>24.394291403916363</v>
      </c>
      <c r="I51">
        <f t="shared" ca="1" si="3"/>
        <v>643.59349402206738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100185</v>
      </c>
      <c r="B54" s="66">
        <v>100185</v>
      </c>
      <c r="D54">
        <f t="shared" si="0"/>
        <v>0.59376629842112749</v>
      </c>
      <c r="E54">
        <f t="shared" si="0"/>
        <v>0.59376629842112749</v>
      </c>
      <c r="G54">
        <f t="shared" ca="1" si="1"/>
        <v>52</v>
      </c>
      <c r="H54">
        <f t="shared" ca="1" si="2"/>
        <v>30.875847517898631</v>
      </c>
      <c r="I54">
        <f t="shared" ca="1" si="3"/>
        <v>644.85072476108019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103794</v>
      </c>
      <c r="B57" s="66">
        <v>103794</v>
      </c>
      <c r="D57">
        <f t="shared" si="0"/>
        <v>0.61515575363899289</v>
      </c>
      <c r="E57">
        <f t="shared" si="0"/>
        <v>0.61515575363899289</v>
      </c>
      <c r="G57">
        <f t="shared" ca="1" si="1"/>
        <v>55</v>
      </c>
      <c r="H57">
        <f t="shared" ca="1" si="2"/>
        <v>33.833566450144609</v>
      </c>
      <c r="I57">
        <f t="shared" ca="1" si="3"/>
        <v>551.98192476431836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109987</v>
      </c>
      <c r="B59" s="66">
        <v>109987</v>
      </c>
      <c r="D59">
        <f t="shared" si="0"/>
        <v>0.651859798018112</v>
      </c>
      <c r="E59">
        <f t="shared" si="0"/>
        <v>0.651859798018112</v>
      </c>
      <c r="G59">
        <f t="shared" ca="1" si="1"/>
        <v>57</v>
      </c>
      <c r="H59">
        <f t="shared" ca="1" si="2"/>
        <v>37.156008487032381</v>
      </c>
      <c r="I59">
        <f t="shared" ca="1" si="3"/>
        <v>509.4181205505368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119355</v>
      </c>
      <c r="B62" s="66">
        <v>119355</v>
      </c>
      <c r="D62">
        <f t="shared" si="0"/>
        <v>0.70738111042624818</v>
      </c>
      <c r="E62">
        <f t="shared" si="0"/>
        <v>0.70738111042624818</v>
      </c>
      <c r="G62">
        <f t="shared" ca="1" si="1"/>
        <v>60</v>
      </c>
      <c r="H62">
        <f t="shared" ca="1" si="2"/>
        <v>42.442866625574894</v>
      </c>
      <c r="I62">
        <f t="shared" ca="1" si="3"/>
        <v>440.52438057463121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125156</v>
      </c>
      <c r="B64" s="66">
        <v>125156</v>
      </c>
      <c r="D64">
        <f t="shared" si="0"/>
        <v>0.74176188895737516</v>
      </c>
      <c r="E64">
        <f t="shared" si="0"/>
        <v>0.74176188895737516</v>
      </c>
      <c r="G64">
        <f t="shared" ca="1" si="1"/>
        <v>62</v>
      </c>
      <c r="H64">
        <f t="shared" ca="1" si="2"/>
        <v>45.989237115357263</v>
      </c>
      <c r="I64">
        <f t="shared" ca="1" si="3"/>
        <v>390.85940757533797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136240</v>
      </c>
      <c r="B67" s="66">
        <v>136240</v>
      </c>
      <c r="D67">
        <f t="shared" ref="D67:E130" si="4">IFERROR( A67/MAX(A$2:A$257), 0 )</f>
        <v>0.80745341614906829</v>
      </c>
      <c r="E67">
        <f t="shared" si="4"/>
        <v>0.80745341614906829</v>
      </c>
      <c r="G67">
        <f t="shared" ref="G67:G130" ca="1" si="5">CELL("row",D67)-2</f>
        <v>65</v>
      </c>
      <c r="H67">
        <f t="shared" ref="H67:H130" ca="1" si="6">D67*G67</f>
        <v>52.484472049689437</v>
      </c>
      <c r="I67">
        <f t="shared" ref="I67:I130" ca="1" si="7">D67*((G67-$L$1)^2)</f>
        <v>321.53082823156325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138812</v>
      </c>
      <c r="B69" s="66">
        <v>138812</v>
      </c>
      <c r="D69">
        <f t="shared" si="4"/>
        <v>0.82269688492722015</v>
      </c>
      <c r="E69">
        <f t="shared" si="4"/>
        <v>0.82269688492722015</v>
      </c>
      <c r="G69">
        <f t="shared" ca="1" si="5"/>
        <v>67</v>
      </c>
      <c r="H69">
        <f t="shared" ca="1" si="6"/>
        <v>55.120691290123752</v>
      </c>
      <c r="I69">
        <f t="shared" ca="1" si="7"/>
        <v>265.22382710004348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145974</v>
      </c>
      <c r="B72" s="66">
        <v>145974</v>
      </c>
      <c r="D72">
        <f t="shared" si="4"/>
        <v>0.86514390024180932</v>
      </c>
      <c r="E72">
        <f t="shared" si="4"/>
        <v>0.86514390024180932</v>
      </c>
      <c r="G72">
        <f t="shared" ca="1" si="5"/>
        <v>70</v>
      </c>
      <c r="H72">
        <f t="shared" ca="1" si="6"/>
        <v>60.560073016926651</v>
      </c>
      <c r="I72">
        <f t="shared" ca="1" si="7"/>
        <v>193.49218317360621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157399</v>
      </c>
      <c r="B75" s="66">
        <v>157399</v>
      </c>
      <c r="D75">
        <f t="shared" si="4"/>
        <v>0.93285643165331189</v>
      </c>
      <c r="E75">
        <f t="shared" si="4"/>
        <v>0.93285643165331189</v>
      </c>
      <c r="G75">
        <f t="shared" ca="1" si="5"/>
        <v>73</v>
      </c>
      <c r="H75">
        <f t="shared" ca="1" si="6"/>
        <v>68.098519510691773</v>
      </c>
      <c r="I75">
        <f t="shared" ca="1" si="7"/>
        <v>133.32659046002388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153103</v>
      </c>
      <c r="B77" s="66">
        <v>153103</v>
      </c>
      <c r="D77">
        <f t="shared" si="4"/>
        <v>0.90739533450286847</v>
      </c>
      <c r="E77">
        <f t="shared" si="4"/>
        <v>0.90739533450286847</v>
      </c>
      <c r="G77">
        <f t="shared" ca="1" si="5"/>
        <v>75</v>
      </c>
      <c r="H77">
        <f t="shared" ca="1" si="6"/>
        <v>68.054650087715132</v>
      </c>
      <c r="I77">
        <f t="shared" ca="1" si="7"/>
        <v>89.925411879622118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155568</v>
      </c>
      <c r="B80" s="66">
        <v>155568</v>
      </c>
      <c r="D80">
        <f t="shared" si="4"/>
        <v>0.922004646531696</v>
      </c>
      <c r="E80">
        <f t="shared" si="4"/>
        <v>0.922004646531696</v>
      </c>
      <c r="G80">
        <f t="shared" ca="1" si="5"/>
        <v>78</v>
      </c>
      <c r="H80">
        <f t="shared" ca="1" si="6"/>
        <v>71.916362429472287</v>
      </c>
      <c r="I80">
        <f t="shared" ca="1" si="7"/>
        <v>44.599726433421679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154344</v>
      </c>
      <c r="B82" s="66">
        <v>154344</v>
      </c>
      <c r="D82">
        <f t="shared" si="4"/>
        <v>0.91475036745531269</v>
      </c>
      <c r="E82">
        <f t="shared" si="4"/>
        <v>0.91475036745531269</v>
      </c>
      <c r="G82">
        <f t="shared" ca="1" si="5"/>
        <v>80</v>
      </c>
      <c r="H82">
        <f t="shared" ca="1" si="6"/>
        <v>73.180029396425013</v>
      </c>
      <c r="I82">
        <f t="shared" ca="1" si="7"/>
        <v>22.459323504900492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153425</v>
      </c>
      <c r="B85" s="66">
        <v>153425</v>
      </c>
      <c r="D85">
        <f t="shared" si="4"/>
        <v>0.90930373144943344</v>
      </c>
      <c r="E85">
        <f t="shared" si="4"/>
        <v>0.90930373144943344</v>
      </c>
      <c r="G85">
        <f t="shared" ca="1" si="5"/>
        <v>83</v>
      </c>
      <c r="H85">
        <f t="shared" ca="1" si="6"/>
        <v>75.472209710302977</v>
      </c>
      <c r="I85">
        <f t="shared" ca="1" si="7"/>
        <v>3.4755187143691813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156405</v>
      </c>
      <c r="B88" s="66">
        <v>156405</v>
      </c>
      <c r="D88">
        <f t="shared" si="4"/>
        <v>0.92696529325304633</v>
      </c>
      <c r="E88">
        <f t="shared" si="4"/>
        <v>0.92696529325304633</v>
      </c>
      <c r="G88">
        <f t="shared" ca="1" si="5"/>
        <v>86</v>
      </c>
      <c r="H88">
        <f t="shared" ca="1" si="6"/>
        <v>79.719015219761985</v>
      </c>
      <c r="I88">
        <f t="shared" ca="1" si="7"/>
        <v>1.0121945584539989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166110</v>
      </c>
      <c r="B90" s="66">
        <v>166110</v>
      </c>
      <c r="D90">
        <f t="shared" si="4"/>
        <v>0.98448390308662459</v>
      </c>
      <c r="E90">
        <f t="shared" si="4"/>
        <v>0.98448390308662459</v>
      </c>
      <c r="G90">
        <f t="shared" ca="1" si="5"/>
        <v>88</v>
      </c>
      <c r="H90">
        <f t="shared" ca="1" si="6"/>
        <v>86.63458347162296</v>
      </c>
      <c r="I90">
        <f t="shared" ca="1" si="7"/>
        <v>9.1279281366648011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162223</v>
      </c>
      <c r="B93" s="66">
        <v>162223</v>
      </c>
      <c r="D93">
        <f t="shared" si="4"/>
        <v>0.96144682566023421</v>
      </c>
      <c r="E93">
        <f t="shared" si="4"/>
        <v>0.96144682566023421</v>
      </c>
      <c r="G93">
        <f t="shared" ca="1" si="5"/>
        <v>91</v>
      </c>
      <c r="H93">
        <f t="shared" ca="1" si="6"/>
        <v>87.491661135081316</v>
      </c>
      <c r="I93">
        <f t="shared" ca="1" si="7"/>
        <v>35.132765646884536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166105</v>
      </c>
      <c r="B95" s="66">
        <v>166105</v>
      </c>
      <c r="D95">
        <f t="shared" si="4"/>
        <v>0.98445426959366555</v>
      </c>
      <c r="E95">
        <f t="shared" si="4"/>
        <v>0.98445426959366555</v>
      </c>
      <c r="G95">
        <f t="shared" ca="1" si="5"/>
        <v>93</v>
      </c>
      <c r="H95">
        <f t="shared" ca="1" si="6"/>
        <v>91.554247072210899</v>
      </c>
      <c r="I95">
        <f t="shared" ca="1" si="7"/>
        <v>63.715262959570317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156350</v>
      </c>
      <c r="B98" s="66">
        <v>156350</v>
      </c>
      <c r="D98">
        <f t="shared" si="4"/>
        <v>0.92663932483049638</v>
      </c>
      <c r="E98">
        <f t="shared" si="4"/>
        <v>0.92663932483049638</v>
      </c>
      <c r="G98">
        <f t="shared" ca="1" si="5"/>
        <v>96</v>
      </c>
      <c r="H98">
        <f t="shared" ca="1" si="6"/>
        <v>88.957375183727649</v>
      </c>
      <c r="I98">
        <f t="shared" ca="1" si="7"/>
        <v>113.04181824451338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168728</v>
      </c>
      <c r="B100" s="66">
        <v>168728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170.17101879890575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158220</v>
      </c>
      <c r="B103" s="66">
        <v>158220</v>
      </c>
      <c r="D103">
        <f t="shared" si="4"/>
        <v>0.9377222511971931</v>
      </c>
      <c r="E103">
        <f t="shared" si="4"/>
        <v>0.9377222511971931</v>
      </c>
      <c r="G103">
        <f t="shared" ca="1" si="5"/>
        <v>101</v>
      </c>
      <c r="H103">
        <f t="shared" ca="1" si="6"/>
        <v>94.70994737091651</v>
      </c>
      <c r="I103">
        <f t="shared" ca="1" si="7"/>
        <v>241.40795471005762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151604</v>
      </c>
      <c r="B106" s="66">
        <v>151604</v>
      </c>
      <c r="D106">
        <f t="shared" si="4"/>
        <v>0.89851121331373573</v>
      </c>
      <c r="E106">
        <f t="shared" si="4"/>
        <v>0.89851121331373573</v>
      </c>
      <c r="G106">
        <f t="shared" ca="1" si="5"/>
        <v>104</v>
      </c>
      <c r="H106">
        <f t="shared" ca="1" si="6"/>
        <v>93.445166184628519</v>
      </c>
      <c r="I106">
        <f t="shared" ca="1" si="7"/>
        <v>325.89950175300038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143222</v>
      </c>
      <c r="B108" s="66">
        <v>143222</v>
      </c>
      <c r="D108">
        <f t="shared" si="4"/>
        <v>0.8488336257171305</v>
      </c>
      <c r="E108">
        <f t="shared" si="4"/>
        <v>0.8488336257171305</v>
      </c>
      <c r="G108">
        <f t="shared" ca="1" si="5"/>
        <v>106</v>
      </c>
      <c r="H108">
        <f t="shared" ca="1" si="6"/>
        <v>89.97636432601584</v>
      </c>
      <c r="I108">
        <f t="shared" ca="1" si="7"/>
        <v>375.94026549860484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124329</v>
      </c>
      <c r="B111" s="66">
        <v>124329</v>
      </c>
      <c r="D111">
        <f t="shared" si="4"/>
        <v>0.73686050922194302</v>
      </c>
      <c r="E111">
        <f t="shared" si="4"/>
        <v>0.73686050922194302</v>
      </c>
      <c r="G111">
        <f t="shared" ca="1" si="5"/>
        <v>109</v>
      </c>
      <c r="H111">
        <f t="shared" ca="1" si="6"/>
        <v>80.317795505191782</v>
      </c>
      <c r="I111">
        <f t="shared" ca="1" si="7"/>
        <v>426.02339752394738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120648</v>
      </c>
      <c r="B113" s="66">
        <v>120648</v>
      </c>
      <c r="D113">
        <f t="shared" si="4"/>
        <v>0.71504433170546677</v>
      </c>
      <c r="E113">
        <f t="shared" si="4"/>
        <v>0.71504433170546677</v>
      </c>
      <c r="G113">
        <f t="shared" ca="1" si="5"/>
        <v>111</v>
      </c>
      <c r="H113">
        <f t="shared" ca="1" si="6"/>
        <v>79.369920819306813</v>
      </c>
      <c r="I113">
        <f t="shared" ca="1" si="7"/>
        <v>485.04318345793104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119016</v>
      </c>
      <c r="B116" s="66">
        <v>119016</v>
      </c>
      <c r="D116">
        <f t="shared" si="4"/>
        <v>0.70537195960362242</v>
      </c>
      <c r="E116">
        <f t="shared" si="4"/>
        <v>0.70537195960362242</v>
      </c>
      <c r="G116">
        <f t="shared" ca="1" si="5"/>
        <v>114</v>
      </c>
      <c r="H116">
        <f t="shared" ca="1" si="6"/>
        <v>80.412403394812955</v>
      </c>
      <c r="I116">
        <f t="shared" ca="1" si="7"/>
        <v>595.05868695186018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106702</v>
      </c>
      <c r="B118" s="66">
        <v>106702</v>
      </c>
      <c r="D118">
        <f t="shared" si="4"/>
        <v>0.63239059314399504</v>
      </c>
      <c r="E118">
        <f t="shared" si="4"/>
        <v>0.63239059314399504</v>
      </c>
      <c r="G118">
        <f t="shared" ca="1" si="5"/>
        <v>116</v>
      </c>
      <c r="H118">
        <f t="shared" ca="1" si="6"/>
        <v>73.357308804703422</v>
      </c>
      <c r="I118">
        <f t="shared" ca="1" si="7"/>
        <v>609.49149603552428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110282</v>
      </c>
      <c r="B121" s="66">
        <v>110282</v>
      </c>
      <c r="D121">
        <f t="shared" si="4"/>
        <v>0.65360817410269778</v>
      </c>
      <c r="E121">
        <f t="shared" si="4"/>
        <v>0.65360817410269778</v>
      </c>
      <c r="G121">
        <f t="shared" ca="1" si="5"/>
        <v>119</v>
      </c>
      <c r="H121">
        <f t="shared" ca="1" si="6"/>
        <v>77.77937271822104</v>
      </c>
      <c r="I121">
        <f t="shared" ca="1" si="7"/>
        <v>757.57069745808803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96850</v>
      </c>
      <c r="B124" s="66">
        <v>96850</v>
      </c>
      <c r="D124">
        <f t="shared" si="4"/>
        <v>0.57400075861741973</v>
      </c>
      <c r="E124">
        <f t="shared" si="4"/>
        <v>0.57400075861741973</v>
      </c>
      <c r="G124">
        <f t="shared" ca="1" si="5"/>
        <v>122</v>
      </c>
      <c r="H124">
        <f t="shared" ca="1" si="6"/>
        <v>70.028092551325201</v>
      </c>
      <c r="I124">
        <f t="shared" ca="1" si="7"/>
        <v>787.71798327643398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94544</v>
      </c>
      <c r="B126" s="66">
        <v>94544</v>
      </c>
      <c r="D126">
        <f t="shared" si="4"/>
        <v>0.56033379166469111</v>
      </c>
      <c r="E126">
        <f t="shared" si="4"/>
        <v>0.56033379166469111</v>
      </c>
      <c r="G126">
        <f t="shared" ca="1" si="5"/>
        <v>124</v>
      </c>
      <c r="H126">
        <f t="shared" ca="1" si="6"/>
        <v>69.481390166421704</v>
      </c>
      <c r="I126">
        <f t="shared" ca="1" si="7"/>
        <v>854.23391586940693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92036</v>
      </c>
      <c r="B129" s="66">
        <v>92036</v>
      </c>
      <c r="D129">
        <f t="shared" si="4"/>
        <v>0.54546963159641548</v>
      </c>
      <c r="E129">
        <f t="shared" si="4"/>
        <v>0.54546963159641548</v>
      </c>
      <c r="G129">
        <f t="shared" ca="1" si="5"/>
        <v>127</v>
      </c>
      <c r="H129">
        <f t="shared" ca="1" si="6"/>
        <v>69.274643212744763</v>
      </c>
      <c r="I129">
        <f t="shared" ca="1" si="7"/>
        <v>964.26964092666265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79055</v>
      </c>
      <c r="B131" s="66">
        <v>79055</v>
      </c>
      <c r="D131">
        <f t="shared" ref="D131:E194" si="8">IFERROR( A131/MAX(A$2:A$257), 0 )</f>
        <v>0.46853515717604666</v>
      </c>
      <c r="E131">
        <f t="shared" si="8"/>
        <v>0.46853515717604666</v>
      </c>
      <c r="G131">
        <f t="shared" ref="G131:G194" ca="1" si="9">CELL("row",D131)-2</f>
        <v>129</v>
      </c>
      <c r="H131">
        <f t="shared" ref="H131:H194" ca="1" si="10">D131*G131</f>
        <v>60.441035275710021</v>
      </c>
      <c r="I131">
        <f t="shared" ref="I131:I194" ca="1" si="11">D131*((G131-$L$1)^2)</f>
        <v>908.93882053026709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75800</v>
      </c>
      <c r="B134" s="66">
        <v>75800</v>
      </c>
      <c r="D134">
        <f t="shared" si="8"/>
        <v>0.44924375325968424</v>
      </c>
      <c r="E134">
        <f t="shared" si="8"/>
        <v>0.44924375325968424</v>
      </c>
      <c r="G134">
        <f t="shared" ca="1" si="9"/>
        <v>132</v>
      </c>
      <c r="H134">
        <f t="shared" ca="1" si="10"/>
        <v>59.300175430278323</v>
      </c>
      <c r="I134">
        <f t="shared" ca="1" si="11"/>
        <v>994.27903156130856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64723</v>
      </c>
      <c r="B136" s="66">
        <v>64723</v>
      </c>
      <c r="D136">
        <f t="shared" si="8"/>
        <v>0.38359371295813383</v>
      </c>
      <c r="E136">
        <f t="shared" si="8"/>
        <v>0.38359371295813383</v>
      </c>
      <c r="G136">
        <f t="shared" ca="1" si="9"/>
        <v>134</v>
      </c>
      <c r="H136">
        <f t="shared" ca="1" si="10"/>
        <v>51.40155753638993</v>
      </c>
      <c r="I136">
        <f t="shared" ca="1" si="11"/>
        <v>922.69947873031185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58385</v>
      </c>
      <c r="B139" s="66">
        <v>58385</v>
      </c>
      <c r="D139">
        <f t="shared" si="8"/>
        <v>0.34603029728320134</v>
      </c>
      <c r="E139">
        <f t="shared" si="8"/>
        <v>0.34603029728320134</v>
      </c>
      <c r="G139">
        <f t="shared" ca="1" si="9"/>
        <v>137</v>
      </c>
      <c r="H139">
        <f t="shared" ca="1" si="10"/>
        <v>47.406150727798583</v>
      </c>
      <c r="I139">
        <f t="shared" ca="1" si="11"/>
        <v>937.28465725382193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48451</v>
      </c>
      <c r="B142" s="66">
        <v>48451</v>
      </c>
      <c r="D142">
        <f t="shared" si="8"/>
        <v>0.2871544734720971</v>
      </c>
      <c r="E142">
        <f t="shared" si="8"/>
        <v>0.2871544734720971</v>
      </c>
      <c r="G142">
        <f t="shared" ca="1" si="9"/>
        <v>140</v>
      </c>
      <c r="H142">
        <f t="shared" ca="1" si="10"/>
        <v>40.201626286093592</v>
      </c>
      <c r="I142">
        <f t="shared" ca="1" si="11"/>
        <v>870.06305918543114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41273</v>
      </c>
      <c r="B144" s="66">
        <v>41273</v>
      </c>
      <c r="D144">
        <f t="shared" si="8"/>
        <v>0.24461263098003888</v>
      </c>
      <c r="E144">
        <f t="shared" si="8"/>
        <v>0.24461263098003888</v>
      </c>
      <c r="G144">
        <f t="shared" ca="1" si="9"/>
        <v>142</v>
      </c>
      <c r="H144">
        <f t="shared" ca="1" si="10"/>
        <v>34.73499359916552</v>
      </c>
      <c r="I144">
        <f t="shared" ca="1" si="11"/>
        <v>796.00071988094544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35484</v>
      </c>
      <c r="B147" s="66">
        <v>35484</v>
      </c>
      <c r="D147">
        <f t="shared" si="8"/>
        <v>0.21030297283201366</v>
      </c>
      <c r="E147">
        <f t="shared" si="8"/>
        <v>0.21030297283201366</v>
      </c>
      <c r="G147">
        <f t="shared" ca="1" si="9"/>
        <v>145</v>
      </c>
      <c r="H147">
        <f t="shared" ca="1" si="10"/>
        <v>30.49393106064198</v>
      </c>
      <c r="I147">
        <f t="shared" ca="1" si="11"/>
        <v>758.22579010195057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33623</v>
      </c>
      <c r="B149" s="66">
        <v>33623</v>
      </c>
      <c r="D149">
        <f t="shared" si="8"/>
        <v>0.19927338675264331</v>
      </c>
      <c r="E149">
        <f t="shared" si="8"/>
        <v>0.19927338675264331</v>
      </c>
      <c r="G149">
        <f t="shared" ca="1" si="9"/>
        <v>147</v>
      </c>
      <c r="H149">
        <f t="shared" ca="1" si="10"/>
        <v>29.293187852638567</v>
      </c>
      <c r="I149">
        <f t="shared" ca="1" si="11"/>
        <v>767.11829403565241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21792</v>
      </c>
      <c r="B152" s="66">
        <v>21792</v>
      </c>
      <c r="D152">
        <f t="shared" si="8"/>
        <v>0.1291546157128633</v>
      </c>
      <c r="E152">
        <f t="shared" si="8"/>
        <v>0.1291546157128633</v>
      </c>
      <c r="G152">
        <f t="shared" ca="1" si="9"/>
        <v>150</v>
      </c>
      <c r="H152">
        <f t="shared" ca="1" si="10"/>
        <v>19.373192356929493</v>
      </c>
      <c r="I152">
        <f t="shared" ca="1" si="11"/>
        <v>546.43341944169731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17517</v>
      </c>
      <c r="B154" s="66">
        <v>17517</v>
      </c>
      <c r="D154">
        <f t="shared" si="8"/>
        <v>0.10381797923284813</v>
      </c>
      <c r="E154">
        <f t="shared" si="8"/>
        <v>0.10381797923284813</v>
      </c>
      <c r="G154">
        <f t="shared" ca="1" si="9"/>
        <v>152</v>
      </c>
      <c r="H154">
        <f t="shared" ca="1" si="10"/>
        <v>15.780332843392916</v>
      </c>
      <c r="I154">
        <f t="shared" ca="1" si="11"/>
        <v>466.66460453877869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9228</v>
      </c>
      <c r="B157" s="66">
        <v>9228</v>
      </c>
      <c r="D157">
        <f t="shared" si="8"/>
        <v>5.4691574605281873E-2</v>
      </c>
      <c r="E157">
        <f t="shared" si="8"/>
        <v>5.4691574605281873E-2</v>
      </c>
      <c r="G157">
        <f t="shared" ca="1" si="9"/>
        <v>155</v>
      </c>
      <c r="H157">
        <f t="shared" ca="1" si="10"/>
        <v>8.4771940638186898</v>
      </c>
      <c r="I157">
        <f t="shared" ca="1" si="11"/>
        <v>268.33308774905254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5302</v>
      </c>
      <c r="B160" s="66">
        <v>5302</v>
      </c>
      <c r="D160">
        <f t="shared" si="8"/>
        <v>3.1423355933810633E-2</v>
      </c>
      <c r="E160">
        <f t="shared" si="8"/>
        <v>3.1423355933810633E-2</v>
      </c>
      <c r="G160">
        <f t="shared" ca="1" si="9"/>
        <v>158</v>
      </c>
      <c r="H160">
        <f t="shared" ca="1" si="10"/>
        <v>4.9648902375420798</v>
      </c>
      <c r="I160">
        <f t="shared" ca="1" si="11"/>
        <v>167.66140180680455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2956</v>
      </c>
      <c r="B162" s="66">
        <v>2956</v>
      </c>
      <c r="D162">
        <f t="shared" si="8"/>
        <v>1.7519321037409323E-2</v>
      </c>
      <c r="E162">
        <f t="shared" si="8"/>
        <v>1.7519321037409323E-2</v>
      </c>
      <c r="G162">
        <f t="shared" ca="1" si="9"/>
        <v>160</v>
      </c>
      <c r="H162">
        <f t="shared" ca="1" si="10"/>
        <v>2.8030913659854919</v>
      </c>
      <c r="I162">
        <f t="shared" ca="1" si="11"/>
        <v>98.664370319175887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1528</v>
      </c>
      <c r="B165" s="66">
        <v>1528</v>
      </c>
      <c r="D165">
        <f t="shared" si="8"/>
        <v>9.0559954482954813E-3</v>
      </c>
      <c r="E165">
        <f t="shared" si="8"/>
        <v>9.0559954482954813E-3</v>
      </c>
      <c r="G165">
        <f t="shared" ca="1" si="9"/>
        <v>163</v>
      </c>
      <c r="H165">
        <f t="shared" ca="1" si="10"/>
        <v>1.4761272580721634</v>
      </c>
      <c r="I165">
        <f t="shared" ca="1" si="11"/>
        <v>55.160213218051531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917</v>
      </c>
      <c r="B167" s="66">
        <v>917</v>
      </c>
      <c r="D167">
        <f t="shared" si="8"/>
        <v>5.434782608695652E-3</v>
      </c>
      <c r="E167">
        <f t="shared" si="8"/>
        <v>5.434782608695652E-3</v>
      </c>
      <c r="G167">
        <f t="shared" ca="1" si="9"/>
        <v>165</v>
      </c>
      <c r="H167">
        <f t="shared" ca="1" si="10"/>
        <v>0.89673913043478259</v>
      </c>
      <c r="I167">
        <f t="shared" ca="1" si="11"/>
        <v>34.821716580840047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104</v>
      </c>
      <c r="B170" s="66">
        <v>104</v>
      </c>
      <c r="D170">
        <f t="shared" si="8"/>
        <v>6.1637665354890713E-4</v>
      </c>
      <c r="E170">
        <f t="shared" si="8"/>
        <v>6.1637665354890713E-4</v>
      </c>
      <c r="G170">
        <f t="shared" ca="1" si="9"/>
        <v>168</v>
      </c>
      <c r="H170">
        <f t="shared" ca="1" si="10"/>
        <v>0.1035512777962164</v>
      </c>
      <c r="I170">
        <f t="shared" ca="1" si="11"/>
        <v>4.2508203998470746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70</v>
      </c>
      <c r="B173" s="66">
        <v>70</v>
      </c>
      <c r="D173">
        <f t="shared" si="8"/>
        <v>4.14868901427149E-4</v>
      </c>
      <c r="E173">
        <f t="shared" si="8"/>
        <v>4.14868901427149E-4</v>
      </c>
      <c r="G173">
        <f t="shared" ca="1" si="9"/>
        <v>171</v>
      </c>
      <c r="H173">
        <f t="shared" ca="1" si="10"/>
        <v>7.0942582144042476E-2</v>
      </c>
      <c r="I173">
        <f t="shared" ca="1" si="11"/>
        <v>3.0715795669081372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179</v>
      </c>
      <c r="B175" s="66">
        <v>179</v>
      </c>
      <c r="D175">
        <f t="shared" si="8"/>
        <v>1.0608790479351383E-3</v>
      </c>
      <c r="E175">
        <f t="shared" si="8"/>
        <v>1.0608790479351383E-3</v>
      </c>
      <c r="G175">
        <f t="shared" ca="1" si="9"/>
        <v>173</v>
      </c>
      <c r="H175">
        <f t="shared" ca="1" si="10"/>
        <v>0.18353207529277893</v>
      </c>
      <c r="I175">
        <f t="shared" ca="1" si="11"/>
        <v>8.223844452917163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83.350726352491137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1.6092933318867388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0.59822471741376759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431</v>
      </c>
      <c r="B8" s="66">
        <v>431</v>
      </c>
      <c r="D8">
        <f t="shared" si="0"/>
        <v>0.48492894834550343</v>
      </c>
      <c r="E8">
        <f t="shared" si="1"/>
        <v>0.48492894834550343</v>
      </c>
      <c r="G8">
        <f t="shared" ca="1" si="2"/>
        <v>6</v>
      </c>
      <c r="H8">
        <f t="shared" ca="1" si="3"/>
        <v>2.9095736900730205</v>
      </c>
      <c r="I8">
        <f t="shared" ca="1" si="4"/>
        <v>2901.3952989887193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1557</v>
      </c>
      <c r="B10" s="66">
        <v>1557</v>
      </c>
      <c r="D10">
        <f t="shared" si="0"/>
        <v>1.7518198899627584</v>
      </c>
      <c r="E10">
        <f t="shared" si="1"/>
        <v>1.7518198899627584</v>
      </c>
      <c r="G10">
        <f t="shared" ca="1" si="2"/>
        <v>8</v>
      </c>
      <c r="H10">
        <f t="shared" ca="1" si="3"/>
        <v>14.014559119702067</v>
      </c>
      <c r="I10">
        <f t="shared" ca="1" si="4"/>
        <v>9946.3637806426032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2286</v>
      </c>
      <c r="B13" s="66">
        <v>2286</v>
      </c>
      <c r="D13">
        <f t="shared" si="0"/>
        <v>2.572036139020466</v>
      </c>
      <c r="E13">
        <f t="shared" si="1"/>
        <v>2.572036139020466</v>
      </c>
      <c r="G13">
        <f t="shared" ca="1" si="2"/>
        <v>11</v>
      </c>
      <c r="H13">
        <f t="shared" ca="1" si="3"/>
        <v>28.292397529225127</v>
      </c>
      <c r="I13">
        <f t="shared" ca="1" si="4"/>
        <v>13463.651371115522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3163</v>
      </c>
      <c r="B15" s="66">
        <v>3163</v>
      </c>
      <c r="D15">
        <f t="shared" si="0"/>
        <v>3.5587709132641008</v>
      </c>
      <c r="E15">
        <f t="shared" si="1"/>
        <v>3.5587709132641008</v>
      </c>
      <c r="G15">
        <f t="shared" ca="1" si="2"/>
        <v>13</v>
      </c>
      <c r="H15">
        <f t="shared" ca="1" si="3"/>
        <v>46.264021872433311</v>
      </c>
      <c r="I15">
        <f t="shared" ca="1" si="4"/>
        <v>17613.156899600508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5490</v>
      </c>
      <c r="B18" s="66">
        <v>5490</v>
      </c>
      <c r="D18">
        <f t="shared" si="0"/>
        <v>6.1769371842617495</v>
      </c>
      <c r="E18">
        <f t="shared" si="1"/>
        <v>6.1769371842617495</v>
      </c>
      <c r="G18">
        <f t="shared" ca="1" si="2"/>
        <v>16</v>
      </c>
      <c r="H18">
        <f t="shared" ca="1" si="3"/>
        <v>98.830994948187993</v>
      </c>
      <c r="I18">
        <f t="shared" ca="1" si="4"/>
        <v>28019.33040171774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6126</v>
      </c>
      <c r="B21" s="66">
        <v>6126</v>
      </c>
      <c r="D21">
        <f t="shared" si="0"/>
        <v>6.892516792493165</v>
      </c>
      <c r="E21">
        <f t="shared" si="1"/>
        <v>6.892516792493165</v>
      </c>
      <c r="G21">
        <f t="shared" ca="1" si="2"/>
        <v>19</v>
      </c>
      <c r="H21">
        <f t="shared" ca="1" si="3"/>
        <v>130.95781905737013</v>
      </c>
      <c r="I21">
        <f t="shared" ca="1" si="4"/>
        <v>28542.022194559941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11260</v>
      </c>
      <c r="B23" s="66">
        <v>11260</v>
      </c>
      <c r="D23">
        <f t="shared" si="0"/>
        <v>12.66890941617255</v>
      </c>
      <c r="E23">
        <f t="shared" si="1"/>
        <v>12.66890941617255</v>
      </c>
      <c r="G23">
        <f t="shared" ca="1" si="2"/>
        <v>21</v>
      </c>
      <c r="H23">
        <f t="shared" ca="1" si="3"/>
        <v>266.04709773962355</v>
      </c>
      <c r="I23">
        <f t="shared" ca="1" si="4"/>
        <v>49251.817913627739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17252</v>
      </c>
      <c r="B26" s="66">
        <v>17252</v>
      </c>
      <c r="D26">
        <f t="shared" si="0"/>
        <v>19.41065943586224</v>
      </c>
      <c r="E26">
        <f t="shared" si="1"/>
        <v>19.41065943586224</v>
      </c>
      <c r="G26">
        <f t="shared" ca="1" si="2"/>
        <v>24</v>
      </c>
      <c r="H26">
        <f t="shared" ca="1" si="3"/>
        <v>465.85582646069372</v>
      </c>
      <c r="I26">
        <f t="shared" ca="1" si="4"/>
        <v>68374.21709598451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24420</v>
      </c>
      <c r="B28" s="66">
        <v>24420</v>
      </c>
      <c r="D28">
        <f t="shared" si="0"/>
        <v>27.475556655677945</v>
      </c>
      <c r="E28">
        <f t="shared" si="1"/>
        <v>27.475556655677945</v>
      </c>
      <c r="G28">
        <f t="shared" ca="1" si="2"/>
        <v>26</v>
      </c>
      <c r="H28">
        <f t="shared" ca="1" si="3"/>
        <v>714.36447304762657</v>
      </c>
      <c r="I28">
        <f t="shared" ca="1" si="4"/>
        <v>90370.013115951137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37127</v>
      </c>
      <c r="B31" s="66">
        <v>37127</v>
      </c>
      <c r="D31">
        <f t="shared" si="0"/>
        <v>41.772522193093984</v>
      </c>
      <c r="E31">
        <f t="shared" si="1"/>
        <v>41.772522193093984</v>
      </c>
      <c r="G31">
        <f t="shared" ca="1" si="2"/>
        <v>29</v>
      </c>
      <c r="H31">
        <f t="shared" ca="1" si="3"/>
        <v>1211.4031435997256</v>
      </c>
      <c r="I31">
        <f t="shared" ca="1" si="4"/>
        <v>123396.09133923128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37282</v>
      </c>
      <c r="B33" s="66">
        <v>37282</v>
      </c>
      <c r="D33">
        <f t="shared" si="0"/>
        <v>41.946916594471134</v>
      </c>
      <c r="E33">
        <f t="shared" si="1"/>
        <v>41.946916594471134</v>
      </c>
      <c r="G33">
        <f t="shared" ca="1" si="2"/>
        <v>31</v>
      </c>
      <c r="H33">
        <f t="shared" ca="1" si="3"/>
        <v>1300.3544144286052</v>
      </c>
      <c r="I33">
        <f t="shared" ca="1" si="4"/>
        <v>114959.65878040121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42024</v>
      </c>
      <c r="B36" s="66">
        <v>42024</v>
      </c>
      <c r="D36">
        <f t="shared" si="0"/>
        <v>47.282260151441847</v>
      </c>
      <c r="E36">
        <f t="shared" si="1"/>
        <v>47.282260151441847</v>
      </c>
      <c r="G36">
        <f t="shared" ca="1" si="2"/>
        <v>34</v>
      </c>
      <c r="H36">
        <f t="shared" ca="1" si="3"/>
        <v>1607.5968451490228</v>
      </c>
      <c r="I36">
        <f t="shared" ca="1" si="4"/>
        <v>115155.6699607015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40997</v>
      </c>
      <c r="B39" s="66">
        <v>40997</v>
      </c>
      <c r="D39">
        <f t="shared" si="0"/>
        <v>46.126756601671936</v>
      </c>
      <c r="E39">
        <f t="shared" si="1"/>
        <v>46.126756601671936</v>
      </c>
      <c r="G39">
        <f t="shared" ca="1" si="2"/>
        <v>37</v>
      </c>
      <c r="H39">
        <f t="shared" ca="1" si="3"/>
        <v>1706.6899942618616</v>
      </c>
      <c r="I39">
        <f t="shared" ca="1" si="4"/>
        <v>99098.254930910509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44133</v>
      </c>
      <c r="B41" s="66">
        <v>44133</v>
      </c>
      <c r="D41">
        <f t="shared" si="0"/>
        <v>49.655149135341304</v>
      </c>
      <c r="E41">
        <f t="shared" si="1"/>
        <v>49.655149135341304</v>
      </c>
      <c r="G41">
        <f t="shared" ca="1" si="2"/>
        <v>39</v>
      </c>
      <c r="H41">
        <f t="shared" ca="1" si="3"/>
        <v>1936.5508162783108</v>
      </c>
      <c r="I41">
        <f t="shared" ca="1" si="4"/>
        <v>97671.029256786656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47226</v>
      </c>
      <c r="B44" s="66">
        <v>47226</v>
      </c>
      <c r="D44">
        <f t="shared" si="0"/>
        <v>53.135161286693148</v>
      </c>
      <c r="E44">
        <f t="shared" si="1"/>
        <v>53.135161286693148</v>
      </c>
      <c r="G44">
        <f t="shared" ca="1" si="2"/>
        <v>42</v>
      </c>
      <c r="H44">
        <f t="shared" ca="1" si="3"/>
        <v>2231.6767740411124</v>
      </c>
      <c r="I44">
        <f t="shared" ca="1" si="4"/>
        <v>90854.886131805048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42503</v>
      </c>
      <c r="B46" s="66">
        <v>42503</v>
      </c>
      <c r="D46">
        <f t="shared" si="0"/>
        <v>47.821195107955759</v>
      </c>
      <c r="E46">
        <f t="shared" si="1"/>
        <v>47.821195107955759</v>
      </c>
      <c r="G46">
        <f t="shared" ca="1" si="2"/>
        <v>44</v>
      </c>
      <c r="H46">
        <f t="shared" ca="1" si="3"/>
        <v>2104.1325847500534</v>
      </c>
      <c r="I46">
        <f t="shared" ca="1" si="4"/>
        <v>74050.148155256713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44904</v>
      </c>
      <c r="B49" s="66">
        <v>44904</v>
      </c>
      <c r="D49">
        <f t="shared" si="0"/>
        <v>50.522620641546375</v>
      </c>
      <c r="E49">
        <f t="shared" si="1"/>
        <v>50.522620641546375</v>
      </c>
      <c r="G49">
        <f t="shared" ca="1" si="2"/>
        <v>47</v>
      </c>
      <c r="H49">
        <f t="shared" ca="1" si="3"/>
        <v>2374.5631701526795</v>
      </c>
      <c r="I49">
        <f t="shared" ca="1" si="4"/>
        <v>66759.343328014787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47386</v>
      </c>
      <c r="B51" s="66">
        <v>47386</v>
      </c>
      <c r="D51">
        <f t="shared" si="0"/>
        <v>53.315181313921173</v>
      </c>
      <c r="E51">
        <f t="shared" si="1"/>
        <v>53.315181313921173</v>
      </c>
      <c r="G51">
        <f t="shared" ca="1" si="2"/>
        <v>49</v>
      </c>
      <c r="H51">
        <f t="shared" ca="1" si="3"/>
        <v>2612.4438843821376</v>
      </c>
      <c r="I51">
        <f t="shared" ca="1" si="4"/>
        <v>62910.442501737809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57533</v>
      </c>
      <c r="B54" s="66">
        <v>57533</v>
      </c>
      <c r="D54">
        <f t="shared" si="0"/>
        <v>64.731826415688744</v>
      </c>
      <c r="E54">
        <f t="shared" si="1"/>
        <v>64.731826415688744</v>
      </c>
      <c r="G54">
        <f t="shared" ca="1" si="2"/>
        <v>52</v>
      </c>
      <c r="H54">
        <f t="shared" ca="1" si="3"/>
        <v>3366.0549736158146</v>
      </c>
      <c r="I54">
        <f t="shared" ca="1" si="4"/>
        <v>63622.84353792046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62152</v>
      </c>
      <c r="B57" s="66">
        <v>62152</v>
      </c>
      <c r="D57">
        <f t="shared" si="0"/>
        <v>69.928779576727905</v>
      </c>
      <c r="E57">
        <f t="shared" si="1"/>
        <v>69.928779576727905</v>
      </c>
      <c r="G57">
        <f t="shared" ca="1" si="2"/>
        <v>55</v>
      </c>
      <c r="H57">
        <f t="shared" ca="1" si="3"/>
        <v>3846.0828767200346</v>
      </c>
      <c r="I57">
        <f t="shared" ca="1" si="4"/>
        <v>56206.213540132419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58019</v>
      </c>
      <c r="B59" s="66">
        <v>58019</v>
      </c>
      <c r="D59">
        <f t="shared" si="0"/>
        <v>65.278637248393878</v>
      </c>
      <c r="E59">
        <f t="shared" si="1"/>
        <v>65.278637248393878</v>
      </c>
      <c r="G59">
        <f t="shared" ca="1" si="2"/>
        <v>57</v>
      </c>
      <c r="H59">
        <f t="shared" ca="1" si="3"/>
        <v>3720.8823231584511</v>
      </c>
      <c r="I59">
        <f t="shared" ca="1" si="4"/>
        <v>45326.925431689458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62546</v>
      </c>
      <c r="B62" s="66">
        <v>62546</v>
      </c>
      <c r="D62">
        <f t="shared" si="0"/>
        <v>70.37207889377693</v>
      </c>
      <c r="E62">
        <f t="shared" si="1"/>
        <v>70.37207889377693</v>
      </c>
      <c r="G62">
        <f t="shared" ca="1" si="2"/>
        <v>60</v>
      </c>
      <c r="H62">
        <f t="shared" ca="1" si="3"/>
        <v>4222.3247336266159</v>
      </c>
      <c r="I62">
        <f t="shared" ca="1" si="4"/>
        <v>38370.827889245425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62024</v>
      </c>
      <c r="B64" s="66">
        <v>62024</v>
      </c>
      <c r="D64">
        <f t="shared" si="0"/>
        <v>69.784763554945485</v>
      </c>
      <c r="E64">
        <f t="shared" si="1"/>
        <v>69.784763554945485</v>
      </c>
      <c r="G64">
        <f t="shared" ca="1" si="2"/>
        <v>62</v>
      </c>
      <c r="H64">
        <f t="shared" ca="1" si="3"/>
        <v>4326.6553404066199</v>
      </c>
      <c r="I64">
        <f t="shared" ca="1" si="4"/>
        <v>31811.629814325297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66285</v>
      </c>
      <c r="B67" s="66">
        <v>66285</v>
      </c>
      <c r="D67">
        <f t="shared" ref="D67:D130" si="5">IFERROR( 100*A67/MAX(A$2:A$257), 0 )</f>
        <v>74.578921905061932</v>
      </c>
      <c r="E67">
        <f t="shared" ref="E67:E130" si="6">IFERROR( 100*B67/MAX(B$2:B$257), 0 )</f>
        <v>74.578921905061932</v>
      </c>
      <c r="G67">
        <f t="shared" ref="G67:G130" ca="1" si="7">CELL("row",D67)-2</f>
        <v>65</v>
      </c>
      <c r="H67">
        <f t="shared" ref="H67:H130" ca="1" si="8">D67*G67</f>
        <v>4847.6299238290258</v>
      </c>
      <c r="I67">
        <f t="shared" ref="I67:I130" ca="1" si="9">D67*((G67-$L$1)^2)</f>
        <v>25114.389131019791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67568</v>
      </c>
      <c r="B69" s="66">
        <v>67568</v>
      </c>
      <c r="D69">
        <f t="shared" si="5"/>
        <v>76.02245749839669</v>
      </c>
      <c r="E69">
        <f t="shared" si="6"/>
        <v>76.02245749839669</v>
      </c>
      <c r="G69">
        <f t="shared" ca="1" si="7"/>
        <v>67</v>
      </c>
      <c r="H69">
        <f t="shared" ca="1" si="8"/>
        <v>5093.5046523925785</v>
      </c>
      <c r="I69">
        <f t="shared" ca="1" si="9"/>
        <v>20324.319099339013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69233</v>
      </c>
      <c r="B72" s="66">
        <v>69233</v>
      </c>
      <c r="D72">
        <f t="shared" si="5"/>
        <v>77.89579090673837</v>
      </c>
      <c r="E72">
        <f t="shared" si="6"/>
        <v>77.89579090673837</v>
      </c>
      <c r="G72">
        <f t="shared" ca="1" si="7"/>
        <v>70</v>
      </c>
      <c r="H72">
        <f t="shared" ca="1" si="8"/>
        <v>5452.7053634716858</v>
      </c>
      <c r="I72">
        <f t="shared" ca="1" si="9"/>
        <v>13884.293316680429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80005</v>
      </c>
      <c r="B75" s="66">
        <v>80005</v>
      </c>
      <c r="D75">
        <f t="shared" si="5"/>
        <v>90.015639239865436</v>
      </c>
      <c r="E75">
        <f t="shared" si="6"/>
        <v>90.015639239865436</v>
      </c>
      <c r="G75">
        <f t="shared" ca="1" si="7"/>
        <v>73</v>
      </c>
      <c r="H75">
        <f t="shared" ca="1" si="8"/>
        <v>6571.1416645101772</v>
      </c>
      <c r="I75">
        <f t="shared" ca="1" si="9"/>
        <v>9644.0537917983766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75287</v>
      </c>
      <c r="B77" s="66">
        <v>75287</v>
      </c>
      <c r="D77">
        <f t="shared" si="5"/>
        <v>84.70729868697893</v>
      </c>
      <c r="E77">
        <f t="shared" si="6"/>
        <v>84.70729868697893</v>
      </c>
      <c r="G77">
        <f t="shared" ca="1" si="7"/>
        <v>75</v>
      </c>
      <c r="H77">
        <f t="shared" ca="1" si="8"/>
        <v>6353.0474015234195</v>
      </c>
      <c r="I77">
        <f t="shared" ca="1" si="9"/>
        <v>5907.0321842623307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76852</v>
      </c>
      <c r="B80" s="66">
        <v>76852</v>
      </c>
      <c r="D80">
        <f t="shared" si="5"/>
        <v>86.468119578303089</v>
      </c>
      <c r="E80">
        <f t="shared" si="6"/>
        <v>86.468119578303089</v>
      </c>
      <c r="G80">
        <f t="shared" ca="1" si="7"/>
        <v>78</v>
      </c>
      <c r="H80">
        <f t="shared" ca="1" si="8"/>
        <v>6744.5133271076411</v>
      </c>
      <c r="I80">
        <f t="shared" ca="1" si="9"/>
        <v>2475.6058260239552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77531</v>
      </c>
      <c r="B82" s="66">
        <v>77531</v>
      </c>
      <c r="D82">
        <f t="shared" si="5"/>
        <v>87.232079568852029</v>
      </c>
      <c r="E82">
        <f t="shared" si="6"/>
        <v>87.232079568852029</v>
      </c>
      <c r="G82">
        <f t="shared" ca="1" si="7"/>
        <v>80</v>
      </c>
      <c r="H82">
        <f t="shared" ca="1" si="8"/>
        <v>6978.5663655081626</v>
      </c>
      <c r="I82">
        <f t="shared" ca="1" si="9"/>
        <v>979.38657928065766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72176</v>
      </c>
      <c r="B85" s="66">
        <v>72176</v>
      </c>
      <c r="D85">
        <f t="shared" si="5"/>
        <v>81.207034282563939</v>
      </c>
      <c r="E85">
        <f t="shared" si="6"/>
        <v>81.207034282563939</v>
      </c>
      <c r="G85">
        <f t="shared" ca="1" si="7"/>
        <v>83</v>
      </c>
      <c r="H85">
        <f t="shared" ca="1" si="8"/>
        <v>6740.183845452807</v>
      </c>
      <c r="I85">
        <f t="shared" ca="1" si="9"/>
        <v>9.9891939956203935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75828</v>
      </c>
      <c r="B88" s="66">
        <v>75828</v>
      </c>
      <c r="D88">
        <f t="shared" si="5"/>
        <v>85.3159914040437</v>
      </c>
      <c r="E88">
        <f t="shared" si="6"/>
        <v>85.3159914040437</v>
      </c>
      <c r="G88">
        <f t="shared" ca="1" si="7"/>
        <v>86</v>
      </c>
      <c r="H88">
        <f t="shared" ca="1" si="8"/>
        <v>7337.1752607477583</v>
      </c>
      <c r="I88">
        <f t="shared" ca="1" si="9"/>
        <v>598.80315638726756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77451</v>
      </c>
      <c r="B90" s="66">
        <v>77451</v>
      </c>
      <c r="D90">
        <f t="shared" si="5"/>
        <v>87.142069555238024</v>
      </c>
      <c r="E90">
        <f t="shared" si="6"/>
        <v>87.142069555238024</v>
      </c>
      <c r="G90">
        <f t="shared" ca="1" si="7"/>
        <v>88</v>
      </c>
      <c r="H90">
        <f t="shared" ca="1" si="8"/>
        <v>7668.502120860946</v>
      </c>
      <c r="I90">
        <f t="shared" ca="1" si="9"/>
        <v>1883.6407934417095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76417</v>
      </c>
      <c r="B93" s="66">
        <v>76417</v>
      </c>
      <c r="D93">
        <f t="shared" si="5"/>
        <v>85.978690129276885</v>
      </c>
      <c r="E93">
        <f t="shared" si="6"/>
        <v>85.978690129276885</v>
      </c>
      <c r="G93">
        <f t="shared" ca="1" si="7"/>
        <v>91</v>
      </c>
      <c r="H93">
        <f t="shared" ca="1" si="8"/>
        <v>7824.0608017641962</v>
      </c>
      <c r="I93">
        <f t="shared" ca="1" si="9"/>
        <v>5030.7324406647977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82488</v>
      </c>
      <c r="B95" s="66">
        <v>82488</v>
      </c>
      <c r="D95">
        <f t="shared" si="5"/>
        <v>92.809325037410417</v>
      </c>
      <c r="E95">
        <f t="shared" si="6"/>
        <v>92.809325037410417</v>
      </c>
      <c r="G95">
        <f t="shared" ca="1" si="7"/>
        <v>93</v>
      </c>
      <c r="H95">
        <f t="shared" ca="1" si="8"/>
        <v>8631.2672284791697</v>
      </c>
      <c r="I95">
        <f t="shared" ca="1" si="9"/>
        <v>8641.3353626716089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77892</v>
      </c>
      <c r="B98" s="66">
        <v>77892</v>
      </c>
      <c r="D98">
        <f t="shared" si="5"/>
        <v>87.638249755285273</v>
      </c>
      <c r="E98">
        <f t="shared" si="6"/>
        <v>87.638249755285273</v>
      </c>
      <c r="G98">
        <f t="shared" ca="1" si="7"/>
        <v>96</v>
      </c>
      <c r="H98">
        <f t="shared" ca="1" si="8"/>
        <v>8413.2719765073853</v>
      </c>
      <c r="I98">
        <f t="shared" ca="1" si="9"/>
        <v>14022.481364297997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88879</v>
      </c>
      <c r="B100" s="66">
        <v>88879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21460.121839959764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81163</v>
      </c>
      <c r="B103" s="66">
        <v>81163</v>
      </c>
      <c r="D103">
        <f t="shared" si="5"/>
        <v>91.318534186928289</v>
      </c>
      <c r="E103">
        <f t="shared" si="6"/>
        <v>91.318534186928289</v>
      </c>
      <c r="G103">
        <f t="shared" ca="1" si="7"/>
        <v>101</v>
      </c>
      <c r="H103">
        <f t="shared" ca="1" si="8"/>
        <v>9223.1719528797566</v>
      </c>
      <c r="I103">
        <f t="shared" ca="1" si="9"/>
        <v>28445.436685024713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79333</v>
      </c>
      <c r="B106" s="66">
        <v>79333</v>
      </c>
      <c r="D106">
        <f t="shared" si="5"/>
        <v>89.259555125507717</v>
      </c>
      <c r="E106">
        <f t="shared" si="6"/>
        <v>89.259555125507717</v>
      </c>
      <c r="G106">
        <f t="shared" ca="1" si="7"/>
        <v>104</v>
      </c>
      <c r="H106">
        <f t="shared" ca="1" si="8"/>
        <v>9282.9937330528028</v>
      </c>
      <c r="I106">
        <f t="shared" ca="1" si="9"/>
        <v>38059.605052519866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74847</v>
      </c>
      <c r="B108" s="66">
        <v>74847</v>
      </c>
      <c r="D108">
        <f t="shared" si="5"/>
        <v>84.212243612101844</v>
      </c>
      <c r="E108">
        <f t="shared" si="6"/>
        <v>84.212243612101844</v>
      </c>
      <c r="G108">
        <f t="shared" ca="1" si="7"/>
        <v>106</v>
      </c>
      <c r="H108">
        <f t="shared" ca="1" si="8"/>
        <v>8926.4978228827949</v>
      </c>
      <c r="I108">
        <f t="shared" ca="1" si="9"/>
        <v>43200.004892805067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60158</v>
      </c>
      <c r="B111" s="66">
        <v>60158</v>
      </c>
      <c r="D111">
        <f t="shared" si="5"/>
        <v>67.685279987398602</v>
      </c>
      <c r="E111">
        <f t="shared" si="6"/>
        <v>67.685279987398602</v>
      </c>
      <c r="G111">
        <f t="shared" ca="1" si="7"/>
        <v>109</v>
      </c>
      <c r="H111">
        <f t="shared" ca="1" si="8"/>
        <v>7377.6955186264477</v>
      </c>
      <c r="I111">
        <f t="shared" ca="1" si="9"/>
        <v>44529.146577249332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60850</v>
      </c>
      <c r="B113" s="66">
        <v>60850</v>
      </c>
      <c r="D113">
        <f t="shared" si="5"/>
        <v>68.463866605159822</v>
      </c>
      <c r="E113">
        <f t="shared" si="6"/>
        <v>68.463866605159822</v>
      </c>
      <c r="G113">
        <f t="shared" ca="1" si="7"/>
        <v>111</v>
      </c>
      <c r="H113">
        <f t="shared" ca="1" si="8"/>
        <v>7599.4891931727407</v>
      </c>
      <c r="I113">
        <f t="shared" ca="1" si="9"/>
        <v>52339.416484590605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55729</v>
      </c>
      <c r="B116" s="66">
        <v>55729</v>
      </c>
      <c r="D116">
        <f t="shared" si="5"/>
        <v>62.702100608692717</v>
      </c>
      <c r="E116">
        <f t="shared" si="6"/>
        <v>62.702100608692717</v>
      </c>
      <c r="G116">
        <f t="shared" ca="1" si="7"/>
        <v>114</v>
      </c>
      <c r="H116">
        <f t="shared" ca="1" si="8"/>
        <v>7148.0394693909693</v>
      </c>
      <c r="I116">
        <f t="shared" ca="1" si="9"/>
        <v>58900.972305556839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51894</v>
      </c>
      <c r="B118" s="66">
        <v>51894</v>
      </c>
      <c r="D118">
        <f t="shared" si="5"/>
        <v>58.387245581070893</v>
      </c>
      <c r="E118">
        <f t="shared" si="6"/>
        <v>58.387245581070893</v>
      </c>
      <c r="G118">
        <f t="shared" ca="1" si="7"/>
        <v>116</v>
      </c>
      <c r="H118">
        <f t="shared" ca="1" si="8"/>
        <v>6772.9204874042234</v>
      </c>
      <c r="I118">
        <f t="shared" ca="1" si="9"/>
        <v>62239.348178452063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51906</v>
      </c>
      <c r="B121" s="66">
        <v>51906</v>
      </c>
      <c r="D121">
        <f t="shared" si="5"/>
        <v>58.400747083112996</v>
      </c>
      <c r="E121">
        <f t="shared" si="6"/>
        <v>58.400747083112996</v>
      </c>
      <c r="G121">
        <f t="shared" ca="1" si="7"/>
        <v>119</v>
      </c>
      <c r="H121">
        <f t="shared" ca="1" si="8"/>
        <v>6949.688902890447</v>
      </c>
      <c r="I121">
        <f t="shared" ca="1" si="9"/>
        <v>74219.799003193679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45859</v>
      </c>
      <c r="B124" s="66">
        <v>45859</v>
      </c>
      <c r="D124">
        <f t="shared" si="5"/>
        <v>51.597115179063671</v>
      </c>
      <c r="E124">
        <f t="shared" si="6"/>
        <v>51.597115179063671</v>
      </c>
      <c r="G124">
        <f t="shared" ca="1" si="7"/>
        <v>122</v>
      </c>
      <c r="H124">
        <f t="shared" ca="1" si="8"/>
        <v>6294.8480518457682</v>
      </c>
      <c r="I124">
        <f t="shared" ca="1" si="9"/>
        <v>77074.034591118689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45845</v>
      </c>
      <c r="B126" s="66">
        <v>45845</v>
      </c>
      <c r="D126">
        <f t="shared" si="5"/>
        <v>51.581363426681222</v>
      </c>
      <c r="E126">
        <f t="shared" si="6"/>
        <v>51.581363426681222</v>
      </c>
      <c r="G126">
        <f t="shared" ca="1" si="7"/>
        <v>124</v>
      </c>
      <c r="H126">
        <f t="shared" ca="1" si="8"/>
        <v>6396.0890649084713</v>
      </c>
      <c r="I126">
        <f t="shared" ca="1" si="9"/>
        <v>85231.159527865791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42606</v>
      </c>
      <c r="B129" s="66">
        <v>42606</v>
      </c>
      <c r="D129">
        <f t="shared" si="5"/>
        <v>47.937083000483803</v>
      </c>
      <c r="E129">
        <f t="shared" si="6"/>
        <v>47.937083000483803</v>
      </c>
      <c r="G129">
        <f t="shared" ca="1" si="7"/>
        <v>127</v>
      </c>
      <c r="H129">
        <f t="shared" ca="1" si="8"/>
        <v>6088.0095410614431</v>
      </c>
      <c r="I129">
        <f t="shared" ca="1" si="9"/>
        <v>91332.563132604424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35248</v>
      </c>
      <c r="B131" s="66">
        <v>35248</v>
      </c>
      <c r="D131">
        <f t="shared" ref="D131:D194" si="10">IFERROR( 100*A131/MAX(A$2:A$257), 0 )</f>
        <v>39.658411998334813</v>
      </c>
      <c r="E131">
        <f t="shared" ref="E131:E194" si="11">IFERROR( 100*B131/MAX(B$2:B$257), 0 )</f>
        <v>39.658411998334813</v>
      </c>
      <c r="G131">
        <f t="shared" ref="G131:G194" ca="1" si="12">CELL("row",D131)-2</f>
        <v>129</v>
      </c>
      <c r="H131">
        <f t="shared" ref="H131:H194" ca="1" si="13">D131*G131</f>
        <v>5115.9351477851906</v>
      </c>
      <c r="I131">
        <f t="shared" ref="I131:I194" ca="1" si="14">D131*((G131-$L$1)^2)</f>
        <v>82642.427111969475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33528</v>
      </c>
      <c r="B134" s="66">
        <v>33528</v>
      </c>
      <c r="D134">
        <f t="shared" si="10"/>
        <v>37.723196705633505</v>
      </c>
      <c r="E134">
        <f t="shared" si="11"/>
        <v>37.723196705633505</v>
      </c>
      <c r="G134">
        <f t="shared" ca="1" si="12"/>
        <v>132</v>
      </c>
      <c r="H134">
        <f t="shared" ca="1" si="13"/>
        <v>4979.4619651436224</v>
      </c>
      <c r="I134">
        <f t="shared" ca="1" si="14"/>
        <v>89281.444701843808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28003</v>
      </c>
      <c r="B136" s="66">
        <v>28003</v>
      </c>
      <c r="D136">
        <f t="shared" si="10"/>
        <v>31.506880140415621</v>
      </c>
      <c r="E136">
        <f t="shared" si="11"/>
        <v>31.506880140415621</v>
      </c>
      <c r="G136">
        <f t="shared" ca="1" si="12"/>
        <v>134</v>
      </c>
      <c r="H136">
        <f t="shared" ca="1" si="13"/>
        <v>4221.9219388156935</v>
      </c>
      <c r="I136">
        <f t="shared" ca="1" si="14"/>
        <v>80826.140972929104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25022</v>
      </c>
      <c r="B139" s="66">
        <v>25022</v>
      </c>
      <c r="D139">
        <f t="shared" si="10"/>
        <v>28.152882008123402</v>
      </c>
      <c r="E139">
        <f t="shared" si="11"/>
        <v>28.152882008123402</v>
      </c>
      <c r="G139">
        <f t="shared" ca="1" si="12"/>
        <v>137</v>
      </c>
      <c r="H139">
        <f t="shared" ca="1" si="13"/>
        <v>3856.9448351129063</v>
      </c>
      <c r="I139">
        <f t="shared" ca="1" si="14"/>
        <v>81030.879569995319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20729</v>
      </c>
      <c r="B142" s="66">
        <v>20729</v>
      </c>
      <c r="D142">
        <f t="shared" si="10"/>
        <v>23.322719652561346</v>
      </c>
      <c r="E142">
        <f t="shared" si="11"/>
        <v>23.322719652561346</v>
      </c>
      <c r="G142">
        <f t="shared" ca="1" si="12"/>
        <v>140</v>
      </c>
      <c r="H142">
        <f t="shared" ca="1" si="13"/>
        <v>3265.1807513585886</v>
      </c>
      <c r="I142">
        <f t="shared" ca="1" si="14"/>
        <v>74845.877322088461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17483</v>
      </c>
      <c r="B144" s="66">
        <v>17483</v>
      </c>
      <c r="D144">
        <f t="shared" si="10"/>
        <v>19.670563350172706</v>
      </c>
      <c r="E144">
        <f t="shared" si="11"/>
        <v>19.670563350172706</v>
      </c>
      <c r="G144">
        <f t="shared" ca="1" si="12"/>
        <v>142</v>
      </c>
      <c r="H144">
        <f t="shared" ca="1" si="13"/>
        <v>2793.2199957245243</v>
      </c>
      <c r="I144">
        <f t="shared" ca="1" si="14"/>
        <v>67661.57045541369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15310</v>
      </c>
      <c r="B147" s="66">
        <v>15310</v>
      </c>
      <c r="D147">
        <f t="shared" si="10"/>
        <v>17.225666355382035</v>
      </c>
      <c r="E147">
        <f t="shared" si="11"/>
        <v>17.225666355382035</v>
      </c>
      <c r="G147">
        <f t="shared" ca="1" si="12"/>
        <v>145</v>
      </c>
      <c r="H147">
        <f t="shared" ca="1" si="13"/>
        <v>2497.7216215303952</v>
      </c>
      <c r="I147">
        <f t="shared" ca="1" si="14"/>
        <v>65468.434985512598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13707</v>
      </c>
      <c r="B149" s="66">
        <v>13707</v>
      </c>
      <c r="D149">
        <f t="shared" si="10"/>
        <v>15.42209070759122</v>
      </c>
      <c r="E149">
        <f t="shared" si="11"/>
        <v>15.42209070759122</v>
      </c>
      <c r="G149">
        <f t="shared" ca="1" si="12"/>
        <v>147</v>
      </c>
      <c r="H149">
        <f t="shared" ca="1" si="13"/>
        <v>2267.0473340159092</v>
      </c>
      <c r="I149">
        <f t="shared" ca="1" si="14"/>
        <v>62478.437090281033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7887</v>
      </c>
      <c r="B152" s="66">
        <v>7887</v>
      </c>
      <c r="D152">
        <f t="shared" si="10"/>
        <v>8.873862217171661</v>
      </c>
      <c r="E152">
        <f t="shared" si="11"/>
        <v>8.873862217171661</v>
      </c>
      <c r="G152">
        <f t="shared" ca="1" si="12"/>
        <v>150</v>
      </c>
      <c r="H152">
        <f t="shared" ca="1" si="13"/>
        <v>1331.079332575749</v>
      </c>
      <c r="I152">
        <f t="shared" ca="1" si="14"/>
        <v>39418.811215629656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5574</v>
      </c>
      <c r="B154" s="66">
        <v>5574</v>
      </c>
      <c r="D154">
        <f t="shared" si="10"/>
        <v>6.2714476985564644</v>
      </c>
      <c r="E154">
        <f t="shared" si="11"/>
        <v>6.2714476985564644</v>
      </c>
      <c r="G154">
        <f t="shared" ca="1" si="12"/>
        <v>152</v>
      </c>
      <c r="H154">
        <f t="shared" ca="1" si="13"/>
        <v>953.26005018058254</v>
      </c>
      <c r="I154">
        <f t="shared" ca="1" si="14"/>
        <v>29555.594384467098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3824</v>
      </c>
      <c r="B157" s="66">
        <v>3824</v>
      </c>
      <c r="D157">
        <f t="shared" si="10"/>
        <v>4.3024786507498956</v>
      </c>
      <c r="E157">
        <f t="shared" si="11"/>
        <v>4.3024786507498956</v>
      </c>
      <c r="G157">
        <f t="shared" ca="1" si="12"/>
        <v>155</v>
      </c>
      <c r="H157">
        <f t="shared" ca="1" si="13"/>
        <v>666.88419086623378</v>
      </c>
      <c r="I157">
        <f t="shared" ca="1" si="14"/>
        <v>22087.283628259189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2366</v>
      </c>
      <c r="B160" s="66">
        <v>2366</v>
      </c>
      <c r="D160">
        <f t="shared" si="10"/>
        <v>2.6620461526344807</v>
      </c>
      <c r="E160">
        <f t="shared" si="11"/>
        <v>2.6620461526344807</v>
      </c>
      <c r="G160">
        <f t="shared" ca="1" si="12"/>
        <v>158</v>
      </c>
      <c r="H160">
        <f t="shared" ca="1" si="13"/>
        <v>420.60329211624799</v>
      </c>
      <c r="I160">
        <f t="shared" ca="1" si="14"/>
        <v>14834.28960354433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1151</v>
      </c>
      <c r="B162" s="66">
        <v>1151</v>
      </c>
      <c r="D162">
        <f t="shared" si="10"/>
        <v>1.2950190708716345</v>
      </c>
      <c r="E162">
        <f t="shared" si="11"/>
        <v>1.2950190708716345</v>
      </c>
      <c r="G162">
        <f t="shared" ca="1" si="12"/>
        <v>160</v>
      </c>
      <c r="H162">
        <f t="shared" ca="1" si="13"/>
        <v>207.20305133946152</v>
      </c>
      <c r="I162">
        <f t="shared" ca="1" si="14"/>
        <v>7608.3809836350447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478</v>
      </c>
      <c r="B165" s="66">
        <v>478</v>
      </c>
      <c r="D165">
        <f t="shared" si="10"/>
        <v>0.53780983134373694</v>
      </c>
      <c r="E165">
        <f t="shared" si="11"/>
        <v>0.53780983134373694</v>
      </c>
      <c r="G165">
        <f t="shared" ca="1" si="12"/>
        <v>163</v>
      </c>
      <c r="H165">
        <f t="shared" ca="1" si="13"/>
        <v>87.663002509029127</v>
      </c>
      <c r="I165">
        <f t="shared" ca="1" si="14"/>
        <v>3411.8692231586861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280</v>
      </c>
      <c r="B167" s="66">
        <v>280</v>
      </c>
      <c r="D167">
        <f t="shared" si="10"/>
        <v>0.31503504764905094</v>
      </c>
      <c r="E167">
        <f t="shared" si="11"/>
        <v>0.31503504764905094</v>
      </c>
      <c r="G167">
        <f t="shared" ca="1" si="12"/>
        <v>165</v>
      </c>
      <c r="H167">
        <f t="shared" ca="1" si="13"/>
        <v>51.980782862093406</v>
      </c>
      <c r="I167">
        <f t="shared" ca="1" si="14"/>
        <v>2100.2138732506214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87.296854913897448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1.6854831703985562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0.62391108571826304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1784</v>
      </c>
      <c r="B8" s="66">
        <v>1784</v>
      </c>
      <c r="D8">
        <f t="shared" si="0"/>
        <v>1.9935188289194323</v>
      </c>
      <c r="E8">
        <f t="shared" si="1"/>
        <v>1.9935188289194323</v>
      </c>
      <c r="G8">
        <f t="shared" ca="1" si="2"/>
        <v>6</v>
      </c>
      <c r="H8">
        <f t="shared" ca="1" si="3"/>
        <v>11.961112973516594</v>
      </c>
      <c r="I8">
        <f t="shared" ca="1" si="4"/>
        <v>13175.522020451519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3892</v>
      </c>
      <c r="B10" s="66">
        <v>3892</v>
      </c>
      <c r="D10">
        <f t="shared" si="0"/>
        <v>4.3490892837188513</v>
      </c>
      <c r="E10">
        <f t="shared" si="1"/>
        <v>4.3490892837188513</v>
      </c>
      <c r="G10">
        <f t="shared" ca="1" si="2"/>
        <v>8</v>
      </c>
      <c r="H10">
        <f t="shared" ca="1" si="3"/>
        <v>34.79271426975081</v>
      </c>
      <c r="I10">
        <f t="shared" ca="1" si="4"/>
        <v>27347.035140714441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7355</v>
      </c>
      <c r="B13" s="66">
        <v>7355</v>
      </c>
      <c r="D13">
        <f t="shared" si="0"/>
        <v>8.2187953961336468</v>
      </c>
      <c r="E13">
        <f t="shared" si="1"/>
        <v>8.2187953961336468</v>
      </c>
      <c r="G13">
        <f t="shared" ca="1" si="2"/>
        <v>11</v>
      </c>
      <c r="H13">
        <f t="shared" ca="1" si="3"/>
        <v>90.406749357470119</v>
      </c>
      <c r="I13">
        <f t="shared" ca="1" si="4"/>
        <v>47843.334521207173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11770</v>
      </c>
      <c r="B15" s="66">
        <v>11770</v>
      </c>
      <c r="D15">
        <f t="shared" si="0"/>
        <v>13.15230752039334</v>
      </c>
      <c r="E15">
        <f t="shared" si="1"/>
        <v>13.15230752039334</v>
      </c>
      <c r="G15">
        <f t="shared" ca="1" si="2"/>
        <v>13</v>
      </c>
      <c r="H15">
        <f t="shared" ca="1" si="3"/>
        <v>170.97999776511341</v>
      </c>
      <c r="I15">
        <f t="shared" ca="1" si="4"/>
        <v>72601.035413608755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12400</v>
      </c>
      <c r="B18" s="66">
        <v>12400</v>
      </c>
      <c r="D18">
        <f t="shared" si="0"/>
        <v>13.856296792937759</v>
      </c>
      <c r="E18">
        <f t="shared" si="1"/>
        <v>13.856296792937759</v>
      </c>
      <c r="G18">
        <f t="shared" ca="1" si="2"/>
        <v>16</v>
      </c>
      <c r="H18">
        <f t="shared" ca="1" si="3"/>
        <v>221.70074868700414</v>
      </c>
      <c r="I18">
        <f t="shared" ca="1" si="4"/>
        <v>70434.903179802714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17119</v>
      </c>
      <c r="B21" s="66">
        <v>17119</v>
      </c>
      <c r="D21">
        <f t="shared" si="0"/>
        <v>19.129511677282377</v>
      </c>
      <c r="E21">
        <f t="shared" si="1"/>
        <v>19.129511677282377</v>
      </c>
      <c r="G21">
        <f t="shared" ca="1" si="2"/>
        <v>19</v>
      </c>
      <c r="H21">
        <f t="shared" ca="1" si="3"/>
        <v>363.46072186836517</v>
      </c>
      <c r="I21">
        <f t="shared" ca="1" si="4"/>
        <v>89228.849520341653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19235</v>
      </c>
      <c r="B23" s="66">
        <v>19235</v>
      </c>
      <c r="D23">
        <f t="shared" si="0"/>
        <v>21.494021678399822</v>
      </c>
      <c r="E23">
        <f t="shared" si="1"/>
        <v>21.494021678399822</v>
      </c>
      <c r="G23">
        <f t="shared" ca="1" si="2"/>
        <v>21</v>
      </c>
      <c r="H23">
        <f t="shared" ca="1" si="3"/>
        <v>451.37445524639628</v>
      </c>
      <c r="I23">
        <f t="shared" ca="1" si="4"/>
        <v>94472.092531354865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19414</v>
      </c>
      <c r="B26" s="66">
        <v>19414</v>
      </c>
      <c r="D26">
        <f t="shared" si="0"/>
        <v>21.694044027265615</v>
      </c>
      <c r="E26">
        <f t="shared" si="1"/>
        <v>21.694044027265615</v>
      </c>
      <c r="G26">
        <f t="shared" ca="1" si="2"/>
        <v>24</v>
      </c>
      <c r="H26">
        <f t="shared" ca="1" si="3"/>
        <v>520.65705665437474</v>
      </c>
      <c r="I26">
        <f t="shared" ca="1" si="4"/>
        <v>86917.010415032913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22221</v>
      </c>
      <c r="B28" s="66">
        <v>22221</v>
      </c>
      <c r="D28">
        <f t="shared" si="0"/>
        <v>24.830707341602412</v>
      </c>
      <c r="E28">
        <f t="shared" si="1"/>
        <v>24.830707341602412</v>
      </c>
      <c r="G28">
        <f t="shared" ca="1" si="2"/>
        <v>26</v>
      </c>
      <c r="H28">
        <f t="shared" ca="1" si="3"/>
        <v>645.59839088166268</v>
      </c>
      <c r="I28">
        <f t="shared" ca="1" si="4"/>
        <v>93296.526504318666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25580</v>
      </c>
      <c r="B31" s="66">
        <v>25580</v>
      </c>
      <c r="D31">
        <f t="shared" si="0"/>
        <v>28.584199351882891</v>
      </c>
      <c r="E31">
        <f t="shared" si="1"/>
        <v>28.584199351882891</v>
      </c>
      <c r="G31">
        <f t="shared" ca="1" si="2"/>
        <v>29</v>
      </c>
      <c r="H31">
        <f t="shared" ca="1" si="3"/>
        <v>828.94178120460379</v>
      </c>
      <c r="I31">
        <f t="shared" ca="1" si="4"/>
        <v>97144.067304899305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23780</v>
      </c>
      <c r="B33" s="66">
        <v>23780</v>
      </c>
      <c r="D33">
        <f t="shared" si="0"/>
        <v>26.572801430327409</v>
      </c>
      <c r="E33">
        <f t="shared" si="1"/>
        <v>26.572801430327409</v>
      </c>
      <c r="G33">
        <f t="shared" ca="1" si="2"/>
        <v>31</v>
      </c>
      <c r="H33">
        <f t="shared" ca="1" si="3"/>
        <v>823.75684434014966</v>
      </c>
      <c r="I33">
        <f t="shared" ca="1" si="4"/>
        <v>84218.132824461791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27151</v>
      </c>
      <c r="B36" s="66">
        <v>27151</v>
      </c>
      <c r="D36">
        <f t="shared" si="0"/>
        <v>30.339702760084926</v>
      </c>
      <c r="E36">
        <f t="shared" si="1"/>
        <v>30.339702760084926</v>
      </c>
      <c r="G36">
        <f t="shared" ca="1" si="2"/>
        <v>34</v>
      </c>
      <c r="H36">
        <f t="shared" ca="1" si="3"/>
        <v>1031.5498938428875</v>
      </c>
      <c r="I36">
        <f t="shared" ca="1" si="4"/>
        <v>86181.586598002687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31019</v>
      </c>
      <c r="B39" s="66">
        <v>31019</v>
      </c>
      <c r="D39">
        <f t="shared" si="0"/>
        <v>34.661973404849704</v>
      </c>
      <c r="E39">
        <f t="shared" si="1"/>
        <v>34.661973404849704</v>
      </c>
      <c r="G39">
        <f t="shared" ca="1" si="2"/>
        <v>37</v>
      </c>
      <c r="H39">
        <f t="shared" ca="1" si="3"/>
        <v>1282.493015979439</v>
      </c>
      <c r="I39">
        <f t="shared" ca="1" si="4"/>
        <v>87686.945736718641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31385</v>
      </c>
      <c r="B41" s="66">
        <v>31385</v>
      </c>
      <c r="D41">
        <f t="shared" si="0"/>
        <v>35.070957648899316</v>
      </c>
      <c r="E41">
        <f t="shared" si="1"/>
        <v>35.070957648899316</v>
      </c>
      <c r="G41">
        <f t="shared" ca="1" si="2"/>
        <v>39</v>
      </c>
      <c r="H41">
        <f t="shared" ca="1" si="3"/>
        <v>1367.7673483070732</v>
      </c>
      <c r="I41">
        <f t="shared" ca="1" si="4"/>
        <v>81806.03164231409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30404</v>
      </c>
      <c r="B44" s="66">
        <v>30404</v>
      </c>
      <c r="D44">
        <f t="shared" si="0"/>
        <v>33.974745781651578</v>
      </c>
      <c r="E44">
        <f t="shared" si="1"/>
        <v>33.974745781651578</v>
      </c>
      <c r="G44">
        <f t="shared" ca="1" si="2"/>
        <v>42</v>
      </c>
      <c r="H44">
        <f t="shared" ca="1" si="3"/>
        <v>1426.9393228293663</v>
      </c>
      <c r="I44">
        <f t="shared" ca="1" si="4"/>
        <v>69709.555479960763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33078</v>
      </c>
      <c r="B46" s="66">
        <v>33078</v>
      </c>
      <c r="D46">
        <f t="shared" si="0"/>
        <v>36.962789138451221</v>
      </c>
      <c r="E46">
        <f t="shared" si="1"/>
        <v>36.962789138451221</v>
      </c>
      <c r="G46">
        <f t="shared" ca="1" si="2"/>
        <v>44</v>
      </c>
      <c r="H46">
        <f t="shared" ca="1" si="3"/>
        <v>1626.3627220918538</v>
      </c>
      <c r="I46">
        <f t="shared" ca="1" si="4"/>
        <v>69291.096743436981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31468</v>
      </c>
      <c r="B49" s="66">
        <v>31468</v>
      </c>
      <c r="D49">
        <f t="shared" si="0"/>
        <v>35.163705441948821</v>
      </c>
      <c r="E49">
        <f t="shared" si="1"/>
        <v>35.163705441948821</v>
      </c>
      <c r="G49">
        <f t="shared" ca="1" si="2"/>
        <v>47</v>
      </c>
      <c r="H49">
        <f t="shared" ca="1" si="3"/>
        <v>1652.6941557715945</v>
      </c>
      <c r="I49">
        <f t="shared" ca="1" si="4"/>
        <v>57100.108932806041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37263</v>
      </c>
      <c r="B51" s="66">
        <v>37263</v>
      </c>
      <c r="D51">
        <f t="shared" si="0"/>
        <v>41.639289306067717</v>
      </c>
      <c r="E51">
        <f t="shared" si="1"/>
        <v>41.639289306067717</v>
      </c>
      <c r="G51">
        <f t="shared" ca="1" si="2"/>
        <v>49</v>
      </c>
      <c r="H51">
        <f t="shared" ca="1" si="3"/>
        <v>2040.3251759973182</v>
      </c>
      <c r="I51">
        <f t="shared" ca="1" si="4"/>
        <v>61070.226031156541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43571</v>
      </c>
      <c r="B54" s="66">
        <v>43571</v>
      </c>
      <c r="D54">
        <f t="shared" si="0"/>
        <v>48.688121577829925</v>
      </c>
      <c r="E54">
        <f t="shared" si="1"/>
        <v>48.688121577829925</v>
      </c>
      <c r="G54">
        <f t="shared" ca="1" si="2"/>
        <v>52</v>
      </c>
      <c r="H54">
        <f t="shared" ca="1" si="3"/>
        <v>2531.782322047156</v>
      </c>
      <c r="I54">
        <f t="shared" ca="1" si="4"/>
        <v>60658.971038101809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42030</v>
      </c>
      <c r="B57" s="66">
        <v>42030</v>
      </c>
      <c r="D57">
        <f t="shared" si="0"/>
        <v>46.96614146832048</v>
      </c>
      <c r="E57">
        <f t="shared" si="1"/>
        <v>46.96614146832048</v>
      </c>
      <c r="G57">
        <f t="shared" ca="1" si="2"/>
        <v>55</v>
      </c>
      <c r="H57">
        <f t="shared" ca="1" si="3"/>
        <v>2583.1377807576264</v>
      </c>
      <c r="I57">
        <f t="shared" ca="1" si="4"/>
        <v>48989.763965752856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52295</v>
      </c>
      <c r="B59" s="66">
        <v>52295</v>
      </c>
      <c r="D59">
        <f t="shared" si="0"/>
        <v>58.436696837635488</v>
      </c>
      <c r="E59">
        <f t="shared" si="1"/>
        <v>58.436696837635488</v>
      </c>
      <c r="G59">
        <f t="shared" ca="1" si="2"/>
        <v>57</v>
      </c>
      <c r="H59">
        <f t="shared" ca="1" si="3"/>
        <v>3330.8917197452229</v>
      </c>
      <c r="I59">
        <f t="shared" ca="1" si="4"/>
        <v>53639.009998043199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57307</v>
      </c>
      <c r="B62" s="66">
        <v>57307</v>
      </c>
      <c r="D62">
        <f t="shared" si="0"/>
        <v>64.037322605877748</v>
      </c>
      <c r="E62">
        <f t="shared" si="1"/>
        <v>64.037322605877748</v>
      </c>
      <c r="G62">
        <f t="shared" ca="1" si="2"/>
        <v>60</v>
      </c>
      <c r="H62">
        <f t="shared" ca="1" si="3"/>
        <v>3842.2393563526648</v>
      </c>
      <c r="I62">
        <f t="shared" ca="1" si="4"/>
        <v>47715.380200385938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63482</v>
      </c>
      <c r="B64" s="66">
        <v>63482</v>
      </c>
      <c r="D64">
        <f t="shared" si="0"/>
        <v>70.937534920102806</v>
      </c>
      <c r="E64">
        <f t="shared" si="1"/>
        <v>70.937534920102806</v>
      </c>
      <c r="G64">
        <f t="shared" ca="1" si="2"/>
        <v>62</v>
      </c>
      <c r="H64">
        <f t="shared" ca="1" si="3"/>
        <v>4398.1271650463741</v>
      </c>
      <c r="I64">
        <f t="shared" ca="1" si="4"/>
        <v>45395.118333137492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70796</v>
      </c>
      <c r="B67" s="66">
        <v>70796</v>
      </c>
      <c r="D67">
        <f t="shared" ref="D67:D130" si="5">IFERROR(100*A67/MAX(A$2:A$257), 0 )</f>
        <v>79.110515141356572</v>
      </c>
      <c r="E67">
        <f t="shared" ref="E67:E130" si="6">IFERROR(100*B67/MAX(B$2:B$257), 0 )</f>
        <v>79.110515141356572</v>
      </c>
      <c r="G67">
        <f t="shared" ref="G67:G130" ca="1" si="7">CELL("row",D67)-2</f>
        <v>65</v>
      </c>
      <c r="H67">
        <f t="shared" ref="H67:H130" ca="1" si="8">D67*G67</f>
        <v>5142.1834841881773</v>
      </c>
      <c r="I67">
        <f t="shared" ref="I67:I130" ca="1" si="9">D67*((G67-$L$1)^2)</f>
        <v>39329.771958746678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71923</v>
      </c>
      <c r="B69" s="66">
        <v>71923</v>
      </c>
      <c r="D69">
        <f t="shared" si="5"/>
        <v>80.36987372890826</v>
      </c>
      <c r="E69">
        <f t="shared" si="6"/>
        <v>80.36987372890826</v>
      </c>
      <c r="G69">
        <f t="shared" ca="1" si="7"/>
        <v>67</v>
      </c>
      <c r="H69">
        <f t="shared" ca="1" si="8"/>
        <v>5384.781539836853</v>
      </c>
      <c r="I69">
        <f t="shared" ca="1" si="9"/>
        <v>33109.359590908862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77330</v>
      </c>
      <c r="B72" s="66">
        <v>77330</v>
      </c>
      <c r="D72">
        <f t="shared" si="5"/>
        <v>86.411889596602975</v>
      </c>
      <c r="E72">
        <f t="shared" si="6"/>
        <v>86.411889596602975</v>
      </c>
      <c r="G72">
        <f t="shared" ca="1" si="7"/>
        <v>70</v>
      </c>
      <c r="H72">
        <f t="shared" ca="1" si="8"/>
        <v>6048.8322717622086</v>
      </c>
      <c r="I72">
        <f t="shared" ca="1" si="9"/>
        <v>25852.811952092197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78118</v>
      </c>
      <c r="B75" s="66">
        <v>78118</v>
      </c>
      <c r="D75">
        <f t="shared" si="5"/>
        <v>87.292434908928371</v>
      </c>
      <c r="E75">
        <f t="shared" si="6"/>
        <v>87.292434908928371</v>
      </c>
      <c r="G75">
        <f t="shared" ca="1" si="7"/>
        <v>73</v>
      </c>
      <c r="H75">
        <f t="shared" ca="1" si="8"/>
        <v>6372.3477483517709</v>
      </c>
      <c r="I75">
        <f t="shared" ca="1" si="9"/>
        <v>17842.578970382441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78346</v>
      </c>
      <c r="B77" s="66">
        <v>78346</v>
      </c>
      <c r="D77">
        <f t="shared" si="5"/>
        <v>87.547211978992067</v>
      </c>
      <c r="E77">
        <f t="shared" si="6"/>
        <v>87.547211978992067</v>
      </c>
      <c r="G77">
        <f t="shared" ca="1" si="7"/>
        <v>75</v>
      </c>
      <c r="H77">
        <f t="shared" ca="1" si="8"/>
        <v>6566.040898424405</v>
      </c>
      <c r="I77">
        <f t="shared" ca="1" si="9"/>
        <v>13238.245115695863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79346</v>
      </c>
      <c r="B80" s="66">
        <v>79346</v>
      </c>
      <c r="D80">
        <f t="shared" si="5"/>
        <v>88.664655268745108</v>
      </c>
      <c r="E80">
        <f t="shared" si="6"/>
        <v>88.664655268745108</v>
      </c>
      <c r="G80">
        <f t="shared" ca="1" si="7"/>
        <v>78</v>
      </c>
      <c r="H80">
        <f t="shared" ca="1" si="8"/>
        <v>6915.8431109621188</v>
      </c>
      <c r="I80">
        <f t="shared" ca="1" si="9"/>
        <v>7663.4201528897438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77536</v>
      </c>
      <c r="B82" s="66">
        <v>77536</v>
      </c>
      <c r="D82">
        <f t="shared" si="5"/>
        <v>86.642082914292104</v>
      </c>
      <c r="E82">
        <f t="shared" si="6"/>
        <v>86.642082914292104</v>
      </c>
      <c r="G82">
        <f t="shared" ca="1" si="7"/>
        <v>80</v>
      </c>
      <c r="H82">
        <f t="shared" ca="1" si="8"/>
        <v>6931.3666331433687</v>
      </c>
      <c r="I82">
        <f t="shared" ca="1" si="9"/>
        <v>4613.1790020898588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82873</v>
      </c>
      <c r="B85" s="66">
        <v>82873</v>
      </c>
      <c r="D85">
        <f t="shared" si="5"/>
        <v>92.605877751704099</v>
      </c>
      <c r="E85">
        <f t="shared" si="6"/>
        <v>92.605877751704099</v>
      </c>
      <c r="G85">
        <f t="shared" ca="1" si="7"/>
        <v>83</v>
      </c>
      <c r="H85">
        <f t="shared" ca="1" si="8"/>
        <v>7686.28785339144</v>
      </c>
      <c r="I85">
        <f t="shared" ca="1" si="9"/>
        <v>1709.7788158976846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81294</v>
      </c>
      <c r="B88" s="66">
        <v>81294</v>
      </c>
      <c r="D88">
        <f t="shared" si="5"/>
        <v>90.84143479718405</v>
      </c>
      <c r="E88">
        <f t="shared" si="6"/>
        <v>90.84143479718405</v>
      </c>
      <c r="G88">
        <f t="shared" ca="1" si="7"/>
        <v>86</v>
      </c>
      <c r="H88">
        <f t="shared" ca="1" si="8"/>
        <v>7812.3633925578279</v>
      </c>
      <c r="I88">
        <f t="shared" ca="1" si="9"/>
        <v>152.78009262263981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89490</v>
      </c>
      <c r="B90" s="66">
        <v>89490</v>
      </c>
      <c r="D90">
        <f t="shared" si="5"/>
        <v>100</v>
      </c>
      <c r="E90">
        <f t="shared" si="6"/>
        <v>100</v>
      </c>
      <c r="G90">
        <f t="shared" ca="1" si="7"/>
        <v>88</v>
      </c>
      <c r="H90">
        <f t="shared" ca="1" si="8"/>
        <v>8800</v>
      </c>
      <c r="I90">
        <f t="shared" ca="1" si="9"/>
        <v>49.441301211016508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87036</v>
      </c>
      <c r="B93" s="66">
        <v>87036</v>
      </c>
      <c r="D93">
        <f t="shared" si="5"/>
        <v>97.257794166946027</v>
      </c>
      <c r="E93">
        <f t="shared" si="6"/>
        <v>97.257794166946027</v>
      </c>
      <c r="G93">
        <f t="shared" ca="1" si="7"/>
        <v>91</v>
      </c>
      <c r="H93">
        <f t="shared" ca="1" si="8"/>
        <v>8850.459269192088</v>
      </c>
      <c r="I93">
        <f t="shared" ca="1" si="9"/>
        <v>1333.7237067897536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84485</v>
      </c>
      <c r="B95" s="66">
        <v>84485</v>
      </c>
      <c r="D95">
        <f t="shared" si="5"/>
        <v>94.407196334786008</v>
      </c>
      <c r="E95">
        <f t="shared" si="6"/>
        <v>94.407196334786008</v>
      </c>
      <c r="G95">
        <f t="shared" ca="1" si="7"/>
        <v>93</v>
      </c>
      <c r="H95">
        <f t="shared" ca="1" si="8"/>
        <v>8779.8692591350991</v>
      </c>
      <c r="I95">
        <f t="shared" ca="1" si="9"/>
        <v>3070.6756166296436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78972</v>
      </c>
      <c r="B98" s="66">
        <v>78972</v>
      </c>
      <c r="D98">
        <f t="shared" si="5"/>
        <v>88.24673147837747</v>
      </c>
      <c r="E98">
        <f t="shared" si="6"/>
        <v>88.24673147837747</v>
      </c>
      <c r="G98">
        <f t="shared" ca="1" si="7"/>
        <v>96</v>
      </c>
      <c r="H98">
        <f t="shared" ca="1" si="8"/>
        <v>8471.6862219242375</v>
      </c>
      <c r="I98">
        <f t="shared" ca="1" si="9"/>
        <v>6684.22523659338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81145</v>
      </c>
      <c r="B100" s="66">
        <v>81145</v>
      </c>
      <c r="D100">
        <f t="shared" si="5"/>
        <v>90.674935747010835</v>
      </c>
      <c r="E100">
        <f t="shared" si="6"/>
        <v>90.674935747010835</v>
      </c>
      <c r="G100">
        <f t="shared" ca="1" si="7"/>
        <v>98</v>
      </c>
      <c r="H100">
        <f t="shared" ca="1" si="8"/>
        <v>8886.1437032070626</v>
      </c>
      <c r="I100">
        <f t="shared" ca="1" si="9"/>
        <v>10387.477152870166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78778</v>
      </c>
      <c r="B103" s="66">
        <v>78778</v>
      </c>
      <c r="D103">
        <f t="shared" si="5"/>
        <v>88.029947480165376</v>
      </c>
      <c r="E103">
        <f t="shared" si="6"/>
        <v>88.029947480165376</v>
      </c>
      <c r="G103">
        <f t="shared" ca="1" si="7"/>
        <v>101</v>
      </c>
      <c r="H103">
        <f t="shared" ca="1" si="8"/>
        <v>8891.0246954967024</v>
      </c>
      <c r="I103">
        <f t="shared" ca="1" si="9"/>
        <v>16529.927725651662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74677</v>
      </c>
      <c r="B106" s="66">
        <v>74677</v>
      </c>
      <c r="D106">
        <f t="shared" si="5"/>
        <v>83.447312548888149</v>
      </c>
      <c r="E106">
        <f t="shared" si="6"/>
        <v>83.447312548888149</v>
      </c>
      <c r="G106">
        <f t="shared" ca="1" si="7"/>
        <v>104</v>
      </c>
      <c r="H106">
        <f t="shared" ca="1" si="8"/>
        <v>8678.520505084367</v>
      </c>
      <c r="I106">
        <f t="shared" ca="1" si="9"/>
        <v>23281.387618216024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71109</v>
      </c>
      <c r="B108" s="66">
        <v>71109</v>
      </c>
      <c r="D108">
        <f t="shared" si="5"/>
        <v>79.460274891049281</v>
      </c>
      <c r="E108">
        <f t="shared" si="6"/>
        <v>79.460274891049281</v>
      </c>
      <c r="G108">
        <f t="shared" ca="1" si="7"/>
        <v>106</v>
      </c>
      <c r="H108">
        <f t="shared" ca="1" si="8"/>
        <v>8422.7891384512241</v>
      </c>
      <c r="I108">
        <f t="shared" ca="1" si="9"/>
        <v>27795.810924431928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66332</v>
      </c>
      <c r="B111" s="66">
        <v>66332</v>
      </c>
      <c r="D111">
        <f t="shared" si="5"/>
        <v>74.122248295898984</v>
      </c>
      <c r="E111">
        <f t="shared" si="6"/>
        <v>74.122248295898984</v>
      </c>
      <c r="G111">
        <f t="shared" ca="1" si="7"/>
        <v>109</v>
      </c>
      <c r="H111">
        <f t="shared" ca="1" si="8"/>
        <v>8079.3250642529893</v>
      </c>
      <c r="I111">
        <f t="shared" ca="1" si="9"/>
        <v>34913.543678261456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62011</v>
      </c>
      <c r="B113" s="66">
        <v>62011</v>
      </c>
      <c r="D113">
        <f t="shared" si="5"/>
        <v>69.29377584087608</v>
      </c>
      <c r="E113">
        <f t="shared" si="6"/>
        <v>69.29377584087608</v>
      </c>
      <c r="G113">
        <f t="shared" ca="1" si="7"/>
        <v>111</v>
      </c>
      <c r="H113">
        <f t="shared" ca="1" si="8"/>
        <v>7691.6091183372446</v>
      </c>
      <c r="I113">
        <f t="shared" ca="1" si="9"/>
        <v>38931.95175133759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65446</v>
      </c>
      <c r="B116" s="66">
        <v>65446</v>
      </c>
      <c r="D116">
        <f t="shared" si="5"/>
        <v>73.132193541177784</v>
      </c>
      <c r="E116">
        <f t="shared" si="6"/>
        <v>73.132193541177784</v>
      </c>
      <c r="G116">
        <f t="shared" ca="1" si="7"/>
        <v>114</v>
      </c>
      <c r="H116">
        <f t="shared" ca="1" si="8"/>
        <v>8337.0700636942674</v>
      </c>
      <c r="I116">
        <f t="shared" ca="1" si="9"/>
        <v>52147.492553194854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56805</v>
      </c>
      <c r="B118" s="66">
        <v>56805</v>
      </c>
      <c r="D118">
        <f t="shared" si="5"/>
        <v>63.476366074421726</v>
      </c>
      <c r="E118">
        <f t="shared" si="6"/>
        <v>63.476366074421726</v>
      </c>
      <c r="G118">
        <f t="shared" ca="1" si="7"/>
        <v>116</v>
      </c>
      <c r="H118">
        <f t="shared" ca="1" si="8"/>
        <v>7363.2584646329205</v>
      </c>
      <c r="I118">
        <f t="shared" ca="1" si="9"/>
        <v>52296.30785747237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60977</v>
      </c>
      <c r="B121" s="66">
        <v>60977</v>
      </c>
      <c r="D121">
        <f t="shared" si="5"/>
        <v>68.138339479271423</v>
      </c>
      <c r="E121">
        <f t="shared" si="6"/>
        <v>68.138339479271423</v>
      </c>
      <c r="G121">
        <f t="shared" ca="1" si="7"/>
        <v>119</v>
      </c>
      <c r="H121">
        <f t="shared" ca="1" si="8"/>
        <v>8108.462398033299</v>
      </c>
      <c r="I121">
        <f t="shared" ca="1" si="9"/>
        <v>68485.123313204269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53465</v>
      </c>
      <c r="B124" s="66">
        <v>53465</v>
      </c>
      <c r="D124">
        <f t="shared" si="5"/>
        <v>59.744105486646554</v>
      </c>
      <c r="E124">
        <f t="shared" si="6"/>
        <v>59.744105486646554</v>
      </c>
      <c r="G124">
        <f t="shared" ca="1" si="7"/>
        <v>122</v>
      </c>
      <c r="H124">
        <f t="shared" ca="1" si="8"/>
        <v>7288.7808693708794</v>
      </c>
      <c r="I124">
        <f t="shared" ca="1" si="9"/>
        <v>71950.320851076802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52128</v>
      </c>
      <c r="B126" s="66">
        <v>52128</v>
      </c>
      <c r="D126">
        <f t="shared" si="5"/>
        <v>58.250083808246728</v>
      </c>
      <c r="E126">
        <f t="shared" si="6"/>
        <v>58.250083808246728</v>
      </c>
      <c r="G126">
        <f t="shared" ca="1" si="7"/>
        <v>124</v>
      </c>
      <c r="H126">
        <f t="shared" ca="1" si="8"/>
        <v>7223.0103922225944</v>
      </c>
      <c r="I126">
        <f t="shared" ca="1" si="9"/>
        <v>78469.902948906863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53028</v>
      </c>
      <c r="B129" s="66">
        <v>53028</v>
      </c>
      <c r="D129">
        <f t="shared" si="5"/>
        <v>59.255782769024471</v>
      </c>
      <c r="E129">
        <f t="shared" si="6"/>
        <v>59.255782769024471</v>
      </c>
      <c r="G129">
        <f t="shared" ca="1" si="7"/>
        <v>127</v>
      </c>
      <c r="H129">
        <f t="shared" ca="1" si="8"/>
        <v>7525.4844116661079</v>
      </c>
      <c r="I129">
        <f t="shared" ca="1" si="9"/>
        <v>93407.244594951582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46629</v>
      </c>
      <c r="B131" s="66">
        <v>46629</v>
      </c>
      <c r="D131">
        <f t="shared" ref="D131:D194" si="10">IFERROR(100*A131/MAX(A$2:A$257), 0 )</f>
        <v>52.10526315789474</v>
      </c>
      <c r="E131">
        <f t="shared" ref="E131:E194" si="11">IFERROR(100*B131/MAX(B$2:B$257), 0 )</f>
        <v>52.10526315789474</v>
      </c>
      <c r="G131">
        <f t="shared" ref="G131:G194" ca="1" si="12">CELL("row",D131)-2</f>
        <v>129</v>
      </c>
      <c r="H131">
        <f t="shared" ref="H131:H194" ca="1" si="13">D131*G131</f>
        <v>6721.5789473684217</v>
      </c>
      <c r="I131">
        <f t="shared" ref="I131:I194" ca="1" si="14">D131*((G131-$L$1)^2)</f>
        <v>90618.988787989176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45819</v>
      </c>
      <c r="B134" s="66">
        <v>45819</v>
      </c>
      <c r="D134">
        <f t="shared" si="10"/>
        <v>51.200134093194769</v>
      </c>
      <c r="E134">
        <f t="shared" si="11"/>
        <v>51.200134093194769</v>
      </c>
      <c r="G134">
        <f t="shared" ca="1" si="12"/>
        <v>132</v>
      </c>
      <c r="H134">
        <f t="shared" ca="1" si="13"/>
        <v>6758.4177003017094</v>
      </c>
      <c r="I134">
        <f t="shared" ca="1" si="14"/>
        <v>102316.87241413964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39688</v>
      </c>
      <c r="B136" s="66">
        <v>39688</v>
      </c>
      <c r="D136">
        <f t="shared" si="10"/>
        <v>44.349089283718854</v>
      </c>
      <c r="E136">
        <f t="shared" si="11"/>
        <v>44.349089283718854</v>
      </c>
      <c r="G136">
        <f t="shared" ca="1" si="12"/>
        <v>134</v>
      </c>
      <c r="H136">
        <f t="shared" ca="1" si="13"/>
        <v>5942.7779640183262</v>
      </c>
      <c r="I136">
        <f t="shared" ca="1" si="14"/>
        <v>96733.51335783946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36930</v>
      </c>
      <c r="B139" s="66">
        <v>36930</v>
      </c>
      <c r="D139">
        <f t="shared" si="10"/>
        <v>41.267180690579956</v>
      </c>
      <c r="E139">
        <f t="shared" si="11"/>
        <v>41.267180690579956</v>
      </c>
      <c r="G139">
        <f t="shared" ca="1" si="12"/>
        <v>137</v>
      </c>
      <c r="H139">
        <f t="shared" ca="1" si="13"/>
        <v>5653.603754609454</v>
      </c>
      <c r="I139">
        <f t="shared" ca="1" si="14"/>
        <v>101946.55177053796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30182</v>
      </c>
      <c r="B142" s="66">
        <v>30182</v>
      </c>
      <c r="D142">
        <f t="shared" si="10"/>
        <v>33.726673371326406</v>
      </c>
      <c r="E142">
        <f t="shared" si="11"/>
        <v>33.726673371326406</v>
      </c>
      <c r="G142">
        <f t="shared" ca="1" si="12"/>
        <v>140</v>
      </c>
      <c r="H142">
        <f t="shared" ca="1" si="13"/>
        <v>4721.734271985697</v>
      </c>
      <c r="I142">
        <f t="shared" ca="1" si="14"/>
        <v>93679.933146006515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26171</v>
      </c>
      <c r="B144" s="66">
        <v>26171</v>
      </c>
      <c r="D144">
        <f t="shared" si="10"/>
        <v>29.244608336126941</v>
      </c>
      <c r="E144">
        <f t="shared" si="11"/>
        <v>29.244608336126941</v>
      </c>
      <c r="G144">
        <f t="shared" ca="1" si="12"/>
        <v>142</v>
      </c>
      <c r="H144">
        <f t="shared" ca="1" si="13"/>
        <v>4152.7343837300259</v>
      </c>
      <c r="I144">
        <f t="shared" ca="1" si="14"/>
        <v>87512.562708868078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23405</v>
      </c>
      <c r="B147" s="66">
        <v>23405</v>
      </c>
      <c r="D147">
        <f t="shared" si="10"/>
        <v>26.153760196670017</v>
      </c>
      <c r="E147">
        <f t="shared" si="11"/>
        <v>26.153760196670017</v>
      </c>
      <c r="G147">
        <f t="shared" ca="1" si="12"/>
        <v>145</v>
      </c>
      <c r="H147">
        <f t="shared" ca="1" si="13"/>
        <v>3792.2952285171523</v>
      </c>
      <c r="I147">
        <f t="shared" ca="1" si="14"/>
        <v>87082.944866392529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23324</v>
      </c>
      <c r="B149" s="66">
        <v>23324</v>
      </c>
      <c r="D149">
        <f t="shared" si="10"/>
        <v>26.063247290200021</v>
      </c>
      <c r="E149">
        <f t="shared" si="11"/>
        <v>26.063247290200021</v>
      </c>
      <c r="G149">
        <f t="shared" ca="1" si="12"/>
        <v>147</v>
      </c>
      <c r="H149">
        <f t="shared" ca="1" si="13"/>
        <v>3831.2973516594029</v>
      </c>
      <c r="I149">
        <f t="shared" ca="1" si="14"/>
        <v>92901.546648462012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15969</v>
      </c>
      <c r="B152" s="66">
        <v>15969</v>
      </c>
      <c r="D152">
        <f t="shared" si="10"/>
        <v>17.844451894066378</v>
      </c>
      <c r="E152">
        <f t="shared" si="11"/>
        <v>17.844451894066378</v>
      </c>
      <c r="G152">
        <f t="shared" ca="1" si="12"/>
        <v>150</v>
      </c>
      <c r="H152">
        <f t="shared" ca="1" si="13"/>
        <v>2676.6677841099568</v>
      </c>
      <c r="I152">
        <f t="shared" ca="1" si="14"/>
        <v>70158.75320427632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13431</v>
      </c>
      <c r="B154" s="66">
        <v>13431</v>
      </c>
      <c r="D154">
        <f t="shared" si="10"/>
        <v>15.008380824673148</v>
      </c>
      <c r="E154">
        <f t="shared" si="11"/>
        <v>15.008380824673148</v>
      </c>
      <c r="G154">
        <f t="shared" ca="1" si="12"/>
        <v>152</v>
      </c>
      <c r="H154">
        <f t="shared" ca="1" si="13"/>
        <v>2281.2738853503183</v>
      </c>
      <c r="I154">
        <f t="shared" ca="1" si="14"/>
        <v>62832.5410577164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6555</v>
      </c>
      <c r="B157" s="66">
        <v>6555</v>
      </c>
      <c r="D157">
        <f t="shared" si="10"/>
        <v>7.3248407643312099</v>
      </c>
      <c r="E157">
        <f t="shared" si="11"/>
        <v>7.3248407643312099</v>
      </c>
      <c r="G157">
        <f t="shared" ca="1" si="12"/>
        <v>155</v>
      </c>
      <c r="H157">
        <f t="shared" ca="1" si="13"/>
        <v>1135.3503184713375</v>
      </c>
      <c r="I157">
        <f t="shared" ca="1" si="14"/>
        <v>33574.988743518028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3665</v>
      </c>
      <c r="B160" s="66">
        <v>3665</v>
      </c>
      <c r="D160">
        <f t="shared" si="10"/>
        <v>4.0954296569449102</v>
      </c>
      <c r="E160">
        <f t="shared" si="11"/>
        <v>4.0954296569449102</v>
      </c>
      <c r="G160">
        <f t="shared" ca="1" si="12"/>
        <v>158</v>
      </c>
      <c r="H160">
        <f t="shared" ca="1" si="13"/>
        <v>647.07788579729583</v>
      </c>
      <c r="I160">
        <f t="shared" ca="1" si="14"/>
        <v>20472.785526168962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2305</v>
      </c>
      <c r="B162" s="66">
        <v>2305</v>
      </c>
      <c r="D162">
        <f t="shared" si="10"/>
        <v>2.5757067828807689</v>
      </c>
      <c r="E162">
        <f t="shared" si="11"/>
        <v>2.5757067828807689</v>
      </c>
      <c r="G162">
        <f t="shared" ca="1" si="12"/>
        <v>160</v>
      </c>
      <c r="H162">
        <f t="shared" ca="1" si="13"/>
        <v>412.11308526092301</v>
      </c>
      <c r="I162">
        <f t="shared" ca="1" si="14"/>
        <v>13614.535187140546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1224</v>
      </c>
      <c r="B165" s="66">
        <v>1224</v>
      </c>
      <c r="D165">
        <f t="shared" si="10"/>
        <v>1.3677505866577271</v>
      </c>
      <c r="E165">
        <f t="shared" si="11"/>
        <v>1.3677505866577271</v>
      </c>
      <c r="G165">
        <f t="shared" ca="1" si="12"/>
        <v>163</v>
      </c>
      <c r="H165">
        <f t="shared" ca="1" si="13"/>
        <v>222.9433456252095</v>
      </c>
      <c r="I165">
        <f t="shared" ca="1" si="14"/>
        <v>7838.5323492404195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674</v>
      </c>
      <c r="B167" s="66">
        <v>674</v>
      </c>
      <c r="D167">
        <f t="shared" si="10"/>
        <v>0.75315677729355235</v>
      </c>
      <c r="E167">
        <f t="shared" si="11"/>
        <v>0.75315677729355235</v>
      </c>
      <c r="G167">
        <f t="shared" ca="1" si="12"/>
        <v>165</v>
      </c>
      <c r="H167">
        <f t="shared" ca="1" si="13"/>
        <v>124.27086825343613</v>
      </c>
      <c r="I167">
        <f t="shared" ca="1" si="14"/>
        <v>4547.3939900852192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104</v>
      </c>
      <c r="B170" s="66">
        <v>104</v>
      </c>
      <c r="D170">
        <f t="shared" si="10"/>
        <v>0.11621410213431668</v>
      </c>
      <c r="E170">
        <f t="shared" si="11"/>
        <v>0.11621410213431668</v>
      </c>
      <c r="G170">
        <f t="shared" ca="1" si="12"/>
        <v>168</v>
      </c>
      <c r="H170">
        <f t="shared" ca="1" si="13"/>
        <v>19.523969158565201</v>
      </c>
      <c r="I170">
        <f t="shared" ca="1" si="14"/>
        <v>756.90217140016307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70</v>
      </c>
      <c r="B173" s="66">
        <v>70</v>
      </c>
      <c r="D173">
        <f t="shared" si="10"/>
        <v>7.8221030282713155E-2</v>
      </c>
      <c r="E173">
        <f t="shared" si="11"/>
        <v>7.8221030282713155E-2</v>
      </c>
      <c r="G173">
        <f t="shared" ca="1" si="12"/>
        <v>171</v>
      </c>
      <c r="H173">
        <f t="shared" ca="1" si="13"/>
        <v>13.375796178343949</v>
      </c>
      <c r="I173">
        <f t="shared" ca="1" si="14"/>
        <v>548.0334728029494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179</v>
      </c>
      <c r="B175" s="66">
        <v>179</v>
      </c>
      <c r="D175">
        <f t="shared" si="10"/>
        <v>0.20002234886579506</v>
      </c>
      <c r="E175">
        <f t="shared" si="11"/>
        <v>0.20002234886579506</v>
      </c>
      <c r="G175">
        <f t="shared" ca="1" si="12"/>
        <v>173</v>
      </c>
      <c r="H175">
        <f t="shared" ca="1" si="13"/>
        <v>34.603866353782543</v>
      </c>
      <c r="I175">
        <f t="shared" ca="1" si="14"/>
        <v>1469.1699685990261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0.23857300000000001</v>
      </c>
      <c r="B2" s="68">
        <v>0.54689900000000002</v>
      </c>
      <c r="C2" s="68">
        <v>0</v>
      </c>
      <c r="D2" s="68">
        <v>1</v>
      </c>
      <c r="E2" s="68" t="s">
        <v>356</v>
      </c>
    </row>
    <row r="3" spans="1:5">
      <c r="A3" s="68">
        <v>0.24495400000000001</v>
      </c>
      <c r="B3" s="68">
        <v>0.53656499999999996</v>
      </c>
      <c r="C3" s="68">
        <v>0.39138499999999998</v>
      </c>
      <c r="D3" s="89">
        <v>1</v>
      </c>
      <c r="E3" s="68" t="s">
        <v>357</v>
      </c>
    </row>
    <row r="4" spans="1:5">
      <c r="A4" s="68">
        <v>0.25112699999999999</v>
      </c>
      <c r="B4" s="68">
        <v>0.52809399999999995</v>
      </c>
      <c r="C4" s="68">
        <v>0.79871099999999995</v>
      </c>
      <c r="D4" s="89">
        <v>1</v>
      </c>
      <c r="E4" s="68" t="s">
        <v>358</v>
      </c>
    </row>
    <row r="5" spans="1:5">
      <c r="A5" s="89">
        <v>0.25708199999999998</v>
      </c>
      <c r="B5" s="89">
        <v>0.52084299999999994</v>
      </c>
      <c r="C5" s="89">
        <v>1.2049300000000001</v>
      </c>
      <c r="D5" s="89">
        <v>1</v>
      </c>
      <c r="E5" s="68" t="s">
        <v>359</v>
      </c>
    </row>
    <row r="6" spans="1:5">
      <c r="A6" s="68">
        <v>0.26293800000000001</v>
      </c>
      <c r="B6" s="68">
        <v>0.51454599999999995</v>
      </c>
      <c r="C6" s="68">
        <v>1.6085700000000001</v>
      </c>
      <c r="D6" s="68">
        <v>1</v>
      </c>
      <c r="E6" s="68" t="s">
        <v>360</v>
      </c>
    </row>
    <row r="7" spans="1:5">
      <c r="A7" s="68">
        <v>0.26867799999999997</v>
      </c>
      <c r="B7" s="68">
        <v>0.509104</v>
      </c>
      <c r="C7" s="68">
        <v>2.0176699999999999</v>
      </c>
      <c r="D7" s="68">
        <v>1</v>
      </c>
      <c r="E7" s="68" t="s">
        <v>361</v>
      </c>
    </row>
    <row r="8" spans="1:5">
      <c r="A8" s="68">
        <v>0.27418300000000001</v>
      </c>
      <c r="B8" s="68">
        <v>0.50448499999999996</v>
      </c>
      <c r="C8" s="68">
        <v>2.4216500000000001</v>
      </c>
      <c r="D8" s="68">
        <v>1</v>
      </c>
      <c r="E8" s="68" t="s">
        <v>362</v>
      </c>
    </row>
    <row r="9" spans="1:5">
      <c r="A9" s="68">
        <v>0.279275</v>
      </c>
      <c r="B9" s="68">
        <v>0.50180800000000003</v>
      </c>
      <c r="C9" s="68">
        <v>2.8283</v>
      </c>
      <c r="D9" s="68">
        <v>1</v>
      </c>
      <c r="E9" s="68" t="s">
        <v>363</v>
      </c>
    </row>
    <row r="10" spans="1:5">
      <c r="A10" s="68">
        <v>0.28407500000000002</v>
      </c>
      <c r="B10" s="68">
        <v>0.50072799999999995</v>
      </c>
      <c r="C10" s="68">
        <v>3.2353800000000001</v>
      </c>
      <c r="D10" s="68">
        <v>1</v>
      </c>
      <c r="E10" s="68" t="s">
        <v>364</v>
      </c>
    </row>
    <row r="11" spans="1:5">
      <c r="A11" s="68">
        <v>0.288464</v>
      </c>
      <c r="B11" s="68">
        <v>0.50121899999999997</v>
      </c>
      <c r="C11" s="68">
        <v>3.6423199999999998</v>
      </c>
      <c r="D11" s="68">
        <v>1</v>
      </c>
      <c r="E11" s="68" t="s">
        <v>365</v>
      </c>
    </row>
    <row r="12" spans="1:5">
      <c r="A12" s="68">
        <v>0.29246100000000003</v>
      </c>
      <c r="B12" s="68">
        <v>0.50285999999999997</v>
      </c>
      <c r="C12" s="68">
        <v>4.0453400000000004</v>
      </c>
      <c r="D12" s="68">
        <v>1</v>
      </c>
      <c r="E12" s="68" t="s">
        <v>366</v>
      </c>
    </row>
    <row r="13" spans="1:5">
      <c r="A13" s="68">
        <v>0.29606700000000002</v>
      </c>
      <c r="B13" s="68">
        <v>0.50531400000000004</v>
      </c>
      <c r="C13" s="68">
        <v>4.4539900000000001</v>
      </c>
      <c r="D13" s="68">
        <v>1</v>
      </c>
      <c r="E13" s="68" t="s">
        <v>367</v>
      </c>
    </row>
    <row r="14" spans="1:5">
      <c r="A14" s="68">
        <v>0.29948999999999998</v>
      </c>
      <c r="B14" s="68">
        <v>0.50758599999999998</v>
      </c>
      <c r="C14" s="68">
        <v>4.8605799999999997</v>
      </c>
      <c r="D14" s="68">
        <v>1</v>
      </c>
      <c r="E14" s="68" t="s">
        <v>368</v>
      </c>
    </row>
    <row r="15" spans="1:5">
      <c r="A15" s="68">
        <v>0.30292599999999997</v>
      </c>
      <c r="B15" s="68">
        <v>0.50987000000000005</v>
      </c>
      <c r="C15" s="68">
        <v>5.2697700000000003</v>
      </c>
      <c r="D15" s="68">
        <v>1</v>
      </c>
      <c r="E15" s="68" t="s">
        <v>369</v>
      </c>
    </row>
    <row r="16" spans="1:5">
      <c r="A16" s="68">
        <v>0.30626500000000001</v>
      </c>
      <c r="B16" s="68">
        <v>0.51200400000000001</v>
      </c>
      <c r="C16" s="68">
        <v>5.6740599999999999</v>
      </c>
      <c r="D16" s="68">
        <v>1</v>
      </c>
      <c r="E16" s="68" t="s">
        <v>370</v>
      </c>
    </row>
    <row r="17" spans="1:5">
      <c r="A17" s="68">
        <v>0.30937799999999999</v>
      </c>
      <c r="B17" s="68">
        <v>0.51321799999999995</v>
      </c>
      <c r="C17" s="68">
        <v>6.0794199999999998</v>
      </c>
      <c r="D17" s="68">
        <v>1</v>
      </c>
      <c r="E17" s="68" t="s">
        <v>371</v>
      </c>
    </row>
    <row r="18" spans="1:5">
      <c r="A18" s="68">
        <v>0.31231700000000001</v>
      </c>
      <c r="B18" s="68">
        <v>0.51402300000000001</v>
      </c>
      <c r="C18" s="68">
        <v>6.4834300000000002</v>
      </c>
      <c r="D18" s="68">
        <v>1</v>
      </c>
      <c r="E18" s="68" t="s">
        <v>372</v>
      </c>
    </row>
    <row r="19" spans="1:5">
      <c r="A19" s="68">
        <v>0.31517400000000001</v>
      </c>
      <c r="B19" s="68">
        <v>0.51471699999999998</v>
      </c>
      <c r="C19" s="68">
        <v>6.8910499999999999</v>
      </c>
      <c r="D19" s="68">
        <v>1</v>
      </c>
      <c r="E19" s="68" t="s">
        <v>373</v>
      </c>
    </row>
    <row r="20" spans="1:5">
      <c r="A20" s="68">
        <v>0.31788899999999998</v>
      </c>
      <c r="B20" s="68">
        <v>0.515509</v>
      </c>
      <c r="C20" s="68">
        <v>7.2992900000000001</v>
      </c>
      <c r="D20" s="68">
        <v>1</v>
      </c>
      <c r="E20" s="68" t="s">
        <v>374</v>
      </c>
    </row>
    <row r="21" spans="1:5">
      <c r="A21" s="68">
        <v>0.32019799999999998</v>
      </c>
      <c r="B21" s="68">
        <v>0.51563099999999995</v>
      </c>
      <c r="C21" s="68">
        <v>7.7049899999999996</v>
      </c>
      <c r="D21" s="68">
        <v>1</v>
      </c>
      <c r="E21" s="68" t="s">
        <v>375</v>
      </c>
    </row>
    <row r="22" spans="1:5">
      <c r="A22" s="68">
        <v>0.32216299999999998</v>
      </c>
      <c r="B22" s="68">
        <v>0.51489799999999997</v>
      </c>
      <c r="C22" s="68">
        <v>8.1088199999999997</v>
      </c>
      <c r="D22" s="68">
        <v>1</v>
      </c>
      <c r="E22" s="68" t="s">
        <v>376</v>
      </c>
    </row>
    <row r="23" spans="1:5">
      <c r="A23" s="68">
        <v>0.32367699999999999</v>
      </c>
      <c r="B23" s="68">
        <v>0.51357799999999998</v>
      </c>
      <c r="C23" s="68">
        <v>8.5141899999999993</v>
      </c>
      <c r="D23" s="68">
        <v>1</v>
      </c>
      <c r="E23" s="68" t="s">
        <v>377</v>
      </c>
    </row>
    <row r="24" spans="1:5">
      <c r="A24" s="68">
        <v>0.32478400000000002</v>
      </c>
      <c r="B24" s="68">
        <v>0.51222299999999998</v>
      </c>
      <c r="C24" s="68">
        <v>8.9240399999999998</v>
      </c>
      <c r="D24" s="68">
        <v>1</v>
      </c>
      <c r="E24" s="68" t="s">
        <v>378</v>
      </c>
    </row>
    <row r="25" spans="1:5">
      <c r="A25" s="68">
        <v>0.325484</v>
      </c>
      <c r="B25" s="68">
        <v>0.51097899999999996</v>
      </c>
      <c r="C25" s="68">
        <v>9.3315199999999994</v>
      </c>
      <c r="D25" s="68">
        <v>1</v>
      </c>
      <c r="E25" s="68" t="s">
        <v>379</v>
      </c>
    </row>
    <row r="26" spans="1:5">
      <c r="A26" s="68">
        <v>0.325845</v>
      </c>
      <c r="B26" s="68">
        <v>0.509575</v>
      </c>
      <c r="C26" s="68">
        <v>9.7341899999999999</v>
      </c>
      <c r="D26" s="68">
        <v>1</v>
      </c>
      <c r="E26" s="68" t="s">
        <v>380</v>
      </c>
    </row>
    <row r="27" spans="1:5">
      <c r="A27" s="68">
        <v>0.32622899999999999</v>
      </c>
      <c r="B27" s="68">
        <v>0.50783900000000004</v>
      </c>
      <c r="C27" s="68">
        <v>10.1416</v>
      </c>
      <c r="D27" s="68">
        <v>1</v>
      </c>
      <c r="E27" s="68" t="s">
        <v>381</v>
      </c>
    </row>
    <row r="28" spans="1:5">
      <c r="A28" s="68">
        <v>0.32667400000000002</v>
      </c>
      <c r="B28" s="68">
        <v>0.50575300000000001</v>
      </c>
      <c r="C28" s="68">
        <v>10.5467</v>
      </c>
      <c r="D28" s="68">
        <v>1</v>
      </c>
      <c r="E28" s="68" t="s">
        <v>382</v>
      </c>
    </row>
    <row r="29" spans="1:5">
      <c r="A29" s="68">
        <v>0.32705499999999998</v>
      </c>
      <c r="B29" s="68">
        <v>0.50368199999999996</v>
      </c>
      <c r="C29" s="68">
        <v>10.953900000000001</v>
      </c>
      <c r="D29" s="68">
        <v>1</v>
      </c>
      <c r="E29" s="68" t="s">
        <v>383</v>
      </c>
    </row>
    <row r="30" spans="1:5">
      <c r="A30" s="68">
        <v>0.327463</v>
      </c>
      <c r="B30" s="68">
        <v>0.50085400000000002</v>
      </c>
      <c r="C30" s="68">
        <v>11.360099999999999</v>
      </c>
      <c r="D30" s="68">
        <v>1</v>
      </c>
      <c r="E30" s="68" t="s">
        <v>384</v>
      </c>
    </row>
    <row r="31" spans="1:5">
      <c r="A31" s="68">
        <v>0.32774700000000001</v>
      </c>
      <c r="B31" s="68">
        <v>0.49851000000000001</v>
      </c>
      <c r="C31" s="68">
        <v>11.7668</v>
      </c>
      <c r="D31" s="68">
        <v>1</v>
      </c>
      <c r="E31" s="68" t="s">
        <v>385</v>
      </c>
    </row>
    <row r="32" spans="1:5">
      <c r="A32" s="68">
        <v>0.32777000000000001</v>
      </c>
      <c r="B32" s="68">
        <v>0.49698900000000001</v>
      </c>
      <c r="C32" s="68">
        <v>12.1701</v>
      </c>
      <c r="D32" s="68">
        <v>1</v>
      </c>
      <c r="E32" s="68" t="s">
        <v>386</v>
      </c>
    </row>
    <row r="33" spans="1:5">
      <c r="A33" s="68">
        <v>0.32790999999999998</v>
      </c>
      <c r="B33" s="68">
        <v>0.49568899999999999</v>
      </c>
      <c r="C33" s="68">
        <v>12.577999999999999</v>
      </c>
      <c r="D33" s="68">
        <v>1</v>
      </c>
      <c r="E33" s="68" t="s">
        <v>387</v>
      </c>
    </row>
    <row r="34" spans="1:5">
      <c r="A34" s="68">
        <v>0.32874999999999999</v>
      </c>
      <c r="B34" s="68">
        <v>0.49357499999999999</v>
      </c>
      <c r="C34" s="68">
        <v>12.985799999999999</v>
      </c>
      <c r="D34" s="68">
        <v>1</v>
      </c>
      <c r="E34" s="68" t="s">
        <v>388</v>
      </c>
    </row>
    <row r="35" spans="1:5">
      <c r="A35" s="68">
        <v>0.32979000000000003</v>
      </c>
      <c r="B35" s="68">
        <v>0.490755</v>
      </c>
      <c r="C35" s="68">
        <v>13.3909</v>
      </c>
      <c r="D35" s="68">
        <v>1</v>
      </c>
      <c r="E35" s="68" t="s">
        <v>389</v>
      </c>
    </row>
    <row r="36" spans="1:5">
      <c r="A36" s="68">
        <v>0.331509</v>
      </c>
      <c r="B36" s="68">
        <v>0.48648400000000003</v>
      </c>
      <c r="C36" s="68">
        <v>13.795999999999999</v>
      </c>
      <c r="D36" s="68">
        <v>1</v>
      </c>
      <c r="E36" s="68" t="s">
        <v>390</v>
      </c>
    </row>
    <row r="37" spans="1:5">
      <c r="A37" s="68">
        <v>0.33349099999999998</v>
      </c>
      <c r="B37" s="68">
        <v>0.482072</v>
      </c>
      <c r="C37" s="68">
        <v>14.206</v>
      </c>
      <c r="D37" s="68">
        <v>1</v>
      </c>
      <c r="E37" s="68" t="s">
        <v>391</v>
      </c>
    </row>
    <row r="38" spans="1:5">
      <c r="A38" s="68">
        <v>0.33548</v>
      </c>
      <c r="B38" s="68">
        <v>0.47822599999999998</v>
      </c>
      <c r="C38" s="68">
        <v>14.6137</v>
      </c>
      <c r="D38" s="68">
        <v>1</v>
      </c>
      <c r="E38" s="68" t="s">
        <v>392</v>
      </c>
    </row>
    <row r="39" spans="1:5">
      <c r="A39" s="68">
        <v>0.33776499999999998</v>
      </c>
      <c r="B39" s="68">
        <v>0.47365600000000002</v>
      </c>
      <c r="C39" s="68">
        <v>15.017899999999999</v>
      </c>
      <c r="D39" s="68">
        <v>1</v>
      </c>
      <c r="E39" s="68" t="s">
        <v>393</v>
      </c>
    </row>
    <row r="40" spans="1:5">
      <c r="A40" s="68">
        <v>0.34059200000000001</v>
      </c>
      <c r="B40" s="68">
        <v>0.46742099999999998</v>
      </c>
      <c r="C40" s="68">
        <v>15.4217</v>
      </c>
      <c r="D40" s="68">
        <v>1</v>
      </c>
      <c r="E40" s="68" t="s">
        <v>394</v>
      </c>
    </row>
    <row r="41" spans="1:5">
      <c r="A41" s="68">
        <v>0.343385</v>
      </c>
      <c r="B41" s="68">
        <v>0.46149400000000002</v>
      </c>
      <c r="C41" s="68">
        <v>15.827500000000001</v>
      </c>
      <c r="D41" s="68">
        <v>1</v>
      </c>
      <c r="E41" s="68" t="s">
        <v>395</v>
      </c>
    </row>
    <row r="42" spans="1:5">
      <c r="A42" s="68">
        <v>0.34620299999999998</v>
      </c>
      <c r="B42" s="68">
        <v>0.45575399999999999</v>
      </c>
      <c r="C42" s="68">
        <v>16.233599999999999</v>
      </c>
      <c r="D42" s="68">
        <v>1</v>
      </c>
      <c r="E42" s="68" t="s">
        <v>396</v>
      </c>
    </row>
    <row r="43" spans="1:5">
      <c r="A43" s="68">
        <v>0.34932099999999999</v>
      </c>
      <c r="B43" s="68">
        <v>0.44910699999999998</v>
      </c>
      <c r="C43" s="68">
        <v>16.642499999999998</v>
      </c>
      <c r="D43" s="68">
        <v>1</v>
      </c>
      <c r="E43" s="68" t="s">
        <v>397</v>
      </c>
    </row>
    <row r="44" spans="1:5">
      <c r="A44" s="68">
        <v>0.35252699999999998</v>
      </c>
      <c r="B44" s="68">
        <v>0.44251200000000002</v>
      </c>
      <c r="C44" s="68">
        <v>17.047799999999999</v>
      </c>
      <c r="D44" s="68">
        <v>1</v>
      </c>
      <c r="E44" s="68" t="s">
        <v>398</v>
      </c>
    </row>
    <row r="45" spans="1:5">
      <c r="A45" s="68">
        <v>0.35582799999999998</v>
      </c>
      <c r="B45" s="68">
        <v>0.435755</v>
      </c>
      <c r="C45" s="68">
        <v>17.4511</v>
      </c>
      <c r="D45" s="68">
        <v>1</v>
      </c>
      <c r="E45" s="68" t="s">
        <v>399</v>
      </c>
    </row>
    <row r="46" spans="1:5">
      <c r="A46" s="68">
        <v>0.35952600000000001</v>
      </c>
      <c r="B46" s="68">
        <v>0.428427</v>
      </c>
      <c r="C46" s="68">
        <v>17.861000000000001</v>
      </c>
      <c r="D46" s="68">
        <v>1</v>
      </c>
      <c r="E46" s="68" t="s">
        <v>400</v>
      </c>
    </row>
    <row r="47" spans="1:5">
      <c r="A47" s="68">
        <v>0.36315900000000001</v>
      </c>
      <c r="B47" s="68">
        <v>0.422234</v>
      </c>
      <c r="C47" s="68">
        <v>18.267700000000001</v>
      </c>
      <c r="D47" s="68">
        <v>1</v>
      </c>
      <c r="E47" s="68" t="s">
        <v>401</v>
      </c>
    </row>
    <row r="48" spans="1:5">
      <c r="A48" s="68">
        <v>0.36708200000000002</v>
      </c>
      <c r="B48" s="68">
        <v>0.415605</v>
      </c>
      <c r="C48" s="68">
        <v>18.6737</v>
      </c>
      <c r="D48" s="68">
        <v>1</v>
      </c>
      <c r="E48" s="68" t="s">
        <v>402</v>
      </c>
    </row>
    <row r="49" spans="1:5">
      <c r="A49" s="68">
        <v>0.37148999999999999</v>
      </c>
      <c r="B49" s="68">
        <v>0.40856900000000002</v>
      </c>
      <c r="C49" s="68">
        <v>19.078099999999999</v>
      </c>
      <c r="D49" s="68">
        <v>1</v>
      </c>
      <c r="E49" s="68" t="s">
        <v>403</v>
      </c>
    </row>
    <row r="50" spans="1:5">
      <c r="A50" s="68">
        <v>0.37648999999999999</v>
      </c>
      <c r="B50" s="68">
        <v>0.40015600000000001</v>
      </c>
      <c r="C50" s="68">
        <v>19.4848</v>
      </c>
      <c r="D50" s="68">
        <v>1</v>
      </c>
      <c r="E50" s="68" t="s">
        <v>404</v>
      </c>
    </row>
    <row r="51" spans="1:5">
      <c r="A51" s="68">
        <v>0.38136399999999998</v>
      </c>
      <c r="B51" s="68">
        <v>0.39366899999999999</v>
      </c>
      <c r="C51" s="68">
        <v>19.892299999999999</v>
      </c>
      <c r="D51" s="68">
        <v>1</v>
      </c>
      <c r="E51" s="68" t="s">
        <v>405</v>
      </c>
    </row>
    <row r="52" spans="1:5">
      <c r="A52" s="68">
        <v>0.38455600000000001</v>
      </c>
      <c r="B52" s="68">
        <v>0.39017099999999999</v>
      </c>
      <c r="C52" s="68">
        <v>20.2956</v>
      </c>
      <c r="D52" s="68">
        <v>1</v>
      </c>
      <c r="E52" s="68" t="s">
        <v>406</v>
      </c>
    </row>
    <row r="53" spans="1:5">
      <c r="A53" s="68">
        <v>0.38910899999999998</v>
      </c>
      <c r="B53" s="68">
        <v>0.38494099999999998</v>
      </c>
      <c r="C53" s="68">
        <v>20.7042</v>
      </c>
      <c r="D53" s="68">
        <v>1</v>
      </c>
      <c r="E53" s="68" t="s">
        <v>407</v>
      </c>
    </row>
    <row r="54" spans="1:5">
      <c r="A54" s="68">
        <v>0.39350800000000002</v>
      </c>
      <c r="B54" s="68">
        <v>0.38125399999999998</v>
      </c>
      <c r="C54" s="68">
        <v>21.109000000000002</v>
      </c>
      <c r="D54" s="68">
        <v>1</v>
      </c>
      <c r="E54" s="68" t="s">
        <v>408</v>
      </c>
    </row>
    <row r="55" spans="1:5">
      <c r="A55" s="68">
        <v>0.39790500000000001</v>
      </c>
      <c r="B55" s="68">
        <v>0.37899899999999997</v>
      </c>
      <c r="C55" s="68">
        <v>21.5137</v>
      </c>
      <c r="D55" s="68">
        <v>1</v>
      </c>
      <c r="E55" s="68" t="s">
        <v>409</v>
      </c>
    </row>
    <row r="56" spans="1:5">
      <c r="A56" s="68">
        <v>0.40207599999999999</v>
      </c>
      <c r="B56" s="68">
        <v>0.37826300000000002</v>
      </c>
      <c r="C56" s="68">
        <v>21.919899999999998</v>
      </c>
      <c r="D56" s="68">
        <v>1</v>
      </c>
      <c r="E56" s="68" t="s">
        <v>410</v>
      </c>
    </row>
    <row r="57" spans="1:5">
      <c r="A57" s="68">
        <v>0.40642499999999998</v>
      </c>
      <c r="B57" s="68">
        <v>0.37912000000000001</v>
      </c>
      <c r="C57" s="68">
        <v>22.329599999999999</v>
      </c>
      <c r="D57" s="68">
        <v>1</v>
      </c>
      <c r="E57" s="68" t="s">
        <v>411</v>
      </c>
    </row>
    <row r="58" spans="1:5">
      <c r="A58" s="68">
        <v>0.40936499999999998</v>
      </c>
      <c r="B58" s="68">
        <v>0.38034200000000001</v>
      </c>
      <c r="C58" s="68">
        <v>22.733699999999999</v>
      </c>
      <c r="D58" s="68">
        <v>1</v>
      </c>
      <c r="E58" s="68" t="s">
        <v>412</v>
      </c>
    </row>
    <row r="59" spans="1:5">
      <c r="A59" s="68">
        <v>0.41182200000000002</v>
      </c>
      <c r="B59" s="68">
        <v>0.38176700000000002</v>
      </c>
      <c r="C59" s="68">
        <v>23.142099999999999</v>
      </c>
      <c r="D59" s="68">
        <v>1</v>
      </c>
      <c r="E59" s="68" t="s">
        <v>413</v>
      </c>
    </row>
    <row r="60" spans="1:5">
      <c r="A60" s="68">
        <v>0.41378599999999999</v>
      </c>
      <c r="B60" s="68">
        <v>0.38371</v>
      </c>
      <c r="C60" s="68">
        <v>23.545200000000001</v>
      </c>
      <c r="D60" s="68">
        <v>1</v>
      </c>
      <c r="E60" s="68" t="s">
        <v>414</v>
      </c>
    </row>
    <row r="61" spans="1:5">
      <c r="A61" s="68">
        <v>0.41524</v>
      </c>
      <c r="B61" s="68">
        <v>0.38502399999999998</v>
      </c>
      <c r="C61" s="68">
        <v>23.9529</v>
      </c>
      <c r="D61" s="68">
        <v>1</v>
      </c>
      <c r="E61" s="68" t="s">
        <v>415</v>
      </c>
    </row>
    <row r="62" spans="1:5">
      <c r="A62" s="68">
        <v>0.41641099999999998</v>
      </c>
      <c r="B62" s="68">
        <v>0.38587199999999999</v>
      </c>
      <c r="C62" s="68">
        <v>24.359100000000002</v>
      </c>
      <c r="D62" s="68">
        <v>1</v>
      </c>
      <c r="E62" s="68" t="s">
        <v>416</v>
      </c>
    </row>
    <row r="63" spans="1:5">
      <c r="A63" s="68">
        <v>0.41784700000000002</v>
      </c>
      <c r="B63" s="68">
        <v>0.38578800000000002</v>
      </c>
      <c r="C63" s="68">
        <v>24.767099999999999</v>
      </c>
      <c r="D63" s="68">
        <v>1</v>
      </c>
      <c r="E63" s="68" t="s">
        <v>417</v>
      </c>
    </row>
    <row r="64" spans="1:5">
      <c r="A64" s="68">
        <v>0.41860700000000001</v>
      </c>
      <c r="B64" s="68">
        <v>0.38543899999999998</v>
      </c>
      <c r="C64" s="68">
        <v>25.175799999999999</v>
      </c>
      <c r="D64" s="68">
        <v>1</v>
      </c>
      <c r="E64" s="68" t="s">
        <v>418</v>
      </c>
    </row>
    <row r="65" spans="1:5">
      <c r="A65" s="68">
        <v>0.41854200000000003</v>
      </c>
      <c r="B65" s="68">
        <v>0.38502700000000001</v>
      </c>
      <c r="C65" s="68">
        <v>25.578199999999999</v>
      </c>
      <c r="D65" s="68">
        <v>1</v>
      </c>
      <c r="E65" s="68" t="s">
        <v>419</v>
      </c>
    </row>
    <row r="66" spans="1:5">
      <c r="A66" s="68">
        <v>0.41824800000000001</v>
      </c>
      <c r="B66" s="68">
        <v>0.38434200000000002</v>
      </c>
      <c r="C66" s="68">
        <v>25.985800000000001</v>
      </c>
      <c r="D66" s="68">
        <v>1</v>
      </c>
      <c r="E66" s="68" t="s">
        <v>420</v>
      </c>
    </row>
    <row r="67" spans="1:5">
      <c r="A67" s="68">
        <v>0.41836299999999998</v>
      </c>
      <c r="B67" s="68">
        <v>0.383187</v>
      </c>
      <c r="C67" s="68">
        <v>26.390499999999999</v>
      </c>
      <c r="D67" s="68">
        <v>1</v>
      </c>
      <c r="E67" s="68" t="s">
        <v>421</v>
      </c>
    </row>
    <row r="68" spans="1:5">
      <c r="A68" s="68">
        <v>0.41708499999999998</v>
      </c>
      <c r="B68" s="68">
        <v>0.38188499999999997</v>
      </c>
      <c r="C68" s="68">
        <v>26.796900000000001</v>
      </c>
      <c r="D68" s="68">
        <v>1</v>
      </c>
      <c r="E68" s="68" t="s">
        <v>422</v>
      </c>
    </row>
    <row r="69" spans="1:5">
      <c r="A69" s="68">
        <v>0.41435899999999998</v>
      </c>
      <c r="B69" s="68">
        <v>0.37997799999999998</v>
      </c>
      <c r="C69" s="68">
        <v>27.205100000000002</v>
      </c>
      <c r="D69" s="68">
        <v>1</v>
      </c>
      <c r="E69" s="68" t="s">
        <v>423</v>
      </c>
    </row>
    <row r="70" spans="1:5">
      <c r="A70" s="68">
        <v>0.41327599999999998</v>
      </c>
      <c r="B70" s="68">
        <v>0.37829600000000002</v>
      </c>
      <c r="C70" s="68">
        <v>27.607800000000001</v>
      </c>
      <c r="D70" s="68">
        <v>1</v>
      </c>
      <c r="E70" s="68" t="s">
        <v>424</v>
      </c>
    </row>
    <row r="71" spans="1:5">
      <c r="A71" s="68">
        <v>0.41042000000000001</v>
      </c>
      <c r="B71" s="68">
        <v>0.37601200000000001</v>
      </c>
      <c r="C71" s="68">
        <v>28.014700000000001</v>
      </c>
      <c r="D71" s="68">
        <v>1</v>
      </c>
      <c r="E71" s="68" t="s">
        <v>425</v>
      </c>
    </row>
    <row r="72" spans="1:5">
      <c r="A72" s="68">
        <v>0.40571800000000002</v>
      </c>
      <c r="B72" s="68">
        <v>0.37168299999999999</v>
      </c>
      <c r="C72" s="68">
        <v>28.4222</v>
      </c>
      <c r="D72" s="68">
        <v>1</v>
      </c>
      <c r="E72" s="68" t="s">
        <v>426</v>
      </c>
    </row>
    <row r="73" spans="1:5">
      <c r="A73" s="68">
        <v>0.40182400000000001</v>
      </c>
      <c r="B73" s="68">
        <v>0.368946</v>
      </c>
      <c r="C73" s="68">
        <v>28.831</v>
      </c>
      <c r="D73" s="68">
        <v>1</v>
      </c>
      <c r="E73" s="68" t="s">
        <v>427</v>
      </c>
    </row>
    <row r="74" spans="1:5">
      <c r="A74" s="68">
        <v>0.397258</v>
      </c>
      <c r="B74" s="68">
        <v>0.36734</v>
      </c>
      <c r="C74" s="68">
        <v>29.236799999999999</v>
      </c>
      <c r="D74" s="68">
        <v>1</v>
      </c>
      <c r="E74" s="68" t="s">
        <v>428</v>
      </c>
    </row>
    <row r="75" spans="1:5">
      <c r="A75" s="68">
        <v>0.39357599999999998</v>
      </c>
      <c r="B75" s="68">
        <v>0.36941299999999999</v>
      </c>
      <c r="C75" s="68">
        <v>29.641500000000001</v>
      </c>
      <c r="D75" s="68">
        <v>1</v>
      </c>
      <c r="E75" s="68" t="s">
        <v>429</v>
      </c>
    </row>
    <row r="76" spans="1:5">
      <c r="A76" s="68">
        <v>0.38659500000000002</v>
      </c>
      <c r="B76" s="68">
        <v>0.36885699999999999</v>
      </c>
      <c r="C76" s="68">
        <v>30.046299999999999</v>
      </c>
      <c r="D76" s="68">
        <v>2</v>
      </c>
      <c r="E76" s="68" t="s">
        <v>430</v>
      </c>
    </row>
    <row r="77" spans="1:5">
      <c r="A77" s="68">
        <v>0.38065300000000002</v>
      </c>
      <c r="B77" s="68">
        <v>0.370336</v>
      </c>
      <c r="C77" s="68">
        <v>30.621600000000001</v>
      </c>
      <c r="D77" s="68">
        <v>2</v>
      </c>
      <c r="E77" s="68" t="s">
        <v>431</v>
      </c>
    </row>
    <row r="78" spans="1:5">
      <c r="A78" s="68">
        <v>0.37446699999999999</v>
      </c>
      <c r="B78" s="68">
        <v>0.37259999999999999</v>
      </c>
      <c r="C78" s="68">
        <v>30.997699999999998</v>
      </c>
      <c r="D78" s="68">
        <v>2</v>
      </c>
      <c r="E78" s="68" t="s">
        <v>432</v>
      </c>
    </row>
    <row r="79" spans="1:5">
      <c r="A79" s="68">
        <v>0.36802099999999999</v>
      </c>
      <c r="B79" s="68">
        <v>0.375697</v>
      </c>
      <c r="C79" s="68">
        <v>31.374300000000002</v>
      </c>
      <c r="D79" s="68">
        <v>2</v>
      </c>
      <c r="E79" s="68" t="s">
        <v>433</v>
      </c>
    </row>
    <row r="80" spans="1:5">
      <c r="A80" s="68">
        <v>0.36144399999999999</v>
      </c>
      <c r="B80" s="68">
        <v>0.37931999999999999</v>
      </c>
      <c r="C80" s="68">
        <v>31.749199999999998</v>
      </c>
      <c r="D80" s="68">
        <v>2</v>
      </c>
      <c r="E80" s="68" t="s">
        <v>434</v>
      </c>
    </row>
    <row r="81" spans="1:5">
      <c r="A81" s="68">
        <v>0.35474600000000001</v>
      </c>
      <c r="B81" s="68">
        <v>0.38379200000000002</v>
      </c>
      <c r="C81" s="68">
        <v>32.1252</v>
      </c>
      <c r="D81" s="68">
        <v>2</v>
      </c>
      <c r="E81" s="68" t="s">
        <v>435</v>
      </c>
    </row>
    <row r="82" spans="1:5">
      <c r="A82" s="68">
        <v>0.34845799999999999</v>
      </c>
      <c r="B82" s="68">
        <v>0.38812799999999997</v>
      </c>
      <c r="C82" s="68">
        <v>32.530299999999997</v>
      </c>
      <c r="D82" s="68">
        <v>2</v>
      </c>
      <c r="E82" s="68" t="s">
        <v>436</v>
      </c>
    </row>
    <row r="83" spans="1:5">
      <c r="A83" s="68">
        <v>0.342144</v>
      </c>
      <c r="B83" s="68">
        <v>0.39174599999999998</v>
      </c>
      <c r="C83" s="68">
        <v>32.936799999999998</v>
      </c>
      <c r="D83" s="68">
        <v>2</v>
      </c>
      <c r="E83" s="68" t="s">
        <v>437</v>
      </c>
    </row>
    <row r="84" spans="1:5">
      <c r="A84" s="68">
        <v>0.33596199999999998</v>
      </c>
      <c r="B84" s="68">
        <v>0.393793</v>
      </c>
      <c r="C84" s="68">
        <v>33.3461</v>
      </c>
      <c r="D84" s="68">
        <v>2</v>
      </c>
      <c r="E84" s="68" t="s">
        <v>438</v>
      </c>
    </row>
    <row r="85" spans="1:5">
      <c r="A85" s="68">
        <v>0.32971400000000001</v>
      </c>
      <c r="B85" s="68">
        <v>0.39513399999999999</v>
      </c>
      <c r="C85" s="68">
        <v>33.749099999999999</v>
      </c>
      <c r="D85" s="68">
        <v>2</v>
      </c>
      <c r="E85" s="68" t="s">
        <v>439</v>
      </c>
    </row>
    <row r="86" spans="1:5">
      <c r="A86" s="68">
        <v>0.32301400000000002</v>
      </c>
      <c r="B86" s="68">
        <v>0.39861799999999997</v>
      </c>
      <c r="C86" s="68">
        <v>34.158099999999997</v>
      </c>
      <c r="D86" s="68">
        <v>2</v>
      </c>
      <c r="E86" s="68" t="s">
        <v>440</v>
      </c>
    </row>
    <row r="87" spans="1:5">
      <c r="A87" s="68">
        <v>0.31621899999999997</v>
      </c>
      <c r="B87" s="68">
        <v>0.40528799999999998</v>
      </c>
      <c r="C87" s="68">
        <v>34.564100000000003</v>
      </c>
      <c r="D87" s="68">
        <v>2</v>
      </c>
      <c r="E87" s="68" t="s">
        <v>441</v>
      </c>
    </row>
    <row r="88" spans="1:5">
      <c r="A88" s="68">
        <v>0.30968699999999999</v>
      </c>
      <c r="B88" s="68">
        <v>0.41369699999999998</v>
      </c>
      <c r="C88" s="68">
        <v>34.968899999999998</v>
      </c>
      <c r="D88" s="68">
        <v>2</v>
      </c>
      <c r="E88" s="68" t="s">
        <v>442</v>
      </c>
    </row>
    <row r="89" spans="1:5">
      <c r="A89" s="68">
        <v>0.303591</v>
      </c>
      <c r="B89" s="68">
        <v>0.42119499999999999</v>
      </c>
      <c r="C89" s="68">
        <v>35.374299999999998</v>
      </c>
      <c r="D89" s="68">
        <v>2</v>
      </c>
      <c r="E89" s="68" t="s">
        <v>443</v>
      </c>
    </row>
    <row r="90" spans="1:5">
      <c r="A90" s="68">
        <v>0.29799500000000001</v>
      </c>
      <c r="B90" s="68">
        <v>0.42737900000000001</v>
      </c>
      <c r="C90" s="68">
        <v>35.782299999999999</v>
      </c>
      <c r="D90" s="68">
        <v>2</v>
      </c>
      <c r="E90" s="68" t="s">
        <v>444</v>
      </c>
    </row>
    <row r="91" spans="1:5">
      <c r="A91" s="68">
        <v>0.29289999999999999</v>
      </c>
      <c r="B91" s="68">
        <v>0.43470399999999998</v>
      </c>
      <c r="C91" s="68">
        <v>36.1858</v>
      </c>
      <c r="D91" s="68">
        <v>2</v>
      </c>
      <c r="E91" s="68" t="s">
        <v>445</v>
      </c>
    </row>
    <row r="92" spans="1:5">
      <c r="A92" s="68">
        <v>0.28856900000000002</v>
      </c>
      <c r="B92" s="68">
        <v>0.440888</v>
      </c>
      <c r="C92" s="68">
        <v>36.591799999999999</v>
      </c>
      <c r="D92" s="68">
        <v>2</v>
      </c>
      <c r="E92" s="68" t="s">
        <v>446</v>
      </c>
    </row>
    <row r="93" spans="1:5">
      <c r="A93" s="68">
        <v>0.28474500000000003</v>
      </c>
      <c r="B93" s="68">
        <v>0.44730700000000001</v>
      </c>
      <c r="C93" s="68">
        <v>36.999899999999997</v>
      </c>
      <c r="D93" s="68">
        <v>2</v>
      </c>
      <c r="E93" s="68" t="s">
        <v>447</v>
      </c>
    </row>
    <row r="94" spans="1:5">
      <c r="A94" s="68">
        <v>0.28134799999999999</v>
      </c>
      <c r="B94" s="68">
        <v>0.45305899999999999</v>
      </c>
      <c r="C94" s="68">
        <v>37.407800000000002</v>
      </c>
      <c r="D94" s="68">
        <v>2</v>
      </c>
      <c r="E94" s="68" t="s">
        <v>448</v>
      </c>
    </row>
    <row r="95" spans="1:5">
      <c r="A95" s="68">
        <v>0.278582</v>
      </c>
      <c r="B95" s="68">
        <v>0.457289</v>
      </c>
      <c r="C95" s="68">
        <v>37.811599999999999</v>
      </c>
      <c r="D95" s="68">
        <v>2</v>
      </c>
      <c r="E95" s="68" t="s">
        <v>449</v>
      </c>
    </row>
    <row r="96" spans="1:5">
      <c r="A96" s="68">
        <v>0.27654200000000001</v>
      </c>
      <c r="B96" s="68">
        <v>0.45997399999999999</v>
      </c>
      <c r="C96" s="68">
        <v>38.218899999999998</v>
      </c>
      <c r="D96" s="68">
        <v>2</v>
      </c>
      <c r="E96" s="68" t="s">
        <v>450</v>
      </c>
    </row>
    <row r="97" spans="1:5">
      <c r="A97" s="68">
        <v>0.27510299999999999</v>
      </c>
      <c r="B97" s="68">
        <v>0.46141300000000002</v>
      </c>
      <c r="C97" s="68">
        <v>38.627200000000002</v>
      </c>
      <c r="D97" s="68">
        <v>2</v>
      </c>
      <c r="E97" s="68" t="s">
        <v>451</v>
      </c>
    </row>
    <row r="98" spans="1:5">
      <c r="A98" s="68">
        <v>0.27424500000000002</v>
      </c>
      <c r="B98" s="68">
        <v>0.46168599999999999</v>
      </c>
      <c r="C98" s="68">
        <v>39.031500000000001</v>
      </c>
      <c r="D98" s="68">
        <v>2</v>
      </c>
      <c r="E98" s="68" t="s">
        <v>452</v>
      </c>
    </row>
    <row r="99" spans="1:5">
      <c r="A99" s="68">
        <v>0.27395199999999997</v>
      </c>
      <c r="B99" s="68">
        <v>0.46072800000000003</v>
      </c>
      <c r="C99" s="68">
        <v>39.441200000000002</v>
      </c>
      <c r="D99" s="68">
        <v>2</v>
      </c>
      <c r="E99" s="68" t="s">
        <v>453</v>
      </c>
    </row>
    <row r="100" spans="1:5">
      <c r="A100" s="68">
        <v>0.27390300000000001</v>
      </c>
      <c r="B100" s="68">
        <v>0.45999800000000002</v>
      </c>
      <c r="C100" s="68">
        <v>39.844900000000003</v>
      </c>
      <c r="D100" s="68">
        <v>2</v>
      </c>
      <c r="E100" s="68" t="s">
        <v>454</v>
      </c>
    </row>
    <row r="101" spans="1:5">
      <c r="A101" s="68">
        <v>0.27423399999999998</v>
      </c>
      <c r="B101" s="68">
        <v>0.45904800000000001</v>
      </c>
      <c r="C101" s="68">
        <v>40.249299999999998</v>
      </c>
      <c r="D101" s="68">
        <v>2</v>
      </c>
      <c r="E101" s="68" t="s">
        <v>455</v>
      </c>
    </row>
    <row r="102" spans="1:5">
      <c r="A102" s="68">
        <v>0.27476699999999998</v>
      </c>
      <c r="B102" s="68">
        <v>0.45812199999999997</v>
      </c>
      <c r="C102" s="68">
        <v>40.654299999999999</v>
      </c>
      <c r="D102" s="68">
        <v>2</v>
      </c>
      <c r="E102" s="68" t="s">
        <v>456</v>
      </c>
    </row>
    <row r="103" spans="1:5">
      <c r="A103" s="68">
        <v>0.275897</v>
      </c>
      <c r="B103" s="68">
        <v>0.45638299999999998</v>
      </c>
      <c r="C103" s="68">
        <v>41.064</v>
      </c>
      <c r="D103" s="68">
        <v>2</v>
      </c>
      <c r="E103" s="68" t="s">
        <v>457</v>
      </c>
    </row>
    <row r="104" spans="1:5">
      <c r="A104" s="68">
        <v>0.27751799999999999</v>
      </c>
      <c r="B104" s="68">
        <v>0.45386599999999999</v>
      </c>
      <c r="C104" s="68">
        <v>41.466799999999999</v>
      </c>
      <c r="D104" s="68">
        <v>2</v>
      </c>
      <c r="E104" s="68" t="s">
        <v>458</v>
      </c>
    </row>
    <row r="105" spans="1:5">
      <c r="A105" s="68">
        <v>0.27988800000000003</v>
      </c>
      <c r="B105" s="68">
        <v>0.45072699999999999</v>
      </c>
      <c r="C105" s="68">
        <v>41.875900000000001</v>
      </c>
      <c r="D105" s="68">
        <v>2</v>
      </c>
      <c r="E105" s="68" t="s">
        <v>459</v>
      </c>
    </row>
    <row r="106" spans="1:5">
      <c r="A106" s="68">
        <v>0.28259899999999999</v>
      </c>
      <c r="B106" s="68">
        <v>0.447127</v>
      </c>
      <c r="C106" s="68">
        <v>42.282299999999999</v>
      </c>
      <c r="D106" s="68">
        <v>2</v>
      </c>
      <c r="E106" s="68" t="s">
        <v>460</v>
      </c>
    </row>
    <row r="107" spans="1:5">
      <c r="A107" s="68">
        <v>0.28528100000000001</v>
      </c>
      <c r="B107" s="68">
        <v>0.44371300000000002</v>
      </c>
      <c r="C107" s="68">
        <v>42.686900000000001</v>
      </c>
      <c r="D107" s="68">
        <v>2</v>
      </c>
      <c r="E107" s="68" t="s">
        <v>461</v>
      </c>
    </row>
    <row r="108" spans="1:5">
      <c r="A108" s="68">
        <v>0.288213</v>
      </c>
      <c r="B108" s="68">
        <v>0.441108</v>
      </c>
      <c r="C108" s="68">
        <v>43.0976</v>
      </c>
      <c r="D108" s="68">
        <v>2</v>
      </c>
      <c r="E108" s="68" t="s">
        <v>462</v>
      </c>
    </row>
    <row r="109" spans="1:5">
      <c r="A109" s="68">
        <v>0.29159499999999999</v>
      </c>
      <c r="B109" s="68">
        <v>0.43853900000000001</v>
      </c>
      <c r="C109" s="68">
        <v>43.5</v>
      </c>
      <c r="D109" s="68">
        <v>2</v>
      </c>
      <c r="E109" s="68" t="s">
        <v>463</v>
      </c>
    </row>
    <row r="110" spans="1:5">
      <c r="A110" s="68">
        <v>0.295427</v>
      </c>
      <c r="B110" s="68">
        <v>0.43643199999999999</v>
      </c>
      <c r="C110" s="68">
        <v>43.9086</v>
      </c>
      <c r="D110" s="68">
        <v>2</v>
      </c>
      <c r="E110" s="68" t="s">
        <v>464</v>
      </c>
    </row>
    <row r="111" spans="1:5">
      <c r="A111" s="68">
        <v>0.29915399999999998</v>
      </c>
      <c r="B111" s="68">
        <v>0.43569999999999998</v>
      </c>
      <c r="C111" s="68">
        <v>44.3125</v>
      </c>
      <c r="D111" s="68">
        <v>2</v>
      </c>
      <c r="E111" s="68" t="s">
        <v>465</v>
      </c>
    </row>
    <row r="112" spans="1:5">
      <c r="A112" s="68">
        <v>0.30240899999999998</v>
      </c>
      <c r="B112" s="68">
        <v>0.43609700000000001</v>
      </c>
      <c r="C112" s="68">
        <v>44.7181</v>
      </c>
      <c r="D112" s="68">
        <v>2</v>
      </c>
      <c r="E112" s="68" t="s">
        <v>466</v>
      </c>
    </row>
    <row r="113" spans="1:5">
      <c r="A113" s="68">
        <v>0.30558099999999999</v>
      </c>
      <c r="B113" s="68">
        <v>0.43687599999999999</v>
      </c>
      <c r="C113" s="68">
        <v>45.125300000000003</v>
      </c>
      <c r="D113" s="68">
        <v>2</v>
      </c>
      <c r="E113" s="68" t="s">
        <v>467</v>
      </c>
    </row>
    <row r="114" spans="1:5">
      <c r="A114" s="68">
        <v>0.30895400000000001</v>
      </c>
      <c r="B114" s="68">
        <v>0.43796299999999999</v>
      </c>
      <c r="C114" s="68">
        <v>45.531500000000001</v>
      </c>
      <c r="D114" s="68">
        <v>2</v>
      </c>
      <c r="E114" s="68" t="s">
        <v>468</v>
      </c>
    </row>
    <row r="115" spans="1:5">
      <c r="A115" s="68">
        <v>0.31264900000000001</v>
      </c>
      <c r="B115" s="68">
        <v>0.43878299999999998</v>
      </c>
      <c r="C115" s="68">
        <v>45.940399999999997</v>
      </c>
      <c r="D115" s="68">
        <v>2</v>
      </c>
      <c r="E115" s="68" t="s">
        <v>469</v>
      </c>
    </row>
    <row r="116" spans="1:5">
      <c r="A116" s="68">
        <v>0.31641599999999998</v>
      </c>
      <c r="B116" s="68">
        <v>0.43804700000000002</v>
      </c>
      <c r="C116" s="68">
        <v>46.344999999999999</v>
      </c>
      <c r="D116" s="68">
        <v>2</v>
      </c>
      <c r="E116" s="68" t="s">
        <v>470</v>
      </c>
    </row>
    <row r="117" spans="1:5">
      <c r="A117" s="68">
        <v>0.31983299999999998</v>
      </c>
      <c r="B117" s="68">
        <v>0.437579</v>
      </c>
      <c r="C117" s="68">
        <v>46.750700000000002</v>
      </c>
      <c r="D117" s="68">
        <v>2</v>
      </c>
      <c r="E117" s="68" t="s">
        <v>471</v>
      </c>
    </row>
    <row r="118" spans="1:5">
      <c r="A118" s="68">
        <v>0.32276199999999999</v>
      </c>
      <c r="B118" s="68">
        <v>0.436805</v>
      </c>
      <c r="C118" s="68">
        <v>47.159300000000002</v>
      </c>
      <c r="D118" s="68">
        <v>2</v>
      </c>
      <c r="E118" s="68" t="s">
        <v>472</v>
      </c>
    </row>
    <row r="119" spans="1:5">
      <c r="A119" s="68">
        <v>0.32546399999999998</v>
      </c>
      <c r="B119" s="68">
        <v>0.43648399999999998</v>
      </c>
      <c r="C119" s="68">
        <v>47.565600000000003</v>
      </c>
      <c r="D119" s="68">
        <v>2</v>
      </c>
      <c r="E119" s="68" t="s">
        <v>473</v>
      </c>
    </row>
    <row r="120" spans="1:5">
      <c r="A120" s="68">
        <v>0.328123</v>
      </c>
      <c r="B120" s="68">
        <v>0.43623600000000001</v>
      </c>
      <c r="C120" s="68">
        <v>47.972700000000003</v>
      </c>
      <c r="D120" s="68">
        <v>2</v>
      </c>
      <c r="E120" s="68" t="s">
        <v>474</v>
      </c>
    </row>
    <row r="121" spans="1:5">
      <c r="A121" s="68">
        <v>0.33060200000000001</v>
      </c>
      <c r="B121" s="68">
        <v>0.43610700000000002</v>
      </c>
      <c r="C121" s="68">
        <v>48.377499999999998</v>
      </c>
      <c r="D121" s="68">
        <v>2</v>
      </c>
      <c r="E121" s="68" t="s">
        <v>475</v>
      </c>
    </row>
    <row r="122" spans="1:5">
      <c r="A122" s="68">
        <v>0.333005</v>
      </c>
      <c r="B122" s="68">
        <v>0.436365</v>
      </c>
      <c r="C122" s="68">
        <v>48.781199999999998</v>
      </c>
      <c r="D122" s="68">
        <v>2</v>
      </c>
      <c r="E122" s="68" t="s">
        <v>476</v>
      </c>
    </row>
    <row r="123" spans="1:5">
      <c r="A123" s="68">
        <v>0.335341</v>
      </c>
      <c r="B123" s="68">
        <v>0.436137</v>
      </c>
      <c r="C123" s="68">
        <v>49.1873</v>
      </c>
      <c r="D123" s="68">
        <v>2</v>
      </c>
      <c r="E123" s="68" t="s">
        <v>477</v>
      </c>
    </row>
    <row r="124" spans="1:5">
      <c r="A124" s="68">
        <v>0.33766400000000002</v>
      </c>
      <c r="B124" s="68">
        <v>0.43540899999999999</v>
      </c>
      <c r="C124" s="68">
        <v>49.593400000000003</v>
      </c>
      <c r="D124" s="68">
        <v>2</v>
      </c>
      <c r="E124" s="68" t="s">
        <v>478</v>
      </c>
    </row>
    <row r="125" spans="1:5">
      <c r="A125" s="68">
        <v>0.33994200000000002</v>
      </c>
      <c r="B125" s="68">
        <v>0.43399599999999999</v>
      </c>
      <c r="C125" s="68">
        <v>50.001399999999997</v>
      </c>
      <c r="D125" s="68">
        <v>2</v>
      </c>
      <c r="E125" s="68" t="s">
        <v>479</v>
      </c>
    </row>
    <row r="126" spans="1:5">
      <c r="A126" s="68">
        <v>0.34127000000000002</v>
      </c>
      <c r="B126" s="68">
        <v>0.433724</v>
      </c>
      <c r="C126" s="68">
        <v>50.406700000000001</v>
      </c>
      <c r="D126" s="68">
        <v>2</v>
      </c>
      <c r="E126" s="68" t="s">
        <v>480</v>
      </c>
    </row>
    <row r="127" spans="1:5">
      <c r="A127" s="68">
        <v>0.34274700000000002</v>
      </c>
      <c r="B127" s="68">
        <v>0.43343399999999999</v>
      </c>
      <c r="C127" s="68">
        <v>50.811</v>
      </c>
      <c r="D127" s="68">
        <v>2</v>
      </c>
      <c r="E127" s="68" t="s">
        <v>481</v>
      </c>
    </row>
    <row r="128" spans="1:5">
      <c r="A128" s="68">
        <v>0.34413899999999997</v>
      </c>
      <c r="B128" s="68">
        <v>0.43307200000000001</v>
      </c>
      <c r="C128" s="68">
        <v>51.216900000000003</v>
      </c>
      <c r="D128" s="68">
        <v>2</v>
      </c>
      <c r="E128" s="68" t="s">
        <v>482</v>
      </c>
    </row>
    <row r="129" spans="1:5">
      <c r="A129" s="68">
        <v>0.34558899999999998</v>
      </c>
      <c r="B129" s="68">
        <v>0.43285699999999999</v>
      </c>
      <c r="C129" s="68">
        <v>51.627499999999998</v>
      </c>
      <c r="D129" s="68">
        <v>2</v>
      </c>
      <c r="E129" s="68" t="s">
        <v>483</v>
      </c>
    </row>
    <row r="130" spans="1:5">
      <c r="A130" s="68">
        <v>0.34671000000000002</v>
      </c>
      <c r="B130" s="68">
        <v>0.43237900000000001</v>
      </c>
      <c r="C130" s="68">
        <v>52.033999999999999</v>
      </c>
      <c r="D130" s="68">
        <v>2</v>
      </c>
      <c r="E130" s="68" t="s">
        <v>484</v>
      </c>
    </row>
    <row r="131" spans="1:5">
      <c r="A131" s="68">
        <v>0.34744399999999998</v>
      </c>
      <c r="B131" s="68">
        <v>0.43161100000000002</v>
      </c>
      <c r="C131" s="68">
        <v>52.439</v>
      </c>
      <c r="D131" s="68">
        <v>2</v>
      </c>
      <c r="E131" s="68" t="s">
        <v>485</v>
      </c>
    </row>
    <row r="132" spans="1:5">
      <c r="A132" s="68">
        <v>0.34811999999999999</v>
      </c>
      <c r="B132" s="68">
        <v>0.43067299999999997</v>
      </c>
      <c r="C132" s="68">
        <v>52.843200000000003</v>
      </c>
      <c r="D132" s="68">
        <v>2</v>
      </c>
      <c r="E132" s="68" t="s">
        <v>486</v>
      </c>
    </row>
    <row r="133" spans="1:5">
      <c r="A133" s="68">
        <v>0.34893200000000002</v>
      </c>
      <c r="B133" s="68">
        <v>0.42964999999999998</v>
      </c>
      <c r="C133" s="68">
        <v>53.252699999999997</v>
      </c>
      <c r="D133" s="68">
        <v>2</v>
      </c>
      <c r="E133" s="68" t="s">
        <v>487</v>
      </c>
    </row>
    <row r="134" spans="1:5">
      <c r="A134" s="68">
        <v>0.34953200000000001</v>
      </c>
      <c r="B134" s="68">
        <v>0.42888399999999999</v>
      </c>
      <c r="C134" s="68">
        <v>53.657899999999998</v>
      </c>
      <c r="D134" s="68">
        <v>2</v>
      </c>
      <c r="E134" s="68" t="s">
        <v>488</v>
      </c>
    </row>
    <row r="135" spans="1:5">
      <c r="A135" s="68">
        <v>0.34990900000000003</v>
      </c>
      <c r="B135" s="68">
        <v>0.42854399999999998</v>
      </c>
      <c r="C135" s="68">
        <v>54.064300000000003</v>
      </c>
      <c r="D135" s="68">
        <v>2</v>
      </c>
      <c r="E135" s="68" t="s">
        <v>489</v>
      </c>
    </row>
    <row r="136" spans="1:5">
      <c r="A136" s="68">
        <v>0.35050199999999998</v>
      </c>
      <c r="B136" s="68">
        <v>0.42787700000000001</v>
      </c>
      <c r="C136" s="68">
        <v>54.47</v>
      </c>
      <c r="D136" s="68">
        <v>2</v>
      </c>
      <c r="E136" s="68" t="s">
        <v>490</v>
      </c>
    </row>
    <row r="137" spans="1:5">
      <c r="A137" s="68">
        <v>0.35162100000000002</v>
      </c>
      <c r="B137" s="68">
        <v>0.42674600000000001</v>
      </c>
      <c r="C137" s="68">
        <v>54.875900000000001</v>
      </c>
      <c r="D137" s="68">
        <v>2</v>
      </c>
      <c r="E137" s="68" t="s">
        <v>491</v>
      </c>
    </row>
    <row r="138" spans="1:5">
      <c r="A138" s="68">
        <v>0.35294799999999998</v>
      </c>
      <c r="B138" s="68">
        <v>0.42558499999999999</v>
      </c>
      <c r="C138" s="68">
        <v>55.281599999999997</v>
      </c>
      <c r="D138" s="68">
        <v>2</v>
      </c>
      <c r="E138" s="68" t="s">
        <v>492</v>
      </c>
    </row>
    <row r="139" spans="1:5">
      <c r="A139" s="68">
        <v>0.35418300000000003</v>
      </c>
      <c r="B139" s="68">
        <v>0.424261</v>
      </c>
      <c r="C139" s="68">
        <v>55.690800000000003</v>
      </c>
      <c r="D139" s="68">
        <v>2</v>
      </c>
      <c r="E139" s="68" t="s">
        <v>493</v>
      </c>
    </row>
    <row r="140" spans="1:5">
      <c r="A140" s="68">
        <v>0.35490300000000002</v>
      </c>
      <c r="B140" s="68">
        <v>0.42286000000000001</v>
      </c>
      <c r="C140" s="68">
        <v>56.095700000000001</v>
      </c>
      <c r="D140" s="68">
        <v>2</v>
      </c>
      <c r="E140" s="68" t="s">
        <v>494</v>
      </c>
    </row>
    <row r="141" spans="1:5">
      <c r="A141" s="68">
        <v>0.35460599999999998</v>
      </c>
      <c r="B141" s="68">
        <v>0.42207499999999998</v>
      </c>
      <c r="C141" s="68">
        <v>56.503900000000002</v>
      </c>
      <c r="D141" s="68">
        <v>2</v>
      </c>
      <c r="E141" s="68" t="s">
        <v>495</v>
      </c>
    </row>
    <row r="142" spans="1:5">
      <c r="A142" s="68">
        <v>0.35442600000000002</v>
      </c>
      <c r="B142" s="68">
        <v>0.42125499999999999</v>
      </c>
      <c r="C142" s="68">
        <v>56.906799999999997</v>
      </c>
      <c r="D142" s="68">
        <v>2</v>
      </c>
      <c r="E142" s="68" t="s">
        <v>496</v>
      </c>
    </row>
    <row r="143" spans="1:5">
      <c r="A143" s="68">
        <v>0.35445100000000002</v>
      </c>
      <c r="B143" s="68">
        <v>0.420655</v>
      </c>
      <c r="C143" s="68">
        <v>57.313000000000002</v>
      </c>
      <c r="D143" s="68">
        <v>2</v>
      </c>
      <c r="E143" s="68" t="s">
        <v>497</v>
      </c>
    </row>
    <row r="144" spans="1:5">
      <c r="A144" s="68">
        <v>0.35512500000000002</v>
      </c>
      <c r="B144" s="68">
        <v>0.41998600000000003</v>
      </c>
      <c r="C144" s="68">
        <v>57.717399999999998</v>
      </c>
      <c r="D144" s="68">
        <v>2</v>
      </c>
      <c r="E144" s="68" t="s">
        <v>498</v>
      </c>
    </row>
    <row r="145" spans="1:5">
      <c r="A145" s="68">
        <v>0.35620600000000002</v>
      </c>
      <c r="B145" s="68">
        <v>0.42029100000000003</v>
      </c>
      <c r="C145" s="68">
        <v>58.124099999999999</v>
      </c>
      <c r="D145" s="68">
        <v>2</v>
      </c>
      <c r="E145" s="68" t="s">
        <v>499</v>
      </c>
    </row>
    <row r="146" spans="1:5">
      <c r="A146" s="68">
        <v>0.357346</v>
      </c>
      <c r="B146" s="68">
        <v>0.41951899999999998</v>
      </c>
      <c r="C146" s="68">
        <v>58.5336</v>
      </c>
      <c r="D146" s="68">
        <v>2</v>
      </c>
      <c r="E146" s="68" t="s">
        <v>500</v>
      </c>
    </row>
    <row r="147" spans="1:5">
      <c r="A147" s="68">
        <v>0.35896499999999998</v>
      </c>
      <c r="B147" s="68">
        <v>0.41640199999999999</v>
      </c>
      <c r="C147" s="68">
        <v>58.938299999999998</v>
      </c>
      <c r="D147" s="68">
        <v>2</v>
      </c>
      <c r="E147" s="68" t="s">
        <v>501</v>
      </c>
    </row>
    <row r="148" spans="1:5">
      <c r="A148" s="68">
        <v>0.36007400000000001</v>
      </c>
      <c r="B148" s="68">
        <v>0.41324100000000002</v>
      </c>
      <c r="C148" s="68">
        <v>59.345799999999997</v>
      </c>
      <c r="D148" s="68">
        <v>2</v>
      </c>
      <c r="E148" s="68" t="s">
        <v>502</v>
      </c>
    </row>
    <row r="149" spans="1:5">
      <c r="A149" s="68">
        <v>0.36117700000000003</v>
      </c>
      <c r="B149" s="68">
        <v>0.41174300000000003</v>
      </c>
      <c r="C149" s="68">
        <v>59.751800000000003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293</v>
      </c>
      <c r="G1" s="66" t="s">
        <v>347</v>
      </c>
      <c r="H1" s="66" t="s">
        <v>509</v>
      </c>
      <c r="I1" s="66" t="s">
        <v>510</v>
      </c>
      <c r="J1" s="66" t="s">
        <v>511</v>
      </c>
      <c r="K1" s="66" t="s">
        <v>512</v>
      </c>
      <c r="L1" s="66" t="s">
        <v>513</v>
      </c>
      <c r="M1" s="66" t="s">
        <v>514</v>
      </c>
      <c r="N1" s="66"/>
    </row>
    <row r="2" spans="1:14">
      <c r="A2" s="75">
        <v>43612.726111111115</v>
      </c>
      <c r="B2" s="66" t="s">
        <v>505</v>
      </c>
      <c r="C2" s="66"/>
      <c r="D2" s="66"/>
      <c r="E2" s="66">
        <v>4.9234099999999996</v>
      </c>
      <c r="F2" s="66">
        <v>1.6850799999999999</v>
      </c>
      <c r="G2" s="66">
        <v>0.624363</v>
      </c>
      <c r="H2" s="66">
        <v>0</v>
      </c>
      <c r="I2" s="66">
        <v>89490</v>
      </c>
      <c r="J2" s="66">
        <v>88</v>
      </c>
      <c r="K2" s="66">
        <v>88</v>
      </c>
      <c r="L2" s="66">
        <v>0</v>
      </c>
      <c r="M2" s="66" t="s">
        <v>515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2019-05-27T09:26:20Z</cp:lastPrinted>
  <dcterms:created xsi:type="dcterms:W3CDTF">2010-10-29T12:53:05Z</dcterms:created>
  <dcterms:modified xsi:type="dcterms:W3CDTF">2019-05-27T09:26:39Z</dcterms:modified>
</cp:coreProperties>
</file>