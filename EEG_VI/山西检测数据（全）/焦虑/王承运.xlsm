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<sst xmlns="http://schemas.openxmlformats.org/spreadsheetml/2006/main" count="702" uniqueCount="574">
  <si>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</si>
  <si>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</si>
  <si>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</si>
  <si>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</si>
  <si>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</si>
  <si>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</si>
  <si>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</si>
  <si>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</si>
  <si>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</si>
  <si>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</si>
  <si>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</si>
  <si>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</si>
  <si>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</si>
  <si>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</si>
  <si>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</si>
  <si>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</si>
  <si>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</si>
  <si>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</si>
  <si>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</si>
  <si>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</si>
  <si>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</si>
  <si>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</si>
  <si>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</si>
  <si>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</si>
  <si>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</si>
  <si>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</si>
  <si>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</si>
  <si>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</si>
  <si>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</si>
  <si>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</si>
  <si>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</si>
  <si>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</si>
  <si>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</si>
  <si>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</si>
  <si>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</si>
  <si>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</si>
  <si>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</si>
  <si>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</si>
  <si>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</si>
  <si>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</si>
  <si>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</si>
  <si>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</si>
  <si>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</si>
  <si>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</si>
  <si>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</si>
  <si>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</si>
  <si>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</si>
  <si>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</si>
  <si>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</si>
  <si>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</si>
  <si>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</si>
  <si>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</si>
  <si>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</si>
  <si>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</si>
  <si>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</si>
  <si>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</si>
  <si>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</si>
  <si>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</si>
  <si>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</si>
  <si>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</si>
  <si>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</si>
  <si>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</si>
  <si>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</si>
  <si>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</si>
  <si>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</si>
  <si>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</si>
  <si>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</si>
  <si>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</si>
  <si>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</si>
  <si>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</si>
  <si>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</si>
  <si>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</si>
  <si>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</si>
  <si>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</si>
  <si>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</si>
  <si>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</si>
  <si>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</si>
  <si>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</si>
  <si>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</si>
  <si>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</si>
  <si>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</si>
  <si>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</si>
  <si>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</si>
  <si>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</si>
  <si>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</si>
  <si>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</si>
  <si>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</si>
  <si>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</si>
  <si>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</si>
  <si>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</si>
  <si>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</si>
  <si>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</si>
  <si>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</si>
  <si>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</si>
  <si>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</si>
  <si>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</si>
  <si>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</si>
  <si>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</si>
  <si>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</si>
  <si>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</si>
  <si>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</si>
  <si>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</si>
  <si>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</si>
  <si>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</si>
  <si>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</si>
  <si>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</si>
  <si>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</si>
  <si>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</si>
  <si>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</si>
  <si>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</si>
  <si>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</si>
  <si>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</si>
  <si>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</si>
  <si>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</si>
  <si>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</si>
  <si>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</si>
  <si>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</si>
  <si>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</si>
  <si>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</si>
  <si>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</si>
  <si>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</si>
  <si>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</si>
  <si>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</si>
  <si>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</si>
  <si>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</si>
  <si>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</si>
  <si>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</si>
  <si>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</si>
  <si>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</si>
  <si>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</si>
  <si>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</si>
  <si>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</si>
  <si>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</si>
  <si>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</si>
  <si>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</si>
  <si>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</si>
  <si>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</si>
  <si>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</si>
  <si>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</si>
  <si>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</si>
  <si>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</si>
  <si>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</si>
  <si>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</si>
  <si>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</si>
  <si>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</si>
  <si>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</si>
  <si>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</si>
  <si>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</si>
  <si>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</si>
  <si>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</si>
  <si>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</si>
  <si>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</si>
  <si>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</si>
  <si>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</si>
  <si>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</si>
  <si>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</si>
  <si>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</si>
  <si>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</si>
  <si>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</si>
  <si>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</si>
  <si>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</si>
  <si>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</si>
  <si>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</si>
  <si>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</si>
  <si>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</si>
  <si>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</si>
  <si>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</si>
  <si>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</si>
  <si>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</si>
  <si>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</si>
  <si>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</si>
  <si>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</si>
  <si>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</si>
  <si>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</si>
  <si>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</si>
  <si>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</si>
  <si>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</si>
  <si>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</si>
  <si>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</si>
  <si>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</si>
  <si>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</si>
  <si>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</si>
  <si>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</si>
  <si>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</si>
  <si>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</si>
  <si>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</si>
  <si>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</si>
  <si>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</si>
  <si>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</si>
  <si>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</si>
  <si>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</si>
  <si>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</si>
  <si>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</si>
  <si>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</si>
  <si>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</si>
  <si>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</si>
  <si>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</si>
  <si>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</si>
  <si>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</si>
  <si>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</si>
  <si>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</si>
  <si>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</si>
  <si>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</si>
  <si>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</si>
  <si>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</si>
  <si>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</si>
  <si>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</si>
  <si>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</si>
  <si>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</si>
  <si>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</si>
  <si>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</si>
  <si>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</si>
  <si>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</si>
  <si>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</si>
  <si>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</si>
  <si>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</si>
  <si>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</si>
  <si>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</si>
  <si>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</si>
  <si>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</si>
  <si>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</si>
  <si>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</si>
  <si>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</si>
  <si>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</si>
  <si>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</si>
  <si>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</si>
  <si>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</si>
  <si>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</si>
  <si>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</si>
  <si>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</si>
  <si>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</si>
  <si>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</si>
  <si>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</si>
  <si>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</si>
  <si>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</si>
  <si>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</si>
  <si>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</si>
  <si>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</si>
  <si>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</si>
  <si>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</si>
  <si>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</si>
  <si>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</si>
  <si>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</si>
  <si>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</si>
  <si>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</si>
  <si>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</si>
  <si>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</si>
  <si>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</si>
  <si>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</si>
  <si>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</si>
  <si>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</si>
  <si>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</si>
  <si>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</si>
  <si>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</si>
  <si>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</si>
  <si>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</si>
  <si>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</si>
  <si>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</si>
  <si>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</si>
  <si>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</si>
  <si>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</si>
  <si>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</si>
  <si>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</si>
  <si>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</si>
  <si>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</si>
  <si>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</si>
  <si>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</si>
  <si>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</si>
  <si>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</si>
  <si>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</si>
  <si>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</si>
  <si>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</si>
  <si>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</si>
  <si>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</si>
  <si>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</si>
  <si>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</si>
  <si>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</si>
  <si>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</si>
  <si>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</si>
  <si>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</si>
  <si>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</si>
  <si>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</si>
  <si>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</si>
  <si>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</si>
  <si>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</si>
  <si>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</si>
  <si>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</si>
  <si>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</si>
  <si>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</si>
  <si>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</si>
  <si>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</si>
  <si>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</si>
  <si>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</si>
  <si>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</si>
  <si>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</si>
  <si>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</si>
  <si>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</si>
  <si>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</si>
  <si>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</si>
  <si>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</si>
  <si>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</si>
  <si>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</si>
  <si>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</si>
  <si>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</si>
  <si>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</si>
  <si>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</si>
  <si>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</si>
  <si>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</si>
  <si>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</si>
  <si>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</si>
  <si>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</si>
  <si>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</si>
  <si>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</si>
  <si>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</si>
  <si>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</si>
  <si>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</si>
  <si>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</si>
  <si>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</si>
  <si>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</si>
  <si>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</si>
  <si>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</si>
  <si>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</si>
  <si>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</si>
  <si>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</si>
  <si>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</si>
  <si>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</si>
  <si>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</si>
  <si>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</si>
  <si>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</si>
  <si>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</si>
  <si>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</si>
  <si>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</si>
  <si>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</si>
  <si>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</si>
  <si>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</si>
  <si>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</si>
  <si>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</si>
  <si>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</si>
  <si>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</si>
  <si>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</si>
  <si>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</si>
  <si>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</si>
  <si>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</si>
  <si>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</si>
  <si>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</si>
  <si>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</si>
  <si>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</si>
  <si>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</si>
  <si>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</si>
  <si>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</si>
  <si>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</si>
  <si>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</si>
  <si>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</si>
  <si>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</si>
  <si>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</si>
  <si>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</si>
  <si>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</si>
  <si>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</si>
  <si>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</si>
  <si>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</si>
  <si>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</si>
  <si>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</si>
  <si>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</si>
  <si>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</si>
  <si>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</si>
  <si>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</si>
  <si>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</si>
  <si>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</si>
  <si>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</si>
  <si>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</si>
  <si>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</si>
  <si>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</si>
  <si>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</si>
  <si>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</si>
  <si>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</si>
  <si>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</si>
  <si>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</si>
  <si>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</si>
  <si>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</si>
  <si>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</si>
  <si>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</si>
  <si>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</si>
  <si>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</si>
  <si>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</si>
  <si>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</si>
  <si>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</si>
  <si>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</si>
  <si>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</si>
  <si>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</si>
  <si>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</si>
  <si>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</si>
  <si>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</si>
  <si>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</si>
  <si>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</si>
  <si>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</si>
  <si>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</si>
  <si>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</si>
  <si>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</si>
  <si>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</si>
  <si>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</si>
  <si>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</si>
  <si>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</si>
  <si>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自我调节(P18)</t>
    <phoneticPr fontId="29" type="noConversion"/>
  </si>
  <si>
    <t>dF1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</si>
  <si>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</si>
  <si>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</si>
  <si>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</si>
  <si>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</si>
  <si>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</si>
  <si>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</si>
  <si>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</si>
  <si>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</si>
  <si>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[0.354666]</t>
  </si>
  <si>
    <t>1 [0.759798]</t>
  </si>
  <si>
    <t>1 [1.164984]</t>
  </si>
  <si>
    <t>1 [1.571346]</t>
  </si>
  <si>
    <t>1 [1.977606]</t>
  </si>
  <si>
    <t>1 [2.382705]</t>
  </si>
  <si>
    <t>1 [2.791020]</t>
  </si>
  <si>
    <t>1 [3.197381]</t>
  </si>
  <si>
    <t>1 [3.600262]</t>
  </si>
  <si>
    <t>1 [4.010893]</t>
  </si>
  <si>
    <t>1 [4.415881]</t>
  </si>
  <si>
    <t>1 [4.821844]</t>
  </si>
  <si>
    <t>1 [5.227538]</t>
  </si>
  <si>
    <t>1 [5.635661]</t>
  </si>
  <si>
    <t>1 [6.041745]</t>
  </si>
  <si>
    <t>1 [6.448903]</t>
  </si>
  <si>
    <t>1 [6.855143]</t>
  </si>
  <si>
    <t>1 [7.261348]</t>
  </si>
  <si>
    <t>1 [7.664731]</t>
  </si>
  <si>
    <t>1 [8.072775]</t>
  </si>
  <si>
    <t>1 [8.478882]</t>
  </si>
  <si>
    <t>1 [8.886928]</t>
  </si>
  <si>
    <t>1 [9.289218]</t>
  </si>
  <si>
    <t>1 [9.696209]</t>
  </si>
  <si>
    <t>1 [10.102264]</t>
  </si>
  <si>
    <t>1 [10.511159]</t>
  </si>
  <si>
    <t>1 [10.918379]</t>
  </si>
  <si>
    <t>1 [11.320012]</t>
  </si>
  <si>
    <t>1 [11.727929]</t>
  </si>
  <si>
    <t>1 [12.133473]</t>
  </si>
  <si>
    <t>1 [12.542274]</t>
  </si>
  <si>
    <t>1 [12.946941]</t>
  </si>
  <si>
    <t>1 [13.353624]</t>
  </si>
  <si>
    <t>1 [13.759083]</t>
  </si>
  <si>
    <t>1 [14.163832]</t>
  </si>
  <si>
    <t>1 [14.575418]</t>
  </si>
  <si>
    <t>1 [14.978562]</t>
  </si>
  <si>
    <t>1 [15.388919]</t>
  </si>
  <si>
    <t>1 [15.788872]</t>
  </si>
  <si>
    <t>1 [16.196140]</t>
  </si>
  <si>
    <t>1 [16.603674]</t>
  </si>
  <si>
    <t>1 [17.013372]</t>
  </si>
  <si>
    <t>1 [17.419203]</t>
  </si>
  <si>
    <t>1 [17.820812]</t>
  </si>
  <si>
    <t>1 [18.227221]</t>
  </si>
  <si>
    <t>1 [18.631730]</t>
  </si>
  <si>
    <t>1 [19.039196]</t>
  </si>
  <si>
    <t>1 [19.447626]</t>
  </si>
  <si>
    <t>1 [19.857113]</t>
  </si>
  <si>
    <t>1 [20.257435]</t>
  </si>
  <si>
    <t>1 [20.663119]</t>
  </si>
  <si>
    <t>1 [21.072050]</t>
  </si>
  <si>
    <t>1 [21.476899]</t>
  </si>
  <si>
    <t>1 [21.884637]</t>
  </si>
  <si>
    <t>1 [22.291290]</t>
  </si>
  <si>
    <t>1 [22.697633]</t>
  </si>
  <si>
    <t>1 [23.101954]</t>
  </si>
  <si>
    <t>1 [23.508284]</t>
  </si>
  <si>
    <t>1 [23.913676]</t>
  </si>
  <si>
    <t>1 [24.322320]</t>
  </si>
  <si>
    <t>1 [24.729192]</t>
  </si>
  <si>
    <t>1 [25.133929]</t>
  </si>
  <si>
    <t>1 [25.544153]</t>
  </si>
  <si>
    <t>1 [25.947307]</t>
  </si>
  <si>
    <t>1 [26.353929]</t>
  </si>
  <si>
    <t>1 [26.759376]</t>
  </si>
  <si>
    <t>1 [27.163144]</t>
  </si>
  <si>
    <t>1 [27.570490]</t>
  </si>
  <si>
    <t>1 [27.977569]</t>
  </si>
  <si>
    <t>1 [28.384027]</t>
  </si>
  <si>
    <t>1 [28.790550]</t>
  </si>
  <si>
    <t>1 [29.196506]</t>
  </si>
  <si>
    <t>1 [29.603584]</t>
  </si>
  <si>
    <t>1 [30.011046]</t>
  </si>
  <si>
    <t>2 [30.603257]</t>
  </si>
  <si>
    <t>2 [30.978921]</t>
  </si>
  <si>
    <t>2 [31.353346]</t>
  </si>
  <si>
    <t>2 [31.727412]</t>
  </si>
  <si>
    <t>2 [32.106885]</t>
  </si>
  <si>
    <t>2 [32.508624]</t>
  </si>
  <si>
    <t>2 [32.917251]</t>
  </si>
  <si>
    <t>2 [33.322115]</t>
  </si>
  <si>
    <t>2 [33.728289]</t>
  </si>
  <si>
    <t>2 [34.132336]</t>
  </si>
  <si>
    <t>2 [34.542872]</t>
  </si>
  <si>
    <t>2 [34.948618]</t>
  </si>
  <si>
    <t>2 [35.350675]</t>
  </si>
  <si>
    <t>2 [35.756384]</t>
  </si>
  <si>
    <t>2 [36.165374]</t>
  </si>
  <si>
    <t>2 [36.570410]</t>
  </si>
  <si>
    <t>2 [36.981810]</t>
  </si>
  <si>
    <t>2 [37.387601]</t>
  </si>
  <si>
    <t>2 [37.789184]</t>
  </si>
  <si>
    <t>2 [38.196341]</t>
  </si>
  <si>
    <t>2 [38.603931]</t>
  </si>
  <si>
    <t>2 [39.013748]</t>
  </si>
  <si>
    <t>2 [39.415288]</t>
  </si>
  <si>
    <t>2 [39.821337]</t>
  </si>
  <si>
    <t>2 [40.226531]</t>
  </si>
  <si>
    <t>2 [40.633295]</t>
  </si>
  <si>
    <t>2 [41.039034]</t>
  </si>
  <si>
    <t>2 [41.449628]</t>
  </si>
  <si>
    <t>2 [41.853608]</t>
  </si>
  <si>
    <t>2 [42.261802]</t>
  </si>
  <si>
    <t>2 [42.665809]</t>
  </si>
  <si>
    <t>2 [43.069386]</t>
  </si>
  <si>
    <t>2 [43.477964]</t>
  </si>
  <si>
    <t>2 [43.886531]</t>
  </si>
  <si>
    <t>2 [44.291660]</t>
  </si>
  <si>
    <t>2 [44.698698]</t>
  </si>
  <si>
    <t>2 [45.103155]</t>
  </si>
  <si>
    <t>2 [45.510066]</t>
  </si>
  <si>
    <t>2 [45.917621]</t>
  </si>
  <si>
    <t>2 [46.322329]</t>
  </si>
  <si>
    <t>2 [46.729392]</t>
  </si>
  <si>
    <t>2 [47.131528]</t>
  </si>
  <si>
    <t>2 [47.538695]</t>
  </si>
  <si>
    <t>2 [47.946312]</t>
  </si>
  <si>
    <t>2 [48.352064]</t>
  </si>
  <si>
    <t>2 [48.756333]</t>
  </si>
  <si>
    <t>2 [49.165149]</t>
  </si>
  <si>
    <t>2 [49.570072]</t>
  </si>
  <si>
    <t>2 [49.979763]</t>
  </si>
  <si>
    <t>2 [50.386543]</t>
  </si>
  <si>
    <t>2 [50.792359]</t>
  </si>
  <si>
    <t>2 [51.195569]</t>
  </si>
  <si>
    <t>2 [51.603349]</t>
  </si>
  <si>
    <t>2 [52.011046]</t>
  </si>
  <si>
    <t>2 [52.415019]</t>
  </si>
  <si>
    <t>2 [52.822523]</t>
  </si>
  <si>
    <t>2 [53.227311]</t>
  </si>
  <si>
    <t>2 [53.633593]</t>
  </si>
  <si>
    <t>2 [54.041901]</t>
  </si>
  <si>
    <t>2 [54.448901]</t>
  </si>
  <si>
    <t>2 [54.854905]</t>
  </si>
  <si>
    <t>2 [55.257125]</t>
  </si>
  <si>
    <t>2 [55.666536]</t>
  </si>
  <si>
    <t>2 [56.071922]</t>
  </si>
  <si>
    <t>2 [56.478877]</t>
  </si>
  <si>
    <t>2 [56.882870]</t>
  </si>
  <si>
    <t>2 [57.288745]</t>
  </si>
  <si>
    <t>2 [57.696724]</t>
  </si>
  <si>
    <t>2 [58.101484]</t>
  </si>
  <si>
    <t>2 [58.509812]</t>
  </si>
  <si>
    <t>2 [58.917617]</t>
  </si>
  <si>
    <t>2 [59.320791]</t>
  </si>
  <si>
    <t>2 [59.726576]</t>
  </si>
  <si>
    <t>2 [60.134259]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</si>
  <si>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</si>
  <si>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</si>
  <si>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</si>
  <si>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</si>
  <si>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</si>
  <si>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</si>
  <si>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</si>
  <si>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</si>
  <si>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</si>
  <si>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</si>
  <si>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</si>
  <si>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</si>
  <si>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</si>
  <si>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王承运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</si>
</sst>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37.988500000000002</c:v>
                </c:pt>
                <c:pt idx="1">
                  <c:v>28.0106</c:v>
                </c:pt>
                <c:pt idx="2">
                  <c:v>24.0824</c:v>
                </c:pt>
                <c:pt idx="3">
                  <c:v>29.022600000000001</c:v>
                </c:pt>
                <c:pt idx="4">
                  <c:v>66.457999999999998</c:v>
                </c:pt>
                <c:pt idx="5">
                  <c:v>78.603899999999996</c:v>
                </c:pt>
                <c:pt idx="6">
                  <c:v>22.685500000000001</c:v>
                </c:pt>
                <c:pt idx="7">
                  <c:v>73.707999999999998</c:v>
                </c:pt>
                <c:pt idx="8">
                  <c:v>22.118600000000001</c:v>
                </c:pt>
                <c:pt idx="9">
                  <c:v>40.298400000000001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0.49744259039315525</c:v>
                </c:pt>
                <c:pt idx="1">
                  <c:v>0.24537638019462563</c:v>
                </c:pt>
                <c:pt idx="2">
                  <c:v>0.25718102941221921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1588</c:v>
                </c:pt>
                <c:pt idx="7">
                  <c:v>0</c:v>
                </c:pt>
                <c:pt idx="8">
                  <c:v>6936</c:v>
                </c:pt>
                <c:pt idx="9">
                  <c:v>0</c:v>
                </c:pt>
                <c:pt idx="10">
                  <c:v>0</c:v>
                </c:pt>
                <c:pt idx="11">
                  <c:v>10577</c:v>
                </c:pt>
                <c:pt idx="12">
                  <c:v>0</c:v>
                </c:pt>
                <c:pt idx="13">
                  <c:v>13367</c:v>
                </c:pt>
                <c:pt idx="14">
                  <c:v>0</c:v>
                </c:pt>
                <c:pt idx="15">
                  <c:v>0</c:v>
                </c:pt>
                <c:pt idx="16">
                  <c:v>18448</c:v>
                </c:pt>
                <c:pt idx="17">
                  <c:v>0</c:v>
                </c:pt>
                <c:pt idx="18">
                  <c:v>0</c:v>
                </c:pt>
                <c:pt idx="19">
                  <c:v>23369</c:v>
                </c:pt>
                <c:pt idx="20">
                  <c:v>0</c:v>
                </c:pt>
                <c:pt idx="21">
                  <c:v>33715</c:v>
                </c:pt>
                <c:pt idx="22">
                  <c:v>0</c:v>
                </c:pt>
                <c:pt idx="23">
                  <c:v>0</c:v>
                </c:pt>
                <c:pt idx="24">
                  <c:v>41160</c:v>
                </c:pt>
                <c:pt idx="25">
                  <c:v>0</c:v>
                </c:pt>
                <c:pt idx="26">
                  <c:v>59151</c:v>
                </c:pt>
                <c:pt idx="27">
                  <c:v>0</c:v>
                </c:pt>
                <c:pt idx="28">
                  <c:v>0</c:v>
                </c:pt>
                <c:pt idx="29">
                  <c:v>58679</c:v>
                </c:pt>
                <c:pt idx="30">
                  <c:v>0</c:v>
                </c:pt>
                <c:pt idx="31">
                  <c:v>63028</c:v>
                </c:pt>
                <c:pt idx="32">
                  <c:v>0</c:v>
                </c:pt>
                <c:pt idx="33">
                  <c:v>0</c:v>
                </c:pt>
                <c:pt idx="34">
                  <c:v>62403</c:v>
                </c:pt>
                <c:pt idx="35">
                  <c:v>0</c:v>
                </c:pt>
                <c:pt idx="36">
                  <c:v>0</c:v>
                </c:pt>
                <c:pt idx="37">
                  <c:v>72536</c:v>
                </c:pt>
                <c:pt idx="38">
                  <c:v>0</c:v>
                </c:pt>
                <c:pt idx="39">
                  <c:v>78923</c:v>
                </c:pt>
                <c:pt idx="40">
                  <c:v>0</c:v>
                </c:pt>
                <c:pt idx="41">
                  <c:v>0</c:v>
                </c:pt>
                <c:pt idx="42">
                  <c:v>78061</c:v>
                </c:pt>
                <c:pt idx="43">
                  <c:v>0</c:v>
                </c:pt>
                <c:pt idx="44">
                  <c:v>84427</c:v>
                </c:pt>
                <c:pt idx="45">
                  <c:v>0</c:v>
                </c:pt>
                <c:pt idx="46">
                  <c:v>0</c:v>
                </c:pt>
                <c:pt idx="47">
                  <c:v>91354</c:v>
                </c:pt>
                <c:pt idx="48">
                  <c:v>0</c:v>
                </c:pt>
                <c:pt idx="49">
                  <c:v>98476</c:v>
                </c:pt>
                <c:pt idx="50">
                  <c:v>0</c:v>
                </c:pt>
                <c:pt idx="51">
                  <c:v>0</c:v>
                </c:pt>
                <c:pt idx="52">
                  <c:v>100991</c:v>
                </c:pt>
                <c:pt idx="53">
                  <c:v>0</c:v>
                </c:pt>
                <c:pt idx="54">
                  <c:v>0</c:v>
                </c:pt>
                <c:pt idx="55">
                  <c:v>120896</c:v>
                </c:pt>
                <c:pt idx="56">
                  <c:v>0</c:v>
                </c:pt>
                <c:pt idx="57">
                  <c:v>122793</c:v>
                </c:pt>
                <c:pt idx="58">
                  <c:v>0</c:v>
                </c:pt>
                <c:pt idx="59">
                  <c:v>0</c:v>
                </c:pt>
                <c:pt idx="60">
                  <c:v>136685</c:v>
                </c:pt>
                <c:pt idx="61">
                  <c:v>0</c:v>
                </c:pt>
                <c:pt idx="62">
                  <c:v>144846</c:v>
                </c:pt>
                <c:pt idx="63">
                  <c:v>0</c:v>
                </c:pt>
                <c:pt idx="64">
                  <c:v>0</c:v>
                </c:pt>
                <c:pt idx="65">
                  <c:v>153915</c:v>
                </c:pt>
                <c:pt idx="66">
                  <c:v>0</c:v>
                </c:pt>
                <c:pt idx="67">
                  <c:v>165918</c:v>
                </c:pt>
                <c:pt idx="68">
                  <c:v>0</c:v>
                </c:pt>
                <c:pt idx="69">
                  <c:v>0</c:v>
                </c:pt>
                <c:pt idx="70">
                  <c:v>174544</c:v>
                </c:pt>
                <c:pt idx="71">
                  <c:v>0</c:v>
                </c:pt>
                <c:pt idx="72">
                  <c:v>0</c:v>
                </c:pt>
                <c:pt idx="73">
                  <c:v>174449</c:v>
                </c:pt>
                <c:pt idx="74">
                  <c:v>0</c:v>
                </c:pt>
                <c:pt idx="75">
                  <c:v>182258</c:v>
                </c:pt>
                <c:pt idx="76">
                  <c:v>0</c:v>
                </c:pt>
                <c:pt idx="77">
                  <c:v>0</c:v>
                </c:pt>
                <c:pt idx="78">
                  <c:v>188502</c:v>
                </c:pt>
                <c:pt idx="79">
                  <c:v>0</c:v>
                </c:pt>
                <c:pt idx="80">
                  <c:v>190489</c:v>
                </c:pt>
                <c:pt idx="81">
                  <c:v>0</c:v>
                </c:pt>
                <c:pt idx="82">
                  <c:v>0</c:v>
                </c:pt>
                <c:pt idx="83">
                  <c:v>196770</c:v>
                </c:pt>
                <c:pt idx="84">
                  <c:v>0</c:v>
                </c:pt>
                <c:pt idx="85">
                  <c:v>0</c:v>
                </c:pt>
                <c:pt idx="86">
                  <c:v>200389</c:v>
                </c:pt>
                <c:pt idx="87">
                  <c:v>0</c:v>
                </c:pt>
                <c:pt idx="88">
                  <c:v>200837</c:v>
                </c:pt>
                <c:pt idx="89">
                  <c:v>0</c:v>
                </c:pt>
                <c:pt idx="90">
                  <c:v>0</c:v>
                </c:pt>
                <c:pt idx="91">
                  <c:v>203842</c:v>
                </c:pt>
                <c:pt idx="92">
                  <c:v>0</c:v>
                </c:pt>
                <c:pt idx="93">
                  <c:v>210644</c:v>
                </c:pt>
                <c:pt idx="94">
                  <c:v>0</c:v>
                </c:pt>
                <c:pt idx="95">
                  <c:v>0</c:v>
                </c:pt>
                <c:pt idx="96">
                  <c:v>206569</c:v>
                </c:pt>
                <c:pt idx="97">
                  <c:v>0</c:v>
                </c:pt>
                <c:pt idx="98">
                  <c:v>197774</c:v>
                </c:pt>
                <c:pt idx="99">
                  <c:v>0</c:v>
                </c:pt>
                <c:pt idx="100">
                  <c:v>0</c:v>
                </c:pt>
                <c:pt idx="101">
                  <c:v>180253</c:v>
                </c:pt>
                <c:pt idx="102">
                  <c:v>0</c:v>
                </c:pt>
                <c:pt idx="103">
                  <c:v>0</c:v>
                </c:pt>
                <c:pt idx="104">
                  <c:v>163313</c:v>
                </c:pt>
                <c:pt idx="105">
                  <c:v>0</c:v>
                </c:pt>
                <c:pt idx="106">
                  <c:v>147528</c:v>
                </c:pt>
                <c:pt idx="107">
                  <c:v>0</c:v>
                </c:pt>
                <c:pt idx="108">
                  <c:v>0</c:v>
                </c:pt>
                <c:pt idx="109">
                  <c:v>135494</c:v>
                </c:pt>
                <c:pt idx="110">
                  <c:v>0</c:v>
                </c:pt>
                <c:pt idx="111">
                  <c:v>124464</c:v>
                </c:pt>
                <c:pt idx="112">
                  <c:v>0</c:v>
                </c:pt>
                <c:pt idx="113">
                  <c:v>0</c:v>
                </c:pt>
                <c:pt idx="114">
                  <c:v>112937</c:v>
                </c:pt>
                <c:pt idx="115">
                  <c:v>0</c:v>
                </c:pt>
                <c:pt idx="116">
                  <c:v>108524</c:v>
                </c:pt>
                <c:pt idx="117">
                  <c:v>0</c:v>
                </c:pt>
                <c:pt idx="118">
                  <c:v>0</c:v>
                </c:pt>
                <c:pt idx="119">
                  <c:v>104963</c:v>
                </c:pt>
                <c:pt idx="120">
                  <c:v>0</c:v>
                </c:pt>
                <c:pt idx="121">
                  <c:v>0</c:v>
                </c:pt>
                <c:pt idx="122">
                  <c:v>93250</c:v>
                </c:pt>
                <c:pt idx="123">
                  <c:v>0</c:v>
                </c:pt>
                <c:pt idx="124">
                  <c:v>84726</c:v>
                </c:pt>
                <c:pt idx="125">
                  <c:v>0</c:v>
                </c:pt>
                <c:pt idx="126">
                  <c:v>0</c:v>
                </c:pt>
                <c:pt idx="127">
                  <c:v>86046</c:v>
                </c:pt>
                <c:pt idx="128">
                  <c:v>0</c:v>
                </c:pt>
                <c:pt idx="129">
                  <c:v>74198</c:v>
                </c:pt>
                <c:pt idx="130">
                  <c:v>0</c:v>
                </c:pt>
                <c:pt idx="131">
                  <c:v>0</c:v>
                </c:pt>
                <c:pt idx="132">
                  <c:v>71287</c:v>
                </c:pt>
                <c:pt idx="133">
                  <c:v>0</c:v>
                </c:pt>
                <c:pt idx="134">
                  <c:v>66465</c:v>
                </c:pt>
                <c:pt idx="135">
                  <c:v>0</c:v>
                </c:pt>
                <c:pt idx="136">
                  <c:v>0</c:v>
                </c:pt>
                <c:pt idx="137">
                  <c:v>63047</c:v>
                </c:pt>
                <c:pt idx="138">
                  <c:v>0</c:v>
                </c:pt>
                <c:pt idx="139">
                  <c:v>0</c:v>
                </c:pt>
                <c:pt idx="140">
                  <c:v>55525</c:v>
                </c:pt>
                <c:pt idx="141">
                  <c:v>0</c:v>
                </c:pt>
                <c:pt idx="142">
                  <c:v>45574</c:v>
                </c:pt>
                <c:pt idx="143">
                  <c:v>0</c:v>
                </c:pt>
                <c:pt idx="144">
                  <c:v>0</c:v>
                </c:pt>
                <c:pt idx="145">
                  <c:v>35210</c:v>
                </c:pt>
                <c:pt idx="146">
                  <c:v>0</c:v>
                </c:pt>
                <c:pt idx="147">
                  <c:v>30732</c:v>
                </c:pt>
                <c:pt idx="148">
                  <c:v>0</c:v>
                </c:pt>
                <c:pt idx="149">
                  <c:v>0</c:v>
                </c:pt>
                <c:pt idx="150">
                  <c:v>19976</c:v>
                </c:pt>
                <c:pt idx="151">
                  <c:v>0</c:v>
                </c:pt>
                <c:pt idx="152">
                  <c:v>15924</c:v>
                </c:pt>
                <c:pt idx="153">
                  <c:v>0</c:v>
                </c:pt>
                <c:pt idx="154">
                  <c:v>0</c:v>
                </c:pt>
                <c:pt idx="155">
                  <c:v>15394</c:v>
                </c:pt>
                <c:pt idx="156">
                  <c:v>0</c:v>
                </c:pt>
                <c:pt idx="157">
                  <c:v>0</c:v>
                </c:pt>
                <c:pt idx="158">
                  <c:v>10704</c:v>
                </c:pt>
                <c:pt idx="159">
                  <c:v>0</c:v>
                </c:pt>
                <c:pt idx="160">
                  <c:v>7315</c:v>
                </c:pt>
                <c:pt idx="161">
                  <c:v>0</c:v>
                </c:pt>
                <c:pt idx="162">
                  <c:v>0</c:v>
                </c:pt>
                <c:pt idx="163">
                  <c:v>6204</c:v>
                </c:pt>
                <c:pt idx="164">
                  <c:v>0</c:v>
                </c:pt>
                <c:pt idx="165">
                  <c:v>3596</c:v>
                </c:pt>
                <c:pt idx="166">
                  <c:v>0</c:v>
                </c:pt>
                <c:pt idx="167">
                  <c:v>0</c:v>
                </c:pt>
                <c:pt idx="168">
                  <c:v>2627</c:v>
                </c:pt>
                <c:pt idx="169">
                  <c:v>0</c:v>
                </c:pt>
                <c:pt idx="170">
                  <c:v>0</c:v>
                </c:pt>
                <c:pt idx="171">
                  <c:v>1401</c:v>
                </c:pt>
                <c:pt idx="172">
                  <c:v>0</c:v>
                </c:pt>
                <c:pt idx="173">
                  <c:v>1358</c:v>
                </c:pt>
                <c:pt idx="174">
                  <c:v>0</c:v>
                </c:pt>
                <c:pt idx="175">
                  <c:v>0</c:v>
                </c:pt>
                <c:pt idx="176">
                  <c:v>368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  <c:pt idx="75">
                  <c:v>3.8766800000000003</c:v>
                </c:pt>
                <c:pt idx="76">
                  <c:v>3.8936500000000001</c:v>
                </c:pt>
                <c:pt idx="77">
                  <c:v>3.9059899999999996</c:v>
                </c:pt>
                <c:pt idx="78">
                  <c:v>3.9144299999999999</c:v>
                </c:pt>
                <c:pt idx="79">
                  <c:v>3.91886</c:v>
                </c:pt>
                <c:pt idx="80">
                  <c:v>3.92082</c:v>
                </c:pt>
                <c:pt idx="81">
                  <c:v>3.92157</c:v>
                </c:pt>
                <c:pt idx="82">
                  <c:v>3.9225399999999997</c:v>
                </c:pt>
                <c:pt idx="83">
                  <c:v>3.9203100000000002</c:v>
                </c:pt>
                <c:pt idx="84">
                  <c:v>3.9141300000000001</c:v>
                </c:pt>
                <c:pt idx="85">
                  <c:v>3.9045200000000002</c:v>
                </c:pt>
                <c:pt idx="86">
                  <c:v>3.88971</c:v>
                </c:pt>
                <c:pt idx="87">
                  <c:v>3.8725300000000002</c:v>
                </c:pt>
                <c:pt idx="88">
                  <c:v>3.8546000000000005</c:v>
                </c:pt>
                <c:pt idx="89">
                  <c:v>3.8325300000000002</c:v>
                </c:pt>
                <c:pt idx="90">
                  <c:v>3.8097700000000003</c:v>
                </c:pt>
                <c:pt idx="91">
                  <c:v>3.7840499999999997</c:v>
                </c:pt>
                <c:pt idx="92">
                  <c:v>3.75346</c:v>
                </c:pt>
                <c:pt idx="93">
                  <c:v>3.7209199999999996</c:v>
                </c:pt>
                <c:pt idx="94">
                  <c:v>3.6870799999999999</c:v>
                </c:pt>
                <c:pt idx="95">
                  <c:v>3.65124</c:v>
                </c:pt>
                <c:pt idx="96">
                  <c:v>3.6172399999999998</c:v>
                </c:pt>
                <c:pt idx="97">
                  <c:v>3.5848400000000002</c:v>
                </c:pt>
                <c:pt idx="98">
                  <c:v>3.5535699999999997</c:v>
                </c:pt>
                <c:pt idx="99">
                  <c:v>3.5223599999999999</c:v>
                </c:pt>
                <c:pt idx="100">
                  <c:v>3.4926400000000002</c:v>
                </c:pt>
                <c:pt idx="101">
                  <c:v>3.46705</c:v>
                </c:pt>
                <c:pt idx="102">
                  <c:v>3.4455499999999999</c:v>
                </c:pt>
                <c:pt idx="103">
                  <c:v>3.4274100000000001</c:v>
                </c:pt>
                <c:pt idx="104">
                  <c:v>3.4142399999999999</c:v>
                </c:pt>
                <c:pt idx="105">
                  <c:v>3.4024900000000002</c:v>
                </c:pt>
                <c:pt idx="106">
                  <c:v>3.3940999999999999</c:v>
                </c:pt>
                <c:pt idx="107">
                  <c:v>3.3868399999999999</c:v>
                </c:pt>
                <c:pt idx="108">
                  <c:v>3.3837000000000002</c:v>
                </c:pt>
                <c:pt idx="109">
                  <c:v>3.3844600000000002</c:v>
                </c:pt>
                <c:pt idx="110">
                  <c:v>3.38463</c:v>
                </c:pt>
                <c:pt idx="111">
                  <c:v>3.3831199999999999</c:v>
                </c:pt>
                <c:pt idx="112">
                  <c:v>3.37879</c:v>
                </c:pt>
                <c:pt idx="113">
                  <c:v>3.3744200000000002</c:v>
                </c:pt>
                <c:pt idx="114">
                  <c:v>3.3740900000000003</c:v>
                </c:pt>
                <c:pt idx="115">
                  <c:v>3.3742000000000001</c:v>
                </c:pt>
                <c:pt idx="116">
                  <c:v>3.3729800000000001</c:v>
                </c:pt>
                <c:pt idx="117">
                  <c:v>3.3704800000000001</c:v>
                </c:pt>
                <c:pt idx="118">
                  <c:v>3.36463</c:v>
                </c:pt>
                <c:pt idx="119">
                  <c:v>3.3549099999999998</c:v>
                </c:pt>
                <c:pt idx="120">
                  <c:v>3.34206</c:v>
                </c:pt>
                <c:pt idx="121">
                  <c:v>3.3234500000000002</c:v>
                </c:pt>
                <c:pt idx="122">
                  <c:v>3.30376</c:v>
                </c:pt>
                <c:pt idx="123">
                  <c:v>3.2816000000000001</c:v>
                </c:pt>
                <c:pt idx="124">
                  <c:v>3.2651400000000002</c:v>
                </c:pt>
                <c:pt idx="125">
                  <c:v>3.2587799999999998</c:v>
                </c:pt>
                <c:pt idx="126">
                  <c:v>3.2519499999999999</c:v>
                </c:pt>
                <c:pt idx="127">
                  <c:v>3.24424</c:v>
                </c:pt>
                <c:pt idx="128">
                  <c:v>3.2352599999999998</c:v>
                </c:pt>
                <c:pt idx="129">
                  <c:v>3.2248900000000003</c:v>
                </c:pt>
                <c:pt idx="130">
                  <c:v>3.2136100000000001</c:v>
                </c:pt>
                <c:pt idx="131">
                  <c:v>3.1971699999999998</c:v>
                </c:pt>
                <c:pt idx="132">
                  <c:v>3.1766899999999998</c:v>
                </c:pt>
                <c:pt idx="133">
                  <c:v>3.1471399999999998</c:v>
                </c:pt>
                <c:pt idx="134">
                  <c:v>3.1097599999999996</c:v>
                </c:pt>
                <c:pt idx="135">
                  <c:v>3.0714799999999998</c:v>
                </c:pt>
                <c:pt idx="136">
                  <c:v>3.0377900000000002</c:v>
                </c:pt>
                <c:pt idx="137">
                  <c:v>3.00779</c:v>
                </c:pt>
                <c:pt idx="138">
                  <c:v>2.9759099999999998</c:v>
                </c:pt>
                <c:pt idx="139">
                  <c:v>2.9398200000000001</c:v>
                </c:pt>
                <c:pt idx="140">
                  <c:v>2.8983300000000001</c:v>
                </c:pt>
                <c:pt idx="141">
                  <c:v>2.85982</c:v>
                </c:pt>
                <c:pt idx="142">
                  <c:v>2.8214099999999998</c:v>
                </c:pt>
                <c:pt idx="143">
                  <c:v>2.7778900000000002</c:v>
                </c:pt>
                <c:pt idx="144">
                  <c:v>2.73224</c:v>
                </c:pt>
                <c:pt idx="145">
                  <c:v>2.6801399999999997</c:v>
                </c:pt>
                <c:pt idx="146">
                  <c:v>2.6414399999999998</c:v>
                </c:pt>
                <c:pt idx="147">
                  <c:v>2.6116099999999998</c:v>
                </c:pt>
                <c:pt idx="148">
                  <c:v>2.5532300000000001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  <c:pt idx="75">
                  <c:v>47.459800000000001</c:v>
                </c:pt>
                <c:pt idx="76">
                  <c:v>47.197899999999997</c:v>
                </c:pt>
                <c:pt idx="77">
                  <c:v>46.966999999999999</c:v>
                </c:pt>
                <c:pt idx="78">
                  <c:v>46.6892</c:v>
                </c:pt>
                <c:pt idx="79">
                  <c:v>46.433</c:v>
                </c:pt>
                <c:pt idx="80">
                  <c:v>46.198599999999999</c:v>
                </c:pt>
                <c:pt idx="81">
                  <c:v>45.969000000000001</c:v>
                </c:pt>
                <c:pt idx="82">
                  <c:v>45.733200000000004</c:v>
                </c:pt>
                <c:pt idx="83">
                  <c:v>45.4848</c:v>
                </c:pt>
                <c:pt idx="84">
                  <c:v>45.240900000000003</c:v>
                </c:pt>
                <c:pt idx="85">
                  <c:v>44.947199999999995</c:v>
                </c:pt>
                <c:pt idx="86">
                  <c:v>44.625900000000001</c:v>
                </c:pt>
                <c:pt idx="87">
                  <c:v>44.2652</c:v>
                </c:pt>
                <c:pt idx="88">
                  <c:v>43.869</c:v>
                </c:pt>
                <c:pt idx="89">
                  <c:v>43.458599999999997</c:v>
                </c:pt>
                <c:pt idx="90">
                  <c:v>43.029600000000002</c:v>
                </c:pt>
                <c:pt idx="91">
                  <c:v>42.602499999999999</c:v>
                </c:pt>
                <c:pt idx="92">
                  <c:v>42.257300000000001</c:v>
                </c:pt>
                <c:pt idx="93">
                  <c:v>42.078099999999999</c:v>
                </c:pt>
                <c:pt idx="94">
                  <c:v>42.0625</c:v>
                </c:pt>
                <c:pt idx="95">
                  <c:v>42.237299999999998</c:v>
                </c:pt>
                <c:pt idx="96">
                  <c:v>42.506300000000003</c:v>
                </c:pt>
                <c:pt idx="97">
                  <c:v>42.737299999999998</c:v>
                </c:pt>
                <c:pt idx="98">
                  <c:v>42.992399999999996</c:v>
                </c:pt>
                <c:pt idx="99">
                  <c:v>43.349600000000002</c:v>
                </c:pt>
                <c:pt idx="100">
                  <c:v>43.720799999999997</c:v>
                </c:pt>
                <c:pt idx="101">
                  <c:v>44.000399999999999</c:v>
                </c:pt>
                <c:pt idx="102">
                  <c:v>44.2119</c:v>
                </c:pt>
                <c:pt idx="103">
                  <c:v>44.391500000000001</c:v>
                </c:pt>
                <c:pt idx="104">
                  <c:v>44.452799999999996</c:v>
                </c:pt>
                <c:pt idx="105">
                  <c:v>44.445299999999996</c:v>
                </c:pt>
                <c:pt idx="106">
                  <c:v>44.399000000000001</c:v>
                </c:pt>
                <c:pt idx="107">
                  <c:v>44.403300000000002</c:v>
                </c:pt>
                <c:pt idx="108">
                  <c:v>44.381900000000002</c:v>
                </c:pt>
                <c:pt idx="109">
                  <c:v>44.285699999999999</c:v>
                </c:pt>
                <c:pt idx="110">
                  <c:v>44.222499999999997</c:v>
                </c:pt>
                <c:pt idx="111">
                  <c:v>44.237400000000001</c:v>
                </c:pt>
                <c:pt idx="112">
                  <c:v>44.226500000000001</c:v>
                </c:pt>
                <c:pt idx="113">
                  <c:v>44.217700000000001</c:v>
                </c:pt>
                <c:pt idx="114">
                  <c:v>44.148299999999999</c:v>
                </c:pt>
                <c:pt idx="115">
                  <c:v>44.059799999999996</c:v>
                </c:pt>
                <c:pt idx="116">
                  <c:v>43.9953</c:v>
                </c:pt>
                <c:pt idx="117">
                  <c:v>43.914400000000001</c:v>
                </c:pt>
                <c:pt idx="118">
                  <c:v>43.808399999999999</c:v>
                </c:pt>
                <c:pt idx="119">
                  <c:v>43.652499999999996</c:v>
                </c:pt>
                <c:pt idx="120">
                  <c:v>43.464700000000001</c:v>
                </c:pt>
                <c:pt idx="121">
                  <c:v>43.236499999999999</c:v>
                </c:pt>
                <c:pt idx="122">
                  <c:v>42.987299999999998</c:v>
                </c:pt>
                <c:pt idx="123">
                  <c:v>42.751300000000001</c:v>
                </c:pt>
                <c:pt idx="124">
                  <c:v>42.598100000000002</c:v>
                </c:pt>
                <c:pt idx="125">
                  <c:v>42.514400000000002</c:v>
                </c:pt>
                <c:pt idx="126">
                  <c:v>42.407699999999998</c:v>
                </c:pt>
                <c:pt idx="127">
                  <c:v>42.300699999999999</c:v>
                </c:pt>
                <c:pt idx="128">
                  <c:v>42.210599999999999</c:v>
                </c:pt>
                <c:pt idx="129">
                  <c:v>42.123600000000003</c:v>
                </c:pt>
                <c:pt idx="130">
                  <c:v>42.046599999999998</c:v>
                </c:pt>
                <c:pt idx="131">
                  <c:v>42.022999999999996</c:v>
                </c:pt>
                <c:pt idx="132">
                  <c:v>41.9955</c:v>
                </c:pt>
                <c:pt idx="133">
                  <c:v>42.096400000000003</c:v>
                </c:pt>
                <c:pt idx="134">
                  <c:v>42.350100000000005</c:v>
                </c:pt>
                <c:pt idx="135">
                  <c:v>42.6477</c:v>
                </c:pt>
                <c:pt idx="136">
                  <c:v>42.8414</c:v>
                </c:pt>
                <c:pt idx="137">
                  <c:v>43.109299999999998</c:v>
                </c:pt>
                <c:pt idx="138">
                  <c:v>43.428699999999999</c:v>
                </c:pt>
                <c:pt idx="139">
                  <c:v>43.8568</c:v>
                </c:pt>
                <c:pt idx="140">
                  <c:v>44.492800000000003</c:v>
                </c:pt>
                <c:pt idx="141">
                  <c:v>44.994900000000001</c:v>
                </c:pt>
                <c:pt idx="142">
                  <c:v>45.512300000000003</c:v>
                </c:pt>
                <c:pt idx="143">
                  <c:v>46.075500000000005</c:v>
                </c:pt>
                <c:pt idx="144">
                  <c:v>46.6158</c:v>
                </c:pt>
                <c:pt idx="145">
                  <c:v>47.214500000000001</c:v>
                </c:pt>
                <c:pt idx="146">
                  <c:v>47.582299999999996</c:v>
                </c:pt>
                <c:pt idx="147">
                  <c:v>47.806800000000003</c:v>
                </c:pt>
                <c:pt idx="148">
                  <c:v>48.484100000000005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3.8480999999999996</c:v>
                </c:pt>
                <c:pt idx="1">
                  <c:v>3.8766800000000003</c:v>
                </c:pt>
                <c:pt idx="2">
                  <c:v>3.8936500000000001</c:v>
                </c:pt>
                <c:pt idx="3">
                  <c:v>3.9059899999999996</c:v>
                </c:pt>
                <c:pt idx="4">
                  <c:v>3.9144299999999999</c:v>
                </c:pt>
                <c:pt idx="5">
                  <c:v>3.91886</c:v>
                </c:pt>
                <c:pt idx="6">
                  <c:v>3.92082</c:v>
                </c:pt>
                <c:pt idx="7">
                  <c:v>3.92157</c:v>
                </c:pt>
                <c:pt idx="8">
                  <c:v>3.9225399999999997</c:v>
                </c:pt>
                <c:pt idx="9">
                  <c:v>3.9203100000000002</c:v>
                </c:pt>
                <c:pt idx="10">
                  <c:v>3.9141300000000001</c:v>
                </c:pt>
                <c:pt idx="11">
                  <c:v>3.9045200000000002</c:v>
                </c:pt>
                <c:pt idx="12">
                  <c:v>3.88971</c:v>
                </c:pt>
                <c:pt idx="13">
                  <c:v>3.8725300000000002</c:v>
                </c:pt>
                <c:pt idx="14">
                  <c:v>3.8546000000000005</c:v>
                </c:pt>
                <c:pt idx="15">
                  <c:v>3.8325300000000002</c:v>
                </c:pt>
                <c:pt idx="16">
                  <c:v>3.8097700000000003</c:v>
                </c:pt>
                <c:pt idx="17">
                  <c:v>3.7840499999999997</c:v>
                </c:pt>
                <c:pt idx="18">
                  <c:v>3.75346</c:v>
                </c:pt>
                <c:pt idx="19">
                  <c:v>3.7209199999999996</c:v>
                </c:pt>
                <c:pt idx="20">
                  <c:v>3.6870799999999999</c:v>
                </c:pt>
                <c:pt idx="21">
                  <c:v>3.65124</c:v>
                </c:pt>
                <c:pt idx="22">
                  <c:v>3.6172399999999998</c:v>
                </c:pt>
                <c:pt idx="23">
                  <c:v>3.5848400000000002</c:v>
                </c:pt>
                <c:pt idx="24">
                  <c:v>3.5535699999999997</c:v>
                </c:pt>
                <c:pt idx="25">
                  <c:v>3.5223599999999999</c:v>
                </c:pt>
                <c:pt idx="26">
                  <c:v>3.4926400000000002</c:v>
                </c:pt>
                <c:pt idx="27">
                  <c:v>3.46705</c:v>
                </c:pt>
                <c:pt idx="28">
                  <c:v>3.4455499999999999</c:v>
                </c:pt>
                <c:pt idx="29">
                  <c:v>3.4274100000000001</c:v>
                </c:pt>
                <c:pt idx="30">
                  <c:v>3.4142399999999999</c:v>
                </c:pt>
                <c:pt idx="31">
                  <c:v>3.4024900000000002</c:v>
                </c:pt>
                <c:pt idx="32">
                  <c:v>3.3940999999999999</c:v>
                </c:pt>
                <c:pt idx="33">
                  <c:v>3.3868399999999999</c:v>
                </c:pt>
                <c:pt idx="34">
                  <c:v>3.3837000000000002</c:v>
                </c:pt>
                <c:pt idx="35">
                  <c:v>3.3844600000000002</c:v>
                </c:pt>
                <c:pt idx="36">
                  <c:v>3.38463</c:v>
                </c:pt>
                <c:pt idx="37">
                  <c:v>3.3831199999999999</c:v>
                </c:pt>
                <c:pt idx="38">
                  <c:v>3.37879</c:v>
                </c:pt>
                <c:pt idx="39">
                  <c:v>3.3744200000000002</c:v>
                </c:pt>
                <c:pt idx="40">
                  <c:v>3.3740900000000003</c:v>
                </c:pt>
                <c:pt idx="41">
                  <c:v>3.3742000000000001</c:v>
                </c:pt>
                <c:pt idx="42">
                  <c:v>3.3729800000000001</c:v>
                </c:pt>
                <c:pt idx="43">
                  <c:v>3.3704800000000001</c:v>
                </c:pt>
                <c:pt idx="44">
                  <c:v>3.36463</c:v>
                </c:pt>
                <c:pt idx="45">
                  <c:v>3.3549099999999998</c:v>
                </c:pt>
                <c:pt idx="46">
                  <c:v>3.34206</c:v>
                </c:pt>
                <c:pt idx="47">
                  <c:v>3.3234500000000002</c:v>
                </c:pt>
                <c:pt idx="48">
                  <c:v>3.30376</c:v>
                </c:pt>
                <c:pt idx="49">
                  <c:v>3.2816000000000001</c:v>
                </c:pt>
                <c:pt idx="50">
                  <c:v>3.2651400000000002</c:v>
                </c:pt>
                <c:pt idx="51">
                  <c:v>3.2587799999999998</c:v>
                </c:pt>
                <c:pt idx="52">
                  <c:v>3.2519499999999999</c:v>
                </c:pt>
                <c:pt idx="53">
                  <c:v>3.24424</c:v>
                </c:pt>
                <c:pt idx="54">
                  <c:v>3.2352599999999998</c:v>
                </c:pt>
                <c:pt idx="55">
                  <c:v>3.2248900000000003</c:v>
                </c:pt>
                <c:pt idx="56">
                  <c:v>3.2136100000000001</c:v>
                </c:pt>
                <c:pt idx="57">
                  <c:v>3.1971699999999998</c:v>
                </c:pt>
                <c:pt idx="58">
                  <c:v>3.1766899999999998</c:v>
                </c:pt>
                <c:pt idx="59">
                  <c:v>3.1471399999999998</c:v>
                </c:pt>
                <c:pt idx="60">
                  <c:v>3.1097599999999996</c:v>
                </c:pt>
                <c:pt idx="61">
                  <c:v>3.0714799999999998</c:v>
                </c:pt>
                <c:pt idx="62">
                  <c:v>3.0377900000000002</c:v>
                </c:pt>
                <c:pt idx="63">
                  <c:v>3.00779</c:v>
                </c:pt>
                <c:pt idx="64">
                  <c:v>2.9759099999999998</c:v>
                </c:pt>
                <c:pt idx="65">
                  <c:v>2.9398200000000001</c:v>
                </c:pt>
                <c:pt idx="66">
                  <c:v>2.8983300000000001</c:v>
                </c:pt>
                <c:pt idx="67">
                  <c:v>2.85982</c:v>
                </c:pt>
                <c:pt idx="68">
                  <c:v>2.8214099999999998</c:v>
                </c:pt>
                <c:pt idx="69">
                  <c:v>2.7778900000000002</c:v>
                </c:pt>
                <c:pt idx="70">
                  <c:v>2.73224</c:v>
                </c:pt>
                <c:pt idx="71">
                  <c:v>2.6801399999999997</c:v>
                </c:pt>
                <c:pt idx="72">
                  <c:v>2.6414399999999998</c:v>
                </c:pt>
                <c:pt idx="73">
                  <c:v>2.6116099999999998</c:v>
                </c:pt>
                <c:pt idx="74">
                  <c:v>2.5532300000000001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47.9373</c:v>
                </c:pt>
                <c:pt idx="1">
                  <c:v>47.459800000000001</c:v>
                </c:pt>
                <c:pt idx="2">
                  <c:v>47.197899999999997</c:v>
                </c:pt>
                <c:pt idx="3">
                  <c:v>46.966999999999999</c:v>
                </c:pt>
                <c:pt idx="4">
                  <c:v>46.6892</c:v>
                </c:pt>
                <c:pt idx="5">
                  <c:v>46.433</c:v>
                </c:pt>
                <c:pt idx="6">
                  <c:v>46.198599999999999</c:v>
                </c:pt>
                <c:pt idx="7">
                  <c:v>45.969000000000001</c:v>
                </c:pt>
                <c:pt idx="8">
                  <c:v>45.733200000000004</c:v>
                </c:pt>
                <c:pt idx="9">
                  <c:v>45.4848</c:v>
                </c:pt>
                <c:pt idx="10">
                  <c:v>45.240900000000003</c:v>
                </c:pt>
                <c:pt idx="11">
                  <c:v>44.947199999999995</c:v>
                </c:pt>
                <c:pt idx="12">
                  <c:v>44.625900000000001</c:v>
                </c:pt>
                <c:pt idx="13">
                  <c:v>44.2652</c:v>
                </c:pt>
                <c:pt idx="14">
                  <c:v>43.869</c:v>
                </c:pt>
                <c:pt idx="15">
                  <c:v>43.458599999999997</c:v>
                </c:pt>
                <c:pt idx="16">
                  <c:v>43.029600000000002</c:v>
                </c:pt>
                <c:pt idx="17">
                  <c:v>42.602499999999999</c:v>
                </c:pt>
                <c:pt idx="18">
                  <c:v>42.257300000000001</c:v>
                </c:pt>
                <c:pt idx="19">
                  <c:v>42.078099999999999</c:v>
                </c:pt>
                <c:pt idx="20">
                  <c:v>42.0625</c:v>
                </c:pt>
                <c:pt idx="21">
                  <c:v>42.237299999999998</c:v>
                </c:pt>
                <c:pt idx="22">
                  <c:v>42.506300000000003</c:v>
                </c:pt>
                <c:pt idx="23">
                  <c:v>42.737299999999998</c:v>
                </c:pt>
                <c:pt idx="24">
                  <c:v>42.992399999999996</c:v>
                </c:pt>
                <c:pt idx="25">
                  <c:v>43.349600000000002</c:v>
                </c:pt>
                <c:pt idx="26">
                  <c:v>43.720799999999997</c:v>
                </c:pt>
                <c:pt idx="27">
                  <c:v>44.000399999999999</c:v>
                </c:pt>
                <c:pt idx="28">
                  <c:v>44.2119</c:v>
                </c:pt>
                <c:pt idx="29">
                  <c:v>44.391500000000001</c:v>
                </c:pt>
                <c:pt idx="30">
                  <c:v>44.452799999999996</c:v>
                </c:pt>
                <c:pt idx="31">
                  <c:v>44.445299999999996</c:v>
                </c:pt>
                <c:pt idx="32">
                  <c:v>44.399000000000001</c:v>
                </c:pt>
                <c:pt idx="33">
                  <c:v>44.403300000000002</c:v>
                </c:pt>
                <c:pt idx="34">
                  <c:v>44.381900000000002</c:v>
                </c:pt>
                <c:pt idx="35">
                  <c:v>44.285699999999999</c:v>
                </c:pt>
                <c:pt idx="36">
                  <c:v>44.222499999999997</c:v>
                </c:pt>
                <c:pt idx="37">
                  <c:v>44.237400000000001</c:v>
                </c:pt>
                <c:pt idx="38">
                  <c:v>44.226500000000001</c:v>
                </c:pt>
                <c:pt idx="39">
                  <c:v>44.217700000000001</c:v>
                </c:pt>
                <c:pt idx="40">
                  <c:v>44.148299999999999</c:v>
                </c:pt>
                <c:pt idx="41">
                  <c:v>44.059799999999996</c:v>
                </c:pt>
                <c:pt idx="42">
                  <c:v>43.9953</c:v>
                </c:pt>
                <c:pt idx="43">
                  <c:v>43.914400000000001</c:v>
                </c:pt>
                <c:pt idx="44">
                  <c:v>43.808399999999999</c:v>
                </c:pt>
                <c:pt idx="45">
                  <c:v>43.652499999999996</c:v>
                </c:pt>
                <c:pt idx="46">
                  <c:v>43.464700000000001</c:v>
                </c:pt>
                <c:pt idx="47">
                  <c:v>43.236499999999999</c:v>
                </c:pt>
                <c:pt idx="48">
                  <c:v>42.987299999999998</c:v>
                </c:pt>
                <c:pt idx="49">
                  <c:v>42.751300000000001</c:v>
                </c:pt>
                <c:pt idx="50">
                  <c:v>42.598100000000002</c:v>
                </c:pt>
                <c:pt idx="51">
                  <c:v>42.514400000000002</c:v>
                </c:pt>
                <c:pt idx="52">
                  <c:v>42.407699999999998</c:v>
                </c:pt>
                <c:pt idx="53">
                  <c:v>42.300699999999999</c:v>
                </c:pt>
                <c:pt idx="54">
                  <c:v>42.210599999999999</c:v>
                </c:pt>
                <c:pt idx="55">
                  <c:v>42.123600000000003</c:v>
                </c:pt>
                <c:pt idx="56">
                  <c:v>42.046599999999998</c:v>
                </c:pt>
                <c:pt idx="57">
                  <c:v>42.022999999999996</c:v>
                </c:pt>
                <c:pt idx="58">
                  <c:v>41.9955</c:v>
                </c:pt>
                <c:pt idx="59">
                  <c:v>42.096400000000003</c:v>
                </c:pt>
                <c:pt idx="60">
                  <c:v>42.350100000000005</c:v>
                </c:pt>
                <c:pt idx="61">
                  <c:v>42.6477</c:v>
                </c:pt>
                <c:pt idx="62">
                  <c:v>42.8414</c:v>
                </c:pt>
                <c:pt idx="63">
                  <c:v>43.109299999999998</c:v>
                </c:pt>
                <c:pt idx="64">
                  <c:v>43.428699999999999</c:v>
                </c:pt>
                <c:pt idx="65">
                  <c:v>43.8568</c:v>
                </c:pt>
                <c:pt idx="66">
                  <c:v>44.492800000000003</c:v>
                </c:pt>
                <c:pt idx="67">
                  <c:v>44.994900000000001</c:v>
                </c:pt>
                <c:pt idx="68">
                  <c:v>45.512300000000003</c:v>
                </c:pt>
                <c:pt idx="69">
                  <c:v>46.075500000000005</c:v>
                </c:pt>
                <c:pt idx="70">
                  <c:v>46.6158</c:v>
                </c:pt>
                <c:pt idx="71">
                  <c:v>47.214500000000001</c:v>
                </c:pt>
                <c:pt idx="72">
                  <c:v>47.582299999999996</c:v>
                </c:pt>
                <c:pt idx="73">
                  <c:v>47.806800000000003</c:v>
                </c:pt>
                <c:pt idx="74">
                  <c:v>48.484100000000005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1.79789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3.1211309459459464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46.787181081081094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3.4129378378378386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44.118786486486499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3.4129378378378386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44.118786486486499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0.19573360089308897</c:v>
                </c:pt>
                <c:pt idx="1">
                  <c:v>0.40156430423222478</c:v>
                </c:pt>
                <c:pt idx="2">
                  <c:v>0.40270209487468628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  <c:pt idx="75">
                  <c:v>30.603300000000001</c:v>
                </c:pt>
                <c:pt idx="76">
                  <c:v>30.978899999999999</c:v>
                </c:pt>
                <c:pt idx="77">
                  <c:v>31.353300000000001</c:v>
                </c:pt>
                <c:pt idx="78">
                  <c:v>31.727399999999999</c:v>
                </c:pt>
                <c:pt idx="79">
                  <c:v>32.106900000000003</c:v>
                </c:pt>
                <c:pt idx="80">
                  <c:v>32.508600000000001</c:v>
                </c:pt>
                <c:pt idx="81">
                  <c:v>32.917299999999997</c:v>
                </c:pt>
                <c:pt idx="82">
                  <c:v>33.322099999999999</c:v>
                </c:pt>
                <c:pt idx="83">
                  <c:v>33.728299999999997</c:v>
                </c:pt>
                <c:pt idx="84">
                  <c:v>34.132300000000001</c:v>
                </c:pt>
                <c:pt idx="85">
                  <c:v>34.542900000000003</c:v>
                </c:pt>
                <c:pt idx="86">
                  <c:v>34.948599999999999</c:v>
                </c:pt>
                <c:pt idx="87">
                  <c:v>35.350700000000003</c:v>
                </c:pt>
                <c:pt idx="88">
                  <c:v>35.756399999999999</c:v>
                </c:pt>
                <c:pt idx="89">
                  <c:v>36.165399999999998</c:v>
                </c:pt>
                <c:pt idx="90">
                  <c:v>36.570399999999999</c:v>
                </c:pt>
                <c:pt idx="91">
                  <c:v>36.9818</c:v>
                </c:pt>
                <c:pt idx="92">
                  <c:v>37.387599999999999</c:v>
                </c:pt>
                <c:pt idx="93">
                  <c:v>37.789200000000001</c:v>
                </c:pt>
                <c:pt idx="94">
                  <c:v>38.196300000000001</c:v>
                </c:pt>
                <c:pt idx="95">
                  <c:v>38.603900000000003</c:v>
                </c:pt>
                <c:pt idx="96">
                  <c:v>39.0137</c:v>
                </c:pt>
                <c:pt idx="97">
                  <c:v>39.415300000000002</c:v>
                </c:pt>
                <c:pt idx="98">
                  <c:v>39.821300000000001</c:v>
                </c:pt>
                <c:pt idx="99">
                  <c:v>40.226500000000001</c:v>
                </c:pt>
                <c:pt idx="100">
                  <c:v>40.633299999999998</c:v>
                </c:pt>
                <c:pt idx="101">
                  <c:v>41.039000000000001</c:v>
                </c:pt>
                <c:pt idx="102">
                  <c:v>41.449599999999997</c:v>
                </c:pt>
                <c:pt idx="103">
                  <c:v>41.8536</c:v>
                </c:pt>
                <c:pt idx="104">
                  <c:v>42.261800000000001</c:v>
                </c:pt>
                <c:pt idx="105">
                  <c:v>42.665799999999997</c:v>
                </c:pt>
                <c:pt idx="106">
                  <c:v>43.069400000000002</c:v>
                </c:pt>
                <c:pt idx="107">
                  <c:v>43.478000000000002</c:v>
                </c:pt>
                <c:pt idx="108">
                  <c:v>43.886499999999998</c:v>
                </c:pt>
                <c:pt idx="109">
                  <c:v>44.291699999999999</c:v>
                </c:pt>
                <c:pt idx="110">
                  <c:v>44.698700000000002</c:v>
                </c:pt>
                <c:pt idx="111">
                  <c:v>45.103200000000001</c:v>
                </c:pt>
                <c:pt idx="112">
                  <c:v>45.510100000000001</c:v>
                </c:pt>
                <c:pt idx="113">
                  <c:v>45.9176</c:v>
                </c:pt>
                <c:pt idx="114">
                  <c:v>46.322299999999998</c:v>
                </c:pt>
                <c:pt idx="115">
                  <c:v>46.729399999999998</c:v>
                </c:pt>
                <c:pt idx="116">
                  <c:v>47.131500000000003</c:v>
                </c:pt>
                <c:pt idx="117">
                  <c:v>47.538699999999999</c:v>
                </c:pt>
                <c:pt idx="118">
                  <c:v>47.946300000000001</c:v>
                </c:pt>
                <c:pt idx="119">
                  <c:v>48.3521</c:v>
                </c:pt>
                <c:pt idx="120">
                  <c:v>48.756300000000003</c:v>
                </c:pt>
                <c:pt idx="121">
                  <c:v>49.165100000000002</c:v>
                </c:pt>
                <c:pt idx="122">
                  <c:v>49.570099999999996</c:v>
                </c:pt>
                <c:pt idx="123">
                  <c:v>49.979799999999997</c:v>
                </c:pt>
                <c:pt idx="124">
                  <c:v>50.386499999999998</c:v>
                </c:pt>
                <c:pt idx="125">
                  <c:v>50.792400000000001</c:v>
                </c:pt>
                <c:pt idx="126">
                  <c:v>51.195599999999999</c:v>
                </c:pt>
                <c:pt idx="127">
                  <c:v>51.603299999999997</c:v>
                </c:pt>
                <c:pt idx="128">
                  <c:v>52.011000000000003</c:v>
                </c:pt>
                <c:pt idx="129">
                  <c:v>52.414999999999999</c:v>
                </c:pt>
                <c:pt idx="130">
                  <c:v>52.822499999999998</c:v>
                </c:pt>
                <c:pt idx="131">
                  <c:v>53.2273</c:v>
                </c:pt>
                <c:pt idx="132">
                  <c:v>53.633600000000001</c:v>
                </c:pt>
                <c:pt idx="133">
                  <c:v>54.041899999999998</c:v>
                </c:pt>
                <c:pt idx="134">
                  <c:v>54.448900000000002</c:v>
                </c:pt>
                <c:pt idx="135">
                  <c:v>54.854900000000001</c:v>
                </c:pt>
                <c:pt idx="136">
                  <c:v>55.257100000000001</c:v>
                </c:pt>
                <c:pt idx="137">
                  <c:v>55.666499999999999</c:v>
                </c:pt>
                <c:pt idx="138">
                  <c:v>56.071899999999999</c:v>
                </c:pt>
                <c:pt idx="139">
                  <c:v>56.478900000000003</c:v>
                </c:pt>
                <c:pt idx="140">
                  <c:v>56.882899999999999</c:v>
                </c:pt>
                <c:pt idx="141">
                  <c:v>57.288699999999999</c:v>
                </c:pt>
                <c:pt idx="142">
                  <c:v>57.6967</c:v>
                </c:pt>
                <c:pt idx="143">
                  <c:v>58.101500000000001</c:v>
                </c:pt>
                <c:pt idx="144">
                  <c:v>58.509799999999998</c:v>
                </c:pt>
                <c:pt idx="145">
                  <c:v>58.9176</c:v>
                </c:pt>
                <c:pt idx="146">
                  <c:v>59.320799999999998</c:v>
                </c:pt>
                <c:pt idx="147">
                  <c:v>59.726599999999998</c:v>
                </c:pt>
                <c:pt idx="148">
                  <c:v>60.134300000000003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  <c:pt idx="75">
                  <c:v>3.8766800000000003</c:v>
                </c:pt>
                <c:pt idx="76">
                  <c:v>3.8936500000000001</c:v>
                </c:pt>
                <c:pt idx="77">
                  <c:v>3.9059899999999996</c:v>
                </c:pt>
                <c:pt idx="78">
                  <c:v>3.9144299999999999</c:v>
                </c:pt>
                <c:pt idx="79">
                  <c:v>3.91886</c:v>
                </c:pt>
                <c:pt idx="80">
                  <c:v>3.92082</c:v>
                </c:pt>
                <c:pt idx="81">
                  <c:v>3.92157</c:v>
                </c:pt>
                <c:pt idx="82">
                  <c:v>3.9225399999999997</c:v>
                </c:pt>
                <c:pt idx="83">
                  <c:v>3.9203100000000002</c:v>
                </c:pt>
                <c:pt idx="84">
                  <c:v>3.9141300000000001</c:v>
                </c:pt>
                <c:pt idx="85">
                  <c:v>3.9045200000000002</c:v>
                </c:pt>
                <c:pt idx="86">
                  <c:v>3.88971</c:v>
                </c:pt>
                <c:pt idx="87">
                  <c:v>3.8725300000000002</c:v>
                </c:pt>
                <c:pt idx="88">
                  <c:v>3.8546000000000005</c:v>
                </c:pt>
                <c:pt idx="89">
                  <c:v>3.8325300000000002</c:v>
                </c:pt>
                <c:pt idx="90">
                  <c:v>3.8097700000000003</c:v>
                </c:pt>
                <c:pt idx="91">
                  <c:v>3.7840499999999997</c:v>
                </c:pt>
                <c:pt idx="92">
                  <c:v>3.75346</c:v>
                </c:pt>
                <c:pt idx="93">
                  <c:v>3.7209199999999996</c:v>
                </c:pt>
                <c:pt idx="94">
                  <c:v>3.6870799999999999</c:v>
                </c:pt>
                <c:pt idx="95">
                  <c:v>3.65124</c:v>
                </c:pt>
                <c:pt idx="96">
                  <c:v>3.6172399999999998</c:v>
                </c:pt>
                <c:pt idx="97">
                  <c:v>3.5848400000000002</c:v>
                </c:pt>
                <c:pt idx="98">
                  <c:v>3.5535699999999997</c:v>
                </c:pt>
                <c:pt idx="99">
                  <c:v>3.5223599999999999</c:v>
                </c:pt>
                <c:pt idx="100">
                  <c:v>3.4926400000000002</c:v>
                </c:pt>
                <c:pt idx="101">
                  <c:v>3.46705</c:v>
                </c:pt>
                <c:pt idx="102">
                  <c:v>3.4455499999999999</c:v>
                </c:pt>
                <c:pt idx="103">
                  <c:v>3.4274100000000001</c:v>
                </c:pt>
                <c:pt idx="104">
                  <c:v>3.4142399999999999</c:v>
                </c:pt>
                <c:pt idx="105">
                  <c:v>3.4024900000000002</c:v>
                </c:pt>
                <c:pt idx="106">
                  <c:v>3.3940999999999999</c:v>
                </c:pt>
                <c:pt idx="107">
                  <c:v>3.3868399999999999</c:v>
                </c:pt>
                <c:pt idx="108">
                  <c:v>3.3837000000000002</c:v>
                </c:pt>
                <c:pt idx="109">
                  <c:v>3.3844600000000002</c:v>
                </c:pt>
                <c:pt idx="110">
                  <c:v>3.38463</c:v>
                </c:pt>
                <c:pt idx="111">
                  <c:v>3.3831199999999999</c:v>
                </c:pt>
                <c:pt idx="112">
                  <c:v>3.37879</c:v>
                </c:pt>
                <c:pt idx="113">
                  <c:v>3.3744200000000002</c:v>
                </c:pt>
                <c:pt idx="114">
                  <c:v>3.3740900000000003</c:v>
                </c:pt>
                <c:pt idx="115">
                  <c:v>3.3742000000000001</c:v>
                </c:pt>
                <c:pt idx="116">
                  <c:v>3.3729800000000001</c:v>
                </c:pt>
                <c:pt idx="117">
                  <c:v>3.3704800000000001</c:v>
                </c:pt>
                <c:pt idx="118">
                  <c:v>3.36463</c:v>
                </c:pt>
                <c:pt idx="119">
                  <c:v>3.3549099999999998</c:v>
                </c:pt>
                <c:pt idx="120">
                  <c:v>3.34206</c:v>
                </c:pt>
                <c:pt idx="121">
                  <c:v>3.3234500000000002</c:v>
                </c:pt>
                <c:pt idx="122">
                  <c:v>3.30376</c:v>
                </c:pt>
                <c:pt idx="123">
                  <c:v>3.2816000000000001</c:v>
                </c:pt>
                <c:pt idx="124">
                  <c:v>3.2651400000000002</c:v>
                </c:pt>
                <c:pt idx="125">
                  <c:v>3.2587799999999998</c:v>
                </c:pt>
                <c:pt idx="126">
                  <c:v>3.2519499999999999</c:v>
                </c:pt>
                <c:pt idx="127">
                  <c:v>3.24424</c:v>
                </c:pt>
                <c:pt idx="128">
                  <c:v>3.2352599999999998</c:v>
                </c:pt>
                <c:pt idx="129">
                  <c:v>3.2248900000000003</c:v>
                </c:pt>
                <c:pt idx="130">
                  <c:v>3.2136100000000001</c:v>
                </c:pt>
                <c:pt idx="131">
                  <c:v>3.1971699999999998</c:v>
                </c:pt>
                <c:pt idx="132">
                  <c:v>3.1766899999999998</c:v>
                </c:pt>
                <c:pt idx="133">
                  <c:v>3.1471399999999998</c:v>
                </c:pt>
                <c:pt idx="134">
                  <c:v>3.1097599999999996</c:v>
                </c:pt>
                <c:pt idx="135">
                  <c:v>3.0714799999999998</c:v>
                </c:pt>
                <c:pt idx="136">
                  <c:v>3.0377900000000002</c:v>
                </c:pt>
                <c:pt idx="137">
                  <c:v>3.00779</c:v>
                </c:pt>
                <c:pt idx="138">
                  <c:v>2.9759099999999998</c:v>
                </c:pt>
                <c:pt idx="139">
                  <c:v>2.9398200000000001</c:v>
                </c:pt>
                <c:pt idx="140">
                  <c:v>2.8983300000000001</c:v>
                </c:pt>
                <c:pt idx="141">
                  <c:v>2.85982</c:v>
                </c:pt>
                <c:pt idx="142">
                  <c:v>2.8214099999999998</c:v>
                </c:pt>
                <c:pt idx="143">
                  <c:v>2.7778900000000002</c:v>
                </c:pt>
                <c:pt idx="144">
                  <c:v>2.73224</c:v>
                </c:pt>
                <c:pt idx="145">
                  <c:v>2.6801399999999997</c:v>
                </c:pt>
                <c:pt idx="146">
                  <c:v>2.6414399999999998</c:v>
                </c:pt>
                <c:pt idx="147">
                  <c:v>2.6116099999999998</c:v>
                </c:pt>
                <c:pt idx="148">
                  <c:v>2.5532300000000001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30.010999999999999</c:v>
                </c:pt>
                <c:pt idx="1">
                  <c:v>30.603300000000001</c:v>
                </c:pt>
                <c:pt idx="2">
                  <c:v>30.978899999999999</c:v>
                </c:pt>
                <c:pt idx="3">
                  <c:v>31.353300000000001</c:v>
                </c:pt>
                <c:pt idx="4">
                  <c:v>31.727399999999999</c:v>
                </c:pt>
                <c:pt idx="5">
                  <c:v>32.106900000000003</c:v>
                </c:pt>
                <c:pt idx="6">
                  <c:v>32.508600000000001</c:v>
                </c:pt>
                <c:pt idx="7">
                  <c:v>32.917299999999997</c:v>
                </c:pt>
                <c:pt idx="8">
                  <c:v>33.322099999999999</c:v>
                </c:pt>
                <c:pt idx="9">
                  <c:v>33.728299999999997</c:v>
                </c:pt>
                <c:pt idx="10">
                  <c:v>34.132300000000001</c:v>
                </c:pt>
                <c:pt idx="11">
                  <c:v>34.542900000000003</c:v>
                </c:pt>
                <c:pt idx="12">
                  <c:v>34.948599999999999</c:v>
                </c:pt>
                <c:pt idx="13">
                  <c:v>35.350700000000003</c:v>
                </c:pt>
                <c:pt idx="14">
                  <c:v>35.756399999999999</c:v>
                </c:pt>
                <c:pt idx="15">
                  <c:v>36.165399999999998</c:v>
                </c:pt>
                <c:pt idx="16">
                  <c:v>36.570399999999999</c:v>
                </c:pt>
                <c:pt idx="17">
                  <c:v>36.9818</c:v>
                </c:pt>
                <c:pt idx="18">
                  <c:v>37.387599999999999</c:v>
                </c:pt>
                <c:pt idx="19">
                  <c:v>37.789200000000001</c:v>
                </c:pt>
                <c:pt idx="20">
                  <c:v>38.196300000000001</c:v>
                </c:pt>
                <c:pt idx="21">
                  <c:v>38.603900000000003</c:v>
                </c:pt>
                <c:pt idx="22">
                  <c:v>39.0137</c:v>
                </c:pt>
                <c:pt idx="23">
                  <c:v>39.415300000000002</c:v>
                </c:pt>
                <c:pt idx="24">
                  <c:v>39.821300000000001</c:v>
                </c:pt>
                <c:pt idx="25">
                  <c:v>40.226500000000001</c:v>
                </c:pt>
                <c:pt idx="26">
                  <c:v>40.633299999999998</c:v>
                </c:pt>
                <c:pt idx="27">
                  <c:v>41.039000000000001</c:v>
                </c:pt>
                <c:pt idx="28">
                  <c:v>41.449599999999997</c:v>
                </c:pt>
                <c:pt idx="29">
                  <c:v>41.8536</c:v>
                </c:pt>
                <c:pt idx="30">
                  <c:v>42.261800000000001</c:v>
                </c:pt>
                <c:pt idx="31">
                  <c:v>42.665799999999997</c:v>
                </c:pt>
                <c:pt idx="32">
                  <c:v>43.069400000000002</c:v>
                </c:pt>
                <c:pt idx="33">
                  <c:v>43.478000000000002</c:v>
                </c:pt>
                <c:pt idx="34">
                  <c:v>43.886499999999998</c:v>
                </c:pt>
                <c:pt idx="35">
                  <c:v>44.291699999999999</c:v>
                </c:pt>
                <c:pt idx="36">
                  <c:v>44.698700000000002</c:v>
                </c:pt>
                <c:pt idx="37">
                  <c:v>45.103200000000001</c:v>
                </c:pt>
                <c:pt idx="38">
                  <c:v>45.510100000000001</c:v>
                </c:pt>
                <c:pt idx="39">
                  <c:v>45.9176</c:v>
                </c:pt>
                <c:pt idx="40">
                  <c:v>46.322299999999998</c:v>
                </c:pt>
                <c:pt idx="41">
                  <c:v>46.729399999999998</c:v>
                </c:pt>
                <c:pt idx="42">
                  <c:v>47.131500000000003</c:v>
                </c:pt>
                <c:pt idx="43">
                  <c:v>47.538699999999999</c:v>
                </c:pt>
                <c:pt idx="44">
                  <c:v>47.946300000000001</c:v>
                </c:pt>
                <c:pt idx="45">
                  <c:v>48.3521</c:v>
                </c:pt>
                <c:pt idx="46">
                  <c:v>48.756300000000003</c:v>
                </c:pt>
                <c:pt idx="47">
                  <c:v>49.165100000000002</c:v>
                </c:pt>
                <c:pt idx="48">
                  <c:v>49.570099999999996</c:v>
                </c:pt>
                <c:pt idx="49">
                  <c:v>49.979799999999997</c:v>
                </c:pt>
                <c:pt idx="50">
                  <c:v>50.386499999999998</c:v>
                </c:pt>
                <c:pt idx="51">
                  <c:v>50.792400000000001</c:v>
                </c:pt>
                <c:pt idx="52">
                  <c:v>51.195599999999999</c:v>
                </c:pt>
                <c:pt idx="53">
                  <c:v>51.603299999999997</c:v>
                </c:pt>
                <c:pt idx="54">
                  <c:v>52.011000000000003</c:v>
                </c:pt>
                <c:pt idx="55">
                  <c:v>52.414999999999999</c:v>
                </c:pt>
                <c:pt idx="56">
                  <c:v>52.822499999999998</c:v>
                </c:pt>
                <c:pt idx="57">
                  <c:v>53.2273</c:v>
                </c:pt>
                <c:pt idx="58">
                  <c:v>53.633600000000001</c:v>
                </c:pt>
                <c:pt idx="59">
                  <c:v>54.041899999999998</c:v>
                </c:pt>
                <c:pt idx="60">
                  <c:v>54.448900000000002</c:v>
                </c:pt>
                <c:pt idx="61">
                  <c:v>54.854900000000001</c:v>
                </c:pt>
                <c:pt idx="62">
                  <c:v>55.257100000000001</c:v>
                </c:pt>
                <c:pt idx="63">
                  <c:v>55.666499999999999</c:v>
                </c:pt>
                <c:pt idx="64">
                  <c:v>56.071899999999999</c:v>
                </c:pt>
                <c:pt idx="65">
                  <c:v>56.478900000000003</c:v>
                </c:pt>
                <c:pt idx="66">
                  <c:v>56.882899999999999</c:v>
                </c:pt>
                <c:pt idx="67">
                  <c:v>57.288699999999999</c:v>
                </c:pt>
                <c:pt idx="68">
                  <c:v>57.6967</c:v>
                </c:pt>
                <c:pt idx="69">
                  <c:v>58.101500000000001</c:v>
                </c:pt>
                <c:pt idx="70">
                  <c:v>58.509799999999998</c:v>
                </c:pt>
                <c:pt idx="71">
                  <c:v>58.9176</c:v>
                </c:pt>
                <c:pt idx="72">
                  <c:v>59.320799999999998</c:v>
                </c:pt>
                <c:pt idx="73">
                  <c:v>59.726599999999998</c:v>
                </c:pt>
                <c:pt idx="74">
                  <c:v>60.134300000000003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3.8480999999999996</c:v>
                </c:pt>
                <c:pt idx="1">
                  <c:v>3.8766800000000003</c:v>
                </c:pt>
                <c:pt idx="2">
                  <c:v>3.8936500000000001</c:v>
                </c:pt>
                <c:pt idx="3">
                  <c:v>3.9059899999999996</c:v>
                </c:pt>
                <c:pt idx="4">
                  <c:v>3.9144299999999999</c:v>
                </c:pt>
                <c:pt idx="5">
                  <c:v>3.91886</c:v>
                </c:pt>
                <c:pt idx="6">
                  <c:v>3.92082</c:v>
                </c:pt>
                <c:pt idx="7">
                  <c:v>3.92157</c:v>
                </c:pt>
                <c:pt idx="8">
                  <c:v>3.9225399999999997</c:v>
                </c:pt>
                <c:pt idx="9">
                  <c:v>3.9203100000000002</c:v>
                </c:pt>
                <c:pt idx="10">
                  <c:v>3.9141300000000001</c:v>
                </c:pt>
                <c:pt idx="11">
                  <c:v>3.9045200000000002</c:v>
                </c:pt>
                <c:pt idx="12">
                  <c:v>3.88971</c:v>
                </c:pt>
                <c:pt idx="13">
                  <c:v>3.8725300000000002</c:v>
                </c:pt>
                <c:pt idx="14">
                  <c:v>3.8546000000000005</c:v>
                </c:pt>
                <c:pt idx="15">
                  <c:v>3.8325300000000002</c:v>
                </c:pt>
                <c:pt idx="16">
                  <c:v>3.8097700000000003</c:v>
                </c:pt>
                <c:pt idx="17">
                  <c:v>3.7840499999999997</c:v>
                </c:pt>
                <c:pt idx="18">
                  <c:v>3.75346</c:v>
                </c:pt>
                <c:pt idx="19">
                  <c:v>3.7209199999999996</c:v>
                </c:pt>
                <c:pt idx="20">
                  <c:v>3.6870799999999999</c:v>
                </c:pt>
                <c:pt idx="21">
                  <c:v>3.65124</c:v>
                </c:pt>
                <c:pt idx="22">
                  <c:v>3.6172399999999998</c:v>
                </c:pt>
                <c:pt idx="23">
                  <c:v>3.5848400000000002</c:v>
                </c:pt>
                <c:pt idx="24">
                  <c:v>3.5535699999999997</c:v>
                </c:pt>
                <c:pt idx="25">
                  <c:v>3.5223599999999999</c:v>
                </c:pt>
                <c:pt idx="26">
                  <c:v>3.4926400000000002</c:v>
                </c:pt>
                <c:pt idx="27">
                  <c:v>3.46705</c:v>
                </c:pt>
                <c:pt idx="28">
                  <c:v>3.4455499999999999</c:v>
                </c:pt>
                <c:pt idx="29">
                  <c:v>3.4274100000000001</c:v>
                </c:pt>
                <c:pt idx="30">
                  <c:v>3.4142399999999999</c:v>
                </c:pt>
                <c:pt idx="31">
                  <c:v>3.4024900000000002</c:v>
                </c:pt>
                <c:pt idx="32">
                  <c:v>3.3940999999999999</c:v>
                </c:pt>
                <c:pt idx="33">
                  <c:v>3.3868399999999999</c:v>
                </c:pt>
                <c:pt idx="34">
                  <c:v>3.3837000000000002</c:v>
                </c:pt>
                <c:pt idx="35">
                  <c:v>3.3844600000000002</c:v>
                </c:pt>
                <c:pt idx="36">
                  <c:v>3.38463</c:v>
                </c:pt>
                <c:pt idx="37">
                  <c:v>3.3831199999999999</c:v>
                </c:pt>
                <c:pt idx="38">
                  <c:v>3.37879</c:v>
                </c:pt>
                <c:pt idx="39">
                  <c:v>3.3744200000000002</c:v>
                </c:pt>
                <c:pt idx="40">
                  <c:v>3.3740900000000003</c:v>
                </c:pt>
                <c:pt idx="41">
                  <c:v>3.3742000000000001</c:v>
                </c:pt>
                <c:pt idx="42">
                  <c:v>3.3729800000000001</c:v>
                </c:pt>
                <c:pt idx="43">
                  <c:v>3.3704800000000001</c:v>
                </c:pt>
                <c:pt idx="44">
                  <c:v>3.36463</c:v>
                </c:pt>
                <c:pt idx="45">
                  <c:v>3.3549099999999998</c:v>
                </c:pt>
                <c:pt idx="46">
                  <c:v>3.34206</c:v>
                </c:pt>
                <c:pt idx="47">
                  <c:v>3.3234500000000002</c:v>
                </c:pt>
                <c:pt idx="48">
                  <c:v>3.30376</c:v>
                </c:pt>
                <c:pt idx="49">
                  <c:v>3.2816000000000001</c:v>
                </c:pt>
                <c:pt idx="50">
                  <c:v>3.2651400000000002</c:v>
                </c:pt>
                <c:pt idx="51">
                  <c:v>3.2587799999999998</c:v>
                </c:pt>
                <c:pt idx="52">
                  <c:v>3.2519499999999999</c:v>
                </c:pt>
                <c:pt idx="53">
                  <c:v>3.24424</c:v>
                </c:pt>
                <c:pt idx="54">
                  <c:v>3.2352599999999998</c:v>
                </c:pt>
                <c:pt idx="55">
                  <c:v>3.2248900000000003</c:v>
                </c:pt>
                <c:pt idx="56">
                  <c:v>3.2136100000000001</c:v>
                </c:pt>
                <c:pt idx="57">
                  <c:v>3.1971699999999998</c:v>
                </c:pt>
                <c:pt idx="58">
                  <c:v>3.1766899999999998</c:v>
                </c:pt>
                <c:pt idx="59">
                  <c:v>3.1471399999999998</c:v>
                </c:pt>
                <c:pt idx="60">
                  <c:v>3.1097599999999996</c:v>
                </c:pt>
                <c:pt idx="61">
                  <c:v>3.0714799999999998</c:v>
                </c:pt>
                <c:pt idx="62">
                  <c:v>3.0377900000000002</c:v>
                </c:pt>
                <c:pt idx="63">
                  <c:v>3.00779</c:v>
                </c:pt>
                <c:pt idx="64">
                  <c:v>2.9759099999999998</c:v>
                </c:pt>
                <c:pt idx="65">
                  <c:v>2.9398200000000001</c:v>
                </c:pt>
                <c:pt idx="66">
                  <c:v>2.8983300000000001</c:v>
                </c:pt>
                <c:pt idx="67">
                  <c:v>2.85982</c:v>
                </c:pt>
                <c:pt idx="68">
                  <c:v>2.8214099999999998</c:v>
                </c:pt>
                <c:pt idx="69">
                  <c:v>2.7778900000000002</c:v>
                </c:pt>
                <c:pt idx="70">
                  <c:v>2.73224</c:v>
                </c:pt>
                <c:pt idx="71">
                  <c:v>2.6801399999999997</c:v>
                </c:pt>
                <c:pt idx="72">
                  <c:v>2.6414399999999998</c:v>
                </c:pt>
                <c:pt idx="73">
                  <c:v>2.6116099999999998</c:v>
                </c:pt>
                <c:pt idx="74">
                  <c:v>2.5532300000000001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15.033575000000001</c:v>
                </c:pt>
                <c:pt idx="1">
                  <c:v>45.100725000000004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3.1211309459459464</c:v>
                </c:pt>
                <c:pt idx="1">
                  <c:v>3.4129378378378386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  <c:pt idx="75">
                  <c:v>30.603300000000001</c:v>
                </c:pt>
                <c:pt idx="76">
                  <c:v>30.978899999999999</c:v>
                </c:pt>
                <c:pt idx="77">
                  <c:v>31.353300000000001</c:v>
                </c:pt>
                <c:pt idx="78">
                  <c:v>31.727399999999999</c:v>
                </c:pt>
                <c:pt idx="79">
                  <c:v>32.106900000000003</c:v>
                </c:pt>
                <c:pt idx="80">
                  <c:v>32.508600000000001</c:v>
                </c:pt>
                <c:pt idx="81">
                  <c:v>32.917299999999997</c:v>
                </c:pt>
                <c:pt idx="82">
                  <c:v>33.322099999999999</c:v>
                </c:pt>
                <c:pt idx="83">
                  <c:v>33.728299999999997</c:v>
                </c:pt>
                <c:pt idx="84">
                  <c:v>34.132300000000001</c:v>
                </c:pt>
                <c:pt idx="85">
                  <c:v>34.542900000000003</c:v>
                </c:pt>
                <c:pt idx="86">
                  <c:v>34.948599999999999</c:v>
                </c:pt>
                <c:pt idx="87">
                  <c:v>35.350700000000003</c:v>
                </c:pt>
                <c:pt idx="88">
                  <c:v>35.756399999999999</c:v>
                </c:pt>
                <c:pt idx="89">
                  <c:v>36.165399999999998</c:v>
                </c:pt>
                <c:pt idx="90">
                  <c:v>36.570399999999999</c:v>
                </c:pt>
                <c:pt idx="91">
                  <c:v>36.9818</c:v>
                </c:pt>
                <c:pt idx="92">
                  <c:v>37.387599999999999</c:v>
                </c:pt>
                <c:pt idx="93">
                  <c:v>37.789200000000001</c:v>
                </c:pt>
                <c:pt idx="94">
                  <c:v>38.196300000000001</c:v>
                </c:pt>
                <c:pt idx="95">
                  <c:v>38.603900000000003</c:v>
                </c:pt>
                <c:pt idx="96">
                  <c:v>39.0137</c:v>
                </c:pt>
                <c:pt idx="97">
                  <c:v>39.415300000000002</c:v>
                </c:pt>
                <c:pt idx="98">
                  <c:v>39.821300000000001</c:v>
                </c:pt>
                <c:pt idx="99">
                  <c:v>40.226500000000001</c:v>
                </c:pt>
                <c:pt idx="100">
                  <c:v>40.633299999999998</c:v>
                </c:pt>
                <c:pt idx="101">
                  <c:v>41.039000000000001</c:v>
                </c:pt>
                <c:pt idx="102">
                  <c:v>41.449599999999997</c:v>
                </c:pt>
                <c:pt idx="103">
                  <c:v>41.8536</c:v>
                </c:pt>
                <c:pt idx="104">
                  <c:v>42.261800000000001</c:v>
                </c:pt>
                <c:pt idx="105">
                  <c:v>42.665799999999997</c:v>
                </c:pt>
                <c:pt idx="106">
                  <c:v>43.069400000000002</c:v>
                </c:pt>
                <c:pt idx="107">
                  <c:v>43.478000000000002</c:v>
                </c:pt>
                <c:pt idx="108">
                  <c:v>43.886499999999998</c:v>
                </c:pt>
                <c:pt idx="109">
                  <c:v>44.291699999999999</c:v>
                </c:pt>
                <c:pt idx="110">
                  <c:v>44.698700000000002</c:v>
                </c:pt>
                <c:pt idx="111">
                  <c:v>45.103200000000001</c:v>
                </c:pt>
                <c:pt idx="112">
                  <c:v>45.510100000000001</c:v>
                </c:pt>
                <c:pt idx="113">
                  <c:v>45.9176</c:v>
                </c:pt>
                <c:pt idx="114">
                  <c:v>46.322299999999998</c:v>
                </c:pt>
                <c:pt idx="115">
                  <c:v>46.729399999999998</c:v>
                </c:pt>
                <c:pt idx="116">
                  <c:v>47.131500000000003</c:v>
                </c:pt>
                <c:pt idx="117">
                  <c:v>47.538699999999999</c:v>
                </c:pt>
                <c:pt idx="118">
                  <c:v>47.946300000000001</c:v>
                </c:pt>
                <c:pt idx="119">
                  <c:v>48.3521</c:v>
                </c:pt>
                <c:pt idx="120">
                  <c:v>48.756300000000003</c:v>
                </c:pt>
                <c:pt idx="121">
                  <c:v>49.165100000000002</c:v>
                </c:pt>
                <c:pt idx="122">
                  <c:v>49.570099999999996</c:v>
                </c:pt>
                <c:pt idx="123">
                  <c:v>49.979799999999997</c:v>
                </c:pt>
                <c:pt idx="124">
                  <c:v>50.386499999999998</c:v>
                </c:pt>
                <c:pt idx="125">
                  <c:v>50.792400000000001</c:v>
                </c:pt>
                <c:pt idx="126">
                  <c:v>51.195599999999999</c:v>
                </c:pt>
                <c:pt idx="127">
                  <c:v>51.603299999999997</c:v>
                </c:pt>
                <c:pt idx="128">
                  <c:v>52.011000000000003</c:v>
                </c:pt>
                <c:pt idx="129">
                  <c:v>52.414999999999999</c:v>
                </c:pt>
                <c:pt idx="130">
                  <c:v>52.822499999999998</c:v>
                </c:pt>
                <c:pt idx="131">
                  <c:v>53.2273</c:v>
                </c:pt>
                <c:pt idx="132">
                  <c:v>53.633600000000001</c:v>
                </c:pt>
                <c:pt idx="133">
                  <c:v>54.041899999999998</c:v>
                </c:pt>
                <c:pt idx="134">
                  <c:v>54.448900000000002</c:v>
                </c:pt>
                <c:pt idx="135">
                  <c:v>54.854900000000001</c:v>
                </c:pt>
                <c:pt idx="136">
                  <c:v>55.257100000000001</c:v>
                </c:pt>
                <c:pt idx="137">
                  <c:v>55.666499999999999</c:v>
                </c:pt>
                <c:pt idx="138">
                  <c:v>56.071899999999999</c:v>
                </c:pt>
                <c:pt idx="139">
                  <c:v>56.478900000000003</c:v>
                </c:pt>
                <c:pt idx="140">
                  <c:v>56.882899999999999</c:v>
                </c:pt>
                <c:pt idx="141">
                  <c:v>57.288699999999999</c:v>
                </c:pt>
                <c:pt idx="142">
                  <c:v>57.6967</c:v>
                </c:pt>
                <c:pt idx="143">
                  <c:v>58.101500000000001</c:v>
                </c:pt>
                <c:pt idx="144">
                  <c:v>58.509799999999998</c:v>
                </c:pt>
                <c:pt idx="145">
                  <c:v>58.9176</c:v>
                </c:pt>
                <c:pt idx="146">
                  <c:v>59.320799999999998</c:v>
                </c:pt>
                <c:pt idx="147">
                  <c:v>59.726599999999998</c:v>
                </c:pt>
                <c:pt idx="148">
                  <c:v>60.134300000000003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  <c:pt idx="75">
                  <c:v>47.459800000000001</c:v>
                </c:pt>
                <c:pt idx="76">
                  <c:v>47.197899999999997</c:v>
                </c:pt>
                <c:pt idx="77">
                  <c:v>46.966999999999999</c:v>
                </c:pt>
                <c:pt idx="78">
                  <c:v>46.6892</c:v>
                </c:pt>
                <c:pt idx="79">
                  <c:v>46.433</c:v>
                </c:pt>
                <c:pt idx="80">
                  <c:v>46.198599999999999</c:v>
                </c:pt>
                <c:pt idx="81">
                  <c:v>45.969000000000001</c:v>
                </c:pt>
                <c:pt idx="82">
                  <c:v>45.733200000000004</c:v>
                </c:pt>
                <c:pt idx="83">
                  <c:v>45.4848</c:v>
                </c:pt>
                <c:pt idx="84">
                  <c:v>45.240900000000003</c:v>
                </c:pt>
                <c:pt idx="85">
                  <c:v>44.947199999999995</c:v>
                </c:pt>
                <c:pt idx="86">
                  <c:v>44.625900000000001</c:v>
                </c:pt>
                <c:pt idx="87">
                  <c:v>44.2652</c:v>
                </c:pt>
                <c:pt idx="88">
                  <c:v>43.869</c:v>
                </c:pt>
                <c:pt idx="89">
                  <c:v>43.458599999999997</c:v>
                </c:pt>
                <c:pt idx="90">
                  <c:v>43.029600000000002</c:v>
                </c:pt>
                <c:pt idx="91">
                  <c:v>42.602499999999999</c:v>
                </c:pt>
                <c:pt idx="92">
                  <c:v>42.257300000000001</c:v>
                </c:pt>
                <c:pt idx="93">
                  <c:v>42.078099999999999</c:v>
                </c:pt>
                <c:pt idx="94">
                  <c:v>42.0625</c:v>
                </c:pt>
                <c:pt idx="95">
                  <c:v>42.237299999999998</c:v>
                </c:pt>
                <c:pt idx="96">
                  <c:v>42.506300000000003</c:v>
                </c:pt>
                <c:pt idx="97">
                  <c:v>42.737299999999998</c:v>
                </c:pt>
                <c:pt idx="98">
                  <c:v>42.992399999999996</c:v>
                </c:pt>
                <c:pt idx="99">
                  <c:v>43.349600000000002</c:v>
                </c:pt>
                <c:pt idx="100">
                  <c:v>43.720799999999997</c:v>
                </c:pt>
                <c:pt idx="101">
                  <c:v>44.000399999999999</c:v>
                </c:pt>
                <c:pt idx="102">
                  <c:v>44.2119</c:v>
                </c:pt>
                <c:pt idx="103">
                  <c:v>44.391500000000001</c:v>
                </c:pt>
                <c:pt idx="104">
                  <c:v>44.452799999999996</c:v>
                </c:pt>
                <c:pt idx="105">
                  <c:v>44.445299999999996</c:v>
                </c:pt>
                <c:pt idx="106">
                  <c:v>44.399000000000001</c:v>
                </c:pt>
                <c:pt idx="107">
                  <c:v>44.403300000000002</c:v>
                </c:pt>
                <c:pt idx="108">
                  <c:v>44.381900000000002</c:v>
                </c:pt>
                <c:pt idx="109">
                  <c:v>44.285699999999999</c:v>
                </c:pt>
                <c:pt idx="110">
                  <c:v>44.222499999999997</c:v>
                </c:pt>
                <c:pt idx="111">
                  <c:v>44.237400000000001</c:v>
                </c:pt>
                <c:pt idx="112">
                  <c:v>44.226500000000001</c:v>
                </c:pt>
                <c:pt idx="113">
                  <c:v>44.217700000000001</c:v>
                </c:pt>
                <c:pt idx="114">
                  <c:v>44.148299999999999</c:v>
                </c:pt>
                <c:pt idx="115">
                  <c:v>44.059799999999996</c:v>
                </c:pt>
                <c:pt idx="116">
                  <c:v>43.9953</c:v>
                </c:pt>
                <c:pt idx="117">
                  <c:v>43.914400000000001</c:v>
                </c:pt>
                <c:pt idx="118">
                  <c:v>43.808399999999999</c:v>
                </c:pt>
                <c:pt idx="119">
                  <c:v>43.652499999999996</c:v>
                </c:pt>
                <c:pt idx="120">
                  <c:v>43.464700000000001</c:v>
                </c:pt>
                <c:pt idx="121">
                  <c:v>43.236499999999999</c:v>
                </c:pt>
                <c:pt idx="122">
                  <c:v>42.987299999999998</c:v>
                </c:pt>
                <c:pt idx="123">
                  <c:v>42.751300000000001</c:v>
                </c:pt>
                <c:pt idx="124">
                  <c:v>42.598100000000002</c:v>
                </c:pt>
                <c:pt idx="125">
                  <c:v>42.514400000000002</c:v>
                </c:pt>
                <c:pt idx="126">
                  <c:v>42.407699999999998</c:v>
                </c:pt>
                <c:pt idx="127">
                  <c:v>42.300699999999999</c:v>
                </c:pt>
                <c:pt idx="128">
                  <c:v>42.210599999999999</c:v>
                </c:pt>
                <c:pt idx="129">
                  <c:v>42.123600000000003</c:v>
                </c:pt>
                <c:pt idx="130">
                  <c:v>42.046599999999998</c:v>
                </c:pt>
                <c:pt idx="131">
                  <c:v>42.022999999999996</c:v>
                </c:pt>
                <c:pt idx="132">
                  <c:v>41.9955</c:v>
                </c:pt>
                <c:pt idx="133">
                  <c:v>42.096400000000003</c:v>
                </c:pt>
                <c:pt idx="134">
                  <c:v>42.350100000000005</c:v>
                </c:pt>
                <c:pt idx="135">
                  <c:v>42.6477</c:v>
                </c:pt>
                <c:pt idx="136">
                  <c:v>42.8414</c:v>
                </c:pt>
                <c:pt idx="137">
                  <c:v>43.109299999999998</c:v>
                </c:pt>
                <c:pt idx="138">
                  <c:v>43.428699999999999</c:v>
                </c:pt>
                <c:pt idx="139">
                  <c:v>43.8568</c:v>
                </c:pt>
                <c:pt idx="140">
                  <c:v>44.492800000000003</c:v>
                </c:pt>
                <c:pt idx="141">
                  <c:v>44.994900000000001</c:v>
                </c:pt>
                <c:pt idx="142">
                  <c:v>45.512300000000003</c:v>
                </c:pt>
                <c:pt idx="143">
                  <c:v>46.075500000000005</c:v>
                </c:pt>
                <c:pt idx="144">
                  <c:v>46.6158</c:v>
                </c:pt>
                <c:pt idx="145">
                  <c:v>47.214500000000001</c:v>
                </c:pt>
                <c:pt idx="146">
                  <c:v>47.582299999999996</c:v>
                </c:pt>
                <c:pt idx="147">
                  <c:v>47.806800000000003</c:v>
                </c:pt>
                <c:pt idx="148">
                  <c:v>48.484100000000005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30.010999999999999</c:v>
                </c:pt>
                <c:pt idx="1">
                  <c:v>30.603300000000001</c:v>
                </c:pt>
                <c:pt idx="2">
                  <c:v>30.978899999999999</c:v>
                </c:pt>
                <c:pt idx="3">
                  <c:v>31.353300000000001</c:v>
                </c:pt>
                <c:pt idx="4">
                  <c:v>31.727399999999999</c:v>
                </c:pt>
                <c:pt idx="5">
                  <c:v>32.106900000000003</c:v>
                </c:pt>
                <c:pt idx="6">
                  <c:v>32.508600000000001</c:v>
                </c:pt>
                <c:pt idx="7">
                  <c:v>32.917299999999997</c:v>
                </c:pt>
                <c:pt idx="8">
                  <c:v>33.322099999999999</c:v>
                </c:pt>
                <c:pt idx="9">
                  <c:v>33.728299999999997</c:v>
                </c:pt>
                <c:pt idx="10">
                  <c:v>34.132300000000001</c:v>
                </c:pt>
                <c:pt idx="11">
                  <c:v>34.542900000000003</c:v>
                </c:pt>
                <c:pt idx="12">
                  <c:v>34.948599999999999</c:v>
                </c:pt>
                <c:pt idx="13">
                  <c:v>35.350700000000003</c:v>
                </c:pt>
                <c:pt idx="14">
                  <c:v>35.756399999999999</c:v>
                </c:pt>
                <c:pt idx="15">
                  <c:v>36.165399999999998</c:v>
                </c:pt>
                <c:pt idx="16">
                  <c:v>36.570399999999999</c:v>
                </c:pt>
                <c:pt idx="17">
                  <c:v>36.9818</c:v>
                </c:pt>
                <c:pt idx="18">
                  <c:v>37.387599999999999</c:v>
                </c:pt>
                <c:pt idx="19">
                  <c:v>37.789200000000001</c:v>
                </c:pt>
                <c:pt idx="20">
                  <c:v>38.196300000000001</c:v>
                </c:pt>
                <c:pt idx="21">
                  <c:v>38.603900000000003</c:v>
                </c:pt>
                <c:pt idx="22">
                  <c:v>39.0137</c:v>
                </c:pt>
                <c:pt idx="23">
                  <c:v>39.415300000000002</c:v>
                </c:pt>
                <c:pt idx="24">
                  <c:v>39.821300000000001</c:v>
                </c:pt>
                <c:pt idx="25">
                  <c:v>40.226500000000001</c:v>
                </c:pt>
                <c:pt idx="26">
                  <c:v>40.633299999999998</c:v>
                </c:pt>
                <c:pt idx="27">
                  <c:v>41.039000000000001</c:v>
                </c:pt>
                <c:pt idx="28">
                  <c:v>41.449599999999997</c:v>
                </c:pt>
                <c:pt idx="29">
                  <c:v>41.8536</c:v>
                </c:pt>
                <c:pt idx="30">
                  <c:v>42.261800000000001</c:v>
                </c:pt>
                <c:pt idx="31">
                  <c:v>42.665799999999997</c:v>
                </c:pt>
                <c:pt idx="32">
                  <c:v>43.069400000000002</c:v>
                </c:pt>
                <c:pt idx="33">
                  <c:v>43.478000000000002</c:v>
                </c:pt>
                <c:pt idx="34">
                  <c:v>43.886499999999998</c:v>
                </c:pt>
                <c:pt idx="35">
                  <c:v>44.291699999999999</c:v>
                </c:pt>
                <c:pt idx="36">
                  <c:v>44.698700000000002</c:v>
                </c:pt>
                <c:pt idx="37">
                  <c:v>45.103200000000001</c:v>
                </c:pt>
                <c:pt idx="38">
                  <c:v>45.510100000000001</c:v>
                </c:pt>
                <c:pt idx="39">
                  <c:v>45.9176</c:v>
                </c:pt>
                <c:pt idx="40">
                  <c:v>46.322299999999998</c:v>
                </c:pt>
                <c:pt idx="41">
                  <c:v>46.729399999999998</c:v>
                </c:pt>
                <c:pt idx="42">
                  <c:v>47.131500000000003</c:v>
                </c:pt>
                <c:pt idx="43">
                  <c:v>47.538699999999999</c:v>
                </c:pt>
                <c:pt idx="44">
                  <c:v>47.946300000000001</c:v>
                </c:pt>
                <c:pt idx="45">
                  <c:v>48.3521</c:v>
                </c:pt>
                <c:pt idx="46">
                  <c:v>48.756300000000003</c:v>
                </c:pt>
                <c:pt idx="47">
                  <c:v>49.165100000000002</c:v>
                </c:pt>
                <c:pt idx="48">
                  <c:v>49.570099999999996</c:v>
                </c:pt>
                <c:pt idx="49">
                  <c:v>49.979799999999997</c:v>
                </c:pt>
                <c:pt idx="50">
                  <c:v>50.386499999999998</c:v>
                </c:pt>
                <c:pt idx="51">
                  <c:v>50.792400000000001</c:v>
                </c:pt>
                <c:pt idx="52">
                  <c:v>51.195599999999999</c:v>
                </c:pt>
                <c:pt idx="53">
                  <c:v>51.603299999999997</c:v>
                </c:pt>
                <c:pt idx="54">
                  <c:v>52.011000000000003</c:v>
                </c:pt>
                <c:pt idx="55">
                  <c:v>52.414999999999999</c:v>
                </c:pt>
                <c:pt idx="56">
                  <c:v>52.822499999999998</c:v>
                </c:pt>
                <c:pt idx="57">
                  <c:v>53.2273</c:v>
                </c:pt>
                <c:pt idx="58">
                  <c:v>53.633600000000001</c:v>
                </c:pt>
                <c:pt idx="59">
                  <c:v>54.041899999999998</c:v>
                </c:pt>
                <c:pt idx="60">
                  <c:v>54.448900000000002</c:v>
                </c:pt>
                <c:pt idx="61">
                  <c:v>54.854900000000001</c:v>
                </c:pt>
                <c:pt idx="62">
                  <c:v>55.257100000000001</c:v>
                </c:pt>
                <c:pt idx="63">
                  <c:v>55.666499999999999</c:v>
                </c:pt>
                <c:pt idx="64">
                  <c:v>56.071899999999999</c:v>
                </c:pt>
                <c:pt idx="65">
                  <c:v>56.478900000000003</c:v>
                </c:pt>
                <c:pt idx="66">
                  <c:v>56.882899999999999</c:v>
                </c:pt>
                <c:pt idx="67">
                  <c:v>57.288699999999999</c:v>
                </c:pt>
                <c:pt idx="68">
                  <c:v>57.6967</c:v>
                </c:pt>
                <c:pt idx="69">
                  <c:v>58.101500000000001</c:v>
                </c:pt>
                <c:pt idx="70">
                  <c:v>58.509799999999998</c:v>
                </c:pt>
                <c:pt idx="71">
                  <c:v>58.9176</c:v>
                </c:pt>
                <c:pt idx="72">
                  <c:v>59.320799999999998</c:v>
                </c:pt>
                <c:pt idx="73">
                  <c:v>59.726599999999998</c:v>
                </c:pt>
                <c:pt idx="74">
                  <c:v>60.134300000000003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47.9373</c:v>
                </c:pt>
                <c:pt idx="1">
                  <c:v>47.459800000000001</c:v>
                </c:pt>
                <c:pt idx="2">
                  <c:v>47.197899999999997</c:v>
                </c:pt>
                <c:pt idx="3">
                  <c:v>46.966999999999999</c:v>
                </c:pt>
                <c:pt idx="4">
                  <c:v>46.6892</c:v>
                </c:pt>
                <c:pt idx="5">
                  <c:v>46.433</c:v>
                </c:pt>
                <c:pt idx="6">
                  <c:v>46.198599999999999</c:v>
                </c:pt>
                <c:pt idx="7">
                  <c:v>45.969000000000001</c:v>
                </c:pt>
                <c:pt idx="8">
                  <c:v>45.733200000000004</c:v>
                </c:pt>
                <c:pt idx="9">
                  <c:v>45.4848</c:v>
                </c:pt>
                <c:pt idx="10">
                  <c:v>45.240900000000003</c:v>
                </c:pt>
                <c:pt idx="11">
                  <c:v>44.947199999999995</c:v>
                </c:pt>
                <c:pt idx="12">
                  <c:v>44.625900000000001</c:v>
                </c:pt>
                <c:pt idx="13">
                  <c:v>44.2652</c:v>
                </c:pt>
                <c:pt idx="14">
                  <c:v>43.869</c:v>
                </c:pt>
                <c:pt idx="15">
                  <c:v>43.458599999999997</c:v>
                </c:pt>
                <c:pt idx="16">
                  <c:v>43.029600000000002</c:v>
                </c:pt>
                <c:pt idx="17">
                  <c:v>42.602499999999999</c:v>
                </c:pt>
                <c:pt idx="18">
                  <c:v>42.257300000000001</c:v>
                </c:pt>
                <c:pt idx="19">
                  <c:v>42.078099999999999</c:v>
                </c:pt>
                <c:pt idx="20">
                  <c:v>42.0625</c:v>
                </c:pt>
                <c:pt idx="21">
                  <c:v>42.237299999999998</c:v>
                </c:pt>
                <c:pt idx="22">
                  <c:v>42.506300000000003</c:v>
                </c:pt>
                <c:pt idx="23">
                  <c:v>42.737299999999998</c:v>
                </c:pt>
                <c:pt idx="24">
                  <c:v>42.992399999999996</c:v>
                </c:pt>
                <c:pt idx="25">
                  <c:v>43.349600000000002</c:v>
                </c:pt>
                <c:pt idx="26">
                  <c:v>43.720799999999997</c:v>
                </c:pt>
                <c:pt idx="27">
                  <c:v>44.000399999999999</c:v>
                </c:pt>
                <c:pt idx="28">
                  <c:v>44.2119</c:v>
                </c:pt>
                <c:pt idx="29">
                  <c:v>44.391500000000001</c:v>
                </c:pt>
                <c:pt idx="30">
                  <c:v>44.452799999999996</c:v>
                </c:pt>
                <c:pt idx="31">
                  <c:v>44.445299999999996</c:v>
                </c:pt>
                <c:pt idx="32">
                  <c:v>44.399000000000001</c:v>
                </c:pt>
                <c:pt idx="33">
                  <c:v>44.403300000000002</c:v>
                </c:pt>
                <c:pt idx="34">
                  <c:v>44.381900000000002</c:v>
                </c:pt>
                <c:pt idx="35">
                  <c:v>44.285699999999999</c:v>
                </c:pt>
                <c:pt idx="36">
                  <c:v>44.222499999999997</c:v>
                </c:pt>
                <c:pt idx="37">
                  <c:v>44.237400000000001</c:v>
                </c:pt>
                <c:pt idx="38">
                  <c:v>44.226500000000001</c:v>
                </c:pt>
                <c:pt idx="39">
                  <c:v>44.217700000000001</c:v>
                </c:pt>
                <c:pt idx="40">
                  <c:v>44.148299999999999</c:v>
                </c:pt>
                <c:pt idx="41">
                  <c:v>44.059799999999996</c:v>
                </c:pt>
                <c:pt idx="42">
                  <c:v>43.9953</c:v>
                </c:pt>
                <c:pt idx="43">
                  <c:v>43.914400000000001</c:v>
                </c:pt>
                <c:pt idx="44">
                  <c:v>43.808399999999999</c:v>
                </c:pt>
                <c:pt idx="45">
                  <c:v>43.652499999999996</c:v>
                </c:pt>
                <c:pt idx="46">
                  <c:v>43.464700000000001</c:v>
                </c:pt>
                <c:pt idx="47">
                  <c:v>43.236499999999999</c:v>
                </c:pt>
                <c:pt idx="48">
                  <c:v>42.987299999999998</c:v>
                </c:pt>
                <c:pt idx="49">
                  <c:v>42.751300000000001</c:v>
                </c:pt>
                <c:pt idx="50">
                  <c:v>42.598100000000002</c:v>
                </c:pt>
                <c:pt idx="51">
                  <c:v>42.514400000000002</c:v>
                </c:pt>
                <c:pt idx="52">
                  <c:v>42.407699999999998</c:v>
                </c:pt>
                <c:pt idx="53">
                  <c:v>42.300699999999999</c:v>
                </c:pt>
                <c:pt idx="54">
                  <c:v>42.210599999999999</c:v>
                </c:pt>
                <c:pt idx="55">
                  <c:v>42.123600000000003</c:v>
                </c:pt>
                <c:pt idx="56">
                  <c:v>42.046599999999998</c:v>
                </c:pt>
                <c:pt idx="57">
                  <c:v>42.022999999999996</c:v>
                </c:pt>
                <c:pt idx="58">
                  <c:v>41.9955</c:v>
                </c:pt>
                <c:pt idx="59">
                  <c:v>42.096400000000003</c:v>
                </c:pt>
                <c:pt idx="60">
                  <c:v>42.350100000000005</c:v>
                </c:pt>
                <c:pt idx="61">
                  <c:v>42.6477</c:v>
                </c:pt>
                <c:pt idx="62">
                  <c:v>42.8414</c:v>
                </c:pt>
                <c:pt idx="63">
                  <c:v>43.109299999999998</c:v>
                </c:pt>
                <c:pt idx="64">
                  <c:v>43.428699999999999</c:v>
                </c:pt>
                <c:pt idx="65">
                  <c:v>43.8568</c:v>
                </c:pt>
                <c:pt idx="66">
                  <c:v>44.492800000000003</c:v>
                </c:pt>
                <c:pt idx="67">
                  <c:v>44.994900000000001</c:v>
                </c:pt>
                <c:pt idx="68">
                  <c:v>45.512300000000003</c:v>
                </c:pt>
                <c:pt idx="69">
                  <c:v>46.075500000000005</c:v>
                </c:pt>
                <c:pt idx="70">
                  <c:v>46.6158</c:v>
                </c:pt>
                <c:pt idx="71">
                  <c:v>47.214500000000001</c:v>
                </c:pt>
                <c:pt idx="72">
                  <c:v>47.582299999999996</c:v>
                </c:pt>
                <c:pt idx="73">
                  <c:v>47.806800000000003</c:v>
                </c:pt>
                <c:pt idx="74">
                  <c:v>48.484100000000005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15.033575000000001</c:v>
                </c:pt>
                <c:pt idx="1">
                  <c:v>45.100725000000004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46.787181081081094</c:v>
                </c:pt>
                <c:pt idx="1">
                  <c:v>44.118786486486499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35.5959</c:v>
                </c:pt>
                <c:pt idx="1">
                  <c:v>32.564900000000002</c:v>
                </c:pt>
                <c:pt idx="2">
                  <c:v>29.413499999999999</c:v>
                </c:pt>
                <c:pt idx="3">
                  <c:v>28.447800000000001</c:v>
                </c:pt>
                <c:pt idx="4">
                  <c:v>62.644599999999997</c:v>
                </c:pt>
                <c:pt idx="5">
                  <c:v>77.691000000000003</c:v>
                </c:pt>
                <c:pt idx="6">
                  <c:v>21.311</c:v>
                </c:pt>
                <c:pt idx="7">
                  <c:v>69.875399999999999</c:v>
                </c:pt>
                <c:pt idx="8">
                  <c:v>23.5671</c:v>
                </c:pt>
                <c:pt idx="9">
                  <c:v>30.635100000000001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39.046300000000002</c:v>
                </c:pt>
                <c:pt idx="1">
                  <c:v>24.661000000000001</c:v>
                </c:pt>
                <c:pt idx="2">
                  <c:v>23.1982</c:v>
                </c:pt>
                <c:pt idx="3">
                  <c:v>29.212700000000002</c:v>
                </c:pt>
                <c:pt idx="4">
                  <c:v>67.5411</c:v>
                </c:pt>
                <c:pt idx="5">
                  <c:v>81.453999999999994</c:v>
                </c:pt>
                <c:pt idx="6">
                  <c:v>23.794799999999999</c:v>
                </c:pt>
                <c:pt idx="7">
                  <c:v>74.682299999999998</c:v>
                </c:pt>
                <c:pt idx="8">
                  <c:v>20.568300000000001</c:v>
                </c:pt>
                <c:pt idx="9">
                  <c:v>42.287599999999998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0.49688323924210509</c:v>
                </c:pt>
                <c:pt idx="1">
                  <c:v>0.2704635812756131</c:v>
                </c:pt>
                <c:pt idx="2">
                  <c:v>0.23265317948228187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1474</c:v>
                </c:pt>
                <c:pt idx="7">
                  <c:v>0</c:v>
                </c:pt>
                <c:pt idx="8">
                  <c:v>6294</c:v>
                </c:pt>
                <c:pt idx="9">
                  <c:v>0</c:v>
                </c:pt>
                <c:pt idx="10">
                  <c:v>0</c:v>
                </c:pt>
                <c:pt idx="11">
                  <c:v>10317</c:v>
                </c:pt>
                <c:pt idx="12">
                  <c:v>0</c:v>
                </c:pt>
                <c:pt idx="13">
                  <c:v>12452</c:v>
                </c:pt>
                <c:pt idx="14">
                  <c:v>0</c:v>
                </c:pt>
                <c:pt idx="15">
                  <c:v>0</c:v>
                </c:pt>
                <c:pt idx="16">
                  <c:v>16954</c:v>
                </c:pt>
                <c:pt idx="17">
                  <c:v>0</c:v>
                </c:pt>
                <c:pt idx="18">
                  <c:v>0</c:v>
                </c:pt>
                <c:pt idx="19">
                  <c:v>19440</c:v>
                </c:pt>
                <c:pt idx="20">
                  <c:v>0</c:v>
                </c:pt>
                <c:pt idx="21">
                  <c:v>27151</c:v>
                </c:pt>
                <c:pt idx="22">
                  <c:v>0</c:v>
                </c:pt>
                <c:pt idx="23">
                  <c:v>0</c:v>
                </c:pt>
                <c:pt idx="24">
                  <c:v>29648</c:v>
                </c:pt>
                <c:pt idx="25">
                  <c:v>0</c:v>
                </c:pt>
                <c:pt idx="26">
                  <c:v>40098</c:v>
                </c:pt>
                <c:pt idx="27">
                  <c:v>0</c:v>
                </c:pt>
                <c:pt idx="28">
                  <c:v>0</c:v>
                </c:pt>
                <c:pt idx="29">
                  <c:v>37727</c:v>
                </c:pt>
                <c:pt idx="30">
                  <c:v>0</c:v>
                </c:pt>
                <c:pt idx="31">
                  <c:v>41270</c:v>
                </c:pt>
                <c:pt idx="32">
                  <c:v>0</c:v>
                </c:pt>
                <c:pt idx="33">
                  <c:v>0</c:v>
                </c:pt>
                <c:pt idx="34">
                  <c:v>41336</c:v>
                </c:pt>
                <c:pt idx="35">
                  <c:v>0</c:v>
                </c:pt>
                <c:pt idx="36">
                  <c:v>0</c:v>
                </c:pt>
                <c:pt idx="37">
                  <c:v>46862</c:v>
                </c:pt>
                <c:pt idx="38">
                  <c:v>0</c:v>
                </c:pt>
                <c:pt idx="39">
                  <c:v>50772</c:v>
                </c:pt>
                <c:pt idx="40">
                  <c:v>0</c:v>
                </c:pt>
                <c:pt idx="41">
                  <c:v>0</c:v>
                </c:pt>
                <c:pt idx="42">
                  <c:v>50278</c:v>
                </c:pt>
                <c:pt idx="43">
                  <c:v>0</c:v>
                </c:pt>
                <c:pt idx="44">
                  <c:v>54377</c:v>
                </c:pt>
                <c:pt idx="45">
                  <c:v>0</c:v>
                </c:pt>
                <c:pt idx="46">
                  <c:v>0</c:v>
                </c:pt>
                <c:pt idx="47">
                  <c:v>55884</c:v>
                </c:pt>
                <c:pt idx="48">
                  <c:v>0</c:v>
                </c:pt>
                <c:pt idx="49">
                  <c:v>58567</c:v>
                </c:pt>
                <c:pt idx="50">
                  <c:v>0</c:v>
                </c:pt>
                <c:pt idx="51">
                  <c:v>0</c:v>
                </c:pt>
                <c:pt idx="52">
                  <c:v>55142</c:v>
                </c:pt>
                <c:pt idx="53">
                  <c:v>0</c:v>
                </c:pt>
                <c:pt idx="54">
                  <c:v>0</c:v>
                </c:pt>
                <c:pt idx="55">
                  <c:v>63872</c:v>
                </c:pt>
                <c:pt idx="56">
                  <c:v>0</c:v>
                </c:pt>
                <c:pt idx="57">
                  <c:v>61587</c:v>
                </c:pt>
                <c:pt idx="58">
                  <c:v>0</c:v>
                </c:pt>
                <c:pt idx="59">
                  <c:v>0</c:v>
                </c:pt>
                <c:pt idx="60">
                  <c:v>67343</c:v>
                </c:pt>
                <c:pt idx="61">
                  <c:v>0</c:v>
                </c:pt>
                <c:pt idx="62">
                  <c:v>65778</c:v>
                </c:pt>
                <c:pt idx="63">
                  <c:v>0</c:v>
                </c:pt>
                <c:pt idx="64">
                  <c:v>0</c:v>
                </c:pt>
                <c:pt idx="65">
                  <c:v>70049</c:v>
                </c:pt>
                <c:pt idx="66">
                  <c:v>0</c:v>
                </c:pt>
                <c:pt idx="67">
                  <c:v>81944</c:v>
                </c:pt>
                <c:pt idx="68">
                  <c:v>0</c:v>
                </c:pt>
                <c:pt idx="69">
                  <c:v>0</c:v>
                </c:pt>
                <c:pt idx="70">
                  <c:v>81911</c:v>
                </c:pt>
                <c:pt idx="71">
                  <c:v>0</c:v>
                </c:pt>
                <c:pt idx="72">
                  <c:v>0</c:v>
                </c:pt>
                <c:pt idx="73">
                  <c:v>80001</c:v>
                </c:pt>
                <c:pt idx="74">
                  <c:v>0</c:v>
                </c:pt>
                <c:pt idx="75">
                  <c:v>81204</c:v>
                </c:pt>
                <c:pt idx="76">
                  <c:v>0</c:v>
                </c:pt>
                <c:pt idx="77">
                  <c:v>0</c:v>
                </c:pt>
                <c:pt idx="78">
                  <c:v>81064</c:v>
                </c:pt>
                <c:pt idx="79">
                  <c:v>0</c:v>
                </c:pt>
                <c:pt idx="80">
                  <c:v>85081</c:v>
                </c:pt>
                <c:pt idx="81">
                  <c:v>0</c:v>
                </c:pt>
                <c:pt idx="82">
                  <c:v>0</c:v>
                </c:pt>
                <c:pt idx="83">
                  <c:v>82983</c:v>
                </c:pt>
                <c:pt idx="84">
                  <c:v>0</c:v>
                </c:pt>
                <c:pt idx="85">
                  <c:v>0</c:v>
                </c:pt>
                <c:pt idx="86">
                  <c:v>79363</c:v>
                </c:pt>
                <c:pt idx="87">
                  <c:v>0</c:v>
                </c:pt>
                <c:pt idx="88">
                  <c:v>77726</c:v>
                </c:pt>
                <c:pt idx="89">
                  <c:v>0</c:v>
                </c:pt>
                <c:pt idx="90">
                  <c:v>0</c:v>
                </c:pt>
                <c:pt idx="91">
                  <c:v>77415</c:v>
                </c:pt>
                <c:pt idx="92">
                  <c:v>0</c:v>
                </c:pt>
                <c:pt idx="93">
                  <c:v>74474</c:v>
                </c:pt>
                <c:pt idx="94">
                  <c:v>0</c:v>
                </c:pt>
                <c:pt idx="95">
                  <c:v>0</c:v>
                </c:pt>
                <c:pt idx="96">
                  <c:v>64292</c:v>
                </c:pt>
                <c:pt idx="97">
                  <c:v>0</c:v>
                </c:pt>
                <c:pt idx="98">
                  <c:v>60755</c:v>
                </c:pt>
                <c:pt idx="99">
                  <c:v>0</c:v>
                </c:pt>
                <c:pt idx="100">
                  <c:v>0</c:v>
                </c:pt>
                <c:pt idx="101">
                  <c:v>54000</c:v>
                </c:pt>
                <c:pt idx="102">
                  <c:v>0</c:v>
                </c:pt>
                <c:pt idx="103">
                  <c:v>0</c:v>
                </c:pt>
                <c:pt idx="104">
                  <c:v>44414</c:v>
                </c:pt>
                <c:pt idx="105">
                  <c:v>0</c:v>
                </c:pt>
                <c:pt idx="106">
                  <c:v>44324</c:v>
                </c:pt>
                <c:pt idx="107">
                  <c:v>0</c:v>
                </c:pt>
                <c:pt idx="108">
                  <c:v>0</c:v>
                </c:pt>
                <c:pt idx="109">
                  <c:v>39559</c:v>
                </c:pt>
                <c:pt idx="110">
                  <c:v>0</c:v>
                </c:pt>
                <c:pt idx="111">
                  <c:v>35981</c:v>
                </c:pt>
                <c:pt idx="112">
                  <c:v>0</c:v>
                </c:pt>
                <c:pt idx="113">
                  <c:v>0</c:v>
                </c:pt>
                <c:pt idx="114">
                  <c:v>33835</c:v>
                </c:pt>
                <c:pt idx="115">
                  <c:v>0</c:v>
                </c:pt>
                <c:pt idx="116">
                  <c:v>37194</c:v>
                </c:pt>
                <c:pt idx="117">
                  <c:v>0</c:v>
                </c:pt>
                <c:pt idx="118">
                  <c:v>0</c:v>
                </c:pt>
                <c:pt idx="119">
                  <c:v>40663</c:v>
                </c:pt>
                <c:pt idx="120">
                  <c:v>0</c:v>
                </c:pt>
                <c:pt idx="121">
                  <c:v>0</c:v>
                </c:pt>
                <c:pt idx="122">
                  <c:v>34744</c:v>
                </c:pt>
                <c:pt idx="123">
                  <c:v>0</c:v>
                </c:pt>
                <c:pt idx="124">
                  <c:v>30726</c:v>
                </c:pt>
                <c:pt idx="125">
                  <c:v>0</c:v>
                </c:pt>
                <c:pt idx="126">
                  <c:v>0</c:v>
                </c:pt>
                <c:pt idx="127">
                  <c:v>30794</c:v>
                </c:pt>
                <c:pt idx="128">
                  <c:v>0</c:v>
                </c:pt>
                <c:pt idx="129">
                  <c:v>26843</c:v>
                </c:pt>
                <c:pt idx="130">
                  <c:v>0</c:v>
                </c:pt>
                <c:pt idx="131">
                  <c:v>0</c:v>
                </c:pt>
                <c:pt idx="132">
                  <c:v>25999</c:v>
                </c:pt>
                <c:pt idx="133">
                  <c:v>0</c:v>
                </c:pt>
                <c:pt idx="134">
                  <c:v>20695</c:v>
                </c:pt>
                <c:pt idx="135">
                  <c:v>0</c:v>
                </c:pt>
                <c:pt idx="136">
                  <c:v>0</c:v>
                </c:pt>
                <c:pt idx="137">
                  <c:v>16775</c:v>
                </c:pt>
                <c:pt idx="138">
                  <c:v>0</c:v>
                </c:pt>
                <c:pt idx="139">
                  <c:v>0</c:v>
                </c:pt>
                <c:pt idx="140">
                  <c:v>14933</c:v>
                </c:pt>
                <c:pt idx="141">
                  <c:v>0</c:v>
                </c:pt>
                <c:pt idx="142">
                  <c:v>11875</c:v>
                </c:pt>
                <c:pt idx="143">
                  <c:v>0</c:v>
                </c:pt>
                <c:pt idx="144">
                  <c:v>0</c:v>
                </c:pt>
                <c:pt idx="145">
                  <c:v>8572</c:v>
                </c:pt>
                <c:pt idx="146">
                  <c:v>0</c:v>
                </c:pt>
                <c:pt idx="147">
                  <c:v>5208</c:v>
                </c:pt>
                <c:pt idx="148">
                  <c:v>0</c:v>
                </c:pt>
                <c:pt idx="149">
                  <c:v>0</c:v>
                </c:pt>
                <c:pt idx="150">
                  <c:v>3255</c:v>
                </c:pt>
                <c:pt idx="151">
                  <c:v>0</c:v>
                </c:pt>
                <c:pt idx="152">
                  <c:v>2304</c:v>
                </c:pt>
                <c:pt idx="153">
                  <c:v>0</c:v>
                </c:pt>
                <c:pt idx="154">
                  <c:v>0</c:v>
                </c:pt>
                <c:pt idx="155">
                  <c:v>1611</c:v>
                </c:pt>
                <c:pt idx="156">
                  <c:v>0</c:v>
                </c:pt>
                <c:pt idx="157">
                  <c:v>0</c:v>
                </c:pt>
                <c:pt idx="158">
                  <c:v>1097</c:v>
                </c:pt>
                <c:pt idx="159">
                  <c:v>0</c:v>
                </c:pt>
                <c:pt idx="160">
                  <c:v>439</c:v>
                </c:pt>
                <c:pt idx="161">
                  <c:v>0</c:v>
                </c:pt>
                <c:pt idx="162">
                  <c:v>0</c:v>
                </c:pt>
                <c:pt idx="163">
                  <c:v>321</c:v>
                </c:pt>
                <c:pt idx="164">
                  <c:v>0</c:v>
                </c:pt>
                <c:pt idx="165">
                  <c:v>327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114</c:v>
                </c:pt>
                <c:pt idx="7">
                  <c:v>0</c:v>
                </c:pt>
                <c:pt idx="8">
                  <c:v>667</c:v>
                </c:pt>
                <c:pt idx="9">
                  <c:v>0</c:v>
                </c:pt>
                <c:pt idx="10">
                  <c:v>0</c:v>
                </c:pt>
                <c:pt idx="11">
                  <c:v>260</c:v>
                </c:pt>
                <c:pt idx="12">
                  <c:v>0</c:v>
                </c:pt>
                <c:pt idx="13">
                  <c:v>915</c:v>
                </c:pt>
                <c:pt idx="14">
                  <c:v>0</c:v>
                </c:pt>
                <c:pt idx="15">
                  <c:v>0</c:v>
                </c:pt>
                <c:pt idx="16">
                  <c:v>1494</c:v>
                </c:pt>
                <c:pt idx="17">
                  <c:v>0</c:v>
                </c:pt>
                <c:pt idx="18">
                  <c:v>0</c:v>
                </c:pt>
                <c:pt idx="19">
                  <c:v>4084</c:v>
                </c:pt>
                <c:pt idx="20">
                  <c:v>0</c:v>
                </c:pt>
                <c:pt idx="21">
                  <c:v>6807</c:v>
                </c:pt>
                <c:pt idx="22">
                  <c:v>0</c:v>
                </c:pt>
                <c:pt idx="23">
                  <c:v>0</c:v>
                </c:pt>
                <c:pt idx="24">
                  <c:v>11790</c:v>
                </c:pt>
                <c:pt idx="25">
                  <c:v>0</c:v>
                </c:pt>
                <c:pt idx="26">
                  <c:v>19489</c:v>
                </c:pt>
                <c:pt idx="27">
                  <c:v>0</c:v>
                </c:pt>
                <c:pt idx="28">
                  <c:v>0</c:v>
                </c:pt>
                <c:pt idx="29">
                  <c:v>21400</c:v>
                </c:pt>
                <c:pt idx="30">
                  <c:v>0</c:v>
                </c:pt>
                <c:pt idx="31">
                  <c:v>22413</c:v>
                </c:pt>
                <c:pt idx="32">
                  <c:v>0</c:v>
                </c:pt>
                <c:pt idx="33">
                  <c:v>0</c:v>
                </c:pt>
                <c:pt idx="34">
                  <c:v>21946</c:v>
                </c:pt>
                <c:pt idx="35">
                  <c:v>0</c:v>
                </c:pt>
                <c:pt idx="36">
                  <c:v>0</c:v>
                </c:pt>
                <c:pt idx="37">
                  <c:v>26120</c:v>
                </c:pt>
                <c:pt idx="38">
                  <c:v>0</c:v>
                </c:pt>
                <c:pt idx="39">
                  <c:v>29062</c:v>
                </c:pt>
                <c:pt idx="40">
                  <c:v>0</c:v>
                </c:pt>
                <c:pt idx="41">
                  <c:v>0</c:v>
                </c:pt>
                <c:pt idx="42">
                  <c:v>28703</c:v>
                </c:pt>
                <c:pt idx="43">
                  <c:v>0</c:v>
                </c:pt>
                <c:pt idx="44">
                  <c:v>30991</c:v>
                </c:pt>
                <c:pt idx="45">
                  <c:v>0</c:v>
                </c:pt>
                <c:pt idx="46">
                  <c:v>0</c:v>
                </c:pt>
                <c:pt idx="47">
                  <c:v>36681</c:v>
                </c:pt>
                <c:pt idx="48">
                  <c:v>0</c:v>
                </c:pt>
                <c:pt idx="49">
                  <c:v>41423</c:v>
                </c:pt>
                <c:pt idx="50">
                  <c:v>0</c:v>
                </c:pt>
                <c:pt idx="51">
                  <c:v>0</c:v>
                </c:pt>
                <c:pt idx="52">
                  <c:v>47200</c:v>
                </c:pt>
                <c:pt idx="53">
                  <c:v>0</c:v>
                </c:pt>
                <c:pt idx="54">
                  <c:v>0</c:v>
                </c:pt>
                <c:pt idx="55">
                  <c:v>58656</c:v>
                </c:pt>
                <c:pt idx="56">
                  <c:v>0</c:v>
                </c:pt>
                <c:pt idx="57">
                  <c:v>63637</c:v>
                </c:pt>
                <c:pt idx="58">
                  <c:v>0</c:v>
                </c:pt>
                <c:pt idx="59">
                  <c:v>0</c:v>
                </c:pt>
                <c:pt idx="60">
                  <c:v>71975</c:v>
                </c:pt>
                <c:pt idx="61">
                  <c:v>0</c:v>
                </c:pt>
                <c:pt idx="62">
                  <c:v>81223</c:v>
                </c:pt>
                <c:pt idx="63">
                  <c:v>0</c:v>
                </c:pt>
                <c:pt idx="64">
                  <c:v>0</c:v>
                </c:pt>
                <c:pt idx="65">
                  <c:v>87180</c:v>
                </c:pt>
                <c:pt idx="66">
                  <c:v>0</c:v>
                </c:pt>
                <c:pt idx="67">
                  <c:v>86468</c:v>
                </c:pt>
                <c:pt idx="68">
                  <c:v>0</c:v>
                </c:pt>
                <c:pt idx="69">
                  <c:v>0</c:v>
                </c:pt>
                <c:pt idx="70">
                  <c:v>96037</c:v>
                </c:pt>
                <c:pt idx="71">
                  <c:v>0</c:v>
                </c:pt>
                <c:pt idx="72">
                  <c:v>0</c:v>
                </c:pt>
                <c:pt idx="73">
                  <c:v>98056</c:v>
                </c:pt>
                <c:pt idx="74">
                  <c:v>0</c:v>
                </c:pt>
                <c:pt idx="75">
                  <c:v>104328</c:v>
                </c:pt>
                <c:pt idx="76">
                  <c:v>0</c:v>
                </c:pt>
                <c:pt idx="77">
                  <c:v>0</c:v>
                </c:pt>
                <c:pt idx="78">
                  <c:v>112320</c:v>
                </c:pt>
                <c:pt idx="79">
                  <c:v>0</c:v>
                </c:pt>
                <c:pt idx="80">
                  <c:v>111043</c:v>
                </c:pt>
                <c:pt idx="81">
                  <c:v>0</c:v>
                </c:pt>
                <c:pt idx="82">
                  <c:v>0</c:v>
                </c:pt>
                <c:pt idx="83">
                  <c:v>119093</c:v>
                </c:pt>
                <c:pt idx="84">
                  <c:v>0</c:v>
                </c:pt>
                <c:pt idx="85">
                  <c:v>0</c:v>
                </c:pt>
                <c:pt idx="86">
                  <c:v>126871</c:v>
                </c:pt>
                <c:pt idx="87">
                  <c:v>0</c:v>
                </c:pt>
                <c:pt idx="88">
                  <c:v>130492</c:v>
                </c:pt>
                <c:pt idx="89">
                  <c:v>0</c:v>
                </c:pt>
                <c:pt idx="90">
                  <c:v>0</c:v>
                </c:pt>
                <c:pt idx="91">
                  <c:v>133404</c:v>
                </c:pt>
                <c:pt idx="92">
                  <c:v>0</c:v>
                </c:pt>
                <c:pt idx="93">
                  <c:v>142375</c:v>
                </c:pt>
                <c:pt idx="94">
                  <c:v>0</c:v>
                </c:pt>
                <c:pt idx="95">
                  <c:v>0</c:v>
                </c:pt>
                <c:pt idx="96">
                  <c:v>148489</c:v>
                </c:pt>
                <c:pt idx="97">
                  <c:v>0</c:v>
                </c:pt>
                <c:pt idx="98">
                  <c:v>142413</c:v>
                </c:pt>
                <c:pt idx="99">
                  <c:v>0</c:v>
                </c:pt>
                <c:pt idx="100">
                  <c:v>0</c:v>
                </c:pt>
                <c:pt idx="101">
                  <c:v>131052</c:v>
                </c:pt>
                <c:pt idx="102">
                  <c:v>0</c:v>
                </c:pt>
                <c:pt idx="103">
                  <c:v>0</c:v>
                </c:pt>
                <c:pt idx="104">
                  <c:v>123089</c:v>
                </c:pt>
                <c:pt idx="105">
                  <c:v>0</c:v>
                </c:pt>
                <c:pt idx="106">
                  <c:v>106650</c:v>
                </c:pt>
                <c:pt idx="107">
                  <c:v>0</c:v>
                </c:pt>
                <c:pt idx="108">
                  <c:v>0</c:v>
                </c:pt>
                <c:pt idx="109">
                  <c:v>98849</c:v>
                </c:pt>
                <c:pt idx="110">
                  <c:v>0</c:v>
                </c:pt>
                <c:pt idx="111">
                  <c:v>90330</c:v>
                </c:pt>
                <c:pt idx="112">
                  <c:v>0</c:v>
                </c:pt>
                <c:pt idx="113">
                  <c:v>0</c:v>
                </c:pt>
                <c:pt idx="114">
                  <c:v>80880</c:v>
                </c:pt>
                <c:pt idx="115">
                  <c:v>0</c:v>
                </c:pt>
                <c:pt idx="116">
                  <c:v>74357</c:v>
                </c:pt>
                <c:pt idx="117">
                  <c:v>0</c:v>
                </c:pt>
                <c:pt idx="118">
                  <c:v>0</c:v>
                </c:pt>
                <c:pt idx="119">
                  <c:v>66680</c:v>
                </c:pt>
                <c:pt idx="120">
                  <c:v>0</c:v>
                </c:pt>
                <c:pt idx="121">
                  <c:v>0</c:v>
                </c:pt>
                <c:pt idx="122">
                  <c:v>60760</c:v>
                </c:pt>
                <c:pt idx="123">
                  <c:v>0</c:v>
                </c:pt>
                <c:pt idx="124">
                  <c:v>56544</c:v>
                </c:pt>
                <c:pt idx="125">
                  <c:v>0</c:v>
                </c:pt>
                <c:pt idx="126">
                  <c:v>0</c:v>
                </c:pt>
                <c:pt idx="127">
                  <c:v>57406</c:v>
                </c:pt>
                <c:pt idx="128">
                  <c:v>0</c:v>
                </c:pt>
                <c:pt idx="129">
                  <c:v>48556</c:v>
                </c:pt>
                <c:pt idx="130">
                  <c:v>0</c:v>
                </c:pt>
                <c:pt idx="131">
                  <c:v>0</c:v>
                </c:pt>
                <c:pt idx="132">
                  <c:v>46363</c:v>
                </c:pt>
                <c:pt idx="133">
                  <c:v>0</c:v>
                </c:pt>
                <c:pt idx="134">
                  <c:v>46849</c:v>
                </c:pt>
                <c:pt idx="135">
                  <c:v>0</c:v>
                </c:pt>
                <c:pt idx="136">
                  <c:v>0</c:v>
                </c:pt>
                <c:pt idx="137">
                  <c:v>46974</c:v>
                </c:pt>
                <c:pt idx="138">
                  <c:v>0</c:v>
                </c:pt>
                <c:pt idx="139">
                  <c:v>0</c:v>
                </c:pt>
                <c:pt idx="140">
                  <c:v>41187</c:v>
                </c:pt>
                <c:pt idx="141">
                  <c:v>0</c:v>
                </c:pt>
                <c:pt idx="142">
                  <c:v>34501</c:v>
                </c:pt>
                <c:pt idx="143">
                  <c:v>0</c:v>
                </c:pt>
                <c:pt idx="144">
                  <c:v>0</c:v>
                </c:pt>
                <c:pt idx="145">
                  <c:v>27172</c:v>
                </c:pt>
                <c:pt idx="146">
                  <c:v>0</c:v>
                </c:pt>
                <c:pt idx="147">
                  <c:v>25776</c:v>
                </c:pt>
                <c:pt idx="148">
                  <c:v>0</c:v>
                </c:pt>
                <c:pt idx="149">
                  <c:v>0</c:v>
                </c:pt>
                <c:pt idx="150">
                  <c:v>16790</c:v>
                </c:pt>
                <c:pt idx="151">
                  <c:v>0</c:v>
                </c:pt>
                <c:pt idx="152">
                  <c:v>13758</c:v>
                </c:pt>
                <c:pt idx="153">
                  <c:v>0</c:v>
                </c:pt>
                <c:pt idx="154">
                  <c:v>0</c:v>
                </c:pt>
                <c:pt idx="155">
                  <c:v>14099</c:v>
                </c:pt>
                <c:pt idx="156">
                  <c:v>0</c:v>
                </c:pt>
                <c:pt idx="157">
                  <c:v>0</c:v>
                </c:pt>
                <c:pt idx="158">
                  <c:v>9786</c:v>
                </c:pt>
                <c:pt idx="159">
                  <c:v>0</c:v>
                </c:pt>
                <c:pt idx="160">
                  <c:v>6928</c:v>
                </c:pt>
                <c:pt idx="161">
                  <c:v>0</c:v>
                </c:pt>
                <c:pt idx="162">
                  <c:v>0</c:v>
                </c:pt>
                <c:pt idx="163">
                  <c:v>5883</c:v>
                </c:pt>
                <c:pt idx="164">
                  <c:v>0</c:v>
                </c:pt>
                <c:pt idx="165">
                  <c:v>3269</c:v>
                </c:pt>
                <c:pt idx="166">
                  <c:v>0</c:v>
                </c:pt>
                <c:pt idx="167">
                  <c:v>0</c:v>
                </c:pt>
                <c:pt idx="168">
                  <c:v>2627</c:v>
                </c:pt>
                <c:pt idx="169">
                  <c:v>0</c:v>
                </c:pt>
                <c:pt idx="170">
                  <c:v>0</c:v>
                </c:pt>
                <c:pt idx="171">
                  <c:v>1401</c:v>
                </c:pt>
                <c:pt idx="172">
                  <c:v>0</c:v>
                </c:pt>
                <c:pt idx="173">
                  <c:v>1358</c:v>
                </c:pt>
                <c:pt idx="174">
                  <c:v>0</c:v>
                </c:pt>
                <c:pt idx="175">
                  <c:v>0</c:v>
                </c:pt>
                <c:pt idx="176">
                  <c:v>368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0.21775681857490917</c:v>
                </c:pt>
                <c:pt idx="1">
                  <c:v>0.35596308654469833</c:v>
                </c:pt>
                <c:pt idx="2">
                  <c:v>0.42628009488039253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0.50576555756340358</c:v>
                </c:pt>
                <c:pt idx="1">
                  <c:v>0.23731387269462514</c:v>
                </c:pt>
                <c:pt idx="2">
                  <c:v>0.25692056974197131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7.0973924999999998</c:v>
                </c:pt>
                <c:pt idx="1">
                  <c:v>17.148352500000001</c:v>
                </c:pt>
                <c:pt idx="2">
                  <c:v>23.094949999999997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  <c:pt idx="75">
                  <c:v>30.603300000000001</c:v>
                </c:pt>
                <c:pt idx="76">
                  <c:v>30.978899999999999</c:v>
                </c:pt>
                <c:pt idx="77">
                  <c:v>31.353300000000001</c:v>
                </c:pt>
                <c:pt idx="78">
                  <c:v>31.727399999999999</c:v>
                </c:pt>
                <c:pt idx="79">
                  <c:v>32.106900000000003</c:v>
                </c:pt>
                <c:pt idx="80">
                  <c:v>32.508600000000001</c:v>
                </c:pt>
                <c:pt idx="81">
                  <c:v>32.917299999999997</c:v>
                </c:pt>
                <c:pt idx="82">
                  <c:v>33.322099999999999</c:v>
                </c:pt>
                <c:pt idx="83">
                  <c:v>33.728299999999997</c:v>
                </c:pt>
                <c:pt idx="84">
                  <c:v>34.132300000000001</c:v>
                </c:pt>
                <c:pt idx="85">
                  <c:v>34.542900000000003</c:v>
                </c:pt>
                <c:pt idx="86">
                  <c:v>34.948599999999999</c:v>
                </c:pt>
                <c:pt idx="87">
                  <c:v>35.350700000000003</c:v>
                </c:pt>
                <c:pt idx="88">
                  <c:v>35.756399999999999</c:v>
                </c:pt>
                <c:pt idx="89">
                  <c:v>36.165399999999998</c:v>
                </c:pt>
                <c:pt idx="90">
                  <c:v>36.570399999999999</c:v>
                </c:pt>
                <c:pt idx="91">
                  <c:v>36.9818</c:v>
                </c:pt>
                <c:pt idx="92">
                  <c:v>37.387599999999999</c:v>
                </c:pt>
                <c:pt idx="93">
                  <c:v>37.789200000000001</c:v>
                </c:pt>
                <c:pt idx="94">
                  <c:v>38.196300000000001</c:v>
                </c:pt>
                <c:pt idx="95">
                  <c:v>38.603900000000003</c:v>
                </c:pt>
                <c:pt idx="96">
                  <c:v>39.0137</c:v>
                </c:pt>
                <c:pt idx="97">
                  <c:v>39.415300000000002</c:v>
                </c:pt>
                <c:pt idx="98">
                  <c:v>39.821300000000001</c:v>
                </c:pt>
                <c:pt idx="99">
                  <c:v>40.226500000000001</c:v>
                </c:pt>
                <c:pt idx="100">
                  <c:v>40.633299999999998</c:v>
                </c:pt>
                <c:pt idx="101">
                  <c:v>41.039000000000001</c:v>
                </c:pt>
                <c:pt idx="102">
                  <c:v>41.449599999999997</c:v>
                </c:pt>
                <c:pt idx="103">
                  <c:v>41.8536</c:v>
                </c:pt>
                <c:pt idx="104">
                  <c:v>42.261800000000001</c:v>
                </c:pt>
                <c:pt idx="105">
                  <c:v>42.665799999999997</c:v>
                </c:pt>
                <c:pt idx="106">
                  <c:v>43.069400000000002</c:v>
                </c:pt>
                <c:pt idx="107">
                  <c:v>43.478000000000002</c:v>
                </c:pt>
                <c:pt idx="108">
                  <c:v>43.886499999999998</c:v>
                </c:pt>
                <c:pt idx="109">
                  <c:v>44.291699999999999</c:v>
                </c:pt>
                <c:pt idx="110">
                  <c:v>44.698700000000002</c:v>
                </c:pt>
                <c:pt idx="111">
                  <c:v>45.103200000000001</c:v>
                </c:pt>
                <c:pt idx="112">
                  <c:v>45.510100000000001</c:v>
                </c:pt>
                <c:pt idx="113">
                  <c:v>45.9176</c:v>
                </c:pt>
                <c:pt idx="114">
                  <c:v>46.322299999999998</c:v>
                </c:pt>
                <c:pt idx="115">
                  <c:v>46.729399999999998</c:v>
                </c:pt>
                <c:pt idx="116">
                  <c:v>47.131500000000003</c:v>
                </c:pt>
                <c:pt idx="117">
                  <c:v>47.538699999999999</c:v>
                </c:pt>
                <c:pt idx="118">
                  <c:v>47.946300000000001</c:v>
                </c:pt>
                <c:pt idx="119">
                  <c:v>48.3521</c:v>
                </c:pt>
                <c:pt idx="120">
                  <c:v>48.756300000000003</c:v>
                </c:pt>
                <c:pt idx="121">
                  <c:v>49.165100000000002</c:v>
                </c:pt>
                <c:pt idx="122">
                  <c:v>49.570099999999996</c:v>
                </c:pt>
                <c:pt idx="123">
                  <c:v>49.979799999999997</c:v>
                </c:pt>
                <c:pt idx="124">
                  <c:v>50.386499999999998</c:v>
                </c:pt>
                <c:pt idx="125">
                  <c:v>50.792400000000001</c:v>
                </c:pt>
                <c:pt idx="126">
                  <c:v>51.195599999999999</c:v>
                </c:pt>
                <c:pt idx="127">
                  <c:v>51.603299999999997</c:v>
                </c:pt>
                <c:pt idx="128">
                  <c:v>52.011000000000003</c:v>
                </c:pt>
                <c:pt idx="129">
                  <c:v>52.414999999999999</c:v>
                </c:pt>
                <c:pt idx="130">
                  <c:v>52.822499999999998</c:v>
                </c:pt>
                <c:pt idx="131">
                  <c:v>53.2273</c:v>
                </c:pt>
                <c:pt idx="132">
                  <c:v>53.633600000000001</c:v>
                </c:pt>
                <c:pt idx="133">
                  <c:v>54.041899999999998</c:v>
                </c:pt>
                <c:pt idx="134">
                  <c:v>54.448900000000002</c:v>
                </c:pt>
                <c:pt idx="135">
                  <c:v>54.854900000000001</c:v>
                </c:pt>
                <c:pt idx="136">
                  <c:v>55.257100000000001</c:v>
                </c:pt>
                <c:pt idx="137">
                  <c:v>55.666499999999999</c:v>
                </c:pt>
                <c:pt idx="138">
                  <c:v>56.071899999999999</c:v>
                </c:pt>
                <c:pt idx="139">
                  <c:v>56.478900000000003</c:v>
                </c:pt>
                <c:pt idx="140">
                  <c:v>56.882899999999999</c:v>
                </c:pt>
                <c:pt idx="141">
                  <c:v>57.288699999999999</c:v>
                </c:pt>
                <c:pt idx="142">
                  <c:v>57.6967</c:v>
                </c:pt>
                <c:pt idx="143">
                  <c:v>58.101500000000001</c:v>
                </c:pt>
                <c:pt idx="144">
                  <c:v>58.509799999999998</c:v>
                </c:pt>
                <c:pt idx="145">
                  <c:v>58.9176</c:v>
                </c:pt>
                <c:pt idx="146">
                  <c:v>59.320799999999998</c:v>
                </c:pt>
                <c:pt idx="147">
                  <c:v>59.726599999999998</c:v>
                </c:pt>
                <c:pt idx="148">
                  <c:v>60.134300000000003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  <c:pt idx="75">
                  <c:v>3.8766800000000003</c:v>
                </c:pt>
                <c:pt idx="76">
                  <c:v>3.8936500000000001</c:v>
                </c:pt>
                <c:pt idx="77">
                  <c:v>3.9059899999999996</c:v>
                </c:pt>
                <c:pt idx="78">
                  <c:v>3.9144299999999999</c:v>
                </c:pt>
                <c:pt idx="79">
                  <c:v>3.91886</c:v>
                </c:pt>
                <c:pt idx="80">
                  <c:v>3.92082</c:v>
                </c:pt>
                <c:pt idx="81">
                  <c:v>3.92157</c:v>
                </c:pt>
                <c:pt idx="82">
                  <c:v>3.9225399999999997</c:v>
                </c:pt>
                <c:pt idx="83">
                  <c:v>3.9203100000000002</c:v>
                </c:pt>
                <c:pt idx="84">
                  <c:v>3.9141300000000001</c:v>
                </c:pt>
                <c:pt idx="85">
                  <c:v>3.9045200000000002</c:v>
                </c:pt>
                <c:pt idx="86">
                  <c:v>3.88971</c:v>
                </c:pt>
                <c:pt idx="87">
                  <c:v>3.8725300000000002</c:v>
                </c:pt>
                <c:pt idx="88">
                  <c:v>3.8546000000000005</c:v>
                </c:pt>
                <c:pt idx="89">
                  <c:v>3.8325300000000002</c:v>
                </c:pt>
                <c:pt idx="90">
                  <c:v>3.8097700000000003</c:v>
                </c:pt>
                <c:pt idx="91">
                  <c:v>3.7840499999999997</c:v>
                </c:pt>
                <c:pt idx="92">
                  <c:v>3.75346</c:v>
                </c:pt>
                <c:pt idx="93">
                  <c:v>3.7209199999999996</c:v>
                </c:pt>
                <c:pt idx="94">
                  <c:v>3.6870799999999999</c:v>
                </c:pt>
                <c:pt idx="95">
                  <c:v>3.65124</c:v>
                </c:pt>
                <c:pt idx="96">
                  <c:v>3.6172399999999998</c:v>
                </c:pt>
                <c:pt idx="97">
                  <c:v>3.5848400000000002</c:v>
                </c:pt>
                <c:pt idx="98">
                  <c:v>3.5535699999999997</c:v>
                </c:pt>
                <c:pt idx="99">
                  <c:v>3.5223599999999999</c:v>
                </c:pt>
                <c:pt idx="100">
                  <c:v>3.4926400000000002</c:v>
                </c:pt>
                <c:pt idx="101">
                  <c:v>3.46705</c:v>
                </c:pt>
                <c:pt idx="102">
                  <c:v>3.4455499999999999</c:v>
                </c:pt>
                <c:pt idx="103">
                  <c:v>3.4274100000000001</c:v>
                </c:pt>
                <c:pt idx="104">
                  <c:v>3.4142399999999999</c:v>
                </c:pt>
                <c:pt idx="105">
                  <c:v>3.4024900000000002</c:v>
                </c:pt>
                <c:pt idx="106">
                  <c:v>3.3940999999999999</c:v>
                </c:pt>
                <c:pt idx="107">
                  <c:v>3.3868399999999999</c:v>
                </c:pt>
                <c:pt idx="108">
                  <c:v>3.3837000000000002</c:v>
                </c:pt>
                <c:pt idx="109">
                  <c:v>3.3844600000000002</c:v>
                </c:pt>
                <c:pt idx="110">
                  <c:v>3.38463</c:v>
                </c:pt>
                <c:pt idx="111">
                  <c:v>3.3831199999999999</c:v>
                </c:pt>
                <c:pt idx="112">
                  <c:v>3.37879</c:v>
                </c:pt>
                <c:pt idx="113">
                  <c:v>3.3744200000000002</c:v>
                </c:pt>
                <c:pt idx="114">
                  <c:v>3.3740900000000003</c:v>
                </c:pt>
                <c:pt idx="115">
                  <c:v>3.3742000000000001</c:v>
                </c:pt>
                <c:pt idx="116">
                  <c:v>3.3729800000000001</c:v>
                </c:pt>
                <c:pt idx="117">
                  <c:v>3.3704800000000001</c:v>
                </c:pt>
                <c:pt idx="118">
                  <c:v>3.36463</c:v>
                </c:pt>
                <c:pt idx="119">
                  <c:v>3.3549099999999998</c:v>
                </c:pt>
                <c:pt idx="120">
                  <c:v>3.34206</c:v>
                </c:pt>
                <c:pt idx="121">
                  <c:v>3.3234500000000002</c:v>
                </c:pt>
                <c:pt idx="122">
                  <c:v>3.30376</c:v>
                </c:pt>
                <c:pt idx="123">
                  <c:v>3.2816000000000001</c:v>
                </c:pt>
                <c:pt idx="124">
                  <c:v>3.2651400000000002</c:v>
                </c:pt>
                <c:pt idx="125">
                  <c:v>3.2587799999999998</c:v>
                </c:pt>
                <c:pt idx="126">
                  <c:v>3.2519499999999999</c:v>
                </c:pt>
                <c:pt idx="127">
                  <c:v>3.24424</c:v>
                </c:pt>
                <c:pt idx="128">
                  <c:v>3.2352599999999998</c:v>
                </c:pt>
                <c:pt idx="129">
                  <c:v>3.2248900000000003</c:v>
                </c:pt>
                <c:pt idx="130">
                  <c:v>3.2136100000000001</c:v>
                </c:pt>
                <c:pt idx="131">
                  <c:v>3.1971699999999998</c:v>
                </c:pt>
                <c:pt idx="132">
                  <c:v>3.1766899999999998</c:v>
                </c:pt>
                <c:pt idx="133">
                  <c:v>3.1471399999999998</c:v>
                </c:pt>
                <c:pt idx="134">
                  <c:v>3.1097599999999996</c:v>
                </c:pt>
                <c:pt idx="135">
                  <c:v>3.0714799999999998</c:v>
                </c:pt>
                <c:pt idx="136">
                  <c:v>3.0377900000000002</c:v>
                </c:pt>
                <c:pt idx="137">
                  <c:v>3.00779</c:v>
                </c:pt>
                <c:pt idx="138">
                  <c:v>2.9759099999999998</c:v>
                </c:pt>
                <c:pt idx="139">
                  <c:v>2.9398200000000001</c:v>
                </c:pt>
                <c:pt idx="140">
                  <c:v>2.8983300000000001</c:v>
                </c:pt>
                <c:pt idx="141">
                  <c:v>2.85982</c:v>
                </c:pt>
                <c:pt idx="142">
                  <c:v>2.8214099999999998</c:v>
                </c:pt>
                <c:pt idx="143">
                  <c:v>2.7778900000000002</c:v>
                </c:pt>
                <c:pt idx="144">
                  <c:v>2.73224</c:v>
                </c:pt>
                <c:pt idx="145">
                  <c:v>2.6801399999999997</c:v>
                </c:pt>
                <c:pt idx="146">
                  <c:v>2.6414399999999998</c:v>
                </c:pt>
                <c:pt idx="147">
                  <c:v>2.6116099999999998</c:v>
                </c:pt>
                <c:pt idx="148">
                  <c:v>2.5532300000000001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30.010999999999999</c:v>
                </c:pt>
                <c:pt idx="1">
                  <c:v>30.603300000000001</c:v>
                </c:pt>
                <c:pt idx="2">
                  <c:v>30.978899999999999</c:v>
                </c:pt>
                <c:pt idx="3">
                  <c:v>31.353300000000001</c:v>
                </c:pt>
                <c:pt idx="4">
                  <c:v>31.727399999999999</c:v>
                </c:pt>
                <c:pt idx="5">
                  <c:v>32.106900000000003</c:v>
                </c:pt>
                <c:pt idx="6">
                  <c:v>32.508600000000001</c:v>
                </c:pt>
                <c:pt idx="7">
                  <c:v>32.917299999999997</c:v>
                </c:pt>
                <c:pt idx="8">
                  <c:v>33.322099999999999</c:v>
                </c:pt>
                <c:pt idx="9">
                  <c:v>33.728299999999997</c:v>
                </c:pt>
                <c:pt idx="10">
                  <c:v>34.132300000000001</c:v>
                </c:pt>
                <c:pt idx="11">
                  <c:v>34.542900000000003</c:v>
                </c:pt>
                <c:pt idx="12">
                  <c:v>34.948599999999999</c:v>
                </c:pt>
                <c:pt idx="13">
                  <c:v>35.350700000000003</c:v>
                </c:pt>
                <c:pt idx="14">
                  <c:v>35.756399999999999</c:v>
                </c:pt>
                <c:pt idx="15">
                  <c:v>36.165399999999998</c:v>
                </c:pt>
                <c:pt idx="16">
                  <c:v>36.570399999999999</c:v>
                </c:pt>
                <c:pt idx="17">
                  <c:v>36.9818</c:v>
                </c:pt>
                <c:pt idx="18">
                  <c:v>37.387599999999999</c:v>
                </c:pt>
                <c:pt idx="19">
                  <c:v>37.789200000000001</c:v>
                </c:pt>
                <c:pt idx="20">
                  <c:v>38.196300000000001</c:v>
                </c:pt>
                <c:pt idx="21">
                  <c:v>38.603900000000003</c:v>
                </c:pt>
                <c:pt idx="22">
                  <c:v>39.0137</c:v>
                </c:pt>
                <c:pt idx="23">
                  <c:v>39.415300000000002</c:v>
                </c:pt>
                <c:pt idx="24">
                  <c:v>39.821300000000001</c:v>
                </c:pt>
                <c:pt idx="25">
                  <c:v>40.226500000000001</c:v>
                </c:pt>
                <c:pt idx="26">
                  <c:v>40.633299999999998</c:v>
                </c:pt>
                <c:pt idx="27">
                  <c:v>41.039000000000001</c:v>
                </c:pt>
                <c:pt idx="28">
                  <c:v>41.449599999999997</c:v>
                </c:pt>
                <c:pt idx="29">
                  <c:v>41.8536</c:v>
                </c:pt>
                <c:pt idx="30">
                  <c:v>42.261800000000001</c:v>
                </c:pt>
                <c:pt idx="31">
                  <c:v>42.665799999999997</c:v>
                </c:pt>
                <c:pt idx="32">
                  <c:v>43.069400000000002</c:v>
                </c:pt>
                <c:pt idx="33">
                  <c:v>43.478000000000002</c:v>
                </c:pt>
                <c:pt idx="34">
                  <c:v>43.886499999999998</c:v>
                </c:pt>
                <c:pt idx="35">
                  <c:v>44.291699999999999</c:v>
                </c:pt>
                <c:pt idx="36">
                  <c:v>44.698700000000002</c:v>
                </c:pt>
                <c:pt idx="37">
                  <c:v>45.103200000000001</c:v>
                </c:pt>
                <c:pt idx="38">
                  <c:v>45.510100000000001</c:v>
                </c:pt>
                <c:pt idx="39">
                  <c:v>45.9176</c:v>
                </c:pt>
                <c:pt idx="40">
                  <c:v>46.322299999999998</c:v>
                </c:pt>
                <c:pt idx="41">
                  <c:v>46.729399999999998</c:v>
                </c:pt>
                <c:pt idx="42">
                  <c:v>47.131500000000003</c:v>
                </c:pt>
                <c:pt idx="43">
                  <c:v>47.538699999999999</c:v>
                </c:pt>
                <c:pt idx="44">
                  <c:v>47.946300000000001</c:v>
                </c:pt>
                <c:pt idx="45">
                  <c:v>48.3521</c:v>
                </c:pt>
                <c:pt idx="46">
                  <c:v>48.756300000000003</c:v>
                </c:pt>
                <c:pt idx="47">
                  <c:v>49.165100000000002</c:v>
                </c:pt>
                <c:pt idx="48">
                  <c:v>49.570099999999996</c:v>
                </c:pt>
                <c:pt idx="49">
                  <c:v>49.979799999999997</c:v>
                </c:pt>
                <c:pt idx="50">
                  <c:v>50.386499999999998</c:v>
                </c:pt>
                <c:pt idx="51">
                  <c:v>50.792400000000001</c:v>
                </c:pt>
                <c:pt idx="52">
                  <c:v>51.195599999999999</c:v>
                </c:pt>
                <c:pt idx="53">
                  <c:v>51.603299999999997</c:v>
                </c:pt>
                <c:pt idx="54">
                  <c:v>52.011000000000003</c:v>
                </c:pt>
                <c:pt idx="55">
                  <c:v>52.414999999999999</c:v>
                </c:pt>
                <c:pt idx="56">
                  <c:v>52.822499999999998</c:v>
                </c:pt>
                <c:pt idx="57">
                  <c:v>53.2273</c:v>
                </c:pt>
                <c:pt idx="58">
                  <c:v>53.633600000000001</c:v>
                </c:pt>
                <c:pt idx="59">
                  <c:v>54.041899999999998</c:v>
                </c:pt>
                <c:pt idx="60">
                  <c:v>54.448900000000002</c:v>
                </c:pt>
                <c:pt idx="61">
                  <c:v>54.854900000000001</c:v>
                </c:pt>
                <c:pt idx="62">
                  <c:v>55.257100000000001</c:v>
                </c:pt>
                <c:pt idx="63">
                  <c:v>55.666499999999999</c:v>
                </c:pt>
                <c:pt idx="64">
                  <c:v>56.071899999999999</c:v>
                </c:pt>
                <c:pt idx="65">
                  <c:v>56.478900000000003</c:v>
                </c:pt>
                <c:pt idx="66">
                  <c:v>56.882899999999999</c:v>
                </c:pt>
                <c:pt idx="67">
                  <c:v>57.288699999999999</c:v>
                </c:pt>
                <c:pt idx="68">
                  <c:v>57.6967</c:v>
                </c:pt>
                <c:pt idx="69">
                  <c:v>58.101500000000001</c:v>
                </c:pt>
                <c:pt idx="70">
                  <c:v>58.509799999999998</c:v>
                </c:pt>
                <c:pt idx="71">
                  <c:v>58.9176</c:v>
                </c:pt>
                <c:pt idx="72">
                  <c:v>59.320799999999998</c:v>
                </c:pt>
                <c:pt idx="73">
                  <c:v>59.726599999999998</c:v>
                </c:pt>
                <c:pt idx="74">
                  <c:v>60.134300000000003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3.8480999999999996</c:v>
                </c:pt>
                <c:pt idx="1">
                  <c:v>3.8766800000000003</c:v>
                </c:pt>
                <c:pt idx="2">
                  <c:v>3.8936500000000001</c:v>
                </c:pt>
                <c:pt idx="3">
                  <c:v>3.9059899999999996</c:v>
                </c:pt>
                <c:pt idx="4">
                  <c:v>3.9144299999999999</c:v>
                </c:pt>
                <c:pt idx="5">
                  <c:v>3.91886</c:v>
                </c:pt>
                <c:pt idx="6">
                  <c:v>3.92082</c:v>
                </c:pt>
                <c:pt idx="7">
                  <c:v>3.92157</c:v>
                </c:pt>
                <c:pt idx="8">
                  <c:v>3.9225399999999997</c:v>
                </c:pt>
                <c:pt idx="9">
                  <c:v>3.9203100000000002</c:v>
                </c:pt>
                <c:pt idx="10">
                  <c:v>3.9141300000000001</c:v>
                </c:pt>
                <c:pt idx="11">
                  <c:v>3.9045200000000002</c:v>
                </c:pt>
                <c:pt idx="12">
                  <c:v>3.88971</c:v>
                </c:pt>
                <c:pt idx="13">
                  <c:v>3.8725300000000002</c:v>
                </c:pt>
                <c:pt idx="14">
                  <c:v>3.8546000000000005</c:v>
                </c:pt>
                <c:pt idx="15">
                  <c:v>3.8325300000000002</c:v>
                </c:pt>
                <c:pt idx="16">
                  <c:v>3.8097700000000003</c:v>
                </c:pt>
                <c:pt idx="17">
                  <c:v>3.7840499999999997</c:v>
                </c:pt>
                <c:pt idx="18">
                  <c:v>3.75346</c:v>
                </c:pt>
                <c:pt idx="19">
                  <c:v>3.7209199999999996</c:v>
                </c:pt>
                <c:pt idx="20">
                  <c:v>3.6870799999999999</c:v>
                </c:pt>
                <c:pt idx="21">
                  <c:v>3.65124</c:v>
                </c:pt>
                <c:pt idx="22">
                  <c:v>3.6172399999999998</c:v>
                </c:pt>
                <c:pt idx="23">
                  <c:v>3.5848400000000002</c:v>
                </c:pt>
                <c:pt idx="24">
                  <c:v>3.5535699999999997</c:v>
                </c:pt>
                <c:pt idx="25">
                  <c:v>3.5223599999999999</c:v>
                </c:pt>
                <c:pt idx="26">
                  <c:v>3.4926400000000002</c:v>
                </c:pt>
                <c:pt idx="27">
                  <c:v>3.46705</c:v>
                </c:pt>
                <c:pt idx="28">
                  <c:v>3.4455499999999999</c:v>
                </c:pt>
                <c:pt idx="29">
                  <c:v>3.4274100000000001</c:v>
                </c:pt>
                <c:pt idx="30">
                  <c:v>3.4142399999999999</c:v>
                </c:pt>
                <c:pt idx="31">
                  <c:v>3.4024900000000002</c:v>
                </c:pt>
                <c:pt idx="32">
                  <c:v>3.3940999999999999</c:v>
                </c:pt>
                <c:pt idx="33">
                  <c:v>3.3868399999999999</c:v>
                </c:pt>
                <c:pt idx="34">
                  <c:v>3.3837000000000002</c:v>
                </c:pt>
                <c:pt idx="35">
                  <c:v>3.3844600000000002</c:v>
                </c:pt>
                <c:pt idx="36">
                  <c:v>3.38463</c:v>
                </c:pt>
                <c:pt idx="37">
                  <c:v>3.3831199999999999</c:v>
                </c:pt>
                <c:pt idx="38">
                  <c:v>3.37879</c:v>
                </c:pt>
                <c:pt idx="39">
                  <c:v>3.3744200000000002</c:v>
                </c:pt>
                <c:pt idx="40">
                  <c:v>3.3740900000000003</c:v>
                </c:pt>
                <c:pt idx="41">
                  <c:v>3.3742000000000001</c:v>
                </c:pt>
                <c:pt idx="42">
                  <c:v>3.3729800000000001</c:v>
                </c:pt>
                <c:pt idx="43">
                  <c:v>3.3704800000000001</c:v>
                </c:pt>
                <c:pt idx="44">
                  <c:v>3.36463</c:v>
                </c:pt>
                <c:pt idx="45">
                  <c:v>3.3549099999999998</c:v>
                </c:pt>
                <c:pt idx="46">
                  <c:v>3.34206</c:v>
                </c:pt>
                <c:pt idx="47">
                  <c:v>3.3234500000000002</c:v>
                </c:pt>
                <c:pt idx="48">
                  <c:v>3.30376</c:v>
                </c:pt>
                <c:pt idx="49">
                  <c:v>3.2816000000000001</c:v>
                </c:pt>
                <c:pt idx="50">
                  <c:v>3.2651400000000002</c:v>
                </c:pt>
                <c:pt idx="51">
                  <c:v>3.2587799999999998</c:v>
                </c:pt>
                <c:pt idx="52">
                  <c:v>3.2519499999999999</c:v>
                </c:pt>
                <c:pt idx="53">
                  <c:v>3.24424</c:v>
                </c:pt>
                <c:pt idx="54">
                  <c:v>3.2352599999999998</c:v>
                </c:pt>
                <c:pt idx="55">
                  <c:v>3.2248900000000003</c:v>
                </c:pt>
                <c:pt idx="56">
                  <c:v>3.2136100000000001</c:v>
                </c:pt>
                <c:pt idx="57">
                  <c:v>3.1971699999999998</c:v>
                </c:pt>
                <c:pt idx="58">
                  <c:v>3.1766899999999998</c:v>
                </c:pt>
                <c:pt idx="59">
                  <c:v>3.1471399999999998</c:v>
                </c:pt>
                <c:pt idx="60">
                  <c:v>3.1097599999999996</c:v>
                </c:pt>
                <c:pt idx="61">
                  <c:v>3.0714799999999998</c:v>
                </c:pt>
                <c:pt idx="62">
                  <c:v>3.0377900000000002</c:v>
                </c:pt>
                <c:pt idx="63">
                  <c:v>3.00779</c:v>
                </c:pt>
                <c:pt idx="64">
                  <c:v>2.9759099999999998</c:v>
                </c:pt>
                <c:pt idx="65">
                  <c:v>2.9398200000000001</c:v>
                </c:pt>
                <c:pt idx="66">
                  <c:v>2.8983300000000001</c:v>
                </c:pt>
                <c:pt idx="67">
                  <c:v>2.85982</c:v>
                </c:pt>
                <c:pt idx="68">
                  <c:v>2.8214099999999998</c:v>
                </c:pt>
                <c:pt idx="69">
                  <c:v>2.7778900000000002</c:v>
                </c:pt>
                <c:pt idx="70">
                  <c:v>2.73224</c:v>
                </c:pt>
                <c:pt idx="71">
                  <c:v>2.6801399999999997</c:v>
                </c:pt>
                <c:pt idx="72">
                  <c:v>2.6414399999999998</c:v>
                </c:pt>
                <c:pt idx="73">
                  <c:v>2.6116099999999998</c:v>
                </c:pt>
                <c:pt idx="74">
                  <c:v>2.5532300000000001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15.033575000000001</c:v>
                </c:pt>
                <c:pt idx="1">
                  <c:v>45.100725000000004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3.1211309459459464</c:v>
                </c:pt>
                <c:pt idx="1">
                  <c:v>3.4129378378378386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  <c:pt idx="75">
                  <c:v>30.603300000000001</c:v>
                </c:pt>
                <c:pt idx="76">
                  <c:v>30.978899999999999</c:v>
                </c:pt>
                <c:pt idx="77">
                  <c:v>31.353300000000001</c:v>
                </c:pt>
                <c:pt idx="78">
                  <c:v>31.727399999999999</c:v>
                </c:pt>
                <c:pt idx="79">
                  <c:v>32.106900000000003</c:v>
                </c:pt>
                <c:pt idx="80">
                  <c:v>32.508600000000001</c:v>
                </c:pt>
                <c:pt idx="81">
                  <c:v>32.917299999999997</c:v>
                </c:pt>
                <c:pt idx="82">
                  <c:v>33.322099999999999</c:v>
                </c:pt>
                <c:pt idx="83">
                  <c:v>33.728299999999997</c:v>
                </c:pt>
                <c:pt idx="84">
                  <c:v>34.132300000000001</c:v>
                </c:pt>
                <c:pt idx="85">
                  <c:v>34.542900000000003</c:v>
                </c:pt>
                <c:pt idx="86">
                  <c:v>34.948599999999999</c:v>
                </c:pt>
                <c:pt idx="87">
                  <c:v>35.350700000000003</c:v>
                </c:pt>
                <c:pt idx="88">
                  <c:v>35.756399999999999</c:v>
                </c:pt>
                <c:pt idx="89">
                  <c:v>36.165399999999998</c:v>
                </c:pt>
                <c:pt idx="90">
                  <c:v>36.570399999999999</c:v>
                </c:pt>
                <c:pt idx="91">
                  <c:v>36.9818</c:v>
                </c:pt>
                <c:pt idx="92">
                  <c:v>37.387599999999999</c:v>
                </c:pt>
                <c:pt idx="93">
                  <c:v>37.789200000000001</c:v>
                </c:pt>
                <c:pt idx="94">
                  <c:v>38.196300000000001</c:v>
                </c:pt>
                <c:pt idx="95">
                  <c:v>38.603900000000003</c:v>
                </c:pt>
                <c:pt idx="96">
                  <c:v>39.0137</c:v>
                </c:pt>
                <c:pt idx="97">
                  <c:v>39.415300000000002</c:v>
                </c:pt>
                <c:pt idx="98">
                  <c:v>39.821300000000001</c:v>
                </c:pt>
                <c:pt idx="99">
                  <c:v>40.226500000000001</c:v>
                </c:pt>
                <c:pt idx="100">
                  <c:v>40.633299999999998</c:v>
                </c:pt>
                <c:pt idx="101">
                  <c:v>41.039000000000001</c:v>
                </c:pt>
                <c:pt idx="102">
                  <c:v>41.449599999999997</c:v>
                </c:pt>
                <c:pt idx="103">
                  <c:v>41.8536</c:v>
                </c:pt>
                <c:pt idx="104">
                  <c:v>42.261800000000001</c:v>
                </c:pt>
                <c:pt idx="105">
                  <c:v>42.665799999999997</c:v>
                </c:pt>
                <c:pt idx="106">
                  <c:v>43.069400000000002</c:v>
                </c:pt>
                <c:pt idx="107">
                  <c:v>43.478000000000002</c:v>
                </c:pt>
                <c:pt idx="108">
                  <c:v>43.886499999999998</c:v>
                </c:pt>
                <c:pt idx="109">
                  <c:v>44.291699999999999</c:v>
                </c:pt>
                <c:pt idx="110">
                  <c:v>44.698700000000002</c:v>
                </c:pt>
                <c:pt idx="111">
                  <c:v>45.103200000000001</c:v>
                </c:pt>
                <c:pt idx="112">
                  <c:v>45.510100000000001</c:v>
                </c:pt>
                <c:pt idx="113">
                  <c:v>45.9176</c:v>
                </c:pt>
                <c:pt idx="114">
                  <c:v>46.322299999999998</c:v>
                </c:pt>
                <c:pt idx="115">
                  <c:v>46.729399999999998</c:v>
                </c:pt>
                <c:pt idx="116">
                  <c:v>47.131500000000003</c:v>
                </c:pt>
                <c:pt idx="117">
                  <c:v>47.538699999999999</c:v>
                </c:pt>
                <c:pt idx="118">
                  <c:v>47.946300000000001</c:v>
                </c:pt>
                <c:pt idx="119">
                  <c:v>48.3521</c:v>
                </c:pt>
                <c:pt idx="120">
                  <c:v>48.756300000000003</c:v>
                </c:pt>
                <c:pt idx="121">
                  <c:v>49.165100000000002</c:v>
                </c:pt>
                <c:pt idx="122">
                  <c:v>49.570099999999996</c:v>
                </c:pt>
                <c:pt idx="123">
                  <c:v>49.979799999999997</c:v>
                </c:pt>
                <c:pt idx="124">
                  <c:v>50.386499999999998</c:v>
                </c:pt>
                <c:pt idx="125">
                  <c:v>50.792400000000001</c:v>
                </c:pt>
                <c:pt idx="126">
                  <c:v>51.195599999999999</c:v>
                </c:pt>
                <c:pt idx="127">
                  <c:v>51.603299999999997</c:v>
                </c:pt>
                <c:pt idx="128">
                  <c:v>52.011000000000003</c:v>
                </c:pt>
                <c:pt idx="129">
                  <c:v>52.414999999999999</c:v>
                </c:pt>
                <c:pt idx="130">
                  <c:v>52.822499999999998</c:v>
                </c:pt>
                <c:pt idx="131">
                  <c:v>53.2273</c:v>
                </c:pt>
                <c:pt idx="132">
                  <c:v>53.633600000000001</c:v>
                </c:pt>
                <c:pt idx="133">
                  <c:v>54.041899999999998</c:v>
                </c:pt>
                <c:pt idx="134">
                  <c:v>54.448900000000002</c:v>
                </c:pt>
                <c:pt idx="135">
                  <c:v>54.854900000000001</c:v>
                </c:pt>
                <c:pt idx="136">
                  <c:v>55.257100000000001</c:v>
                </c:pt>
                <c:pt idx="137">
                  <c:v>55.666499999999999</c:v>
                </c:pt>
                <c:pt idx="138">
                  <c:v>56.071899999999999</c:v>
                </c:pt>
                <c:pt idx="139">
                  <c:v>56.478900000000003</c:v>
                </c:pt>
                <c:pt idx="140">
                  <c:v>56.882899999999999</c:v>
                </c:pt>
                <c:pt idx="141">
                  <c:v>57.288699999999999</c:v>
                </c:pt>
                <c:pt idx="142">
                  <c:v>57.6967</c:v>
                </c:pt>
                <c:pt idx="143">
                  <c:v>58.101500000000001</c:v>
                </c:pt>
                <c:pt idx="144">
                  <c:v>58.509799999999998</c:v>
                </c:pt>
                <c:pt idx="145">
                  <c:v>58.9176</c:v>
                </c:pt>
                <c:pt idx="146">
                  <c:v>59.320799999999998</c:v>
                </c:pt>
                <c:pt idx="147">
                  <c:v>59.726599999999998</c:v>
                </c:pt>
                <c:pt idx="148">
                  <c:v>60.134300000000003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  <c:pt idx="75">
                  <c:v>47.459800000000001</c:v>
                </c:pt>
                <c:pt idx="76">
                  <c:v>47.197899999999997</c:v>
                </c:pt>
                <c:pt idx="77">
                  <c:v>46.966999999999999</c:v>
                </c:pt>
                <c:pt idx="78">
                  <c:v>46.6892</c:v>
                </c:pt>
                <c:pt idx="79">
                  <c:v>46.433</c:v>
                </c:pt>
                <c:pt idx="80">
                  <c:v>46.198599999999999</c:v>
                </c:pt>
                <c:pt idx="81">
                  <c:v>45.969000000000001</c:v>
                </c:pt>
                <c:pt idx="82">
                  <c:v>45.733200000000004</c:v>
                </c:pt>
                <c:pt idx="83">
                  <c:v>45.4848</c:v>
                </c:pt>
                <c:pt idx="84">
                  <c:v>45.240900000000003</c:v>
                </c:pt>
                <c:pt idx="85">
                  <c:v>44.947199999999995</c:v>
                </c:pt>
                <c:pt idx="86">
                  <c:v>44.625900000000001</c:v>
                </c:pt>
                <c:pt idx="87">
                  <c:v>44.2652</c:v>
                </c:pt>
                <c:pt idx="88">
                  <c:v>43.869</c:v>
                </c:pt>
                <c:pt idx="89">
                  <c:v>43.458599999999997</c:v>
                </c:pt>
                <c:pt idx="90">
                  <c:v>43.029600000000002</c:v>
                </c:pt>
                <c:pt idx="91">
                  <c:v>42.602499999999999</c:v>
                </c:pt>
                <c:pt idx="92">
                  <c:v>42.257300000000001</c:v>
                </c:pt>
                <c:pt idx="93">
                  <c:v>42.078099999999999</c:v>
                </c:pt>
                <c:pt idx="94">
                  <c:v>42.0625</c:v>
                </c:pt>
                <c:pt idx="95">
                  <c:v>42.237299999999998</c:v>
                </c:pt>
                <c:pt idx="96">
                  <c:v>42.506300000000003</c:v>
                </c:pt>
                <c:pt idx="97">
                  <c:v>42.737299999999998</c:v>
                </c:pt>
                <c:pt idx="98">
                  <c:v>42.992399999999996</c:v>
                </c:pt>
                <c:pt idx="99">
                  <c:v>43.349600000000002</c:v>
                </c:pt>
                <c:pt idx="100">
                  <c:v>43.720799999999997</c:v>
                </c:pt>
                <c:pt idx="101">
                  <c:v>44.000399999999999</c:v>
                </c:pt>
                <c:pt idx="102">
                  <c:v>44.2119</c:v>
                </c:pt>
                <c:pt idx="103">
                  <c:v>44.391500000000001</c:v>
                </c:pt>
                <c:pt idx="104">
                  <c:v>44.452799999999996</c:v>
                </c:pt>
                <c:pt idx="105">
                  <c:v>44.445299999999996</c:v>
                </c:pt>
                <c:pt idx="106">
                  <c:v>44.399000000000001</c:v>
                </c:pt>
                <c:pt idx="107">
                  <c:v>44.403300000000002</c:v>
                </c:pt>
                <c:pt idx="108">
                  <c:v>44.381900000000002</c:v>
                </c:pt>
                <c:pt idx="109">
                  <c:v>44.285699999999999</c:v>
                </c:pt>
                <c:pt idx="110">
                  <c:v>44.222499999999997</c:v>
                </c:pt>
                <c:pt idx="111">
                  <c:v>44.237400000000001</c:v>
                </c:pt>
                <c:pt idx="112">
                  <c:v>44.226500000000001</c:v>
                </c:pt>
                <c:pt idx="113">
                  <c:v>44.217700000000001</c:v>
                </c:pt>
                <c:pt idx="114">
                  <c:v>44.148299999999999</c:v>
                </c:pt>
                <c:pt idx="115">
                  <c:v>44.059799999999996</c:v>
                </c:pt>
                <c:pt idx="116">
                  <c:v>43.9953</c:v>
                </c:pt>
                <c:pt idx="117">
                  <c:v>43.914400000000001</c:v>
                </c:pt>
                <c:pt idx="118">
                  <c:v>43.808399999999999</c:v>
                </c:pt>
                <c:pt idx="119">
                  <c:v>43.652499999999996</c:v>
                </c:pt>
                <c:pt idx="120">
                  <c:v>43.464700000000001</c:v>
                </c:pt>
                <c:pt idx="121">
                  <c:v>43.236499999999999</c:v>
                </c:pt>
                <c:pt idx="122">
                  <c:v>42.987299999999998</c:v>
                </c:pt>
                <c:pt idx="123">
                  <c:v>42.751300000000001</c:v>
                </c:pt>
                <c:pt idx="124">
                  <c:v>42.598100000000002</c:v>
                </c:pt>
                <c:pt idx="125">
                  <c:v>42.514400000000002</c:v>
                </c:pt>
                <c:pt idx="126">
                  <c:v>42.407699999999998</c:v>
                </c:pt>
                <c:pt idx="127">
                  <c:v>42.300699999999999</c:v>
                </c:pt>
                <c:pt idx="128">
                  <c:v>42.210599999999999</c:v>
                </c:pt>
                <c:pt idx="129">
                  <c:v>42.123600000000003</c:v>
                </c:pt>
                <c:pt idx="130">
                  <c:v>42.046599999999998</c:v>
                </c:pt>
                <c:pt idx="131">
                  <c:v>42.022999999999996</c:v>
                </c:pt>
                <c:pt idx="132">
                  <c:v>41.9955</c:v>
                </c:pt>
                <c:pt idx="133">
                  <c:v>42.096400000000003</c:v>
                </c:pt>
                <c:pt idx="134">
                  <c:v>42.350100000000005</c:v>
                </c:pt>
                <c:pt idx="135">
                  <c:v>42.6477</c:v>
                </c:pt>
                <c:pt idx="136">
                  <c:v>42.8414</c:v>
                </c:pt>
                <c:pt idx="137">
                  <c:v>43.109299999999998</c:v>
                </c:pt>
                <c:pt idx="138">
                  <c:v>43.428699999999999</c:v>
                </c:pt>
                <c:pt idx="139">
                  <c:v>43.8568</c:v>
                </c:pt>
                <c:pt idx="140">
                  <c:v>44.492800000000003</c:v>
                </c:pt>
                <c:pt idx="141">
                  <c:v>44.994900000000001</c:v>
                </c:pt>
                <c:pt idx="142">
                  <c:v>45.512300000000003</c:v>
                </c:pt>
                <c:pt idx="143">
                  <c:v>46.075500000000005</c:v>
                </c:pt>
                <c:pt idx="144">
                  <c:v>46.6158</c:v>
                </c:pt>
                <c:pt idx="145">
                  <c:v>47.214500000000001</c:v>
                </c:pt>
                <c:pt idx="146">
                  <c:v>47.582299999999996</c:v>
                </c:pt>
                <c:pt idx="147">
                  <c:v>47.806800000000003</c:v>
                </c:pt>
                <c:pt idx="148">
                  <c:v>48.484100000000005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0.35466599999999998</c:v>
                </c:pt>
                <c:pt idx="2">
                  <c:v>0.75979799999999997</c:v>
                </c:pt>
                <c:pt idx="3">
                  <c:v>1.1649799999999999</c:v>
                </c:pt>
                <c:pt idx="4">
                  <c:v>1.57135</c:v>
                </c:pt>
                <c:pt idx="5">
                  <c:v>1.9776100000000001</c:v>
                </c:pt>
                <c:pt idx="6">
                  <c:v>2.3826999999999998</c:v>
                </c:pt>
                <c:pt idx="7">
                  <c:v>2.7910200000000001</c:v>
                </c:pt>
                <c:pt idx="8">
                  <c:v>3.1973799999999999</c:v>
                </c:pt>
                <c:pt idx="9">
                  <c:v>3.60026</c:v>
                </c:pt>
                <c:pt idx="10">
                  <c:v>4.0108899999999998</c:v>
                </c:pt>
                <c:pt idx="11">
                  <c:v>4.4158799999999996</c:v>
                </c:pt>
                <c:pt idx="12">
                  <c:v>4.8218399999999999</c:v>
                </c:pt>
                <c:pt idx="13">
                  <c:v>5.2275400000000003</c:v>
                </c:pt>
                <c:pt idx="14">
                  <c:v>5.6356599999999997</c:v>
                </c:pt>
                <c:pt idx="15">
                  <c:v>6.0417399999999999</c:v>
                </c:pt>
                <c:pt idx="16">
                  <c:v>6.4489000000000001</c:v>
                </c:pt>
                <c:pt idx="17">
                  <c:v>6.8551399999999996</c:v>
                </c:pt>
                <c:pt idx="18">
                  <c:v>7.2613500000000002</c:v>
                </c:pt>
                <c:pt idx="19">
                  <c:v>7.6647299999999996</c:v>
                </c:pt>
                <c:pt idx="20">
                  <c:v>8.0727700000000002</c:v>
                </c:pt>
                <c:pt idx="21">
                  <c:v>8.4788800000000002</c:v>
                </c:pt>
                <c:pt idx="22">
                  <c:v>8.8869299999999996</c:v>
                </c:pt>
                <c:pt idx="23">
                  <c:v>9.2892200000000003</c:v>
                </c:pt>
                <c:pt idx="24">
                  <c:v>9.6962100000000007</c:v>
                </c:pt>
                <c:pt idx="25">
                  <c:v>10.1023</c:v>
                </c:pt>
                <c:pt idx="26">
                  <c:v>10.511200000000001</c:v>
                </c:pt>
                <c:pt idx="27">
                  <c:v>10.9184</c:v>
                </c:pt>
                <c:pt idx="28">
                  <c:v>11.32</c:v>
                </c:pt>
                <c:pt idx="29">
                  <c:v>11.7279</c:v>
                </c:pt>
                <c:pt idx="30">
                  <c:v>12.1335</c:v>
                </c:pt>
                <c:pt idx="31">
                  <c:v>12.542299999999999</c:v>
                </c:pt>
                <c:pt idx="32">
                  <c:v>12.946899999999999</c:v>
                </c:pt>
                <c:pt idx="33">
                  <c:v>13.3536</c:v>
                </c:pt>
                <c:pt idx="34">
                  <c:v>13.7591</c:v>
                </c:pt>
                <c:pt idx="35">
                  <c:v>14.1638</c:v>
                </c:pt>
                <c:pt idx="36">
                  <c:v>14.5754</c:v>
                </c:pt>
                <c:pt idx="37">
                  <c:v>14.9786</c:v>
                </c:pt>
                <c:pt idx="38">
                  <c:v>15.3889</c:v>
                </c:pt>
                <c:pt idx="39">
                  <c:v>15.7889</c:v>
                </c:pt>
                <c:pt idx="40">
                  <c:v>16.196100000000001</c:v>
                </c:pt>
                <c:pt idx="41">
                  <c:v>16.6037</c:v>
                </c:pt>
                <c:pt idx="42">
                  <c:v>17.013400000000001</c:v>
                </c:pt>
                <c:pt idx="43">
                  <c:v>17.4192</c:v>
                </c:pt>
                <c:pt idx="44">
                  <c:v>17.820799999999998</c:v>
                </c:pt>
                <c:pt idx="45">
                  <c:v>18.2272</c:v>
                </c:pt>
                <c:pt idx="46">
                  <c:v>18.631699999999999</c:v>
                </c:pt>
                <c:pt idx="47">
                  <c:v>19.039200000000001</c:v>
                </c:pt>
                <c:pt idx="48">
                  <c:v>19.447600000000001</c:v>
                </c:pt>
                <c:pt idx="49">
                  <c:v>19.857099999999999</c:v>
                </c:pt>
                <c:pt idx="50">
                  <c:v>20.257400000000001</c:v>
                </c:pt>
                <c:pt idx="51">
                  <c:v>20.6631</c:v>
                </c:pt>
                <c:pt idx="52">
                  <c:v>21.072099999999999</c:v>
                </c:pt>
                <c:pt idx="53">
                  <c:v>21.476900000000001</c:v>
                </c:pt>
                <c:pt idx="54">
                  <c:v>21.884599999999999</c:v>
                </c:pt>
                <c:pt idx="55">
                  <c:v>22.2913</c:v>
                </c:pt>
                <c:pt idx="56">
                  <c:v>22.697600000000001</c:v>
                </c:pt>
                <c:pt idx="57">
                  <c:v>23.102</c:v>
                </c:pt>
                <c:pt idx="58">
                  <c:v>23.508299999999998</c:v>
                </c:pt>
                <c:pt idx="59">
                  <c:v>23.913699999999999</c:v>
                </c:pt>
                <c:pt idx="60">
                  <c:v>24.322299999999998</c:v>
                </c:pt>
                <c:pt idx="61">
                  <c:v>24.729199999999999</c:v>
                </c:pt>
                <c:pt idx="62">
                  <c:v>25.133900000000001</c:v>
                </c:pt>
                <c:pt idx="63">
                  <c:v>25.5442</c:v>
                </c:pt>
                <c:pt idx="64">
                  <c:v>25.947299999999998</c:v>
                </c:pt>
                <c:pt idx="65">
                  <c:v>26.353899999999999</c:v>
                </c:pt>
                <c:pt idx="66">
                  <c:v>26.759399999999999</c:v>
                </c:pt>
                <c:pt idx="67">
                  <c:v>27.1631</c:v>
                </c:pt>
                <c:pt idx="68">
                  <c:v>27.570499999999999</c:v>
                </c:pt>
                <c:pt idx="69">
                  <c:v>27.977599999999999</c:v>
                </c:pt>
                <c:pt idx="70">
                  <c:v>28.384</c:v>
                </c:pt>
                <c:pt idx="71">
                  <c:v>28.790500000000002</c:v>
                </c:pt>
                <c:pt idx="72">
                  <c:v>29.1965</c:v>
                </c:pt>
                <c:pt idx="73">
                  <c:v>29.6036</c:v>
                </c:pt>
                <c:pt idx="74">
                  <c:v>30.010999999999999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30.010999999999999</c:v>
                </c:pt>
                <c:pt idx="1">
                  <c:v>30.603300000000001</c:v>
                </c:pt>
                <c:pt idx="2">
                  <c:v>30.978899999999999</c:v>
                </c:pt>
                <c:pt idx="3">
                  <c:v>31.353300000000001</c:v>
                </c:pt>
                <c:pt idx="4">
                  <c:v>31.727399999999999</c:v>
                </c:pt>
                <c:pt idx="5">
                  <c:v>32.106900000000003</c:v>
                </c:pt>
                <c:pt idx="6">
                  <c:v>32.508600000000001</c:v>
                </c:pt>
                <c:pt idx="7">
                  <c:v>32.917299999999997</c:v>
                </c:pt>
                <c:pt idx="8">
                  <c:v>33.322099999999999</c:v>
                </c:pt>
                <c:pt idx="9">
                  <c:v>33.728299999999997</c:v>
                </c:pt>
                <c:pt idx="10">
                  <c:v>34.132300000000001</c:v>
                </c:pt>
                <c:pt idx="11">
                  <c:v>34.542900000000003</c:v>
                </c:pt>
                <c:pt idx="12">
                  <c:v>34.948599999999999</c:v>
                </c:pt>
                <c:pt idx="13">
                  <c:v>35.350700000000003</c:v>
                </c:pt>
                <c:pt idx="14">
                  <c:v>35.756399999999999</c:v>
                </c:pt>
                <c:pt idx="15">
                  <c:v>36.165399999999998</c:v>
                </c:pt>
                <c:pt idx="16">
                  <c:v>36.570399999999999</c:v>
                </c:pt>
                <c:pt idx="17">
                  <c:v>36.9818</c:v>
                </c:pt>
                <c:pt idx="18">
                  <c:v>37.387599999999999</c:v>
                </c:pt>
                <c:pt idx="19">
                  <c:v>37.789200000000001</c:v>
                </c:pt>
                <c:pt idx="20">
                  <c:v>38.196300000000001</c:v>
                </c:pt>
                <c:pt idx="21">
                  <c:v>38.603900000000003</c:v>
                </c:pt>
                <c:pt idx="22">
                  <c:v>39.0137</c:v>
                </c:pt>
                <c:pt idx="23">
                  <c:v>39.415300000000002</c:v>
                </c:pt>
                <c:pt idx="24">
                  <c:v>39.821300000000001</c:v>
                </c:pt>
                <c:pt idx="25">
                  <c:v>40.226500000000001</c:v>
                </c:pt>
                <c:pt idx="26">
                  <c:v>40.633299999999998</c:v>
                </c:pt>
                <c:pt idx="27">
                  <c:v>41.039000000000001</c:v>
                </c:pt>
                <c:pt idx="28">
                  <c:v>41.449599999999997</c:v>
                </c:pt>
                <c:pt idx="29">
                  <c:v>41.8536</c:v>
                </c:pt>
                <c:pt idx="30">
                  <c:v>42.261800000000001</c:v>
                </c:pt>
                <c:pt idx="31">
                  <c:v>42.665799999999997</c:v>
                </c:pt>
                <c:pt idx="32">
                  <c:v>43.069400000000002</c:v>
                </c:pt>
                <c:pt idx="33">
                  <c:v>43.478000000000002</c:v>
                </c:pt>
                <c:pt idx="34">
                  <c:v>43.886499999999998</c:v>
                </c:pt>
                <c:pt idx="35">
                  <c:v>44.291699999999999</c:v>
                </c:pt>
                <c:pt idx="36">
                  <c:v>44.698700000000002</c:v>
                </c:pt>
                <c:pt idx="37">
                  <c:v>45.103200000000001</c:v>
                </c:pt>
                <c:pt idx="38">
                  <c:v>45.510100000000001</c:v>
                </c:pt>
                <c:pt idx="39">
                  <c:v>45.9176</c:v>
                </c:pt>
                <c:pt idx="40">
                  <c:v>46.322299999999998</c:v>
                </c:pt>
                <c:pt idx="41">
                  <c:v>46.729399999999998</c:v>
                </c:pt>
                <c:pt idx="42">
                  <c:v>47.131500000000003</c:v>
                </c:pt>
                <c:pt idx="43">
                  <c:v>47.538699999999999</c:v>
                </c:pt>
                <c:pt idx="44">
                  <c:v>47.946300000000001</c:v>
                </c:pt>
                <c:pt idx="45">
                  <c:v>48.3521</c:v>
                </c:pt>
                <c:pt idx="46">
                  <c:v>48.756300000000003</c:v>
                </c:pt>
                <c:pt idx="47">
                  <c:v>49.165100000000002</c:v>
                </c:pt>
                <c:pt idx="48">
                  <c:v>49.570099999999996</c:v>
                </c:pt>
                <c:pt idx="49">
                  <c:v>49.979799999999997</c:v>
                </c:pt>
                <c:pt idx="50">
                  <c:v>50.386499999999998</c:v>
                </c:pt>
                <c:pt idx="51">
                  <c:v>50.792400000000001</c:v>
                </c:pt>
                <c:pt idx="52">
                  <c:v>51.195599999999999</c:v>
                </c:pt>
                <c:pt idx="53">
                  <c:v>51.603299999999997</c:v>
                </c:pt>
                <c:pt idx="54">
                  <c:v>52.011000000000003</c:v>
                </c:pt>
                <c:pt idx="55">
                  <c:v>52.414999999999999</c:v>
                </c:pt>
                <c:pt idx="56">
                  <c:v>52.822499999999998</c:v>
                </c:pt>
                <c:pt idx="57">
                  <c:v>53.2273</c:v>
                </c:pt>
                <c:pt idx="58">
                  <c:v>53.633600000000001</c:v>
                </c:pt>
                <c:pt idx="59">
                  <c:v>54.041899999999998</c:v>
                </c:pt>
                <c:pt idx="60">
                  <c:v>54.448900000000002</c:v>
                </c:pt>
                <c:pt idx="61">
                  <c:v>54.854900000000001</c:v>
                </c:pt>
                <c:pt idx="62">
                  <c:v>55.257100000000001</c:v>
                </c:pt>
                <c:pt idx="63">
                  <c:v>55.666499999999999</c:v>
                </c:pt>
                <c:pt idx="64">
                  <c:v>56.071899999999999</c:v>
                </c:pt>
                <c:pt idx="65">
                  <c:v>56.478900000000003</c:v>
                </c:pt>
                <c:pt idx="66">
                  <c:v>56.882899999999999</c:v>
                </c:pt>
                <c:pt idx="67">
                  <c:v>57.288699999999999</c:v>
                </c:pt>
                <c:pt idx="68">
                  <c:v>57.6967</c:v>
                </c:pt>
                <c:pt idx="69">
                  <c:v>58.101500000000001</c:v>
                </c:pt>
                <c:pt idx="70">
                  <c:v>58.509799999999998</c:v>
                </c:pt>
                <c:pt idx="71">
                  <c:v>58.9176</c:v>
                </c:pt>
                <c:pt idx="72">
                  <c:v>59.320799999999998</c:v>
                </c:pt>
                <c:pt idx="73">
                  <c:v>59.726599999999998</c:v>
                </c:pt>
                <c:pt idx="74">
                  <c:v>60.134300000000003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47.9373</c:v>
                </c:pt>
                <c:pt idx="1">
                  <c:v>47.459800000000001</c:v>
                </c:pt>
                <c:pt idx="2">
                  <c:v>47.197899999999997</c:v>
                </c:pt>
                <c:pt idx="3">
                  <c:v>46.966999999999999</c:v>
                </c:pt>
                <c:pt idx="4">
                  <c:v>46.6892</c:v>
                </c:pt>
                <c:pt idx="5">
                  <c:v>46.433</c:v>
                </c:pt>
                <c:pt idx="6">
                  <c:v>46.198599999999999</c:v>
                </c:pt>
                <c:pt idx="7">
                  <c:v>45.969000000000001</c:v>
                </c:pt>
                <c:pt idx="8">
                  <c:v>45.733200000000004</c:v>
                </c:pt>
                <c:pt idx="9">
                  <c:v>45.4848</c:v>
                </c:pt>
                <c:pt idx="10">
                  <c:v>45.240900000000003</c:v>
                </c:pt>
                <c:pt idx="11">
                  <c:v>44.947199999999995</c:v>
                </c:pt>
                <c:pt idx="12">
                  <c:v>44.625900000000001</c:v>
                </c:pt>
                <c:pt idx="13">
                  <c:v>44.2652</c:v>
                </c:pt>
                <c:pt idx="14">
                  <c:v>43.869</c:v>
                </c:pt>
                <c:pt idx="15">
                  <c:v>43.458599999999997</c:v>
                </c:pt>
                <c:pt idx="16">
                  <c:v>43.029600000000002</c:v>
                </c:pt>
                <c:pt idx="17">
                  <c:v>42.602499999999999</c:v>
                </c:pt>
                <c:pt idx="18">
                  <c:v>42.257300000000001</c:v>
                </c:pt>
                <c:pt idx="19">
                  <c:v>42.078099999999999</c:v>
                </c:pt>
                <c:pt idx="20">
                  <c:v>42.0625</c:v>
                </c:pt>
                <c:pt idx="21">
                  <c:v>42.237299999999998</c:v>
                </c:pt>
                <c:pt idx="22">
                  <c:v>42.506300000000003</c:v>
                </c:pt>
                <c:pt idx="23">
                  <c:v>42.737299999999998</c:v>
                </c:pt>
                <c:pt idx="24">
                  <c:v>42.992399999999996</c:v>
                </c:pt>
                <c:pt idx="25">
                  <c:v>43.349600000000002</c:v>
                </c:pt>
                <c:pt idx="26">
                  <c:v>43.720799999999997</c:v>
                </c:pt>
                <c:pt idx="27">
                  <c:v>44.000399999999999</c:v>
                </c:pt>
                <c:pt idx="28">
                  <c:v>44.2119</c:v>
                </c:pt>
                <c:pt idx="29">
                  <c:v>44.391500000000001</c:v>
                </c:pt>
                <c:pt idx="30">
                  <c:v>44.452799999999996</c:v>
                </c:pt>
                <c:pt idx="31">
                  <c:v>44.445299999999996</c:v>
                </c:pt>
                <c:pt idx="32">
                  <c:v>44.399000000000001</c:v>
                </c:pt>
                <c:pt idx="33">
                  <c:v>44.403300000000002</c:v>
                </c:pt>
                <c:pt idx="34">
                  <c:v>44.381900000000002</c:v>
                </c:pt>
                <c:pt idx="35">
                  <c:v>44.285699999999999</c:v>
                </c:pt>
                <c:pt idx="36">
                  <c:v>44.222499999999997</c:v>
                </c:pt>
                <c:pt idx="37">
                  <c:v>44.237400000000001</c:v>
                </c:pt>
                <c:pt idx="38">
                  <c:v>44.226500000000001</c:v>
                </c:pt>
                <c:pt idx="39">
                  <c:v>44.217700000000001</c:v>
                </c:pt>
                <c:pt idx="40">
                  <c:v>44.148299999999999</c:v>
                </c:pt>
                <c:pt idx="41">
                  <c:v>44.059799999999996</c:v>
                </c:pt>
                <c:pt idx="42">
                  <c:v>43.9953</c:v>
                </c:pt>
                <c:pt idx="43">
                  <c:v>43.914400000000001</c:v>
                </c:pt>
                <c:pt idx="44">
                  <c:v>43.808399999999999</c:v>
                </c:pt>
                <c:pt idx="45">
                  <c:v>43.652499999999996</c:v>
                </c:pt>
                <c:pt idx="46">
                  <c:v>43.464700000000001</c:v>
                </c:pt>
                <c:pt idx="47">
                  <c:v>43.236499999999999</c:v>
                </c:pt>
                <c:pt idx="48">
                  <c:v>42.987299999999998</c:v>
                </c:pt>
                <c:pt idx="49">
                  <c:v>42.751300000000001</c:v>
                </c:pt>
                <c:pt idx="50">
                  <c:v>42.598100000000002</c:v>
                </c:pt>
                <c:pt idx="51">
                  <c:v>42.514400000000002</c:v>
                </c:pt>
                <c:pt idx="52">
                  <c:v>42.407699999999998</c:v>
                </c:pt>
                <c:pt idx="53">
                  <c:v>42.300699999999999</c:v>
                </c:pt>
                <c:pt idx="54">
                  <c:v>42.210599999999999</c:v>
                </c:pt>
                <c:pt idx="55">
                  <c:v>42.123600000000003</c:v>
                </c:pt>
                <c:pt idx="56">
                  <c:v>42.046599999999998</c:v>
                </c:pt>
                <c:pt idx="57">
                  <c:v>42.022999999999996</c:v>
                </c:pt>
                <c:pt idx="58">
                  <c:v>41.9955</c:v>
                </c:pt>
                <c:pt idx="59">
                  <c:v>42.096400000000003</c:v>
                </c:pt>
                <c:pt idx="60">
                  <c:v>42.350100000000005</c:v>
                </c:pt>
                <c:pt idx="61">
                  <c:v>42.6477</c:v>
                </c:pt>
                <c:pt idx="62">
                  <c:v>42.8414</c:v>
                </c:pt>
                <c:pt idx="63">
                  <c:v>43.109299999999998</c:v>
                </c:pt>
                <c:pt idx="64">
                  <c:v>43.428699999999999</c:v>
                </c:pt>
                <c:pt idx="65">
                  <c:v>43.8568</c:v>
                </c:pt>
                <c:pt idx="66">
                  <c:v>44.492800000000003</c:v>
                </c:pt>
                <c:pt idx="67">
                  <c:v>44.994900000000001</c:v>
                </c:pt>
                <c:pt idx="68">
                  <c:v>45.512300000000003</c:v>
                </c:pt>
                <c:pt idx="69">
                  <c:v>46.075500000000005</c:v>
                </c:pt>
                <c:pt idx="70">
                  <c:v>46.6158</c:v>
                </c:pt>
                <c:pt idx="71">
                  <c:v>47.214500000000001</c:v>
                </c:pt>
                <c:pt idx="72">
                  <c:v>47.582299999999996</c:v>
                </c:pt>
                <c:pt idx="73">
                  <c:v>47.806800000000003</c:v>
                </c:pt>
                <c:pt idx="74">
                  <c:v>48.484100000000005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15.033575000000001</c:v>
                </c:pt>
                <c:pt idx="1">
                  <c:v>45.100725000000004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46.787181081081094</c:v>
                </c:pt>
                <c:pt idx="1">
                  <c:v>44.118786486486499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  <c:pt idx="75">
                  <c:v>3.8766800000000003</c:v>
                </c:pt>
                <c:pt idx="76">
                  <c:v>3.8936500000000001</c:v>
                </c:pt>
                <c:pt idx="77">
                  <c:v>3.9059899999999996</c:v>
                </c:pt>
                <c:pt idx="78">
                  <c:v>3.9144299999999999</c:v>
                </c:pt>
                <c:pt idx="79">
                  <c:v>3.91886</c:v>
                </c:pt>
                <c:pt idx="80">
                  <c:v>3.92082</c:v>
                </c:pt>
                <c:pt idx="81">
                  <c:v>3.92157</c:v>
                </c:pt>
                <c:pt idx="82">
                  <c:v>3.9225399999999997</c:v>
                </c:pt>
                <c:pt idx="83">
                  <c:v>3.9203100000000002</c:v>
                </c:pt>
                <c:pt idx="84">
                  <c:v>3.9141300000000001</c:v>
                </c:pt>
                <c:pt idx="85">
                  <c:v>3.9045200000000002</c:v>
                </c:pt>
                <c:pt idx="86">
                  <c:v>3.88971</c:v>
                </c:pt>
                <c:pt idx="87">
                  <c:v>3.8725300000000002</c:v>
                </c:pt>
                <c:pt idx="88">
                  <c:v>3.8546000000000005</c:v>
                </c:pt>
                <c:pt idx="89">
                  <c:v>3.8325300000000002</c:v>
                </c:pt>
                <c:pt idx="90">
                  <c:v>3.8097700000000003</c:v>
                </c:pt>
                <c:pt idx="91">
                  <c:v>3.7840499999999997</c:v>
                </c:pt>
                <c:pt idx="92">
                  <c:v>3.75346</c:v>
                </c:pt>
                <c:pt idx="93">
                  <c:v>3.7209199999999996</c:v>
                </c:pt>
                <c:pt idx="94">
                  <c:v>3.6870799999999999</c:v>
                </c:pt>
                <c:pt idx="95">
                  <c:v>3.65124</c:v>
                </c:pt>
                <c:pt idx="96">
                  <c:v>3.6172399999999998</c:v>
                </c:pt>
                <c:pt idx="97">
                  <c:v>3.5848400000000002</c:v>
                </c:pt>
                <c:pt idx="98">
                  <c:v>3.5535699999999997</c:v>
                </c:pt>
                <c:pt idx="99">
                  <c:v>3.5223599999999999</c:v>
                </c:pt>
                <c:pt idx="100">
                  <c:v>3.4926400000000002</c:v>
                </c:pt>
                <c:pt idx="101">
                  <c:v>3.46705</c:v>
                </c:pt>
                <c:pt idx="102">
                  <c:v>3.4455499999999999</c:v>
                </c:pt>
                <c:pt idx="103">
                  <c:v>3.4274100000000001</c:v>
                </c:pt>
                <c:pt idx="104">
                  <c:v>3.4142399999999999</c:v>
                </c:pt>
                <c:pt idx="105">
                  <c:v>3.4024900000000002</c:v>
                </c:pt>
                <c:pt idx="106">
                  <c:v>3.3940999999999999</c:v>
                </c:pt>
                <c:pt idx="107">
                  <c:v>3.3868399999999999</c:v>
                </c:pt>
                <c:pt idx="108">
                  <c:v>3.3837000000000002</c:v>
                </c:pt>
                <c:pt idx="109">
                  <c:v>3.3844600000000002</c:v>
                </c:pt>
                <c:pt idx="110">
                  <c:v>3.38463</c:v>
                </c:pt>
                <c:pt idx="111">
                  <c:v>3.3831199999999999</c:v>
                </c:pt>
                <c:pt idx="112">
                  <c:v>3.37879</c:v>
                </c:pt>
                <c:pt idx="113">
                  <c:v>3.3744200000000002</c:v>
                </c:pt>
                <c:pt idx="114">
                  <c:v>3.3740900000000003</c:v>
                </c:pt>
                <c:pt idx="115">
                  <c:v>3.3742000000000001</c:v>
                </c:pt>
                <c:pt idx="116">
                  <c:v>3.3729800000000001</c:v>
                </c:pt>
                <c:pt idx="117">
                  <c:v>3.3704800000000001</c:v>
                </c:pt>
                <c:pt idx="118">
                  <c:v>3.36463</c:v>
                </c:pt>
                <c:pt idx="119">
                  <c:v>3.3549099999999998</c:v>
                </c:pt>
                <c:pt idx="120">
                  <c:v>3.34206</c:v>
                </c:pt>
                <c:pt idx="121">
                  <c:v>3.3234500000000002</c:v>
                </c:pt>
                <c:pt idx="122">
                  <c:v>3.30376</c:v>
                </c:pt>
                <c:pt idx="123">
                  <c:v>3.2816000000000001</c:v>
                </c:pt>
                <c:pt idx="124">
                  <c:v>3.2651400000000002</c:v>
                </c:pt>
                <c:pt idx="125">
                  <c:v>3.2587799999999998</c:v>
                </c:pt>
                <c:pt idx="126">
                  <c:v>3.2519499999999999</c:v>
                </c:pt>
                <c:pt idx="127">
                  <c:v>3.24424</c:v>
                </c:pt>
                <c:pt idx="128">
                  <c:v>3.2352599999999998</c:v>
                </c:pt>
                <c:pt idx="129">
                  <c:v>3.2248900000000003</c:v>
                </c:pt>
                <c:pt idx="130">
                  <c:v>3.2136100000000001</c:v>
                </c:pt>
                <c:pt idx="131">
                  <c:v>3.1971699999999998</c:v>
                </c:pt>
                <c:pt idx="132">
                  <c:v>3.1766899999999998</c:v>
                </c:pt>
                <c:pt idx="133">
                  <c:v>3.1471399999999998</c:v>
                </c:pt>
                <c:pt idx="134">
                  <c:v>3.1097599999999996</c:v>
                </c:pt>
                <c:pt idx="135">
                  <c:v>3.0714799999999998</c:v>
                </c:pt>
                <c:pt idx="136">
                  <c:v>3.0377900000000002</c:v>
                </c:pt>
                <c:pt idx="137">
                  <c:v>3.00779</c:v>
                </c:pt>
                <c:pt idx="138">
                  <c:v>2.9759099999999998</c:v>
                </c:pt>
                <c:pt idx="139">
                  <c:v>2.9398200000000001</c:v>
                </c:pt>
                <c:pt idx="140">
                  <c:v>2.8983300000000001</c:v>
                </c:pt>
                <c:pt idx="141">
                  <c:v>2.85982</c:v>
                </c:pt>
                <c:pt idx="142">
                  <c:v>2.8214099999999998</c:v>
                </c:pt>
                <c:pt idx="143">
                  <c:v>2.7778900000000002</c:v>
                </c:pt>
                <c:pt idx="144">
                  <c:v>2.73224</c:v>
                </c:pt>
                <c:pt idx="145">
                  <c:v>2.6801399999999997</c:v>
                </c:pt>
                <c:pt idx="146">
                  <c:v>2.6414399999999998</c:v>
                </c:pt>
                <c:pt idx="147">
                  <c:v>2.6116099999999998</c:v>
                </c:pt>
                <c:pt idx="148">
                  <c:v>2.5532300000000001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  <c:pt idx="75">
                  <c:v>47.459800000000001</c:v>
                </c:pt>
                <c:pt idx="76">
                  <c:v>47.197899999999997</c:v>
                </c:pt>
                <c:pt idx="77">
                  <c:v>46.966999999999999</c:v>
                </c:pt>
                <c:pt idx="78">
                  <c:v>46.6892</c:v>
                </c:pt>
                <c:pt idx="79">
                  <c:v>46.433</c:v>
                </c:pt>
                <c:pt idx="80">
                  <c:v>46.198599999999999</c:v>
                </c:pt>
                <c:pt idx="81">
                  <c:v>45.969000000000001</c:v>
                </c:pt>
                <c:pt idx="82">
                  <c:v>45.733200000000004</c:v>
                </c:pt>
                <c:pt idx="83">
                  <c:v>45.4848</c:v>
                </c:pt>
                <c:pt idx="84">
                  <c:v>45.240900000000003</c:v>
                </c:pt>
                <c:pt idx="85">
                  <c:v>44.947199999999995</c:v>
                </c:pt>
                <c:pt idx="86">
                  <c:v>44.625900000000001</c:v>
                </c:pt>
                <c:pt idx="87">
                  <c:v>44.2652</c:v>
                </c:pt>
                <c:pt idx="88">
                  <c:v>43.869</c:v>
                </c:pt>
                <c:pt idx="89">
                  <c:v>43.458599999999997</c:v>
                </c:pt>
                <c:pt idx="90">
                  <c:v>43.029600000000002</c:v>
                </c:pt>
                <c:pt idx="91">
                  <c:v>42.602499999999999</c:v>
                </c:pt>
                <c:pt idx="92">
                  <c:v>42.257300000000001</c:v>
                </c:pt>
                <c:pt idx="93">
                  <c:v>42.078099999999999</c:v>
                </c:pt>
                <c:pt idx="94">
                  <c:v>42.0625</c:v>
                </c:pt>
                <c:pt idx="95">
                  <c:v>42.237299999999998</c:v>
                </c:pt>
                <c:pt idx="96">
                  <c:v>42.506300000000003</c:v>
                </c:pt>
                <c:pt idx="97">
                  <c:v>42.737299999999998</c:v>
                </c:pt>
                <c:pt idx="98">
                  <c:v>42.992399999999996</c:v>
                </c:pt>
                <c:pt idx="99">
                  <c:v>43.349600000000002</c:v>
                </c:pt>
                <c:pt idx="100">
                  <c:v>43.720799999999997</c:v>
                </c:pt>
                <c:pt idx="101">
                  <c:v>44.000399999999999</c:v>
                </c:pt>
                <c:pt idx="102">
                  <c:v>44.2119</c:v>
                </c:pt>
                <c:pt idx="103">
                  <c:v>44.391500000000001</c:v>
                </c:pt>
                <c:pt idx="104">
                  <c:v>44.452799999999996</c:v>
                </c:pt>
                <c:pt idx="105">
                  <c:v>44.445299999999996</c:v>
                </c:pt>
                <c:pt idx="106">
                  <c:v>44.399000000000001</c:v>
                </c:pt>
                <c:pt idx="107">
                  <c:v>44.403300000000002</c:v>
                </c:pt>
                <c:pt idx="108">
                  <c:v>44.381900000000002</c:v>
                </c:pt>
                <c:pt idx="109">
                  <c:v>44.285699999999999</c:v>
                </c:pt>
                <c:pt idx="110">
                  <c:v>44.222499999999997</c:v>
                </c:pt>
                <c:pt idx="111">
                  <c:v>44.237400000000001</c:v>
                </c:pt>
                <c:pt idx="112">
                  <c:v>44.226500000000001</c:v>
                </c:pt>
                <c:pt idx="113">
                  <c:v>44.217700000000001</c:v>
                </c:pt>
                <c:pt idx="114">
                  <c:v>44.148299999999999</c:v>
                </c:pt>
                <c:pt idx="115">
                  <c:v>44.059799999999996</c:v>
                </c:pt>
                <c:pt idx="116">
                  <c:v>43.9953</c:v>
                </c:pt>
                <c:pt idx="117">
                  <c:v>43.914400000000001</c:v>
                </c:pt>
                <c:pt idx="118">
                  <c:v>43.808399999999999</c:v>
                </c:pt>
                <c:pt idx="119">
                  <c:v>43.652499999999996</c:v>
                </c:pt>
                <c:pt idx="120">
                  <c:v>43.464700000000001</c:v>
                </c:pt>
                <c:pt idx="121">
                  <c:v>43.236499999999999</c:v>
                </c:pt>
                <c:pt idx="122">
                  <c:v>42.987299999999998</c:v>
                </c:pt>
                <c:pt idx="123">
                  <c:v>42.751300000000001</c:v>
                </c:pt>
                <c:pt idx="124">
                  <c:v>42.598100000000002</c:v>
                </c:pt>
                <c:pt idx="125">
                  <c:v>42.514400000000002</c:v>
                </c:pt>
                <c:pt idx="126">
                  <c:v>42.407699999999998</c:v>
                </c:pt>
                <c:pt idx="127">
                  <c:v>42.300699999999999</c:v>
                </c:pt>
                <c:pt idx="128">
                  <c:v>42.210599999999999</c:v>
                </c:pt>
                <c:pt idx="129">
                  <c:v>42.123600000000003</c:v>
                </c:pt>
                <c:pt idx="130">
                  <c:v>42.046599999999998</c:v>
                </c:pt>
                <c:pt idx="131">
                  <c:v>42.022999999999996</c:v>
                </c:pt>
                <c:pt idx="132">
                  <c:v>41.9955</c:v>
                </c:pt>
                <c:pt idx="133">
                  <c:v>42.096400000000003</c:v>
                </c:pt>
                <c:pt idx="134">
                  <c:v>42.350100000000005</c:v>
                </c:pt>
                <c:pt idx="135">
                  <c:v>42.6477</c:v>
                </c:pt>
                <c:pt idx="136">
                  <c:v>42.8414</c:v>
                </c:pt>
                <c:pt idx="137">
                  <c:v>43.109299999999998</c:v>
                </c:pt>
                <c:pt idx="138">
                  <c:v>43.428699999999999</c:v>
                </c:pt>
                <c:pt idx="139">
                  <c:v>43.8568</c:v>
                </c:pt>
                <c:pt idx="140">
                  <c:v>44.492800000000003</c:v>
                </c:pt>
                <c:pt idx="141">
                  <c:v>44.994900000000001</c:v>
                </c:pt>
                <c:pt idx="142">
                  <c:v>45.512300000000003</c:v>
                </c:pt>
                <c:pt idx="143">
                  <c:v>46.075500000000005</c:v>
                </c:pt>
                <c:pt idx="144">
                  <c:v>46.6158</c:v>
                </c:pt>
                <c:pt idx="145">
                  <c:v>47.214500000000001</c:v>
                </c:pt>
                <c:pt idx="146">
                  <c:v>47.582299999999996</c:v>
                </c:pt>
                <c:pt idx="147">
                  <c:v>47.806800000000003</c:v>
                </c:pt>
                <c:pt idx="148">
                  <c:v>48.484100000000005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1.79789</c:v>
                </c:pt>
                <c:pt idx="1">
                  <c:v>1.8555900000000001</c:v>
                </c:pt>
                <c:pt idx="2">
                  <c:v>1.91072</c:v>
                </c:pt>
                <c:pt idx="3">
                  <c:v>1.9642899999999999</c:v>
                </c:pt>
                <c:pt idx="4">
                  <c:v>2.0192800000000002</c:v>
                </c:pt>
                <c:pt idx="5">
                  <c:v>2.0762399999999999</c:v>
                </c:pt>
                <c:pt idx="6">
                  <c:v>2.1341399999999999</c:v>
                </c:pt>
                <c:pt idx="7">
                  <c:v>2.1965699999999999</c:v>
                </c:pt>
                <c:pt idx="8">
                  <c:v>2.2608800000000002</c:v>
                </c:pt>
                <c:pt idx="9">
                  <c:v>2.32572</c:v>
                </c:pt>
                <c:pt idx="10">
                  <c:v>2.3890700000000002</c:v>
                </c:pt>
                <c:pt idx="11">
                  <c:v>2.4539900000000001</c:v>
                </c:pt>
                <c:pt idx="12">
                  <c:v>2.5224600000000001</c:v>
                </c:pt>
                <c:pt idx="13">
                  <c:v>2.5909900000000001</c:v>
                </c:pt>
                <c:pt idx="14">
                  <c:v>2.6546500000000002</c:v>
                </c:pt>
                <c:pt idx="15">
                  <c:v>2.7122200000000003</c:v>
                </c:pt>
                <c:pt idx="16">
                  <c:v>2.7691400000000002</c:v>
                </c:pt>
                <c:pt idx="17">
                  <c:v>2.8255499999999998</c:v>
                </c:pt>
                <c:pt idx="18">
                  <c:v>2.8803700000000001</c:v>
                </c:pt>
                <c:pt idx="19">
                  <c:v>2.93493</c:v>
                </c:pt>
                <c:pt idx="20">
                  <c:v>2.9857200000000002</c:v>
                </c:pt>
                <c:pt idx="21">
                  <c:v>3.0343999999999998</c:v>
                </c:pt>
                <c:pt idx="22">
                  <c:v>3.07728</c:v>
                </c:pt>
                <c:pt idx="23">
                  <c:v>3.1165500000000002</c:v>
                </c:pt>
                <c:pt idx="24">
                  <c:v>3.1529800000000003</c:v>
                </c:pt>
                <c:pt idx="25">
                  <c:v>3.1858999999999997</c:v>
                </c:pt>
                <c:pt idx="26">
                  <c:v>3.2170399999999999</c:v>
                </c:pt>
                <c:pt idx="27">
                  <c:v>3.2465199999999999</c:v>
                </c:pt>
                <c:pt idx="28">
                  <c:v>3.2740200000000002</c:v>
                </c:pt>
                <c:pt idx="29">
                  <c:v>3.2976399999999999</c:v>
                </c:pt>
                <c:pt idx="30">
                  <c:v>3.3167499999999999</c:v>
                </c:pt>
                <c:pt idx="31">
                  <c:v>3.3311000000000002</c:v>
                </c:pt>
                <c:pt idx="32">
                  <c:v>3.3420399999999999</c:v>
                </c:pt>
                <c:pt idx="33">
                  <c:v>3.3511200000000003</c:v>
                </c:pt>
                <c:pt idx="34">
                  <c:v>3.3583600000000002</c:v>
                </c:pt>
                <c:pt idx="35">
                  <c:v>3.3632900000000001</c:v>
                </c:pt>
                <c:pt idx="36">
                  <c:v>3.3662599999999996</c:v>
                </c:pt>
                <c:pt idx="37">
                  <c:v>3.3662900000000002</c:v>
                </c:pt>
                <c:pt idx="38">
                  <c:v>3.3629899999999999</c:v>
                </c:pt>
                <c:pt idx="39">
                  <c:v>3.3614600000000001</c:v>
                </c:pt>
                <c:pt idx="40">
                  <c:v>3.3608199999999999</c:v>
                </c:pt>
                <c:pt idx="41">
                  <c:v>3.35839</c:v>
                </c:pt>
                <c:pt idx="42">
                  <c:v>3.35623</c:v>
                </c:pt>
                <c:pt idx="43">
                  <c:v>3.3527899999999997</c:v>
                </c:pt>
                <c:pt idx="44">
                  <c:v>3.3471899999999999</c:v>
                </c:pt>
                <c:pt idx="45">
                  <c:v>3.3456999999999999</c:v>
                </c:pt>
                <c:pt idx="46">
                  <c:v>3.3460800000000002</c:v>
                </c:pt>
                <c:pt idx="47">
                  <c:v>3.3497399999999997</c:v>
                </c:pt>
                <c:pt idx="48">
                  <c:v>3.3533200000000001</c:v>
                </c:pt>
                <c:pt idx="49">
                  <c:v>3.3553899999999999</c:v>
                </c:pt>
                <c:pt idx="50">
                  <c:v>3.3567499999999999</c:v>
                </c:pt>
                <c:pt idx="51">
                  <c:v>3.3642899999999996</c:v>
                </c:pt>
                <c:pt idx="52">
                  <c:v>3.3736100000000002</c:v>
                </c:pt>
                <c:pt idx="53">
                  <c:v>3.3844699999999999</c:v>
                </c:pt>
                <c:pt idx="54">
                  <c:v>3.3973500000000003</c:v>
                </c:pt>
                <c:pt idx="55">
                  <c:v>3.4100799999999998</c:v>
                </c:pt>
                <c:pt idx="56">
                  <c:v>3.42631</c:v>
                </c:pt>
                <c:pt idx="57">
                  <c:v>3.4405700000000001</c:v>
                </c:pt>
                <c:pt idx="58">
                  <c:v>3.4548899999999998</c:v>
                </c:pt>
                <c:pt idx="59">
                  <c:v>3.4701500000000003</c:v>
                </c:pt>
                <c:pt idx="60">
                  <c:v>3.4875699999999998</c:v>
                </c:pt>
                <c:pt idx="61">
                  <c:v>3.5063499999999999</c:v>
                </c:pt>
                <c:pt idx="62">
                  <c:v>3.5269899999999996</c:v>
                </c:pt>
                <c:pt idx="63">
                  <c:v>3.5493299999999999</c:v>
                </c:pt>
                <c:pt idx="64">
                  <c:v>3.5710700000000002</c:v>
                </c:pt>
                <c:pt idx="65">
                  <c:v>3.5926499999999999</c:v>
                </c:pt>
                <c:pt idx="66">
                  <c:v>3.6144100000000003</c:v>
                </c:pt>
                <c:pt idx="67">
                  <c:v>3.63931</c:v>
                </c:pt>
                <c:pt idx="68">
                  <c:v>3.6694100000000001</c:v>
                </c:pt>
                <c:pt idx="69">
                  <c:v>3.7024600000000003</c:v>
                </c:pt>
                <c:pt idx="70">
                  <c:v>3.7349300000000003</c:v>
                </c:pt>
                <c:pt idx="71">
                  <c:v>3.7666399999999998</c:v>
                </c:pt>
                <c:pt idx="72">
                  <c:v>3.7949199999999998</c:v>
                </c:pt>
                <c:pt idx="73">
                  <c:v>3.8211299999999997</c:v>
                </c:pt>
                <c:pt idx="74">
                  <c:v>3.8480999999999996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58.511599999999994</c:v>
                </c:pt>
                <c:pt idx="1">
                  <c:v>57.569499999999998</c:v>
                </c:pt>
                <c:pt idx="2">
                  <c:v>56.725000000000001</c:v>
                </c:pt>
                <c:pt idx="3">
                  <c:v>55.982600000000005</c:v>
                </c:pt>
                <c:pt idx="4">
                  <c:v>55.105800000000002</c:v>
                </c:pt>
                <c:pt idx="5">
                  <c:v>54.048700000000004</c:v>
                </c:pt>
                <c:pt idx="6">
                  <c:v>52.961199999999998</c:v>
                </c:pt>
                <c:pt idx="7">
                  <c:v>51.740200000000002</c:v>
                </c:pt>
                <c:pt idx="8">
                  <c:v>50.546500000000009</c:v>
                </c:pt>
                <c:pt idx="9">
                  <c:v>49.380699999999997</c:v>
                </c:pt>
                <c:pt idx="10">
                  <c:v>48.293100000000003</c:v>
                </c:pt>
                <c:pt idx="11">
                  <c:v>47.139600000000002</c:v>
                </c:pt>
                <c:pt idx="12">
                  <c:v>45.893599999999999</c:v>
                </c:pt>
                <c:pt idx="13">
                  <c:v>44.668199999999999</c:v>
                </c:pt>
                <c:pt idx="14">
                  <c:v>43.689900000000002</c:v>
                </c:pt>
                <c:pt idx="15">
                  <c:v>42.924800000000005</c:v>
                </c:pt>
                <c:pt idx="16">
                  <c:v>42.125099999999996</c:v>
                </c:pt>
                <c:pt idx="17">
                  <c:v>41.341099999999997</c:v>
                </c:pt>
                <c:pt idx="18">
                  <c:v>40.741</c:v>
                </c:pt>
                <c:pt idx="19">
                  <c:v>40.323900000000002</c:v>
                </c:pt>
                <c:pt idx="20">
                  <c:v>40.094999999999999</c:v>
                </c:pt>
                <c:pt idx="21">
                  <c:v>39.985900000000001</c:v>
                </c:pt>
                <c:pt idx="22">
                  <c:v>40.029499999999999</c:v>
                </c:pt>
                <c:pt idx="23">
                  <c:v>40.101199999999999</c:v>
                </c:pt>
                <c:pt idx="24">
                  <c:v>40.1586</c:v>
                </c:pt>
                <c:pt idx="25">
                  <c:v>40.272300000000001</c:v>
                </c:pt>
                <c:pt idx="26">
                  <c:v>40.468800000000002</c:v>
                </c:pt>
                <c:pt idx="27">
                  <c:v>40.767900000000004</c:v>
                </c:pt>
                <c:pt idx="28">
                  <c:v>41.169200000000004</c:v>
                </c:pt>
                <c:pt idx="29">
                  <c:v>41.571399999999997</c:v>
                </c:pt>
                <c:pt idx="30">
                  <c:v>41.899700000000003</c:v>
                </c:pt>
                <c:pt idx="31">
                  <c:v>42.1738</c:v>
                </c:pt>
                <c:pt idx="32">
                  <c:v>42.412700000000001</c:v>
                </c:pt>
                <c:pt idx="33">
                  <c:v>42.64</c:v>
                </c:pt>
                <c:pt idx="34">
                  <c:v>42.878</c:v>
                </c:pt>
                <c:pt idx="35">
                  <c:v>43.151000000000003</c:v>
                </c:pt>
                <c:pt idx="36">
                  <c:v>43.450499999999998</c:v>
                </c:pt>
                <c:pt idx="37">
                  <c:v>43.783300000000004</c:v>
                </c:pt>
                <c:pt idx="38">
                  <c:v>44.173999999999999</c:v>
                </c:pt>
                <c:pt idx="39">
                  <c:v>44.535299999999999</c:v>
                </c:pt>
                <c:pt idx="40">
                  <c:v>44.8628</c:v>
                </c:pt>
                <c:pt idx="41">
                  <c:v>45.233800000000002</c:v>
                </c:pt>
                <c:pt idx="42">
                  <c:v>45.676499999999997</c:v>
                </c:pt>
                <c:pt idx="43">
                  <c:v>46.100900000000003</c:v>
                </c:pt>
                <c:pt idx="44">
                  <c:v>46.479300000000002</c:v>
                </c:pt>
                <c:pt idx="45">
                  <c:v>46.792299999999997</c:v>
                </c:pt>
                <c:pt idx="46">
                  <c:v>47.061199999999999</c:v>
                </c:pt>
                <c:pt idx="47">
                  <c:v>47.3</c:v>
                </c:pt>
                <c:pt idx="48">
                  <c:v>47.563299999999998</c:v>
                </c:pt>
                <c:pt idx="49">
                  <c:v>47.899000000000001</c:v>
                </c:pt>
                <c:pt idx="50">
                  <c:v>48.1449</c:v>
                </c:pt>
                <c:pt idx="51">
                  <c:v>48.432299999999998</c:v>
                </c:pt>
                <c:pt idx="52">
                  <c:v>48.646799999999999</c:v>
                </c:pt>
                <c:pt idx="53">
                  <c:v>48.783799999999999</c:v>
                </c:pt>
                <c:pt idx="54">
                  <c:v>48.930099999999996</c:v>
                </c:pt>
                <c:pt idx="55">
                  <c:v>49.145299999999999</c:v>
                </c:pt>
                <c:pt idx="56">
                  <c:v>49.3566</c:v>
                </c:pt>
                <c:pt idx="57">
                  <c:v>49.581099999999999</c:v>
                </c:pt>
                <c:pt idx="58">
                  <c:v>49.736799999999995</c:v>
                </c:pt>
                <c:pt idx="59">
                  <c:v>49.831399999999995</c:v>
                </c:pt>
                <c:pt idx="60">
                  <c:v>49.862099999999998</c:v>
                </c:pt>
                <c:pt idx="61">
                  <c:v>49.791000000000004</c:v>
                </c:pt>
                <c:pt idx="62">
                  <c:v>49.716700000000003</c:v>
                </c:pt>
                <c:pt idx="63">
                  <c:v>49.686700000000002</c:v>
                </c:pt>
                <c:pt idx="64">
                  <c:v>49.688800000000001</c:v>
                </c:pt>
                <c:pt idx="65">
                  <c:v>49.702400000000004</c:v>
                </c:pt>
                <c:pt idx="66">
                  <c:v>49.744999999999997</c:v>
                </c:pt>
                <c:pt idx="67">
                  <c:v>49.682600000000001</c:v>
                </c:pt>
                <c:pt idx="68">
                  <c:v>49.531599999999997</c:v>
                </c:pt>
                <c:pt idx="69">
                  <c:v>49.3386</c:v>
                </c:pt>
                <c:pt idx="70">
                  <c:v>49.070599999999999</c:v>
                </c:pt>
                <c:pt idx="71">
                  <c:v>48.747500000000002</c:v>
                </c:pt>
                <c:pt idx="72">
                  <c:v>48.4773</c:v>
                </c:pt>
                <c:pt idx="73">
                  <c:v>48.222099999999998</c:v>
                </c:pt>
                <c:pt idx="74">
                  <c:v>47.9373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3.8480999999999996</c:v>
                </c:pt>
                <c:pt idx="1">
                  <c:v>3.8766800000000003</c:v>
                </c:pt>
                <c:pt idx="2">
                  <c:v>3.8936500000000001</c:v>
                </c:pt>
                <c:pt idx="3">
                  <c:v>3.9059899999999996</c:v>
                </c:pt>
                <c:pt idx="4">
                  <c:v>3.9144299999999999</c:v>
                </c:pt>
                <c:pt idx="5">
                  <c:v>3.91886</c:v>
                </c:pt>
                <c:pt idx="6">
                  <c:v>3.92082</c:v>
                </c:pt>
                <c:pt idx="7">
                  <c:v>3.92157</c:v>
                </c:pt>
                <c:pt idx="8">
                  <c:v>3.9225399999999997</c:v>
                </c:pt>
                <c:pt idx="9">
                  <c:v>3.9203100000000002</c:v>
                </c:pt>
                <c:pt idx="10">
                  <c:v>3.9141300000000001</c:v>
                </c:pt>
                <c:pt idx="11">
                  <c:v>3.9045200000000002</c:v>
                </c:pt>
                <c:pt idx="12">
                  <c:v>3.88971</c:v>
                </c:pt>
                <c:pt idx="13">
                  <c:v>3.8725300000000002</c:v>
                </c:pt>
                <c:pt idx="14">
                  <c:v>3.8546000000000005</c:v>
                </c:pt>
                <c:pt idx="15">
                  <c:v>3.8325300000000002</c:v>
                </c:pt>
                <c:pt idx="16">
                  <c:v>3.8097700000000003</c:v>
                </c:pt>
                <c:pt idx="17">
                  <c:v>3.7840499999999997</c:v>
                </c:pt>
                <c:pt idx="18">
                  <c:v>3.75346</c:v>
                </c:pt>
                <c:pt idx="19">
                  <c:v>3.7209199999999996</c:v>
                </c:pt>
                <c:pt idx="20">
                  <c:v>3.6870799999999999</c:v>
                </c:pt>
                <c:pt idx="21">
                  <c:v>3.65124</c:v>
                </c:pt>
                <c:pt idx="22">
                  <c:v>3.6172399999999998</c:v>
                </c:pt>
                <c:pt idx="23">
                  <c:v>3.5848400000000002</c:v>
                </c:pt>
                <c:pt idx="24">
                  <c:v>3.5535699999999997</c:v>
                </c:pt>
                <c:pt idx="25">
                  <c:v>3.5223599999999999</c:v>
                </c:pt>
                <c:pt idx="26">
                  <c:v>3.4926400000000002</c:v>
                </c:pt>
                <c:pt idx="27">
                  <c:v>3.46705</c:v>
                </c:pt>
                <c:pt idx="28">
                  <c:v>3.4455499999999999</c:v>
                </c:pt>
                <c:pt idx="29">
                  <c:v>3.4274100000000001</c:v>
                </c:pt>
                <c:pt idx="30">
                  <c:v>3.4142399999999999</c:v>
                </c:pt>
                <c:pt idx="31">
                  <c:v>3.4024900000000002</c:v>
                </c:pt>
                <c:pt idx="32">
                  <c:v>3.3940999999999999</c:v>
                </c:pt>
                <c:pt idx="33">
                  <c:v>3.3868399999999999</c:v>
                </c:pt>
                <c:pt idx="34">
                  <c:v>3.3837000000000002</c:v>
                </c:pt>
                <c:pt idx="35">
                  <c:v>3.3844600000000002</c:v>
                </c:pt>
                <c:pt idx="36">
                  <c:v>3.38463</c:v>
                </c:pt>
                <c:pt idx="37">
                  <c:v>3.3831199999999999</c:v>
                </c:pt>
                <c:pt idx="38">
                  <c:v>3.37879</c:v>
                </c:pt>
                <c:pt idx="39">
                  <c:v>3.3744200000000002</c:v>
                </c:pt>
                <c:pt idx="40">
                  <c:v>3.3740900000000003</c:v>
                </c:pt>
                <c:pt idx="41">
                  <c:v>3.3742000000000001</c:v>
                </c:pt>
                <c:pt idx="42">
                  <c:v>3.3729800000000001</c:v>
                </c:pt>
                <c:pt idx="43">
                  <c:v>3.3704800000000001</c:v>
                </c:pt>
                <c:pt idx="44">
                  <c:v>3.36463</c:v>
                </c:pt>
                <c:pt idx="45">
                  <c:v>3.3549099999999998</c:v>
                </c:pt>
                <c:pt idx="46">
                  <c:v>3.34206</c:v>
                </c:pt>
                <c:pt idx="47">
                  <c:v>3.3234500000000002</c:v>
                </c:pt>
                <c:pt idx="48">
                  <c:v>3.30376</c:v>
                </c:pt>
                <c:pt idx="49">
                  <c:v>3.2816000000000001</c:v>
                </c:pt>
                <c:pt idx="50">
                  <c:v>3.2651400000000002</c:v>
                </c:pt>
                <c:pt idx="51">
                  <c:v>3.2587799999999998</c:v>
                </c:pt>
                <c:pt idx="52">
                  <c:v>3.2519499999999999</c:v>
                </c:pt>
                <c:pt idx="53">
                  <c:v>3.24424</c:v>
                </c:pt>
                <c:pt idx="54">
                  <c:v>3.2352599999999998</c:v>
                </c:pt>
                <c:pt idx="55">
                  <c:v>3.2248900000000003</c:v>
                </c:pt>
                <c:pt idx="56">
                  <c:v>3.2136100000000001</c:v>
                </c:pt>
                <c:pt idx="57">
                  <c:v>3.1971699999999998</c:v>
                </c:pt>
                <c:pt idx="58">
                  <c:v>3.1766899999999998</c:v>
                </c:pt>
                <c:pt idx="59">
                  <c:v>3.1471399999999998</c:v>
                </c:pt>
                <c:pt idx="60">
                  <c:v>3.1097599999999996</c:v>
                </c:pt>
                <c:pt idx="61">
                  <c:v>3.0714799999999998</c:v>
                </c:pt>
                <c:pt idx="62">
                  <c:v>3.0377900000000002</c:v>
                </c:pt>
                <c:pt idx="63">
                  <c:v>3.00779</c:v>
                </c:pt>
                <c:pt idx="64">
                  <c:v>2.9759099999999998</c:v>
                </c:pt>
                <c:pt idx="65">
                  <c:v>2.9398200000000001</c:v>
                </c:pt>
                <c:pt idx="66">
                  <c:v>2.8983300000000001</c:v>
                </c:pt>
                <c:pt idx="67">
                  <c:v>2.85982</c:v>
                </c:pt>
                <c:pt idx="68">
                  <c:v>2.8214099999999998</c:v>
                </c:pt>
                <c:pt idx="69">
                  <c:v>2.7778900000000002</c:v>
                </c:pt>
                <c:pt idx="70">
                  <c:v>2.73224</c:v>
                </c:pt>
                <c:pt idx="71">
                  <c:v>2.6801399999999997</c:v>
                </c:pt>
                <c:pt idx="72">
                  <c:v>2.6414399999999998</c:v>
                </c:pt>
                <c:pt idx="73">
                  <c:v>2.6116099999999998</c:v>
                </c:pt>
                <c:pt idx="74">
                  <c:v>2.5532300000000001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47.9373</c:v>
                </c:pt>
                <c:pt idx="1">
                  <c:v>47.459800000000001</c:v>
                </c:pt>
                <c:pt idx="2">
                  <c:v>47.197899999999997</c:v>
                </c:pt>
                <c:pt idx="3">
                  <c:v>46.966999999999999</c:v>
                </c:pt>
                <c:pt idx="4">
                  <c:v>46.6892</c:v>
                </c:pt>
                <c:pt idx="5">
                  <c:v>46.433</c:v>
                </c:pt>
                <c:pt idx="6">
                  <c:v>46.198599999999999</c:v>
                </c:pt>
                <c:pt idx="7">
                  <c:v>45.969000000000001</c:v>
                </c:pt>
                <c:pt idx="8">
                  <c:v>45.733200000000004</c:v>
                </c:pt>
                <c:pt idx="9">
                  <c:v>45.4848</c:v>
                </c:pt>
                <c:pt idx="10">
                  <c:v>45.240900000000003</c:v>
                </c:pt>
                <c:pt idx="11">
                  <c:v>44.947199999999995</c:v>
                </c:pt>
                <c:pt idx="12">
                  <c:v>44.625900000000001</c:v>
                </c:pt>
                <c:pt idx="13">
                  <c:v>44.2652</c:v>
                </c:pt>
                <c:pt idx="14">
                  <c:v>43.869</c:v>
                </c:pt>
                <c:pt idx="15">
                  <c:v>43.458599999999997</c:v>
                </c:pt>
                <c:pt idx="16">
                  <c:v>43.029600000000002</c:v>
                </c:pt>
                <c:pt idx="17">
                  <c:v>42.602499999999999</c:v>
                </c:pt>
                <c:pt idx="18">
                  <c:v>42.257300000000001</c:v>
                </c:pt>
                <c:pt idx="19">
                  <c:v>42.078099999999999</c:v>
                </c:pt>
                <c:pt idx="20">
                  <c:v>42.0625</c:v>
                </c:pt>
                <c:pt idx="21">
                  <c:v>42.237299999999998</c:v>
                </c:pt>
                <c:pt idx="22">
                  <c:v>42.506300000000003</c:v>
                </c:pt>
                <c:pt idx="23">
                  <c:v>42.737299999999998</c:v>
                </c:pt>
                <c:pt idx="24">
                  <c:v>42.992399999999996</c:v>
                </c:pt>
                <c:pt idx="25">
                  <c:v>43.349600000000002</c:v>
                </c:pt>
                <c:pt idx="26">
                  <c:v>43.720799999999997</c:v>
                </c:pt>
                <c:pt idx="27">
                  <c:v>44.000399999999999</c:v>
                </c:pt>
                <c:pt idx="28">
                  <c:v>44.2119</c:v>
                </c:pt>
                <c:pt idx="29">
                  <c:v>44.391500000000001</c:v>
                </c:pt>
                <c:pt idx="30">
                  <c:v>44.452799999999996</c:v>
                </c:pt>
                <c:pt idx="31">
                  <c:v>44.445299999999996</c:v>
                </c:pt>
                <c:pt idx="32">
                  <c:v>44.399000000000001</c:v>
                </c:pt>
                <c:pt idx="33">
                  <c:v>44.403300000000002</c:v>
                </c:pt>
                <c:pt idx="34">
                  <c:v>44.381900000000002</c:v>
                </c:pt>
                <c:pt idx="35">
                  <c:v>44.285699999999999</c:v>
                </c:pt>
                <c:pt idx="36">
                  <c:v>44.222499999999997</c:v>
                </c:pt>
                <c:pt idx="37">
                  <c:v>44.237400000000001</c:v>
                </c:pt>
                <c:pt idx="38">
                  <c:v>44.226500000000001</c:v>
                </c:pt>
                <c:pt idx="39">
                  <c:v>44.217700000000001</c:v>
                </c:pt>
                <c:pt idx="40">
                  <c:v>44.148299999999999</c:v>
                </c:pt>
                <c:pt idx="41">
                  <c:v>44.059799999999996</c:v>
                </c:pt>
                <c:pt idx="42">
                  <c:v>43.9953</c:v>
                </c:pt>
                <c:pt idx="43">
                  <c:v>43.914400000000001</c:v>
                </c:pt>
                <c:pt idx="44">
                  <c:v>43.808399999999999</c:v>
                </c:pt>
                <c:pt idx="45">
                  <c:v>43.652499999999996</c:v>
                </c:pt>
                <c:pt idx="46">
                  <c:v>43.464700000000001</c:v>
                </c:pt>
                <c:pt idx="47">
                  <c:v>43.236499999999999</c:v>
                </c:pt>
                <c:pt idx="48">
                  <c:v>42.987299999999998</c:v>
                </c:pt>
                <c:pt idx="49">
                  <c:v>42.751300000000001</c:v>
                </c:pt>
                <c:pt idx="50">
                  <c:v>42.598100000000002</c:v>
                </c:pt>
                <c:pt idx="51">
                  <c:v>42.514400000000002</c:v>
                </c:pt>
                <c:pt idx="52">
                  <c:v>42.407699999999998</c:v>
                </c:pt>
                <c:pt idx="53">
                  <c:v>42.300699999999999</c:v>
                </c:pt>
                <c:pt idx="54">
                  <c:v>42.210599999999999</c:v>
                </c:pt>
                <c:pt idx="55">
                  <c:v>42.123600000000003</c:v>
                </c:pt>
                <c:pt idx="56">
                  <c:v>42.046599999999998</c:v>
                </c:pt>
                <c:pt idx="57">
                  <c:v>42.022999999999996</c:v>
                </c:pt>
                <c:pt idx="58">
                  <c:v>41.9955</c:v>
                </c:pt>
                <c:pt idx="59">
                  <c:v>42.096400000000003</c:v>
                </c:pt>
                <c:pt idx="60">
                  <c:v>42.350100000000005</c:v>
                </c:pt>
                <c:pt idx="61">
                  <c:v>42.6477</c:v>
                </c:pt>
                <c:pt idx="62">
                  <c:v>42.8414</c:v>
                </c:pt>
                <c:pt idx="63">
                  <c:v>43.109299999999998</c:v>
                </c:pt>
                <c:pt idx="64">
                  <c:v>43.428699999999999</c:v>
                </c:pt>
                <c:pt idx="65">
                  <c:v>43.8568</c:v>
                </c:pt>
                <c:pt idx="66">
                  <c:v>44.492800000000003</c:v>
                </c:pt>
                <c:pt idx="67">
                  <c:v>44.994900000000001</c:v>
                </c:pt>
                <c:pt idx="68">
                  <c:v>45.512300000000003</c:v>
                </c:pt>
                <c:pt idx="69">
                  <c:v>46.075500000000005</c:v>
                </c:pt>
                <c:pt idx="70">
                  <c:v>46.6158</c:v>
                </c:pt>
                <c:pt idx="71">
                  <c:v>47.214500000000001</c:v>
                </c:pt>
                <c:pt idx="72">
                  <c:v>47.582299999999996</c:v>
                </c:pt>
                <c:pt idx="73">
                  <c:v>47.806800000000003</c:v>
                </c:pt>
                <c:pt idx="74">
                  <c:v>48.484100000000005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1.79789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58.511599999999994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3.1211309459459464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46.787181081081094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3.4129378378378386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44.118786486486499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3.4129378378378386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44.118786486486499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573</v>
      </c>
      <c r="D5" s="151"/>
      <c r="E5" s="151"/>
      <c r="F5" s="152"/>
      <c r="G5" s="48" t="str">
        <f>lang!B27</f>
        <v>编号</v>
      </c>
      <c r="H5" s="150">
        <v>4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572</v>
      </c>
      <c r="D6" s="188"/>
      <c r="E6" s="188"/>
      <c r="F6" s="189"/>
      <c r="G6" s="49" t="str">
        <f>lang!B28</f>
        <v xml:space="preserve"> 日期</v>
      </c>
      <c r="H6" s="172">
        <f>FH_info!A2</f>
        <v>43628.385162037041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54</v>
      </c>
      <c r="D7" s="191"/>
      <c r="E7" s="191"/>
      <c r="F7" s="192"/>
      <c r="G7" s="50" t="str">
        <f>lang!B29</f>
        <v>误差率（%）</v>
      </c>
      <c r="H7" s="175">
        <f>M!B17*1</f>
        <v>17.7027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37.988500000000002</v>
      </c>
      <c r="O8" s="59">
        <f>M!C5*1</f>
        <v>7.2086699999999997</v>
      </c>
      <c r="P8" s="59">
        <f>M!D5*1</f>
        <v>18.975899999999999</v>
      </c>
      <c r="Q8" s="59">
        <f>M!E5*1</f>
        <v>20</v>
      </c>
      <c r="R8" s="59">
        <f>M!F5*1</f>
        <v>11.0632</v>
      </c>
      <c r="S8" s="59">
        <f>M!G5*1</f>
        <v>50</v>
      </c>
      <c r="T8" s="59">
        <f>M!H5*1</f>
        <v>44.092599999999997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28.0106</v>
      </c>
      <c r="O9" s="59">
        <f>M!C6*1</f>
        <v>4.5524500000000003</v>
      </c>
      <c r="P9" s="59">
        <f>M!D6*1</f>
        <v>16.252600000000001</v>
      </c>
      <c r="Q9" s="59">
        <f>M!E6*1</f>
        <v>20</v>
      </c>
      <c r="R9" s="59">
        <f>M!F6*1</f>
        <v>20.351199999999999</v>
      </c>
      <c r="S9" s="59">
        <f>M!G6*1</f>
        <v>40</v>
      </c>
      <c r="T9" s="59">
        <f>M!H6*1</f>
        <v>36.286200000000001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11.0632</v>
      </c>
      <c r="D10" s="99">
        <f>N8</f>
        <v>37.988500000000002</v>
      </c>
      <c r="E10" s="100">
        <f>T8</f>
        <v>44.092599999999997</v>
      </c>
      <c r="F10" s="91">
        <f>P8</f>
        <v>18.975899999999999</v>
      </c>
      <c r="G10" s="81" t="str">
        <f>CONCATENATE(M9,"
(20 ~ 40)")</f>
        <v>压力
(20 ~ 40)</v>
      </c>
      <c r="H10" s="98">
        <f>R9</f>
        <v>20.351199999999999</v>
      </c>
      <c r="I10" s="108">
        <f>N9</f>
        <v>28.0106</v>
      </c>
      <c r="J10" s="98">
        <f>T9</f>
        <v>36.286200000000001</v>
      </c>
      <c r="K10" s="92">
        <f>P9</f>
        <v>16.252600000000001</v>
      </c>
      <c r="L10" s="6"/>
      <c r="M10" s="27" t="str">
        <f>lang!B16</f>
        <v>焦虑</v>
      </c>
      <c r="N10" s="59">
        <f>M!B7*1</f>
        <v>24.0824</v>
      </c>
      <c r="O10" s="59">
        <f>M!C7*1</f>
        <v>9.9814000000000007</v>
      </c>
      <c r="P10" s="59">
        <f>M!D7*1</f>
        <v>41.446899999999999</v>
      </c>
      <c r="Q10" s="59">
        <f>M!E7*1</f>
        <v>15</v>
      </c>
      <c r="R10" s="59">
        <f>M!F7*1</f>
        <v>3.1100400000000001</v>
      </c>
      <c r="S10" s="59">
        <f>M!G7*1</f>
        <v>40</v>
      </c>
      <c r="T10" s="59">
        <f>M!H7*1</f>
        <v>44.389600000000002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3.1100400000000001</v>
      </c>
      <c r="D11" s="102">
        <f>N10</f>
        <v>24.0824</v>
      </c>
      <c r="E11" s="103">
        <f>T10</f>
        <v>44.389600000000002</v>
      </c>
      <c r="F11" s="94">
        <f>P10</f>
        <v>41.446899999999999</v>
      </c>
      <c r="G11" s="52" t="str">
        <f>CONCATENATE(M11,"
(20 ~ 50)")</f>
        <v>可疑
(20 ~ 50)</v>
      </c>
      <c r="H11" s="101">
        <f>R11</f>
        <v>21.842700000000001</v>
      </c>
      <c r="I11" s="104">
        <f>N11</f>
        <v>29.022600000000001</v>
      </c>
      <c r="J11" s="101">
        <f>T11</f>
        <v>37.353499999999997</v>
      </c>
      <c r="K11" s="95">
        <f>P11</f>
        <v>12.3344</v>
      </c>
      <c r="L11" s="4"/>
      <c r="M11" s="27" t="str">
        <f>lang!B17</f>
        <v>可疑</v>
      </c>
      <c r="N11" s="59">
        <f>M!B8*1</f>
        <v>29.022600000000001</v>
      </c>
      <c r="O11" s="59">
        <f>M!C8*1</f>
        <v>3.5797699999999999</v>
      </c>
      <c r="P11" s="59">
        <f>M!D8*1</f>
        <v>12.3344</v>
      </c>
      <c r="Q11" s="59">
        <f>M!E8*1</f>
        <v>20</v>
      </c>
      <c r="R11" s="59">
        <f>M!F8*1</f>
        <v>21.842700000000001</v>
      </c>
      <c r="S11" s="59">
        <f>M!G8*1</f>
        <v>50</v>
      </c>
      <c r="T11" s="59">
        <f>M!H8*1</f>
        <v>37.353499999999997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49.4542</v>
      </c>
      <c r="D12" s="104">
        <f>N12</f>
        <v>66.457999999999998</v>
      </c>
      <c r="E12" s="101">
        <f>T12</f>
        <v>78.685299999999998</v>
      </c>
      <c r="F12" s="93">
        <f>P12</f>
        <v>9.6263799999999993</v>
      </c>
      <c r="G12" s="52" t="str">
        <f>CONCATENATE(M13,"
(40 ~ 100)")</f>
        <v>自信
(40 ~ 100)</v>
      </c>
      <c r="H12" s="101">
        <f>R13</f>
        <v>74.193700000000007</v>
      </c>
      <c r="I12" s="104">
        <f>N13</f>
        <v>78.603899999999996</v>
      </c>
      <c r="J12" s="101">
        <f>T13</f>
        <v>84.590100000000007</v>
      </c>
      <c r="K12" s="95">
        <f>P13</f>
        <v>3.1928999999999998</v>
      </c>
      <c r="L12" s="4"/>
      <c r="M12" s="27" t="str">
        <f>lang!B18</f>
        <v>平衡</v>
      </c>
      <c r="N12" s="59">
        <f>M!B9*1</f>
        <v>66.457999999999998</v>
      </c>
      <c r="O12" s="59">
        <f>M!C9*1</f>
        <v>6.3975</v>
      </c>
      <c r="P12" s="59">
        <f>M!D9*1</f>
        <v>9.6263799999999993</v>
      </c>
      <c r="Q12" s="59">
        <f>M!E9*1</f>
        <v>50</v>
      </c>
      <c r="R12" s="59">
        <f>M!F9*1</f>
        <v>49.4542</v>
      </c>
      <c r="S12" s="59">
        <f>M!G9*1</f>
        <v>100</v>
      </c>
      <c r="T12" s="59">
        <f>M!H9*1</f>
        <v>78.685299999999998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6.2709900000000003</v>
      </c>
      <c r="D13" s="102">
        <f>N14</f>
        <v>22.685500000000001</v>
      </c>
      <c r="E13" s="103">
        <f>T14</f>
        <v>30.685400000000001</v>
      </c>
      <c r="F13" s="94">
        <f>P14</f>
        <v>25.491199999999999</v>
      </c>
      <c r="G13" s="52" t="str">
        <f>CONCATENATE(M15,"
(50 ~ 100)")</f>
        <v>自我调节
(50 ~ 100)</v>
      </c>
      <c r="H13" s="101">
        <f>R15</f>
        <v>63.87</v>
      </c>
      <c r="I13" s="104">
        <f>N15</f>
        <v>73.707999999999998</v>
      </c>
      <c r="J13" s="101">
        <f>T15</f>
        <v>79.326899999999995</v>
      </c>
      <c r="K13" s="95">
        <f>P15</f>
        <v>5.0753700000000004</v>
      </c>
      <c r="L13" s="4"/>
      <c r="M13" s="27" t="str">
        <f>lang!B19</f>
        <v>自信</v>
      </c>
      <c r="N13" s="59">
        <f>M!B10*1</f>
        <v>78.603899999999996</v>
      </c>
      <c r="O13" s="59">
        <f>M!C10*1</f>
        <v>2.5097499999999999</v>
      </c>
      <c r="P13" s="59">
        <f>M!D10*1</f>
        <v>3.1928999999999998</v>
      </c>
      <c r="Q13" s="59">
        <f>M!E10*1</f>
        <v>40</v>
      </c>
      <c r="R13" s="59">
        <f>M!F10*1</f>
        <v>74.193700000000007</v>
      </c>
      <c r="S13" s="59">
        <f>M!G10*1</f>
        <v>100</v>
      </c>
      <c r="T13" s="59">
        <f>M!H10*1</f>
        <v>84.590100000000007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13.054399999999999</v>
      </c>
      <c r="D14" s="106">
        <f>N16</f>
        <v>22.118600000000001</v>
      </c>
      <c r="E14" s="107">
        <f>T16</f>
        <v>32.039299999999997</v>
      </c>
      <c r="F14" s="96">
        <f>P16</f>
        <v>18.2193</v>
      </c>
      <c r="G14" s="112" t="str">
        <f>CONCATENATE(M17,"
(10 ~ 50)")</f>
        <v>神经质
(10 ~ 50)</v>
      </c>
      <c r="H14" s="105">
        <f>R17</f>
        <v>1.64849</v>
      </c>
      <c r="I14" s="106">
        <f>N17</f>
        <v>40.298400000000001</v>
      </c>
      <c r="J14" s="107">
        <f>T17</f>
        <v>42.058</v>
      </c>
      <c r="K14" s="97">
        <f>P17</f>
        <v>26.4117</v>
      </c>
      <c r="M14" s="27" t="str">
        <f>lang!B20</f>
        <v>活力</v>
      </c>
      <c r="N14" s="59">
        <f>M!B11*1</f>
        <v>22.685500000000001</v>
      </c>
      <c r="O14" s="59">
        <f>M!C11*1</f>
        <v>5.7828099999999996</v>
      </c>
      <c r="P14" s="59">
        <f>M!D11*1</f>
        <v>25.491199999999999</v>
      </c>
      <c r="Q14" s="59">
        <f>M!E11*1</f>
        <v>10</v>
      </c>
      <c r="R14" s="59">
        <f>M!F11*1</f>
        <v>6.2709900000000003</v>
      </c>
      <c r="S14" s="59">
        <f>M!G11*1</f>
        <v>50</v>
      </c>
      <c r="T14" s="59">
        <f>M!H11*1</f>
        <v>30.685400000000001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73.707999999999998</v>
      </c>
      <c r="O15" s="59">
        <f>M!C12*1</f>
        <v>3.7409500000000002</v>
      </c>
      <c r="P15" s="59">
        <f>M!D12*1</f>
        <v>5.0753700000000004</v>
      </c>
      <c r="Q15" s="59">
        <f>M!E12*1</f>
        <v>50</v>
      </c>
      <c r="R15" s="59">
        <f>M!F12*1</f>
        <v>63.87</v>
      </c>
      <c r="S15" s="59">
        <f>M!G12*1</f>
        <v>100</v>
      </c>
      <c r="T15" s="59">
        <f>M!H12*1</f>
        <v>79.326899999999995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22.118600000000001</v>
      </c>
      <c r="O16" s="59">
        <f>M!C13*1</f>
        <v>4.0298400000000001</v>
      </c>
      <c r="P16" s="59">
        <f>M!D13*1</f>
        <v>18.2193</v>
      </c>
      <c r="Q16" s="59">
        <f>M!E13*1</f>
        <v>10</v>
      </c>
      <c r="R16" s="59">
        <f>M!F13*1</f>
        <v>13.054399999999999</v>
      </c>
      <c r="S16" s="59">
        <f>M!G13*1</f>
        <v>25</v>
      </c>
      <c r="T16" s="59">
        <f>M!H13*1</f>
        <v>32.039299999999997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40.298400000000001</v>
      </c>
      <c r="O17" s="59">
        <f>M!C14*1</f>
        <v>10.6435</v>
      </c>
      <c r="P17" s="59">
        <f>M!D14*1</f>
        <v>26.4117</v>
      </c>
      <c r="Q17" s="59">
        <f>M!E14*1</f>
        <v>10</v>
      </c>
      <c r="R17" s="59">
        <f>M!F14*1</f>
        <v>1.64849</v>
      </c>
      <c r="S17" s="59">
        <f>M!G14*1</f>
        <v>50</v>
      </c>
      <c r="T17" s="59">
        <f>M!H14*1</f>
        <v>42.058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60.363849999999992</v>
      </c>
      <c r="O18" s="22">
        <f>N18/(N18+N19+N20)</f>
        <v>0.49744259039315525</v>
      </c>
      <c r="P18" s="65">
        <f>SUM(P12:P15)/4</f>
        <v>10.846462499999999</v>
      </c>
      <c r="Q18" s="22">
        <f>P18/(P18+P19+P20)</f>
        <v>0.19573360089308897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29.776025000000001</v>
      </c>
      <c r="O19" s="22">
        <f>N19/(N18+N19+N20)</f>
        <v>0.24537638019462563</v>
      </c>
      <c r="P19" s="18">
        <f>SUM(P8:P11)/4</f>
        <v>22.25245</v>
      </c>
      <c r="Q19" s="22">
        <f>P19/(P18+P19+P20)</f>
        <v>0.40156430423222478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31.208500000000001</v>
      </c>
      <c r="O20" s="22">
        <f>N20/(N18+N19+N20)</f>
        <v>0.25718102941221921</v>
      </c>
      <c r="P20" s="18">
        <f>(P16+P17)/2</f>
        <v>22.3155</v>
      </c>
      <c r="Q20" s="22">
        <f>P20/(P18+P19+P20)</f>
        <v>0.40270209487468628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-5.5864635135135121E-2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1.6304983544265856</v>
      </c>
      <c r="D25" s="44" t="str">
        <f>lang!B11</f>
        <v>频率方差</v>
      </c>
      <c r="E25" s="142">
        <f ca="1">FH!L3</f>
        <v>0.59448324757145332</v>
      </c>
      <c r="F25" s="143"/>
      <c r="G25" s="134" t="str">
        <f>lang!B12</f>
        <v>生理变化率</v>
      </c>
      <c r="H25" s="135"/>
      <c r="I25" s="62" t="str">
        <f ca="1">CONCATENATE(info!M7,"-",info!M8)</f>
        <v>40-58.5</v>
      </c>
      <c r="J25" s="42" t="str">
        <f>lang!B13</f>
        <v>千卡l/分钟</v>
      </c>
      <c r="K25" s="41" t="str">
        <f ca="1">CONCATENATE(info!M5,"-",info!M6)</f>
        <v>1.8-3.9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53.703299999999999</v>
      </c>
      <c r="F28" s="164"/>
      <c r="G28" s="178" t="str">
        <f>lang!B33</f>
        <v>稳定性</v>
      </c>
      <c r="H28" s="179"/>
      <c r="I28" s="180"/>
      <c r="J28" s="181">
        <f>M!B19*100</f>
        <v>61.127800000000001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43628.385162037041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3.4504000000000019</v>
      </c>
      <c r="O7" s="59">
        <f t="shared" ref="O7:T7" si="2">AG7-X7</f>
        <v>-5.9246000000000008</v>
      </c>
      <c r="P7" s="59">
        <f t="shared" si="2"/>
        <v>-17.272639999999999</v>
      </c>
      <c r="Q7" s="59">
        <f t="shared" si="2"/>
        <v>0</v>
      </c>
      <c r="R7" s="59">
        <f t="shared" si="2"/>
        <v>21.6203</v>
      </c>
      <c r="S7" s="59">
        <f t="shared" si="2"/>
        <v>0</v>
      </c>
      <c r="T7" s="59">
        <f t="shared" si="2"/>
        <v>-1.3414999999999964</v>
      </c>
      <c r="U7" s="14"/>
      <c r="V7" s="27" t="str">
        <f>M7</f>
        <v>攻击性</v>
      </c>
      <c r="W7" s="59">
        <f>'M1'!B5*1</f>
        <v>35.5959</v>
      </c>
      <c r="X7" s="59">
        <f>'M1'!C5*1</f>
        <v>8.4568100000000008</v>
      </c>
      <c r="Y7" s="59">
        <f>'M1'!D5*1</f>
        <v>23.7578</v>
      </c>
      <c r="Z7" s="59">
        <f>'M1'!E5*1</f>
        <v>20</v>
      </c>
      <c r="AA7" s="59">
        <f>'M1'!F5*1</f>
        <v>11.0632</v>
      </c>
      <c r="AB7" s="59">
        <f>'M1'!G5*1</f>
        <v>50</v>
      </c>
      <c r="AC7" s="59">
        <f>'M1'!H5*1</f>
        <v>44.092599999999997</v>
      </c>
      <c r="AE7" s="27" t="str">
        <f>V7</f>
        <v>攻击性</v>
      </c>
      <c r="AF7" s="59">
        <f>'M2'!B5*1</f>
        <v>39.046300000000002</v>
      </c>
      <c r="AG7" s="59">
        <f>'M2'!C5*1</f>
        <v>2.5322100000000001</v>
      </c>
      <c r="AH7" s="59">
        <f>'M2'!D5*1</f>
        <v>6.4851599999999996</v>
      </c>
      <c r="AI7" s="59">
        <f>'M2'!E5*1</f>
        <v>20</v>
      </c>
      <c r="AJ7" s="59">
        <f>'M2'!F5*1</f>
        <v>32.683500000000002</v>
      </c>
      <c r="AK7" s="59">
        <f>'M2'!G5*1</f>
        <v>50</v>
      </c>
      <c r="AL7" s="59">
        <f>'M2'!H5*1</f>
        <v>42.751100000000001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-7.9039000000000001</v>
      </c>
      <c r="O8" s="59">
        <f t="shared" ref="O8:O16" si="5">AG8-X8</f>
        <v>-0.1878700000000002</v>
      </c>
      <c r="P8" s="59">
        <f t="shared" ref="P8:P16" si="6">AH8-Y8</f>
        <v>1.9752700000000001</v>
      </c>
      <c r="Q8" s="59">
        <f t="shared" ref="Q8:Q16" si="7">AI8-Z8</f>
        <v>0</v>
      </c>
      <c r="R8" s="59">
        <f t="shared" ref="R8:R16" si="8">AJ8-AA8</f>
        <v>-6.8017000000000003</v>
      </c>
      <c r="S8" s="59">
        <f t="shared" ref="S8:S16" si="9">AK8-AB8</f>
        <v>0</v>
      </c>
      <c r="T8" s="59">
        <f t="shared" ref="T8:T16" si="10">AL8-AC8</f>
        <v>-6.5321999999999996</v>
      </c>
      <c r="U8" s="15"/>
      <c r="V8" s="27" t="str">
        <f t="shared" ref="V8:V16" si="11">M8</f>
        <v>压力</v>
      </c>
      <c r="W8" s="59">
        <f>'M1'!B6*1</f>
        <v>32.564900000000002</v>
      </c>
      <c r="X8" s="59">
        <f>'M1'!C6*1</f>
        <v>2.78105</v>
      </c>
      <c r="Y8" s="59">
        <f>'M1'!D6*1</f>
        <v>8.5400299999999998</v>
      </c>
      <c r="Z8" s="59">
        <f>'M1'!E6*1</f>
        <v>20</v>
      </c>
      <c r="AA8" s="59">
        <f>'M1'!F6*1</f>
        <v>27.152899999999999</v>
      </c>
      <c r="AB8" s="59">
        <f>'M1'!G6*1</f>
        <v>40</v>
      </c>
      <c r="AC8" s="59">
        <f>'M1'!H6*1</f>
        <v>36.286200000000001</v>
      </c>
      <c r="AE8" s="27" t="str">
        <f t="shared" ref="AE8:AE16" si="12">V8</f>
        <v>压力</v>
      </c>
      <c r="AF8" s="59">
        <f>'M2'!B6*1</f>
        <v>24.661000000000001</v>
      </c>
      <c r="AG8" s="59">
        <f>'M2'!C6*1</f>
        <v>2.5931799999999998</v>
      </c>
      <c r="AH8" s="59">
        <f>'M2'!D6*1</f>
        <v>10.5153</v>
      </c>
      <c r="AI8" s="59">
        <f>'M2'!E6*1</f>
        <v>20</v>
      </c>
      <c r="AJ8" s="59">
        <f>'M2'!F6*1</f>
        <v>20.351199999999999</v>
      </c>
      <c r="AK8" s="59">
        <f>'M2'!G6*1</f>
        <v>40</v>
      </c>
      <c r="AL8" s="59">
        <f>'M2'!H6*1</f>
        <v>29.754000000000001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21.6203</v>
      </c>
      <c r="D9" s="78">
        <f>N7</f>
        <v>3.4504000000000019</v>
      </c>
      <c r="E9" s="79">
        <f>T7</f>
        <v>-1.3414999999999964</v>
      </c>
      <c r="F9" s="79">
        <f>P7</f>
        <v>-17.272639999999999</v>
      </c>
      <c r="G9" s="80" t="str">
        <f>CONCATENATE(M8,"
(20 ~ 40)")</f>
        <v>压力
(20 ~ 40)</v>
      </c>
      <c r="H9" s="77">
        <f>R8</f>
        <v>-6.8017000000000003</v>
      </c>
      <c r="I9" s="81">
        <f>N8</f>
        <v>-7.9039000000000001</v>
      </c>
      <c r="J9" s="77">
        <f>T8</f>
        <v>-6.5321999999999996</v>
      </c>
      <c r="K9" s="82">
        <f>P8</f>
        <v>1.9752700000000001</v>
      </c>
      <c r="L9" s="6"/>
      <c r="M9" s="27" t="str">
        <f>lang!B16</f>
        <v>焦虑</v>
      </c>
      <c r="N9" s="59">
        <f t="shared" si="4"/>
        <v>-6.2152999999999992</v>
      </c>
      <c r="O9" s="59">
        <f t="shared" si="5"/>
        <v>0.8806200000000004</v>
      </c>
      <c r="P9" s="59">
        <f t="shared" si="6"/>
        <v>11.785999999999998</v>
      </c>
      <c r="Q9" s="59">
        <f t="shared" si="7"/>
        <v>0</v>
      </c>
      <c r="R9" s="59">
        <f t="shared" si="8"/>
        <v>-10.42126</v>
      </c>
      <c r="S9" s="59">
        <f t="shared" si="9"/>
        <v>0</v>
      </c>
      <c r="T9" s="59">
        <f t="shared" si="10"/>
        <v>-3.9930999999999983</v>
      </c>
      <c r="U9" s="14"/>
      <c r="V9" s="27" t="str">
        <f t="shared" si="11"/>
        <v>焦虑</v>
      </c>
      <c r="W9" s="59">
        <f>'M1'!B7*1</f>
        <v>29.413499999999999</v>
      </c>
      <c r="X9" s="59">
        <f>'M1'!C7*1</f>
        <v>8.7717399999999994</v>
      </c>
      <c r="Y9" s="59">
        <f>'M1'!D7*1</f>
        <v>29.822199999999999</v>
      </c>
      <c r="Z9" s="59">
        <f>'M1'!E7*1</f>
        <v>15</v>
      </c>
      <c r="AA9" s="59">
        <f>'M1'!F7*1</f>
        <v>13.5313</v>
      </c>
      <c r="AB9" s="59">
        <f>'M1'!G7*1</f>
        <v>40</v>
      </c>
      <c r="AC9" s="59">
        <f>'M1'!H7*1</f>
        <v>44.389600000000002</v>
      </c>
      <c r="AE9" s="27" t="str">
        <f t="shared" si="12"/>
        <v>焦虑</v>
      </c>
      <c r="AF9" s="59">
        <f>'M2'!B7*1</f>
        <v>23.1982</v>
      </c>
      <c r="AG9" s="59">
        <f>'M2'!C7*1</f>
        <v>9.6523599999999998</v>
      </c>
      <c r="AH9" s="59">
        <f>'M2'!D7*1</f>
        <v>41.608199999999997</v>
      </c>
      <c r="AI9" s="59">
        <f>'M2'!E7*1</f>
        <v>15</v>
      </c>
      <c r="AJ9" s="59">
        <f>'M2'!F7*1</f>
        <v>3.1100400000000001</v>
      </c>
      <c r="AK9" s="59">
        <f>'M2'!G7*1</f>
        <v>40</v>
      </c>
      <c r="AL9" s="59">
        <f>'M2'!H7*1</f>
        <v>40.396500000000003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-10.42126</v>
      </c>
      <c r="D10" s="51">
        <f>N9</f>
        <v>-6.2152999999999992</v>
      </c>
      <c r="E10" s="53">
        <f>T9</f>
        <v>-3.9930999999999983</v>
      </c>
      <c r="F10" s="53">
        <f>P9</f>
        <v>11.785999999999998</v>
      </c>
      <c r="G10" s="73" t="str">
        <f>CONCATENATE(M10,"
(20 ~ 50)")</f>
        <v>可疑
(20 ~ 50)</v>
      </c>
      <c r="H10" s="24">
        <f>R10</f>
        <v>0.42399999999999949</v>
      </c>
      <c r="I10" s="52">
        <f>N10</f>
        <v>0.7649000000000008</v>
      </c>
      <c r="J10" s="24">
        <f>T10</f>
        <v>-5.3625999999999969</v>
      </c>
      <c r="K10" s="25">
        <f>P10</f>
        <v>-3.5085499999999996</v>
      </c>
      <c r="L10" s="4"/>
      <c r="M10" s="27" t="str">
        <f>lang!B17</f>
        <v>可疑</v>
      </c>
      <c r="N10" s="59">
        <f t="shared" si="4"/>
        <v>0.7649000000000008</v>
      </c>
      <c r="O10" s="59">
        <f t="shared" si="5"/>
        <v>-0.92174000000000023</v>
      </c>
      <c r="P10" s="59">
        <f t="shared" si="6"/>
        <v>-3.5085499999999996</v>
      </c>
      <c r="Q10" s="59">
        <f t="shared" si="7"/>
        <v>0</v>
      </c>
      <c r="R10" s="59">
        <f t="shared" si="8"/>
        <v>0.42399999999999949</v>
      </c>
      <c r="S10" s="59">
        <f t="shared" si="9"/>
        <v>0</v>
      </c>
      <c r="T10" s="59">
        <f t="shared" si="10"/>
        <v>-5.3625999999999969</v>
      </c>
      <c r="U10" s="14"/>
      <c r="V10" s="27" t="str">
        <f t="shared" si="11"/>
        <v>可疑</v>
      </c>
      <c r="W10" s="59">
        <f>'M1'!B8*1</f>
        <v>28.447800000000001</v>
      </c>
      <c r="X10" s="59">
        <f>'M1'!C8*1</f>
        <v>3.8385500000000001</v>
      </c>
      <c r="Y10" s="59">
        <f>'M1'!D8*1</f>
        <v>13.4933</v>
      </c>
      <c r="Z10" s="59">
        <f>'M1'!E8*1</f>
        <v>20</v>
      </c>
      <c r="AA10" s="59">
        <f>'M1'!F8*1</f>
        <v>21.842700000000001</v>
      </c>
      <c r="AB10" s="59">
        <f>'M1'!G8*1</f>
        <v>50</v>
      </c>
      <c r="AC10" s="59">
        <f>'M1'!H8*1</f>
        <v>37.353499999999997</v>
      </c>
      <c r="AE10" s="27" t="str">
        <f t="shared" si="12"/>
        <v>可疑</v>
      </c>
      <c r="AF10" s="59">
        <f>'M2'!B8*1</f>
        <v>29.212700000000002</v>
      </c>
      <c r="AG10" s="59">
        <f>'M2'!C8*1</f>
        <v>2.9168099999999999</v>
      </c>
      <c r="AH10" s="59">
        <f>'M2'!D8*1</f>
        <v>9.98475</v>
      </c>
      <c r="AI10" s="59">
        <f>'M2'!E8*1</f>
        <v>20</v>
      </c>
      <c r="AJ10" s="59">
        <f>'M2'!F8*1</f>
        <v>22.2667</v>
      </c>
      <c r="AK10" s="59">
        <f>'M2'!G8*1</f>
        <v>50</v>
      </c>
      <c r="AL10" s="59">
        <f>'M2'!H8*1</f>
        <v>31.9909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6.4194000000000031</v>
      </c>
      <c r="D11" s="52">
        <f>N11</f>
        <v>4.8965000000000032</v>
      </c>
      <c r="E11" s="24">
        <f>T11</f>
        <v>-0.77949999999999875</v>
      </c>
      <c r="F11" s="24">
        <f>P11</f>
        <v>-5.1853899999999999</v>
      </c>
      <c r="G11" s="73" t="str">
        <f>CONCATENATE(M12,"
(40 ~ 100)")</f>
        <v>自信
(40 ~ 100)</v>
      </c>
      <c r="H11" s="24">
        <f>R12</f>
        <v>2.1974999999999909</v>
      </c>
      <c r="I11" s="52">
        <f>N12</f>
        <v>3.762999999999991</v>
      </c>
      <c r="J11" s="24">
        <f>T12</f>
        <v>4.3166000000000082</v>
      </c>
      <c r="K11" s="25">
        <f>P12</f>
        <v>0.83414999999999995</v>
      </c>
      <c r="L11" s="4"/>
      <c r="M11" s="27" t="str">
        <f>lang!B18</f>
        <v>平衡</v>
      </c>
      <c r="N11" s="59">
        <f t="shared" si="4"/>
        <v>4.8965000000000032</v>
      </c>
      <c r="O11" s="59">
        <f t="shared" si="5"/>
        <v>-2.9078400000000002</v>
      </c>
      <c r="P11" s="59">
        <f t="shared" si="6"/>
        <v>-5.1853899999999999</v>
      </c>
      <c r="Q11" s="59">
        <f t="shared" si="7"/>
        <v>0</v>
      </c>
      <c r="R11" s="59">
        <f t="shared" si="8"/>
        <v>6.4194000000000031</v>
      </c>
      <c r="S11" s="59">
        <f t="shared" si="9"/>
        <v>0</v>
      </c>
      <c r="T11" s="59">
        <f t="shared" si="10"/>
        <v>-0.77949999999999875</v>
      </c>
      <c r="U11" s="14"/>
      <c r="V11" s="27" t="str">
        <f t="shared" si="11"/>
        <v>平衡</v>
      </c>
      <c r="W11" s="59">
        <f>'M1'!B9*1</f>
        <v>62.644599999999997</v>
      </c>
      <c r="X11" s="59">
        <f>'M1'!C9*1</f>
        <v>7.6053300000000004</v>
      </c>
      <c r="Y11" s="59">
        <f>'M1'!D9*1</f>
        <v>12.1404</v>
      </c>
      <c r="Z11" s="59">
        <f>'M1'!E9*1</f>
        <v>50</v>
      </c>
      <c r="AA11" s="59">
        <f>'M1'!F9*1</f>
        <v>49.4542</v>
      </c>
      <c r="AB11" s="59">
        <f>'M1'!G9*1</f>
        <v>100</v>
      </c>
      <c r="AC11" s="59">
        <f>'M1'!H9*1</f>
        <v>78.685299999999998</v>
      </c>
      <c r="AE11" s="27" t="str">
        <f t="shared" si="12"/>
        <v>平衡</v>
      </c>
      <c r="AF11" s="59">
        <f>'M2'!B9*1</f>
        <v>67.5411</v>
      </c>
      <c r="AG11" s="59">
        <f>'M2'!C9*1</f>
        <v>4.6974900000000002</v>
      </c>
      <c r="AH11" s="59">
        <f>'M2'!D9*1</f>
        <v>6.9550099999999997</v>
      </c>
      <c r="AI11" s="59">
        <f>'M2'!E9*1</f>
        <v>50</v>
      </c>
      <c r="AJ11" s="59">
        <f>'M2'!F9*1</f>
        <v>55.873600000000003</v>
      </c>
      <c r="AK11" s="59">
        <f>'M2'!G9*1</f>
        <v>100</v>
      </c>
      <c r="AL11" s="59">
        <f>'M2'!H9*1</f>
        <v>77.905799999999999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9.3769099999999987</v>
      </c>
      <c r="D12" s="51">
        <f>N13</f>
        <v>2.4837999999999987</v>
      </c>
      <c r="E12" s="53">
        <f>T13</f>
        <v>5.6225000000000023</v>
      </c>
      <c r="F12" s="53">
        <f>P13</f>
        <v>-11.4299</v>
      </c>
      <c r="G12" s="73" t="str">
        <f>CONCATENATE(M14,"
(50 ~ 100)")</f>
        <v>自我调节
(50 ~ 100)</v>
      </c>
      <c r="H12" s="24">
        <f>R14</f>
        <v>2.3766000000000034</v>
      </c>
      <c r="I12" s="52">
        <f>N14</f>
        <v>4.8068999999999988</v>
      </c>
      <c r="J12" s="24">
        <f>T14</f>
        <v>0.42309999999999093</v>
      </c>
      <c r="K12" s="25">
        <f>P14</f>
        <v>-2.0849800000000003</v>
      </c>
      <c r="L12" s="4"/>
      <c r="M12" s="27" t="str">
        <f>lang!B19</f>
        <v>自信</v>
      </c>
      <c r="N12" s="59">
        <f t="shared" si="4"/>
        <v>3.762999999999991</v>
      </c>
      <c r="O12" s="59">
        <f t="shared" si="5"/>
        <v>0.74194999999999989</v>
      </c>
      <c r="P12" s="59">
        <f t="shared" si="6"/>
        <v>0.83414999999999995</v>
      </c>
      <c r="Q12" s="59">
        <f t="shared" si="7"/>
        <v>0</v>
      </c>
      <c r="R12" s="59">
        <f t="shared" si="8"/>
        <v>2.1974999999999909</v>
      </c>
      <c r="S12" s="59">
        <f t="shared" si="9"/>
        <v>0</v>
      </c>
      <c r="T12" s="59">
        <f t="shared" si="10"/>
        <v>4.3166000000000082</v>
      </c>
      <c r="U12" s="15"/>
      <c r="V12" s="27" t="str">
        <f t="shared" si="11"/>
        <v>自信</v>
      </c>
      <c r="W12" s="59">
        <f>'M1'!B10*1</f>
        <v>77.691000000000003</v>
      </c>
      <c r="X12" s="59">
        <f>'M1'!C10*1</f>
        <v>1.29037</v>
      </c>
      <c r="Y12" s="59">
        <f>'M1'!D10*1</f>
        <v>1.6609</v>
      </c>
      <c r="Z12" s="59">
        <f>'M1'!E10*1</f>
        <v>40</v>
      </c>
      <c r="AA12" s="59">
        <f>'M1'!F10*1</f>
        <v>74.193700000000007</v>
      </c>
      <c r="AB12" s="59">
        <f>'M1'!G10*1</f>
        <v>100</v>
      </c>
      <c r="AC12" s="59">
        <f>'M1'!H10*1</f>
        <v>80.273499999999999</v>
      </c>
      <c r="AE12" s="27" t="str">
        <f t="shared" si="12"/>
        <v>自信</v>
      </c>
      <c r="AF12" s="59">
        <f>'M2'!B10*1</f>
        <v>81.453999999999994</v>
      </c>
      <c r="AG12" s="59">
        <f>'M2'!C10*1</f>
        <v>2.0323199999999999</v>
      </c>
      <c r="AH12" s="59">
        <f>'M2'!D10*1</f>
        <v>2.49505</v>
      </c>
      <c r="AI12" s="59">
        <f>'M2'!E10*1</f>
        <v>40</v>
      </c>
      <c r="AJ12" s="59">
        <f>'M2'!F10*1</f>
        <v>76.391199999999998</v>
      </c>
      <c r="AK12" s="59">
        <f>'M2'!G10*1</f>
        <v>100</v>
      </c>
      <c r="AL12" s="59">
        <f>'M2'!H10*1</f>
        <v>84.590100000000007</v>
      </c>
    </row>
    <row r="13" spans="2:38" ht="25.5" customHeight="1" thickBot="1">
      <c r="B13" s="72" t="str">
        <f>CONCATENATE(M15,"
(10 ~ 25)")</f>
        <v>抑郁
(10 ~ 25)</v>
      </c>
      <c r="C13" s="54">
        <f>R15</f>
        <v>-1.5218000000000007</v>
      </c>
      <c r="D13" s="55">
        <f>N15</f>
        <v>-2.9987999999999992</v>
      </c>
      <c r="E13" s="56">
        <f>T15</f>
        <v>1.603399999999997</v>
      </c>
      <c r="F13" s="56">
        <f>P15</f>
        <v>7.5604999999999993</v>
      </c>
      <c r="G13" s="74" t="str">
        <f>CONCATENATE(M16,"
(10 ~ 50)")</f>
        <v>神经质
(10 ~ 50)</v>
      </c>
      <c r="H13" s="54">
        <f>R16</f>
        <v>1.8058500000000002</v>
      </c>
      <c r="I13" s="55">
        <f>N16</f>
        <v>11.652499999999996</v>
      </c>
      <c r="J13" s="56">
        <f>T16</f>
        <v>2.0670000000000002</v>
      </c>
      <c r="K13" s="57">
        <f>P16</f>
        <v>-6.6456000000000017</v>
      </c>
      <c r="M13" s="27" t="str">
        <f>lang!B20</f>
        <v>活力</v>
      </c>
      <c r="N13" s="59">
        <f t="shared" si="4"/>
        <v>2.4837999999999987</v>
      </c>
      <c r="O13" s="59">
        <f t="shared" si="5"/>
        <v>-2.0570400000000002</v>
      </c>
      <c r="P13" s="59">
        <f t="shared" si="6"/>
        <v>-11.4299</v>
      </c>
      <c r="Q13" s="59">
        <f t="shared" si="7"/>
        <v>0</v>
      </c>
      <c r="R13" s="59">
        <f t="shared" si="8"/>
        <v>9.3769099999999987</v>
      </c>
      <c r="S13" s="59">
        <f t="shared" si="9"/>
        <v>0</v>
      </c>
      <c r="T13" s="59">
        <f t="shared" si="10"/>
        <v>5.6225000000000023</v>
      </c>
      <c r="U13" s="14"/>
      <c r="V13" s="27" t="str">
        <f t="shared" si="11"/>
        <v>活力</v>
      </c>
      <c r="W13" s="59">
        <f>'M1'!B11*1</f>
        <v>21.311</v>
      </c>
      <c r="X13" s="59">
        <f>'M1'!C11*1</f>
        <v>5.6857600000000001</v>
      </c>
      <c r="Y13" s="59">
        <f>'M1'!D11*1</f>
        <v>26.68</v>
      </c>
      <c r="Z13" s="59">
        <f>'M1'!E11*1</f>
        <v>10</v>
      </c>
      <c r="AA13" s="59">
        <f>'M1'!F11*1</f>
        <v>6.2709900000000003</v>
      </c>
      <c r="AB13" s="59">
        <f>'M1'!G11*1</f>
        <v>50</v>
      </c>
      <c r="AC13" s="59">
        <f>'M1'!H11*1</f>
        <v>25.062899999999999</v>
      </c>
      <c r="AE13" s="27" t="str">
        <f t="shared" si="12"/>
        <v>活力</v>
      </c>
      <c r="AF13" s="59">
        <f>'M2'!B11*1</f>
        <v>23.794799999999999</v>
      </c>
      <c r="AG13" s="59">
        <f>'M2'!C11*1</f>
        <v>3.6287199999999999</v>
      </c>
      <c r="AH13" s="59">
        <f>'M2'!D11*1</f>
        <v>15.2501</v>
      </c>
      <c r="AI13" s="59">
        <f>'M2'!E11*1</f>
        <v>10</v>
      </c>
      <c r="AJ13" s="59">
        <f>'M2'!F11*1</f>
        <v>15.6479</v>
      </c>
      <c r="AK13" s="59">
        <f>'M2'!G11*1</f>
        <v>50</v>
      </c>
      <c r="AL13" s="59">
        <f>'M2'!H11*1</f>
        <v>30.685400000000001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4.8068999999999988</v>
      </c>
      <c r="O14" s="59">
        <f t="shared" si="5"/>
        <v>-1.2795400000000003</v>
      </c>
      <c r="P14" s="59">
        <f t="shared" si="6"/>
        <v>-2.0849800000000003</v>
      </c>
      <c r="Q14" s="59">
        <f t="shared" si="7"/>
        <v>0</v>
      </c>
      <c r="R14" s="59">
        <f t="shared" si="8"/>
        <v>2.3766000000000034</v>
      </c>
      <c r="S14" s="59">
        <f t="shared" si="9"/>
        <v>0</v>
      </c>
      <c r="T14" s="59">
        <f t="shared" si="10"/>
        <v>0.42309999999999093</v>
      </c>
      <c r="U14" s="14"/>
      <c r="V14" s="27" t="str">
        <f t="shared" si="11"/>
        <v>自我调节</v>
      </c>
      <c r="W14" s="59">
        <f>'M1'!B12*1</f>
        <v>69.875399999999999</v>
      </c>
      <c r="X14" s="59">
        <f>'M1'!C12*1</f>
        <v>4.0348800000000002</v>
      </c>
      <c r="Y14" s="59">
        <f>'M1'!D12*1</f>
        <v>5.7743900000000004</v>
      </c>
      <c r="Z14" s="59">
        <f>'M1'!E12*1</f>
        <v>50</v>
      </c>
      <c r="AA14" s="59">
        <f>'M1'!F12*1</f>
        <v>63.87</v>
      </c>
      <c r="AB14" s="59">
        <f>'M1'!G12*1</f>
        <v>100</v>
      </c>
      <c r="AC14" s="59">
        <f>'M1'!H12*1</f>
        <v>78.903800000000004</v>
      </c>
      <c r="AE14" s="27" t="str">
        <f t="shared" si="12"/>
        <v>自我调节</v>
      </c>
      <c r="AF14" s="59">
        <f>'M2'!B12*1</f>
        <v>74.682299999999998</v>
      </c>
      <c r="AG14" s="59">
        <f>'M2'!C12*1</f>
        <v>2.7553399999999999</v>
      </c>
      <c r="AH14" s="59">
        <f>'M2'!D12*1</f>
        <v>3.6894100000000001</v>
      </c>
      <c r="AI14" s="59">
        <f>'M2'!E12*1</f>
        <v>50</v>
      </c>
      <c r="AJ14" s="59">
        <f>'M2'!F12*1</f>
        <v>66.246600000000001</v>
      </c>
      <c r="AK14" s="59">
        <f>'M2'!G12*1</f>
        <v>100</v>
      </c>
      <c r="AL14" s="59">
        <f>'M2'!H12*1</f>
        <v>79.326899999999995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-2.9987999999999992</v>
      </c>
      <c r="O15" s="59">
        <f t="shared" si="5"/>
        <v>1.1652500000000003</v>
      </c>
      <c r="P15" s="59">
        <f t="shared" si="6"/>
        <v>7.5604999999999993</v>
      </c>
      <c r="Q15" s="59">
        <f t="shared" si="7"/>
        <v>0</v>
      </c>
      <c r="R15" s="59">
        <f t="shared" si="8"/>
        <v>-1.5218000000000007</v>
      </c>
      <c r="S15" s="59">
        <f t="shared" si="9"/>
        <v>0</v>
      </c>
      <c r="T15" s="59">
        <f t="shared" si="10"/>
        <v>1.603399999999997</v>
      </c>
      <c r="U15" s="14"/>
      <c r="V15" s="27" t="str">
        <f t="shared" si="11"/>
        <v>抑郁</v>
      </c>
      <c r="W15" s="59">
        <f>'M1'!B13*1</f>
        <v>23.5671</v>
      </c>
      <c r="X15" s="59">
        <f>'M1'!C13*1</f>
        <v>3.06351</v>
      </c>
      <c r="Y15" s="59">
        <f>'M1'!D13*1</f>
        <v>12.9991</v>
      </c>
      <c r="Z15" s="59">
        <f>'M1'!E13*1</f>
        <v>10</v>
      </c>
      <c r="AA15" s="59">
        <f>'M1'!F13*1</f>
        <v>14.781700000000001</v>
      </c>
      <c r="AB15" s="59">
        <f>'M1'!G13*1</f>
        <v>25</v>
      </c>
      <c r="AC15" s="59">
        <f>'M1'!H13*1</f>
        <v>30.4359</v>
      </c>
      <c r="AE15" s="27" t="str">
        <f t="shared" si="12"/>
        <v>抑郁</v>
      </c>
      <c r="AF15" s="59">
        <f>'M2'!B13*1</f>
        <v>20.568300000000001</v>
      </c>
      <c r="AG15" s="59">
        <f>'M2'!C13*1</f>
        <v>4.2287600000000003</v>
      </c>
      <c r="AH15" s="59">
        <f>'M2'!D13*1</f>
        <v>20.5596</v>
      </c>
      <c r="AI15" s="59">
        <f>'M2'!E13*1</f>
        <v>10</v>
      </c>
      <c r="AJ15" s="59">
        <f>'M2'!F13*1</f>
        <v>13.2599</v>
      </c>
      <c r="AK15" s="59">
        <f>'M2'!G13*1</f>
        <v>25</v>
      </c>
      <c r="AL15" s="59">
        <f>'M2'!H13*1</f>
        <v>32.039299999999997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11.652499999999996</v>
      </c>
      <c r="O16" s="59">
        <f t="shared" si="5"/>
        <v>0.95064999999999955</v>
      </c>
      <c r="P16" s="59">
        <f t="shared" si="6"/>
        <v>-6.6456000000000017</v>
      </c>
      <c r="Q16" s="59">
        <f t="shared" si="7"/>
        <v>0</v>
      </c>
      <c r="R16" s="59">
        <f t="shared" si="8"/>
        <v>1.8058500000000002</v>
      </c>
      <c r="S16" s="59">
        <f t="shared" si="9"/>
        <v>0</v>
      </c>
      <c r="T16" s="59">
        <f t="shared" si="10"/>
        <v>2.0670000000000002</v>
      </c>
      <c r="U16" s="15"/>
      <c r="V16" s="27" t="str">
        <f t="shared" si="11"/>
        <v>神经质</v>
      </c>
      <c r="W16" s="59">
        <f>'M1'!B14*1</f>
        <v>30.635100000000001</v>
      </c>
      <c r="X16" s="59">
        <f>'M1'!C14*1</f>
        <v>9.8877500000000005</v>
      </c>
      <c r="Y16" s="59">
        <f>'M1'!D14*1</f>
        <v>32.2759</v>
      </c>
      <c r="Z16" s="59">
        <f>'M1'!E14*1</f>
        <v>10</v>
      </c>
      <c r="AA16" s="59">
        <f>'M1'!F14*1</f>
        <v>1.64849</v>
      </c>
      <c r="AB16" s="59">
        <f>'M1'!G14*1</f>
        <v>50</v>
      </c>
      <c r="AC16" s="59">
        <f>'M1'!H14*1</f>
        <v>39.991</v>
      </c>
      <c r="AE16" s="27" t="str">
        <f t="shared" si="12"/>
        <v>神经质</v>
      </c>
      <c r="AF16" s="59">
        <f>'M2'!B14*1</f>
        <v>42.287599999999998</v>
      </c>
      <c r="AG16" s="59">
        <f>'M2'!C14*1</f>
        <v>10.8384</v>
      </c>
      <c r="AH16" s="59">
        <f>'M2'!D14*1</f>
        <v>25.630299999999998</v>
      </c>
      <c r="AI16" s="59">
        <f>'M2'!E14*1</f>
        <v>10</v>
      </c>
      <c r="AJ16" s="59">
        <f>'M2'!F14*1</f>
        <v>3.4543400000000002</v>
      </c>
      <c r="AK16" s="59">
        <f>'M2'!G14*1</f>
        <v>50</v>
      </c>
      <c r="AL16" s="59">
        <f>'M2'!H14*1</f>
        <v>42.058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3.9875499999999979</v>
      </c>
      <c r="O17" s="22">
        <f>N17/(N17+N18+N19)</f>
        <v>0.68298385266574457</v>
      </c>
      <c r="P17" s="65">
        <f>SUM(P11:P14)/4</f>
        <v>-4.4665300000000006</v>
      </c>
      <c r="Q17" s="22">
        <f>P17/(P17+P18+P19)</f>
        <v>0.77489304413902693</v>
      </c>
      <c r="R17" s="14"/>
      <c r="S17" s="14"/>
      <c r="T17" s="14"/>
      <c r="U17" s="14"/>
      <c r="V17" s="21" t="str">
        <f>M17</f>
        <v>Positive</v>
      </c>
      <c r="W17" s="65">
        <f>SUM(W11:W14)/4</f>
        <v>57.880499999999998</v>
      </c>
      <c r="X17" s="22">
        <f>W17/(W17+W18+W19)</f>
        <v>0.49688323924210509</v>
      </c>
      <c r="Y17" s="65">
        <f>SUM(Y11:Y14)/4</f>
        <v>11.5639225</v>
      </c>
      <c r="Z17" s="22">
        <f>Y17/(Y17+Y18+Y19)</f>
        <v>0.21775681857490917</v>
      </c>
      <c r="AA17" s="14"/>
      <c r="AB17" s="14"/>
      <c r="AC17" s="14"/>
      <c r="AE17" s="21" t="str">
        <f>V17</f>
        <v>Positive</v>
      </c>
      <c r="AF17" s="65">
        <f>SUM(AF11:AF14)/4</f>
        <v>61.868049999999997</v>
      </c>
      <c r="AG17" s="22">
        <f>AF17/(AF17+AF18+AF19)</f>
        <v>0.50576555756340358</v>
      </c>
      <c r="AH17" s="65">
        <f>SUM(AH11:AH14)/4</f>
        <v>7.0973924999999998</v>
      </c>
      <c r="AI17" s="22">
        <f>AH17/(AH17+AH18+AH19)</f>
        <v>0.1499215949406742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-2.4759749999999991</v>
      </c>
      <c r="O18" s="22">
        <f>N18/(N17+N18+N19)</f>
        <v>-0.4240826935346434</v>
      </c>
      <c r="P18" s="18">
        <f>SUM(P7:P10)/4</f>
        <v>-1.7549800000000002</v>
      </c>
      <c r="Q18" s="22">
        <f>P18/(P17+P18+P19)</f>
        <v>0.30446941912471415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31.505524999999999</v>
      </c>
      <c r="X18" s="22">
        <f>W18/(W17+W18+W19)</f>
        <v>0.2704635812756131</v>
      </c>
      <c r="Y18" s="18">
        <f>SUM(Y7:Y10)/4</f>
        <v>18.903332500000001</v>
      </c>
      <c r="Z18" s="22">
        <f>Y18/(Y17+Y18+Y19)</f>
        <v>0.35596308654469833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29.02955</v>
      </c>
      <c r="AG18" s="22">
        <f>AF18/(AF17+AF18+AF19)</f>
        <v>0.23731387269462514</v>
      </c>
      <c r="AH18" s="18">
        <f>SUM(AH7:AH10)/4</f>
        <v>17.148352500000001</v>
      </c>
      <c r="AI18" s="22">
        <f>AH18/(AH17+AH18+AH19)</f>
        <v>0.36223279991981533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4.3268499999999985</v>
      </c>
      <c r="O19" s="22">
        <f>N19/(N17+N18+N19)</f>
        <v>0.74109884086889877</v>
      </c>
      <c r="P19" s="18">
        <f>(P15+P16)/2</f>
        <v>0.4574499999999988</v>
      </c>
      <c r="Q19" s="22">
        <f>P19/(P17+P18+P19)</f>
        <v>-7.9362463263740954E-2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27.101100000000002</v>
      </c>
      <c r="X19" s="22">
        <f>W19/(W17+W18+W19)</f>
        <v>0.23265317948228187</v>
      </c>
      <c r="Y19" s="18">
        <f>(Y15+Y16)/2</f>
        <v>22.637499999999999</v>
      </c>
      <c r="Z19" s="22">
        <f>Y19/(Y17+Y18+Y19)</f>
        <v>0.42628009488039253</v>
      </c>
      <c r="AA19" s="14"/>
      <c r="AB19" s="14"/>
      <c r="AC19" s="14"/>
      <c r="AE19" s="21" t="str">
        <f t="shared" si="14"/>
        <v>Physiological</v>
      </c>
      <c r="AF19" s="18">
        <f>(AF15+AF16)/2</f>
        <v>31.427949999999999</v>
      </c>
      <c r="AG19" s="22">
        <f>AF19/(AF17+AF18+AF19)</f>
        <v>0.25692056974197131</v>
      </c>
      <c r="AH19" s="18">
        <f>(AH15+AH16)/2</f>
        <v>23.094949999999997</v>
      </c>
      <c r="AI19" s="22">
        <f>AH19/(AH17+AH18+AH19)</f>
        <v>0.48784560513951047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1.46/1.75</v>
      </c>
      <c r="D24" s="44" t="str">
        <f>lang!B11</f>
        <v>频率方差</v>
      </c>
      <c r="E24" s="142" t="str">
        <f ca="1">CONCATENATE(ROUND('FH1'!L3,2),"/",ROUND('FH2'!L3,2))</f>
        <v>0.6/0.55</v>
      </c>
      <c r="F24" s="143"/>
      <c r="G24" s="134" t="str">
        <f>lang!B12</f>
        <v>生理变化率</v>
      </c>
      <c r="H24" s="135"/>
      <c r="I24" s="62" t="str">
        <f ca="1">CONCATENATE(info!M7,"-",info!M8)</f>
        <v>40-58.5</v>
      </c>
      <c r="J24" s="42" t="str">
        <f>lang!B13</f>
        <v>千卡l/分钟</v>
      </c>
      <c r="K24" s="41" t="str">
        <f ca="1">CONCATENATE(info!M5,"-",info!M6)</f>
        <v>1.8-3.9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-1.6534000000000049</v>
      </c>
      <c r="F27" s="164"/>
      <c r="G27" s="178" t="str">
        <f>lang!B33</f>
        <v>稳定性</v>
      </c>
      <c r="H27" s="179"/>
      <c r="I27" s="180"/>
      <c r="J27" s="181">
        <f>dM!B19*100</f>
        <v>3.7781999999999982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-0.34469642207136841</v>
      </c>
      <c r="C2">
        <f t="array" aca="1" ref="C2" ca="1">CORREL(FT_E02,FT_PH02)</f>
        <v>-1.5609717242009116E-2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1.79789</v>
      </c>
      <c r="G2" s="61">
        <f>IF(FT!B2&lt;&gt;"",FT!B2*100,"")</f>
        <v>58.511599999999994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1.8555900000000001</v>
      </c>
      <c r="G3" s="61">
        <f>IF(FT!B3&lt;&gt;"",FT!B3*100,"")</f>
        <v>57.569499999999998</v>
      </c>
      <c r="H3" s="61">
        <f t="shared" ref="H3:H66" si="1">(IF(F3&lt;&gt;"",1,""))</f>
        <v>1</v>
      </c>
      <c r="I3" t="str">
        <f>IF(FT!B3&lt;&gt;"",FT!E3,"")</f>
        <v>1 [0.354666]</v>
      </c>
      <c r="J3">
        <f>IF(FT!B3&lt;&gt;"",FT!C3,"")</f>
        <v>0.35466599999999998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0.46787181081081092</v>
      </c>
      <c r="V3">
        <f ca="1">AVERAGE(OFFSET(FT!B2,info!$L$3/2,0,info!$L$3/2,1))</f>
        <v>0.441187864864865</v>
      </c>
      <c r="W3">
        <f ca="1">AVERAGE(OFFSET(FT!A2,0,0,info!$L$3/2,1))</f>
        <v>0.31211309459459463</v>
      </c>
      <c r="X3">
        <f ca="1">AVERAGE(OFFSET(FT!A2,info!$L$3/2,0,info!$L$3/2,1))</f>
        <v>0.34129378378378383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1.91072</v>
      </c>
      <c r="G4" s="61">
        <f>IF(FT!B4&lt;&gt;"",FT!B4*100,"")</f>
        <v>56.725000000000001</v>
      </c>
      <c r="H4" s="61">
        <f t="shared" si="1"/>
        <v>1</v>
      </c>
      <c r="I4" t="str">
        <f>IF(FT!B4&lt;&gt;"",FT!E4,"")</f>
        <v>1 [0.759798]</v>
      </c>
      <c r="J4">
        <f>IF(FT!B4&lt;&gt;"",FT!C4,"")</f>
        <v>0.75979799999999997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15.033575000000001</v>
      </c>
      <c r="V4">
        <f>U4*3</f>
        <v>45.100725000000004</v>
      </c>
      <c r="W4">
        <f>U4</f>
        <v>15.033575000000001</v>
      </c>
      <c r="X4">
        <f>V4</f>
        <v>45.100725000000004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1.9642899999999999</v>
      </c>
      <c r="G5" s="61">
        <f>IF(FT!B5&lt;&gt;"",FT!B5*100,"")</f>
        <v>55.982600000000005</v>
      </c>
      <c r="H5" s="61">
        <f t="shared" si="1"/>
        <v>1</v>
      </c>
      <c r="I5" t="str">
        <f>IF(FT!B5&lt;&gt;"",FT!E5,"")</f>
        <v>1 [1.164984]</v>
      </c>
      <c r="J5">
        <f>IF(FT!B5&lt;&gt;"",FT!C5,"")</f>
        <v>1.1649799999999999</v>
      </c>
      <c r="K5" t="s">
        <v>53</v>
      </c>
      <c r="L5" s="63">
        <f ca="1">MIN(FT_E)</f>
        <v>1.79789</v>
      </c>
      <c r="M5" s="63">
        <f ca="1">ROUND(L5,1)</f>
        <v>1.8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46.787181081081094</v>
      </c>
      <c r="V5">
        <f ca="1">V3*100</f>
        <v>44.118786486486499</v>
      </c>
      <c r="W5">
        <f ca="1">W3*10</f>
        <v>3.1211309459459464</v>
      </c>
      <c r="X5">
        <f ca="1">X3*10</f>
        <v>3.4129378378378386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2.0192800000000002</v>
      </c>
      <c r="G6" s="61">
        <f>IF(FT!B6&lt;&gt;"",FT!B6*100,"")</f>
        <v>55.105800000000002</v>
      </c>
      <c r="H6" s="61">
        <f t="shared" si="1"/>
        <v>1</v>
      </c>
      <c r="I6" t="str">
        <f>IF(FT!B6&lt;&gt;"",FT!E6,"")</f>
        <v>1 [1.571346]</v>
      </c>
      <c r="J6">
        <f>IF(FT!B6&lt;&gt;"",FT!C6,"")</f>
        <v>1.57135</v>
      </c>
      <c r="K6" t="s">
        <v>54</v>
      </c>
      <c r="L6" s="63">
        <f ca="1">MAX(FT_E)</f>
        <v>3.9225399999999997</v>
      </c>
      <c r="M6" s="63">
        <f ca="1">ROUND(L6,1)</f>
        <v>3.9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2.0762399999999999</v>
      </c>
      <c r="G7" s="61">
        <f>IF(FT!B7&lt;&gt;"",FT!B7*100,"")</f>
        <v>54.048700000000004</v>
      </c>
      <c r="H7" s="61">
        <f t="shared" si="1"/>
        <v>1</v>
      </c>
      <c r="I7" t="str">
        <f>IF(FT!B7&lt;&gt;"",FT!E7,"")</f>
        <v>1 [1.977606]</v>
      </c>
      <c r="J7">
        <f>IF(FT!B7&lt;&gt;"",FT!C7,"")</f>
        <v>1.9776100000000001</v>
      </c>
      <c r="K7" t="s">
        <v>55</v>
      </c>
      <c r="L7" s="63">
        <f ca="1">MIN(FT_PH)</f>
        <v>39.985900000000001</v>
      </c>
      <c r="M7" s="63">
        <f ca="1">ROUND(L7,1)</f>
        <v>40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1588</v>
      </c>
      <c r="D8" s="61">
        <f>FH!B8*1</f>
        <v>1588</v>
      </c>
      <c r="E8">
        <f t="shared" si="3"/>
        <v>6</v>
      </c>
      <c r="F8" s="61">
        <f>IF(FT!A8&lt;&gt;"",FT!A8*10,"")</f>
        <v>2.1341399999999999</v>
      </c>
      <c r="G8" s="61">
        <f>IF(FT!B8&lt;&gt;"",FT!B8*100,"")</f>
        <v>52.961199999999998</v>
      </c>
      <c r="H8" s="61">
        <f t="shared" si="1"/>
        <v>1</v>
      </c>
      <c r="I8" t="str">
        <f>IF(FT!B8&lt;&gt;"",FT!E8,"")</f>
        <v>1 [2.382705]</v>
      </c>
      <c r="J8">
        <f>IF(FT!B8&lt;&gt;"",FT!C8,"")</f>
        <v>2.3826999999999998</v>
      </c>
      <c r="K8" t="s">
        <v>56</v>
      </c>
      <c r="L8" s="63">
        <f ca="1">MAX(FT_PH)</f>
        <v>58.511599999999994</v>
      </c>
      <c r="M8" s="63">
        <f ca="1">ROUND(L8,1)</f>
        <v>58.5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2.1965699999999999</v>
      </c>
      <c r="G9" s="61">
        <f>IF(FT!B9&lt;&gt;"",FT!B9*100,"")</f>
        <v>51.740200000000002</v>
      </c>
      <c r="H9" s="61">
        <f t="shared" si="1"/>
        <v>1</v>
      </c>
      <c r="I9" t="str">
        <f>IF(FT!B9&lt;&gt;"",FT!E9,"")</f>
        <v>1 [2.791020]</v>
      </c>
      <c r="J9">
        <f>IF(FT!B9&lt;&gt;"",FT!C9,"")</f>
        <v>2.7910200000000001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6936</v>
      </c>
      <c r="D10" s="61">
        <f>FH!B10*1</f>
        <v>6936</v>
      </c>
      <c r="E10">
        <f t="shared" si="3"/>
        <v>8</v>
      </c>
      <c r="F10" s="61">
        <f>IF(FT!A10&lt;&gt;"",FT!A10*10,"")</f>
        <v>2.2608800000000002</v>
      </c>
      <c r="G10" s="61">
        <f>IF(FT!B10&lt;&gt;"",FT!B10*100,"")</f>
        <v>50.546500000000009</v>
      </c>
      <c r="H10" s="61">
        <f t="shared" si="1"/>
        <v>1</v>
      </c>
      <c r="I10" t="str">
        <f>IF(FT!B10&lt;&gt;"",FT!E10,"")</f>
        <v>1 [3.197381]</v>
      </c>
      <c r="J10">
        <f>IF(FT!B10&lt;&gt;"",FT!C10,"")</f>
        <v>3.1973799999999999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2.32572</v>
      </c>
      <c r="G11" s="61">
        <f>IF(FT!B11&lt;&gt;"",FT!B11*100,"")</f>
        <v>49.380699999999997</v>
      </c>
      <c r="H11" s="61">
        <f t="shared" si="1"/>
        <v>1</v>
      </c>
      <c r="I11" t="str">
        <f>IF(FT!B11&lt;&gt;"",FT!E11,"")</f>
        <v>1 [3.600262]</v>
      </c>
      <c r="J11">
        <f>IF(FT!B11&lt;&gt;"",FT!C11,"")</f>
        <v>3.60026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2.3890700000000002</v>
      </c>
      <c r="G12" s="61">
        <f>IF(FT!B12&lt;&gt;"",FT!B12*100,"")</f>
        <v>48.293100000000003</v>
      </c>
      <c r="H12" s="61">
        <f t="shared" si="1"/>
        <v>1</v>
      </c>
      <c r="I12" t="str">
        <f>IF(FT!B12&lt;&gt;"",FT!E12,"")</f>
        <v>1 [4.010893]</v>
      </c>
      <c r="J12">
        <f>IF(FT!B12&lt;&gt;"",FT!C12,"")</f>
        <v>4.0108899999999998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10577</v>
      </c>
      <c r="D13" s="61">
        <f>FH!B13*1</f>
        <v>10577</v>
      </c>
      <c r="E13">
        <f t="shared" si="3"/>
        <v>11</v>
      </c>
      <c r="F13" s="61">
        <f>IF(FT!A13&lt;&gt;"",FT!A13*10,"")</f>
        <v>2.4539900000000001</v>
      </c>
      <c r="G13" s="61">
        <f>IF(FT!B13&lt;&gt;"",FT!B13*100,"")</f>
        <v>47.139600000000002</v>
      </c>
      <c r="H13" s="61">
        <f t="shared" si="1"/>
        <v>1</v>
      </c>
      <c r="I13" t="str">
        <f>IF(FT!B13&lt;&gt;"",FT!E13,"")</f>
        <v>1 [4.415881]</v>
      </c>
      <c r="J13">
        <f>IF(FT!B13&lt;&gt;"",FT!C13,"")</f>
        <v>4.4158799999999996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2.5224600000000001</v>
      </c>
      <c r="G14" s="61">
        <f>IF(FT!B14&lt;&gt;"",FT!B14*100,"")</f>
        <v>45.893599999999999</v>
      </c>
      <c r="H14" s="61">
        <f t="shared" si="1"/>
        <v>1</v>
      </c>
      <c r="I14" t="str">
        <f>IF(FT!B14&lt;&gt;"",FT!E14,"")</f>
        <v>1 [4.821844]</v>
      </c>
      <c r="J14">
        <f>IF(FT!B14&lt;&gt;"",FT!C14,"")</f>
        <v>4.8218399999999999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13367</v>
      </c>
      <c r="D15" s="61">
        <f>FH!B15*1</f>
        <v>13367</v>
      </c>
      <c r="E15">
        <f t="shared" si="3"/>
        <v>13</v>
      </c>
      <c r="F15" s="61">
        <f>IF(FT!A15&lt;&gt;"",FT!A15*10,"")</f>
        <v>2.5909900000000001</v>
      </c>
      <c r="G15" s="61">
        <f>IF(FT!B15&lt;&gt;"",FT!B15*100,"")</f>
        <v>44.668199999999999</v>
      </c>
      <c r="H15" s="61">
        <f t="shared" si="1"/>
        <v>1</v>
      </c>
      <c r="I15" t="str">
        <f>IF(FT!B15&lt;&gt;"",FT!E15,"")</f>
        <v>1 [5.227538]</v>
      </c>
      <c r="J15">
        <f>IF(FT!B15&lt;&gt;"",FT!C15,"")</f>
        <v>5.2275400000000003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2.6546500000000002</v>
      </c>
      <c r="G16" s="61">
        <f>IF(FT!B16&lt;&gt;"",FT!B16*100,"")</f>
        <v>43.689900000000002</v>
      </c>
      <c r="H16" s="61">
        <f t="shared" si="1"/>
        <v>1</v>
      </c>
      <c r="I16" t="str">
        <f>IF(FT!B16&lt;&gt;"",FT!E16,"")</f>
        <v>1 [5.635661]</v>
      </c>
      <c r="J16">
        <f>IF(FT!B16&lt;&gt;"",FT!C16,"")</f>
        <v>5.6356599999999997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2.7122200000000003</v>
      </c>
      <c r="G17" s="61">
        <f>IF(FT!B17&lt;&gt;"",FT!B17*100,"")</f>
        <v>42.924800000000005</v>
      </c>
      <c r="H17" s="61">
        <f t="shared" si="1"/>
        <v>1</v>
      </c>
      <c r="I17" t="str">
        <f>IF(FT!B17&lt;&gt;"",FT!E17,"")</f>
        <v>1 [6.041745]</v>
      </c>
      <c r="J17">
        <f>IF(FT!B17&lt;&gt;"",FT!C17,"")</f>
        <v>6.0417399999999999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18448</v>
      </c>
      <c r="D18" s="61">
        <f>FH!B18*1</f>
        <v>18448</v>
      </c>
      <c r="E18">
        <f t="shared" si="3"/>
        <v>16</v>
      </c>
      <c r="F18" s="61">
        <f>IF(FT!A18&lt;&gt;"",FT!A18*10,"")</f>
        <v>2.7691400000000002</v>
      </c>
      <c r="G18" s="61">
        <f>IF(FT!B18&lt;&gt;"",FT!B18*100,"")</f>
        <v>42.125099999999996</v>
      </c>
      <c r="H18" s="61">
        <f t="shared" si="1"/>
        <v>1</v>
      </c>
      <c r="I18" t="str">
        <f>IF(FT!B18&lt;&gt;"",FT!E18,"")</f>
        <v>1 [6.448903]</v>
      </c>
      <c r="J18">
        <f>IF(FT!B18&lt;&gt;"",FT!C18,"")</f>
        <v>6.4489000000000001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2.8255499999999998</v>
      </c>
      <c r="G19" s="61">
        <f>IF(FT!B19&lt;&gt;"",FT!B19*100,"")</f>
        <v>41.341099999999997</v>
      </c>
      <c r="H19" s="61">
        <f t="shared" si="1"/>
        <v>1</v>
      </c>
      <c r="I19" t="str">
        <f>IF(FT!B19&lt;&gt;"",FT!E19,"")</f>
        <v>1 [6.855143]</v>
      </c>
      <c r="J19">
        <f>IF(FT!B19&lt;&gt;"",FT!C19,"")</f>
        <v>6.8551399999999996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2.8803700000000001</v>
      </c>
      <c r="G20" s="61">
        <f>IF(FT!B20&lt;&gt;"",FT!B20*100,"")</f>
        <v>40.741</v>
      </c>
      <c r="H20" s="61">
        <f t="shared" si="1"/>
        <v>1</v>
      </c>
      <c r="I20" t="str">
        <f>IF(FT!B20&lt;&gt;"",FT!E20,"")</f>
        <v>1 [7.261348]</v>
      </c>
      <c r="J20">
        <f>IF(FT!B20&lt;&gt;"",FT!C20,"")</f>
        <v>7.2613500000000002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23369</v>
      </c>
      <c r="D21" s="61">
        <f>FH!B21*1</f>
        <v>23369</v>
      </c>
      <c r="E21">
        <f t="shared" si="3"/>
        <v>19</v>
      </c>
      <c r="F21" s="61">
        <f>IF(FT!A21&lt;&gt;"",FT!A21*10,"")</f>
        <v>2.93493</v>
      </c>
      <c r="G21" s="61">
        <f>IF(FT!B21&lt;&gt;"",FT!B21*100,"")</f>
        <v>40.323900000000002</v>
      </c>
      <c r="H21" s="61">
        <f t="shared" si="1"/>
        <v>1</v>
      </c>
      <c r="I21" t="str">
        <f>IF(FT!B21&lt;&gt;"",FT!E21,"")</f>
        <v>1 [7.664731]</v>
      </c>
      <c r="J21">
        <f>IF(FT!B21&lt;&gt;"",FT!C21,"")</f>
        <v>7.6647299999999996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2.9857200000000002</v>
      </c>
      <c r="G22" s="61">
        <f>IF(FT!B22&lt;&gt;"",FT!B22*100,"")</f>
        <v>40.094999999999999</v>
      </c>
      <c r="H22" s="61">
        <f t="shared" si="1"/>
        <v>1</v>
      </c>
      <c r="I22" t="str">
        <f>IF(FT!B22&lt;&gt;"",FT!E22,"")</f>
        <v>1 [8.072775]</v>
      </c>
      <c r="J22">
        <f>IF(FT!B22&lt;&gt;"",FT!C22,"")</f>
        <v>8.0727700000000002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33715</v>
      </c>
      <c r="D23" s="61">
        <f>FH!B23*1</f>
        <v>33715</v>
      </c>
      <c r="E23">
        <f t="shared" si="3"/>
        <v>21</v>
      </c>
      <c r="F23" s="61">
        <f>IF(FT!A23&lt;&gt;"",FT!A23*10,"")</f>
        <v>3.0343999999999998</v>
      </c>
      <c r="G23" s="61">
        <f>IF(FT!B23&lt;&gt;"",FT!B23*100,"")</f>
        <v>39.985900000000001</v>
      </c>
      <c r="H23" s="61">
        <f t="shared" si="1"/>
        <v>1</v>
      </c>
      <c r="I23" t="str">
        <f>IF(FT!B23&lt;&gt;"",FT!E23,"")</f>
        <v>1 [8.478882]</v>
      </c>
      <c r="J23">
        <f>IF(FT!B23&lt;&gt;"",FT!C23,"")</f>
        <v>8.4788800000000002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3.07728</v>
      </c>
      <c r="G24" s="61">
        <f>IF(FT!B24&lt;&gt;"",FT!B24*100,"")</f>
        <v>40.029499999999999</v>
      </c>
      <c r="H24" s="61">
        <f t="shared" si="1"/>
        <v>1</v>
      </c>
      <c r="I24" t="str">
        <f>IF(FT!B24&lt;&gt;"",FT!E24,"")</f>
        <v>1 [8.886928]</v>
      </c>
      <c r="J24">
        <f>IF(FT!B24&lt;&gt;"",FT!C24,"")</f>
        <v>8.8869299999999996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3.1165500000000002</v>
      </c>
      <c r="G25" s="61">
        <f>IF(FT!B25&lt;&gt;"",FT!B25*100,"")</f>
        <v>40.101199999999999</v>
      </c>
      <c r="H25" s="61">
        <f t="shared" si="1"/>
        <v>1</v>
      </c>
      <c r="I25" t="str">
        <f>IF(FT!B25&lt;&gt;"",FT!E25,"")</f>
        <v>1 [9.289218]</v>
      </c>
      <c r="J25">
        <f>IF(FT!B25&lt;&gt;"",FT!C25,"")</f>
        <v>9.2892200000000003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41160</v>
      </c>
      <c r="D26" s="61">
        <f>FH!B26*1</f>
        <v>41160</v>
      </c>
      <c r="E26">
        <f t="shared" si="3"/>
        <v>24</v>
      </c>
      <c r="F26" s="61">
        <f>IF(FT!A26&lt;&gt;"",FT!A26*10,"")</f>
        <v>3.1529800000000003</v>
      </c>
      <c r="G26" s="61">
        <f>IF(FT!B26&lt;&gt;"",FT!B26*100,"")</f>
        <v>40.1586</v>
      </c>
      <c r="H26" s="61">
        <f t="shared" si="1"/>
        <v>1</v>
      </c>
      <c r="I26" t="str">
        <f>IF(FT!B26&lt;&gt;"",FT!E26,"")</f>
        <v>1 [9.696209]</v>
      </c>
      <c r="J26">
        <f>IF(FT!B26&lt;&gt;"",FT!C26,"")</f>
        <v>9.6962100000000007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3.1858999999999997</v>
      </c>
      <c r="G27" s="61">
        <f>IF(FT!B27&lt;&gt;"",FT!B27*100,"")</f>
        <v>40.272300000000001</v>
      </c>
      <c r="H27" s="61">
        <f t="shared" si="1"/>
        <v>1</v>
      </c>
      <c r="I27" t="str">
        <f>IF(FT!B27&lt;&gt;"",FT!E27,"")</f>
        <v>1 [10.102264]</v>
      </c>
      <c r="J27">
        <f>IF(FT!B27&lt;&gt;"",FT!C27,"")</f>
        <v>10.1023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59151</v>
      </c>
      <c r="D28" s="61">
        <f>FH!B28*1</f>
        <v>59151</v>
      </c>
      <c r="E28">
        <f t="shared" si="3"/>
        <v>26</v>
      </c>
      <c r="F28" s="61">
        <f>IF(FT!A28&lt;&gt;"",FT!A28*10,"")</f>
        <v>3.2170399999999999</v>
      </c>
      <c r="G28" s="61">
        <f>IF(FT!B28&lt;&gt;"",FT!B28*100,"")</f>
        <v>40.468800000000002</v>
      </c>
      <c r="H28" s="61">
        <f t="shared" si="1"/>
        <v>1</v>
      </c>
      <c r="I28" t="str">
        <f>IF(FT!B28&lt;&gt;"",FT!E28,"")</f>
        <v>1 [10.511159]</v>
      </c>
      <c r="J28">
        <f>IF(FT!B28&lt;&gt;"",FT!C28,"")</f>
        <v>10.511200000000001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3.2465199999999999</v>
      </c>
      <c r="G29" s="61">
        <f>IF(FT!B29&lt;&gt;"",FT!B29*100,"")</f>
        <v>40.767900000000004</v>
      </c>
      <c r="H29" s="61">
        <f t="shared" si="1"/>
        <v>1</v>
      </c>
      <c r="I29" t="str">
        <f>IF(FT!B29&lt;&gt;"",FT!E29,"")</f>
        <v>1 [10.918379]</v>
      </c>
      <c r="J29">
        <f>IF(FT!B29&lt;&gt;"",FT!C29,"")</f>
        <v>10.9184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3.2740200000000002</v>
      </c>
      <c r="G30" s="61">
        <f>IF(FT!B30&lt;&gt;"",FT!B30*100,"")</f>
        <v>41.169200000000004</v>
      </c>
      <c r="H30" s="61">
        <f t="shared" si="1"/>
        <v>1</v>
      </c>
      <c r="I30" t="str">
        <f>IF(FT!B30&lt;&gt;"",FT!E30,"")</f>
        <v>1 [11.320012]</v>
      </c>
      <c r="J30">
        <f>IF(FT!B30&lt;&gt;"",FT!C30,"")</f>
        <v>11.32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58679</v>
      </c>
      <c r="D31" s="61">
        <f>FH!B31*1</f>
        <v>58679</v>
      </c>
      <c r="E31">
        <f t="shared" si="3"/>
        <v>29</v>
      </c>
      <c r="F31" s="61">
        <f>IF(FT!A31&lt;&gt;"",FT!A31*10,"")</f>
        <v>3.2976399999999999</v>
      </c>
      <c r="G31" s="61">
        <f>IF(FT!B31&lt;&gt;"",FT!B31*100,"")</f>
        <v>41.571399999999997</v>
      </c>
      <c r="H31" s="61">
        <f t="shared" si="1"/>
        <v>1</v>
      </c>
      <c r="I31" t="str">
        <f>IF(FT!B31&lt;&gt;"",FT!E31,"")</f>
        <v>1 [11.727929]</v>
      </c>
      <c r="J31">
        <f>IF(FT!B31&lt;&gt;"",FT!C31,"")</f>
        <v>11.7279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3.3167499999999999</v>
      </c>
      <c r="G32" s="61">
        <f>IF(FT!B32&lt;&gt;"",FT!B32*100,"")</f>
        <v>41.899700000000003</v>
      </c>
      <c r="H32" s="61">
        <f t="shared" si="1"/>
        <v>1</v>
      </c>
      <c r="I32" t="str">
        <f>IF(FT!B32&lt;&gt;"",FT!E32,"")</f>
        <v>1 [12.133473]</v>
      </c>
      <c r="J32">
        <f>IF(FT!B32&lt;&gt;"",FT!C32,"")</f>
        <v>12.1335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63028</v>
      </c>
      <c r="D33" s="61">
        <f>FH!B33*1</f>
        <v>63028</v>
      </c>
      <c r="E33">
        <f t="shared" si="3"/>
        <v>31</v>
      </c>
      <c r="F33" s="61">
        <f>IF(FT!A33&lt;&gt;"",FT!A33*10,"")</f>
        <v>3.3311000000000002</v>
      </c>
      <c r="G33" s="61">
        <f>IF(FT!B33&lt;&gt;"",FT!B33*100,"")</f>
        <v>42.1738</v>
      </c>
      <c r="H33" s="61">
        <f t="shared" si="1"/>
        <v>1</v>
      </c>
      <c r="I33" t="str">
        <f>IF(FT!B33&lt;&gt;"",FT!E33,"")</f>
        <v>1 [12.542274]</v>
      </c>
      <c r="J33">
        <f>IF(FT!B33&lt;&gt;"",FT!C33,"")</f>
        <v>12.542299999999999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3.3420399999999999</v>
      </c>
      <c r="G34" s="61">
        <f>IF(FT!B34&lt;&gt;"",FT!B34*100,"")</f>
        <v>42.412700000000001</v>
      </c>
      <c r="H34" s="61">
        <f t="shared" si="1"/>
        <v>1</v>
      </c>
      <c r="I34" t="str">
        <f>IF(FT!B34&lt;&gt;"",FT!E34,"")</f>
        <v>1 [12.946941]</v>
      </c>
      <c r="J34">
        <f>IF(FT!B34&lt;&gt;"",FT!C34,"")</f>
        <v>12.946899999999999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3.3511200000000003</v>
      </c>
      <c r="G35" s="61">
        <f>IF(FT!B35&lt;&gt;"",FT!B35*100,"")</f>
        <v>42.64</v>
      </c>
      <c r="H35" s="61">
        <f t="shared" si="1"/>
        <v>1</v>
      </c>
      <c r="I35" t="str">
        <f>IF(FT!B35&lt;&gt;"",FT!E35,"")</f>
        <v>1 [13.353624]</v>
      </c>
      <c r="J35">
        <f>IF(FT!B35&lt;&gt;"",FT!C35,"")</f>
        <v>13.3536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62403</v>
      </c>
      <c r="D36" s="61">
        <f>FH!B36*1</f>
        <v>62403</v>
      </c>
      <c r="E36">
        <f t="shared" si="3"/>
        <v>34</v>
      </c>
      <c r="F36" s="61">
        <f>IF(FT!A36&lt;&gt;"",FT!A36*10,"")</f>
        <v>3.3583600000000002</v>
      </c>
      <c r="G36" s="61">
        <f>IF(FT!B36&lt;&gt;"",FT!B36*100,"")</f>
        <v>42.878</v>
      </c>
      <c r="H36" s="61">
        <f t="shared" si="1"/>
        <v>1</v>
      </c>
      <c r="I36" t="str">
        <f>IF(FT!B36&lt;&gt;"",FT!E36,"")</f>
        <v>1 [13.759083]</v>
      </c>
      <c r="J36">
        <f>IF(FT!B36&lt;&gt;"",FT!C36,"")</f>
        <v>13.7591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3.3632900000000001</v>
      </c>
      <c r="G37" s="61">
        <f>IF(FT!B37&lt;&gt;"",FT!B37*100,"")</f>
        <v>43.151000000000003</v>
      </c>
      <c r="H37" s="61">
        <f t="shared" si="1"/>
        <v>1</v>
      </c>
      <c r="I37" t="str">
        <f>IF(FT!B37&lt;&gt;"",FT!E37,"")</f>
        <v>1 [14.163832]</v>
      </c>
      <c r="J37">
        <f>IF(FT!B37&lt;&gt;"",FT!C37,"")</f>
        <v>14.1638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3.3662599999999996</v>
      </c>
      <c r="G38" s="61">
        <f>IF(FT!B38&lt;&gt;"",FT!B38*100,"")</f>
        <v>43.450499999999998</v>
      </c>
      <c r="H38" s="61">
        <f t="shared" si="1"/>
        <v>1</v>
      </c>
      <c r="I38" t="str">
        <f>IF(FT!B38&lt;&gt;"",FT!E38,"")</f>
        <v>1 [14.575418]</v>
      </c>
      <c r="J38">
        <f>IF(FT!B38&lt;&gt;"",FT!C38,"")</f>
        <v>14.5754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72536</v>
      </c>
      <c r="D39" s="61">
        <f>FH!B39*1</f>
        <v>72536</v>
      </c>
      <c r="E39">
        <f t="shared" si="3"/>
        <v>37</v>
      </c>
      <c r="F39" s="61">
        <f>IF(FT!A39&lt;&gt;"",FT!A39*10,"")</f>
        <v>3.3662900000000002</v>
      </c>
      <c r="G39" s="61">
        <f>IF(FT!B39&lt;&gt;"",FT!B39*100,"")</f>
        <v>43.783300000000004</v>
      </c>
      <c r="H39" s="61">
        <f t="shared" si="1"/>
        <v>1</v>
      </c>
      <c r="I39" t="str">
        <f>IF(FT!B39&lt;&gt;"",FT!E39,"")</f>
        <v>1 [14.978562]</v>
      </c>
      <c r="J39">
        <f>IF(FT!B39&lt;&gt;"",FT!C39,"")</f>
        <v>14.9786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3.3629899999999999</v>
      </c>
      <c r="G40" s="61">
        <f>IF(FT!B40&lt;&gt;"",FT!B40*100,"")</f>
        <v>44.173999999999999</v>
      </c>
      <c r="H40" s="61">
        <f t="shared" si="1"/>
        <v>1</v>
      </c>
      <c r="I40" t="str">
        <f>IF(FT!B40&lt;&gt;"",FT!E40,"")</f>
        <v>1 [15.388919]</v>
      </c>
      <c r="J40">
        <f>IF(FT!B40&lt;&gt;"",FT!C40,"")</f>
        <v>15.3889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78923</v>
      </c>
      <c r="D41" s="61">
        <f>FH!B41*1</f>
        <v>78923</v>
      </c>
      <c r="E41">
        <f t="shared" si="3"/>
        <v>39</v>
      </c>
      <c r="F41" s="61">
        <f>IF(FT!A41&lt;&gt;"",FT!A41*10,"")</f>
        <v>3.3614600000000001</v>
      </c>
      <c r="G41" s="61">
        <f>IF(FT!B41&lt;&gt;"",FT!B41*100,"")</f>
        <v>44.535299999999999</v>
      </c>
      <c r="H41" s="61">
        <f t="shared" si="1"/>
        <v>1</v>
      </c>
      <c r="I41" t="str">
        <f>IF(FT!B41&lt;&gt;"",FT!E41,"")</f>
        <v>1 [15.788872]</v>
      </c>
      <c r="J41">
        <f>IF(FT!B41&lt;&gt;"",FT!C41,"")</f>
        <v>15.7889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3.3608199999999999</v>
      </c>
      <c r="G42" s="61">
        <f>IF(FT!B42&lt;&gt;"",FT!B42*100,"")</f>
        <v>44.8628</v>
      </c>
      <c r="H42" s="61">
        <f t="shared" si="1"/>
        <v>1</v>
      </c>
      <c r="I42" t="str">
        <f>IF(FT!B42&lt;&gt;"",FT!E42,"")</f>
        <v>1 [16.196140]</v>
      </c>
      <c r="J42">
        <f>IF(FT!B42&lt;&gt;"",FT!C42,"")</f>
        <v>16.196100000000001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3.35839</v>
      </c>
      <c r="G43" s="61">
        <f>IF(FT!B43&lt;&gt;"",FT!B43*100,"")</f>
        <v>45.233800000000002</v>
      </c>
      <c r="H43" s="61">
        <f t="shared" si="1"/>
        <v>1</v>
      </c>
      <c r="I43" t="str">
        <f>IF(FT!B43&lt;&gt;"",FT!E43,"")</f>
        <v>1 [16.603674]</v>
      </c>
      <c r="J43">
        <f>IF(FT!B43&lt;&gt;"",FT!C43,"")</f>
        <v>16.6037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78061</v>
      </c>
      <c r="D44" s="61">
        <f>FH!B44*1</f>
        <v>78061</v>
      </c>
      <c r="E44">
        <f t="shared" si="3"/>
        <v>42</v>
      </c>
      <c r="F44" s="61">
        <f>IF(FT!A44&lt;&gt;"",FT!A44*10,"")</f>
        <v>3.35623</v>
      </c>
      <c r="G44" s="61">
        <f>IF(FT!B44&lt;&gt;"",FT!B44*100,"")</f>
        <v>45.676499999999997</v>
      </c>
      <c r="H44" s="61">
        <f t="shared" si="1"/>
        <v>1</v>
      </c>
      <c r="I44" t="str">
        <f>IF(FT!B44&lt;&gt;"",FT!E44,"")</f>
        <v>1 [17.013372]</v>
      </c>
      <c r="J44">
        <f>IF(FT!B44&lt;&gt;"",FT!C44,"")</f>
        <v>17.013400000000001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3.3527899999999997</v>
      </c>
      <c r="G45" s="61">
        <f>IF(FT!B45&lt;&gt;"",FT!B45*100,"")</f>
        <v>46.100900000000003</v>
      </c>
      <c r="H45" s="61">
        <f t="shared" si="1"/>
        <v>1</v>
      </c>
      <c r="I45" t="str">
        <f>IF(FT!B45&lt;&gt;"",FT!E45,"")</f>
        <v>1 [17.419203]</v>
      </c>
      <c r="J45">
        <f>IF(FT!B45&lt;&gt;"",FT!C45,"")</f>
        <v>17.4192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84427</v>
      </c>
      <c r="D46" s="61">
        <f>FH!B46*1</f>
        <v>84427</v>
      </c>
      <c r="E46">
        <f t="shared" si="3"/>
        <v>44</v>
      </c>
      <c r="F46" s="61">
        <f>IF(FT!A46&lt;&gt;"",FT!A46*10,"")</f>
        <v>3.3471899999999999</v>
      </c>
      <c r="G46" s="61">
        <f>IF(FT!B46&lt;&gt;"",FT!B46*100,"")</f>
        <v>46.479300000000002</v>
      </c>
      <c r="H46" s="61">
        <f t="shared" si="1"/>
        <v>1</v>
      </c>
      <c r="I46" t="str">
        <f>IF(FT!B46&lt;&gt;"",FT!E46,"")</f>
        <v>1 [17.820812]</v>
      </c>
      <c r="J46">
        <f>IF(FT!B46&lt;&gt;"",FT!C46,"")</f>
        <v>17.820799999999998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3.3456999999999999</v>
      </c>
      <c r="G47" s="61">
        <f>IF(FT!B47&lt;&gt;"",FT!B47*100,"")</f>
        <v>46.792299999999997</v>
      </c>
      <c r="H47" s="61">
        <f t="shared" si="1"/>
        <v>1</v>
      </c>
      <c r="I47" t="str">
        <f>IF(FT!B47&lt;&gt;"",FT!E47,"")</f>
        <v>1 [18.227221]</v>
      </c>
      <c r="J47">
        <f>IF(FT!B47&lt;&gt;"",FT!C47,"")</f>
        <v>18.2272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3.3460800000000002</v>
      </c>
      <c r="G48" s="61">
        <f>IF(FT!B48&lt;&gt;"",FT!B48*100,"")</f>
        <v>47.061199999999999</v>
      </c>
      <c r="H48" s="61">
        <f t="shared" si="1"/>
        <v>1</v>
      </c>
      <c r="I48" t="str">
        <f>IF(FT!B48&lt;&gt;"",FT!E48,"")</f>
        <v>1 [18.631730]</v>
      </c>
      <c r="J48">
        <f>IF(FT!B48&lt;&gt;"",FT!C48,"")</f>
        <v>18.631699999999999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91354</v>
      </c>
      <c r="D49" s="61">
        <f>FH!B49*1</f>
        <v>91354</v>
      </c>
      <c r="E49">
        <f t="shared" si="3"/>
        <v>47</v>
      </c>
      <c r="F49" s="61">
        <f>IF(FT!A49&lt;&gt;"",FT!A49*10,"")</f>
        <v>3.3497399999999997</v>
      </c>
      <c r="G49" s="61">
        <f>IF(FT!B49&lt;&gt;"",FT!B49*100,"")</f>
        <v>47.3</v>
      </c>
      <c r="H49" s="61">
        <f t="shared" si="1"/>
        <v>1</v>
      </c>
      <c r="I49" t="str">
        <f>IF(FT!B49&lt;&gt;"",FT!E49,"")</f>
        <v>1 [19.039196]</v>
      </c>
      <c r="J49">
        <f>IF(FT!B49&lt;&gt;"",FT!C49,"")</f>
        <v>19.039200000000001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3.3533200000000001</v>
      </c>
      <c r="G50" s="61">
        <f>IF(FT!B50&lt;&gt;"",FT!B50*100,"")</f>
        <v>47.563299999999998</v>
      </c>
      <c r="H50" s="61">
        <f t="shared" si="1"/>
        <v>1</v>
      </c>
      <c r="I50" t="str">
        <f>IF(FT!B50&lt;&gt;"",FT!E50,"")</f>
        <v>1 [19.447626]</v>
      </c>
      <c r="J50">
        <f>IF(FT!B50&lt;&gt;"",FT!C50,"")</f>
        <v>19.447600000000001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98476</v>
      </c>
      <c r="D51" s="61">
        <f>FH!B51*1</f>
        <v>98476</v>
      </c>
      <c r="E51">
        <f t="shared" si="3"/>
        <v>49</v>
      </c>
      <c r="F51" s="61">
        <f>IF(FT!A51&lt;&gt;"",FT!A51*10,"")</f>
        <v>3.3553899999999999</v>
      </c>
      <c r="G51" s="61">
        <f>IF(FT!B51&lt;&gt;"",FT!B51*100,"")</f>
        <v>47.899000000000001</v>
      </c>
      <c r="H51" s="61">
        <f t="shared" si="1"/>
        <v>1</v>
      </c>
      <c r="I51" t="str">
        <f>IF(FT!B51&lt;&gt;"",FT!E51,"")</f>
        <v>1 [19.857113]</v>
      </c>
      <c r="J51">
        <f>IF(FT!B51&lt;&gt;"",FT!C51,"")</f>
        <v>19.857099999999999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3.3567499999999999</v>
      </c>
      <c r="G52" s="61">
        <f>IF(FT!B52&lt;&gt;"",FT!B52*100,"")</f>
        <v>48.1449</v>
      </c>
      <c r="H52" s="61">
        <f t="shared" si="1"/>
        <v>1</v>
      </c>
      <c r="I52" t="str">
        <f>IF(FT!B52&lt;&gt;"",FT!E52,"")</f>
        <v>1 [20.257435]</v>
      </c>
      <c r="J52">
        <f>IF(FT!B52&lt;&gt;"",FT!C52,"")</f>
        <v>20.257400000000001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3.3642899999999996</v>
      </c>
      <c r="G53" s="61">
        <f>IF(FT!B53&lt;&gt;"",FT!B53*100,"")</f>
        <v>48.432299999999998</v>
      </c>
      <c r="H53" s="61">
        <f t="shared" si="1"/>
        <v>1</v>
      </c>
      <c r="I53" t="str">
        <f>IF(FT!B53&lt;&gt;"",FT!E53,"")</f>
        <v>1 [20.663119]</v>
      </c>
      <c r="J53">
        <f>IF(FT!B53&lt;&gt;"",FT!C53,"")</f>
        <v>20.6631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100991</v>
      </c>
      <c r="D54" s="61">
        <f>FH!B54*1</f>
        <v>100991</v>
      </c>
      <c r="E54">
        <f t="shared" si="3"/>
        <v>52</v>
      </c>
      <c r="F54" s="61">
        <f>IF(FT!A54&lt;&gt;"",FT!A54*10,"")</f>
        <v>3.3736100000000002</v>
      </c>
      <c r="G54" s="61">
        <f>IF(FT!B54&lt;&gt;"",FT!B54*100,"")</f>
        <v>48.646799999999999</v>
      </c>
      <c r="H54" s="61">
        <f t="shared" si="1"/>
        <v>1</v>
      </c>
      <c r="I54" t="str">
        <f>IF(FT!B54&lt;&gt;"",FT!E54,"")</f>
        <v>1 [21.072050]</v>
      </c>
      <c r="J54">
        <f>IF(FT!B54&lt;&gt;"",FT!C54,"")</f>
        <v>21.072099999999999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3.3844699999999999</v>
      </c>
      <c r="G55" s="61">
        <f>IF(FT!B55&lt;&gt;"",FT!B55*100,"")</f>
        <v>48.783799999999999</v>
      </c>
      <c r="H55" s="61">
        <f t="shared" si="1"/>
        <v>1</v>
      </c>
      <c r="I55" t="str">
        <f>IF(FT!B55&lt;&gt;"",FT!E55,"")</f>
        <v>1 [21.476899]</v>
      </c>
      <c r="J55">
        <f>IF(FT!B55&lt;&gt;"",FT!C55,"")</f>
        <v>21.476900000000001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3.3973500000000003</v>
      </c>
      <c r="G56" s="61">
        <f>IF(FT!B56&lt;&gt;"",FT!B56*100,"")</f>
        <v>48.930099999999996</v>
      </c>
      <c r="H56" s="61">
        <f t="shared" si="1"/>
        <v>1</v>
      </c>
      <c r="I56" t="str">
        <f>IF(FT!B56&lt;&gt;"",FT!E56,"")</f>
        <v>1 [21.884637]</v>
      </c>
      <c r="J56">
        <f>IF(FT!B56&lt;&gt;"",FT!C56,"")</f>
        <v>21.884599999999999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120896</v>
      </c>
      <c r="D57" s="61">
        <f>FH!B57*1</f>
        <v>120896</v>
      </c>
      <c r="E57">
        <f t="shared" si="3"/>
        <v>55</v>
      </c>
      <c r="F57" s="61">
        <f>IF(FT!A57&lt;&gt;"",FT!A57*10,"")</f>
        <v>3.4100799999999998</v>
      </c>
      <c r="G57" s="61">
        <f>IF(FT!B57&lt;&gt;"",FT!B57*100,"")</f>
        <v>49.145299999999999</v>
      </c>
      <c r="H57" s="61">
        <f t="shared" si="1"/>
        <v>1</v>
      </c>
      <c r="I57" t="str">
        <f>IF(FT!B57&lt;&gt;"",FT!E57,"")</f>
        <v>1 [22.291290]</v>
      </c>
      <c r="J57">
        <f>IF(FT!B57&lt;&gt;"",FT!C57,"")</f>
        <v>22.2913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3.42631</v>
      </c>
      <c r="G58" s="61">
        <f>IF(FT!B58&lt;&gt;"",FT!B58*100,"")</f>
        <v>49.3566</v>
      </c>
      <c r="H58" s="61">
        <f t="shared" si="1"/>
        <v>1</v>
      </c>
      <c r="I58" t="str">
        <f>IF(FT!B58&lt;&gt;"",FT!E58,"")</f>
        <v>1 [22.697633]</v>
      </c>
      <c r="J58">
        <f>IF(FT!B58&lt;&gt;"",FT!C58,"")</f>
        <v>22.697600000000001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122793</v>
      </c>
      <c r="D59" s="61">
        <f>FH!B59*1</f>
        <v>122793</v>
      </c>
      <c r="E59">
        <f t="shared" si="3"/>
        <v>57</v>
      </c>
      <c r="F59" s="61">
        <f>IF(FT!A59&lt;&gt;"",FT!A59*10,"")</f>
        <v>3.4405700000000001</v>
      </c>
      <c r="G59" s="61">
        <f>IF(FT!B59&lt;&gt;"",FT!B59*100,"")</f>
        <v>49.581099999999999</v>
      </c>
      <c r="H59" s="61">
        <f t="shared" si="1"/>
        <v>1</v>
      </c>
      <c r="I59" t="str">
        <f>IF(FT!B59&lt;&gt;"",FT!E59,"")</f>
        <v>1 [23.101954]</v>
      </c>
      <c r="J59">
        <f>IF(FT!B59&lt;&gt;"",FT!C59,"")</f>
        <v>23.102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3.4548899999999998</v>
      </c>
      <c r="G60" s="61">
        <f>IF(FT!B60&lt;&gt;"",FT!B60*100,"")</f>
        <v>49.736799999999995</v>
      </c>
      <c r="H60" s="61">
        <f t="shared" si="1"/>
        <v>1</v>
      </c>
      <c r="I60" t="str">
        <f>IF(FT!B60&lt;&gt;"",FT!E60,"")</f>
        <v>1 [23.508284]</v>
      </c>
      <c r="J60">
        <f>IF(FT!B60&lt;&gt;"",FT!C60,"")</f>
        <v>23.508299999999998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3.4701500000000003</v>
      </c>
      <c r="G61" s="61">
        <f>IF(FT!B61&lt;&gt;"",FT!B61*100,"")</f>
        <v>49.831399999999995</v>
      </c>
      <c r="H61" s="61">
        <f t="shared" si="1"/>
        <v>1</v>
      </c>
      <c r="I61" t="str">
        <f>IF(FT!B61&lt;&gt;"",FT!E61,"")</f>
        <v>1 [23.913676]</v>
      </c>
      <c r="J61">
        <f>IF(FT!B61&lt;&gt;"",FT!C61,"")</f>
        <v>23.913699999999999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136685</v>
      </c>
      <c r="D62" s="61">
        <f>FH!B62*1</f>
        <v>136685</v>
      </c>
      <c r="E62">
        <f t="shared" si="3"/>
        <v>60</v>
      </c>
      <c r="F62" s="61">
        <f>IF(FT!A62&lt;&gt;"",FT!A62*10,"")</f>
        <v>3.4875699999999998</v>
      </c>
      <c r="G62" s="61">
        <f>IF(FT!B62&lt;&gt;"",FT!B62*100,"")</f>
        <v>49.862099999999998</v>
      </c>
      <c r="H62" s="61">
        <f t="shared" si="1"/>
        <v>1</v>
      </c>
      <c r="I62" t="str">
        <f>IF(FT!B62&lt;&gt;"",FT!E62,"")</f>
        <v>1 [24.322320]</v>
      </c>
      <c r="J62">
        <f>IF(FT!B62&lt;&gt;"",FT!C62,"")</f>
        <v>24.322299999999998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3.5063499999999999</v>
      </c>
      <c r="G63" s="61">
        <f>IF(FT!B63&lt;&gt;"",FT!B63*100,"")</f>
        <v>49.791000000000004</v>
      </c>
      <c r="H63" s="61">
        <f t="shared" si="1"/>
        <v>1</v>
      </c>
      <c r="I63" t="str">
        <f>IF(FT!B63&lt;&gt;"",FT!E63,"")</f>
        <v>1 [24.729192]</v>
      </c>
      <c r="J63">
        <f>IF(FT!B63&lt;&gt;"",FT!C63,"")</f>
        <v>24.729199999999999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144846</v>
      </c>
      <c r="D64" s="61">
        <f>FH!B64*1</f>
        <v>144846</v>
      </c>
      <c r="E64">
        <f t="shared" si="3"/>
        <v>62</v>
      </c>
      <c r="F64" s="61">
        <f>IF(FT!A64&lt;&gt;"",FT!A64*10,"")</f>
        <v>3.5269899999999996</v>
      </c>
      <c r="G64" s="61">
        <f>IF(FT!B64&lt;&gt;"",FT!B64*100,"")</f>
        <v>49.716700000000003</v>
      </c>
      <c r="H64" s="61">
        <f t="shared" si="1"/>
        <v>1</v>
      </c>
      <c r="I64" t="str">
        <f>IF(FT!B64&lt;&gt;"",FT!E64,"")</f>
        <v>1 [25.133929]</v>
      </c>
      <c r="J64">
        <f>IF(FT!B64&lt;&gt;"",FT!C64,"")</f>
        <v>25.133900000000001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3.5493299999999999</v>
      </c>
      <c r="G65" s="61">
        <f>IF(FT!B65&lt;&gt;"",FT!B65*100,"")</f>
        <v>49.686700000000002</v>
      </c>
      <c r="H65" s="61">
        <f t="shared" si="1"/>
        <v>1</v>
      </c>
      <c r="I65" t="str">
        <f>IF(FT!B65&lt;&gt;"",FT!E65,"")</f>
        <v>1 [25.544153]</v>
      </c>
      <c r="J65">
        <f>IF(FT!B65&lt;&gt;"",FT!C65,"")</f>
        <v>25.5442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3.5710700000000002</v>
      </c>
      <c r="G66" s="61">
        <f>IF(FT!B66&lt;&gt;"",FT!B66*100,"")</f>
        <v>49.688800000000001</v>
      </c>
      <c r="H66" s="61">
        <f t="shared" si="1"/>
        <v>1</v>
      </c>
      <c r="I66" t="str">
        <f>IF(FT!B66&lt;&gt;"",FT!E66,"")</f>
        <v>1 [25.947307]</v>
      </c>
      <c r="J66">
        <f>IF(FT!B66&lt;&gt;"",FT!C66,"")</f>
        <v>25.947299999999998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153915</v>
      </c>
      <c r="D67" s="61">
        <f>FH!B67*1</f>
        <v>153915</v>
      </c>
      <c r="E67">
        <f t="shared" si="3"/>
        <v>65</v>
      </c>
      <c r="F67" s="61">
        <f>IF(FT!A67&lt;&gt;"",FT!A67*10,"")</f>
        <v>3.5926499999999999</v>
      </c>
      <c r="G67" s="61">
        <f>IF(FT!B67&lt;&gt;"",FT!B67*100,"")</f>
        <v>49.702400000000004</v>
      </c>
      <c r="H67" s="61">
        <f t="shared" ref="H67:H130" si="9">(IF(F67&lt;&gt;"",1,""))</f>
        <v>1</v>
      </c>
      <c r="I67" t="str">
        <f>IF(FT!B67&lt;&gt;"",FT!E67,"")</f>
        <v>1 [26.353929]</v>
      </c>
      <c r="J67">
        <f>IF(FT!B67&lt;&gt;"",FT!C67,"")</f>
        <v>26.353899999999999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3.6144100000000003</v>
      </c>
      <c r="G68" s="61">
        <f>IF(FT!B68&lt;&gt;"",FT!B68*100,"")</f>
        <v>49.744999999999997</v>
      </c>
      <c r="H68" s="61">
        <f t="shared" si="9"/>
        <v>1</v>
      </c>
      <c r="I68" t="str">
        <f>IF(FT!B68&lt;&gt;"",FT!E68,"")</f>
        <v>1 [26.759376]</v>
      </c>
      <c r="J68">
        <f>IF(FT!B68&lt;&gt;"",FT!C68,"")</f>
        <v>26.759399999999999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165918</v>
      </c>
      <c r="D69" s="61">
        <f>FH!B69*1</f>
        <v>165918</v>
      </c>
      <c r="E69">
        <f t="shared" si="11"/>
        <v>67</v>
      </c>
      <c r="F69" s="61">
        <f>IF(FT!A69&lt;&gt;"",FT!A69*10,"")</f>
        <v>3.63931</v>
      </c>
      <c r="G69" s="61">
        <f>IF(FT!B69&lt;&gt;"",FT!B69*100,"")</f>
        <v>49.682600000000001</v>
      </c>
      <c r="H69" s="61">
        <f t="shared" si="9"/>
        <v>1</v>
      </c>
      <c r="I69" t="str">
        <f>IF(FT!B69&lt;&gt;"",FT!E69,"")</f>
        <v>1 [27.163144]</v>
      </c>
      <c r="J69">
        <f>IF(FT!B69&lt;&gt;"",FT!C69,"")</f>
        <v>27.1631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3.6694100000000001</v>
      </c>
      <c r="G70" s="61">
        <f>IF(FT!B70&lt;&gt;"",FT!B70*100,"")</f>
        <v>49.531599999999997</v>
      </c>
      <c r="H70" s="61">
        <f t="shared" si="9"/>
        <v>1</v>
      </c>
      <c r="I70" t="str">
        <f>IF(FT!B70&lt;&gt;"",FT!E70,"")</f>
        <v>1 [27.570490]</v>
      </c>
      <c r="J70">
        <f>IF(FT!B70&lt;&gt;"",FT!C70,"")</f>
        <v>27.570499999999999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3.7024600000000003</v>
      </c>
      <c r="G71" s="61">
        <f>IF(FT!B71&lt;&gt;"",FT!B71*100,"")</f>
        <v>49.3386</v>
      </c>
      <c r="H71" s="61">
        <f t="shared" si="9"/>
        <v>1</v>
      </c>
      <c r="I71" t="str">
        <f>IF(FT!B71&lt;&gt;"",FT!E71,"")</f>
        <v>1 [27.977569]</v>
      </c>
      <c r="J71">
        <f>IF(FT!B71&lt;&gt;"",FT!C71,"")</f>
        <v>27.977599999999999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174544</v>
      </c>
      <c r="D72" s="61">
        <f>FH!B72*1</f>
        <v>174544</v>
      </c>
      <c r="E72">
        <f t="shared" si="11"/>
        <v>70</v>
      </c>
      <c r="F72" s="61">
        <f>IF(FT!A72&lt;&gt;"",FT!A72*10,"")</f>
        <v>3.7349300000000003</v>
      </c>
      <c r="G72" s="61">
        <f>IF(FT!B72&lt;&gt;"",FT!B72*100,"")</f>
        <v>49.070599999999999</v>
      </c>
      <c r="H72" s="61">
        <f t="shared" si="9"/>
        <v>1</v>
      </c>
      <c r="I72" t="str">
        <f>IF(FT!B72&lt;&gt;"",FT!E72,"")</f>
        <v>1 [28.384027]</v>
      </c>
      <c r="J72">
        <f>IF(FT!B72&lt;&gt;"",FT!C72,"")</f>
        <v>28.384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3.7666399999999998</v>
      </c>
      <c r="G73" s="61">
        <f>IF(FT!B73&lt;&gt;"",FT!B73*100,"")</f>
        <v>48.747500000000002</v>
      </c>
      <c r="H73" s="61">
        <f t="shared" si="9"/>
        <v>1</v>
      </c>
      <c r="I73" t="str">
        <f>IF(FT!B73&lt;&gt;"",FT!E73,"")</f>
        <v>1 [28.790550]</v>
      </c>
      <c r="J73">
        <f>IF(FT!B73&lt;&gt;"",FT!C73,"")</f>
        <v>28.790500000000002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3.7949199999999998</v>
      </c>
      <c r="G74" s="61">
        <f>IF(FT!B74&lt;&gt;"",FT!B74*100,"")</f>
        <v>48.4773</v>
      </c>
      <c r="H74" s="61">
        <f t="shared" si="9"/>
        <v>1</v>
      </c>
      <c r="I74" t="str">
        <f>IF(FT!B74&lt;&gt;"",FT!E74,"")</f>
        <v>1 [29.196506]</v>
      </c>
      <c r="J74">
        <f>IF(FT!B74&lt;&gt;"",FT!C74,"")</f>
        <v>29.1965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174449</v>
      </c>
      <c r="D75" s="61">
        <f>FH!B75*1</f>
        <v>174449</v>
      </c>
      <c r="E75">
        <f t="shared" si="11"/>
        <v>73</v>
      </c>
      <c r="F75" s="61">
        <f>IF(FT!A75&lt;&gt;"",FT!A75*10,"")</f>
        <v>3.8211299999999997</v>
      </c>
      <c r="G75" s="61">
        <f>IF(FT!B75&lt;&gt;"",FT!B75*100,"")</f>
        <v>48.222099999999998</v>
      </c>
      <c r="H75" s="61">
        <f t="shared" si="9"/>
        <v>1</v>
      </c>
      <c r="I75" t="str">
        <f>IF(FT!B75&lt;&gt;"",FT!E75,"")</f>
        <v>1 [29.603584]</v>
      </c>
      <c r="J75">
        <f>IF(FT!B75&lt;&gt;"",FT!C75,"")</f>
        <v>29.6036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3.8480999999999996</v>
      </c>
      <c r="G76" s="61">
        <f>IF(FT!B76&lt;&gt;"",FT!B76*100,"")</f>
        <v>47.9373</v>
      </c>
      <c r="H76" s="61">
        <f t="shared" si="9"/>
        <v>1</v>
      </c>
      <c r="I76" t="str">
        <f>IF(FT!B76&lt;&gt;"",FT!E76,"")</f>
        <v>1 [30.011046]</v>
      </c>
      <c r="J76">
        <f>IF(FT!B76&lt;&gt;"",FT!C76,"")</f>
        <v>30.010999999999999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182258</v>
      </c>
      <c r="D77" s="61">
        <f>FH!B77*1</f>
        <v>182258</v>
      </c>
      <c r="E77">
        <f t="shared" si="11"/>
        <v>75</v>
      </c>
      <c r="F77" s="61">
        <f>IF(FT!A77&lt;&gt;"",FT!A77*10,"")</f>
        <v>3.8766800000000003</v>
      </c>
      <c r="G77" s="61">
        <f>IF(FT!B77&lt;&gt;"",FT!B77*100,"")</f>
        <v>47.459800000000001</v>
      </c>
      <c r="H77" s="61">
        <f t="shared" si="9"/>
        <v>1</v>
      </c>
      <c r="I77" t="str">
        <f>IF(FT!B77&lt;&gt;"",FT!E77,"")</f>
        <v>2 [30.603257]</v>
      </c>
      <c r="J77">
        <f>IF(FT!B77&lt;&gt;"",FT!C77,"")</f>
        <v>30.603300000000001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3.8936500000000001</v>
      </c>
      <c r="G78" s="61">
        <f>IF(FT!B78&lt;&gt;"",FT!B78*100,"")</f>
        <v>47.197899999999997</v>
      </c>
      <c r="H78" s="61">
        <f t="shared" si="9"/>
        <v>1</v>
      </c>
      <c r="I78" t="str">
        <f>IF(FT!B78&lt;&gt;"",FT!E78,"")</f>
        <v>2 [30.978921]</v>
      </c>
      <c r="J78">
        <f>IF(FT!B78&lt;&gt;"",FT!C78,"")</f>
        <v>30.978899999999999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3.9059899999999996</v>
      </c>
      <c r="G79" s="61">
        <f>IF(FT!B79&lt;&gt;"",FT!B79*100,"")</f>
        <v>46.966999999999999</v>
      </c>
      <c r="H79" s="61">
        <f t="shared" si="9"/>
        <v>1</v>
      </c>
      <c r="I79" t="str">
        <f>IF(FT!B79&lt;&gt;"",FT!E79,"")</f>
        <v>2 [31.353346]</v>
      </c>
      <c r="J79">
        <f>IF(FT!B79&lt;&gt;"",FT!C79,"")</f>
        <v>31.353300000000001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188502</v>
      </c>
      <c r="D80" s="61">
        <f>FH!B80*1</f>
        <v>188502</v>
      </c>
      <c r="E80">
        <f t="shared" si="11"/>
        <v>78</v>
      </c>
      <c r="F80" s="61">
        <f>IF(FT!A80&lt;&gt;"",FT!A80*10,"")</f>
        <v>3.9144299999999999</v>
      </c>
      <c r="G80" s="61">
        <f>IF(FT!B80&lt;&gt;"",FT!B80*100,"")</f>
        <v>46.6892</v>
      </c>
      <c r="H80" s="61">
        <f t="shared" si="9"/>
        <v>1</v>
      </c>
      <c r="I80" t="str">
        <f>IF(FT!B80&lt;&gt;"",FT!E80,"")</f>
        <v>2 [31.727412]</v>
      </c>
      <c r="J80">
        <f>IF(FT!B80&lt;&gt;"",FT!C80,"")</f>
        <v>31.727399999999999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3.91886</v>
      </c>
      <c r="G81" s="61">
        <f>IF(FT!B81&lt;&gt;"",FT!B81*100,"")</f>
        <v>46.433</v>
      </c>
      <c r="H81" s="61">
        <f t="shared" si="9"/>
        <v>1</v>
      </c>
      <c r="I81" t="str">
        <f>IF(FT!B81&lt;&gt;"",FT!E81,"")</f>
        <v>2 [32.106885]</v>
      </c>
      <c r="J81">
        <f>IF(FT!B81&lt;&gt;"",FT!C81,"")</f>
        <v>32.106900000000003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190489</v>
      </c>
      <c r="D82" s="61">
        <f>FH!B82*1</f>
        <v>190489</v>
      </c>
      <c r="E82">
        <f t="shared" si="11"/>
        <v>80</v>
      </c>
      <c r="F82" s="61">
        <f>IF(FT!A82&lt;&gt;"",FT!A82*10,"")</f>
        <v>3.92082</v>
      </c>
      <c r="G82" s="61">
        <f>IF(FT!B82&lt;&gt;"",FT!B82*100,"")</f>
        <v>46.198599999999999</v>
      </c>
      <c r="H82" s="61">
        <f t="shared" si="9"/>
        <v>1</v>
      </c>
      <c r="I82" t="str">
        <f>IF(FT!B82&lt;&gt;"",FT!E82,"")</f>
        <v>2 [32.508624]</v>
      </c>
      <c r="J82">
        <f>IF(FT!B82&lt;&gt;"",FT!C82,"")</f>
        <v>32.508600000000001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3.92157</v>
      </c>
      <c r="G83" s="61">
        <f>IF(FT!B83&lt;&gt;"",FT!B83*100,"")</f>
        <v>45.969000000000001</v>
      </c>
      <c r="H83" s="61">
        <f t="shared" si="9"/>
        <v>1</v>
      </c>
      <c r="I83" t="str">
        <f>IF(FT!B83&lt;&gt;"",FT!E83,"")</f>
        <v>2 [32.917251]</v>
      </c>
      <c r="J83">
        <f>IF(FT!B83&lt;&gt;"",FT!C83,"")</f>
        <v>32.917299999999997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3.9225399999999997</v>
      </c>
      <c r="G84" s="61">
        <f>IF(FT!B84&lt;&gt;"",FT!B84*100,"")</f>
        <v>45.733200000000004</v>
      </c>
      <c r="H84" s="61">
        <f t="shared" si="9"/>
        <v>1</v>
      </c>
      <c r="I84" t="str">
        <f>IF(FT!B84&lt;&gt;"",FT!E84,"")</f>
        <v>2 [33.322115]</v>
      </c>
      <c r="J84">
        <f>IF(FT!B84&lt;&gt;"",FT!C84,"")</f>
        <v>33.322099999999999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196770</v>
      </c>
      <c r="D85" s="61">
        <f>FH!B85*1</f>
        <v>196770</v>
      </c>
      <c r="E85">
        <f t="shared" si="11"/>
        <v>83</v>
      </c>
      <c r="F85" s="61">
        <f>IF(FT!A85&lt;&gt;"",FT!A85*10,"")</f>
        <v>3.9203100000000002</v>
      </c>
      <c r="G85" s="61">
        <f>IF(FT!B85&lt;&gt;"",FT!B85*100,"")</f>
        <v>45.4848</v>
      </c>
      <c r="H85" s="61">
        <f t="shared" si="9"/>
        <v>1</v>
      </c>
      <c r="I85" t="str">
        <f>IF(FT!B85&lt;&gt;"",FT!E85,"")</f>
        <v>2 [33.728289]</v>
      </c>
      <c r="J85">
        <f>IF(FT!B85&lt;&gt;"",FT!C85,"")</f>
        <v>33.728299999999997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3.9141300000000001</v>
      </c>
      <c r="G86" s="61">
        <f>IF(FT!B86&lt;&gt;"",FT!B86*100,"")</f>
        <v>45.240900000000003</v>
      </c>
      <c r="H86" s="61">
        <f t="shared" si="9"/>
        <v>1</v>
      </c>
      <c r="I86" t="str">
        <f>IF(FT!B86&lt;&gt;"",FT!E86,"")</f>
        <v>2 [34.132336]</v>
      </c>
      <c r="J86">
        <f>IF(FT!B86&lt;&gt;"",FT!C86,"")</f>
        <v>34.132300000000001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3.9045200000000002</v>
      </c>
      <c r="G87" s="61">
        <f>IF(FT!B87&lt;&gt;"",FT!B87*100,"")</f>
        <v>44.947199999999995</v>
      </c>
      <c r="H87" s="61">
        <f t="shared" si="9"/>
        <v>1</v>
      </c>
      <c r="I87" t="str">
        <f>IF(FT!B87&lt;&gt;"",FT!E87,"")</f>
        <v>2 [34.542872]</v>
      </c>
      <c r="J87">
        <f>IF(FT!B87&lt;&gt;"",FT!C87,"")</f>
        <v>34.542900000000003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200389</v>
      </c>
      <c r="D88" s="61">
        <f>FH!B88*1</f>
        <v>200389</v>
      </c>
      <c r="E88">
        <f t="shared" si="11"/>
        <v>86</v>
      </c>
      <c r="F88" s="61">
        <f>IF(FT!A88&lt;&gt;"",FT!A88*10,"")</f>
        <v>3.88971</v>
      </c>
      <c r="G88" s="61">
        <f>IF(FT!B88&lt;&gt;"",FT!B88*100,"")</f>
        <v>44.625900000000001</v>
      </c>
      <c r="H88" s="61">
        <f t="shared" si="9"/>
        <v>1</v>
      </c>
      <c r="I88" t="str">
        <f>IF(FT!B88&lt;&gt;"",FT!E88,"")</f>
        <v>2 [34.948618]</v>
      </c>
      <c r="J88">
        <f>IF(FT!B88&lt;&gt;"",FT!C88,"")</f>
        <v>34.948599999999999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3.8725300000000002</v>
      </c>
      <c r="G89" s="61">
        <f>IF(FT!B89&lt;&gt;"",FT!B89*100,"")</f>
        <v>44.2652</v>
      </c>
      <c r="H89" s="61">
        <f t="shared" si="9"/>
        <v>1</v>
      </c>
      <c r="I89" t="str">
        <f>IF(FT!B89&lt;&gt;"",FT!E89,"")</f>
        <v>2 [35.350675]</v>
      </c>
      <c r="J89">
        <f>IF(FT!B89&lt;&gt;"",FT!C89,"")</f>
        <v>35.350700000000003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200837</v>
      </c>
      <c r="D90" s="61">
        <f>FH!B90*1</f>
        <v>200837</v>
      </c>
      <c r="E90">
        <f t="shared" si="11"/>
        <v>88</v>
      </c>
      <c r="F90" s="61">
        <f>IF(FT!A90&lt;&gt;"",FT!A90*10,"")</f>
        <v>3.8546000000000005</v>
      </c>
      <c r="G90" s="61">
        <f>IF(FT!B90&lt;&gt;"",FT!B90*100,"")</f>
        <v>43.869</v>
      </c>
      <c r="H90" s="61">
        <f t="shared" si="9"/>
        <v>1</v>
      </c>
      <c r="I90" t="str">
        <f>IF(FT!B90&lt;&gt;"",FT!E90,"")</f>
        <v>2 [35.756384]</v>
      </c>
      <c r="J90">
        <f>IF(FT!B90&lt;&gt;"",FT!C90,"")</f>
        <v>35.756399999999999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3.8325300000000002</v>
      </c>
      <c r="G91" s="61">
        <f>IF(FT!B91&lt;&gt;"",FT!B91*100,"")</f>
        <v>43.458599999999997</v>
      </c>
      <c r="H91" s="61">
        <f t="shared" si="9"/>
        <v>1</v>
      </c>
      <c r="I91" t="str">
        <f>IF(FT!B91&lt;&gt;"",FT!E91,"")</f>
        <v>2 [36.165374]</v>
      </c>
      <c r="J91">
        <f>IF(FT!B91&lt;&gt;"",FT!C91,"")</f>
        <v>36.165399999999998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3.8097700000000003</v>
      </c>
      <c r="G92" s="61">
        <f>IF(FT!B92&lt;&gt;"",FT!B92*100,"")</f>
        <v>43.029600000000002</v>
      </c>
      <c r="H92" s="61">
        <f t="shared" si="9"/>
        <v>1</v>
      </c>
      <c r="I92" t="str">
        <f>IF(FT!B92&lt;&gt;"",FT!E92,"")</f>
        <v>2 [36.570410]</v>
      </c>
      <c r="J92">
        <f>IF(FT!B92&lt;&gt;"",FT!C92,"")</f>
        <v>36.570399999999999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203842</v>
      </c>
      <c r="D93" s="61">
        <f>FH!B93*1</f>
        <v>203842</v>
      </c>
      <c r="E93">
        <f t="shared" si="11"/>
        <v>91</v>
      </c>
      <c r="F93" s="61">
        <f>IF(FT!A93&lt;&gt;"",FT!A93*10,"")</f>
        <v>3.7840499999999997</v>
      </c>
      <c r="G93" s="61">
        <f>IF(FT!B93&lt;&gt;"",FT!B93*100,"")</f>
        <v>42.602499999999999</v>
      </c>
      <c r="H93" s="61">
        <f t="shared" si="9"/>
        <v>1</v>
      </c>
      <c r="I93" t="str">
        <f>IF(FT!B93&lt;&gt;"",FT!E93,"")</f>
        <v>2 [36.981810]</v>
      </c>
      <c r="J93">
        <f>IF(FT!B93&lt;&gt;"",FT!C93,"")</f>
        <v>36.9818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3.75346</v>
      </c>
      <c r="G94" s="61">
        <f>IF(FT!B94&lt;&gt;"",FT!B94*100,"")</f>
        <v>42.257300000000001</v>
      </c>
      <c r="H94" s="61">
        <f t="shared" si="9"/>
        <v>1</v>
      </c>
      <c r="I94" t="str">
        <f>IF(FT!B94&lt;&gt;"",FT!E94,"")</f>
        <v>2 [37.387601]</v>
      </c>
      <c r="J94">
        <f>IF(FT!B94&lt;&gt;"",FT!C94,"")</f>
        <v>37.387599999999999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210644</v>
      </c>
      <c r="D95" s="61">
        <f>FH!B95*1</f>
        <v>210644</v>
      </c>
      <c r="E95">
        <f t="shared" si="11"/>
        <v>93</v>
      </c>
      <c r="F95" s="61">
        <f>IF(FT!A95&lt;&gt;"",FT!A95*10,"")</f>
        <v>3.7209199999999996</v>
      </c>
      <c r="G95" s="61">
        <f>IF(FT!B95&lt;&gt;"",FT!B95*100,"")</f>
        <v>42.078099999999999</v>
      </c>
      <c r="H95" s="61">
        <f t="shared" si="9"/>
        <v>1</v>
      </c>
      <c r="I95" t="str">
        <f>IF(FT!B95&lt;&gt;"",FT!E95,"")</f>
        <v>2 [37.789184]</v>
      </c>
      <c r="J95">
        <f>IF(FT!B95&lt;&gt;"",FT!C95,"")</f>
        <v>37.789200000000001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3.6870799999999999</v>
      </c>
      <c r="G96" s="61">
        <f>IF(FT!B96&lt;&gt;"",FT!B96*100,"")</f>
        <v>42.0625</v>
      </c>
      <c r="H96" s="61">
        <f t="shared" si="9"/>
        <v>1</v>
      </c>
      <c r="I96" t="str">
        <f>IF(FT!B96&lt;&gt;"",FT!E96,"")</f>
        <v>2 [38.196341]</v>
      </c>
      <c r="J96">
        <f>IF(FT!B96&lt;&gt;"",FT!C96,"")</f>
        <v>38.196300000000001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3.65124</v>
      </c>
      <c r="G97" s="61">
        <f>IF(FT!B97&lt;&gt;"",FT!B97*100,"")</f>
        <v>42.237299999999998</v>
      </c>
      <c r="H97" s="61">
        <f t="shared" si="9"/>
        <v>1</v>
      </c>
      <c r="I97" t="str">
        <f>IF(FT!B97&lt;&gt;"",FT!E97,"")</f>
        <v>2 [38.603931]</v>
      </c>
      <c r="J97">
        <f>IF(FT!B97&lt;&gt;"",FT!C97,"")</f>
        <v>38.603900000000003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206569</v>
      </c>
      <c r="D98" s="61">
        <f>FH!B98*1</f>
        <v>206569</v>
      </c>
      <c r="E98">
        <f t="shared" si="11"/>
        <v>96</v>
      </c>
      <c r="F98" s="61">
        <f>IF(FT!A98&lt;&gt;"",FT!A98*10,"")</f>
        <v>3.6172399999999998</v>
      </c>
      <c r="G98" s="61">
        <f>IF(FT!B98&lt;&gt;"",FT!B98*100,"")</f>
        <v>42.506300000000003</v>
      </c>
      <c r="H98" s="61">
        <f t="shared" si="9"/>
        <v>1</v>
      </c>
      <c r="I98" t="str">
        <f>IF(FT!B98&lt;&gt;"",FT!E98,"")</f>
        <v>2 [39.013748]</v>
      </c>
      <c r="J98">
        <f>IF(FT!B98&lt;&gt;"",FT!C98,"")</f>
        <v>39.0137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3.5848400000000002</v>
      </c>
      <c r="G99" s="61">
        <f>IF(FT!B99&lt;&gt;"",FT!B99*100,"")</f>
        <v>42.737299999999998</v>
      </c>
      <c r="H99" s="61">
        <f t="shared" si="9"/>
        <v>1</v>
      </c>
      <c r="I99" t="str">
        <f>IF(FT!B99&lt;&gt;"",FT!E99,"")</f>
        <v>2 [39.415288]</v>
      </c>
      <c r="J99">
        <f>IF(FT!B99&lt;&gt;"",FT!C99,"")</f>
        <v>39.415300000000002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197774</v>
      </c>
      <c r="D100" s="61">
        <f>FH!B100*1</f>
        <v>197774</v>
      </c>
      <c r="E100">
        <f t="shared" si="11"/>
        <v>98</v>
      </c>
      <c r="F100" s="61">
        <f>IF(FT!A100&lt;&gt;"",FT!A100*10,"")</f>
        <v>3.5535699999999997</v>
      </c>
      <c r="G100" s="61">
        <f>IF(FT!B100&lt;&gt;"",FT!B100*100,"")</f>
        <v>42.992399999999996</v>
      </c>
      <c r="H100" s="61">
        <f t="shared" si="9"/>
        <v>1</v>
      </c>
      <c r="I100" t="str">
        <f>IF(FT!B100&lt;&gt;"",FT!E100,"")</f>
        <v>2 [39.821337]</v>
      </c>
      <c r="J100">
        <f>IF(FT!B100&lt;&gt;"",FT!C100,"")</f>
        <v>39.821300000000001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3.5223599999999999</v>
      </c>
      <c r="G101" s="61">
        <f>IF(FT!B101&lt;&gt;"",FT!B101*100,"")</f>
        <v>43.349600000000002</v>
      </c>
      <c r="H101" s="61">
        <f t="shared" si="9"/>
        <v>1</v>
      </c>
      <c r="I101" t="str">
        <f>IF(FT!B101&lt;&gt;"",FT!E101,"")</f>
        <v>2 [40.226531]</v>
      </c>
      <c r="J101">
        <f>IF(FT!B101&lt;&gt;"",FT!C101,"")</f>
        <v>40.226500000000001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3.4926400000000002</v>
      </c>
      <c r="G102" s="61">
        <f>IF(FT!B102&lt;&gt;"",FT!B102*100,"")</f>
        <v>43.720799999999997</v>
      </c>
      <c r="H102" s="61">
        <f t="shared" si="9"/>
        <v>1</v>
      </c>
      <c r="I102" t="str">
        <f>IF(FT!B102&lt;&gt;"",FT!E102,"")</f>
        <v>2 [40.633295]</v>
      </c>
      <c r="J102">
        <f>IF(FT!B102&lt;&gt;"",FT!C102,"")</f>
        <v>40.633299999999998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180253</v>
      </c>
      <c r="D103" s="61">
        <f>FH!B103*1</f>
        <v>180253</v>
      </c>
      <c r="E103">
        <f t="shared" si="11"/>
        <v>101</v>
      </c>
      <c r="F103" s="61">
        <f>IF(FT!A103&lt;&gt;"",FT!A103*10,"")</f>
        <v>3.46705</v>
      </c>
      <c r="G103" s="61">
        <f>IF(FT!B103&lt;&gt;"",FT!B103*100,"")</f>
        <v>44.000399999999999</v>
      </c>
      <c r="H103" s="61">
        <f t="shared" si="9"/>
        <v>1</v>
      </c>
      <c r="I103" t="str">
        <f>IF(FT!B103&lt;&gt;"",FT!E103,"")</f>
        <v>2 [41.039034]</v>
      </c>
      <c r="J103">
        <f>IF(FT!B103&lt;&gt;"",FT!C103,"")</f>
        <v>41.039000000000001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3.4455499999999999</v>
      </c>
      <c r="G104" s="61">
        <f>IF(FT!B104&lt;&gt;"",FT!B104*100,"")</f>
        <v>44.2119</v>
      </c>
      <c r="H104" s="61">
        <f t="shared" si="9"/>
        <v>1</v>
      </c>
      <c r="I104" t="str">
        <f>IF(FT!B104&lt;&gt;"",FT!E104,"")</f>
        <v>2 [41.449628]</v>
      </c>
      <c r="J104">
        <f>IF(FT!B104&lt;&gt;"",FT!C104,"")</f>
        <v>41.449599999999997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3.4274100000000001</v>
      </c>
      <c r="G105" s="61">
        <f>IF(FT!B105&lt;&gt;"",FT!B105*100,"")</f>
        <v>44.391500000000001</v>
      </c>
      <c r="H105" s="61">
        <f t="shared" si="9"/>
        <v>1</v>
      </c>
      <c r="I105" t="str">
        <f>IF(FT!B105&lt;&gt;"",FT!E105,"")</f>
        <v>2 [41.853608]</v>
      </c>
      <c r="J105">
        <f>IF(FT!B105&lt;&gt;"",FT!C105,"")</f>
        <v>41.8536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163313</v>
      </c>
      <c r="D106" s="61">
        <f>FH!B106*1</f>
        <v>163313</v>
      </c>
      <c r="E106">
        <f t="shared" si="11"/>
        <v>104</v>
      </c>
      <c r="F106" s="61">
        <f>IF(FT!A106&lt;&gt;"",FT!A106*10,"")</f>
        <v>3.4142399999999999</v>
      </c>
      <c r="G106" s="61">
        <f>IF(FT!B106&lt;&gt;"",FT!B106*100,"")</f>
        <v>44.452799999999996</v>
      </c>
      <c r="H106" s="61">
        <f t="shared" si="9"/>
        <v>1</v>
      </c>
      <c r="I106" t="str">
        <f>IF(FT!B106&lt;&gt;"",FT!E106,"")</f>
        <v>2 [42.261802]</v>
      </c>
      <c r="J106">
        <f>IF(FT!B106&lt;&gt;"",FT!C106,"")</f>
        <v>42.261800000000001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3.4024900000000002</v>
      </c>
      <c r="G107" s="61">
        <f>IF(FT!B107&lt;&gt;"",FT!B107*100,"")</f>
        <v>44.445299999999996</v>
      </c>
      <c r="H107" s="61">
        <f t="shared" si="9"/>
        <v>1</v>
      </c>
      <c r="I107" t="str">
        <f>IF(FT!B107&lt;&gt;"",FT!E107,"")</f>
        <v>2 [42.665809]</v>
      </c>
      <c r="J107">
        <f>IF(FT!B107&lt;&gt;"",FT!C107,"")</f>
        <v>42.665799999999997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147528</v>
      </c>
      <c r="D108" s="61">
        <f>FH!B108*1</f>
        <v>147528</v>
      </c>
      <c r="E108">
        <f t="shared" si="11"/>
        <v>106</v>
      </c>
      <c r="F108" s="61">
        <f>IF(FT!A108&lt;&gt;"",FT!A108*10,"")</f>
        <v>3.3940999999999999</v>
      </c>
      <c r="G108" s="61">
        <f>IF(FT!B108&lt;&gt;"",FT!B108*100,"")</f>
        <v>44.399000000000001</v>
      </c>
      <c r="H108" s="61">
        <f t="shared" si="9"/>
        <v>1</v>
      </c>
      <c r="I108" t="str">
        <f>IF(FT!B108&lt;&gt;"",FT!E108,"")</f>
        <v>2 [43.069386]</v>
      </c>
      <c r="J108">
        <f>IF(FT!B108&lt;&gt;"",FT!C108,"")</f>
        <v>43.069400000000002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3.3868399999999999</v>
      </c>
      <c r="G109" s="61">
        <f>IF(FT!B109&lt;&gt;"",FT!B109*100,"")</f>
        <v>44.403300000000002</v>
      </c>
      <c r="H109" s="61">
        <f t="shared" si="9"/>
        <v>1</v>
      </c>
      <c r="I109" t="str">
        <f>IF(FT!B109&lt;&gt;"",FT!E109,"")</f>
        <v>2 [43.477964]</v>
      </c>
      <c r="J109">
        <f>IF(FT!B109&lt;&gt;"",FT!C109,"")</f>
        <v>43.478000000000002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3.3837000000000002</v>
      </c>
      <c r="G110" s="61">
        <f>IF(FT!B110&lt;&gt;"",FT!B110*100,"")</f>
        <v>44.381900000000002</v>
      </c>
      <c r="H110" s="61">
        <f t="shared" si="9"/>
        <v>1</v>
      </c>
      <c r="I110" t="str">
        <f>IF(FT!B110&lt;&gt;"",FT!E110,"")</f>
        <v>2 [43.886531]</v>
      </c>
      <c r="J110">
        <f>IF(FT!B110&lt;&gt;"",FT!C110,"")</f>
        <v>43.886499999999998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135494</v>
      </c>
      <c r="D111" s="61">
        <f>FH!B111*1</f>
        <v>135494</v>
      </c>
      <c r="E111">
        <f t="shared" si="11"/>
        <v>109</v>
      </c>
      <c r="F111" s="61">
        <f>IF(FT!A111&lt;&gt;"",FT!A111*10,"")</f>
        <v>3.3844600000000002</v>
      </c>
      <c r="G111" s="61">
        <f>IF(FT!B111&lt;&gt;"",FT!B111*100,"")</f>
        <v>44.285699999999999</v>
      </c>
      <c r="H111" s="61">
        <f t="shared" si="9"/>
        <v>1</v>
      </c>
      <c r="I111" t="str">
        <f>IF(FT!B111&lt;&gt;"",FT!E111,"")</f>
        <v>2 [44.291660]</v>
      </c>
      <c r="J111">
        <f>IF(FT!B111&lt;&gt;"",FT!C111,"")</f>
        <v>44.291699999999999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3.38463</v>
      </c>
      <c r="G112" s="61">
        <f>IF(FT!B112&lt;&gt;"",FT!B112*100,"")</f>
        <v>44.222499999999997</v>
      </c>
      <c r="H112" s="61">
        <f t="shared" si="9"/>
        <v>1</v>
      </c>
      <c r="I112" t="str">
        <f>IF(FT!B112&lt;&gt;"",FT!E112,"")</f>
        <v>2 [44.698698]</v>
      </c>
      <c r="J112">
        <f>IF(FT!B112&lt;&gt;"",FT!C112,"")</f>
        <v>44.698700000000002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124464</v>
      </c>
      <c r="D113" s="61">
        <f>FH!B113*1</f>
        <v>124464</v>
      </c>
      <c r="E113">
        <f t="shared" si="11"/>
        <v>111</v>
      </c>
      <c r="F113" s="61">
        <f>IF(FT!A113&lt;&gt;"",FT!A113*10,"")</f>
        <v>3.3831199999999999</v>
      </c>
      <c r="G113" s="61">
        <f>IF(FT!B113&lt;&gt;"",FT!B113*100,"")</f>
        <v>44.237400000000001</v>
      </c>
      <c r="H113" s="61">
        <f t="shared" si="9"/>
        <v>1</v>
      </c>
      <c r="I113" t="str">
        <f>IF(FT!B113&lt;&gt;"",FT!E113,"")</f>
        <v>2 [45.103155]</v>
      </c>
      <c r="J113">
        <f>IF(FT!B113&lt;&gt;"",FT!C113,"")</f>
        <v>45.103200000000001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3.37879</v>
      </c>
      <c r="G114" s="61">
        <f>IF(FT!B114&lt;&gt;"",FT!B114*100,"")</f>
        <v>44.226500000000001</v>
      </c>
      <c r="H114" s="61">
        <f t="shared" si="9"/>
        <v>1</v>
      </c>
      <c r="I114" t="str">
        <f>IF(FT!B114&lt;&gt;"",FT!E114,"")</f>
        <v>2 [45.510066]</v>
      </c>
      <c r="J114">
        <f>IF(FT!B114&lt;&gt;"",FT!C114,"")</f>
        <v>45.510100000000001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3.3744200000000002</v>
      </c>
      <c r="G115" s="61">
        <f>IF(FT!B115&lt;&gt;"",FT!B115*100,"")</f>
        <v>44.217700000000001</v>
      </c>
      <c r="H115" s="61">
        <f t="shared" si="9"/>
        <v>1</v>
      </c>
      <c r="I115" t="str">
        <f>IF(FT!B115&lt;&gt;"",FT!E115,"")</f>
        <v>2 [45.917621]</v>
      </c>
      <c r="J115">
        <f>IF(FT!B115&lt;&gt;"",FT!C115,"")</f>
        <v>45.9176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112937</v>
      </c>
      <c r="D116" s="61">
        <f>FH!B116*1</f>
        <v>112937</v>
      </c>
      <c r="E116">
        <f t="shared" si="11"/>
        <v>114</v>
      </c>
      <c r="F116" s="61">
        <f>IF(FT!A116&lt;&gt;"",FT!A116*10,"")</f>
        <v>3.3740900000000003</v>
      </c>
      <c r="G116" s="61">
        <f>IF(FT!B116&lt;&gt;"",FT!B116*100,"")</f>
        <v>44.148299999999999</v>
      </c>
      <c r="H116" s="61">
        <f t="shared" si="9"/>
        <v>1</v>
      </c>
      <c r="I116" t="str">
        <f>IF(FT!B116&lt;&gt;"",FT!E116,"")</f>
        <v>2 [46.322329]</v>
      </c>
      <c r="J116">
        <f>IF(FT!B116&lt;&gt;"",FT!C116,"")</f>
        <v>46.322299999999998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3.3742000000000001</v>
      </c>
      <c r="G117" s="61">
        <f>IF(FT!B117&lt;&gt;"",FT!B117*100,"")</f>
        <v>44.059799999999996</v>
      </c>
      <c r="H117" s="61">
        <f t="shared" si="9"/>
        <v>1</v>
      </c>
      <c r="I117" t="str">
        <f>IF(FT!B117&lt;&gt;"",FT!E117,"")</f>
        <v>2 [46.729392]</v>
      </c>
      <c r="J117">
        <f>IF(FT!B117&lt;&gt;"",FT!C117,"")</f>
        <v>46.729399999999998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108524</v>
      </c>
      <c r="D118" s="61">
        <f>FH!B118*1</f>
        <v>108524</v>
      </c>
      <c r="E118">
        <f t="shared" si="11"/>
        <v>116</v>
      </c>
      <c r="F118" s="61">
        <f>IF(FT!A118&lt;&gt;"",FT!A118*10,"")</f>
        <v>3.3729800000000001</v>
      </c>
      <c r="G118" s="61">
        <f>IF(FT!B118&lt;&gt;"",FT!B118*100,"")</f>
        <v>43.9953</v>
      </c>
      <c r="H118" s="61">
        <f t="shared" si="9"/>
        <v>1</v>
      </c>
      <c r="I118" t="str">
        <f>IF(FT!B118&lt;&gt;"",FT!E118,"")</f>
        <v>2 [47.131528]</v>
      </c>
      <c r="J118">
        <f>IF(FT!B118&lt;&gt;"",FT!C118,"")</f>
        <v>47.131500000000003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3.3704800000000001</v>
      </c>
      <c r="G119" s="61">
        <f>IF(FT!B119&lt;&gt;"",FT!B119*100,"")</f>
        <v>43.914400000000001</v>
      </c>
      <c r="H119" s="61">
        <f t="shared" si="9"/>
        <v>1</v>
      </c>
      <c r="I119" t="str">
        <f>IF(FT!B119&lt;&gt;"",FT!E119,"")</f>
        <v>2 [47.538695]</v>
      </c>
      <c r="J119">
        <f>IF(FT!B119&lt;&gt;"",FT!C119,"")</f>
        <v>47.538699999999999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3.36463</v>
      </c>
      <c r="G120" s="61">
        <f>IF(FT!B120&lt;&gt;"",FT!B120*100,"")</f>
        <v>43.808399999999999</v>
      </c>
      <c r="H120" s="61">
        <f t="shared" si="9"/>
        <v>1</v>
      </c>
      <c r="I120" t="str">
        <f>IF(FT!B120&lt;&gt;"",FT!E120,"")</f>
        <v>2 [47.946312]</v>
      </c>
      <c r="J120">
        <f>IF(FT!B120&lt;&gt;"",FT!C120,"")</f>
        <v>47.946300000000001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104963</v>
      </c>
      <c r="D121" s="61">
        <f>FH!B121*1</f>
        <v>104963</v>
      </c>
      <c r="E121">
        <f t="shared" si="11"/>
        <v>119</v>
      </c>
      <c r="F121" s="61">
        <f>IF(FT!A121&lt;&gt;"",FT!A121*10,"")</f>
        <v>3.3549099999999998</v>
      </c>
      <c r="G121" s="61">
        <f>IF(FT!B121&lt;&gt;"",FT!B121*100,"")</f>
        <v>43.652499999999996</v>
      </c>
      <c r="H121" s="61">
        <f t="shared" si="9"/>
        <v>1</v>
      </c>
      <c r="I121" t="str">
        <f>IF(FT!B121&lt;&gt;"",FT!E121,"")</f>
        <v>2 [48.352064]</v>
      </c>
      <c r="J121">
        <f>IF(FT!B121&lt;&gt;"",FT!C121,"")</f>
        <v>48.3521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3.34206</v>
      </c>
      <c r="G122" s="61">
        <f>IF(FT!B122&lt;&gt;"",FT!B122*100,"")</f>
        <v>43.464700000000001</v>
      </c>
      <c r="H122" s="61">
        <f t="shared" si="9"/>
        <v>1</v>
      </c>
      <c r="I122" t="str">
        <f>IF(FT!B122&lt;&gt;"",FT!E122,"")</f>
        <v>2 [48.756333]</v>
      </c>
      <c r="J122">
        <f>IF(FT!B122&lt;&gt;"",FT!C122,"")</f>
        <v>48.756300000000003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3.3234500000000002</v>
      </c>
      <c r="G123" s="61">
        <f>IF(FT!B123&lt;&gt;"",FT!B123*100,"")</f>
        <v>43.236499999999999</v>
      </c>
      <c r="H123" s="61">
        <f t="shared" si="9"/>
        <v>1</v>
      </c>
      <c r="I123" t="str">
        <f>IF(FT!B123&lt;&gt;"",FT!E123,"")</f>
        <v>2 [49.165149]</v>
      </c>
      <c r="J123">
        <f>IF(FT!B123&lt;&gt;"",FT!C123,"")</f>
        <v>49.165100000000002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93250</v>
      </c>
      <c r="D124" s="61">
        <f>FH!B124*1</f>
        <v>93250</v>
      </c>
      <c r="E124">
        <f t="shared" si="11"/>
        <v>122</v>
      </c>
      <c r="F124" s="61">
        <f>IF(FT!A124&lt;&gt;"",FT!A124*10,"")</f>
        <v>3.30376</v>
      </c>
      <c r="G124" s="61">
        <f>IF(FT!B124&lt;&gt;"",FT!B124*100,"")</f>
        <v>42.987299999999998</v>
      </c>
      <c r="H124" s="61">
        <f t="shared" si="9"/>
        <v>1</v>
      </c>
      <c r="I124" t="str">
        <f>IF(FT!B124&lt;&gt;"",FT!E124,"")</f>
        <v>2 [49.570072]</v>
      </c>
      <c r="J124">
        <f>IF(FT!B124&lt;&gt;"",FT!C124,"")</f>
        <v>49.570099999999996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3.2816000000000001</v>
      </c>
      <c r="G125" s="61">
        <f>IF(FT!B125&lt;&gt;"",FT!B125*100,"")</f>
        <v>42.751300000000001</v>
      </c>
      <c r="H125" s="61">
        <f t="shared" si="9"/>
        <v>1</v>
      </c>
      <c r="I125" t="str">
        <f>IF(FT!B125&lt;&gt;"",FT!E125,"")</f>
        <v>2 [49.979763]</v>
      </c>
      <c r="J125">
        <f>IF(FT!B125&lt;&gt;"",FT!C125,"")</f>
        <v>49.979799999999997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84726</v>
      </c>
      <c r="D126" s="61">
        <f>FH!B126*1</f>
        <v>84726</v>
      </c>
      <c r="E126">
        <f t="shared" si="11"/>
        <v>124</v>
      </c>
      <c r="F126" s="61">
        <f>IF(FT!A126&lt;&gt;"",FT!A126*10,"")</f>
        <v>3.2651400000000002</v>
      </c>
      <c r="G126" s="61">
        <f>IF(FT!B126&lt;&gt;"",FT!B126*100,"")</f>
        <v>42.598100000000002</v>
      </c>
      <c r="H126" s="61">
        <f t="shared" si="9"/>
        <v>1</v>
      </c>
      <c r="I126" t="str">
        <f>IF(FT!B126&lt;&gt;"",FT!E126,"")</f>
        <v>2 [50.386543]</v>
      </c>
      <c r="J126">
        <f>IF(FT!B126&lt;&gt;"",FT!C126,"")</f>
        <v>50.386499999999998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3.2587799999999998</v>
      </c>
      <c r="G127" s="61">
        <f>IF(FT!B127&lt;&gt;"",FT!B127*100,"")</f>
        <v>42.514400000000002</v>
      </c>
      <c r="H127" s="61">
        <f t="shared" si="9"/>
        <v>1</v>
      </c>
      <c r="I127" t="str">
        <f>IF(FT!B127&lt;&gt;"",FT!E127,"")</f>
        <v>2 [50.792359]</v>
      </c>
      <c r="J127">
        <f>IF(FT!B127&lt;&gt;"",FT!C127,"")</f>
        <v>50.792400000000001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3.2519499999999999</v>
      </c>
      <c r="G128" s="61">
        <f>IF(FT!B128&lt;&gt;"",FT!B128*100,"")</f>
        <v>42.407699999999998</v>
      </c>
      <c r="H128" s="61">
        <f t="shared" si="9"/>
        <v>1</v>
      </c>
      <c r="I128" t="str">
        <f>IF(FT!B128&lt;&gt;"",FT!E128,"")</f>
        <v>2 [51.195569]</v>
      </c>
      <c r="J128">
        <f>IF(FT!B128&lt;&gt;"",FT!C128,"")</f>
        <v>51.195599999999999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86046</v>
      </c>
      <c r="D129" s="61">
        <f>FH!B129*1</f>
        <v>86046</v>
      </c>
      <c r="E129">
        <f t="shared" si="11"/>
        <v>127</v>
      </c>
      <c r="F129" s="61">
        <f>IF(FT!A129&lt;&gt;"",FT!A129*10,"")</f>
        <v>3.24424</v>
      </c>
      <c r="G129" s="61">
        <f>IF(FT!B129&lt;&gt;"",FT!B129*100,"")</f>
        <v>42.300699999999999</v>
      </c>
      <c r="H129" s="61">
        <f t="shared" si="9"/>
        <v>1</v>
      </c>
      <c r="I129" t="str">
        <f>IF(FT!B129&lt;&gt;"",FT!E129,"")</f>
        <v>2 [51.603349]</v>
      </c>
      <c r="J129">
        <f>IF(FT!B129&lt;&gt;"",FT!C129,"")</f>
        <v>51.603299999999997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3.2352599999999998</v>
      </c>
      <c r="G130" s="61">
        <f>IF(FT!B130&lt;&gt;"",FT!B130*100,"")</f>
        <v>42.210599999999999</v>
      </c>
      <c r="H130" s="61">
        <f t="shared" si="9"/>
        <v>1</v>
      </c>
      <c r="I130" t="str">
        <f>IF(FT!B130&lt;&gt;"",FT!E130,"")</f>
        <v>2 [52.011046]</v>
      </c>
      <c r="J130">
        <f>IF(FT!B130&lt;&gt;"",FT!C130,"")</f>
        <v>52.011000000000003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74198</v>
      </c>
      <c r="D131" s="61">
        <f>FH!B131*1</f>
        <v>74198</v>
      </c>
      <c r="E131">
        <f t="shared" si="11"/>
        <v>129</v>
      </c>
      <c r="F131" s="61">
        <f>IF(FT!A131&lt;&gt;"",FT!A131*10,"")</f>
        <v>3.2248900000000003</v>
      </c>
      <c r="G131" s="61">
        <f>IF(FT!B131&lt;&gt;"",FT!B131*100,"")</f>
        <v>42.123600000000003</v>
      </c>
      <c r="H131" s="61">
        <f t="shared" ref="H131:H194" si="13">(IF(F131&lt;&gt;"",1,""))</f>
        <v>1</v>
      </c>
      <c r="I131" t="str">
        <f>IF(FT!B131&lt;&gt;"",FT!E131,"")</f>
        <v>2 [52.415019]</v>
      </c>
      <c r="J131">
        <f>IF(FT!B131&lt;&gt;"",FT!C131,"")</f>
        <v>52.414999999999999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3.2136100000000001</v>
      </c>
      <c r="G132" s="61">
        <f>IF(FT!B132&lt;&gt;"",FT!B132*100,"")</f>
        <v>42.046599999999998</v>
      </c>
      <c r="H132" s="61">
        <f t="shared" si="13"/>
        <v>1</v>
      </c>
      <c r="I132" t="str">
        <f>IF(FT!B132&lt;&gt;"",FT!E132,"")</f>
        <v>2 [52.822523]</v>
      </c>
      <c r="J132">
        <f>IF(FT!B132&lt;&gt;"",FT!C132,"")</f>
        <v>52.822499999999998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3.1971699999999998</v>
      </c>
      <c r="G133" s="61">
        <f>IF(FT!B133&lt;&gt;"",FT!B133*100,"")</f>
        <v>42.022999999999996</v>
      </c>
      <c r="H133" s="61">
        <f t="shared" si="13"/>
        <v>1</v>
      </c>
      <c r="I133" t="str">
        <f>IF(FT!B133&lt;&gt;"",FT!E133,"")</f>
        <v>2 [53.227311]</v>
      </c>
      <c r="J133">
        <f>IF(FT!B133&lt;&gt;"",FT!C133,"")</f>
        <v>53.2273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71287</v>
      </c>
      <c r="D134" s="61">
        <f>FH!B134*1</f>
        <v>71287</v>
      </c>
      <c r="E134">
        <f t="shared" si="15"/>
        <v>132</v>
      </c>
      <c r="F134" s="61">
        <f>IF(FT!A134&lt;&gt;"",FT!A134*10,"")</f>
        <v>3.1766899999999998</v>
      </c>
      <c r="G134" s="61">
        <f>IF(FT!B134&lt;&gt;"",FT!B134*100,"")</f>
        <v>41.9955</v>
      </c>
      <c r="H134" s="61">
        <f t="shared" si="13"/>
        <v>1</v>
      </c>
      <c r="I134" t="str">
        <f>IF(FT!B134&lt;&gt;"",FT!E134,"")</f>
        <v>2 [53.633593]</v>
      </c>
      <c r="J134">
        <f>IF(FT!B134&lt;&gt;"",FT!C134,"")</f>
        <v>53.633600000000001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3.1471399999999998</v>
      </c>
      <c r="G135" s="61">
        <f>IF(FT!B135&lt;&gt;"",FT!B135*100,"")</f>
        <v>42.096400000000003</v>
      </c>
      <c r="H135" s="61">
        <f t="shared" si="13"/>
        <v>1</v>
      </c>
      <c r="I135" t="str">
        <f>IF(FT!B135&lt;&gt;"",FT!E135,"")</f>
        <v>2 [54.041901]</v>
      </c>
      <c r="J135">
        <f>IF(FT!B135&lt;&gt;"",FT!C135,"")</f>
        <v>54.041899999999998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66465</v>
      </c>
      <c r="D136" s="61">
        <f>FH!B136*1</f>
        <v>66465</v>
      </c>
      <c r="E136">
        <f t="shared" si="15"/>
        <v>134</v>
      </c>
      <c r="F136" s="61">
        <f>IF(FT!A136&lt;&gt;"",FT!A136*10,"")</f>
        <v>3.1097599999999996</v>
      </c>
      <c r="G136" s="61">
        <f>IF(FT!B136&lt;&gt;"",FT!B136*100,"")</f>
        <v>42.350100000000005</v>
      </c>
      <c r="H136" s="61">
        <f t="shared" si="13"/>
        <v>1</v>
      </c>
      <c r="I136" t="str">
        <f>IF(FT!B136&lt;&gt;"",FT!E136,"")</f>
        <v>2 [54.448901]</v>
      </c>
      <c r="J136">
        <f>IF(FT!B136&lt;&gt;"",FT!C136,"")</f>
        <v>54.448900000000002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3.0714799999999998</v>
      </c>
      <c r="G137" s="61">
        <f>IF(FT!B137&lt;&gt;"",FT!B137*100,"")</f>
        <v>42.6477</v>
      </c>
      <c r="H137" s="61">
        <f t="shared" si="13"/>
        <v>1</v>
      </c>
      <c r="I137" t="str">
        <f>IF(FT!B137&lt;&gt;"",FT!E137,"")</f>
        <v>2 [54.854905]</v>
      </c>
      <c r="J137">
        <f>IF(FT!B137&lt;&gt;"",FT!C137,"")</f>
        <v>54.854900000000001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3.0377900000000002</v>
      </c>
      <c r="G138" s="61">
        <f>IF(FT!B138&lt;&gt;"",FT!B138*100,"")</f>
        <v>42.8414</v>
      </c>
      <c r="H138" s="61">
        <f t="shared" si="13"/>
        <v>1</v>
      </c>
      <c r="I138" t="str">
        <f>IF(FT!B138&lt;&gt;"",FT!E138,"")</f>
        <v>2 [55.257125]</v>
      </c>
      <c r="J138">
        <f>IF(FT!B138&lt;&gt;"",FT!C138,"")</f>
        <v>55.257100000000001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63047</v>
      </c>
      <c r="D139" s="61">
        <f>FH!B139*1</f>
        <v>63047</v>
      </c>
      <c r="E139">
        <f t="shared" si="15"/>
        <v>137</v>
      </c>
      <c r="F139" s="61">
        <f>IF(FT!A139&lt;&gt;"",FT!A139*10,"")</f>
        <v>3.00779</v>
      </c>
      <c r="G139" s="61">
        <f>IF(FT!B139&lt;&gt;"",FT!B139*100,"")</f>
        <v>43.109299999999998</v>
      </c>
      <c r="H139" s="61">
        <f t="shared" si="13"/>
        <v>1</v>
      </c>
      <c r="I139" t="str">
        <f>IF(FT!B139&lt;&gt;"",FT!E139,"")</f>
        <v>2 [55.666536]</v>
      </c>
      <c r="J139">
        <f>IF(FT!B139&lt;&gt;"",FT!C139,"")</f>
        <v>55.666499999999999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2.9759099999999998</v>
      </c>
      <c r="G140" s="61">
        <f>IF(FT!B140&lt;&gt;"",FT!B140*100,"")</f>
        <v>43.428699999999999</v>
      </c>
      <c r="H140" s="61">
        <f t="shared" si="13"/>
        <v>1</v>
      </c>
      <c r="I140" t="str">
        <f>IF(FT!B140&lt;&gt;"",FT!E140,"")</f>
        <v>2 [56.071922]</v>
      </c>
      <c r="J140">
        <f>IF(FT!B140&lt;&gt;"",FT!C140,"")</f>
        <v>56.071899999999999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2.9398200000000001</v>
      </c>
      <c r="G141" s="61">
        <f>IF(FT!B141&lt;&gt;"",FT!B141*100,"")</f>
        <v>43.8568</v>
      </c>
      <c r="H141" s="61">
        <f t="shared" si="13"/>
        <v>1</v>
      </c>
      <c r="I141" t="str">
        <f>IF(FT!B141&lt;&gt;"",FT!E141,"")</f>
        <v>2 [56.478877]</v>
      </c>
      <c r="J141">
        <f>IF(FT!B141&lt;&gt;"",FT!C141,"")</f>
        <v>56.478900000000003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55525</v>
      </c>
      <c r="D142" s="61">
        <f>FH!B142*1</f>
        <v>55525</v>
      </c>
      <c r="E142">
        <f t="shared" si="15"/>
        <v>140</v>
      </c>
      <c r="F142" s="61">
        <f>IF(FT!A142&lt;&gt;"",FT!A142*10,"")</f>
        <v>2.8983300000000001</v>
      </c>
      <c r="G142" s="61">
        <f>IF(FT!B142&lt;&gt;"",FT!B142*100,"")</f>
        <v>44.492800000000003</v>
      </c>
      <c r="H142" s="61">
        <f t="shared" si="13"/>
        <v>1</v>
      </c>
      <c r="I142" t="str">
        <f>IF(FT!B142&lt;&gt;"",FT!E142,"")</f>
        <v>2 [56.882870]</v>
      </c>
      <c r="J142">
        <f>IF(FT!B142&lt;&gt;"",FT!C142,"")</f>
        <v>56.882899999999999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2.85982</v>
      </c>
      <c r="G143" s="61">
        <f>IF(FT!B143&lt;&gt;"",FT!B143*100,"")</f>
        <v>44.994900000000001</v>
      </c>
      <c r="H143" s="61">
        <f t="shared" si="13"/>
        <v>1</v>
      </c>
      <c r="I143" t="str">
        <f>IF(FT!B143&lt;&gt;"",FT!E143,"")</f>
        <v>2 [57.288745]</v>
      </c>
      <c r="J143">
        <f>IF(FT!B143&lt;&gt;"",FT!C143,"")</f>
        <v>57.288699999999999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45574</v>
      </c>
      <c r="D144" s="61">
        <f>FH!B144*1</f>
        <v>45574</v>
      </c>
      <c r="E144">
        <f t="shared" si="15"/>
        <v>142</v>
      </c>
      <c r="F144" s="61">
        <f>IF(FT!A144&lt;&gt;"",FT!A144*10,"")</f>
        <v>2.8214099999999998</v>
      </c>
      <c r="G144" s="61">
        <f>IF(FT!B144&lt;&gt;"",FT!B144*100,"")</f>
        <v>45.512300000000003</v>
      </c>
      <c r="H144" s="61">
        <f t="shared" si="13"/>
        <v>1</v>
      </c>
      <c r="I144" t="str">
        <f>IF(FT!B144&lt;&gt;"",FT!E144,"")</f>
        <v>2 [57.696724]</v>
      </c>
      <c r="J144">
        <f>IF(FT!B144&lt;&gt;"",FT!C144,"")</f>
        <v>57.6967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2.7778900000000002</v>
      </c>
      <c r="G145" s="61">
        <f>IF(FT!B145&lt;&gt;"",FT!B145*100,"")</f>
        <v>46.075500000000005</v>
      </c>
      <c r="H145" s="61">
        <f t="shared" si="13"/>
        <v>1</v>
      </c>
      <c r="I145" t="str">
        <f>IF(FT!B145&lt;&gt;"",FT!E145,"")</f>
        <v>2 [58.101484]</v>
      </c>
      <c r="J145">
        <f>IF(FT!B145&lt;&gt;"",FT!C145,"")</f>
        <v>58.101500000000001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2.73224</v>
      </c>
      <c r="G146" s="61">
        <f>IF(FT!B146&lt;&gt;"",FT!B146*100,"")</f>
        <v>46.6158</v>
      </c>
      <c r="H146" s="61">
        <f t="shared" si="13"/>
        <v>1</v>
      </c>
      <c r="I146" t="str">
        <f>IF(FT!B146&lt;&gt;"",FT!E146,"")</f>
        <v>2 [58.509812]</v>
      </c>
      <c r="J146">
        <f>IF(FT!B146&lt;&gt;"",FT!C146,"")</f>
        <v>58.509799999999998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35210</v>
      </c>
      <c r="D147" s="61">
        <f>FH!B147*1</f>
        <v>35210</v>
      </c>
      <c r="E147">
        <f t="shared" si="15"/>
        <v>145</v>
      </c>
      <c r="F147" s="61">
        <f>IF(FT!A147&lt;&gt;"",FT!A147*10,"")</f>
        <v>2.6801399999999997</v>
      </c>
      <c r="G147" s="61">
        <f>IF(FT!B147&lt;&gt;"",FT!B147*100,"")</f>
        <v>47.214500000000001</v>
      </c>
      <c r="H147" s="61">
        <f t="shared" si="13"/>
        <v>1</v>
      </c>
      <c r="I147" t="str">
        <f>IF(FT!B147&lt;&gt;"",FT!E147,"")</f>
        <v>2 [58.917617]</v>
      </c>
      <c r="J147">
        <f>IF(FT!B147&lt;&gt;"",FT!C147,"")</f>
        <v>58.9176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2.6414399999999998</v>
      </c>
      <c r="G148" s="61">
        <f>IF(FT!B148&lt;&gt;"",FT!B148*100,"")</f>
        <v>47.582299999999996</v>
      </c>
      <c r="H148" s="61">
        <f t="shared" si="13"/>
        <v>1</v>
      </c>
      <c r="I148" t="str">
        <f>IF(FT!B148&lt;&gt;"",FT!E148,"")</f>
        <v>2 [59.320791]</v>
      </c>
      <c r="J148">
        <f>IF(FT!B148&lt;&gt;"",FT!C148,"")</f>
        <v>59.320799999999998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30732</v>
      </c>
      <c r="D149" s="61">
        <f>FH!B149*1</f>
        <v>30732</v>
      </c>
      <c r="E149">
        <f t="shared" si="15"/>
        <v>147</v>
      </c>
      <c r="F149" s="61">
        <f>IF(FT!A149&lt;&gt;"",FT!A149*10,"")</f>
        <v>2.6116099999999998</v>
      </c>
      <c r="G149" s="61">
        <f>IF(FT!B149&lt;&gt;"",FT!B149*100,"")</f>
        <v>47.806800000000003</v>
      </c>
      <c r="H149" s="61">
        <f t="shared" si="13"/>
        <v>1</v>
      </c>
      <c r="I149" t="str">
        <f>IF(FT!B149&lt;&gt;"",FT!E149,"")</f>
        <v>2 [59.726576]</v>
      </c>
      <c r="J149">
        <f>IF(FT!B149&lt;&gt;"",FT!C149,"")</f>
        <v>59.726599999999998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2.5532300000000001</v>
      </c>
      <c r="G150" s="61">
        <f>IF(FT!B150&lt;&gt;"",FT!B150*100,"")</f>
        <v>48.484100000000005</v>
      </c>
      <c r="H150" s="61">
        <f t="shared" si="13"/>
        <v>1</v>
      </c>
      <c r="I150" t="str">
        <f>IF(FT!B150&lt;&gt;"",FT!E150,"")</f>
        <v>2 [60.134259]</v>
      </c>
      <c r="J150">
        <f>IF(FT!B150&lt;&gt;"",FT!C150,"")</f>
        <v>60.134300000000003</v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19976</v>
      </c>
      <c r="D152" s="61">
        <f>FH!B152*1</f>
        <v>19976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15924</v>
      </c>
      <c r="D154" s="61">
        <f>FH!B154*1</f>
        <v>15924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15394</v>
      </c>
      <c r="D157" s="61">
        <f>FH!B157*1</f>
        <v>15394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10704</v>
      </c>
      <c r="D160" s="61">
        <f>FH!B160*1</f>
        <v>10704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7315</v>
      </c>
      <c r="D162" s="61">
        <f>FH!B162*1</f>
        <v>7315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6204</v>
      </c>
      <c r="D165" s="61">
        <f>FH!B165*1</f>
        <v>6204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3596</v>
      </c>
      <c r="D167" s="61">
        <f>FH!B167*1</f>
        <v>3596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2627</v>
      </c>
      <c r="D170" s="61">
        <f>FH!B170*1</f>
        <v>2627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1401</v>
      </c>
      <c r="D173" s="61">
        <f>FH!B173*1</f>
        <v>1401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1358</v>
      </c>
      <c r="D175" s="61">
        <f>FH!B175*1</f>
        <v>1358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368</v>
      </c>
      <c r="D178" s="61">
        <f>FH!B178*1</f>
        <v>368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37.988500000000002</v>
      </c>
      <c r="C5" s="66">
        <v>7.2086699999999997</v>
      </c>
      <c r="D5" s="66">
        <v>18.975899999999999</v>
      </c>
      <c r="E5" s="66">
        <v>20</v>
      </c>
      <c r="F5" s="66">
        <v>11.0632</v>
      </c>
      <c r="G5" s="66">
        <v>50</v>
      </c>
      <c r="H5" s="66">
        <v>44.092599999999997</v>
      </c>
    </row>
    <row r="6" spans="1:8">
      <c r="A6" s="58" t="s">
        <v>303</v>
      </c>
      <c r="B6" s="66">
        <v>28.0106</v>
      </c>
      <c r="C6" s="66">
        <v>4.5524500000000003</v>
      </c>
      <c r="D6" s="66">
        <v>16.252600000000001</v>
      </c>
      <c r="E6" s="66">
        <v>20</v>
      </c>
      <c r="F6" s="66">
        <v>20.351199999999999</v>
      </c>
      <c r="G6" s="66">
        <v>40</v>
      </c>
      <c r="H6" s="66">
        <v>36.286200000000001</v>
      </c>
    </row>
    <row r="7" spans="1:8">
      <c r="A7" s="58" t="s">
        <v>304</v>
      </c>
      <c r="B7" s="66">
        <v>24.0824</v>
      </c>
      <c r="C7" s="66">
        <v>9.9814000000000007</v>
      </c>
      <c r="D7" s="66">
        <v>41.446899999999999</v>
      </c>
      <c r="E7" s="66">
        <v>15</v>
      </c>
      <c r="F7" s="66">
        <v>3.1100400000000001</v>
      </c>
      <c r="G7" s="66">
        <v>40</v>
      </c>
      <c r="H7" s="66">
        <v>44.389600000000002</v>
      </c>
    </row>
    <row r="8" spans="1:8">
      <c r="A8" s="58" t="s">
        <v>305</v>
      </c>
      <c r="B8" s="66">
        <v>29.022600000000001</v>
      </c>
      <c r="C8" s="66">
        <v>3.5797699999999999</v>
      </c>
      <c r="D8" s="66">
        <v>12.3344</v>
      </c>
      <c r="E8" s="66">
        <v>20</v>
      </c>
      <c r="F8" s="66">
        <v>21.842700000000001</v>
      </c>
      <c r="G8" s="66">
        <v>50</v>
      </c>
      <c r="H8" s="66">
        <v>37.353499999999997</v>
      </c>
    </row>
    <row r="9" spans="1:8">
      <c r="A9" s="58" t="s">
        <v>306</v>
      </c>
      <c r="B9" s="66">
        <v>66.457999999999998</v>
      </c>
      <c r="C9" s="66">
        <v>6.3975</v>
      </c>
      <c r="D9" s="66">
        <v>9.6263799999999993</v>
      </c>
      <c r="E9" s="66">
        <v>50</v>
      </c>
      <c r="F9" s="66">
        <v>49.4542</v>
      </c>
      <c r="G9" s="66">
        <v>100</v>
      </c>
      <c r="H9" s="66">
        <v>78.685299999999998</v>
      </c>
    </row>
    <row r="10" spans="1:8">
      <c r="A10" s="58" t="s">
        <v>307</v>
      </c>
      <c r="B10" s="66">
        <v>78.603899999999996</v>
      </c>
      <c r="C10" s="66">
        <v>2.5097499999999999</v>
      </c>
      <c r="D10" s="66">
        <v>3.1928999999999998</v>
      </c>
      <c r="E10" s="66">
        <v>40</v>
      </c>
      <c r="F10" s="66">
        <v>74.193700000000007</v>
      </c>
      <c r="G10" s="66">
        <v>100</v>
      </c>
      <c r="H10" s="66">
        <v>84.590100000000007</v>
      </c>
    </row>
    <row r="11" spans="1:8">
      <c r="A11" s="58" t="s">
        <v>308</v>
      </c>
      <c r="B11" s="66">
        <v>22.685500000000001</v>
      </c>
      <c r="C11" s="66">
        <v>5.7828099999999996</v>
      </c>
      <c r="D11" s="66">
        <v>25.491199999999999</v>
      </c>
      <c r="E11" s="66">
        <v>10</v>
      </c>
      <c r="F11" s="66">
        <v>6.2709900000000003</v>
      </c>
      <c r="G11" s="66">
        <v>50</v>
      </c>
      <c r="H11" s="66">
        <v>30.685400000000001</v>
      </c>
    </row>
    <row r="12" spans="1:8">
      <c r="A12" s="58" t="s">
        <v>309</v>
      </c>
      <c r="B12" s="66">
        <v>73.707999999999998</v>
      </c>
      <c r="C12" s="66">
        <v>3.7409500000000002</v>
      </c>
      <c r="D12" s="66">
        <v>5.0753700000000004</v>
      </c>
      <c r="E12" s="66">
        <v>50</v>
      </c>
      <c r="F12" s="66">
        <v>63.87</v>
      </c>
      <c r="G12" s="66">
        <v>100</v>
      </c>
      <c r="H12" s="66">
        <v>79.326899999999995</v>
      </c>
    </row>
    <row r="13" spans="1:8">
      <c r="A13" s="58" t="s">
        <v>310</v>
      </c>
      <c r="B13" s="66">
        <v>22.118600000000001</v>
      </c>
      <c r="C13" s="66">
        <v>4.0298400000000001</v>
      </c>
      <c r="D13" s="66">
        <v>18.2193</v>
      </c>
      <c r="E13" s="66">
        <v>10</v>
      </c>
      <c r="F13" s="66">
        <v>13.054399999999999</v>
      </c>
      <c r="G13" s="66">
        <v>25</v>
      </c>
      <c r="H13" s="66">
        <v>32.039299999999997</v>
      </c>
    </row>
    <row r="14" spans="1:8">
      <c r="A14" s="58" t="s">
        <v>311</v>
      </c>
      <c r="B14" s="66">
        <v>40.298400000000001</v>
      </c>
      <c r="C14" s="66">
        <v>10.6435</v>
      </c>
      <c r="D14" s="66">
        <v>26.4117</v>
      </c>
      <c r="E14" s="66">
        <v>10</v>
      </c>
      <c r="F14" s="66">
        <v>1.64849</v>
      </c>
      <c r="G14" s="66">
        <v>50</v>
      </c>
      <c r="H14" s="66">
        <v>42.058</v>
      </c>
    </row>
    <row r="15" spans="1:8">
      <c r="A15" s="58" t="s">
        <v>312</v>
      </c>
      <c r="B15" s="66">
        <v>7.0201200000000005E-2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7.6973799999999995E-2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17.7027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0.53703299999999998</v>
      </c>
      <c r="C18" s="66">
        <v>4.9872600000000003E-2</v>
      </c>
      <c r="D18" s="66">
        <v>9.2867000000000005E-2</v>
      </c>
      <c r="E18" s="66">
        <v>0</v>
      </c>
      <c r="F18" s="66">
        <v>0.48715999999999998</v>
      </c>
      <c r="G18" s="66">
        <v>0</v>
      </c>
      <c r="H18" s="66">
        <v>0.58690500000000001</v>
      </c>
    </row>
    <row r="19" spans="1:8">
      <c r="A19" s="58" t="s">
        <v>316</v>
      </c>
      <c r="B19" s="66">
        <v>0.61127799999999999</v>
      </c>
      <c r="C19" s="66">
        <v>3.4348400000000002E-3</v>
      </c>
      <c r="D19" s="66">
        <v>5.6191100000000001E-3</v>
      </c>
      <c r="E19" s="66">
        <v>0</v>
      </c>
      <c r="F19" s="66">
        <v>0.60784300000000002</v>
      </c>
      <c r="G19" s="66">
        <v>0</v>
      </c>
      <c r="H19" s="66">
        <v>0.61471299999999995</v>
      </c>
    </row>
    <row r="20" spans="1:8">
      <c r="A20" s="58" t="s">
        <v>317</v>
      </c>
      <c r="B20" s="66">
        <v>7.1662899999999999E-4</v>
      </c>
      <c r="C20" s="66">
        <v>0.15717700000000001</v>
      </c>
      <c r="D20" s="66">
        <v>219.328</v>
      </c>
      <c r="E20" s="66">
        <v>0</v>
      </c>
      <c r="F20" s="66">
        <v>0</v>
      </c>
      <c r="G20" s="66">
        <v>0</v>
      </c>
      <c r="H20" s="66">
        <v>1.68187</v>
      </c>
    </row>
    <row r="21" spans="1:8">
      <c r="A21" s="58" t="s">
        <v>318</v>
      </c>
      <c r="B21" s="66">
        <v>0.10191</v>
      </c>
      <c r="C21" s="66">
        <v>0.77318100000000001</v>
      </c>
      <c r="D21" s="66">
        <v>7.5868700000000002</v>
      </c>
      <c r="E21" s="66">
        <v>0</v>
      </c>
      <c r="F21" s="66">
        <v>3.0027100000000001E-4</v>
      </c>
      <c r="G21" s="66">
        <v>0</v>
      </c>
      <c r="H21" s="66">
        <v>6.2910899999999996</v>
      </c>
    </row>
    <row r="22" spans="1:8">
      <c r="A22" s="58" t="s">
        <v>319</v>
      </c>
      <c r="B22" s="66">
        <v>43.321599999999997</v>
      </c>
      <c r="C22" s="66">
        <v>26.670500000000001</v>
      </c>
      <c r="D22" s="66">
        <v>0.61563999999999997</v>
      </c>
      <c r="E22" s="66">
        <v>0</v>
      </c>
      <c r="F22" s="66">
        <v>19.427600000000002</v>
      </c>
      <c r="G22" s="66">
        <v>0</v>
      </c>
      <c r="H22" s="66">
        <v>156.05600000000001</v>
      </c>
    </row>
    <row r="23" spans="1:8">
      <c r="A23" s="58" t="s">
        <v>320</v>
      </c>
      <c r="B23" s="66">
        <v>22.384899999999998</v>
      </c>
      <c r="C23" s="66">
        <v>9.8877600000000001</v>
      </c>
      <c r="D23" s="66">
        <v>0.44171500000000002</v>
      </c>
      <c r="E23" s="66">
        <v>0</v>
      </c>
      <c r="F23" s="66">
        <v>7.6355500000000003</v>
      </c>
      <c r="G23" s="66">
        <v>0</v>
      </c>
      <c r="H23" s="66">
        <v>38.620600000000003</v>
      </c>
    </row>
    <row r="24" spans="1:8">
      <c r="A24" s="58" t="s">
        <v>321</v>
      </c>
      <c r="B24" s="66">
        <v>1.4798999999999999E-3</v>
      </c>
      <c r="C24" s="66">
        <v>0.14430499999999999</v>
      </c>
      <c r="D24" s="66">
        <v>97.509699999999995</v>
      </c>
      <c r="E24" s="66">
        <v>0</v>
      </c>
      <c r="F24" s="196">
        <v>3.0040300000000001E-5</v>
      </c>
      <c r="G24" s="66">
        <v>0</v>
      </c>
      <c r="H24" s="66">
        <v>1.47001</v>
      </c>
    </row>
    <row r="25" spans="1:8">
      <c r="A25" s="58" t="s">
        <v>322</v>
      </c>
      <c r="B25" s="66">
        <v>0.135044</v>
      </c>
      <c r="C25" s="66">
        <v>0.527721</v>
      </c>
      <c r="D25" s="66">
        <v>3.9077799999999998</v>
      </c>
      <c r="E25" s="66">
        <v>0</v>
      </c>
      <c r="F25" s="66">
        <v>1.15873E-2</v>
      </c>
      <c r="G25" s="66">
        <v>0</v>
      </c>
      <c r="H25" s="66">
        <v>2.5609500000000001</v>
      </c>
    </row>
    <row r="26" spans="1:8">
      <c r="A26" s="58" t="s">
        <v>323</v>
      </c>
      <c r="B26" s="66">
        <v>2.2649700000000001E-4</v>
      </c>
      <c r="C26" s="66">
        <v>1.1163899999999999E-2</v>
      </c>
      <c r="D26" s="66">
        <v>49.289400000000001</v>
      </c>
      <c r="E26" s="66">
        <v>0</v>
      </c>
      <c r="F26" s="66">
        <v>0</v>
      </c>
      <c r="G26" s="66">
        <v>0</v>
      </c>
      <c r="H26" s="66">
        <v>0.10259699999999999</v>
      </c>
    </row>
    <row r="27" spans="1:8">
      <c r="A27" s="58" t="s">
        <v>324</v>
      </c>
      <c r="B27" s="196">
        <v>-3.2825599999999999E-6</v>
      </c>
      <c r="C27" s="66">
        <v>2.1947999999999998E-3</v>
      </c>
      <c r="D27" s="66">
        <v>-668.62300000000005</v>
      </c>
      <c r="E27" s="66">
        <v>0</v>
      </c>
      <c r="F27" s="66">
        <v>-1.4161E-2</v>
      </c>
      <c r="G27" s="66">
        <v>0</v>
      </c>
      <c r="H27" s="66">
        <v>2.93724E-2</v>
      </c>
    </row>
    <row r="28" spans="1:8">
      <c r="A28" s="58" t="s">
        <v>325</v>
      </c>
      <c r="B28" s="66">
        <v>1.23047E-2</v>
      </c>
      <c r="C28" s="66">
        <v>3.2552299999999999E-2</v>
      </c>
      <c r="D28" s="66">
        <v>2.6455199999999999</v>
      </c>
      <c r="E28" s="66">
        <v>0</v>
      </c>
      <c r="F28" s="66">
        <v>1.00911E-4</v>
      </c>
      <c r="G28" s="66">
        <v>0</v>
      </c>
      <c r="H28" s="66">
        <v>0.209678</v>
      </c>
    </row>
    <row r="29" spans="1:8">
      <c r="A29" s="58" t="s">
        <v>326</v>
      </c>
      <c r="B29" s="66">
        <v>69.321399999999997</v>
      </c>
      <c r="C29" s="66">
        <v>12.0486</v>
      </c>
      <c r="D29" s="66">
        <v>0.17380699999999999</v>
      </c>
      <c r="E29" s="66">
        <v>0</v>
      </c>
      <c r="F29" s="66">
        <v>46.305999999999997</v>
      </c>
      <c r="G29" s="66">
        <v>0</v>
      </c>
      <c r="H29" s="66">
        <v>112.837</v>
      </c>
    </row>
    <row r="30" spans="1:8">
      <c r="A30" s="58" t="s">
        <v>327</v>
      </c>
      <c r="B30" s="66">
        <v>27.737300000000001</v>
      </c>
      <c r="C30" s="66">
        <v>7.0398699999999996</v>
      </c>
      <c r="D30" s="66">
        <v>0.253805</v>
      </c>
      <c r="E30" s="66">
        <v>0</v>
      </c>
      <c r="F30" s="66">
        <v>9.8744499999999995</v>
      </c>
      <c r="G30" s="66">
        <v>0</v>
      </c>
      <c r="H30" s="66">
        <v>35.574599999999997</v>
      </c>
    </row>
    <row r="31" spans="1:8">
      <c r="A31" s="58" t="s">
        <v>328</v>
      </c>
      <c r="B31" s="66">
        <v>161.245</v>
      </c>
      <c r="C31" s="66">
        <v>51.826000000000001</v>
      </c>
      <c r="D31" s="66">
        <v>0.321411</v>
      </c>
      <c r="E31" s="66">
        <v>0</v>
      </c>
      <c r="F31" s="66">
        <v>29.8172</v>
      </c>
      <c r="G31" s="66">
        <v>0</v>
      </c>
      <c r="H31" s="66">
        <v>249.006</v>
      </c>
    </row>
    <row r="32" spans="1:8">
      <c r="A32" s="58" t="s">
        <v>329</v>
      </c>
      <c r="B32" s="66">
        <v>0.24082400000000001</v>
      </c>
      <c r="C32" s="66">
        <v>9.9814E-2</v>
      </c>
      <c r="D32" s="66">
        <v>0.41446899999999998</v>
      </c>
      <c r="E32" s="66">
        <v>0.15</v>
      </c>
      <c r="F32" s="66">
        <v>3.11004E-2</v>
      </c>
      <c r="G32" s="66">
        <v>0.4</v>
      </c>
      <c r="H32" s="66">
        <v>0.44389600000000001</v>
      </c>
    </row>
    <row r="33" spans="1:8">
      <c r="A33" s="58" t="s">
        <v>330</v>
      </c>
      <c r="B33" s="66">
        <v>0.283609</v>
      </c>
      <c r="C33" s="66">
        <v>3.9960000000000002E-2</v>
      </c>
      <c r="D33" s="66">
        <v>0.140898</v>
      </c>
      <c r="E33" s="66">
        <v>0</v>
      </c>
      <c r="F33" s="66">
        <v>0.189191</v>
      </c>
      <c r="G33" s="66">
        <v>0</v>
      </c>
      <c r="H33" s="66">
        <v>0.375747</v>
      </c>
    </row>
    <row r="34" spans="1:8">
      <c r="A34" s="58" t="s">
        <v>331</v>
      </c>
      <c r="B34" s="66">
        <v>0.22118599999999999</v>
      </c>
      <c r="C34" s="66">
        <v>4.0298399999999998E-2</v>
      </c>
      <c r="D34" s="66">
        <v>0.18219299999999999</v>
      </c>
      <c r="E34" s="66">
        <v>0.1</v>
      </c>
      <c r="F34" s="66">
        <v>0.13054399999999999</v>
      </c>
      <c r="G34" s="66">
        <v>0.25</v>
      </c>
      <c r="H34" s="66">
        <v>0.32039299999999998</v>
      </c>
    </row>
    <row r="35" spans="1:8">
      <c r="A35" s="58" t="s">
        <v>332</v>
      </c>
      <c r="B35" s="66">
        <v>8.7114399999999995E-2</v>
      </c>
      <c r="C35" s="66">
        <v>3.2780799999999999E-2</v>
      </c>
      <c r="D35" s="66">
        <v>0.37629600000000002</v>
      </c>
      <c r="E35" s="66">
        <v>0</v>
      </c>
      <c r="F35" s="66">
        <v>3.5112299999999999E-2</v>
      </c>
      <c r="G35" s="66">
        <v>0</v>
      </c>
      <c r="H35" s="66">
        <v>0.189776</v>
      </c>
    </row>
    <row r="36" spans="1:8">
      <c r="A36" s="58" t="s">
        <v>333</v>
      </c>
      <c r="B36" s="66">
        <v>0.19284299999999999</v>
      </c>
      <c r="C36" s="66">
        <v>0.109953</v>
      </c>
      <c r="D36" s="66">
        <v>0.57016500000000003</v>
      </c>
      <c r="E36" s="66">
        <v>0</v>
      </c>
      <c r="F36" s="66">
        <v>4.5491700000000003E-2</v>
      </c>
      <c r="G36" s="66">
        <v>0</v>
      </c>
      <c r="H36" s="66">
        <v>0.65023799999999998</v>
      </c>
    </row>
    <row r="37" spans="1:8">
      <c r="A37" s="58" t="s">
        <v>334</v>
      </c>
      <c r="B37" s="66">
        <v>0.40298400000000001</v>
      </c>
      <c r="C37" s="66">
        <v>0.106435</v>
      </c>
      <c r="D37" s="66">
        <v>0.26411699999999999</v>
      </c>
      <c r="E37" s="66">
        <v>0.1</v>
      </c>
      <c r="F37" s="66">
        <v>1.64849E-2</v>
      </c>
      <c r="G37" s="66">
        <v>0.5</v>
      </c>
      <c r="H37" s="66">
        <v>0.42058000000000001</v>
      </c>
    </row>
    <row r="38" spans="1:8">
      <c r="A38" s="58" t="s">
        <v>335</v>
      </c>
      <c r="B38" s="66">
        <v>-11.1312</v>
      </c>
      <c r="C38" s="66">
        <v>57.631300000000003</v>
      </c>
      <c r="D38" s="66">
        <v>-5.1774399999999998</v>
      </c>
      <c r="E38" s="66">
        <v>0</v>
      </c>
      <c r="F38" s="66">
        <v>-163.80699999999999</v>
      </c>
      <c r="G38" s="66">
        <v>0</v>
      </c>
      <c r="H38" s="66">
        <v>170.68</v>
      </c>
    </row>
    <row r="39" spans="1:8">
      <c r="A39" s="58" t="s">
        <v>336</v>
      </c>
      <c r="B39" s="66">
        <v>-4.3381699999999999</v>
      </c>
      <c r="C39" s="66">
        <v>8.3886299999999991</v>
      </c>
      <c r="D39" s="66">
        <v>-1.9336800000000001</v>
      </c>
      <c r="E39" s="66">
        <v>0</v>
      </c>
      <c r="F39" s="66">
        <v>-32.71</v>
      </c>
      <c r="G39" s="66">
        <v>0</v>
      </c>
      <c r="H39" s="66">
        <v>20.6707</v>
      </c>
    </row>
    <row r="40" spans="1:8">
      <c r="A40" s="58" t="s">
        <v>337</v>
      </c>
      <c r="B40" s="66">
        <v>-0.54619099999999998</v>
      </c>
      <c r="C40" s="66">
        <v>1.80769</v>
      </c>
      <c r="D40" s="66">
        <v>-3.3096399999999999</v>
      </c>
      <c r="E40" s="66">
        <v>0</v>
      </c>
      <c r="F40" s="66">
        <v>-6.0359100000000003</v>
      </c>
      <c r="G40" s="66">
        <v>0</v>
      </c>
      <c r="H40" s="66">
        <v>2.1791299999999998</v>
      </c>
    </row>
    <row r="41" spans="1:8">
      <c r="A41" s="58" t="s">
        <v>338</v>
      </c>
      <c r="B41" s="66">
        <v>-9.5107499999999998E-2</v>
      </c>
      <c r="C41" s="66">
        <v>0.34276800000000002</v>
      </c>
      <c r="D41" s="66">
        <v>-3.6040100000000002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-0.10255400000000001</v>
      </c>
      <c r="C42" s="66">
        <v>0.14421700000000001</v>
      </c>
      <c r="D42" s="66">
        <v>-1.40625</v>
      </c>
      <c r="E42" s="66">
        <v>0</v>
      </c>
      <c r="F42" s="66">
        <v>-0.45222600000000002</v>
      </c>
      <c r="G42" s="66">
        <v>0</v>
      </c>
      <c r="H42" s="66">
        <v>0.35446800000000001</v>
      </c>
    </row>
    <row r="43" spans="1:8">
      <c r="A43" s="58" t="s">
        <v>340</v>
      </c>
      <c r="B43" s="66">
        <v>-5.0902799999999998E-2</v>
      </c>
      <c r="C43" s="66">
        <v>9.0309200000000006E-2</v>
      </c>
      <c r="D43" s="66">
        <v>-1.7741499999999999</v>
      </c>
      <c r="E43" s="66">
        <v>0</v>
      </c>
      <c r="F43" s="66">
        <v>-0.305286</v>
      </c>
      <c r="G43" s="66">
        <v>0</v>
      </c>
      <c r="H43" s="66">
        <v>0.100101</v>
      </c>
    </row>
    <row r="44" spans="1:8">
      <c r="A44" s="58" t="s">
        <v>341</v>
      </c>
      <c r="B44" s="66">
        <v>-19.0932</v>
      </c>
      <c r="C44" s="66">
        <v>35.504399999999997</v>
      </c>
      <c r="D44" s="66">
        <v>-1.8595299999999999</v>
      </c>
      <c r="E44" s="66">
        <v>0</v>
      </c>
      <c r="F44" s="66">
        <v>-83.214500000000001</v>
      </c>
      <c r="G44" s="66">
        <v>0</v>
      </c>
      <c r="H44" s="66">
        <v>57.794600000000003</v>
      </c>
    </row>
    <row r="45" spans="1:8">
      <c r="A45" s="58" t="s">
        <v>342</v>
      </c>
      <c r="B45" s="66">
        <v>51.708799999999997</v>
      </c>
      <c r="C45" s="66">
        <v>5.6028200000000004</v>
      </c>
      <c r="D45" s="66">
        <v>0.108353</v>
      </c>
      <c r="E45" s="66">
        <v>0</v>
      </c>
      <c r="F45" s="66">
        <v>37.680199999999999</v>
      </c>
      <c r="G45" s="66">
        <v>0</v>
      </c>
      <c r="H45" s="66">
        <v>71.002700000000004</v>
      </c>
    </row>
    <row r="46" spans="1:8">
      <c r="A46" s="58" t="s">
        <v>343</v>
      </c>
      <c r="B46" s="66">
        <v>29.321100000000001</v>
      </c>
      <c r="C46" s="66">
        <v>5.3580800000000002</v>
      </c>
      <c r="D46" s="66">
        <v>0.18273800000000001</v>
      </c>
      <c r="E46" s="66">
        <v>0</v>
      </c>
      <c r="F46" s="66">
        <v>9.1111500000000003</v>
      </c>
      <c r="G46" s="66">
        <v>0</v>
      </c>
      <c r="H46" s="66">
        <v>35.378</v>
      </c>
    </row>
    <row r="47" spans="1:8">
      <c r="A47" s="58" t="s">
        <v>344</v>
      </c>
      <c r="B47" s="66">
        <v>0.96663399999999999</v>
      </c>
      <c r="C47" s="66">
        <v>0.53678099999999995</v>
      </c>
      <c r="D47" s="66">
        <v>0.55530999999999997</v>
      </c>
      <c r="E47" s="66">
        <v>0</v>
      </c>
      <c r="F47" s="66">
        <v>0.14665400000000001</v>
      </c>
      <c r="G47" s="66">
        <v>0</v>
      </c>
      <c r="H47" s="66">
        <v>3.3806400000000001</v>
      </c>
    </row>
    <row r="48" spans="1:8">
      <c r="A48" s="58" t="s">
        <v>345</v>
      </c>
      <c r="B48" s="66">
        <v>0.88864900000000002</v>
      </c>
      <c r="C48" s="66">
        <v>0.13798199999999999</v>
      </c>
      <c r="D48" s="66">
        <v>0.15527099999999999</v>
      </c>
      <c r="E48" s="66">
        <v>0</v>
      </c>
      <c r="F48" s="66">
        <v>0.64390800000000004</v>
      </c>
      <c r="G48" s="66">
        <v>0</v>
      </c>
      <c r="H48" s="66">
        <v>1.24641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3.4504000000000019</v>
      </c>
      <c r="C5" s="66">
        <f>'M2'!C5-'M1'!C5</f>
        <v>-5.9246000000000008</v>
      </c>
      <c r="D5" s="66">
        <f>'M2'!D5-'M1'!D5</f>
        <v>-17.272639999999999</v>
      </c>
      <c r="E5" s="66">
        <f>'M2'!E5-'M1'!E5</f>
        <v>0</v>
      </c>
      <c r="F5" s="66">
        <f>'M2'!F5-'M1'!F5</f>
        <v>21.6203</v>
      </c>
      <c r="G5" s="66">
        <f>'M2'!G5-'M1'!G5</f>
        <v>0</v>
      </c>
      <c r="H5" s="66">
        <f>'M2'!H5-'M1'!H5</f>
        <v>-1.3414999999999964</v>
      </c>
    </row>
    <row r="6" spans="1:8">
      <c r="A6" s="66" t="s">
        <v>244</v>
      </c>
      <c r="B6" s="66">
        <f>'M2'!B6-'M1'!B6</f>
        <v>-7.9039000000000001</v>
      </c>
      <c r="C6" s="66">
        <f>'M2'!C6-'M1'!C6</f>
        <v>-0.1878700000000002</v>
      </c>
      <c r="D6" s="66">
        <f>'M2'!D6-'M1'!D6</f>
        <v>1.9752700000000001</v>
      </c>
      <c r="E6" s="66">
        <f>'M2'!E6-'M1'!E6</f>
        <v>0</v>
      </c>
      <c r="F6" s="66">
        <f>'M2'!F6-'M1'!F6</f>
        <v>-6.8017000000000003</v>
      </c>
      <c r="G6" s="66">
        <f>'M2'!G6-'M1'!G6</f>
        <v>0</v>
      </c>
      <c r="H6" s="66">
        <f>'M2'!H6-'M1'!H6</f>
        <v>-6.5321999999999996</v>
      </c>
    </row>
    <row r="7" spans="1:8">
      <c r="A7" s="66" t="s">
        <v>245</v>
      </c>
      <c r="B7" s="66">
        <f>'M2'!B7-'M1'!B7</f>
        <v>-6.2152999999999992</v>
      </c>
      <c r="C7" s="66">
        <f>'M2'!C7-'M1'!C7</f>
        <v>0.8806200000000004</v>
      </c>
      <c r="D7" s="66">
        <f>'M2'!D7-'M1'!D7</f>
        <v>11.785999999999998</v>
      </c>
      <c r="E7" s="66">
        <f>'M2'!E7-'M1'!E7</f>
        <v>0</v>
      </c>
      <c r="F7" s="66">
        <f>'M2'!F7-'M1'!F7</f>
        <v>-10.42126</v>
      </c>
      <c r="G7" s="66">
        <f>'M2'!G7-'M1'!G7</f>
        <v>0</v>
      </c>
      <c r="H7" s="66">
        <f>'M2'!H7-'M1'!H7</f>
        <v>-3.9930999999999983</v>
      </c>
    </row>
    <row r="8" spans="1:8">
      <c r="A8" s="66" t="s">
        <v>246</v>
      </c>
      <c r="B8" s="66">
        <f>'M2'!B8-'M1'!B8</f>
        <v>0.7649000000000008</v>
      </c>
      <c r="C8" s="66">
        <f>'M2'!C8-'M1'!C8</f>
        <v>-0.92174000000000023</v>
      </c>
      <c r="D8" s="66">
        <f>'M2'!D8-'M1'!D8</f>
        <v>-3.5085499999999996</v>
      </c>
      <c r="E8" s="66">
        <f>'M2'!E8-'M1'!E8</f>
        <v>0</v>
      </c>
      <c r="F8" s="66">
        <f>'M2'!F8-'M1'!F8</f>
        <v>0.42399999999999949</v>
      </c>
      <c r="G8" s="66">
        <f>'M2'!G8-'M1'!G8</f>
        <v>0</v>
      </c>
      <c r="H8" s="66">
        <f>'M2'!H8-'M1'!H8</f>
        <v>-5.3625999999999969</v>
      </c>
    </row>
    <row r="9" spans="1:8">
      <c r="A9" s="66" t="s">
        <v>247</v>
      </c>
      <c r="B9" s="66">
        <f>'M2'!B9-'M1'!B9</f>
        <v>4.8965000000000032</v>
      </c>
      <c r="C9" s="66">
        <f>'M2'!C9-'M1'!C9</f>
        <v>-2.9078400000000002</v>
      </c>
      <c r="D9" s="66">
        <f>'M2'!D9-'M1'!D9</f>
        <v>-5.1853899999999999</v>
      </c>
      <c r="E9" s="66">
        <f>'M2'!E9-'M1'!E9</f>
        <v>0</v>
      </c>
      <c r="F9" s="66">
        <f>'M2'!F9-'M1'!F9</f>
        <v>6.4194000000000031</v>
      </c>
      <c r="G9" s="66">
        <f>'M2'!G9-'M1'!G9</f>
        <v>0</v>
      </c>
      <c r="H9" s="66">
        <f>'M2'!H9-'M1'!H9</f>
        <v>-0.77949999999999875</v>
      </c>
    </row>
    <row r="10" spans="1:8">
      <c r="A10" s="66" t="s">
        <v>248</v>
      </c>
      <c r="B10" s="66">
        <f>'M2'!B10-'M1'!B10</f>
        <v>3.762999999999991</v>
      </c>
      <c r="C10" s="66">
        <f>'M2'!C10-'M1'!C10</f>
        <v>0.74194999999999989</v>
      </c>
      <c r="D10" s="66">
        <f>'M2'!D10-'M1'!D10</f>
        <v>0.83414999999999995</v>
      </c>
      <c r="E10" s="66">
        <f>'M2'!E10-'M1'!E10</f>
        <v>0</v>
      </c>
      <c r="F10" s="66">
        <f>'M2'!F10-'M1'!F10</f>
        <v>2.1974999999999909</v>
      </c>
      <c r="G10" s="66">
        <f>'M2'!G10-'M1'!G10</f>
        <v>0</v>
      </c>
      <c r="H10" s="66">
        <f>'M2'!H10-'M1'!H10</f>
        <v>4.3166000000000082</v>
      </c>
    </row>
    <row r="11" spans="1:8">
      <c r="A11" s="66" t="s">
        <v>249</v>
      </c>
      <c r="B11" s="66">
        <f>'M2'!B11-'M1'!B11</f>
        <v>2.4837999999999987</v>
      </c>
      <c r="C11" s="66">
        <f>'M2'!C11-'M1'!C11</f>
        <v>-2.0570400000000002</v>
      </c>
      <c r="D11" s="66">
        <f>'M2'!D11-'M1'!D11</f>
        <v>-11.4299</v>
      </c>
      <c r="E11" s="66">
        <f>'M2'!E11-'M1'!E11</f>
        <v>0</v>
      </c>
      <c r="F11" s="66">
        <f>'M2'!F11-'M1'!F11</f>
        <v>9.3769099999999987</v>
      </c>
      <c r="G11" s="66">
        <f>'M2'!G11-'M1'!G11</f>
        <v>0</v>
      </c>
      <c r="H11" s="66">
        <f>'M2'!H11-'M1'!H11</f>
        <v>5.6225000000000023</v>
      </c>
    </row>
    <row r="12" spans="1:8">
      <c r="A12" s="66" t="s">
        <v>250</v>
      </c>
      <c r="B12" s="66">
        <f>'M2'!B12-'M1'!B12</f>
        <v>4.8068999999999988</v>
      </c>
      <c r="C12" s="66">
        <f>'M2'!C12-'M1'!C12</f>
        <v>-1.2795400000000003</v>
      </c>
      <c r="D12" s="66">
        <f>'M2'!D12-'M1'!D12</f>
        <v>-2.0849800000000003</v>
      </c>
      <c r="E12" s="66">
        <f>'M2'!E12-'M1'!E12</f>
        <v>0</v>
      </c>
      <c r="F12" s="66">
        <f>'M2'!F12-'M1'!F12</f>
        <v>2.3766000000000034</v>
      </c>
      <c r="G12" s="66">
        <f>'M2'!G12-'M1'!G12</f>
        <v>0</v>
      </c>
      <c r="H12" s="66">
        <f>'M2'!H12-'M1'!H12</f>
        <v>0.42309999999999093</v>
      </c>
    </row>
    <row r="13" spans="1:8">
      <c r="A13" s="66" t="s">
        <v>251</v>
      </c>
      <c r="B13" s="66">
        <f>'M2'!B13-'M1'!B13</f>
        <v>-2.9987999999999992</v>
      </c>
      <c r="C13" s="66">
        <f>'M2'!C13-'M1'!C13</f>
        <v>1.1652500000000003</v>
      </c>
      <c r="D13" s="66">
        <f>'M2'!D13-'M1'!D13</f>
        <v>7.5604999999999993</v>
      </c>
      <c r="E13" s="66">
        <f>'M2'!E13-'M1'!E13</f>
        <v>0</v>
      </c>
      <c r="F13" s="66">
        <f>'M2'!F13-'M1'!F13</f>
        <v>-1.5218000000000007</v>
      </c>
      <c r="G13" s="66">
        <f>'M2'!G13-'M1'!G13</f>
        <v>0</v>
      </c>
      <c r="H13" s="66">
        <f>'M2'!H13-'M1'!H13</f>
        <v>1.603399999999997</v>
      </c>
    </row>
    <row r="14" spans="1:8">
      <c r="A14" s="66" t="s">
        <v>252</v>
      </c>
      <c r="B14" s="66">
        <f>'M2'!B14-'M1'!B14</f>
        <v>11.652499999999996</v>
      </c>
      <c r="C14" s="66">
        <f>'M2'!C14-'M1'!C14</f>
        <v>0.95064999999999955</v>
      </c>
      <c r="D14" s="66">
        <f>'M2'!D14-'M1'!D14</f>
        <v>-6.6456000000000017</v>
      </c>
      <c r="E14" s="66">
        <f>'M2'!E14-'M1'!E14</f>
        <v>0</v>
      </c>
      <c r="F14" s="66">
        <f>'M2'!F14-'M1'!F14</f>
        <v>1.8058500000000002</v>
      </c>
      <c r="G14" s="66">
        <f>'M2'!G14-'M1'!G14</f>
        <v>0</v>
      </c>
      <c r="H14" s="66">
        <f>'M2'!H14-'M1'!H14</f>
        <v>2.0670000000000002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-1.6534000000000049E-2</v>
      </c>
      <c r="C18" s="66">
        <f>'M2'!C18-'M1'!C18</f>
        <v>4.9872600000000003E-2</v>
      </c>
      <c r="D18" s="66">
        <f>'M2'!D18-'M1'!D18</f>
        <v>9.2867000000000005E-2</v>
      </c>
      <c r="E18" s="66">
        <f>'M2'!E18-'M1'!E18</f>
        <v>0</v>
      </c>
      <c r="F18" s="66">
        <f>'M2'!F18-'M1'!F18</f>
        <v>0.48715999999999998</v>
      </c>
      <c r="G18" s="66">
        <f>'M2'!G18-'M1'!G18</f>
        <v>0</v>
      </c>
      <c r="H18" s="66">
        <f>'M2'!H18-'M1'!H18</f>
        <v>0.58690500000000001</v>
      </c>
    </row>
    <row r="19" spans="1:8">
      <c r="A19" s="66" t="s">
        <v>256</v>
      </c>
      <c r="B19" s="66">
        <f>'M2'!B19-'M1'!B19</f>
        <v>3.7781999999999982E-2</v>
      </c>
      <c r="C19" s="66">
        <f>'M2'!C19-'M1'!C19</f>
        <v>3.4348400000000002E-3</v>
      </c>
      <c r="D19" s="66">
        <f>'M2'!D19-'M1'!D19</f>
        <v>5.6191100000000001E-3</v>
      </c>
      <c r="E19" s="66">
        <f>'M2'!E19-'M1'!E19</f>
        <v>0</v>
      </c>
      <c r="F19" s="66">
        <f>'M2'!F19-'M1'!F19</f>
        <v>0.60784300000000002</v>
      </c>
      <c r="G19" s="66">
        <f>'M2'!G19-'M1'!G19</f>
        <v>0</v>
      </c>
      <c r="H19" s="66">
        <f>'M2'!H19-'M1'!H19</f>
        <v>0.61471299999999995</v>
      </c>
    </row>
    <row r="20" spans="1:8">
      <c r="A20" s="66" t="s">
        <v>63</v>
      </c>
      <c r="B20" s="66">
        <f>'M2'!B20-'M1'!B20</f>
        <v>-5.7053299999999991E-4</v>
      </c>
      <c r="C20" s="66">
        <f>'M2'!C20-'M1'!C20</f>
        <v>0.19736389999999998</v>
      </c>
      <c r="D20" s="66">
        <f>'M2'!D20-'M1'!D20</f>
        <v>416.9443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1.5533030000000001</v>
      </c>
    </row>
    <row r="21" spans="1:8">
      <c r="A21" s="66" t="s">
        <v>64</v>
      </c>
      <c r="B21" s="66">
        <f>'M2'!B21-'M1'!B21</f>
        <v>-6.5412499999999998E-2</v>
      </c>
      <c r="C21" s="66">
        <f>'M2'!C21-'M1'!C21</f>
        <v>0.85460100000000006</v>
      </c>
      <c r="D21" s="66">
        <f>'M2'!D21-'M1'!D21</f>
        <v>16.2272</v>
      </c>
      <c r="E21" s="66">
        <f>'M2'!E21-'M1'!E21</f>
        <v>0</v>
      </c>
      <c r="F21" s="66">
        <f>'M2'!F21-'M1'!F21</f>
        <v>-4.9489760000000008E-3</v>
      </c>
      <c r="G21" s="66">
        <f>'M2'!G21-'M1'!G21</f>
        <v>0</v>
      </c>
      <c r="H21" s="66">
        <f>'M2'!H21-'M1'!H21</f>
        <v>5.4031880000000001</v>
      </c>
    </row>
    <row r="22" spans="1:8">
      <c r="A22" s="66" t="s">
        <v>65</v>
      </c>
      <c r="B22" s="66">
        <f>'M2'!B22-'M1'!B22</f>
        <v>-2.2742999999999967</v>
      </c>
      <c r="C22" s="66">
        <f>'M2'!C22-'M1'!C22</f>
        <v>27.510339999999996</v>
      </c>
      <c r="D22" s="66">
        <f>'M2'!D22-'M1'!D22</f>
        <v>0.67588199999999998</v>
      </c>
      <c r="E22" s="66">
        <f>'M2'!E22-'M1'!E22</f>
        <v>0</v>
      </c>
      <c r="F22" s="66">
        <f>'M2'!F22-'M1'!F22</f>
        <v>-4.5503</v>
      </c>
      <c r="G22" s="66">
        <f>'M2'!G22-'M1'!G22</f>
        <v>0</v>
      </c>
      <c r="H22" s="66">
        <f>'M2'!H22-'M1'!H22</f>
        <v>92.335000000000008</v>
      </c>
    </row>
    <row r="23" spans="1:8">
      <c r="A23" s="66" t="s">
        <v>66</v>
      </c>
      <c r="B23" s="66">
        <f>'M2'!B23-'M1'!B23</f>
        <v>19.242899999999999</v>
      </c>
      <c r="C23" s="66">
        <f>'M2'!C23-'M1'!C23</f>
        <v>2.0663</v>
      </c>
      <c r="D23" s="66">
        <f>'M2'!D23-'M1'!D23</f>
        <v>-0.116788</v>
      </c>
      <c r="E23" s="66">
        <f>'M2'!E23-'M1'!E23</f>
        <v>0</v>
      </c>
      <c r="F23" s="66">
        <f>'M2'!F23-'M1'!F23</f>
        <v>7.67225</v>
      </c>
      <c r="G23" s="66">
        <f>'M2'!G23-'M1'!G23</f>
        <v>0</v>
      </c>
      <c r="H23" s="66">
        <f>'M2'!H23-'M1'!H23</f>
        <v>13.906400000000001</v>
      </c>
    </row>
    <row r="24" spans="1:8">
      <c r="A24" s="66" t="s">
        <v>67</v>
      </c>
      <c r="B24" s="66">
        <f>'M2'!B24-'M1'!B24</f>
        <v>-2.1661760000000001E-3</v>
      </c>
      <c r="C24" s="66">
        <f>'M2'!C24-'M1'!C24</f>
        <v>0.18923129999999999</v>
      </c>
      <c r="D24" s="66">
        <f>'M2'!D24-'M1'!D24</f>
        <v>236.47154</v>
      </c>
      <c r="E24" s="66">
        <f>'M2'!E24-'M1'!E24</f>
        <v>0</v>
      </c>
      <c r="F24" s="66">
        <f>'M2'!F24-'M1'!F24</f>
        <v>-1.7305300000000002E-5</v>
      </c>
      <c r="G24" s="66">
        <f>'M2'!G24-'M1'!G24</f>
        <v>0</v>
      </c>
      <c r="H24" s="66">
        <f>'M2'!H24-'M1'!H24</f>
        <v>1.4121773</v>
      </c>
    </row>
    <row r="25" spans="1:8">
      <c r="A25" s="66" t="s">
        <v>68</v>
      </c>
      <c r="B25" s="66">
        <f>'M2'!B25-'M1'!B25</f>
        <v>-6.0585000000000014E-2</v>
      </c>
      <c r="C25" s="66">
        <f>'M2'!C25-'M1'!C25</f>
        <v>0.60675099999999993</v>
      </c>
      <c r="D25" s="66">
        <f>'M2'!D25-'M1'!D25</f>
        <v>6.2911380000000001</v>
      </c>
      <c r="E25" s="66">
        <f>'M2'!E25-'M1'!E25</f>
        <v>0</v>
      </c>
      <c r="F25" s="66">
        <f>'M2'!F25-'M1'!F25</f>
        <v>-1.9126799999999999E-2</v>
      </c>
      <c r="G25" s="66">
        <f>'M2'!G25-'M1'!G25</f>
        <v>0</v>
      </c>
      <c r="H25" s="66">
        <f>'M2'!H25-'M1'!H25</f>
        <v>2.1113020000000002</v>
      </c>
    </row>
    <row r="26" spans="1:8">
      <c r="A26" s="66" t="s">
        <v>69</v>
      </c>
      <c r="B26" s="66">
        <f>'M2'!B26-'M1'!B26</f>
        <v>-2.0351900000000001E-4</v>
      </c>
      <c r="C26" s="66">
        <f>'M2'!C26-'M1'!C26</f>
        <v>1.335718E-2</v>
      </c>
      <c r="D26" s="66">
        <f>'M2'!D26-'M1'!D26</f>
        <v>101.06274000000001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8.6558399999999994E-2</v>
      </c>
    </row>
    <row r="27" spans="1:8">
      <c r="A27" s="66" t="s">
        <v>70</v>
      </c>
      <c r="B27" s="66">
        <f>'M2'!B27-'M1'!B27</f>
        <v>-3.2825599999999999E-6</v>
      </c>
      <c r="C27" s="66">
        <f>'M2'!C27-'M1'!C27</f>
        <v>9.4868999999999986E-4</v>
      </c>
      <c r="D27" s="66">
        <f>'M2'!D27-'M1'!D27</f>
        <v>-798.43100000000004</v>
      </c>
      <c r="E27" s="66">
        <f>'M2'!E27-'M1'!E27</f>
        <v>0</v>
      </c>
      <c r="F27" s="66">
        <f>'M2'!F27-'M1'!F27</f>
        <v>3.4795E-3</v>
      </c>
      <c r="G27" s="66">
        <f>'M2'!G27-'M1'!G27</f>
        <v>0</v>
      </c>
      <c r="H27" s="66">
        <f>'M2'!H27-'M1'!H27</f>
        <v>1.53493E-2</v>
      </c>
    </row>
    <row r="28" spans="1:8">
      <c r="A28" s="66" t="s">
        <v>71</v>
      </c>
      <c r="B28" s="66">
        <f>'M2'!B28-'M1'!B28</f>
        <v>-7.4023799999999983E-3</v>
      </c>
      <c r="C28" s="66">
        <f>'M2'!C28-'M1'!C28</f>
        <v>2.5274999999999999E-2</v>
      </c>
      <c r="D28" s="66">
        <f>'M2'!D28-'M1'!D28</f>
        <v>3.8455299999999997</v>
      </c>
      <c r="E28" s="66">
        <f>'M2'!E28-'M1'!E28</f>
        <v>0</v>
      </c>
      <c r="F28" s="66">
        <f>'M2'!F28-'M1'!F28</f>
        <v>-1.5299509999999999E-3</v>
      </c>
      <c r="G28" s="66">
        <f>'M2'!G28-'M1'!G28</f>
        <v>0</v>
      </c>
      <c r="H28" s="66">
        <f>'M2'!H28-'M1'!H28</f>
        <v>0.1301793</v>
      </c>
    </row>
    <row r="29" spans="1:8">
      <c r="A29" s="66" t="s">
        <v>72</v>
      </c>
      <c r="B29" s="66">
        <f>'M2'!B29-'M1'!B29</f>
        <v>-2.5837000000000074</v>
      </c>
      <c r="C29" s="66">
        <f>'M2'!C29-'M1'!C29</f>
        <v>6.8273799999999998</v>
      </c>
      <c r="D29" s="66">
        <f>'M2'!D29-'M1'!D29</f>
        <v>0.10470499999999999</v>
      </c>
      <c r="E29" s="66">
        <f>'M2'!E29-'M1'!E29</f>
        <v>0</v>
      </c>
      <c r="F29" s="66">
        <f>'M2'!F29-'M1'!F29</f>
        <v>-6.1981999999999999</v>
      </c>
      <c r="G29" s="66">
        <f>'M2'!G29-'M1'!G29</f>
        <v>0</v>
      </c>
      <c r="H29" s="66">
        <f>'M2'!H29-'M1'!H29</f>
        <v>24.049199999999999</v>
      </c>
    </row>
    <row r="30" spans="1:8">
      <c r="A30" s="66" t="s">
        <v>73</v>
      </c>
      <c r="B30" s="66">
        <f>'M2'!B30-'M1'!B30</f>
        <v>8.4843000000000011</v>
      </c>
      <c r="C30" s="66">
        <f>'M2'!C30-'M1'!C30</f>
        <v>-2.6944299999999997</v>
      </c>
      <c r="D30" s="66">
        <f>'M2'!D30-'M1'!D30</f>
        <v>-0.16531199999999999</v>
      </c>
      <c r="E30" s="66">
        <f>'M2'!E30-'M1'!E30</f>
        <v>0</v>
      </c>
      <c r="F30" s="66">
        <f>'M2'!F30-'M1'!F30</f>
        <v>8.9918499999999995</v>
      </c>
      <c r="G30" s="66">
        <f>'M2'!G30-'M1'!G30</f>
        <v>0</v>
      </c>
      <c r="H30" s="66">
        <f>'M2'!H30-'M1'!H30</f>
        <v>2.2927999999999997</v>
      </c>
    </row>
    <row r="31" spans="1:8">
      <c r="A31" s="66" t="s">
        <v>74</v>
      </c>
      <c r="B31" s="66">
        <f>'M2'!B31-'M1'!B31</f>
        <v>68.825000000000003</v>
      </c>
      <c r="C31" s="66">
        <f>'M2'!C31-'M1'!C31</f>
        <v>-11.770100000000003</v>
      </c>
      <c r="D31" s="66">
        <f>'M2'!D31-'M1'!D31</f>
        <v>-0.17491000000000001</v>
      </c>
      <c r="E31" s="66">
        <f>'M2'!E31-'M1'!E31</f>
        <v>0</v>
      </c>
      <c r="F31" s="66">
        <f>'M2'!F31-'M1'!F31</f>
        <v>109.35680000000001</v>
      </c>
      <c r="G31" s="66">
        <f>'M2'!G31-'M1'!G31</f>
        <v>0</v>
      </c>
      <c r="H31" s="66">
        <f>'M2'!H31-'M1'!H31</f>
        <v>73.685000000000002</v>
      </c>
    </row>
    <row r="32" spans="1:8">
      <c r="A32" s="66" t="s">
        <v>75</v>
      </c>
      <c r="B32" s="66">
        <f>'M2'!B32-'M1'!B32</f>
        <v>-6.2152999999999986E-2</v>
      </c>
      <c r="C32" s="66">
        <f>'M2'!C32-'M1'!C32</f>
        <v>8.8062000000000001E-3</v>
      </c>
      <c r="D32" s="66">
        <f>'M2'!D32-'M1'!D32</f>
        <v>0.11786000000000002</v>
      </c>
      <c r="E32" s="66">
        <f>'M2'!E32-'M1'!E32</f>
        <v>0</v>
      </c>
      <c r="F32" s="66">
        <f>'M2'!F32-'M1'!F32</f>
        <v>-0.10421259999999999</v>
      </c>
      <c r="G32" s="66">
        <f>'M2'!G32-'M1'!G32</f>
        <v>0</v>
      </c>
      <c r="H32" s="66">
        <f>'M2'!H32-'M1'!H32</f>
        <v>-3.9930999999999994E-2</v>
      </c>
    </row>
    <row r="33" spans="1:8">
      <c r="A33" s="66" t="s">
        <v>76</v>
      </c>
      <c r="B33" s="66">
        <f>'M2'!B33-'M1'!B33</f>
        <v>-7.6284000000000018E-2</v>
      </c>
      <c r="C33" s="66">
        <f>'M2'!C33-'M1'!C33</f>
        <v>1.9913599999999997E-2</v>
      </c>
      <c r="D33" s="66">
        <f>'M2'!D33-'M1'!D33</f>
        <v>0.1052601</v>
      </c>
      <c r="E33" s="66">
        <f>'M2'!E33-'M1'!E33</f>
        <v>0</v>
      </c>
      <c r="F33" s="66">
        <f>'M2'!F33-'M1'!F33</f>
        <v>-8.1029999999999991E-2</v>
      </c>
      <c r="G33" s="66">
        <f>'M2'!G33-'M1'!G33</f>
        <v>0</v>
      </c>
      <c r="H33" s="66">
        <f>'M2'!H33-'M1'!H33</f>
        <v>1.3969999999999982E-2</v>
      </c>
    </row>
    <row r="34" spans="1:8">
      <c r="A34" s="66" t="s">
        <v>77</v>
      </c>
      <c r="B34" s="66">
        <f>'M2'!B34-'M1'!B34</f>
        <v>-2.9987999999999987E-2</v>
      </c>
      <c r="C34" s="66">
        <f>'M2'!C34-'M1'!C34</f>
        <v>1.1652500000000003E-2</v>
      </c>
      <c r="D34" s="66">
        <f>'M2'!D34-'M1'!D34</f>
        <v>7.5605000000000006E-2</v>
      </c>
      <c r="E34" s="66">
        <f>'M2'!E34-'M1'!E34</f>
        <v>0</v>
      </c>
      <c r="F34" s="66">
        <f>'M2'!F34-'M1'!F34</f>
        <v>-1.5218000000000009E-2</v>
      </c>
      <c r="G34" s="66">
        <f>'M2'!G34-'M1'!G34</f>
        <v>0</v>
      </c>
      <c r="H34" s="66">
        <f>'M2'!H34-'M1'!H34</f>
        <v>1.6033999999999993E-2</v>
      </c>
    </row>
    <row r="35" spans="1:8">
      <c r="A35" s="66" t="s">
        <v>78</v>
      </c>
      <c r="B35" s="66">
        <f>'M2'!B35-'M1'!B35</f>
        <v>-1.7813099999999998E-2</v>
      </c>
      <c r="C35" s="66">
        <f>'M2'!C35-'M1'!C35</f>
        <v>-4.8120000000000107E-4</v>
      </c>
      <c r="D35" s="66">
        <f>'M2'!D35-'M1'!D35</f>
        <v>6.451800000000002E-2</v>
      </c>
      <c r="E35" s="66">
        <f>'M2'!E35-'M1'!E35</f>
        <v>0</v>
      </c>
      <c r="F35" s="66">
        <f>'M2'!F35-'M1'!F35</f>
        <v>-1.0163200000000004E-2</v>
      </c>
      <c r="G35" s="66">
        <f>'M2'!G35-'M1'!G35</f>
        <v>0</v>
      </c>
      <c r="H35" s="66">
        <f>'M2'!H35-'M1'!H35</f>
        <v>-7.2409999999999974E-3</v>
      </c>
    </row>
    <row r="36" spans="1:8">
      <c r="A36" s="66" t="s">
        <v>79</v>
      </c>
      <c r="B36" s="66">
        <f>'M2'!B36-'M1'!B36</f>
        <v>-4.8864999999999992E-2</v>
      </c>
      <c r="C36" s="66">
        <f>'M2'!C36-'M1'!C36</f>
        <v>-8.7089999999999945E-3</v>
      </c>
      <c r="D36" s="66">
        <f>'M2'!D36-'M1'!D36</f>
        <v>9.5075000000000021E-2</v>
      </c>
      <c r="E36" s="66">
        <f>'M2'!E36-'M1'!E36</f>
        <v>0</v>
      </c>
      <c r="F36" s="66">
        <f>'M2'!F36-'M1'!F36</f>
        <v>5.1832999999999949E-3</v>
      </c>
      <c r="G36" s="66">
        <f>'M2'!G36-'M1'!G36</f>
        <v>0</v>
      </c>
      <c r="H36" s="66">
        <f>'M2'!H36-'M1'!H36</f>
        <v>1.6425000000000023E-2</v>
      </c>
    </row>
    <row r="37" spans="1:8">
      <c r="A37" s="66" t="s">
        <v>80</v>
      </c>
      <c r="B37" s="66">
        <f>'M2'!B37-'M1'!B37</f>
        <v>0.11652499999999999</v>
      </c>
      <c r="C37" s="66">
        <f>'M2'!C37-'M1'!C37</f>
        <v>9.5065000000000011E-3</v>
      </c>
      <c r="D37" s="66">
        <f>'M2'!D37-'M1'!D37</f>
        <v>-6.6456000000000015E-2</v>
      </c>
      <c r="E37" s="66">
        <f>'M2'!E37-'M1'!E37</f>
        <v>0</v>
      </c>
      <c r="F37" s="66">
        <f>'M2'!F37-'M1'!F37</f>
        <v>1.8058500000000002E-2</v>
      </c>
      <c r="G37" s="66">
        <f>'M2'!G37-'M1'!G37</f>
        <v>0</v>
      </c>
      <c r="H37" s="66">
        <f>'M2'!H37-'M1'!H37</f>
        <v>2.0670000000000022E-2</v>
      </c>
    </row>
    <row r="38" spans="1:8">
      <c r="A38" s="66" t="s">
        <v>81</v>
      </c>
      <c r="B38" s="66">
        <f>'M2'!B38-'M1'!B38</f>
        <v>11.47227</v>
      </c>
      <c r="C38" s="66">
        <f>'M2'!C38-'M1'!C38</f>
        <v>-1.6477999999999966</v>
      </c>
      <c r="D38" s="66">
        <f>'M2'!D38-'M1'!D38</f>
        <v>-8.8708399999999994</v>
      </c>
      <c r="E38" s="66">
        <f>'M2'!E38-'M1'!E38</f>
        <v>0</v>
      </c>
      <c r="F38" s="66">
        <f>'M2'!F38-'M1'!F38</f>
        <v>-15.010999999999996</v>
      </c>
      <c r="G38" s="66">
        <f>'M2'!G38-'M1'!G38</f>
        <v>0</v>
      </c>
      <c r="H38" s="66">
        <f>'M2'!H38-'M1'!H38</f>
        <v>10.057999999999993</v>
      </c>
    </row>
    <row r="39" spans="1:8">
      <c r="A39" s="66" t="s">
        <v>82</v>
      </c>
      <c r="B39" s="66">
        <f>'M2'!B39-'M1'!B39</f>
        <v>2.0009599999999996</v>
      </c>
      <c r="C39" s="66">
        <f>'M2'!C39-'M1'!C39</f>
        <v>0.98846000000000078</v>
      </c>
      <c r="D39" s="66">
        <f>'M2'!D39-'M1'!D39</f>
        <v>-1.0607499999999999</v>
      </c>
      <c r="E39" s="66">
        <f>'M2'!E39-'M1'!E39</f>
        <v>0</v>
      </c>
      <c r="F39" s="66">
        <f>'M2'!F39-'M1'!F39</f>
        <v>-16.283000000000001</v>
      </c>
      <c r="G39" s="66">
        <f>'M2'!G39-'M1'!G39</f>
        <v>0</v>
      </c>
      <c r="H39" s="66">
        <f>'M2'!H39-'M1'!H39</f>
        <v>2.4088999999999992</v>
      </c>
    </row>
    <row r="40" spans="1:8">
      <c r="A40" s="66" t="s">
        <v>83</v>
      </c>
      <c r="B40" s="66">
        <f>'M2'!B40-'M1'!B40</f>
        <v>0.95357800000000004</v>
      </c>
      <c r="C40" s="66">
        <f>'M2'!C40-'M1'!C40</f>
        <v>-0.63007999999999997</v>
      </c>
      <c r="D40" s="66">
        <f>'M2'!D40-'M1'!D40</f>
        <v>-2.4613699999999996</v>
      </c>
      <c r="E40" s="66">
        <f>'M2'!E40-'M1'!E40</f>
        <v>0</v>
      </c>
      <c r="F40" s="66">
        <f>'M2'!F40-'M1'!F40</f>
        <v>-1.7479200000000006</v>
      </c>
      <c r="G40" s="66">
        <f>'M2'!G40-'M1'!G40</f>
        <v>0</v>
      </c>
      <c r="H40" s="66">
        <f>'M2'!H40-'M1'!H40</f>
        <v>2.9739999999999878E-2</v>
      </c>
    </row>
    <row r="41" spans="1:8">
      <c r="A41" s="66" t="s">
        <v>84</v>
      </c>
      <c r="B41" s="66">
        <f>'M2'!B41-'M1'!B41</f>
        <v>9.8141100000000009E-2</v>
      </c>
      <c r="C41" s="66">
        <f>'M2'!C41-'M1'!C41</f>
        <v>5.2560999999999969E-2</v>
      </c>
      <c r="D41" s="66">
        <f>'M2'!D41-'M1'!D41</f>
        <v>-5.3927899999999998</v>
      </c>
      <c r="E41" s="66">
        <f>'M2'!E41-'M1'!E41</f>
        <v>0</v>
      </c>
      <c r="F41" s="66">
        <f>'M2'!F41-'M1'!F41</f>
        <v>-9.5238000000000045E-2</v>
      </c>
      <c r="G41" s="66">
        <f>'M2'!G41-'M1'!G41</f>
        <v>0</v>
      </c>
      <c r="H41" s="66">
        <f>'M2'!H41-'M1'!H41</f>
        <v>0.29993099999999995</v>
      </c>
    </row>
    <row r="42" spans="1:8">
      <c r="A42" s="66" t="s">
        <v>85</v>
      </c>
      <c r="B42" s="66">
        <f>'M2'!B42-'M1'!B42</f>
        <v>7.3633100000000007E-2</v>
      </c>
      <c r="C42" s="66">
        <f>'M2'!C42-'M1'!C42</f>
        <v>-1.0266999999999998E-2</v>
      </c>
      <c r="D42" s="66">
        <f>'M2'!D42-'M1'!D42</f>
        <v>-0.92897000000000007</v>
      </c>
      <c r="E42" s="66">
        <f>'M2'!E42-'M1'!E42</f>
        <v>0</v>
      </c>
      <c r="F42" s="66">
        <f>'M2'!F42-'M1'!F42</f>
        <v>6.2793000000000043E-2</v>
      </c>
      <c r="G42" s="66">
        <f>'M2'!G42-'M1'!G42</f>
        <v>0</v>
      </c>
      <c r="H42" s="66">
        <f>'M2'!H42-'M1'!H42</f>
        <v>2.8484999999999983E-2</v>
      </c>
    </row>
    <row r="43" spans="1:8">
      <c r="A43" s="66" t="s">
        <v>86</v>
      </c>
      <c r="B43" s="66">
        <f>'M2'!B43-'M1'!B43</f>
        <v>-5.3686000000000011E-3</v>
      </c>
      <c r="C43" s="66">
        <f>'M2'!C43-'M1'!C43</f>
        <v>-4.4232499999999994E-2</v>
      </c>
      <c r="D43" s="66">
        <f>'M2'!D43-'M1'!D43</f>
        <v>1.12192</v>
      </c>
      <c r="E43" s="66">
        <f>'M2'!E43-'M1'!E43</f>
        <v>0</v>
      </c>
      <c r="F43" s="66">
        <f>'M2'!F43-'M1'!F43</f>
        <v>6.5360000000000001E-2</v>
      </c>
      <c r="G43" s="66">
        <f>'M2'!G43-'M1'!G43</f>
        <v>0</v>
      </c>
      <c r="H43" s="66">
        <f>'M2'!H43-'M1'!H43</f>
        <v>-1.0221399999999992E-2</v>
      </c>
    </row>
    <row r="44" spans="1:8">
      <c r="A44" s="66" t="s">
        <v>87</v>
      </c>
      <c r="B44" s="66">
        <f>'M2'!B44-'M1'!B44</f>
        <v>-38.099900000000005</v>
      </c>
      <c r="C44" s="66">
        <f>'M2'!C44-'M1'!C44</f>
        <v>20.752999999999997</v>
      </c>
      <c r="D44" s="66">
        <f>'M2'!D44-'M1'!D44</f>
        <v>0.58097399999999999</v>
      </c>
      <c r="E44" s="66">
        <f>'M2'!E44-'M1'!E44</f>
        <v>0</v>
      </c>
      <c r="F44" s="66">
        <f>'M2'!F44-'M1'!F44</f>
        <v>-60.308800000000005</v>
      </c>
      <c r="G44" s="66">
        <f>'M2'!G44-'M1'!G44</f>
        <v>0</v>
      </c>
      <c r="H44" s="66">
        <f>'M2'!H44-'M1'!H44</f>
        <v>9.9271000000000029</v>
      </c>
    </row>
    <row r="45" spans="1:8">
      <c r="A45" s="66" t="s">
        <v>88</v>
      </c>
      <c r="B45" s="66">
        <f>'M2'!B45-'M1'!B45</f>
        <v>1.1379000000000019</v>
      </c>
      <c r="C45" s="66">
        <f>'M2'!C45-'M1'!C45</f>
        <v>9.0339999999999421E-2</v>
      </c>
      <c r="D45" s="66">
        <f>'M2'!D45-'M1'!D45</f>
        <v>-6.509999999999988E-4</v>
      </c>
      <c r="E45" s="66">
        <f>'M2'!E45-'M1'!E45</f>
        <v>0</v>
      </c>
      <c r="F45" s="66">
        <f>'M2'!F45-'M1'!F45</f>
        <v>-3.7357999999999976</v>
      </c>
      <c r="G45" s="66">
        <f>'M2'!G45-'M1'!G45</f>
        <v>0</v>
      </c>
      <c r="H45" s="66">
        <f>'M2'!H45-'M1'!H45</f>
        <v>6.7239000000000004</v>
      </c>
    </row>
    <row r="46" spans="1:8">
      <c r="A46" s="66" t="s">
        <v>89</v>
      </c>
      <c r="B46" s="66">
        <f>'M2'!B46-'M1'!B46</f>
        <v>0.90919999999999845</v>
      </c>
      <c r="C46" s="66">
        <f>'M2'!C46-'M1'!C46</f>
        <v>-5.3119499999999995</v>
      </c>
      <c r="D46" s="66">
        <f>'M2'!D46-'M1'!D46</f>
        <v>-0.1850695</v>
      </c>
      <c r="E46" s="66">
        <f>'M2'!E46-'M1'!E46</f>
        <v>0</v>
      </c>
      <c r="F46" s="66">
        <f>'M2'!F46-'M1'!F46</f>
        <v>17.200049999999997</v>
      </c>
      <c r="G46" s="66">
        <f>'M2'!G46-'M1'!G46</f>
        <v>0</v>
      </c>
      <c r="H46" s="66">
        <f>'M2'!H46-'M1'!H46</f>
        <v>-1.7000000000000028</v>
      </c>
    </row>
    <row r="47" spans="1:8">
      <c r="A47" s="66" t="s">
        <v>90</v>
      </c>
      <c r="B47" s="66">
        <f>'M2'!B47-'M1'!B47</f>
        <v>-0.29240799999999989</v>
      </c>
      <c r="C47" s="66">
        <f>'M2'!C47-'M1'!C47</f>
        <v>0.38500300000000004</v>
      </c>
      <c r="D47" s="66">
        <f>'M2'!D47-'M1'!D47</f>
        <v>0.55585400000000007</v>
      </c>
      <c r="E47" s="66">
        <f>'M2'!E47-'M1'!E47</f>
        <v>0</v>
      </c>
      <c r="F47" s="66">
        <f>'M2'!F47-'M1'!F47</f>
        <v>-0.32245299999999999</v>
      </c>
      <c r="G47" s="66">
        <f>'M2'!G47-'M1'!G47</f>
        <v>0</v>
      </c>
      <c r="H47" s="66">
        <f>'M2'!H47-'M1'!H47</f>
        <v>1.3958700000000002</v>
      </c>
    </row>
    <row r="48" spans="1:8">
      <c r="A48" s="66" t="s">
        <v>91</v>
      </c>
      <c r="B48" s="66">
        <f>'M2'!B48-'M1'!B48</f>
        <v>6.1553999999999998E-2</v>
      </c>
      <c r="C48" s="66">
        <f>'M2'!C48-'M1'!C48</f>
        <v>8.4137000000000003E-2</v>
      </c>
      <c r="D48" s="66">
        <f>'M2'!D48-'M1'!D48</f>
        <v>8.2881300000000005E-2</v>
      </c>
      <c r="E48" s="66">
        <f>'M2'!E48-'M1'!E48</f>
        <v>0</v>
      </c>
      <c r="F48" s="66">
        <f>'M2'!F48-'M1'!F48</f>
        <v>-3.9774000000000087E-2</v>
      </c>
      <c r="G48" s="66">
        <f>'M2'!G48-'M1'!G48</f>
        <v>0</v>
      </c>
      <c r="H48" s="66">
        <f>'M2'!H48-'M1'!H48</f>
        <v>0.22541000000000011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35.5959</v>
      </c>
      <c r="C5" s="66">
        <v>8.4568100000000008</v>
      </c>
      <c r="D5" s="66">
        <v>23.7578</v>
      </c>
      <c r="E5" s="66">
        <v>20</v>
      </c>
      <c r="F5" s="66">
        <v>11.0632</v>
      </c>
      <c r="G5" s="66">
        <v>50</v>
      </c>
      <c r="H5" s="66">
        <v>44.092599999999997</v>
      </c>
    </row>
    <row r="6" spans="1:8">
      <c r="A6" s="66" t="s">
        <v>358</v>
      </c>
      <c r="B6" s="66">
        <v>32.564900000000002</v>
      </c>
      <c r="C6" s="66">
        <v>2.78105</v>
      </c>
      <c r="D6" s="66">
        <v>8.5400299999999998</v>
      </c>
      <c r="E6" s="66">
        <v>20</v>
      </c>
      <c r="F6" s="66">
        <v>27.152899999999999</v>
      </c>
      <c r="G6" s="66">
        <v>40</v>
      </c>
      <c r="H6" s="66">
        <v>36.286200000000001</v>
      </c>
    </row>
    <row r="7" spans="1:8">
      <c r="A7" s="66" t="s">
        <v>359</v>
      </c>
      <c r="B7" s="66">
        <v>29.413499999999999</v>
      </c>
      <c r="C7" s="66">
        <v>8.7717399999999994</v>
      </c>
      <c r="D7" s="66">
        <v>29.822199999999999</v>
      </c>
      <c r="E7" s="66">
        <v>15</v>
      </c>
      <c r="F7" s="66">
        <v>13.5313</v>
      </c>
      <c r="G7" s="66">
        <v>40</v>
      </c>
      <c r="H7" s="66">
        <v>44.389600000000002</v>
      </c>
    </row>
    <row r="8" spans="1:8">
      <c r="A8" s="66" t="s">
        <v>360</v>
      </c>
      <c r="B8" s="66">
        <v>28.447800000000001</v>
      </c>
      <c r="C8" s="66">
        <v>3.8385500000000001</v>
      </c>
      <c r="D8" s="66">
        <v>13.4933</v>
      </c>
      <c r="E8" s="66">
        <v>20</v>
      </c>
      <c r="F8" s="66">
        <v>21.842700000000001</v>
      </c>
      <c r="G8" s="66">
        <v>50</v>
      </c>
      <c r="H8" s="66">
        <v>37.353499999999997</v>
      </c>
    </row>
    <row r="9" spans="1:8">
      <c r="A9" s="66" t="s">
        <v>361</v>
      </c>
      <c r="B9" s="66">
        <v>62.644599999999997</v>
      </c>
      <c r="C9" s="66">
        <v>7.6053300000000004</v>
      </c>
      <c r="D9" s="66">
        <v>12.1404</v>
      </c>
      <c r="E9" s="66">
        <v>50</v>
      </c>
      <c r="F9" s="66">
        <v>49.4542</v>
      </c>
      <c r="G9" s="66">
        <v>100</v>
      </c>
      <c r="H9" s="66">
        <v>78.685299999999998</v>
      </c>
    </row>
    <row r="10" spans="1:8">
      <c r="A10" s="66" t="s">
        <v>362</v>
      </c>
      <c r="B10" s="66">
        <v>77.691000000000003</v>
      </c>
      <c r="C10" s="66">
        <v>1.29037</v>
      </c>
      <c r="D10" s="66">
        <v>1.6609</v>
      </c>
      <c r="E10" s="66">
        <v>40</v>
      </c>
      <c r="F10" s="66">
        <v>74.193700000000007</v>
      </c>
      <c r="G10" s="66">
        <v>100</v>
      </c>
      <c r="H10" s="66">
        <v>80.273499999999999</v>
      </c>
    </row>
    <row r="11" spans="1:8">
      <c r="A11" s="66" t="s">
        <v>363</v>
      </c>
      <c r="B11" s="66">
        <v>21.311</v>
      </c>
      <c r="C11" s="66">
        <v>5.6857600000000001</v>
      </c>
      <c r="D11" s="66">
        <v>26.68</v>
      </c>
      <c r="E11" s="66">
        <v>10</v>
      </c>
      <c r="F11" s="66">
        <v>6.2709900000000003</v>
      </c>
      <c r="G11" s="66">
        <v>50</v>
      </c>
      <c r="H11" s="66">
        <v>25.062899999999999</v>
      </c>
    </row>
    <row r="12" spans="1:8">
      <c r="A12" s="66" t="s">
        <v>364</v>
      </c>
      <c r="B12" s="66">
        <v>69.875399999999999</v>
      </c>
      <c r="C12" s="66">
        <v>4.0348800000000002</v>
      </c>
      <c r="D12" s="66">
        <v>5.7743900000000004</v>
      </c>
      <c r="E12" s="66">
        <v>50</v>
      </c>
      <c r="F12" s="66">
        <v>63.87</v>
      </c>
      <c r="G12" s="66">
        <v>100</v>
      </c>
      <c r="H12" s="66">
        <v>78.903800000000004</v>
      </c>
    </row>
    <row r="13" spans="1:8">
      <c r="A13" s="66" t="s">
        <v>365</v>
      </c>
      <c r="B13" s="66">
        <v>23.5671</v>
      </c>
      <c r="C13" s="66">
        <v>3.06351</v>
      </c>
      <c r="D13" s="66">
        <v>12.9991</v>
      </c>
      <c r="E13" s="66">
        <v>10</v>
      </c>
      <c r="F13" s="66">
        <v>14.781700000000001</v>
      </c>
      <c r="G13" s="66">
        <v>25</v>
      </c>
      <c r="H13" s="66">
        <v>30.4359</v>
      </c>
    </row>
    <row r="14" spans="1:8">
      <c r="A14" s="66" t="s">
        <v>366</v>
      </c>
      <c r="B14" s="66">
        <v>30.635100000000001</v>
      </c>
      <c r="C14" s="66">
        <v>9.8877500000000005</v>
      </c>
      <c r="D14" s="66">
        <v>32.2759</v>
      </c>
      <c r="E14" s="66">
        <v>10</v>
      </c>
      <c r="F14" s="66">
        <v>1.64849</v>
      </c>
      <c r="G14" s="66">
        <v>50</v>
      </c>
      <c r="H14" s="66">
        <v>39.991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0.55356700000000003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0.57349600000000001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1.0715099999999999E-3</v>
      </c>
      <c r="C20" s="66">
        <v>2.1628100000000001E-2</v>
      </c>
      <c r="D20" s="66">
        <v>20.184699999999999</v>
      </c>
      <c r="E20" s="66">
        <v>0</v>
      </c>
      <c r="F20" s="66">
        <v>0</v>
      </c>
      <c r="G20" s="66">
        <v>0</v>
      </c>
      <c r="H20" s="66">
        <v>0.12856699999999999</v>
      </c>
    </row>
    <row r="21" spans="1:8">
      <c r="A21" s="66" t="s">
        <v>373</v>
      </c>
      <c r="B21" s="66">
        <v>0.124746</v>
      </c>
      <c r="C21" s="66">
        <v>0.20637900000000001</v>
      </c>
      <c r="D21" s="66">
        <v>1.6544000000000001</v>
      </c>
      <c r="E21" s="66">
        <v>0</v>
      </c>
      <c r="F21" s="66">
        <v>5.5162500000000003E-3</v>
      </c>
      <c r="G21" s="66">
        <v>0</v>
      </c>
      <c r="H21" s="66">
        <v>0.88790199999999997</v>
      </c>
    </row>
    <row r="22" spans="1:8">
      <c r="A22" s="66" t="s">
        <v>374</v>
      </c>
      <c r="B22" s="66">
        <v>43.631799999999998</v>
      </c>
      <c r="C22" s="66">
        <v>8.4880600000000008</v>
      </c>
      <c r="D22" s="66">
        <v>0.19453799999999999</v>
      </c>
      <c r="E22" s="66">
        <v>0</v>
      </c>
      <c r="F22" s="66">
        <v>23.977900000000002</v>
      </c>
      <c r="G22" s="66">
        <v>0</v>
      </c>
      <c r="H22" s="66">
        <v>63.720999999999997</v>
      </c>
    </row>
    <row r="23" spans="1:8">
      <c r="A23" s="66" t="s">
        <v>375</v>
      </c>
      <c r="B23" s="66">
        <v>15.3498</v>
      </c>
      <c r="C23" s="66">
        <v>4.8709100000000003</v>
      </c>
      <c r="D23" s="66">
        <v>0.317328</v>
      </c>
      <c r="E23" s="66">
        <v>0</v>
      </c>
      <c r="F23" s="66">
        <v>7.6355500000000003</v>
      </c>
      <c r="G23" s="66">
        <v>0</v>
      </c>
      <c r="H23" s="66">
        <v>24.714200000000002</v>
      </c>
    </row>
    <row r="24" spans="1:8">
      <c r="A24" s="66" t="s">
        <v>376</v>
      </c>
      <c r="B24" s="66">
        <v>3.0028400000000001E-3</v>
      </c>
      <c r="C24" s="66">
        <v>1.19437E-2</v>
      </c>
      <c r="D24" s="66">
        <v>3.9774600000000002</v>
      </c>
      <c r="E24" s="66">
        <v>0</v>
      </c>
      <c r="F24" s="196">
        <v>4.7345600000000003E-5</v>
      </c>
      <c r="G24" s="66">
        <v>0</v>
      </c>
      <c r="H24" s="66">
        <v>5.7832700000000001E-2</v>
      </c>
    </row>
    <row r="25" spans="1:8">
      <c r="A25" s="66" t="s">
        <v>377</v>
      </c>
      <c r="B25" s="66">
        <v>0.16353500000000001</v>
      </c>
      <c r="C25" s="66">
        <v>0.110461</v>
      </c>
      <c r="D25" s="66">
        <v>0.67546200000000001</v>
      </c>
      <c r="E25" s="66">
        <v>0</v>
      </c>
      <c r="F25" s="66">
        <v>3.0932500000000002E-2</v>
      </c>
      <c r="G25" s="66">
        <v>0</v>
      </c>
      <c r="H25" s="66">
        <v>0.44964799999999999</v>
      </c>
    </row>
    <row r="26" spans="1:8">
      <c r="A26" s="66" t="s">
        <v>378</v>
      </c>
      <c r="B26" s="66">
        <v>3.4795200000000001E-4</v>
      </c>
      <c r="C26" s="66">
        <v>2.1191199999999999E-3</v>
      </c>
      <c r="D26" s="66">
        <v>6.0902599999999998</v>
      </c>
      <c r="E26" s="66">
        <v>0</v>
      </c>
      <c r="F26" s="66">
        <v>0</v>
      </c>
      <c r="G26" s="66">
        <v>0</v>
      </c>
      <c r="H26" s="66">
        <v>1.60386E-2</v>
      </c>
    </row>
    <row r="27" spans="1:8">
      <c r="A27" s="66" t="s">
        <v>379</v>
      </c>
      <c r="B27" s="66">
        <v>0</v>
      </c>
      <c r="C27" s="66">
        <v>1.6722099999999999E-3</v>
      </c>
      <c r="D27" s="66">
        <v>0</v>
      </c>
      <c r="E27" s="66">
        <v>0</v>
      </c>
      <c r="F27" s="66">
        <v>-1.4161E-2</v>
      </c>
      <c r="G27" s="66">
        <v>0</v>
      </c>
      <c r="H27" s="66">
        <v>1.40231E-2</v>
      </c>
    </row>
    <row r="28" spans="1:8">
      <c r="A28" s="66" t="s">
        <v>380</v>
      </c>
      <c r="B28" s="66">
        <v>1.6041699999999999E-2</v>
      </c>
      <c r="C28" s="66">
        <v>1.7223599999999999E-2</v>
      </c>
      <c r="D28" s="66">
        <v>1.07368</v>
      </c>
      <c r="E28" s="66">
        <v>0</v>
      </c>
      <c r="F28" s="66">
        <v>1.74154E-3</v>
      </c>
      <c r="G28" s="66">
        <v>0</v>
      </c>
      <c r="H28" s="66">
        <v>7.9498700000000005E-2</v>
      </c>
    </row>
    <row r="29" spans="1:8">
      <c r="A29" s="66" t="s">
        <v>381</v>
      </c>
      <c r="B29" s="66">
        <v>70.634600000000006</v>
      </c>
      <c r="C29" s="66">
        <v>8.1455199999999994</v>
      </c>
      <c r="D29" s="66">
        <v>0.115319</v>
      </c>
      <c r="E29" s="66">
        <v>0</v>
      </c>
      <c r="F29" s="66">
        <v>52.504199999999997</v>
      </c>
      <c r="G29" s="66">
        <v>0</v>
      </c>
      <c r="H29" s="66">
        <v>88.787800000000004</v>
      </c>
    </row>
    <row r="30" spans="1:8">
      <c r="A30" s="66" t="s">
        <v>382</v>
      </c>
      <c r="B30" s="66">
        <v>22.953099999999999</v>
      </c>
      <c r="C30" s="66">
        <v>6.7703199999999999</v>
      </c>
      <c r="D30" s="66">
        <v>0.29496299999999998</v>
      </c>
      <c r="E30" s="66">
        <v>0</v>
      </c>
      <c r="F30" s="66">
        <v>9.8744499999999995</v>
      </c>
      <c r="G30" s="66">
        <v>0</v>
      </c>
      <c r="H30" s="66">
        <v>33.281799999999997</v>
      </c>
    </row>
    <row r="31" spans="1:8">
      <c r="A31" s="66" t="s">
        <v>383</v>
      </c>
      <c r="B31" s="66">
        <v>122.849</v>
      </c>
      <c r="C31" s="66">
        <v>38.832700000000003</v>
      </c>
      <c r="D31" s="66">
        <v>0.31610100000000002</v>
      </c>
      <c r="E31" s="66">
        <v>0</v>
      </c>
      <c r="F31" s="66">
        <v>29.8172</v>
      </c>
      <c r="G31" s="66">
        <v>0</v>
      </c>
      <c r="H31" s="66">
        <v>175.321</v>
      </c>
    </row>
    <row r="32" spans="1:8">
      <c r="A32" s="66" t="s">
        <v>384</v>
      </c>
      <c r="B32" s="66">
        <v>0.29413499999999998</v>
      </c>
      <c r="C32" s="66">
        <v>8.7717400000000001E-2</v>
      </c>
      <c r="D32" s="66">
        <v>0.29822199999999999</v>
      </c>
      <c r="E32" s="66">
        <v>0.15</v>
      </c>
      <c r="F32" s="66">
        <v>0.13531299999999999</v>
      </c>
      <c r="G32" s="66">
        <v>0.4</v>
      </c>
      <c r="H32" s="66">
        <v>0.44389600000000001</v>
      </c>
    </row>
    <row r="33" spans="1:8">
      <c r="A33" s="66" t="s">
        <v>385</v>
      </c>
      <c r="B33" s="66">
        <v>0.29126000000000002</v>
      </c>
      <c r="C33" s="66">
        <v>1.03651E-2</v>
      </c>
      <c r="D33" s="66">
        <v>3.5586899999999998E-2</v>
      </c>
      <c r="E33" s="66">
        <v>0</v>
      </c>
      <c r="F33" s="66">
        <v>0.27022099999999999</v>
      </c>
      <c r="G33" s="66">
        <v>0</v>
      </c>
      <c r="H33" s="66">
        <v>0.36177700000000002</v>
      </c>
    </row>
    <row r="34" spans="1:8">
      <c r="A34" s="66" t="s">
        <v>386</v>
      </c>
      <c r="B34" s="66">
        <v>0.23567099999999999</v>
      </c>
      <c r="C34" s="66">
        <v>3.0635099999999998E-2</v>
      </c>
      <c r="D34" s="66">
        <v>0.129991</v>
      </c>
      <c r="E34" s="66">
        <v>0.1</v>
      </c>
      <c r="F34" s="66">
        <v>0.147817</v>
      </c>
      <c r="G34" s="66">
        <v>0.25</v>
      </c>
      <c r="H34" s="66">
        <v>0.30435899999999999</v>
      </c>
    </row>
    <row r="35" spans="1:8">
      <c r="A35" s="66" t="s">
        <v>387</v>
      </c>
      <c r="B35" s="66">
        <v>9.93927E-2</v>
      </c>
      <c r="C35" s="66">
        <v>3.2053499999999999E-2</v>
      </c>
      <c r="D35" s="66">
        <v>0.322494</v>
      </c>
      <c r="E35" s="66">
        <v>0</v>
      </c>
      <c r="F35" s="66">
        <v>4.5275500000000003E-2</v>
      </c>
      <c r="G35" s="66">
        <v>0</v>
      </c>
      <c r="H35" s="66">
        <v>0.189776</v>
      </c>
    </row>
    <row r="36" spans="1:8">
      <c r="A36" s="66" t="s">
        <v>388</v>
      </c>
      <c r="B36" s="66">
        <v>0.22009699999999999</v>
      </c>
      <c r="C36" s="66">
        <v>0.112554</v>
      </c>
      <c r="D36" s="66">
        <v>0.511382</v>
      </c>
      <c r="E36" s="66">
        <v>0</v>
      </c>
      <c r="F36" s="66">
        <v>4.5491700000000003E-2</v>
      </c>
      <c r="G36" s="66">
        <v>0</v>
      </c>
      <c r="H36" s="66">
        <v>0.63381299999999996</v>
      </c>
    </row>
    <row r="37" spans="1:8">
      <c r="A37" s="66" t="s">
        <v>389</v>
      </c>
      <c r="B37" s="66">
        <v>0.30635099999999998</v>
      </c>
      <c r="C37" s="66">
        <v>9.8877499999999993E-2</v>
      </c>
      <c r="D37" s="66">
        <v>0.32275900000000002</v>
      </c>
      <c r="E37" s="66">
        <v>0.1</v>
      </c>
      <c r="F37" s="66">
        <v>1.64849E-2</v>
      </c>
      <c r="G37" s="66">
        <v>0.5</v>
      </c>
      <c r="H37" s="66">
        <v>0.39990999999999999</v>
      </c>
    </row>
    <row r="38" spans="1:8">
      <c r="A38" s="66" t="s">
        <v>390</v>
      </c>
      <c r="B38" s="66">
        <v>-16.0137</v>
      </c>
      <c r="C38" s="66">
        <v>58.534199999999998</v>
      </c>
      <c r="D38" s="66">
        <v>-3.6552600000000002</v>
      </c>
      <c r="E38" s="66">
        <v>0</v>
      </c>
      <c r="F38" s="66">
        <v>-148.79599999999999</v>
      </c>
      <c r="G38" s="66">
        <v>0</v>
      </c>
      <c r="H38" s="66">
        <v>160.62200000000001</v>
      </c>
    </row>
    <row r="39" spans="1:8">
      <c r="A39" s="66" t="s">
        <v>391</v>
      </c>
      <c r="B39" s="66">
        <v>-5.5873499999999998</v>
      </c>
      <c r="C39" s="66">
        <v>7.86273</v>
      </c>
      <c r="D39" s="66">
        <v>-1.40724</v>
      </c>
      <c r="E39" s="66">
        <v>0</v>
      </c>
      <c r="F39" s="66">
        <v>-16.427</v>
      </c>
      <c r="G39" s="66">
        <v>0</v>
      </c>
      <c r="H39" s="66">
        <v>18.261800000000001</v>
      </c>
    </row>
    <row r="40" spans="1:8">
      <c r="A40" s="66" t="s">
        <v>392</v>
      </c>
      <c r="B40" s="66">
        <v>-1.31165</v>
      </c>
      <c r="C40" s="66">
        <v>2.0789800000000001</v>
      </c>
      <c r="D40" s="66">
        <v>-1.5850200000000001</v>
      </c>
      <c r="E40" s="66">
        <v>0</v>
      </c>
      <c r="F40" s="66">
        <v>-4.2879899999999997</v>
      </c>
      <c r="G40" s="66">
        <v>0</v>
      </c>
      <c r="H40" s="66">
        <v>2.1493899999999999</v>
      </c>
    </row>
    <row r="41" spans="1:8">
      <c r="A41" s="66" t="s">
        <v>393</v>
      </c>
      <c r="B41" s="66">
        <v>-0.146458</v>
      </c>
      <c r="C41" s="66">
        <v>0.31040600000000002</v>
      </c>
      <c r="D41" s="66">
        <v>-2.1194199999999999</v>
      </c>
      <c r="E41" s="66">
        <v>0</v>
      </c>
      <c r="F41" s="66">
        <v>-0.90476199999999996</v>
      </c>
      <c r="G41" s="66">
        <v>0</v>
      </c>
      <c r="H41" s="66">
        <v>0.70006900000000005</v>
      </c>
    </row>
    <row r="42" spans="1:8">
      <c r="A42" s="66" t="s">
        <v>394</v>
      </c>
      <c r="B42" s="66">
        <v>-0.14263400000000001</v>
      </c>
      <c r="C42" s="66">
        <v>0.14405499999999999</v>
      </c>
      <c r="D42" s="66">
        <v>-1.00996</v>
      </c>
      <c r="E42" s="66">
        <v>0</v>
      </c>
      <c r="F42" s="66">
        <v>-0.45222600000000002</v>
      </c>
      <c r="G42" s="66">
        <v>0</v>
      </c>
      <c r="H42" s="66">
        <v>0.32598300000000002</v>
      </c>
    </row>
    <row r="43" spans="1:8">
      <c r="A43" s="66" t="s">
        <v>395</v>
      </c>
      <c r="B43" s="66">
        <v>-4.5572000000000001E-2</v>
      </c>
      <c r="C43" s="66">
        <v>0.109664</v>
      </c>
      <c r="D43" s="66">
        <v>-2.40639</v>
      </c>
      <c r="E43" s="66">
        <v>0</v>
      </c>
      <c r="F43" s="66">
        <v>-0.305286</v>
      </c>
      <c r="G43" s="66">
        <v>0</v>
      </c>
      <c r="H43" s="66">
        <v>0.100101</v>
      </c>
    </row>
    <row r="44" spans="1:8">
      <c r="A44" s="66" t="s">
        <v>396</v>
      </c>
      <c r="B44" s="66">
        <v>-14.6082</v>
      </c>
      <c r="C44" s="66">
        <v>19.6981</v>
      </c>
      <c r="D44" s="66">
        <v>-1.34843</v>
      </c>
      <c r="E44" s="66">
        <v>0</v>
      </c>
      <c r="F44" s="66">
        <v>-22.9057</v>
      </c>
      <c r="G44" s="66">
        <v>0</v>
      </c>
      <c r="H44" s="66">
        <v>47.8675</v>
      </c>
    </row>
    <row r="45" spans="1:8">
      <c r="A45" s="66" t="s">
        <v>397</v>
      </c>
      <c r="B45" s="66">
        <v>50.959299999999999</v>
      </c>
      <c r="C45" s="66">
        <v>5.5645100000000003</v>
      </c>
      <c r="D45" s="66">
        <v>0.109195</v>
      </c>
      <c r="E45" s="66">
        <v>0</v>
      </c>
      <c r="F45" s="66">
        <v>41.415999999999997</v>
      </c>
      <c r="G45" s="66">
        <v>0</v>
      </c>
      <c r="H45" s="66">
        <v>64.278800000000004</v>
      </c>
    </row>
    <row r="46" spans="1:8">
      <c r="A46" s="66" t="s">
        <v>398</v>
      </c>
      <c r="B46" s="66">
        <v>28.956600000000002</v>
      </c>
      <c r="C46" s="66">
        <v>6.85677</v>
      </c>
      <c r="D46" s="66">
        <v>0.23679500000000001</v>
      </c>
      <c r="E46" s="66">
        <v>0</v>
      </c>
      <c r="F46" s="66">
        <v>9.1111500000000003</v>
      </c>
      <c r="G46" s="66">
        <v>0</v>
      </c>
      <c r="H46" s="66">
        <v>35.378</v>
      </c>
    </row>
    <row r="47" spans="1:8">
      <c r="A47" s="66" t="s">
        <v>399</v>
      </c>
      <c r="B47" s="66">
        <v>1.1280699999999999</v>
      </c>
      <c r="C47" s="66">
        <v>0.30671399999999999</v>
      </c>
      <c r="D47" s="66">
        <v>0.271893</v>
      </c>
      <c r="E47" s="66">
        <v>0</v>
      </c>
      <c r="F47" s="66">
        <v>0.469107</v>
      </c>
      <c r="G47" s="66">
        <v>0</v>
      </c>
      <c r="H47" s="66">
        <v>1.9847699999999999</v>
      </c>
    </row>
    <row r="48" spans="1:8">
      <c r="A48" s="66" t="s">
        <v>400</v>
      </c>
      <c r="B48" s="66">
        <v>0.88464500000000001</v>
      </c>
      <c r="C48" s="66">
        <v>8.2139000000000004E-2</v>
      </c>
      <c r="D48" s="66">
        <v>9.2849699999999993E-2</v>
      </c>
      <c r="E48" s="66">
        <v>0</v>
      </c>
      <c r="F48" s="66">
        <v>0.69251300000000005</v>
      </c>
      <c r="G48" s="66">
        <v>0</v>
      </c>
      <c r="H48" s="66">
        <v>1.0209999999999999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401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39.046300000000002</v>
      </c>
      <c r="C5" s="66">
        <v>2.5322100000000001</v>
      </c>
      <c r="D5" s="66">
        <v>6.4851599999999996</v>
      </c>
      <c r="E5" s="66">
        <v>20</v>
      </c>
      <c r="F5" s="66">
        <v>32.683500000000002</v>
      </c>
      <c r="G5" s="66">
        <v>50</v>
      </c>
      <c r="H5" s="66">
        <v>42.751100000000001</v>
      </c>
    </row>
    <row r="6" spans="1:8">
      <c r="A6" s="66" t="s">
        <v>358</v>
      </c>
      <c r="B6" s="66">
        <v>24.661000000000001</v>
      </c>
      <c r="C6" s="66">
        <v>2.5931799999999998</v>
      </c>
      <c r="D6" s="66">
        <v>10.5153</v>
      </c>
      <c r="E6" s="66">
        <v>20</v>
      </c>
      <c r="F6" s="66">
        <v>20.351199999999999</v>
      </c>
      <c r="G6" s="66">
        <v>40</v>
      </c>
      <c r="H6" s="66">
        <v>29.754000000000001</v>
      </c>
    </row>
    <row r="7" spans="1:8">
      <c r="A7" s="66" t="s">
        <v>359</v>
      </c>
      <c r="B7" s="66">
        <v>23.1982</v>
      </c>
      <c r="C7" s="66">
        <v>9.6523599999999998</v>
      </c>
      <c r="D7" s="66">
        <v>41.608199999999997</v>
      </c>
      <c r="E7" s="66">
        <v>15</v>
      </c>
      <c r="F7" s="66">
        <v>3.1100400000000001</v>
      </c>
      <c r="G7" s="66">
        <v>40</v>
      </c>
      <c r="H7" s="66">
        <v>40.396500000000003</v>
      </c>
    </row>
    <row r="8" spans="1:8">
      <c r="A8" s="66" t="s">
        <v>360</v>
      </c>
      <c r="B8" s="66">
        <v>29.212700000000002</v>
      </c>
      <c r="C8" s="66">
        <v>2.9168099999999999</v>
      </c>
      <c r="D8" s="66">
        <v>9.98475</v>
      </c>
      <c r="E8" s="66">
        <v>20</v>
      </c>
      <c r="F8" s="66">
        <v>22.2667</v>
      </c>
      <c r="G8" s="66">
        <v>50</v>
      </c>
      <c r="H8" s="66">
        <v>31.9909</v>
      </c>
    </row>
    <row r="9" spans="1:8">
      <c r="A9" s="66" t="s">
        <v>361</v>
      </c>
      <c r="B9" s="66">
        <v>67.5411</v>
      </c>
      <c r="C9" s="66">
        <v>4.6974900000000002</v>
      </c>
      <c r="D9" s="66">
        <v>6.9550099999999997</v>
      </c>
      <c r="E9" s="66">
        <v>50</v>
      </c>
      <c r="F9" s="66">
        <v>55.873600000000003</v>
      </c>
      <c r="G9" s="66">
        <v>100</v>
      </c>
      <c r="H9" s="66">
        <v>77.905799999999999</v>
      </c>
    </row>
    <row r="10" spans="1:8">
      <c r="A10" s="66" t="s">
        <v>362</v>
      </c>
      <c r="B10" s="66">
        <v>81.453999999999994</v>
      </c>
      <c r="C10" s="66">
        <v>2.0323199999999999</v>
      </c>
      <c r="D10" s="66">
        <v>2.49505</v>
      </c>
      <c r="E10" s="66">
        <v>40</v>
      </c>
      <c r="F10" s="66">
        <v>76.391199999999998</v>
      </c>
      <c r="G10" s="66">
        <v>100</v>
      </c>
      <c r="H10" s="66">
        <v>84.590100000000007</v>
      </c>
    </row>
    <row r="11" spans="1:8">
      <c r="A11" s="66" t="s">
        <v>363</v>
      </c>
      <c r="B11" s="66">
        <v>23.794799999999999</v>
      </c>
      <c r="C11" s="66">
        <v>3.6287199999999999</v>
      </c>
      <c r="D11" s="66">
        <v>15.2501</v>
      </c>
      <c r="E11" s="66">
        <v>10</v>
      </c>
      <c r="F11" s="66">
        <v>15.6479</v>
      </c>
      <c r="G11" s="66">
        <v>50</v>
      </c>
      <c r="H11" s="66">
        <v>30.685400000000001</v>
      </c>
    </row>
    <row r="12" spans="1:8">
      <c r="A12" s="66" t="s">
        <v>402</v>
      </c>
      <c r="B12" s="66">
        <v>74.682299999999998</v>
      </c>
      <c r="C12" s="66">
        <v>2.7553399999999999</v>
      </c>
      <c r="D12" s="66">
        <v>3.6894100000000001</v>
      </c>
      <c r="E12" s="66">
        <v>50</v>
      </c>
      <c r="F12" s="66">
        <v>66.246600000000001</v>
      </c>
      <c r="G12" s="66">
        <v>100</v>
      </c>
      <c r="H12" s="66">
        <v>79.326899999999995</v>
      </c>
    </row>
    <row r="13" spans="1:8">
      <c r="A13" s="66" t="s">
        <v>365</v>
      </c>
      <c r="B13" s="66">
        <v>20.568300000000001</v>
      </c>
      <c r="C13" s="66">
        <v>4.2287600000000003</v>
      </c>
      <c r="D13" s="66">
        <v>20.5596</v>
      </c>
      <c r="E13" s="66">
        <v>10</v>
      </c>
      <c r="F13" s="66">
        <v>13.2599</v>
      </c>
      <c r="G13" s="66">
        <v>25</v>
      </c>
      <c r="H13" s="66">
        <v>32.039299999999997</v>
      </c>
    </row>
    <row r="14" spans="1:8">
      <c r="A14" s="66" t="s">
        <v>366</v>
      </c>
      <c r="B14" s="66">
        <v>42.287599999999998</v>
      </c>
      <c r="C14" s="66">
        <v>10.8384</v>
      </c>
      <c r="D14" s="66">
        <v>25.630299999999998</v>
      </c>
      <c r="E14" s="66">
        <v>10</v>
      </c>
      <c r="F14" s="66">
        <v>3.4543400000000002</v>
      </c>
      <c r="G14" s="66">
        <v>50</v>
      </c>
      <c r="H14" s="66">
        <v>42.058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0.53703299999999998</v>
      </c>
      <c r="C18" s="66">
        <v>4.9872600000000003E-2</v>
      </c>
      <c r="D18" s="66">
        <v>9.2867000000000005E-2</v>
      </c>
      <c r="E18" s="66">
        <v>0</v>
      </c>
      <c r="F18" s="66">
        <v>0.48715999999999998</v>
      </c>
      <c r="G18" s="66">
        <v>0</v>
      </c>
      <c r="H18" s="66">
        <v>0.58690500000000001</v>
      </c>
    </row>
    <row r="19" spans="1:8">
      <c r="A19" s="66" t="s">
        <v>371</v>
      </c>
      <c r="B19" s="66">
        <v>0.61127799999999999</v>
      </c>
      <c r="C19" s="66">
        <v>3.4348400000000002E-3</v>
      </c>
      <c r="D19" s="66">
        <v>5.6191100000000001E-3</v>
      </c>
      <c r="E19" s="66">
        <v>0</v>
      </c>
      <c r="F19" s="66">
        <v>0.60784300000000002</v>
      </c>
      <c r="G19" s="66">
        <v>0</v>
      </c>
      <c r="H19" s="66">
        <v>0.61471299999999995</v>
      </c>
    </row>
    <row r="20" spans="1:8">
      <c r="A20" s="66" t="s">
        <v>372</v>
      </c>
      <c r="B20" s="66">
        <v>5.00977E-4</v>
      </c>
      <c r="C20" s="66">
        <v>0.21899199999999999</v>
      </c>
      <c r="D20" s="66">
        <v>437.12900000000002</v>
      </c>
      <c r="E20" s="66">
        <v>0</v>
      </c>
      <c r="F20" s="66">
        <v>0</v>
      </c>
      <c r="G20" s="66">
        <v>0</v>
      </c>
      <c r="H20" s="66">
        <v>1.68187</v>
      </c>
    </row>
    <row r="21" spans="1:8">
      <c r="A21" s="66" t="s">
        <v>373</v>
      </c>
      <c r="B21" s="66">
        <v>5.9333499999999997E-2</v>
      </c>
      <c r="C21" s="66">
        <v>1.06098</v>
      </c>
      <c r="D21" s="66">
        <v>17.881599999999999</v>
      </c>
      <c r="E21" s="66">
        <v>0</v>
      </c>
      <c r="F21" s="66">
        <v>5.6727399999999999E-4</v>
      </c>
      <c r="G21" s="66">
        <v>0</v>
      </c>
      <c r="H21" s="66">
        <v>6.2910899999999996</v>
      </c>
    </row>
    <row r="22" spans="1:8">
      <c r="A22" s="66" t="s">
        <v>374</v>
      </c>
      <c r="B22" s="66">
        <v>41.357500000000002</v>
      </c>
      <c r="C22" s="66">
        <v>35.998399999999997</v>
      </c>
      <c r="D22" s="66">
        <v>0.87041999999999997</v>
      </c>
      <c r="E22" s="66">
        <v>0</v>
      </c>
      <c r="F22" s="66">
        <v>19.427600000000002</v>
      </c>
      <c r="G22" s="66">
        <v>0</v>
      </c>
      <c r="H22" s="66">
        <v>156.05600000000001</v>
      </c>
    </row>
    <row r="23" spans="1:8">
      <c r="A23" s="66" t="s">
        <v>375</v>
      </c>
      <c r="B23" s="66">
        <v>34.592700000000001</v>
      </c>
      <c r="C23" s="66">
        <v>6.9372100000000003</v>
      </c>
      <c r="D23" s="66">
        <v>0.20054</v>
      </c>
      <c r="E23" s="66">
        <v>0</v>
      </c>
      <c r="F23" s="66">
        <v>15.3078</v>
      </c>
      <c r="G23" s="66">
        <v>0</v>
      </c>
      <c r="H23" s="66">
        <v>38.620600000000003</v>
      </c>
    </row>
    <row r="24" spans="1:8">
      <c r="A24" s="66" t="s">
        <v>376</v>
      </c>
      <c r="B24" s="66">
        <v>8.3666399999999998E-4</v>
      </c>
      <c r="C24" s="66">
        <v>0.20117499999999999</v>
      </c>
      <c r="D24" s="66">
        <v>240.44900000000001</v>
      </c>
      <c r="E24" s="66">
        <v>0</v>
      </c>
      <c r="F24" s="196">
        <v>3.0040300000000001E-5</v>
      </c>
      <c r="G24" s="66">
        <v>0</v>
      </c>
      <c r="H24" s="66">
        <v>1.47001</v>
      </c>
    </row>
    <row r="25" spans="1:8">
      <c r="A25" s="66" t="s">
        <v>377</v>
      </c>
      <c r="B25" s="66">
        <v>0.10295</v>
      </c>
      <c r="C25" s="66">
        <v>0.71721199999999996</v>
      </c>
      <c r="D25" s="66">
        <v>6.9665999999999997</v>
      </c>
      <c r="E25" s="66">
        <v>0</v>
      </c>
      <c r="F25" s="66">
        <v>1.1805700000000001E-2</v>
      </c>
      <c r="G25" s="66">
        <v>0</v>
      </c>
      <c r="H25" s="66">
        <v>2.5609500000000001</v>
      </c>
    </row>
    <row r="26" spans="1:8">
      <c r="A26" s="66" t="s">
        <v>378</v>
      </c>
      <c r="B26" s="66">
        <v>1.4443299999999999E-4</v>
      </c>
      <c r="C26" s="66">
        <v>1.54763E-2</v>
      </c>
      <c r="D26" s="66">
        <v>107.15300000000001</v>
      </c>
      <c r="E26" s="66">
        <v>0</v>
      </c>
      <c r="F26" s="66">
        <v>0</v>
      </c>
      <c r="G26" s="66">
        <v>0</v>
      </c>
      <c r="H26" s="66">
        <v>0.10259699999999999</v>
      </c>
    </row>
    <row r="27" spans="1:8">
      <c r="A27" s="66" t="s">
        <v>403</v>
      </c>
      <c r="B27" s="196">
        <v>-3.2825599999999999E-6</v>
      </c>
      <c r="C27" s="66">
        <v>2.6208999999999998E-3</v>
      </c>
      <c r="D27" s="66">
        <v>-798.43100000000004</v>
      </c>
      <c r="E27" s="66">
        <v>0</v>
      </c>
      <c r="F27" s="66">
        <v>-1.06815E-2</v>
      </c>
      <c r="G27" s="66">
        <v>0</v>
      </c>
      <c r="H27" s="66">
        <v>2.93724E-2</v>
      </c>
    </row>
    <row r="28" spans="1:8">
      <c r="A28" s="66" t="s">
        <v>380</v>
      </c>
      <c r="B28" s="66">
        <v>8.6393200000000007E-3</v>
      </c>
      <c r="C28" s="66">
        <v>4.2498599999999997E-2</v>
      </c>
      <c r="D28" s="66">
        <v>4.9192099999999996</v>
      </c>
      <c r="E28" s="66">
        <v>0</v>
      </c>
      <c r="F28" s="66">
        <v>2.1158900000000001E-4</v>
      </c>
      <c r="G28" s="66">
        <v>0</v>
      </c>
      <c r="H28" s="66">
        <v>0.209678</v>
      </c>
    </row>
    <row r="29" spans="1:8">
      <c r="A29" s="66" t="s">
        <v>381</v>
      </c>
      <c r="B29" s="66">
        <v>68.050899999999999</v>
      </c>
      <c r="C29" s="66">
        <v>14.972899999999999</v>
      </c>
      <c r="D29" s="66">
        <v>0.220024</v>
      </c>
      <c r="E29" s="66">
        <v>0</v>
      </c>
      <c r="F29" s="66">
        <v>46.305999999999997</v>
      </c>
      <c r="G29" s="66">
        <v>0</v>
      </c>
      <c r="H29" s="66">
        <v>112.837</v>
      </c>
    </row>
    <row r="30" spans="1:8">
      <c r="A30" s="66" t="s">
        <v>382</v>
      </c>
      <c r="B30" s="66">
        <v>31.4374</v>
      </c>
      <c r="C30" s="66">
        <v>4.0758900000000002</v>
      </c>
      <c r="D30" s="66">
        <v>0.12965099999999999</v>
      </c>
      <c r="E30" s="66">
        <v>0</v>
      </c>
      <c r="F30" s="66">
        <v>18.866299999999999</v>
      </c>
      <c r="G30" s="66">
        <v>0</v>
      </c>
      <c r="H30" s="66">
        <v>35.574599999999997</v>
      </c>
    </row>
    <row r="31" spans="1:8">
      <c r="A31" s="66" t="s">
        <v>383</v>
      </c>
      <c r="B31" s="66">
        <v>191.67400000000001</v>
      </c>
      <c r="C31" s="66">
        <v>27.0626</v>
      </c>
      <c r="D31" s="66">
        <v>0.14119100000000001</v>
      </c>
      <c r="E31" s="66">
        <v>0</v>
      </c>
      <c r="F31" s="66">
        <v>139.17400000000001</v>
      </c>
      <c r="G31" s="66">
        <v>0</v>
      </c>
      <c r="H31" s="66">
        <v>249.006</v>
      </c>
    </row>
    <row r="32" spans="1:8">
      <c r="A32" s="66" t="s">
        <v>384</v>
      </c>
      <c r="B32" s="66">
        <v>0.23198199999999999</v>
      </c>
      <c r="C32" s="66">
        <v>9.6523600000000001E-2</v>
      </c>
      <c r="D32" s="66">
        <v>0.41608200000000001</v>
      </c>
      <c r="E32" s="66">
        <v>0.15</v>
      </c>
      <c r="F32" s="66">
        <v>3.11004E-2</v>
      </c>
      <c r="G32" s="66">
        <v>0.4</v>
      </c>
      <c r="H32" s="66">
        <v>0.40396500000000002</v>
      </c>
    </row>
    <row r="33" spans="1:8">
      <c r="A33" s="66" t="s">
        <v>385</v>
      </c>
      <c r="B33" s="66">
        <v>0.214976</v>
      </c>
      <c r="C33" s="66">
        <v>3.0278699999999999E-2</v>
      </c>
      <c r="D33" s="66">
        <v>0.140847</v>
      </c>
      <c r="E33" s="66">
        <v>0</v>
      </c>
      <c r="F33" s="66">
        <v>0.189191</v>
      </c>
      <c r="G33" s="66">
        <v>0</v>
      </c>
      <c r="H33" s="66">
        <v>0.375747</v>
      </c>
    </row>
    <row r="34" spans="1:8">
      <c r="A34" s="66" t="s">
        <v>386</v>
      </c>
      <c r="B34" s="66">
        <v>0.205683</v>
      </c>
      <c r="C34" s="66">
        <v>4.2287600000000002E-2</v>
      </c>
      <c r="D34" s="66">
        <v>0.205596</v>
      </c>
      <c r="E34" s="66">
        <v>0.1</v>
      </c>
      <c r="F34" s="66">
        <v>0.13259899999999999</v>
      </c>
      <c r="G34" s="66">
        <v>0.25</v>
      </c>
      <c r="H34" s="66">
        <v>0.32039299999999998</v>
      </c>
    </row>
    <row r="35" spans="1:8">
      <c r="A35" s="66" t="s">
        <v>387</v>
      </c>
      <c r="B35" s="66">
        <v>8.1579600000000002E-2</v>
      </c>
      <c r="C35" s="66">
        <v>3.1572299999999998E-2</v>
      </c>
      <c r="D35" s="66">
        <v>0.38701200000000002</v>
      </c>
      <c r="E35" s="66">
        <v>0</v>
      </c>
      <c r="F35" s="66">
        <v>3.5112299999999999E-2</v>
      </c>
      <c r="G35" s="66">
        <v>0</v>
      </c>
      <c r="H35" s="66">
        <v>0.182535</v>
      </c>
    </row>
    <row r="36" spans="1:8">
      <c r="A36" s="66" t="s">
        <v>388</v>
      </c>
      <c r="B36" s="66">
        <v>0.171232</v>
      </c>
      <c r="C36" s="66">
        <v>0.10384500000000001</v>
      </c>
      <c r="D36" s="66">
        <v>0.60645700000000002</v>
      </c>
      <c r="E36" s="66">
        <v>0</v>
      </c>
      <c r="F36" s="66">
        <v>5.0674999999999998E-2</v>
      </c>
      <c r="G36" s="66">
        <v>0</v>
      </c>
      <c r="H36" s="66">
        <v>0.65023799999999998</v>
      </c>
    </row>
    <row r="37" spans="1:8">
      <c r="A37" s="66" t="s">
        <v>389</v>
      </c>
      <c r="B37" s="66">
        <v>0.42287599999999997</v>
      </c>
      <c r="C37" s="66">
        <v>0.10838399999999999</v>
      </c>
      <c r="D37" s="66">
        <v>0.256303</v>
      </c>
      <c r="E37" s="66">
        <v>0.1</v>
      </c>
      <c r="F37" s="66">
        <v>3.4543400000000002E-2</v>
      </c>
      <c r="G37" s="66">
        <v>0.5</v>
      </c>
      <c r="H37" s="66">
        <v>0.42058000000000001</v>
      </c>
    </row>
    <row r="38" spans="1:8">
      <c r="A38" s="66" t="s">
        <v>390</v>
      </c>
      <c r="B38" s="66">
        <v>-4.5414300000000001</v>
      </c>
      <c r="C38" s="66">
        <v>56.886400000000002</v>
      </c>
      <c r="D38" s="66">
        <v>-12.5261</v>
      </c>
      <c r="E38" s="66">
        <v>0</v>
      </c>
      <c r="F38" s="66">
        <v>-163.80699999999999</v>
      </c>
      <c r="G38" s="66">
        <v>0</v>
      </c>
      <c r="H38" s="66">
        <v>170.68</v>
      </c>
    </row>
    <row r="39" spans="1:8">
      <c r="A39" s="66" t="s">
        <v>391</v>
      </c>
      <c r="B39" s="66">
        <v>-3.5863900000000002</v>
      </c>
      <c r="C39" s="66">
        <v>8.8511900000000008</v>
      </c>
      <c r="D39" s="66">
        <v>-2.4679899999999999</v>
      </c>
      <c r="E39" s="66">
        <v>0</v>
      </c>
      <c r="F39" s="66">
        <v>-32.71</v>
      </c>
      <c r="G39" s="66">
        <v>0</v>
      </c>
      <c r="H39" s="66">
        <v>20.6707</v>
      </c>
    </row>
    <row r="40" spans="1:8">
      <c r="A40" s="66" t="s">
        <v>392</v>
      </c>
      <c r="B40" s="66">
        <v>-0.358072</v>
      </c>
      <c r="C40" s="66">
        <v>1.4489000000000001</v>
      </c>
      <c r="D40" s="66">
        <v>-4.0463899999999997</v>
      </c>
      <c r="E40" s="66">
        <v>0</v>
      </c>
      <c r="F40" s="66">
        <v>-6.0359100000000003</v>
      </c>
      <c r="G40" s="66">
        <v>0</v>
      </c>
      <c r="H40" s="66">
        <v>2.1791299999999998</v>
      </c>
    </row>
    <row r="41" spans="1:8">
      <c r="A41" s="66" t="s">
        <v>393</v>
      </c>
      <c r="B41" s="66">
        <v>-4.8316900000000003E-2</v>
      </c>
      <c r="C41" s="66">
        <v>0.36296699999999998</v>
      </c>
      <c r="D41" s="66">
        <v>-7.5122099999999996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-6.9000900000000004E-2</v>
      </c>
      <c r="C42" s="66">
        <v>0.13378799999999999</v>
      </c>
      <c r="D42" s="66">
        <v>-1.93893</v>
      </c>
      <c r="E42" s="66">
        <v>0</v>
      </c>
      <c r="F42" s="66">
        <v>-0.38943299999999997</v>
      </c>
      <c r="G42" s="66">
        <v>0</v>
      </c>
      <c r="H42" s="66">
        <v>0.35446800000000001</v>
      </c>
    </row>
    <row r="43" spans="1:8">
      <c r="A43" s="66" t="s">
        <v>395</v>
      </c>
      <c r="B43" s="66">
        <v>-5.0940600000000003E-2</v>
      </c>
      <c r="C43" s="66">
        <v>6.5431500000000004E-2</v>
      </c>
      <c r="D43" s="66">
        <v>-1.28447</v>
      </c>
      <c r="E43" s="66">
        <v>0</v>
      </c>
      <c r="F43" s="66">
        <v>-0.239926</v>
      </c>
      <c r="G43" s="66">
        <v>0</v>
      </c>
      <c r="H43" s="66">
        <v>8.9879600000000004E-2</v>
      </c>
    </row>
    <row r="44" spans="1:8">
      <c r="A44" s="66" t="s">
        <v>396</v>
      </c>
      <c r="B44" s="66">
        <v>-52.708100000000002</v>
      </c>
      <c r="C44" s="66">
        <v>40.451099999999997</v>
      </c>
      <c r="D44" s="66">
        <v>-0.76745600000000003</v>
      </c>
      <c r="E44" s="66">
        <v>0</v>
      </c>
      <c r="F44" s="66">
        <v>-83.214500000000001</v>
      </c>
      <c r="G44" s="66">
        <v>0</v>
      </c>
      <c r="H44" s="66">
        <v>57.794600000000003</v>
      </c>
    </row>
    <row r="45" spans="1:8">
      <c r="A45" s="66" t="s">
        <v>397</v>
      </c>
      <c r="B45" s="66">
        <v>52.097200000000001</v>
      </c>
      <c r="C45" s="66">
        <v>5.6548499999999997</v>
      </c>
      <c r="D45" s="66">
        <v>0.108544</v>
      </c>
      <c r="E45" s="66">
        <v>0</v>
      </c>
      <c r="F45" s="66">
        <v>37.680199999999999</v>
      </c>
      <c r="G45" s="66">
        <v>0</v>
      </c>
      <c r="H45" s="66">
        <v>71.002700000000004</v>
      </c>
    </row>
    <row r="46" spans="1:8">
      <c r="A46" s="66" t="s">
        <v>398</v>
      </c>
      <c r="B46" s="66">
        <v>29.8658</v>
      </c>
      <c r="C46" s="66">
        <v>1.5448200000000001</v>
      </c>
      <c r="D46" s="66">
        <v>5.1725500000000001E-2</v>
      </c>
      <c r="E46" s="66">
        <v>0</v>
      </c>
      <c r="F46" s="66">
        <v>26.311199999999999</v>
      </c>
      <c r="G46" s="66">
        <v>0</v>
      </c>
      <c r="H46" s="66">
        <v>33.677999999999997</v>
      </c>
    </row>
    <row r="47" spans="1:8">
      <c r="A47" s="66" t="s">
        <v>399</v>
      </c>
      <c r="B47" s="66">
        <v>0.83566200000000002</v>
      </c>
      <c r="C47" s="66">
        <v>0.69171700000000003</v>
      </c>
      <c r="D47" s="66">
        <v>0.82774700000000001</v>
      </c>
      <c r="E47" s="66">
        <v>0</v>
      </c>
      <c r="F47" s="66">
        <v>0.14665400000000001</v>
      </c>
      <c r="G47" s="66">
        <v>0</v>
      </c>
      <c r="H47" s="66">
        <v>3.3806400000000001</v>
      </c>
    </row>
    <row r="48" spans="1:8">
      <c r="A48" s="66" t="s">
        <v>400</v>
      </c>
      <c r="B48" s="66">
        <v>0.94619900000000001</v>
      </c>
      <c r="C48" s="66">
        <v>0.16627600000000001</v>
      </c>
      <c r="D48" s="66">
        <v>0.175731</v>
      </c>
      <c r="E48" s="66">
        <v>0</v>
      </c>
      <c r="F48" s="66">
        <v>0.65273899999999996</v>
      </c>
      <c r="G48" s="66">
        <v>0</v>
      </c>
      <c r="H48" s="66">
        <v>1.24641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404</v>
      </c>
      <c r="B1" s="60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84.495171515302502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1.6304983544265856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0.59448324757145332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1588</v>
      </c>
      <c r="B8" s="66">
        <v>1588</v>
      </c>
      <c r="D8">
        <f t="shared" si="0"/>
        <v>7.5387858187273317E-3</v>
      </c>
      <c r="E8">
        <f t="shared" si="0"/>
        <v>7.5387858187273317E-3</v>
      </c>
      <c r="G8">
        <f t="shared" ca="1" si="1"/>
        <v>6</v>
      </c>
      <c r="H8">
        <f t="shared" ca="1" si="2"/>
        <v>4.523271491236399E-2</v>
      </c>
      <c r="I8">
        <f t="shared" ca="1" si="3"/>
        <v>46.450168144035487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6936</v>
      </c>
      <c r="B10" s="66">
        <v>6936</v>
      </c>
      <c r="D10">
        <f t="shared" si="0"/>
        <v>3.292759347524734E-2</v>
      </c>
      <c r="E10">
        <f t="shared" si="0"/>
        <v>3.292759347524734E-2</v>
      </c>
      <c r="G10">
        <f t="shared" ca="1" si="1"/>
        <v>8</v>
      </c>
      <c r="H10">
        <f t="shared" ca="1" si="2"/>
        <v>0.26342074780197872</v>
      </c>
      <c r="I10">
        <f t="shared" ca="1" si="3"/>
        <v>192.67618415487212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10577</v>
      </c>
      <c r="B13" s="66">
        <v>10577</v>
      </c>
      <c r="D13">
        <f t="shared" si="0"/>
        <v>5.021268111125881E-2</v>
      </c>
      <c r="E13">
        <f t="shared" si="0"/>
        <v>5.021268111125881E-2</v>
      </c>
      <c r="G13">
        <f t="shared" ca="1" si="1"/>
        <v>11</v>
      </c>
      <c r="H13">
        <f t="shared" ca="1" si="2"/>
        <v>0.55233949222384693</v>
      </c>
      <c r="I13">
        <f t="shared" ca="1" si="3"/>
        <v>271.22581738310186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13367</v>
      </c>
      <c r="B15" s="66">
        <v>13367</v>
      </c>
      <c r="D15">
        <f t="shared" si="0"/>
        <v>6.3457777102599644E-2</v>
      </c>
      <c r="E15">
        <f t="shared" si="0"/>
        <v>6.3457777102599644E-2</v>
      </c>
      <c r="G15">
        <f t="shared" ca="1" si="1"/>
        <v>13</v>
      </c>
      <c r="H15">
        <f t="shared" ca="1" si="2"/>
        <v>0.82495110233379543</v>
      </c>
      <c r="I15">
        <f t="shared" ca="1" si="3"/>
        <v>324.36820657072457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18448</v>
      </c>
      <c r="B18" s="66">
        <v>18448</v>
      </c>
      <c r="D18">
        <f t="shared" si="0"/>
        <v>8.7579043314787039E-2</v>
      </c>
      <c r="E18">
        <f t="shared" si="0"/>
        <v>8.7579043314787039E-2</v>
      </c>
      <c r="G18">
        <f t="shared" ca="1" si="1"/>
        <v>16</v>
      </c>
      <c r="H18">
        <f t="shared" ca="1" si="2"/>
        <v>1.4012646930365926</v>
      </c>
      <c r="I18">
        <f t="shared" ca="1" si="3"/>
        <v>410.88483428799651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23369</v>
      </c>
      <c r="B21" s="66">
        <v>23369</v>
      </c>
      <c r="D21">
        <f t="shared" si="0"/>
        <v>0.11094073412962153</v>
      </c>
      <c r="E21">
        <f t="shared" si="0"/>
        <v>0.11094073412962153</v>
      </c>
      <c r="G21">
        <f t="shared" ca="1" si="1"/>
        <v>19</v>
      </c>
      <c r="H21">
        <f t="shared" ca="1" si="2"/>
        <v>2.1078739484628093</v>
      </c>
      <c r="I21">
        <f t="shared" ca="1" si="3"/>
        <v>475.89331367765374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33715</v>
      </c>
      <c r="B23" s="66">
        <v>33715</v>
      </c>
      <c r="D23">
        <f t="shared" si="0"/>
        <v>0.16005677826095213</v>
      </c>
      <c r="E23">
        <f t="shared" si="0"/>
        <v>0.16005677826095213</v>
      </c>
      <c r="G23">
        <f t="shared" ca="1" si="1"/>
        <v>21</v>
      </c>
      <c r="H23">
        <f t="shared" ca="1" si="2"/>
        <v>3.3611923434799946</v>
      </c>
      <c r="I23">
        <f t="shared" ca="1" si="3"/>
        <v>645.29079824785072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41160</v>
      </c>
      <c r="B26" s="66">
        <v>41160</v>
      </c>
      <c r="D26">
        <f t="shared" si="0"/>
        <v>0.1954007709690283</v>
      </c>
      <c r="E26">
        <f t="shared" si="0"/>
        <v>0.1954007709690283</v>
      </c>
      <c r="G26">
        <f t="shared" ca="1" si="1"/>
        <v>24</v>
      </c>
      <c r="H26">
        <f t="shared" ca="1" si="2"/>
        <v>4.6896185032566793</v>
      </c>
      <c r="I26">
        <f t="shared" ca="1" si="3"/>
        <v>715.10151424947821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59151</v>
      </c>
      <c r="B28" s="66">
        <v>59151</v>
      </c>
      <c r="D28">
        <f t="shared" si="0"/>
        <v>0.28081027705512618</v>
      </c>
      <c r="E28">
        <f t="shared" si="0"/>
        <v>0.28081027705512618</v>
      </c>
      <c r="G28">
        <f t="shared" ca="1" si="1"/>
        <v>26</v>
      </c>
      <c r="H28">
        <f t="shared" ca="1" si="2"/>
        <v>7.3010672034332806</v>
      </c>
      <c r="I28">
        <f t="shared" ca="1" si="3"/>
        <v>960.84433828808824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58679</v>
      </c>
      <c r="B31" s="66">
        <v>58679</v>
      </c>
      <c r="D31">
        <f t="shared" si="0"/>
        <v>0.27856952963293519</v>
      </c>
      <c r="E31">
        <f t="shared" si="0"/>
        <v>0.27856952963293519</v>
      </c>
      <c r="G31">
        <f t="shared" ca="1" si="1"/>
        <v>29</v>
      </c>
      <c r="H31">
        <f t="shared" ca="1" si="2"/>
        <v>8.0785163593551204</v>
      </c>
      <c r="I31">
        <f t="shared" ca="1" si="3"/>
        <v>857.91449751956895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63028</v>
      </c>
      <c r="B33" s="66">
        <v>63028</v>
      </c>
      <c r="D33">
        <f t="shared" si="0"/>
        <v>0.29921573840223314</v>
      </c>
      <c r="E33">
        <f t="shared" si="0"/>
        <v>0.29921573840223314</v>
      </c>
      <c r="G33">
        <f t="shared" ca="1" si="1"/>
        <v>31</v>
      </c>
      <c r="H33">
        <f t="shared" ca="1" si="2"/>
        <v>9.2756878904692268</v>
      </c>
      <c r="I33">
        <f t="shared" ca="1" si="3"/>
        <v>856.27566504607523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62403</v>
      </c>
      <c r="B36" s="66">
        <v>62403</v>
      </c>
      <c r="D36">
        <f t="shared" si="0"/>
        <v>0.29624864700632347</v>
      </c>
      <c r="E36">
        <f t="shared" si="0"/>
        <v>0.29624864700632347</v>
      </c>
      <c r="G36">
        <f t="shared" ca="1" si="1"/>
        <v>34</v>
      </c>
      <c r="H36">
        <f t="shared" ca="1" si="2"/>
        <v>10.072453998214998</v>
      </c>
      <c r="I36">
        <f t="shared" ca="1" si="3"/>
        <v>755.3636452967645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72536</v>
      </c>
      <c r="B39" s="66">
        <v>72536</v>
      </c>
      <c r="D39">
        <f t="shared" si="0"/>
        <v>0.34435350638992801</v>
      </c>
      <c r="E39">
        <f t="shared" si="0"/>
        <v>0.34435350638992801</v>
      </c>
      <c r="G39">
        <f t="shared" ca="1" si="1"/>
        <v>37</v>
      </c>
      <c r="H39">
        <f t="shared" ca="1" si="2"/>
        <v>12.741079736427336</v>
      </c>
      <c r="I39">
        <f t="shared" ca="1" si="3"/>
        <v>776.78964978519116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78923</v>
      </c>
      <c r="B41" s="66">
        <v>78923</v>
      </c>
      <c r="D41">
        <f t="shared" si="0"/>
        <v>0.3746748067830083</v>
      </c>
      <c r="E41">
        <f t="shared" si="0"/>
        <v>0.3746748067830083</v>
      </c>
      <c r="G41">
        <f t="shared" ca="1" si="1"/>
        <v>39</v>
      </c>
      <c r="H41">
        <f t="shared" ca="1" si="2"/>
        <v>14.612317464537323</v>
      </c>
      <c r="I41">
        <f t="shared" ca="1" si="3"/>
        <v>775.50589832482126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78061</v>
      </c>
      <c r="B44" s="66">
        <v>78061</v>
      </c>
      <c r="D44">
        <f t="shared" si="0"/>
        <v>0.37058259432976964</v>
      </c>
      <c r="E44">
        <f t="shared" si="0"/>
        <v>0.37058259432976964</v>
      </c>
      <c r="G44">
        <f t="shared" ca="1" si="1"/>
        <v>42</v>
      </c>
      <c r="H44">
        <f t="shared" ca="1" si="2"/>
        <v>15.564468961850325</v>
      </c>
      <c r="I44">
        <f t="shared" ca="1" si="3"/>
        <v>669.21272469520727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84427</v>
      </c>
      <c r="B46" s="66">
        <v>84427</v>
      </c>
      <c r="D46">
        <f t="shared" si="0"/>
        <v>0.40080420045194737</v>
      </c>
      <c r="E46">
        <f t="shared" si="0"/>
        <v>0.40080420045194737</v>
      </c>
      <c r="G46">
        <f t="shared" ca="1" si="1"/>
        <v>44</v>
      </c>
      <c r="H46">
        <f t="shared" ca="1" si="2"/>
        <v>17.635384819885683</v>
      </c>
      <c r="I46">
        <f t="shared" ca="1" si="3"/>
        <v>657.26234170292719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91354</v>
      </c>
      <c r="B49" s="66">
        <v>91354</v>
      </c>
      <c r="D49">
        <f t="shared" si="0"/>
        <v>0.43368906781109362</v>
      </c>
      <c r="E49">
        <f t="shared" si="0"/>
        <v>0.43368906781109362</v>
      </c>
      <c r="G49">
        <f t="shared" ca="1" si="1"/>
        <v>47</v>
      </c>
      <c r="H49">
        <f t="shared" ca="1" si="2"/>
        <v>20.383386187121399</v>
      </c>
      <c r="I49">
        <f t="shared" ca="1" si="3"/>
        <v>609.7182071434371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98476</v>
      </c>
      <c r="B51" s="66">
        <v>98476</v>
      </c>
      <c r="D51">
        <f t="shared" si="0"/>
        <v>0.46749966768576368</v>
      </c>
      <c r="E51">
        <f t="shared" si="0"/>
        <v>0.46749966768576368</v>
      </c>
      <c r="G51">
        <f t="shared" ca="1" si="1"/>
        <v>49</v>
      </c>
      <c r="H51">
        <f t="shared" ca="1" si="2"/>
        <v>22.907483716602421</v>
      </c>
      <c r="I51">
        <f t="shared" ca="1" si="3"/>
        <v>589.0061977359976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100991</v>
      </c>
      <c r="B54" s="66">
        <v>100991</v>
      </c>
      <c r="D54">
        <f t="shared" si="0"/>
        <v>0.47943924346290423</v>
      </c>
      <c r="E54">
        <f t="shared" si="0"/>
        <v>0.47943924346290423</v>
      </c>
      <c r="G54">
        <f t="shared" ca="1" si="1"/>
        <v>52</v>
      </c>
      <c r="H54">
        <f t="shared" ca="1" si="2"/>
        <v>24.93084066007102</v>
      </c>
      <c r="I54">
        <f t="shared" ca="1" si="3"/>
        <v>506.2572393571873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120896</v>
      </c>
      <c r="B57" s="66">
        <v>120896</v>
      </c>
      <c r="D57">
        <f t="shared" si="0"/>
        <v>0.57393517023983598</v>
      </c>
      <c r="E57">
        <f t="shared" si="0"/>
        <v>0.57393517023983598</v>
      </c>
      <c r="G57">
        <f t="shared" ca="1" si="1"/>
        <v>55</v>
      </c>
      <c r="H57">
        <f t="shared" ca="1" si="2"/>
        <v>31.566434363190979</v>
      </c>
      <c r="I57">
        <f t="shared" ca="1" si="3"/>
        <v>499.30359228806896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122793</v>
      </c>
      <c r="B59" s="66">
        <v>122793</v>
      </c>
      <c r="D59">
        <f t="shared" si="0"/>
        <v>0.58294088604470096</v>
      </c>
      <c r="E59">
        <f t="shared" si="0"/>
        <v>0.58294088604470096</v>
      </c>
      <c r="G59">
        <f t="shared" ca="1" si="1"/>
        <v>57</v>
      </c>
      <c r="H59">
        <f t="shared" ca="1" si="2"/>
        <v>33.227630504547953</v>
      </c>
      <c r="I59">
        <f t="shared" ca="1" si="3"/>
        <v>440.69424899901344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136685</v>
      </c>
      <c r="B62" s="66">
        <v>136685</v>
      </c>
      <c r="D62">
        <f t="shared" si="0"/>
        <v>0.64889101991986475</v>
      </c>
      <c r="E62">
        <f t="shared" si="0"/>
        <v>0.64889101991986475</v>
      </c>
      <c r="G62">
        <f t="shared" ca="1" si="1"/>
        <v>60</v>
      </c>
      <c r="H62">
        <f t="shared" ca="1" si="2"/>
        <v>38.933461195191882</v>
      </c>
      <c r="I62">
        <f t="shared" ca="1" si="3"/>
        <v>389.3433249776744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144846</v>
      </c>
      <c r="B64" s="66">
        <v>144846</v>
      </c>
      <c r="D64">
        <f t="shared" si="0"/>
        <v>0.68763411253109508</v>
      </c>
      <c r="E64">
        <f t="shared" si="0"/>
        <v>0.68763411253109508</v>
      </c>
      <c r="G64">
        <f t="shared" ca="1" si="1"/>
        <v>62</v>
      </c>
      <c r="H64">
        <f t="shared" ca="1" si="2"/>
        <v>42.633314976927892</v>
      </c>
      <c r="I64">
        <f t="shared" ca="1" si="3"/>
        <v>347.96537511500793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153915</v>
      </c>
      <c r="B67" s="66">
        <v>153915</v>
      </c>
      <c r="D67">
        <f t="shared" ref="D67:E130" si="4">IFERROR( A67/MAX(A$2:A$257), 0 )</f>
        <v>0.73068779552230301</v>
      </c>
      <c r="E67">
        <f t="shared" si="4"/>
        <v>0.73068779552230301</v>
      </c>
      <c r="G67">
        <f t="shared" ref="G67:G130" ca="1" si="5">CELL("row",D67)-2</f>
        <v>65</v>
      </c>
      <c r="H67">
        <f t="shared" ref="H67:H130" ca="1" si="6">D67*G67</f>
        <v>47.494706708949693</v>
      </c>
      <c r="I67">
        <f t="shared" ref="I67:I130" ca="1" si="7">D67*((G67-$L$1)^2)</f>
        <v>277.70645480407046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165918</v>
      </c>
      <c r="B69" s="66">
        <v>165918</v>
      </c>
      <c r="D69">
        <f t="shared" si="4"/>
        <v>0.78767019236246938</v>
      </c>
      <c r="E69">
        <f t="shared" si="4"/>
        <v>0.78767019236246938</v>
      </c>
      <c r="G69">
        <f t="shared" ca="1" si="5"/>
        <v>67</v>
      </c>
      <c r="H69">
        <f t="shared" ca="1" si="6"/>
        <v>52.773902888285448</v>
      </c>
      <c r="I69">
        <f t="shared" ca="1" si="7"/>
        <v>241.09090090349002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174544</v>
      </c>
      <c r="B72" s="66">
        <v>174544</v>
      </c>
      <c r="D72">
        <f t="shared" si="4"/>
        <v>0.82862080097225654</v>
      </c>
      <c r="E72">
        <f t="shared" si="4"/>
        <v>0.82862080097225654</v>
      </c>
      <c r="G72">
        <f t="shared" ca="1" si="5"/>
        <v>70</v>
      </c>
      <c r="H72">
        <f t="shared" ca="1" si="6"/>
        <v>58.003456068057957</v>
      </c>
      <c r="I72">
        <f t="shared" ca="1" si="7"/>
        <v>174.10151422023327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174449</v>
      </c>
      <c r="B75" s="66">
        <v>174449</v>
      </c>
      <c r="D75">
        <f t="shared" si="4"/>
        <v>0.82816980308007826</v>
      </c>
      <c r="E75">
        <f t="shared" si="4"/>
        <v>0.82816980308007826</v>
      </c>
      <c r="G75">
        <f t="shared" ca="1" si="5"/>
        <v>73</v>
      </c>
      <c r="H75">
        <f t="shared" ca="1" si="6"/>
        <v>60.456395624845712</v>
      </c>
      <c r="I75">
        <f t="shared" ca="1" si="7"/>
        <v>109.43350324542482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182258</v>
      </c>
      <c r="B77" s="66">
        <v>182258</v>
      </c>
      <c r="D77">
        <f t="shared" si="4"/>
        <v>0.86524182981713227</v>
      </c>
      <c r="E77">
        <f t="shared" si="4"/>
        <v>0.86524182981713227</v>
      </c>
      <c r="G77">
        <f t="shared" ca="1" si="5"/>
        <v>75</v>
      </c>
      <c r="H77">
        <f t="shared" ca="1" si="6"/>
        <v>64.893137236284915</v>
      </c>
      <c r="I77">
        <f t="shared" ca="1" si="7"/>
        <v>78.008716981709796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188502</v>
      </c>
      <c r="B80" s="66">
        <v>188502</v>
      </c>
      <c r="D80">
        <f t="shared" si="4"/>
        <v>0.89488425969882834</v>
      </c>
      <c r="E80">
        <f t="shared" si="4"/>
        <v>0.89488425969882834</v>
      </c>
      <c r="G80">
        <f t="shared" ca="1" si="5"/>
        <v>78</v>
      </c>
      <c r="H80">
        <f t="shared" ca="1" si="6"/>
        <v>69.800972256508615</v>
      </c>
      <c r="I80">
        <f t="shared" ca="1" si="7"/>
        <v>37.752708681441966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190489</v>
      </c>
      <c r="B82" s="66">
        <v>190489</v>
      </c>
      <c r="D82">
        <f t="shared" si="4"/>
        <v>0.90431723666470443</v>
      </c>
      <c r="E82">
        <f t="shared" si="4"/>
        <v>0.90431723666470443</v>
      </c>
      <c r="G82">
        <f t="shared" ca="1" si="5"/>
        <v>80</v>
      </c>
      <c r="H82">
        <f t="shared" ca="1" si="6"/>
        <v>72.345378933176349</v>
      </c>
      <c r="I82">
        <f t="shared" ca="1" si="7"/>
        <v>18.273146788501215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196770</v>
      </c>
      <c r="B85" s="66">
        <v>196770</v>
      </c>
      <c r="D85">
        <f t="shared" si="4"/>
        <v>0.93413531835703845</v>
      </c>
      <c r="E85">
        <f t="shared" si="4"/>
        <v>0.93413531835703845</v>
      </c>
      <c r="G85">
        <f t="shared" ca="1" si="5"/>
        <v>83</v>
      </c>
      <c r="H85">
        <f t="shared" ca="1" si="6"/>
        <v>77.533231423634192</v>
      </c>
      <c r="I85">
        <f t="shared" ca="1" si="7"/>
        <v>2.0882948707109654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200389</v>
      </c>
      <c r="B88" s="66">
        <v>200389</v>
      </c>
      <c r="D88">
        <f t="shared" si="4"/>
        <v>0.95131596437591381</v>
      </c>
      <c r="E88">
        <f t="shared" si="4"/>
        <v>0.95131596437591381</v>
      </c>
      <c r="G88">
        <f t="shared" ca="1" si="5"/>
        <v>86</v>
      </c>
      <c r="H88">
        <f t="shared" ca="1" si="6"/>
        <v>81.813172936328584</v>
      </c>
      <c r="I88">
        <f t="shared" ca="1" si="7"/>
        <v>2.154263342807222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200837</v>
      </c>
      <c r="B90" s="66">
        <v>200837</v>
      </c>
      <c r="D90">
        <f t="shared" si="4"/>
        <v>0.95344277548850198</v>
      </c>
      <c r="E90">
        <f t="shared" si="4"/>
        <v>0.95344277548850198</v>
      </c>
      <c r="G90">
        <f t="shared" ca="1" si="5"/>
        <v>88</v>
      </c>
      <c r="H90">
        <f t="shared" ca="1" si="6"/>
        <v>83.902964242988176</v>
      </c>
      <c r="I90">
        <f t="shared" ca="1" si="7"/>
        <v>11.711922015510883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203842</v>
      </c>
      <c r="B93" s="66">
        <v>203842</v>
      </c>
      <c r="D93">
        <f t="shared" si="4"/>
        <v>0.96770855092003571</v>
      </c>
      <c r="E93">
        <f t="shared" si="4"/>
        <v>0.96770855092003571</v>
      </c>
      <c r="G93">
        <f t="shared" ca="1" si="5"/>
        <v>91</v>
      </c>
      <c r="H93">
        <f t="shared" ca="1" si="6"/>
        <v>88.061478133723256</v>
      </c>
      <c r="I93">
        <f t="shared" ca="1" si="7"/>
        <v>40.946452194871419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210644</v>
      </c>
      <c r="B95" s="66">
        <v>210644</v>
      </c>
      <c r="D95">
        <f t="shared" si="4"/>
        <v>1</v>
      </c>
      <c r="E95">
        <f t="shared" si="4"/>
        <v>1</v>
      </c>
      <c r="G95">
        <f t="shared" ca="1" si="5"/>
        <v>93</v>
      </c>
      <c r="H95">
        <f t="shared" ca="1" si="6"/>
        <v>93</v>
      </c>
      <c r="I95">
        <f t="shared" ca="1" si="7"/>
        <v>72.332107554121933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206569</v>
      </c>
      <c r="B98" s="66">
        <v>206569</v>
      </c>
      <c r="D98">
        <f t="shared" si="4"/>
        <v>0.9806545640986688</v>
      </c>
      <c r="E98">
        <f t="shared" si="4"/>
        <v>0.9806545640986688</v>
      </c>
      <c r="G98">
        <f t="shared" ca="1" si="5"/>
        <v>96</v>
      </c>
      <c r="H98">
        <f t="shared" ca="1" si="6"/>
        <v>94.142838153472212</v>
      </c>
      <c r="I98">
        <f t="shared" ca="1" si="7"/>
        <v>129.8004957030833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197774</v>
      </c>
      <c r="B100" s="66">
        <v>197774</v>
      </c>
      <c r="D100">
        <f t="shared" si="4"/>
        <v>0.93890165397542769</v>
      </c>
      <c r="E100">
        <f t="shared" si="4"/>
        <v>0.93890165397542769</v>
      </c>
      <c r="G100">
        <f t="shared" ca="1" si="5"/>
        <v>98</v>
      </c>
      <c r="H100">
        <f t="shared" ca="1" si="6"/>
        <v>92.012362089591917</v>
      </c>
      <c r="I100">
        <f t="shared" ca="1" si="7"/>
        <v>171.2372520780774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180253</v>
      </c>
      <c r="B103" s="66">
        <v>180253</v>
      </c>
      <c r="D103">
        <f t="shared" si="4"/>
        <v>0.85572340061905394</v>
      </c>
      <c r="E103">
        <f t="shared" si="4"/>
        <v>0.85572340061905394</v>
      </c>
      <c r="G103">
        <f t="shared" ca="1" si="5"/>
        <v>101</v>
      </c>
      <c r="H103">
        <f t="shared" ca="1" si="6"/>
        <v>86.428063462524449</v>
      </c>
      <c r="I103">
        <f t="shared" ca="1" si="7"/>
        <v>233.10706673149005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163313</v>
      </c>
      <c r="B106" s="66">
        <v>163313</v>
      </c>
      <c r="D106">
        <f t="shared" si="4"/>
        <v>0.77530335542431783</v>
      </c>
      <c r="E106">
        <f t="shared" si="4"/>
        <v>0.77530335542431783</v>
      </c>
      <c r="G106">
        <f t="shared" ca="1" si="5"/>
        <v>104</v>
      </c>
      <c r="H106">
        <f t="shared" ca="1" si="6"/>
        <v>80.631548964129053</v>
      </c>
      <c r="I106">
        <f t="shared" ca="1" si="7"/>
        <v>294.95511705084016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147528</v>
      </c>
      <c r="B108" s="66">
        <v>147528</v>
      </c>
      <c r="D108">
        <f t="shared" si="4"/>
        <v>0.70036649512922278</v>
      </c>
      <c r="E108">
        <f t="shared" si="4"/>
        <v>0.70036649512922278</v>
      </c>
      <c r="G108">
        <f t="shared" ca="1" si="5"/>
        <v>106</v>
      </c>
      <c r="H108">
        <f t="shared" ca="1" si="6"/>
        <v>74.238848483697609</v>
      </c>
      <c r="I108">
        <f t="shared" ca="1" si="7"/>
        <v>323.88984218490089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135494</v>
      </c>
      <c r="B111" s="66">
        <v>135494</v>
      </c>
      <c r="D111">
        <f t="shared" si="4"/>
        <v>0.64323693055581932</v>
      </c>
      <c r="E111">
        <f t="shared" si="4"/>
        <v>0.64323693055581932</v>
      </c>
      <c r="G111">
        <f t="shared" ca="1" si="5"/>
        <v>109</v>
      </c>
      <c r="H111">
        <f t="shared" ca="1" si="6"/>
        <v>70.112825430584309</v>
      </c>
      <c r="I111">
        <f t="shared" ca="1" si="7"/>
        <v>386.25516968685315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124464</v>
      </c>
      <c r="B113" s="66">
        <v>124464</v>
      </c>
      <c r="D113">
        <f t="shared" si="4"/>
        <v>0.5908737016008051</v>
      </c>
      <c r="E113">
        <f t="shared" si="4"/>
        <v>0.5908737016008051</v>
      </c>
      <c r="G113">
        <f t="shared" ca="1" si="5"/>
        <v>111</v>
      </c>
      <c r="H113">
        <f t="shared" ca="1" si="6"/>
        <v>65.586980877689371</v>
      </c>
      <c r="I113">
        <f t="shared" ca="1" si="7"/>
        <v>415.09228103014681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112937</v>
      </c>
      <c r="B116" s="66">
        <v>112937</v>
      </c>
      <c r="D116">
        <f t="shared" si="4"/>
        <v>0.53615104156776361</v>
      </c>
      <c r="E116">
        <f t="shared" si="4"/>
        <v>0.53615104156776361</v>
      </c>
      <c r="G116">
        <f t="shared" ca="1" si="5"/>
        <v>114</v>
      </c>
      <c r="H116">
        <f t="shared" ca="1" si="6"/>
        <v>61.121218738725048</v>
      </c>
      <c r="I116">
        <f t="shared" ca="1" si="7"/>
        <v>466.73819545319918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108524</v>
      </c>
      <c r="B118" s="66">
        <v>108524</v>
      </c>
      <c r="D118">
        <f t="shared" si="4"/>
        <v>0.51520100263952451</v>
      </c>
      <c r="E118">
        <f t="shared" si="4"/>
        <v>0.51520100263952451</v>
      </c>
      <c r="G118">
        <f t="shared" ca="1" si="5"/>
        <v>116</v>
      </c>
      <c r="H118">
        <f t="shared" ca="1" si="6"/>
        <v>59.763316306184841</v>
      </c>
      <c r="I118">
        <f t="shared" ca="1" si="7"/>
        <v>511.36492821051564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104963</v>
      </c>
      <c r="B121" s="66">
        <v>104963</v>
      </c>
      <c r="D121">
        <f t="shared" si="4"/>
        <v>0.49829570270218948</v>
      </c>
      <c r="E121">
        <f t="shared" si="4"/>
        <v>0.49829570270218948</v>
      </c>
      <c r="G121">
        <f t="shared" ca="1" si="5"/>
        <v>119</v>
      </c>
      <c r="H121">
        <f t="shared" ca="1" si="6"/>
        <v>59.297188621560551</v>
      </c>
      <c r="I121">
        <f t="shared" ca="1" si="7"/>
        <v>593.26248666777633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93250</v>
      </c>
      <c r="B124" s="66">
        <v>93250</v>
      </c>
      <c r="D124">
        <f t="shared" si="4"/>
        <v>0.44269003626972525</v>
      </c>
      <c r="E124">
        <f t="shared" si="4"/>
        <v>0.44269003626972525</v>
      </c>
      <c r="G124">
        <f t="shared" ca="1" si="5"/>
        <v>122</v>
      </c>
      <c r="H124">
        <f t="shared" ca="1" si="6"/>
        <v>54.008184424906482</v>
      </c>
      <c r="I124">
        <f t="shared" ca="1" si="7"/>
        <v>622.69318798023346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84726</v>
      </c>
      <c r="B126" s="66">
        <v>84726</v>
      </c>
      <c r="D126">
        <f t="shared" si="4"/>
        <v>0.40222365697575058</v>
      </c>
      <c r="E126">
        <f t="shared" si="4"/>
        <v>0.40222365697575058</v>
      </c>
      <c r="G126">
        <f t="shared" ca="1" si="5"/>
        <v>124</v>
      </c>
      <c r="H126">
        <f t="shared" ca="1" si="6"/>
        <v>49.875733464993068</v>
      </c>
      <c r="I126">
        <f t="shared" ca="1" si="7"/>
        <v>627.72289850500522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86046</v>
      </c>
      <c r="B129" s="66">
        <v>86046</v>
      </c>
      <c r="D129">
        <f t="shared" si="4"/>
        <v>0.40849015400391181</v>
      </c>
      <c r="E129">
        <f t="shared" si="4"/>
        <v>0.40849015400391181</v>
      </c>
      <c r="G129">
        <f t="shared" ca="1" si="5"/>
        <v>127</v>
      </c>
      <c r="H129">
        <f t="shared" ca="1" si="6"/>
        <v>51.878249558496798</v>
      </c>
      <c r="I129">
        <f t="shared" ca="1" si="7"/>
        <v>738.00300321211648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74198</v>
      </c>
      <c r="B131" s="66">
        <v>74198</v>
      </c>
      <c r="D131">
        <f t="shared" ref="D131:E194" si="8">IFERROR( A131/MAX(A$2:A$257), 0 )</f>
        <v>0.35224359582993109</v>
      </c>
      <c r="E131">
        <f t="shared" si="8"/>
        <v>0.35224359582993109</v>
      </c>
      <c r="G131">
        <f t="shared" ref="G131:G194" ca="1" si="9">CELL("row",D131)-2</f>
        <v>129</v>
      </c>
      <c r="H131">
        <f t="shared" ref="H131:H194" ca="1" si="10">D131*G131</f>
        <v>45.439423862061112</v>
      </c>
      <c r="I131">
        <f t="shared" ref="I131:I194" ca="1" si="11">D131*((G131-$L$1)^2)</f>
        <v>697.6817603048122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71287</v>
      </c>
      <c r="B134" s="66">
        <v>71287</v>
      </c>
      <c r="D134">
        <f t="shared" si="8"/>
        <v>0.33842407094434213</v>
      </c>
      <c r="E134">
        <f t="shared" si="8"/>
        <v>0.33842407094434213</v>
      </c>
      <c r="G134">
        <f t="shared" ca="1" si="9"/>
        <v>132</v>
      </c>
      <c r="H134">
        <f t="shared" ca="1" si="10"/>
        <v>44.671977364653159</v>
      </c>
      <c r="I134">
        <f t="shared" ca="1" si="11"/>
        <v>763.72455512582314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66465</v>
      </c>
      <c r="B136" s="66">
        <v>66465</v>
      </c>
      <c r="D136">
        <f t="shared" si="8"/>
        <v>0.31553236740661972</v>
      </c>
      <c r="E136">
        <f t="shared" si="8"/>
        <v>0.31553236740661972</v>
      </c>
      <c r="G136">
        <f t="shared" ca="1" si="9"/>
        <v>134</v>
      </c>
      <c r="H136">
        <f t="shared" ca="1" si="10"/>
        <v>42.28133723248704</v>
      </c>
      <c r="I136">
        <f t="shared" ca="1" si="11"/>
        <v>773.28402137202625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63047</v>
      </c>
      <c r="B139" s="66">
        <v>63047</v>
      </c>
      <c r="D139">
        <f t="shared" si="8"/>
        <v>0.29930593798066879</v>
      </c>
      <c r="E139">
        <f t="shared" si="8"/>
        <v>0.29930593798066879</v>
      </c>
      <c r="G139">
        <f t="shared" ca="1" si="9"/>
        <v>137</v>
      </c>
      <c r="H139">
        <f t="shared" ca="1" si="10"/>
        <v>41.004913503351624</v>
      </c>
      <c r="I139">
        <f t="shared" ca="1" si="11"/>
        <v>825.11374392216419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55525</v>
      </c>
      <c r="B142" s="66">
        <v>55525</v>
      </c>
      <c r="D142">
        <f t="shared" si="8"/>
        <v>0.26359639961261655</v>
      </c>
      <c r="E142">
        <f t="shared" si="8"/>
        <v>0.26359639961261655</v>
      </c>
      <c r="G142">
        <f t="shared" ca="1" si="9"/>
        <v>140</v>
      </c>
      <c r="H142">
        <f t="shared" ca="1" si="10"/>
        <v>36.903495945766316</v>
      </c>
      <c r="I142">
        <f t="shared" ca="1" si="11"/>
        <v>812.08409365350315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45574</v>
      </c>
      <c r="B144" s="66">
        <v>45574</v>
      </c>
      <c r="D144">
        <f t="shared" si="8"/>
        <v>0.21635555724350089</v>
      </c>
      <c r="E144">
        <f t="shared" si="8"/>
        <v>0.21635555724350089</v>
      </c>
      <c r="G144">
        <f t="shared" ca="1" si="9"/>
        <v>142</v>
      </c>
      <c r="H144">
        <f t="shared" ca="1" si="10"/>
        <v>30.722489128577127</v>
      </c>
      <c r="I144">
        <f t="shared" ca="1" si="11"/>
        <v>715.4457031726929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35210</v>
      </c>
      <c r="B147" s="66">
        <v>35210</v>
      </c>
      <c r="D147">
        <f t="shared" si="8"/>
        <v>0.16715406087996809</v>
      </c>
      <c r="E147">
        <f t="shared" si="8"/>
        <v>0.16715406087996809</v>
      </c>
      <c r="G147">
        <f t="shared" ca="1" si="9"/>
        <v>145</v>
      </c>
      <c r="H147">
        <f t="shared" ca="1" si="10"/>
        <v>24.237338827595373</v>
      </c>
      <c r="I147">
        <f t="shared" ca="1" si="11"/>
        <v>611.92331443281228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30732</v>
      </c>
      <c r="B149" s="66">
        <v>30732</v>
      </c>
      <c r="D149">
        <f t="shared" si="8"/>
        <v>0.14589544444655439</v>
      </c>
      <c r="E149">
        <f t="shared" si="8"/>
        <v>0.14589544444655439</v>
      </c>
      <c r="G149">
        <f t="shared" ca="1" si="9"/>
        <v>147</v>
      </c>
      <c r="H149">
        <f t="shared" ca="1" si="10"/>
        <v>21.446630333643494</v>
      </c>
      <c r="I149">
        <f t="shared" ca="1" si="11"/>
        <v>569.99214001091616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19976</v>
      </c>
      <c r="B152" s="66">
        <v>19976</v>
      </c>
      <c r="D152">
        <f t="shared" si="8"/>
        <v>9.4832988359507042E-2</v>
      </c>
      <c r="E152">
        <f t="shared" si="8"/>
        <v>9.4832988359507042E-2</v>
      </c>
      <c r="G152">
        <f t="shared" ca="1" si="9"/>
        <v>150</v>
      </c>
      <c r="H152">
        <f t="shared" ca="1" si="10"/>
        <v>14.224948253926057</v>
      </c>
      <c r="I152">
        <f t="shared" ca="1" si="11"/>
        <v>406.91721537227409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15924</v>
      </c>
      <c r="B154" s="66">
        <v>15924</v>
      </c>
      <c r="D154">
        <f t="shared" si="8"/>
        <v>7.5596741421545349E-2</v>
      </c>
      <c r="E154">
        <f t="shared" si="8"/>
        <v>7.5596741421545349E-2</v>
      </c>
      <c r="G154">
        <f t="shared" ca="1" si="9"/>
        <v>152</v>
      </c>
      <c r="H154">
        <f t="shared" ca="1" si="10"/>
        <v>11.490704696074893</v>
      </c>
      <c r="I154">
        <f t="shared" ca="1" si="11"/>
        <v>344.48693225513159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15394</v>
      </c>
      <c r="B157" s="66">
        <v>15394</v>
      </c>
      <c r="D157">
        <f t="shared" si="8"/>
        <v>7.3080647917813948E-2</v>
      </c>
      <c r="E157">
        <f t="shared" si="8"/>
        <v>7.3080647917813948E-2</v>
      </c>
      <c r="G157">
        <f t="shared" ca="1" si="9"/>
        <v>155</v>
      </c>
      <c r="H157">
        <f t="shared" ca="1" si="10"/>
        <v>11.327500427261162</v>
      </c>
      <c r="I157">
        <f t="shared" ca="1" si="11"/>
        <v>363.2788465167481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10704</v>
      </c>
      <c r="B160" s="66">
        <v>10704</v>
      </c>
      <c r="D160">
        <f t="shared" si="8"/>
        <v>5.0815594082907652E-2</v>
      </c>
      <c r="E160">
        <f t="shared" si="8"/>
        <v>5.0815594082907652E-2</v>
      </c>
      <c r="G160">
        <f t="shared" ca="1" si="9"/>
        <v>158</v>
      </c>
      <c r="H160">
        <f t="shared" ca="1" si="10"/>
        <v>8.0288638650994084</v>
      </c>
      <c r="I160">
        <f t="shared" ca="1" si="11"/>
        <v>274.55461257992431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7315</v>
      </c>
      <c r="B162" s="66">
        <v>7315</v>
      </c>
      <c r="D162">
        <f t="shared" si="8"/>
        <v>3.472683769772697E-2</v>
      </c>
      <c r="E162">
        <f t="shared" si="8"/>
        <v>3.472683769772697E-2</v>
      </c>
      <c r="G162">
        <f t="shared" ca="1" si="9"/>
        <v>160</v>
      </c>
      <c r="H162">
        <f t="shared" ca="1" si="10"/>
        <v>5.5562940316363152</v>
      </c>
      <c r="I162">
        <f t="shared" ca="1" si="11"/>
        <v>197.97697677476566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6204</v>
      </c>
      <c r="B165" s="66">
        <v>6204</v>
      </c>
      <c r="D165">
        <f t="shared" si="8"/>
        <v>2.9452536032357913E-2</v>
      </c>
      <c r="E165">
        <f t="shared" si="8"/>
        <v>2.9452536032357913E-2</v>
      </c>
      <c r="G165">
        <f t="shared" ca="1" si="9"/>
        <v>163</v>
      </c>
      <c r="H165">
        <f t="shared" ca="1" si="10"/>
        <v>4.8007633732743402</v>
      </c>
      <c r="I165">
        <f t="shared" ca="1" si="11"/>
        <v>181.51621799782873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3596</v>
      </c>
      <c r="B167" s="66">
        <v>3596</v>
      </c>
      <c r="D167">
        <f t="shared" si="8"/>
        <v>1.7071457055505973E-2</v>
      </c>
      <c r="E167">
        <f t="shared" si="8"/>
        <v>1.7071457055505973E-2</v>
      </c>
      <c r="G167">
        <f t="shared" ca="1" si="9"/>
        <v>165</v>
      </c>
      <c r="H167">
        <f t="shared" ca="1" si="10"/>
        <v>2.8167904141584854</v>
      </c>
      <c r="I167">
        <f t="shared" ca="1" si="11"/>
        <v>110.64058109428524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2627</v>
      </c>
      <c r="B170" s="66">
        <v>2627</v>
      </c>
      <c r="D170">
        <f t="shared" si="8"/>
        <v>1.2471278555287594E-2</v>
      </c>
      <c r="E170">
        <f t="shared" si="8"/>
        <v>1.2471278555287594E-2</v>
      </c>
      <c r="G170">
        <f t="shared" ca="1" si="9"/>
        <v>168</v>
      </c>
      <c r="H170">
        <f t="shared" ca="1" si="10"/>
        <v>2.0951747972883159</v>
      </c>
      <c r="I170">
        <f t="shared" ca="1" si="11"/>
        <v>86.962928499932246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1401</v>
      </c>
      <c r="B173" s="66">
        <v>1401</v>
      </c>
      <c r="D173">
        <f t="shared" si="8"/>
        <v>6.6510320730711536E-3</v>
      </c>
      <c r="E173">
        <f t="shared" si="8"/>
        <v>6.6510320730711536E-3</v>
      </c>
      <c r="G173">
        <f t="shared" ca="1" si="9"/>
        <v>171</v>
      </c>
      <c r="H173">
        <f t="shared" ca="1" si="10"/>
        <v>1.1373264844951672</v>
      </c>
      <c r="I173">
        <f t="shared" ca="1" si="11"/>
        <v>49.770240676140183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1358</v>
      </c>
      <c r="B175" s="66">
        <v>1358</v>
      </c>
      <c r="D175">
        <f t="shared" si="8"/>
        <v>6.4468961850325671E-3</v>
      </c>
      <c r="E175">
        <f t="shared" si="8"/>
        <v>6.4468961850325671E-3</v>
      </c>
      <c r="G175">
        <f t="shared" ca="1" si="9"/>
        <v>173</v>
      </c>
      <c r="H175">
        <f t="shared" ca="1" si="10"/>
        <v>1.1153130400106341</v>
      </c>
      <c r="I175">
        <f t="shared" ca="1" si="11"/>
        <v>50.499212582430879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368</v>
      </c>
      <c r="B178" s="66">
        <v>368</v>
      </c>
      <c r="D178">
        <f t="shared" si="8"/>
        <v>1.7470234139116234E-3</v>
      </c>
      <c r="E178">
        <f t="shared" si="8"/>
        <v>1.7470234139116234E-3</v>
      </c>
      <c r="G178">
        <f t="shared" ca="1" si="9"/>
        <v>176</v>
      </c>
      <c r="H178">
        <f t="shared" ca="1" si="10"/>
        <v>0.30747612084844572</v>
      </c>
      <c r="I178">
        <f t="shared" ca="1" si="11"/>
        <v>14.628060509927259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75.614580211637772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1.4591301064274911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0.60057668393427421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1474</v>
      </c>
      <c r="B8" s="66">
        <v>1474</v>
      </c>
      <c r="D8">
        <f t="shared" si="0"/>
        <v>1.7324667081957195</v>
      </c>
      <c r="E8">
        <f t="shared" si="1"/>
        <v>1.7324667081957195</v>
      </c>
      <c r="G8">
        <f t="shared" ca="1" si="2"/>
        <v>6</v>
      </c>
      <c r="H8">
        <f t="shared" ca="1" si="3"/>
        <v>10.394800249174317</v>
      </c>
      <c r="I8">
        <f t="shared" ca="1" si="4"/>
        <v>8395.8624520571211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6294</v>
      </c>
      <c r="B10" s="66">
        <v>6294</v>
      </c>
      <c r="D10">
        <f t="shared" si="0"/>
        <v>7.3976563510066882</v>
      </c>
      <c r="E10">
        <f t="shared" si="1"/>
        <v>7.3976563510066882</v>
      </c>
      <c r="G10">
        <f t="shared" ca="1" si="2"/>
        <v>8</v>
      </c>
      <c r="H10">
        <f t="shared" ca="1" si="3"/>
        <v>59.181250808053505</v>
      </c>
      <c r="I10">
        <f t="shared" ca="1" si="4"/>
        <v>33820.098249423034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10317</v>
      </c>
      <c r="B13" s="66">
        <v>10317</v>
      </c>
      <c r="D13">
        <f t="shared" si="0"/>
        <v>12.126091606821735</v>
      </c>
      <c r="E13">
        <f t="shared" si="1"/>
        <v>12.126091606821735</v>
      </c>
      <c r="G13">
        <f t="shared" ca="1" si="2"/>
        <v>11</v>
      </c>
      <c r="H13">
        <f t="shared" ca="1" si="3"/>
        <v>133.38700767503909</v>
      </c>
      <c r="I13">
        <f t="shared" ca="1" si="4"/>
        <v>50626.965714589998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12452</v>
      </c>
      <c r="B15" s="66">
        <v>12452</v>
      </c>
      <c r="D15">
        <f t="shared" si="0"/>
        <v>14.635465027444436</v>
      </c>
      <c r="E15">
        <f t="shared" si="1"/>
        <v>14.635465027444436</v>
      </c>
      <c r="G15">
        <f t="shared" ca="1" si="2"/>
        <v>13</v>
      </c>
      <c r="H15">
        <f t="shared" ca="1" si="3"/>
        <v>190.26104535677766</v>
      </c>
      <c r="I15">
        <f t="shared" ca="1" si="4"/>
        <v>57379.594242018124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16954</v>
      </c>
      <c r="B18" s="66">
        <v>16954</v>
      </c>
      <c r="D18">
        <f t="shared" si="0"/>
        <v>19.926893195895676</v>
      </c>
      <c r="E18">
        <f t="shared" si="1"/>
        <v>19.926893195895676</v>
      </c>
      <c r="G18">
        <f t="shared" ca="1" si="2"/>
        <v>16</v>
      </c>
      <c r="H18">
        <f t="shared" ca="1" si="3"/>
        <v>318.83029113433082</v>
      </c>
      <c r="I18">
        <f t="shared" ca="1" si="4"/>
        <v>70818.149338596442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19440</v>
      </c>
      <c r="B21" s="66">
        <v>19440</v>
      </c>
      <c r="D21">
        <f t="shared" si="0"/>
        <v>22.848814658972039</v>
      </c>
      <c r="E21">
        <f t="shared" si="1"/>
        <v>22.848814658972039</v>
      </c>
      <c r="G21">
        <f t="shared" ca="1" si="2"/>
        <v>19</v>
      </c>
      <c r="H21">
        <f t="shared" ca="1" si="3"/>
        <v>434.12747852046874</v>
      </c>
      <c r="I21">
        <f t="shared" ca="1" si="4"/>
        <v>73235.265056801116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27151</v>
      </c>
      <c r="B23" s="66">
        <v>27151</v>
      </c>
      <c r="D23">
        <f t="shared" si="0"/>
        <v>31.911942736921286</v>
      </c>
      <c r="E23">
        <f t="shared" si="1"/>
        <v>31.911942736921286</v>
      </c>
      <c r="G23">
        <f t="shared" ca="1" si="2"/>
        <v>21</v>
      </c>
      <c r="H23">
        <f t="shared" ca="1" si="3"/>
        <v>670.15079747534696</v>
      </c>
      <c r="I23">
        <f t="shared" ca="1" si="4"/>
        <v>95185.422883896448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29648</v>
      </c>
      <c r="B26" s="66">
        <v>29648</v>
      </c>
      <c r="D26">
        <f t="shared" si="0"/>
        <v>34.846793056028957</v>
      </c>
      <c r="E26">
        <f t="shared" si="1"/>
        <v>34.846793056028957</v>
      </c>
      <c r="G26">
        <f t="shared" ca="1" si="2"/>
        <v>24</v>
      </c>
      <c r="H26">
        <f t="shared" ca="1" si="3"/>
        <v>836.32303334469498</v>
      </c>
      <c r="I26">
        <f t="shared" ca="1" si="4"/>
        <v>92834.117924423292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40098</v>
      </c>
      <c r="B28" s="66">
        <v>40098</v>
      </c>
      <c r="D28">
        <f t="shared" si="0"/>
        <v>47.129206285774735</v>
      </c>
      <c r="E28">
        <f t="shared" si="1"/>
        <v>47.129206285774735</v>
      </c>
      <c r="G28">
        <f t="shared" ca="1" si="2"/>
        <v>26</v>
      </c>
      <c r="H28">
        <f t="shared" ca="1" si="3"/>
        <v>1225.359363430143</v>
      </c>
      <c r="I28">
        <f t="shared" ca="1" si="4"/>
        <v>116013.56381201454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37727</v>
      </c>
      <c r="B31" s="66">
        <v>37727</v>
      </c>
      <c r="D31">
        <f t="shared" si="0"/>
        <v>44.342450135752991</v>
      </c>
      <c r="E31">
        <f t="shared" si="1"/>
        <v>44.342450135752991</v>
      </c>
      <c r="G31">
        <f t="shared" ca="1" si="2"/>
        <v>29</v>
      </c>
      <c r="H31">
        <f t="shared" ca="1" si="3"/>
        <v>1285.9310539368366</v>
      </c>
      <c r="I31">
        <f t="shared" ca="1" si="4"/>
        <v>96352.556322288394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41270</v>
      </c>
      <c r="B33" s="66">
        <v>41270</v>
      </c>
      <c r="D33">
        <f t="shared" si="0"/>
        <v>48.506717128383542</v>
      </c>
      <c r="E33">
        <f t="shared" si="1"/>
        <v>48.506717128383542</v>
      </c>
      <c r="G33">
        <f t="shared" ca="1" si="2"/>
        <v>31</v>
      </c>
      <c r="H33">
        <f t="shared" ca="1" si="3"/>
        <v>1503.7082309798898</v>
      </c>
      <c r="I33">
        <f t="shared" ca="1" si="4"/>
        <v>96550.717402359485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41336</v>
      </c>
      <c r="B36" s="66">
        <v>41336</v>
      </c>
      <c r="D36">
        <f t="shared" si="0"/>
        <v>48.584290264571408</v>
      </c>
      <c r="E36">
        <f t="shared" si="1"/>
        <v>48.584290264571408</v>
      </c>
      <c r="G36">
        <f t="shared" ca="1" si="2"/>
        <v>34</v>
      </c>
      <c r="H36">
        <f t="shared" ca="1" si="3"/>
        <v>1651.8658689954279</v>
      </c>
      <c r="I36">
        <f t="shared" ca="1" si="4"/>
        <v>84136.976008726182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46862</v>
      </c>
      <c r="B39" s="66">
        <v>46862</v>
      </c>
      <c r="D39">
        <f t="shared" si="0"/>
        <v>55.079277394482908</v>
      </c>
      <c r="E39">
        <f t="shared" si="1"/>
        <v>55.079277394482908</v>
      </c>
      <c r="G39">
        <f t="shared" ca="1" si="2"/>
        <v>37</v>
      </c>
      <c r="H39">
        <f t="shared" ca="1" si="3"/>
        <v>2037.9332635958676</v>
      </c>
      <c r="I39">
        <f t="shared" ca="1" si="4"/>
        <v>82127.928668219989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50772</v>
      </c>
      <c r="B41" s="66">
        <v>50772</v>
      </c>
      <c r="D41">
        <f t="shared" si="0"/>
        <v>59.674898038339933</v>
      </c>
      <c r="E41">
        <f t="shared" si="1"/>
        <v>59.674898038339933</v>
      </c>
      <c r="G41">
        <f t="shared" ca="1" si="2"/>
        <v>39</v>
      </c>
      <c r="H41">
        <f t="shared" ca="1" si="3"/>
        <v>2327.3210234952576</v>
      </c>
      <c r="I41">
        <f t="shared" ca="1" si="4"/>
        <v>80001.808419539375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50278</v>
      </c>
      <c r="B44" s="66">
        <v>50278</v>
      </c>
      <c r="D44">
        <f t="shared" si="0"/>
        <v>59.094274867479228</v>
      </c>
      <c r="E44">
        <f t="shared" si="1"/>
        <v>59.094274867479228</v>
      </c>
      <c r="G44">
        <f t="shared" ca="1" si="2"/>
        <v>42</v>
      </c>
      <c r="H44">
        <f t="shared" ca="1" si="3"/>
        <v>2481.9595444341276</v>
      </c>
      <c r="I44">
        <f t="shared" ca="1" si="4"/>
        <v>66772.985109497036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54377</v>
      </c>
      <c r="B46" s="66">
        <v>54377</v>
      </c>
      <c r="D46">
        <f t="shared" si="0"/>
        <v>63.912036764965151</v>
      </c>
      <c r="E46">
        <f t="shared" si="1"/>
        <v>63.912036764965151</v>
      </c>
      <c r="G46">
        <f t="shared" ca="1" si="2"/>
        <v>44</v>
      </c>
      <c r="H46">
        <f t="shared" ca="1" si="3"/>
        <v>2812.1296176584665</v>
      </c>
      <c r="I46">
        <f t="shared" ca="1" si="4"/>
        <v>63878.910003213925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55884</v>
      </c>
      <c r="B49" s="66">
        <v>55884</v>
      </c>
      <c r="D49">
        <f t="shared" si="0"/>
        <v>65.683290041254807</v>
      </c>
      <c r="E49">
        <f t="shared" si="1"/>
        <v>65.683290041254807</v>
      </c>
      <c r="G49">
        <f t="shared" ca="1" si="2"/>
        <v>47</v>
      </c>
      <c r="H49">
        <f t="shared" ca="1" si="3"/>
        <v>3087.1146319389759</v>
      </c>
      <c r="I49">
        <f t="shared" ca="1" si="4"/>
        <v>53781.096967903854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58567</v>
      </c>
      <c r="B51" s="66">
        <v>58567</v>
      </c>
      <c r="D51">
        <f t="shared" si="0"/>
        <v>68.836755562346468</v>
      </c>
      <c r="E51">
        <f t="shared" si="1"/>
        <v>68.836755562346468</v>
      </c>
      <c r="G51">
        <f t="shared" ca="1" si="2"/>
        <v>49</v>
      </c>
      <c r="H51">
        <f t="shared" ca="1" si="3"/>
        <v>3373.0010225549768</v>
      </c>
      <c r="I51">
        <f t="shared" ca="1" si="4"/>
        <v>48759.54381670279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55142</v>
      </c>
      <c r="B54" s="66">
        <v>55142</v>
      </c>
      <c r="D54">
        <f t="shared" si="0"/>
        <v>64.811179934415435</v>
      </c>
      <c r="E54">
        <f t="shared" si="1"/>
        <v>64.811179934415435</v>
      </c>
      <c r="G54">
        <f t="shared" ca="1" si="2"/>
        <v>52</v>
      </c>
      <c r="H54">
        <f t="shared" ca="1" si="3"/>
        <v>3370.1813565896027</v>
      </c>
      <c r="I54">
        <f t="shared" ca="1" si="4"/>
        <v>36141.850699980358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63872</v>
      </c>
      <c r="B57" s="66">
        <v>63872</v>
      </c>
      <c r="D57">
        <f t="shared" si="0"/>
        <v>75.071990221083439</v>
      </c>
      <c r="E57">
        <f t="shared" si="1"/>
        <v>75.071990221083439</v>
      </c>
      <c r="G57">
        <f t="shared" ca="1" si="2"/>
        <v>55</v>
      </c>
      <c r="H57">
        <f t="shared" ca="1" si="3"/>
        <v>4128.9594621595888</v>
      </c>
      <c r="I57">
        <f t="shared" ca="1" si="4"/>
        <v>31902.661828041968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61587</v>
      </c>
      <c r="B59" s="66">
        <v>61587</v>
      </c>
      <c r="D59">
        <f t="shared" si="0"/>
        <v>72.386314218215588</v>
      </c>
      <c r="E59">
        <f t="shared" si="1"/>
        <v>72.386314218215588</v>
      </c>
      <c r="G59">
        <f t="shared" ca="1" si="2"/>
        <v>57</v>
      </c>
      <c r="H59">
        <f t="shared" ca="1" si="3"/>
        <v>4126.0199104382882</v>
      </c>
      <c r="I59">
        <f t="shared" ca="1" si="4"/>
        <v>25082.045824455126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67343</v>
      </c>
      <c r="B62" s="66">
        <v>67343</v>
      </c>
      <c r="D62">
        <f t="shared" si="0"/>
        <v>79.151631974236309</v>
      </c>
      <c r="E62">
        <f t="shared" si="1"/>
        <v>79.151631974236309</v>
      </c>
      <c r="G62">
        <f t="shared" ca="1" si="2"/>
        <v>60</v>
      </c>
      <c r="H62">
        <f t="shared" ca="1" si="3"/>
        <v>4749.0979184541784</v>
      </c>
      <c r="I62">
        <f t="shared" ca="1" si="4"/>
        <v>19298.364266932178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65778</v>
      </c>
      <c r="B64" s="66">
        <v>65778</v>
      </c>
      <c r="D64">
        <f t="shared" si="0"/>
        <v>77.3122083661452</v>
      </c>
      <c r="E64">
        <f t="shared" si="1"/>
        <v>77.3122083661452</v>
      </c>
      <c r="G64">
        <f t="shared" ca="1" si="2"/>
        <v>62</v>
      </c>
      <c r="H64">
        <f t="shared" ca="1" si="3"/>
        <v>4793.3569187010025</v>
      </c>
      <c r="I64">
        <f t="shared" ca="1" si="4"/>
        <v>14330.343106026676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70049</v>
      </c>
      <c r="B67" s="66">
        <v>70049</v>
      </c>
      <c r="D67">
        <f t="shared" ref="D67:D130" si="5">IFERROR( 100*A67/MAX(A$2:A$257), 0 )</f>
        <v>82.33213055793891</v>
      </c>
      <c r="E67">
        <f t="shared" ref="E67:E130" si="6">IFERROR( 100*B67/MAX(B$2:B$257), 0 )</f>
        <v>82.33213055793891</v>
      </c>
      <c r="G67">
        <f t="shared" ref="G67:G130" ca="1" si="7">CELL("row",D67)-2</f>
        <v>65</v>
      </c>
      <c r="H67">
        <f t="shared" ref="H67:H130" ca="1" si="8">D67*G67</f>
        <v>5351.5884862660296</v>
      </c>
      <c r="I67">
        <f t="shared" ref="I67:I130" ca="1" si="9">D67*((G67-$L$1)^2)</f>
        <v>9276.3045934942566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81944</v>
      </c>
      <c r="B69" s="66">
        <v>81944</v>
      </c>
      <c r="D69">
        <f t="shared" si="5"/>
        <v>96.312925329979663</v>
      </c>
      <c r="E69">
        <f t="shared" si="6"/>
        <v>96.312925329979663</v>
      </c>
      <c r="G69">
        <f t="shared" ca="1" si="7"/>
        <v>67</v>
      </c>
      <c r="H69">
        <f t="shared" ca="1" si="8"/>
        <v>6452.9659971086376</v>
      </c>
      <c r="I69">
        <f t="shared" ca="1" si="9"/>
        <v>7147.4777526125636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81911</v>
      </c>
      <c r="B72" s="66">
        <v>81911</v>
      </c>
      <c r="D72">
        <f t="shared" si="5"/>
        <v>96.274138761885737</v>
      </c>
      <c r="E72">
        <f t="shared" si="6"/>
        <v>96.274138761885737</v>
      </c>
      <c r="G72">
        <f t="shared" ca="1" si="7"/>
        <v>70</v>
      </c>
      <c r="H72">
        <f t="shared" ca="1" si="8"/>
        <v>6739.1897133320017</v>
      </c>
      <c r="I72">
        <f t="shared" ca="1" si="9"/>
        <v>3034.898867742711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80001</v>
      </c>
      <c r="B75" s="66">
        <v>80001</v>
      </c>
      <c r="D75">
        <f t="shared" si="5"/>
        <v>94.029219214630757</v>
      </c>
      <c r="E75">
        <f t="shared" si="6"/>
        <v>94.029219214630757</v>
      </c>
      <c r="G75">
        <f t="shared" ca="1" si="7"/>
        <v>73</v>
      </c>
      <c r="H75">
        <f t="shared" ca="1" si="8"/>
        <v>6864.1330026680453</v>
      </c>
      <c r="I75">
        <f t="shared" ca="1" si="9"/>
        <v>642.78653362878731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81204</v>
      </c>
      <c r="B77" s="66">
        <v>81204</v>
      </c>
      <c r="D77">
        <f t="shared" si="5"/>
        <v>95.443165924236908</v>
      </c>
      <c r="E77">
        <f t="shared" si="6"/>
        <v>95.443165924236908</v>
      </c>
      <c r="G77">
        <f t="shared" ca="1" si="7"/>
        <v>75</v>
      </c>
      <c r="H77">
        <f t="shared" ca="1" si="8"/>
        <v>7158.2374443177678</v>
      </c>
      <c r="I77">
        <f t="shared" ca="1" si="9"/>
        <v>36.049727156625508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81064</v>
      </c>
      <c r="B80" s="66">
        <v>81064</v>
      </c>
      <c r="D80">
        <f t="shared" si="5"/>
        <v>95.278616847474765</v>
      </c>
      <c r="E80">
        <f t="shared" si="6"/>
        <v>95.278616847474765</v>
      </c>
      <c r="G80">
        <f t="shared" ca="1" si="7"/>
        <v>78</v>
      </c>
      <c r="H80">
        <f t="shared" ca="1" si="8"/>
        <v>7431.7321141030316</v>
      </c>
      <c r="I80">
        <f t="shared" ca="1" si="9"/>
        <v>542.15701210350983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85081</v>
      </c>
      <c r="B82" s="66">
        <v>85081</v>
      </c>
      <c r="D82">
        <f t="shared" si="5"/>
        <v>100</v>
      </c>
      <c r="E82">
        <f t="shared" si="6"/>
        <v>100</v>
      </c>
      <c r="G82">
        <f t="shared" ca="1" si="7"/>
        <v>80</v>
      </c>
      <c r="H82">
        <f t="shared" ca="1" si="8"/>
        <v>8000</v>
      </c>
      <c r="I82">
        <f t="shared" ca="1" si="9"/>
        <v>1923.1906720159006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82983</v>
      </c>
      <c r="B85" s="66">
        <v>82983</v>
      </c>
      <c r="D85">
        <f t="shared" si="5"/>
        <v>97.534114549664437</v>
      </c>
      <c r="E85">
        <f t="shared" si="6"/>
        <v>97.534114549664437</v>
      </c>
      <c r="G85">
        <f t="shared" ca="1" si="7"/>
        <v>83</v>
      </c>
      <c r="H85">
        <f t="shared" ca="1" si="8"/>
        <v>8095.3315076221479</v>
      </c>
      <c r="I85">
        <f t="shared" ca="1" si="9"/>
        <v>5319.9422399183495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79363</v>
      </c>
      <c r="B88" s="66">
        <v>79363</v>
      </c>
      <c r="D88">
        <f t="shared" si="5"/>
        <v>93.279345564814705</v>
      </c>
      <c r="E88">
        <f t="shared" si="6"/>
        <v>93.279345564814705</v>
      </c>
      <c r="G88">
        <f t="shared" ca="1" si="7"/>
        <v>86</v>
      </c>
      <c r="H88">
        <f t="shared" ca="1" si="8"/>
        <v>8022.0237185740643</v>
      </c>
      <c r="I88">
        <f t="shared" ca="1" si="9"/>
        <v>10060.825167778325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77726</v>
      </c>
      <c r="B90" s="66">
        <v>77726</v>
      </c>
      <c r="D90">
        <f t="shared" si="5"/>
        <v>91.35529671724592</v>
      </c>
      <c r="E90">
        <f t="shared" si="6"/>
        <v>91.35529671724592</v>
      </c>
      <c r="G90">
        <f t="shared" ca="1" si="7"/>
        <v>88</v>
      </c>
      <c r="H90">
        <f t="shared" ca="1" si="8"/>
        <v>8039.2661111176412</v>
      </c>
      <c r="I90">
        <f t="shared" ca="1" si="9"/>
        <v>14013.776750690471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77415</v>
      </c>
      <c r="B93" s="66">
        <v>77415</v>
      </c>
      <c r="D93">
        <f t="shared" si="5"/>
        <v>90.989762696724299</v>
      </c>
      <c r="E93">
        <f t="shared" si="6"/>
        <v>90.989762696724299</v>
      </c>
      <c r="G93">
        <f t="shared" ca="1" si="7"/>
        <v>91</v>
      </c>
      <c r="H93">
        <f t="shared" ca="1" si="8"/>
        <v>8280.0684054019111</v>
      </c>
      <c r="I93">
        <f t="shared" ca="1" si="9"/>
        <v>21538.290644085602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74474</v>
      </c>
      <c r="B95" s="66">
        <v>74474</v>
      </c>
      <c r="D95">
        <f t="shared" si="5"/>
        <v>87.53305673417097</v>
      </c>
      <c r="E95">
        <f t="shared" si="6"/>
        <v>87.53305673417097</v>
      </c>
      <c r="G95">
        <f t="shared" ca="1" si="7"/>
        <v>93</v>
      </c>
      <c r="H95">
        <f t="shared" ca="1" si="8"/>
        <v>8140.5742762779</v>
      </c>
      <c r="I95">
        <f t="shared" ca="1" si="9"/>
        <v>26457.113347701397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64292</v>
      </c>
      <c r="B98" s="66">
        <v>64292</v>
      </c>
      <c r="D98">
        <f t="shared" si="5"/>
        <v>75.565637451369867</v>
      </c>
      <c r="E98">
        <f t="shared" si="6"/>
        <v>75.565637451369867</v>
      </c>
      <c r="G98">
        <f t="shared" ca="1" si="7"/>
        <v>96</v>
      </c>
      <c r="H98">
        <f t="shared" ca="1" si="8"/>
        <v>7254.3011953315072</v>
      </c>
      <c r="I98">
        <f t="shared" ca="1" si="9"/>
        <v>31402.459815846971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60755</v>
      </c>
      <c r="B100" s="66">
        <v>60755</v>
      </c>
      <c r="D100">
        <f t="shared" si="5"/>
        <v>71.408422562029131</v>
      </c>
      <c r="E100">
        <f t="shared" si="6"/>
        <v>71.408422562029131</v>
      </c>
      <c r="G100">
        <f t="shared" ca="1" si="7"/>
        <v>98</v>
      </c>
      <c r="H100">
        <f t="shared" ca="1" si="8"/>
        <v>6998.0254110788546</v>
      </c>
      <c r="I100">
        <f t="shared" ca="1" si="9"/>
        <v>35783.261768777236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54000</v>
      </c>
      <c r="B103" s="66">
        <v>54000</v>
      </c>
      <c r="D103">
        <f t="shared" si="5"/>
        <v>63.468929608255664</v>
      </c>
      <c r="E103">
        <f t="shared" si="6"/>
        <v>63.468929608255664</v>
      </c>
      <c r="G103">
        <f t="shared" ca="1" si="7"/>
        <v>101</v>
      </c>
      <c r="H103">
        <f t="shared" ca="1" si="8"/>
        <v>6410.3618904338218</v>
      </c>
      <c r="I103">
        <f t="shared" ca="1" si="9"/>
        <v>40900.618284804033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44414</v>
      </c>
      <c r="B106" s="66">
        <v>44414</v>
      </c>
      <c r="D106">
        <f t="shared" si="5"/>
        <v>52.202019252241982</v>
      </c>
      <c r="E106">
        <f t="shared" si="6"/>
        <v>52.202019252241982</v>
      </c>
      <c r="G106">
        <f t="shared" ca="1" si="7"/>
        <v>104</v>
      </c>
      <c r="H106">
        <f t="shared" ca="1" si="8"/>
        <v>5429.0100022331662</v>
      </c>
      <c r="I106">
        <f t="shared" ca="1" si="9"/>
        <v>42060.840328774349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44324</v>
      </c>
      <c r="B108" s="66">
        <v>44324</v>
      </c>
      <c r="D108">
        <f t="shared" si="5"/>
        <v>52.096237702894889</v>
      </c>
      <c r="E108">
        <f t="shared" si="6"/>
        <v>52.096237702894889</v>
      </c>
      <c r="G108">
        <f t="shared" ca="1" si="7"/>
        <v>106</v>
      </c>
      <c r="H108">
        <f t="shared" ca="1" si="8"/>
        <v>5522.2011965068587</v>
      </c>
      <c r="I108">
        <f t="shared" ca="1" si="9"/>
        <v>48099.088000648124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39559</v>
      </c>
      <c r="B111" s="66">
        <v>39559</v>
      </c>
      <c r="D111">
        <f t="shared" si="5"/>
        <v>46.495692340240474</v>
      </c>
      <c r="E111">
        <f t="shared" si="6"/>
        <v>46.495692340240474</v>
      </c>
      <c r="G111">
        <f t="shared" ca="1" si="7"/>
        <v>109</v>
      </c>
      <c r="H111">
        <f t="shared" ca="1" si="8"/>
        <v>5068.0304650862117</v>
      </c>
      <c r="I111">
        <f t="shared" ca="1" si="9"/>
        <v>51823.459573343527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35981</v>
      </c>
      <c r="B113" s="66">
        <v>35981</v>
      </c>
      <c r="D113">
        <f t="shared" si="5"/>
        <v>42.290288078419387</v>
      </c>
      <c r="E113">
        <f t="shared" si="6"/>
        <v>42.290288078419387</v>
      </c>
      <c r="G113">
        <f t="shared" ca="1" si="7"/>
        <v>111</v>
      </c>
      <c r="H113">
        <f t="shared" ca="1" si="8"/>
        <v>4694.2219767045517</v>
      </c>
      <c r="I113">
        <f t="shared" ca="1" si="9"/>
        <v>52952.851022921503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33835</v>
      </c>
      <c r="B116" s="66">
        <v>33835</v>
      </c>
      <c r="D116">
        <f t="shared" si="5"/>
        <v>39.767985801765377</v>
      </c>
      <c r="E116">
        <f t="shared" si="6"/>
        <v>39.767985801765377</v>
      </c>
      <c r="G116">
        <f t="shared" ca="1" si="7"/>
        <v>114</v>
      </c>
      <c r="H116">
        <f t="shared" ca="1" si="8"/>
        <v>4533.5503814012527</v>
      </c>
      <c r="I116">
        <f t="shared" ca="1" si="9"/>
        <v>58595.758987958099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37194</v>
      </c>
      <c r="B118" s="66">
        <v>37194</v>
      </c>
      <c r="D118">
        <f t="shared" si="5"/>
        <v>43.715988293508538</v>
      </c>
      <c r="E118">
        <f t="shared" si="6"/>
        <v>43.715988293508538</v>
      </c>
      <c r="G118">
        <f t="shared" ca="1" si="7"/>
        <v>116</v>
      </c>
      <c r="H118">
        <f t="shared" ca="1" si="8"/>
        <v>5071.05464204699</v>
      </c>
      <c r="I118">
        <f t="shared" ca="1" si="9"/>
        <v>71299.995766799169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40663</v>
      </c>
      <c r="B121" s="66">
        <v>40663</v>
      </c>
      <c r="D121">
        <f t="shared" si="5"/>
        <v>47.793279345564812</v>
      </c>
      <c r="E121">
        <f t="shared" si="6"/>
        <v>47.793279345564812</v>
      </c>
      <c r="G121">
        <f t="shared" ca="1" si="7"/>
        <v>119</v>
      </c>
      <c r="H121">
        <f t="shared" ca="1" si="8"/>
        <v>5687.4002421222131</v>
      </c>
      <c r="I121">
        <f t="shared" ca="1" si="9"/>
        <v>89961.034028264054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34744</v>
      </c>
      <c r="B124" s="66">
        <v>34744</v>
      </c>
      <c r="D124">
        <f t="shared" si="5"/>
        <v>40.836379450171016</v>
      </c>
      <c r="E124">
        <f t="shared" si="6"/>
        <v>40.836379450171016</v>
      </c>
      <c r="G124">
        <f t="shared" ca="1" si="7"/>
        <v>122</v>
      </c>
      <c r="H124">
        <f t="shared" ca="1" si="8"/>
        <v>4982.0382929208636</v>
      </c>
      <c r="I124">
        <f t="shared" ca="1" si="9"/>
        <v>87863.846778647669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30726</v>
      </c>
      <c r="B126" s="66">
        <v>30726</v>
      </c>
      <c r="D126">
        <f t="shared" si="5"/>
        <v>36.113820947097473</v>
      </c>
      <c r="E126">
        <f t="shared" si="6"/>
        <v>36.113820947097473</v>
      </c>
      <c r="G126">
        <f t="shared" ca="1" si="7"/>
        <v>124</v>
      </c>
      <c r="H126">
        <f t="shared" ca="1" si="8"/>
        <v>4478.1137974400863</v>
      </c>
      <c r="I126">
        <f t="shared" ca="1" si="9"/>
        <v>84547.830310643709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30794</v>
      </c>
      <c r="B129" s="66">
        <v>30794</v>
      </c>
      <c r="D129">
        <f t="shared" si="5"/>
        <v>36.193744784381941</v>
      </c>
      <c r="E129">
        <f t="shared" si="6"/>
        <v>36.193744784381941</v>
      </c>
      <c r="G129">
        <f t="shared" ca="1" si="7"/>
        <v>127</v>
      </c>
      <c r="H129">
        <f t="shared" ca="1" si="8"/>
        <v>4596.6055876165065</v>
      </c>
      <c r="I129">
        <f t="shared" ca="1" si="9"/>
        <v>95568.184823928095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26843</v>
      </c>
      <c r="B131" s="66">
        <v>26843</v>
      </c>
      <c r="D131">
        <f t="shared" ref="D131:D194" si="10">IFERROR( 100*A131/MAX(A$2:A$257), 0 )</f>
        <v>31.549934768044569</v>
      </c>
      <c r="E131">
        <f t="shared" ref="E131:E194" si="11">IFERROR( 100*B131/MAX(B$2:B$257), 0 )</f>
        <v>31.549934768044569</v>
      </c>
      <c r="G131">
        <f t="shared" ref="G131:G194" ca="1" si="12">CELL("row",D131)-2</f>
        <v>129</v>
      </c>
      <c r="H131">
        <f t="shared" ref="H131:H194" ca="1" si="13">D131*G131</f>
        <v>4069.9415850777496</v>
      </c>
      <c r="I131">
        <f t="shared" ref="I131:I194" ca="1" si="14">D131*((G131-$L$1)^2)</f>
        <v>89917.410189386515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25999</v>
      </c>
      <c r="B134" s="66">
        <v>25999</v>
      </c>
      <c r="D134">
        <f t="shared" si="10"/>
        <v>30.557938905278498</v>
      </c>
      <c r="E134">
        <f t="shared" si="11"/>
        <v>30.557938905278498</v>
      </c>
      <c r="G134">
        <f t="shared" ca="1" si="12"/>
        <v>132</v>
      </c>
      <c r="H134">
        <f t="shared" ca="1" si="13"/>
        <v>4033.6479354967619</v>
      </c>
      <c r="I134">
        <f t="shared" ca="1" si="14"/>
        <v>97153.330787004015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20695</v>
      </c>
      <c r="B136" s="66">
        <v>20695</v>
      </c>
      <c r="D136">
        <f t="shared" si="10"/>
        <v>24.323879597089832</v>
      </c>
      <c r="E136">
        <f t="shared" si="11"/>
        <v>24.323879597089832</v>
      </c>
      <c r="G136">
        <f t="shared" ca="1" si="12"/>
        <v>134</v>
      </c>
      <c r="H136">
        <f t="shared" ca="1" si="13"/>
        <v>3259.3998660100374</v>
      </c>
      <c r="I136">
        <f t="shared" ca="1" si="14"/>
        <v>82916.633163397899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16775</v>
      </c>
      <c r="B139" s="66">
        <v>16775</v>
      </c>
      <c r="D139">
        <f t="shared" si="10"/>
        <v>19.716505447749793</v>
      </c>
      <c r="E139">
        <f t="shared" si="11"/>
        <v>19.716505447749793</v>
      </c>
      <c r="G139">
        <f t="shared" ca="1" si="12"/>
        <v>137</v>
      </c>
      <c r="H139">
        <f t="shared" ca="1" si="13"/>
        <v>2701.1612463417214</v>
      </c>
      <c r="I139">
        <f t="shared" ca="1" si="14"/>
        <v>74295.139652219863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14933</v>
      </c>
      <c r="B142" s="66">
        <v>14933</v>
      </c>
      <c r="D142">
        <f t="shared" si="10"/>
        <v>17.551509737779291</v>
      </c>
      <c r="E142">
        <f t="shared" si="11"/>
        <v>17.551509737779291</v>
      </c>
      <c r="G142">
        <f t="shared" ca="1" si="12"/>
        <v>140</v>
      </c>
      <c r="H142">
        <f t="shared" ca="1" si="13"/>
        <v>2457.211363289101</v>
      </c>
      <c r="I142">
        <f t="shared" ca="1" si="14"/>
        <v>72759.472628443138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11875</v>
      </c>
      <c r="B144" s="66">
        <v>11875</v>
      </c>
      <c r="D144">
        <f t="shared" si="10"/>
        <v>13.95728776107474</v>
      </c>
      <c r="E144">
        <f t="shared" si="11"/>
        <v>13.95728776107474</v>
      </c>
      <c r="G144">
        <f t="shared" ca="1" si="12"/>
        <v>142</v>
      </c>
      <c r="H144">
        <f t="shared" ca="1" si="13"/>
        <v>1981.934862072613</v>
      </c>
      <c r="I144">
        <f t="shared" ca="1" si="14"/>
        <v>61510.101586329809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8572</v>
      </c>
      <c r="B147" s="66">
        <v>8572</v>
      </c>
      <c r="D147">
        <f t="shared" si="10"/>
        <v>10.075104900036436</v>
      </c>
      <c r="E147">
        <f t="shared" si="11"/>
        <v>10.075104900036436</v>
      </c>
      <c r="G147">
        <f t="shared" ca="1" si="12"/>
        <v>145</v>
      </c>
      <c r="H147">
        <f t="shared" ca="1" si="13"/>
        <v>1460.8902105052832</v>
      </c>
      <c r="I147">
        <f t="shared" ca="1" si="14"/>
        <v>48504.945052085117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5208</v>
      </c>
      <c r="B149" s="66">
        <v>5208</v>
      </c>
      <c r="D149">
        <f t="shared" si="10"/>
        <v>6.1212256555517683</v>
      </c>
      <c r="E149">
        <f t="shared" si="11"/>
        <v>6.1212256555517683</v>
      </c>
      <c r="G149">
        <f t="shared" ca="1" si="12"/>
        <v>147</v>
      </c>
      <c r="H149">
        <f t="shared" ca="1" si="13"/>
        <v>899.82017136610989</v>
      </c>
      <c r="I149">
        <f t="shared" ca="1" si="14"/>
        <v>31193.020120523401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3255</v>
      </c>
      <c r="B152" s="66">
        <v>3255</v>
      </c>
      <c r="D152">
        <f t="shared" si="10"/>
        <v>3.8257660347198552</v>
      </c>
      <c r="E152">
        <f t="shared" si="11"/>
        <v>3.8257660347198552</v>
      </c>
      <c r="G152">
        <f t="shared" ca="1" si="12"/>
        <v>150</v>
      </c>
      <c r="H152">
        <f t="shared" ca="1" si="13"/>
        <v>573.86490520797827</v>
      </c>
      <c r="I152">
        <f t="shared" ca="1" si="14"/>
        <v>21168.692956042811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2304</v>
      </c>
      <c r="B154" s="66">
        <v>2304</v>
      </c>
      <c r="D154">
        <f t="shared" si="10"/>
        <v>2.7080076632855747</v>
      </c>
      <c r="E154">
        <f t="shared" si="11"/>
        <v>2.7080076632855747</v>
      </c>
      <c r="G154">
        <f t="shared" ca="1" si="12"/>
        <v>152</v>
      </c>
      <c r="H154">
        <f t="shared" ca="1" si="13"/>
        <v>411.61716481940738</v>
      </c>
      <c r="I154">
        <f t="shared" ca="1" si="14"/>
        <v>15800.499933929916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1611</v>
      </c>
      <c r="B157" s="66">
        <v>1611</v>
      </c>
      <c r="D157">
        <f t="shared" si="10"/>
        <v>1.8934897333129606</v>
      </c>
      <c r="E157">
        <f t="shared" si="11"/>
        <v>1.8934897333129606</v>
      </c>
      <c r="G157">
        <f t="shared" ca="1" si="12"/>
        <v>155</v>
      </c>
      <c r="H157">
        <f t="shared" ca="1" si="13"/>
        <v>293.49090866350889</v>
      </c>
      <c r="I157">
        <f t="shared" ca="1" si="14"/>
        <v>11932.857269641761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1097</v>
      </c>
      <c r="B160" s="66">
        <v>1097</v>
      </c>
      <c r="D160">
        <f t="shared" si="10"/>
        <v>1.2893595514862308</v>
      </c>
      <c r="E160">
        <f t="shared" si="11"/>
        <v>1.2893595514862308</v>
      </c>
      <c r="G160">
        <f t="shared" ca="1" si="12"/>
        <v>158</v>
      </c>
      <c r="H160">
        <f t="shared" ca="1" si="13"/>
        <v>203.71880913482448</v>
      </c>
      <c r="I160">
        <f t="shared" ca="1" si="14"/>
        <v>8751.3440849238013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439</v>
      </c>
      <c r="B162" s="66">
        <v>439</v>
      </c>
      <c r="D162">
        <f t="shared" si="10"/>
        <v>0.51597889070415248</v>
      </c>
      <c r="E162">
        <f t="shared" si="11"/>
        <v>0.51597889070415248</v>
      </c>
      <c r="G162">
        <f t="shared" ca="1" si="12"/>
        <v>160</v>
      </c>
      <c r="H162">
        <f t="shared" ca="1" si="13"/>
        <v>82.556622512664404</v>
      </c>
      <c r="I162">
        <f t="shared" ca="1" si="14"/>
        <v>3674.2336044295585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321</v>
      </c>
      <c r="B165" s="66">
        <v>321</v>
      </c>
      <c r="D165">
        <f t="shared" si="10"/>
        <v>0.37728752600463089</v>
      </c>
      <c r="E165">
        <f t="shared" si="11"/>
        <v>0.37728752600463089</v>
      </c>
      <c r="G165">
        <f t="shared" ca="1" si="12"/>
        <v>163</v>
      </c>
      <c r="H165">
        <f t="shared" ca="1" si="13"/>
        <v>61.497866738754837</v>
      </c>
      <c r="I165">
        <f t="shared" ca="1" si="14"/>
        <v>2881.0473794382301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327</v>
      </c>
      <c r="B167" s="66">
        <v>327</v>
      </c>
      <c r="D167">
        <f t="shared" si="10"/>
        <v>0.38433962929443705</v>
      </c>
      <c r="E167">
        <f t="shared" si="11"/>
        <v>0.38433962929443705</v>
      </c>
      <c r="G167">
        <f t="shared" ca="1" si="12"/>
        <v>165</v>
      </c>
      <c r="H167">
        <f t="shared" ca="1" si="13"/>
        <v>63.416038833582114</v>
      </c>
      <c r="I167">
        <f t="shared" ca="1" si="14"/>
        <v>3070.7788102308955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90.946603598973979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1.7549912598491892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0.55466180003562282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114</v>
      </c>
      <c r="B8" s="66">
        <v>114</v>
      </c>
      <c r="D8">
        <f t="shared" si="0"/>
        <v>7.677336368350518E-2</v>
      </c>
      <c r="E8">
        <f t="shared" si="1"/>
        <v>7.677336368350518E-2</v>
      </c>
      <c r="G8">
        <f t="shared" ca="1" si="2"/>
        <v>6</v>
      </c>
      <c r="H8">
        <f t="shared" ca="1" si="3"/>
        <v>0.46064018210103108</v>
      </c>
      <c r="I8">
        <f t="shared" ca="1" si="4"/>
        <v>553.99086988405816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667</v>
      </c>
      <c r="B10" s="66">
        <v>667</v>
      </c>
      <c r="D10">
        <f t="shared" si="0"/>
        <v>0.44919152260436801</v>
      </c>
      <c r="E10">
        <f t="shared" si="1"/>
        <v>0.44919152260436801</v>
      </c>
      <c r="G10">
        <f t="shared" ca="1" si="2"/>
        <v>8</v>
      </c>
      <c r="H10">
        <f t="shared" ca="1" si="3"/>
        <v>3.5935321808349441</v>
      </c>
      <c r="I10">
        <f t="shared" ca="1" si="4"/>
        <v>3090.5001349727931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260</v>
      </c>
      <c r="B13" s="66">
        <v>260</v>
      </c>
      <c r="D13">
        <f t="shared" si="0"/>
        <v>0.17509714524308198</v>
      </c>
      <c r="E13">
        <f t="shared" si="1"/>
        <v>0.17509714524308198</v>
      </c>
      <c r="G13">
        <f t="shared" ca="1" si="2"/>
        <v>11</v>
      </c>
      <c r="H13">
        <f t="shared" ca="1" si="3"/>
        <v>1.9260685976739018</v>
      </c>
      <c r="I13">
        <f t="shared" ca="1" si="4"/>
        <v>1119.1262996066946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915</v>
      </c>
      <c r="B15" s="66">
        <v>915</v>
      </c>
      <c r="D15">
        <f t="shared" si="0"/>
        <v>0.6162072611439231</v>
      </c>
      <c r="E15">
        <f t="shared" si="1"/>
        <v>0.6162072611439231</v>
      </c>
      <c r="G15">
        <f t="shared" ca="1" si="2"/>
        <v>13</v>
      </c>
      <c r="H15">
        <f t="shared" ca="1" si="3"/>
        <v>8.0106943948710008</v>
      </c>
      <c r="I15">
        <f t="shared" ca="1" si="4"/>
        <v>3743.873826709897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1494</v>
      </c>
      <c r="B18" s="66">
        <v>1494</v>
      </c>
      <c r="D18">
        <f t="shared" si="0"/>
        <v>1.0061351345890941</v>
      </c>
      <c r="E18">
        <f t="shared" si="1"/>
        <v>1.0061351345890941</v>
      </c>
      <c r="G18">
        <f t="shared" ca="1" si="2"/>
        <v>16</v>
      </c>
      <c r="H18">
        <f t="shared" ca="1" si="3"/>
        <v>16.098162153425505</v>
      </c>
      <c r="I18">
        <f t="shared" ca="1" si="4"/>
        <v>5651.4544014617104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4084</v>
      </c>
      <c r="B21" s="66">
        <v>4084</v>
      </c>
      <c r="D21">
        <f t="shared" si="0"/>
        <v>2.7503720814336416</v>
      </c>
      <c r="E21">
        <f t="shared" si="1"/>
        <v>2.7503720814336416</v>
      </c>
      <c r="G21">
        <f t="shared" ca="1" si="2"/>
        <v>19</v>
      </c>
      <c r="H21">
        <f t="shared" ca="1" si="3"/>
        <v>52.25706954723919</v>
      </c>
      <c r="I21">
        <f t="shared" ca="1" si="4"/>
        <v>14236.788876175022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6807</v>
      </c>
      <c r="B23" s="66">
        <v>6807</v>
      </c>
      <c r="D23">
        <f t="shared" si="0"/>
        <v>4.5841779525756117</v>
      </c>
      <c r="E23">
        <f t="shared" si="1"/>
        <v>4.5841779525756117</v>
      </c>
      <c r="G23">
        <f t="shared" ca="1" si="2"/>
        <v>21</v>
      </c>
      <c r="H23">
        <f t="shared" ca="1" si="3"/>
        <v>96.267737004087849</v>
      </c>
      <c r="I23">
        <f t="shared" ca="1" si="4"/>
        <v>22428.216033310764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11790</v>
      </c>
      <c r="B26" s="66">
        <v>11790</v>
      </c>
      <c r="D26">
        <f t="shared" si="0"/>
        <v>7.9399820862151405</v>
      </c>
      <c r="E26">
        <f t="shared" si="1"/>
        <v>7.9399820862151405</v>
      </c>
      <c r="G26">
        <f t="shared" ca="1" si="2"/>
        <v>24</v>
      </c>
      <c r="H26">
        <f t="shared" ca="1" si="3"/>
        <v>190.55957006916339</v>
      </c>
      <c r="I26">
        <f t="shared" ca="1" si="4"/>
        <v>35585.790716642885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19489</v>
      </c>
      <c r="B28" s="66">
        <v>19489</v>
      </c>
      <c r="D28">
        <f t="shared" si="0"/>
        <v>13.124877937086248</v>
      </c>
      <c r="E28">
        <f t="shared" si="1"/>
        <v>13.124877937086248</v>
      </c>
      <c r="G28">
        <f t="shared" ca="1" si="2"/>
        <v>26</v>
      </c>
      <c r="H28">
        <f t="shared" ca="1" si="3"/>
        <v>341.24682636424245</v>
      </c>
      <c r="I28">
        <f t="shared" ca="1" si="4"/>
        <v>55361.53994357468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21400</v>
      </c>
      <c r="B31" s="66">
        <v>21400</v>
      </c>
      <c r="D31">
        <f t="shared" si="0"/>
        <v>14.411841954622901</v>
      </c>
      <c r="E31">
        <f t="shared" si="1"/>
        <v>14.411841954622901</v>
      </c>
      <c r="G31">
        <f t="shared" ca="1" si="2"/>
        <v>29</v>
      </c>
      <c r="H31">
        <f t="shared" ca="1" si="3"/>
        <v>417.94341668406412</v>
      </c>
      <c r="I31">
        <f t="shared" ca="1" si="4"/>
        <v>55303.738543189123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22413</v>
      </c>
      <c r="B33" s="66">
        <v>22413</v>
      </c>
      <c r="D33">
        <f t="shared" si="0"/>
        <v>15.094047370512294</v>
      </c>
      <c r="E33">
        <f t="shared" si="1"/>
        <v>15.094047370512294</v>
      </c>
      <c r="G33">
        <f t="shared" ca="1" si="2"/>
        <v>31</v>
      </c>
      <c r="H33">
        <f t="shared" ca="1" si="3"/>
        <v>467.91546848588115</v>
      </c>
      <c r="I33">
        <f t="shared" ca="1" si="4"/>
        <v>54241.897432844278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21946</v>
      </c>
      <c r="B36" s="66">
        <v>21946</v>
      </c>
      <c r="D36">
        <f t="shared" si="0"/>
        <v>14.779545959633374</v>
      </c>
      <c r="E36">
        <f t="shared" si="1"/>
        <v>14.779545959633374</v>
      </c>
      <c r="G36">
        <f t="shared" ca="1" si="2"/>
        <v>34</v>
      </c>
      <c r="H36">
        <f t="shared" ca="1" si="3"/>
        <v>502.50456262753471</v>
      </c>
      <c r="I36">
        <f t="shared" ca="1" si="4"/>
        <v>47928.821061743372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26120</v>
      </c>
      <c r="B39" s="66">
        <v>26120</v>
      </c>
      <c r="D39">
        <f t="shared" si="0"/>
        <v>17.590528591343467</v>
      </c>
      <c r="E39">
        <f t="shared" si="1"/>
        <v>17.590528591343467</v>
      </c>
      <c r="G39">
        <f t="shared" ca="1" si="2"/>
        <v>37</v>
      </c>
      <c r="H39">
        <f t="shared" ca="1" si="3"/>
        <v>650.8495578797083</v>
      </c>
      <c r="I39">
        <f t="shared" ca="1" si="4"/>
        <v>51192.590266800522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29062</v>
      </c>
      <c r="B41" s="66">
        <v>29062</v>
      </c>
      <c r="D41">
        <f t="shared" si="0"/>
        <v>19.571820134824801</v>
      </c>
      <c r="E41">
        <f t="shared" si="1"/>
        <v>19.571820134824801</v>
      </c>
      <c r="G41">
        <f t="shared" ca="1" si="2"/>
        <v>39</v>
      </c>
      <c r="H41">
        <f t="shared" ca="1" si="3"/>
        <v>763.3009852581672</v>
      </c>
      <c r="I41">
        <f t="shared" ca="1" si="4"/>
        <v>52813.570712563378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28703</v>
      </c>
      <c r="B44" s="66">
        <v>28703</v>
      </c>
      <c r="D44">
        <f t="shared" si="0"/>
        <v>19.330051384277624</v>
      </c>
      <c r="E44">
        <f t="shared" si="1"/>
        <v>19.330051384277624</v>
      </c>
      <c r="G44">
        <f t="shared" ca="1" si="2"/>
        <v>42</v>
      </c>
      <c r="H44">
        <f t="shared" ca="1" si="3"/>
        <v>811.86215813966021</v>
      </c>
      <c r="I44">
        <f t="shared" ca="1" si="4"/>
        <v>46310.357279816548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30991</v>
      </c>
      <c r="B46" s="66">
        <v>30991</v>
      </c>
      <c r="D46">
        <f t="shared" si="0"/>
        <v>20.870906262416746</v>
      </c>
      <c r="E46">
        <f t="shared" si="1"/>
        <v>20.870906262416746</v>
      </c>
      <c r="G46">
        <f t="shared" ca="1" si="2"/>
        <v>44</v>
      </c>
      <c r="H46">
        <f t="shared" ca="1" si="3"/>
        <v>918.31987554633679</v>
      </c>
      <c r="I46">
        <f t="shared" ca="1" si="4"/>
        <v>45999.134899925106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36681</v>
      </c>
      <c r="B49" s="66">
        <v>36681</v>
      </c>
      <c r="D49">
        <f t="shared" si="0"/>
        <v>24.702839941005731</v>
      </c>
      <c r="E49">
        <f t="shared" si="1"/>
        <v>24.702839941005731</v>
      </c>
      <c r="G49">
        <f t="shared" ca="1" si="2"/>
        <v>47</v>
      </c>
      <c r="H49">
        <f t="shared" ca="1" si="3"/>
        <v>1161.0334772272693</v>
      </c>
      <c r="I49">
        <f t="shared" ca="1" si="4"/>
        <v>47708.692796101139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41423</v>
      </c>
      <c r="B51" s="66">
        <v>41423</v>
      </c>
      <c r="D51">
        <f t="shared" si="0"/>
        <v>27.896342490016096</v>
      </c>
      <c r="E51">
        <f t="shared" si="1"/>
        <v>27.896342490016096</v>
      </c>
      <c r="G51">
        <f t="shared" ca="1" si="2"/>
        <v>49</v>
      </c>
      <c r="H51">
        <f t="shared" ca="1" si="3"/>
        <v>1366.9207820107888</v>
      </c>
      <c r="I51">
        <f t="shared" ca="1" si="4"/>
        <v>49084.104289337105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47200</v>
      </c>
      <c r="B54" s="66">
        <v>47200</v>
      </c>
      <c r="D54">
        <f t="shared" si="0"/>
        <v>31.786866367205651</v>
      </c>
      <c r="E54">
        <f t="shared" si="1"/>
        <v>31.786866367205651</v>
      </c>
      <c r="G54">
        <f t="shared" ca="1" si="2"/>
        <v>52</v>
      </c>
      <c r="H54">
        <f t="shared" ca="1" si="3"/>
        <v>1652.9170510946938</v>
      </c>
      <c r="I54">
        <f t="shared" ca="1" si="4"/>
        <v>48215.524641874435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58656</v>
      </c>
      <c r="B57" s="66">
        <v>58656</v>
      </c>
      <c r="D57">
        <f t="shared" si="0"/>
        <v>39.501915966839292</v>
      </c>
      <c r="E57">
        <f t="shared" si="1"/>
        <v>39.501915966839292</v>
      </c>
      <c r="G57">
        <f t="shared" ca="1" si="2"/>
        <v>55</v>
      </c>
      <c r="H57">
        <f t="shared" ca="1" si="3"/>
        <v>2172.6053781761611</v>
      </c>
      <c r="I57">
        <f t="shared" ca="1" si="4"/>
        <v>51042.72898939353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63637</v>
      </c>
      <c r="B59" s="66">
        <v>63637</v>
      </c>
      <c r="D59">
        <f t="shared" si="0"/>
        <v>42.85637319936157</v>
      </c>
      <c r="E59">
        <f t="shared" si="1"/>
        <v>42.85637319936157</v>
      </c>
      <c r="G59">
        <f t="shared" ca="1" si="2"/>
        <v>57</v>
      </c>
      <c r="H59">
        <f t="shared" ca="1" si="3"/>
        <v>2442.8132723636095</v>
      </c>
      <c r="I59">
        <f t="shared" ca="1" si="4"/>
        <v>49386.480035397944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71975</v>
      </c>
      <c r="B62" s="66">
        <v>71975</v>
      </c>
      <c r="D62">
        <f t="shared" si="0"/>
        <v>48.471603957195484</v>
      </c>
      <c r="E62">
        <f t="shared" si="1"/>
        <v>48.471603957195484</v>
      </c>
      <c r="G62">
        <f t="shared" ca="1" si="2"/>
        <v>60</v>
      </c>
      <c r="H62">
        <f t="shared" ca="1" si="3"/>
        <v>2908.296237431729</v>
      </c>
      <c r="I62">
        <f t="shared" ca="1" si="4"/>
        <v>46420.880633318498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81223</v>
      </c>
      <c r="B64" s="66">
        <v>81223</v>
      </c>
      <c r="D64">
        <f t="shared" si="0"/>
        <v>54.699674723380184</v>
      </c>
      <c r="E64">
        <f t="shared" si="1"/>
        <v>54.699674723380184</v>
      </c>
      <c r="G64">
        <f t="shared" ca="1" si="2"/>
        <v>62</v>
      </c>
      <c r="H64">
        <f t="shared" ca="1" si="3"/>
        <v>3391.3798328495714</v>
      </c>
      <c r="I64">
        <f t="shared" ca="1" si="4"/>
        <v>45833.177986226656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87180</v>
      </c>
      <c r="B67" s="66">
        <v>87180</v>
      </c>
      <c r="D67">
        <f t="shared" ref="D67:D130" si="5">IFERROR(100*A67/MAX(A$2:A$257), 0 )</f>
        <v>58.711419701122644</v>
      </c>
      <c r="E67">
        <f t="shared" ref="E67:E130" si="6">IFERROR(100*B67/MAX(B$2:B$257), 0 )</f>
        <v>58.711419701122644</v>
      </c>
      <c r="G67">
        <f t="shared" ref="G67:G130" ca="1" si="7">CELL("row",D67)-2</f>
        <v>65</v>
      </c>
      <c r="H67">
        <f t="shared" ref="H67:H130" ca="1" si="8">D67*G67</f>
        <v>3816.242280572972</v>
      </c>
      <c r="I67">
        <f t="shared" ref="I67:I130" ca="1" si="9">D67*((G67-$L$1)^2)</f>
        <v>39526.068231947953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86468</v>
      </c>
      <c r="B69" s="66">
        <v>86468</v>
      </c>
      <c r="D69">
        <f t="shared" si="5"/>
        <v>58.231922903380045</v>
      </c>
      <c r="E69">
        <f t="shared" si="6"/>
        <v>58.231922903380045</v>
      </c>
      <c r="G69">
        <f t="shared" ca="1" si="7"/>
        <v>67</v>
      </c>
      <c r="H69">
        <f t="shared" ca="1" si="8"/>
        <v>3901.5388345264632</v>
      </c>
      <c r="I69">
        <f t="shared" ca="1" si="9"/>
        <v>33392.503616609574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96037</v>
      </c>
      <c r="B72" s="66">
        <v>96037</v>
      </c>
      <c r="D72">
        <f t="shared" si="5"/>
        <v>64.676171298884086</v>
      </c>
      <c r="E72">
        <f t="shared" si="6"/>
        <v>64.676171298884086</v>
      </c>
      <c r="G72">
        <f t="shared" ca="1" si="7"/>
        <v>70</v>
      </c>
      <c r="H72">
        <f t="shared" ca="1" si="8"/>
        <v>4527.3319909218862</v>
      </c>
      <c r="I72">
        <f t="shared" ca="1" si="9"/>
        <v>28377.330005193024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98056</v>
      </c>
      <c r="B75" s="66">
        <v>98056</v>
      </c>
      <c r="D75">
        <f t="shared" si="5"/>
        <v>66.035867976752485</v>
      </c>
      <c r="E75">
        <f t="shared" si="6"/>
        <v>66.035867976752485</v>
      </c>
      <c r="G75">
        <f t="shared" ca="1" si="7"/>
        <v>73</v>
      </c>
      <c r="H75">
        <f t="shared" ca="1" si="8"/>
        <v>4820.618362302931</v>
      </c>
      <c r="I75">
        <f t="shared" ca="1" si="9"/>
        <v>21268.870707536946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104328</v>
      </c>
      <c r="B77" s="66">
        <v>104328</v>
      </c>
      <c r="D77">
        <f t="shared" si="5"/>
        <v>70.259749880462522</v>
      </c>
      <c r="E77">
        <f t="shared" si="6"/>
        <v>70.259749880462522</v>
      </c>
      <c r="G77">
        <f t="shared" ca="1" si="7"/>
        <v>75</v>
      </c>
      <c r="H77">
        <f t="shared" ca="1" si="8"/>
        <v>5269.4812410346894</v>
      </c>
      <c r="I77">
        <f t="shared" ca="1" si="9"/>
        <v>17866.644523306553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112320</v>
      </c>
      <c r="B80" s="66">
        <v>112320</v>
      </c>
      <c r="D80">
        <f t="shared" si="5"/>
        <v>75.641966745011416</v>
      </c>
      <c r="E80">
        <f t="shared" si="6"/>
        <v>75.641966745011416</v>
      </c>
      <c r="G80">
        <f t="shared" ca="1" si="7"/>
        <v>78</v>
      </c>
      <c r="H80">
        <f t="shared" ca="1" si="8"/>
        <v>5900.0734061108906</v>
      </c>
      <c r="I80">
        <f t="shared" ca="1" si="9"/>
        <v>12678.693819881513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111043</v>
      </c>
      <c r="B82" s="66">
        <v>111043</v>
      </c>
      <c r="D82">
        <f t="shared" si="5"/>
        <v>74.781970381644427</v>
      </c>
      <c r="E82">
        <f t="shared" si="6"/>
        <v>74.781970381644427</v>
      </c>
      <c r="G82">
        <f t="shared" ca="1" si="7"/>
        <v>80</v>
      </c>
      <c r="H82">
        <f t="shared" ca="1" si="8"/>
        <v>5982.5576305315544</v>
      </c>
      <c r="I82">
        <f t="shared" ca="1" si="9"/>
        <v>8960.9836949511136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119093</v>
      </c>
      <c r="B85" s="66">
        <v>119093</v>
      </c>
      <c r="D85">
        <f t="shared" si="5"/>
        <v>80.203247378593701</v>
      </c>
      <c r="E85">
        <f t="shared" si="6"/>
        <v>80.203247378593701</v>
      </c>
      <c r="G85">
        <f t="shared" ca="1" si="7"/>
        <v>83</v>
      </c>
      <c r="H85">
        <f t="shared" ca="1" si="8"/>
        <v>6656.8695324232776</v>
      </c>
      <c r="I85">
        <f t="shared" ca="1" si="9"/>
        <v>5064.7154696055104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126871</v>
      </c>
      <c r="B88" s="66">
        <v>126871</v>
      </c>
      <c r="D88">
        <f t="shared" si="5"/>
        <v>85.441345823596365</v>
      </c>
      <c r="E88">
        <f t="shared" si="6"/>
        <v>85.441345823596365</v>
      </c>
      <c r="G88">
        <f t="shared" ca="1" si="7"/>
        <v>86</v>
      </c>
      <c r="H88">
        <f t="shared" ca="1" si="8"/>
        <v>7347.9557408292876</v>
      </c>
      <c r="I88">
        <f t="shared" ca="1" si="9"/>
        <v>2090.6546502159899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130492</v>
      </c>
      <c r="B90" s="66">
        <v>130492</v>
      </c>
      <c r="D90">
        <f t="shared" si="5"/>
        <v>87.879910296385589</v>
      </c>
      <c r="E90">
        <f t="shared" si="6"/>
        <v>87.879910296385589</v>
      </c>
      <c r="G90">
        <f t="shared" ca="1" si="7"/>
        <v>88</v>
      </c>
      <c r="H90">
        <f t="shared" ca="1" si="8"/>
        <v>7733.432106081932</v>
      </c>
      <c r="I90">
        <f t="shared" ca="1" si="9"/>
        <v>763.01492813327604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133404</v>
      </c>
      <c r="B93" s="66">
        <v>133404</v>
      </c>
      <c r="D93">
        <f t="shared" si="5"/>
        <v>89.84099832310811</v>
      </c>
      <c r="E93">
        <f t="shared" si="6"/>
        <v>89.84099832310811</v>
      </c>
      <c r="G93">
        <f t="shared" ca="1" si="7"/>
        <v>91</v>
      </c>
      <c r="H93">
        <f t="shared" ca="1" si="8"/>
        <v>8175.5308474028379</v>
      </c>
      <c r="I93">
        <f t="shared" ca="1" si="9"/>
        <v>0.25615246611956954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142375</v>
      </c>
      <c r="B95" s="66">
        <v>142375</v>
      </c>
      <c r="D95">
        <f t="shared" si="5"/>
        <v>95.882523284553059</v>
      </c>
      <c r="E95">
        <f t="shared" si="6"/>
        <v>95.882523284553059</v>
      </c>
      <c r="G95">
        <f t="shared" ca="1" si="7"/>
        <v>93</v>
      </c>
      <c r="H95">
        <f t="shared" ca="1" si="8"/>
        <v>8917.0746654634349</v>
      </c>
      <c r="I95">
        <f t="shared" ca="1" si="9"/>
        <v>404.28259771190062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148489</v>
      </c>
      <c r="B98" s="66">
        <v>148489</v>
      </c>
      <c r="D98">
        <f t="shared" si="5"/>
        <v>100</v>
      </c>
      <c r="E98">
        <f t="shared" si="6"/>
        <v>100</v>
      </c>
      <c r="G98">
        <f t="shared" ca="1" si="7"/>
        <v>96</v>
      </c>
      <c r="H98">
        <f t="shared" ca="1" si="8"/>
        <v>9600</v>
      </c>
      <c r="I98">
        <f t="shared" ca="1" si="9"/>
        <v>2553.6815185902738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142413</v>
      </c>
      <c r="B100" s="66">
        <v>142413</v>
      </c>
      <c r="D100">
        <f t="shared" si="5"/>
        <v>95.908114405780893</v>
      </c>
      <c r="E100">
        <f t="shared" si="6"/>
        <v>95.908114405780893</v>
      </c>
      <c r="G100">
        <f t="shared" ca="1" si="7"/>
        <v>98</v>
      </c>
      <c r="H100">
        <f t="shared" ca="1" si="8"/>
        <v>9398.9952117665271</v>
      </c>
      <c r="I100">
        <f t="shared" ca="1" si="9"/>
        <v>4771.467130701426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131052</v>
      </c>
      <c r="B103" s="66">
        <v>131052</v>
      </c>
      <c r="D103">
        <f t="shared" si="5"/>
        <v>88.257042609216839</v>
      </c>
      <c r="E103">
        <f t="shared" si="6"/>
        <v>88.257042609216839</v>
      </c>
      <c r="G103">
        <f t="shared" ca="1" si="7"/>
        <v>101</v>
      </c>
      <c r="H103">
        <f t="shared" ca="1" si="8"/>
        <v>8913.9613035309012</v>
      </c>
      <c r="I103">
        <f t="shared" ca="1" si="9"/>
        <v>8920.2080660624997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123089</v>
      </c>
      <c r="B106" s="66">
        <v>123089</v>
      </c>
      <c r="D106">
        <f t="shared" si="5"/>
        <v>82.894355810868149</v>
      </c>
      <c r="E106">
        <f t="shared" si="6"/>
        <v>82.894355810868149</v>
      </c>
      <c r="G106">
        <f t="shared" ca="1" si="7"/>
        <v>104</v>
      </c>
      <c r="H106">
        <f t="shared" ca="1" si="8"/>
        <v>8621.013004330287</v>
      </c>
      <c r="I106">
        <f t="shared" ca="1" si="9"/>
        <v>14124.465245312347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106650</v>
      </c>
      <c r="B108" s="66">
        <v>106650</v>
      </c>
      <c r="D108">
        <f t="shared" si="5"/>
        <v>71.823502077594966</v>
      </c>
      <c r="E108">
        <f t="shared" si="6"/>
        <v>71.823502077594966</v>
      </c>
      <c r="G108">
        <f t="shared" ca="1" si="7"/>
        <v>106</v>
      </c>
      <c r="H108">
        <f t="shared" ca="1" si="8"/>
        <v>7613.2912202250664</v>
      </c>
      <c r="I108">
        <f t="shared" ca="1" si="9"/>
        <v>16275.546244479407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98849</v>
      </c>
      <c r="B111" s="66">
        <v>98849</v>
      </c>
      <c r="D111">
        <f t="shared" si="5"/>
        <v>66.56991426974389</v>
      </c>
      <c r="E111">
        <f t="shared" si="6"/>
        <v>66.56991426974389</v>
      </c>
      <c r="G111">
        <f t="shared" ca="1" si="7"/>
        <v>109</v>
      </c>
      <c r="H111">
        <f t="shared" ca="1" si="8"/>
        <v>7256.1206554020837</v>
      </c>
      <c r="I111">
        <f t="shared" ca="1" si="9"/>
        <v>21696.807404105253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90330</v>
      </c>
      <c r="B113" s="66">
        <v>90330</v>
      </c>
      <c r="D113">
        <f t="shared" si="5"/>
        <v>60.832788960798446</v>
      </c>
      <c r="E113">
        <f t="shared" si="6"/>
        <v>60.832788960798446</v>
      </c>
      <c r="G113">
        <f t="shared" ca="1" si="7"/>
        <v>111</v>
      </c>
      <c r="H113">
        <f t="shared" ca="1" si="8"/>
        <v>6752.4395746486271</v>
      </c>
      <c r="I113">
        <f t="shared" ca="1" si="9"/>
        <v>24463.219109080816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80880</v>
      </c>
      <c r="B116" s="66">
        <v>80880</v>
      </c>
      <c r="D116">
        <f t="shared" si="5"/>
        <v>54.468681181771039</v>
      </c>
      <c r="E116">
        <f t="shared" si="6"/>
        <v>54.468681181771039</v>
      </c>
      <c r="G116">
        <f t="shared" ca="1" si="7"/>
        <v>114</v>
      </c>
      <c r="H116">
        <f t="shared" ca="1" si="8"/>
        <v>6209.4296547218983</v>
      </c>
      <c r="I116">
        <f t="shared" ca="1" si="9"/>
        <v>28947.875495945998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74357</v>
      </c>
      <c r="B118" s="66">
        <v>74357</v>
      </c>
      <c r="D118">
        <f t="shared" si="5"/>
        <v>50.075763187845567</v>
      </c>
      <c r="E118">
        <f t="shared" si="6"/>
        <v>50.075763187845567</v>
      </c>
      <c r="G118">
        <f t="shared" ca="1" si="7"/>
        <v>116</v>
      </c>
      <c r="H118">
        <f t="shared" ca="1" si="8"/>
        <v>5808.7885297900857</v>
      </c>
      <c r="I118">
        <f t="shared" ca="1" si="9"/>
        <v>31431.188043842871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66680</v>
      </c>
      <c r="B121" s="66">
        <v>66680</v>
      </c>
      <c r="D121">
        <f t="shared" si="5"/>
        <v>44.905683249264257</v>
      </c>
      <c r="E121">
        <f t="shared" si="6"/>
        <v>44.905683249264257</v>
      </c>
      <c r="G121">
        <f t="shared" ca="1" si="7"/>
        <v>119</v>
      </c>
      <c r="H121">
        <f t="shared" ca="1" si="8"/>
        <v>5343.7763066624466</v>
      </c>
      <c r="I121">
        <f t="shared" ca="1" si="9"/>
        <v>35340.460606196473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60760</v>
      </c>
      <c r="B124" s="66">
        <v>60760</v>
      </c>
      <c r="D124">
        <f t="shared" si="5"/>
        <v>40.918855942191001</v>
      </c>
      <c r="E124">
        <f t="shared" si="6"/>
        <v>40.918855942191001</v>
      </c>
      <c r="G124">
        <f t="shared" ca="1" si="7"/>
        <v>122</v>
      </c>
      <c r="H124">
        <f t="shared" ca="1" si="8"/>
        <v>4992.1004249473026</v>
      </c>
      <c r="I124">
        <f t="shared" ca="1" si="9"/>
        <v>39458.602245058675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56544</v>
      </c>
      <c r="B126" s="66">
        <v>56544</v>
      </c>
      <c r="D126">
        <f t="shared" si="5"/>
        <v>38.079588387018568</v>
      </c>
      <c r="E126">
        <f t="shared" si="6"/>
        <v>38.079588387018568</v>
      </c>
      <c r="G126">
        <f t="shared" ca="1" si="7"/>
        <v>124</v>
      </c>
      <c r="H126">
        <f t="shared" ca="1" si="8"/>
        <v>4721.8689599903028</v>
      </c>
      <c r="I126">
        <f t="shared" ca="1" si="9"/>
        <v>41602.978981237764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57406</v>
      </c>
      <c r="B129" s="66">
        <v>57406</v>
      </c>
      <c r="D129">
        <f t="shared" si="5"/>
        <v>38.660102768555248</v>
      </c>
      <c r="E129">
        <f t="shared" si="6"/>
        <v>38.660102768555248</v>
      </c>
      <c r="G129">
        <f t="shared" ca="1" si="7"/>
        <v>127</v>
      </c>
      <c r="H129">
        <f t="shared" ca="1" si="8"/>
        <v>4909.8330516065162</v>
      </c>
      <c r="I129">
        <f t="shared" ca="1" si="9"/>
        <v>50252.233760072813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48556</v>
      </c>
      <c r="B131" s="66">
        <v>48556</v>
      </c>
      <c r="D131">
        <f t="shared" ref="D131:D194" si="10">IFERROR(100*A131/MAX(A$2:A$257), 0 )</f>
        <v>32.700065324704184</v>
      </c>
      <c r="E131">
        <f t="shared" ref="E131:E194" si="11">IFERROR(100*B131/MAX(B$2:B$257), 0 )</f>
        <v>32.700065324704184</v>
      </c>
      <c r="G131">
        <f t="shared" ref="G131:G194" ca="1" si="12">CELL("row",D131)-2</f>
        <v>129</v>
      </c>
      <c r="H131">
        <f t="shared" ref="H131:H194" ca="1" si="13">D131*G131</f>
        <v>4218.3084268868397</v>
      </c>
      <c r="I131">
        <f t="shared" ref="I131:I194" ca="1" si="14">D131*((G131-$L$1)^2)</f>
        <v>47351.688563428383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46363</v>
      </c>
      <c r="B134" s="66">
        <v>46363</v>
      </c>
      <c r="D134">
        <f t="shared" si="10"/>
        <v>31.223188249634653</v>
      </c>
      <c r="E134">
        <f t="shared" si="11"/>
        <v>31.223188249634653</v>
      </c>
      <c r="G134">
        <f t="shared" ca="1" si="12"/>
        <v>132</v>
      </c>
      <c r="H134">
        <f t="shared" ca="1" si="13"/>
        <v>4121.4608489517741</v>
      </c>
      <c r="I134">
        <f t="shared" ca="1" si="14"/>
        <v>52622.979352678922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46849</v>
      </c>
      <c r="B136" s="66">
        <v>46849</v>
      </c>
      <c r="D136">
        <f t="shared" si="10"/>
        <v>31.550485221127492</v>
      </c>
      <c r="E136">
        <f t="shared" si="11"/>
        <v>31.550485221127492</v>
      </c>
      <c r="G136">
        <f t="shared" ca="1" si="12"/>
        <v>134</v>
      </c>
      <c r="H136">
        <f t="shared" ca="1" si="13"/>
        <v>4227.7650196310842</v>
      </c>
      <c r="I136">
        <f t="shared" ca="1" si="14"/>
        <v>58481.819812922928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46974</v>
      </c>
      <c r="B139" s="66">
        <v>46974</v>
      </c>
      <c r="D139">
        <f t="shared" si="10"/>
        <v>31.634666540955894</v>
      </c>
      <c r="E139">
        <f t="shared" si="11"/>
        <v>31.634666540955894</v>
      </c>
      <c r="G139">
        <f t="shared" ca="1" si="12"/>
        <v>137</v>
      </c>
      <c r="H139">
        <f t="shared" ca="1" si="13"/>
        <v>4333.9493161109576</v>
      </c>
      <c r="I139">
        <f t="shared" ca="1" si="14"/>
        <v>67094.448912020351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41187</v>
      </c>
      <c r="B142" s="66">
        <v>41187</v>
      </c>
      <c r="D142">
        <f t="shared" si="10"/>
        <v>27.737408158180067</v>
      </c>
      <c r="E142">
        <f t="shared" si="11"/>
        <v>27.737408158180067</v>
      </c>
      <c r="G142">
        <f t="shared" ca="1" si="12"/>
        <v>140</v>
      </c>
      <c r="H142">
        <f t="shared" ca="1" si="13"/>
        <v>3883.2371421452094</v>
      </c>
      <c r="I142">
        <f t="shared" ca="1" si="14"/>
        <v>66742.741693417658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34501</v>
      </c>
      <c r="B144" s="66">
        <v>34501</v>
      </c>
      <c r="D144">
        <f t="shared" si="10"/>
        <v>23.234717723198351</v>
      </c>
      <c r="E144">
        <f t="shared" si="11"/>
        <v>23.234717723198351</v>
      </c>
      <c r="G144">
        <f t="shared" ca="1" si="12"/>
        <v>142</v>
      </c>
      <c r="H144">
        <f t="shared" ca="1" si="13"/>
        <v>3299.3299166941656</v>
      </c>
      <c r="I144">
        <f t="shared" ca="1" si="14"/>
        <v>60560.113375438123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27172</v>
      </c>
      <c r="B147" s="66">
        <v>27172</v>
      </c>
      <c r="D147">
        <f t="shared" si="10"/>
        <v>18.298998579019322</v>
      </c>
      <c r="E147">
        <f t="shared" si="11"/>
        <v>18.298998579019322</v>
      </c>
      <c r="G147">
        <f t="shared" ca="1" si="12"/>
        <v>145</v>
      </c>
      <c r="H147">
        <f t="shared" ca="1" si="13"/>
        <v>2653.3547939578016</v>
      </c>
      <c r="I147">
        <f t="shared" ca="1" si="14"/>
        <v>53465.458902061364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25776</v>
      </c>
      <c r="B149" s="66">
        <v>25776</v>
      </c>
      <c r="D149">
        <f t="shared" si="10"/>
        <v>17.358861599175697</v>
      </c>
      <c r="E149">
        <f t="shared" si="11"/>
        <v>17.358861599175697</v>
      </c>
      <c r="G149">
        <f t="shared" ca="1" si="12"/>
        <v>147</v>
      </c>
      <c r="H149">
        <f t="shared" ca="1" si="13"/>
        <v>2551.7526550788275</v>
      </c>
      <c r="I149">
        <f t="shared" ca="1" si="14"/>
        <v>54541.252350532493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16790</v>
      </c>
      <c r="B152" s="66">
        <v>16790</v>
      </c>
      <c r="D152">
        <f t="shared" si="10"/>
        <v>11.307234879351332</v>
      </c>
      <c r="E152">
        <f t="shared" si="11"/>
        <v>11.307234879351332</v>
      </c>
      <c r="G152">
        <f t="shared" ca="1" si="12"/>
        <v>150</v>
      </c>
      <c r="H152">
        <f t="shared" ca="1" si="13"/>
        <v>1696.0852319026999</v>
      </c>
      <c r="I152">
        <f t="shared" ca="1" si="14"/>
        <v>39431.761200412024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13758</v>
      </c>
      <c r="B154" s="66">
        <v>13758</v>
      </c>
      <c r="D154">
        <f t="shared" si="10"/>
        <v>9.2653327855935448</v>
      </c>
      <c r="E154">
        <f t="shared" si="11"/>
        <v>9.2653327855935448</v>
      </c>
      <c r="G154">
        <f t="shared" ca="1" si="12"/>
        <v>152</v>
      </c>
      <c r="H154">
        <f t="shared" ca="1" si="13"/>
        <v>1408.3305834102189</v>
      </c>
      <c r="I154">
        <f t="shared" ca="1" si="14"/>
        <v>34536.687434141946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14099</v>
      </c>
      <c r="B157" s="66">
        <v>14099</v>
      </c>
      <c r="D157">
        <f t="shared" si="10"/>
        <v>9.4949794260854343</v>
      </c>
      <c r="E157">
        <f t="shared" si="11"/>
        <v>9.4949794260854343</v>
      </c>
      <c r="G157">
        <f t="shared" ca="1" si="12"/>
        <v>155</v>
      </c>
      <c r="H157">
        <f t="shared" ca="1" si="13"/>
        <v>1471.7218110432423</v>
      </c>
      <c r="I157">
        <f t="shared" ca="1" si="14"/>
        <v>38956.358510433645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9786</v>
      </c>
      <c r="B160" s="66">
        <v>9786</v>
      </c>
      <c r="D160">
        <f t="shared" si="10"/>
        <v>6.5903871667261544</v>
      </c>
      <c r="E160">
        <f t="shared" si="11"/>
        <v>6.5903871667261544</v>
      </c>
      <c r="G160">
        <f t="shared" ca="1" si="12"/>
        <v>158</v>
      </c>
      <c r="H160">
        <f t="shared" ca="1" si="13"/>
        <v>1041.2811723427324</v>
      </c>
      <c r="I160">
        <f t="shared" ca="1" si="14"/>
        <v>29631.42177789862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6928</v>
      </c>
      <c r="B162" s="66">
        <v>6928</v>
      </c>
      <c r="D162">
        <f t="shared" si="10"/>
        <v>4.6656654701695075</v>
      </c>
      <c r="E162">
        <f t="shared" si="11"/>
        <v>4.6656654701695075</v>
      </c>
      <c r="G162">
        <f t="shared" ca="1" si="12"/>
        <v>160</v>
      </c>
      <c r="H162">
        <f t="shared" ca="1" si="13"/>
        <v>746.5064752271212</v>
      </c>
      <c r="I162">
        <f t="shared" ca="1" si="14"/>
        <v>22247.626510849554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5883</v>
      </c>
      <c r="B165" s="66">
        <v>5883</v>
      </c>
      <c r="D165">
        <f t="shared" si="10"/>
        <v>3.9619096364040436</v>
      </c>
      <c r="E165">
        <f t="shared" si="11"/>
        <v>3.9619096364040436</v>
      </c>
      <c r="G165">
        <f t="shared" ca="1" si="12"/>
        <v>163</v>
      </c>
      <c r="H165">
        <f t="shared" ca="1" si="13"/>
        <v>645.79127073385905</v>
      </c>
      <c r="I165">
        <f t="shared" ca="1" si="14"/>
        <v>20569.014298290313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3269</v>
      </c>
      <c r="B167" s="66">
        <v>3269</v>
      </c>
      <c r="D167">
        <f t="shared" si="10"/>
        <v>2.2015098761524423</v>
      </c>
      <c r="E167">
        <f t="shared" si="11"/>
        <v>2.2015098761524423</v>
      </c>
      <c r="G167">
        <f t="shared" ca="1" si="12"/>
        <v>165</v>
      </c>
      <c r="H167">
        <f t="shared" ca="1" si="13"/>
        <v>363.249129565153</v>
      </c>
      <c r="I167">
        <f t="shared" ca="1" si="14"/>
        <v>12072.872158925158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2627</v>
      </c>
      <c r="B170" s="66">
        <v>2627</v>
      </c>
      <c r="D170">
        <f t="shared" si="10"/>
        <v>1.7691546175137551</v>
      </c>
      <c r="E170">
        <f t="shared" si="11"/>
        <v>1.7691546175137551</v>
      </c>
      <c r="G170">
        <f t="shared" ca="1" si="12"/>
        <v>168</v>
      </c>
      <c r="H170">
        <f t="shared" ca="1" si="13"/>
        <v>297.21797574231084</v>
      </c>
      <c r="I170">
        <f t="shared" ca="1" si="14"/>
        <v>10503.870610782413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1401</v>
      </c>
      <c r="B173" s="66">
        <v>1401</v>
      </c>
      <c r="D173">
        <f t="shared" si="10"/>
        <v>0.94350423263676098</v>
      </c>
      <c r="E173">
        <f t="shared" si="11"/>
        <v>0.94350423263676098</v>
      </c>
      <c r="G173">
        <f t="shared" ca="1" si="12"/>
        <v>171</v>
      </c>
      <c r="H173">
        <f t="shared" ca="1" si="13"/>
        <v>161.33922378088613</v>
      </c>
      <c r="I173">
        <f t="shared" ca="1" si="14"/>
        <v>6046.4905358316564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1358</v>
      </c>
      <c r="B175" s="66">
        <v>1358</v>
      </c>
      <c r="D175">
        <f t="shared" si="10"/>
        <v>0.91454585861578974</v>
      </c>
      <c r="E175">
        <f t="shared" si="11"/>
        <v>0.91454585861578974</v>
      </c>
      <c r="G175">
        <f t="shared" ca="1" si="12"/>
        <v>173</v>
      </c>
      <c r="H175">
        <f t="shared" ca="1" si="13"/>
        <v>158.21643354053163</v>
      </c>
      <c r="I175">
        <f t="shared" ca="1" si="14"/>
        <v>6157.4176478808731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368</v>
      </c>
      <c r="B178" s="66">
        <v>368</v>
      </c>
      <c r="D178">
        <f t="shared" si="10"/>
        <v>0.24782980557482373</v>
      </c>
      <c r="E178">
        <f t="shared" si="11"/>
        <v>0.24782980557482373</v>
      </c>
      <c r="G178">
        <f t="shared" ca="1" si="12"/>
        <v>176</v>
      </c>
      <c r="H178">
        <f t="shared" ca="1" si="13"/>
        <v>43.618045781168973</v>
      </c>
      <c r="I178">
        <f t="shared" ca="1" si="14"/>
        <v>1792.8206992308012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406</v>
      </c>
      <c r="B1" s="68" t="s">
        <v>407</v>
      </c>
      <c r="C1" s="32" t="s">
        <v>408</v>
      </c>
      <c r="D1" s="32" t="s">
        <v>409</v>
      </c>
      <c r="E1" s="32" t="s">
        <v>410</v>
      </c>
    </row>
    <row r="2" spans="1:5">
      <c r="A2" s="68">
        <v>0.179789</v>
      </c>
      <c r="B2" s="68">
        <v>0.58511599999999997</v>
      </c>
      <c r="C2" s="68">
        <v>0</v>
      </c>
      <c r="D2" s="68">
        <v>1</v>
      </c>
      <c r="E2" s="68" t="s">
        <v>411</v>
      </c>
    </row>
    <row r="3" spans="1:5">
      <c r="A3" s="68">
        <v>0.185559</v>
      </c>
      <c r="B3" s="68">
        <v>0.57569499999999996</v>
      </c>
      <c r="C3" s="68">
        <v>0.35466599999999998</v>
      </c>
      <c r="D3" s="89">
        <v>1</v>
      </c>
      <c r="E3" s="68" t="s">
        <v>412</v>
      </c>
    </row>
    <row r="4" spans="1:5">
      <c r="A4" s="68">
        <v>0.19107199999999999</v>
      </c>
      <c r="B4" s="68">
        <v>0.56725000000000003</v>
      </c>
      <c r="C4" s="68">
        <v>0.75979799999999997</v>
      </c>
      <c r="D4" s="89">
        <v>1</v>
      </c>
      <c r="E4" s="68" t="s">
        <v>413</v>
      </c>
    </row>
    <row r="5" spans="1:5">
      <c r="A5" s="89">
        <v>0.19642899999999999</v>
      </c>
      <c r="B5" s="89">
        <v>0.55982600000000005</v>
      </c>
      <c r="C5" s="89">
        <v>1.1649799999999999</v>
      </c>
      <c r="D5" s="89">
        <v>1</v>
      </c>
      <c r="E5" s="68" t="s">
        <v>414</v>
      </c>
    </row>
    <row r="6" spans="1:5">
      <c r="A6" s="68">
        <v>0.201928</v>
      </c>
      <c r="B6" s="68">
        <v>0.55105800000000005</v>
      </c>
      <c r="C6" s="68">
        <v>1.57135</v>
      </c>
      <c r="D6" s="68">
        <v>1</v>
      </c>
      <c r="E6" s="68" t="s">
        <v>415</v>
      </c>
    </row>
    <row r="7" spans="1:5">
      <c r="A7" s="68">
        <v>0.207624</v>
      </c>
      <c r="B7" s="68">
        <v>0.54048700000000005</v>
      </c>
      <c r="C7" s="68">
        <v>1.9776100000000001</v>
      </c>
      <c r="D7" s="68">
        <v>1</v>
      </c>
      <c r="E7" s="68" t="s">
        <v>416</v>
      </c>
    </row>
    <row r="8" spans="1:5">
      <c r="A8" s="68">
        <v>0.21341399999999999</v>
      </c>
      <c r="B8" s="68">
        <v>0.52961199999999997</v>
      </c>
      <c r="C8" s="68">
        <v>2.3826999999999998</v>
      </c>
      <c r="D8" s="68">
        <v>1</v>
      </c>
      <c r="E8" s="68" t="s">
        <v>417</v>
      </c>
    </row>
    <row r="9" spans="1:5">
      <c r="A9" s="68">
        <v>0.21965699999999999</v>
      </c>
      <c r="B9" s="68">
        <v>0.51740200000000003</v>
      </c>
      <c r="C9" s="68">
        <v>2.7910200000000001</v>
      </c>
      <c r="D9" s="68">
        <v>1</v>
      </c>
      <c r="E9" s="68" t="s">
        <v>418</v>
      </c>
    </row>
    <row r="10" spans="1:5">
      <c r="A10" s="68">
        <v>0.22608800000000001</v>
      </c>
      <c r="B10" s="68">
        <v>0.50546500000000005</v>
      </c>
      <c r="C10" s="68">
        <v>3.1973799999999999</v>
      </c>
      <c r="D10" s="68">
        <v>1</v>
      </c>
      <c r="E10" s="68" t="s">
        <v>419</v>
      </c>
    </row>
    <row r="11" spans="1:5">
      <c r="A11" s="68">
        <v>0.232572</v>
      </c>
      <c r="B11" s="68">
        <v>0.493807</v>
      </c>
      <c r="C11" s="68">
        <v>3.60026</v>
      </c>
      <c r="D11" s="68">
        <v>1</v>
      </c>
      <c r="E11" s="68" t="s">
        <v>420</v>
      </c>
    </row>
    <row r="12" spans="1:5">
      <c r="A12" s="68">
        <v>0.23890700000000001</v>
      </c>
      <c r="B12" s="68">
        <v>0.482931</v>
      </c>
      <c r="C12" s="68">
        <v>4.0108899999999998</v>
      </c>
      <c r="D12" s="68">
        <v>1</v>
      </c>
      <c r="E12" s="68" t="s">
        <v>421</v>
      </c>
    </row>
    <row r="13" spans="1:5">
      <c r="A13" s="68">
        <v>0.24539900000000001</v>
      </c>
      <c r="B13" s="68">
        <v>0.47139599999999998</v>
      </c>
      <c r="C13" s="68">
        <v>4.4158799999999996</v>
      </c>
      <c r="D13" s="68">
        <v>1</v>
      </c>
      <c r="E13" s="68" t="s">
        <v>422</v>
      </c>
    </row>
    <row r="14" spans="1:5">
      <c r="A14" s="68">
        <v>0.25224600000000003</v>
      </c>
      <c r="B14" s="68">
        <v>0.45893600000000001</v>
      </c>
      <c r="C14" s="68">
        <v>4.8218399999999999</v>
      </c>
      <c r="D14" s="68">
        <v>1</v>
      </c>
      <c r="E14" s="68" t="s">
        <v>423</v>
      </c>
    </row>
    <row r="15" spans="1:5">
      <c r="A15" s="68">
        <v>0.25909900000000002</v>
      </c>
      <c r="B15" s="68">
        <v>0.44668200000000002</v>
      </c>
      <c r="C15" s="68">
        <v>5.2275400000000003</v>
      </c>
      <c r="D15" s="68">
        <v>1</v>
      </c>
      <c r="E15" s="68" t="s">
        <v>424</v>
      </c>
    </row>
    <row r="16" spans="1:5">
      <c r="A16" s="68">
        <v>0.26546500000000001</v>
      </c>
      <c r="B16" s="68">
        <v>0.43689899999999998</v>
      </c>
      <c r="C16" s="68">
        <v>5.6356599999999997</v>
      </c>
      <c r="D16" s="68">
        <v>1</v>
      </c>
      <c r="E16" s="68" t="s">
        <v>425</v>
      </c>
    </row>
    <row r="17" spans="1:5">
      <c r="A17" s="68">
        <v>0.27122200000000002</v>
      </c>
      <c r="B17" s="68">
        <v>0.42924800000000002</v>
      </c>
      <c r="C17" s="68">
        <v>6.0417399999999999</v>
      </c>
      <c r="D17" s="68">
        <v>1</v>
      </c>
      <c r="E17" s="68" t="s">
        <v>426</v>
      </c>
    </row>
    <row r="18" spans="1:5">
      <c r="A18" s="68">
        <v>0.27691399999999999</v>
      </c>
      <c r="B18" s="68">
        <v>0.42125099999999999</v>
      </c>
      <c r="C18" s="68">
        <v>6.4489000000000001</v>
      </c>
      <c r="D18" s="68">
        <v>1</v>
      </c>
      <c r="E18" s="68" t="s">
        <v>427</v>
      </c>
    </row>
    <row r="19" spans="1:5">
      <c r="A19" s="68">
        <v>0.282555</v>
      </c>
      <c r="B19" s="68">
        <v>0.41341099999999997</v>
      </c>
      <c r="C19" s="68">
        <v>6.8551399999999996</v>
      </c>
      <c r="D19" s="68">
        <v>1</v>
      </c>
      <c r="E19" s="68" t="s">
        <v>428</v>
      </c>
    </row>
    <row r="20" spans="1:5">
      <c r="A20" s="68">
        <v>0.28803699999999999</v>
      </c>
      <c r="B20" s="68">
        <v>0.40740999999999999</v>
      </c>
      <c r="C20" s="68">
        <v>7.2613500000000002</v>
      </c>
      <c r="D20" s="68">
        <v>1</v>
      </c>
      <c r="E20" s="68" t="s">
        <v>429</v>
      </c>
    </row>
    <row r="21" spans="1:5">
      <c r="A21" s="68">
        <v>0.293493</v>
      </c>
      <c r="B21" s="68">
        <v>0.40323900000000001</v>
      </c>
      <c r="C21" s="68">
        <v>7.6647299999999996</v>
      </c>
      <c r="D21" s="68">
        <v>1</v>
      </c>
      <c r="E21" s="68" t="s">
        <v>430</v>
      </c>
    </row>
    <row r="22" spans="1:5">
      <c r="A22" s="68">
        <v>0.298572</v>
      </c>
      <c r="B22" s="68">
        <v>0.40094999999999997</v>
      </c>
      <c r="C22" s="68">
        <v>8.0727700000000002</v>
      </c>
      <c r="D22" s="68">
        <v>1</v>
      </c>
      <c r="E22" s="68" t="s">
        <v>431</v>
      </c>
    </row>
    <row r="23" spans="1:5">
      <c r="A23" s="68">
        <v>0.30343999999999999</v>
      </c>
      <c r="B23" s="68">
        <v>0.39985900000000002</v>
      </c>
      <c r="C23" s="68">
        <v>8.4788800000000002</v>
      </c>
      <c r="D23" s="68">
        <v>1</v>
      </c>
      <c r="E23" s="68" t="s">
        <v>432</v>
      </c>
    </row>
    <row r="24" spans="1:5">
      <c r="A24" s="68">
        <v>0.307728</v>
      </c>
      <c r="B24" s="68">
        <v>0.40029500000000001</v>
      </c>
      <c r="C24" s="68">
        <v>8.8869299999999996</v>
      </c>
      <c r="D24" s="68">
        <v>1</v>
      </c>
      <c r="E24" s="68" t="s">
        <v>433</v>
      </c>
    </row>
    <row r="25" spans="1:5">
      <c r="A25" s="68">
        <v>0.31165500000000002</v>
      </c>
      <c r="B25" s="68">
        <v>0.40101199999999998</v>
      </c>
      <c r="C25" s="68">
        <v>9.2892200000000003</v>
      </c>
      <c r="D25" s="68">
        <v>1</v>
      </c>
      <c r="E25" s="68" t="s">
        <v>434</v>
      </c>
    </row>
    <row r="26" spans="1:5">
      <c r="A26" s="68">
        <v>0.31529800000000002</v>
      </c>
      <c r="B26" s="68">
        <v>0.401586</v>
      </c>
      <c r="C26" s="68">
        <v>9.6962100000000007</v>
      </c>
      <c r="D26" s="68">
        <v>1</v>
      </c>
      <c r="E26" s="68" t="s">
        <v>435</v>
      </c>
    </row>
    <row r="27" spans="1:5">
      <c r="A27" s="68">
        <v>0.31858999999999998</v>
      </c>
      <c r="B27" s="68">
        <v>0.402723</v>
      </c>
      <c r="C27" s="68">
        <v>10.1023</v>
      </c>
      <c r="D27" s="68">
        <v>1</v>
      </c>
      <c r="E27" s="68" t="s">
        <v>436</v>
      </c>
    </row>
    <row r="28" spans="1:5">
      <c r="A28" s="68">
        <v>0.32170399999999999</v>
      </c>
      <c r="B28" s="68">
        <v>0.40468799999999999</v>
      </c>
      <c r="C28" s="68">
        <v>10.511200000000001</v>
      </c>
      <c r="D28" s="68">
        <v>1</v>
      </c>
      <c r="E28" s="68" t="s">
        <v>437</v>
      </c>
    </row>
    <row r="29" spans="1:5">
      <c r="A29" s="68">
        <v>0.324652</v>
      </c>
      <c r="B29" s="68">
        <v>0.40767900000000001</v>
      </c>
      <c r="C29" s="68">
        <v>10.9184</v>
      </c>
      <c r="D29" s="68">
        <v>1</v>
      </c>
      <c r="E29" s="68" t="s">
        <v>438</v>
      </c>
    </row>
    <row r="30" spans="1:5">
      <c r="A30" s="68">
        <v>0.32740200000000003</v>
      </c>
      <c r="B30" s="68">
        <v>0.411692</v>
      </c>
      <c r="C30" s="68">
        <v>11.32</v>
      </c>
      <c r="D30" s="68">
        <v>1</v>
      </c>
      <c r="E30" s="68" t="s">
        <v>439</v>
      </c>
    </row>
    <row r="31" spans="1:5">
      <c r="A31" s="68">
        <v>0.329764</v>
      </c>
      <c r="B31" s="68">
        <v>0.41571399999999997</v>
      </c>
      <c r="C31" s="68">
        <v>11.7279</v>
      </c>
      <c r="D31" s="68">
        <v>1</v>
      </c>
      <c r="E31" s="68" t="s">
        <v>440</v>
      </c>
    </row>
    <row r="32" spans="1:5">
      <c r="A32" s="68">
        <v>0.331675</v>
      </c>
      <c r="B32" s="68">
        <v>0.41899700000000001</v>
      </c>
      <c r="C32" s="68">
        <v>12.1335</v>
      </c>
      <c r="D32" s="68">
        <v>1</v>
      </c>
      <c r="E32" s="68" t="s">
        <v>441</v>
      </c>
    </row>
    <row r="33" spans="1:5">
      <c r="A33" s="68">
        <v>0.33311000000000002</v>
      </c>
      <c r="B33" s="68">
        <v>0.421738</v>
      </c>
      <c r="C33" s="68">
        <v>12.542299999999999</v>
      </c>
      <c r="D33" s="68">
        <v>1</v>
      </c>
      <c r="E33" s="68" t="s">
        <v>442</v>
      </c>
    </row>
    <row r="34" spans="1:5">
      <c r="A34" s="68">
        <v>0.334204</v>
      </c>
      <c r="B34" s="68">
        <v>0.42412699999999998</v>
      </c>
      <c r="C34" s="68">
        <v>12.946899999999999</v>
      </c>
      <c r="D34" s="68">
        <v>1</v>
      </c>
      <c r="E34" s="68" t="s">
        <v>443</v>
      </c>
    </row>
    <row r="35" spans="1:5">
      <c r="A35" s="68">
        <v>0.33511200000000002</v>
      </c>
      <c r="B35" s="68">
        <v>0.4264</v>
      </c>
      <c r="C35" s="68">
        <v>13.3536</v>
      </c>
      <c r="D35" s="68">
        <v>1</v>
      </c>
      <c r="E35" s="68" t="s">
        <v>444</v>
      </c>
    </row>
    <row r="36" spans="1:5">
      <c r="A36" s="68">
        <v>0.33583600000000002</v>
      </c>
      <c r="B36" s="68">
        <v>0.42877999999999999</v>
      </c>
      <c r="C36" s="68">
        <v>13.7591</v>
      </c>
      <c r="D36" s="68">
        <v>1</v>
      </c>
      <c r="E36" s="68" t="s">
        <v>445</v>
      </c>
    </row>
    <row r="37" spans="1:5">
      <c r="A37" s="68">
        <v>0.33632899999999999</v>
      </c>
      <c r="B37" s="68">
        <v>0.43151</v>
      </c>
      <c r="C37" s="68">
        <v>14.1638</v>
      </c>
      <c r="D37" s="68">
        <v>1</v>
      </c>
      <c r="E37" s="68" t="s">
        <v>446</v>
      </c>
    </row>
    <row r="38" spans="1:5">
      <c r="A38" s="68">
        <v>0.33662599999999998</v>
      </c>
      <c r="B38" s="68">
        <v>0.43450499999999997</v>
      </c>
      <c r="C38" s="68">
        <v>14.5754</v>
      </c>
      <c r="D38" s="68">
        <v>1</v>
      </c>
      <c r="E38" s="68" t="s">
        <v>447</v>
      </c>
    </row>
    <row r="39" spans="1:5">
      <c r="A39" s="68">
        <v>0.33662900000000001</v>
      </c>
      <c r="B39" s="68">
        <v>0.43783300000000003</v>
      </c>
      <c r="C39" s="68">
        <v>14.9786</v>
      </c>
      <c r="D39" s="68">
        <v>1</v>
      </c>
      <c r="E39" s="68" t="s">
        <v>448</v>
      </c>
    </row>
    <row r="40" spans="1:5">
      <c r="A40" s="68">
        <v>0.33629900000000001</v>
      </c>
      <c r="B40" s="68">
        <v>0.44174000000000002</v>
      </c>
      <c r="C40" s="68">
        <v>15.3889</v>
      </c>
      <c r="D40" s="68">
        <v>1</v>
      </c>
      <c r="E40" s="68" t="s">
        <v>449</v>
      </c>
    </row>
    <row r="41" spans="1:5">
      <c r="A41" s="68">
        <v>0.336146</v>
      </c>
      <c r="B41" s="68">
        <v>0.445353</v>
      </c>
      <c r="C41" s="68">
        <v>15.7889</v>
      </c>
      <c r="D41" s="68">
        <v>1</v>
      </c>
      <c r="E41" s="68" t="s">
        <v>450</v>
      </c>
    </row>
    <row r="42" spans="1:5">
      <c r="A42" s="68">
        <v>0.33608199999999999</v>
      </c>
      <c r="B42" s="68">
        <v>0.44862800000000003</v>
      </c>
      <c r="C42" s="68">
        <v>16.196100000000001</v>
      </c>
      <c r="D42" s="68">
        <v>1</v>
      </c>
      <c r="E42" s="68" t="s">
        <v>451</v>
      </c>
    </row>
    <row r="43" spans="1:5">
      <c r="A43" s="68">
        <v>0.335839</v>
      </c>
      <c r="B43" s="68">
        <v>0.45233800000000002</v>
      </c>
      <c r="C43" s="68">
        <v>16.6037</v>
      </c>
      <c r="D43" s="68">
        <v>1</v>
      </c>
      <c r="E43" s="68" t="s">
        <v>452</v>
      </c>
    </row>
    <row r="44" spans="1:5">
      <c r="A44" s="68">
        <v>0.335623</v>
      </c>
      <c r="B44" s="68">
        <v>0.45676499999999998</v>
      </c>
      <c r="C44" s="68">
        <v>17.013400000000001</v>
      </c>
      <c r="D44" s="68">
        <v>1</v>
      </c>
      <c r="E44" s="68" t="s">
        <v>453</v>
      </c>
    </row>
    <row r="45" spans="1:5">
      <c r="A45" s="68">
        <v>0.33527899999999999</v>
      </c>
      <c r="B45" s="68">
        <v>0.461009</v>
      </c>
      <c r="C45" s="68">
        <v>17.4192</v>
      </c>
      <c r="D45" s="68">
        <v>1</v>
      </c>
      <c r="E45" s="68" t="s">
        <v>454</v>
      </c>
    </row>
    <row r="46" spans="1:5">
      <c r="A46" s="68">
        <v>0.33471899999999999</v>
      </c>
      <c r="B46" s="68">
        <v>0.46479300000000001</v>
      </c>
      <c r="C46" s="68">
        <v>17.820799999999998</v>
      </c>
      <c r="D46" s="68">
        <v>1</v>
      </c>
      <c r="E46" s="68" t="s">
        <v>455</v>
      </c>
    </row>
    <row r="47" spans="1:5">
      <c r="A47" s="68">
        <v>0.33456999999999998</v>
      </c>
      <c r="B47" s="68">
        <v>0.46792299999999998</v>
      </c>
      <c r="C47" s="68">
        <v>18.2272</v>
      </c>
      <c r="D47" s="68">
        <v>1</v>
      </c>
      <c r="E47" s="68" t="s">
        <v>456</v>
      </c>
    </row>
    <row r="48" spans="1:5">
      <c r="A48" s="68">
        <v>0.33460800000000002</v>
      </c>
      <c r="B48" s="68">
        <v>0.47061199999999997</v>
      </c>
      <c r="C48" s="68">
        <v>18.631699999999999</v>
      </c>
      <c r="D48" s="68">
        <v>1</v>
      </c>
      <c r="E48" s="68" t="s">
        <v>457</v>
      </c>
    </row>
    <row r="49" spans="1:5">
      <c r="A49" s="68">
        <v>0.33497399999999999</v>
      </c>
      <c r="B49" s="68">
        <v>0.47299999999999998</v>
      </c>
      <c r="C49" s="68">
        <v>19.039200000000001</v>
      </c>
      <c r="D49" s="68">
        <v>1</v>
      </c>
      <c r="E49" s="68" t="s">
        <v>458</v>
      </c>
    </row>
    <row r="50" spans="1:5">
      <c r="A50" s="68">
        <v>0.33533200000000002</v>
      </c>
      <c r="B50" s="68">
        <v>0.47563299999999997</v>
      </c>
      <c r="C50" s="68">
        <v>19.447600000000001</v>
      </c>
      <c r="D50" s="68">
        <v>1</v>
      </c>
      <c r="E50" s="68" t="s">
        <v>459</v>
      </c>
    </row>
    <row r="51" spans="1:5">
      <c r="A51" s="68">
        <v>0.33553899999999998</v>
      </c>
      <c r="B51" s="68">
        <v>0.47899000000000003</v>
      </c>
      <c r="C51" s="68">
        <v>19.857099999999999</v>
      </c>
      <c r="D51" s="68">
        <v>1</v>
      </c>
      <c r="E51" s="68" t="s">
        <v>460</v>
      </c>
    </row>
    <row r="52" spans="1:5">
      <c r="A52" s="68">
        <v>0.335675</v>
      </c>
      <c r="B52" s="68">
        <v>0.48144900000000002</v>
      </c>
      <c r="C52" s="68">
        <v>20.257400000000001</v>
      </c>
      <c r="D52" s="68">
        <v>1</v>
      </c>
      <c r="E52" s="68" t="s">
        <v>461</v>
      </c>
    </row>
    <row r="53" spans="1:5">
      <c r="A53" s="68">
        <v>0.33642899999999998</v>
      </c>
      <c r="B53" s="68">
        <v>0.484323</v>
      </c>
      <c r="C53" s="68">
        <v>20.6631</v>
      </c>
      <c r="D53" s="68">
        <v>1</v>
      </c>
      <c r="E53" s="68" t="s">
        <v>462</v>
      </c>
    </row>
    <row r="54" spans="1:5">
      <c r="A54" s="68">
        <v>0.33736100000000002</v>
      </c>
      <c r="B54" s="68">
        <v>0.48646800000000001</v>
      </c>
      <c r="C54" s="68">
        <v>21.072099999999999</v>
      </c>
      <c r="D54" s="68">
        <v>1</v>
      </c>
      <c r="E54" s="68" t="s">
        <v>463</v>
      </c>
    </row>
    <row r="55" spans="1:5">
      <c r="A55" s="68">
        <v>0.338447</v>
      </c>
      <c r="B55" s="68">
        <v>0.48783799999999999</v>
      </c>
      <c r="C55" s="68">
        <v>21.476900000000001</v>
      </c>
      <c r="D55" s="68">
        <v>1</v>
      </c>
      <c r="E55" s="68" t="s">
        <v>464</v>
      </c>
    </row>
    <row r="56" spans="1:5">
      <c r="A56" s="68">
        <v>0.33973500000000001</v>
      </c>
      <c r="B56" s="68">
        <v>0.48930099999999999</v>
      </c>
      <c r="C56" s="68">
        <v>21.884599999999999</v>
      </c>
      <c r="D56" s="68">
        <v>1</v>
      </c>
      <c r="E56" s="68" t="s">
        <v>465</v>
      </c>
    </row>
    <row r="57" spans="1:5">
      <c r="A57" s="68">
        <v>0.34100799999999998</v>
      </c>
      <c r="B57" s="68">
        <v>0.49145299999999997</v>
      </c>
      <c r="C57" s="68">
        <v>22.2913</v>
      </c>
      <c r="D57" s="68">
        <v>1</v>
      </c>
      <c r="E57" s="68" t="s">
        <v>466</v>
      </c>
    </row>
    <row r="58" spans="1:5">
      <c r="A58" s="68">
        <v>0.34263100000000002</v>
      </c>
      <c r="B58" s="68">
        <v>0.493566</v>
      </c>
      <c r="C58" s="68">
        <v>22.697600000000001</v>
      </c>
      <c r="D58" s="68">
        <v>1</v>
      </c>
      <c r="E58" s="68" t="s">
        <v>467</v>
      </c>
    </row>
    <row r="59" spans="1:5">
      <c r="A59" s="68">
        <v>0.344057</v>
      </c>
      <c r="B59" s="68">
        <v>0.495811</v>
      </c>
      <c r="C59" s="68">
        <v>23.102</v>
      </c>
      <c r="D59" s="68">
        <v>1</v>
      </c>
      <c r="E59" s="68" t="s">
        <v>468</v>
      </c>
    </row>
    <row r="60" spans="1:5">
      <c r="A60" s="68">
        <v>0.34548899999999999</v>
      </c>
      <c r="B60" s="68">
        <v>0.49736799999999998</v>
      </c>
      <c r="C60" s="68">
        <v>23.508299999999998</v>
      </c>
      <c r="D60" s="68">
        <v>1</v>
      </c>
      <c r="E60" s="68" t="s">
        <v>469</v>
      </c>
    </row>
    <row r="61" spans="1:5">
      <c r="A61" s="68">
        <v>0.34701500000000002</v>
      </c>
      <c r="B61" s="68">
        <v>0.49831399999999998</v>
      </c>
      <c r="C61" s="68">
        <v>23.913699999999999</v>
      </c>
      <c r="D61" s="68">
        <v>1</v>
      </c>
      <c r="E61" s="68" t="s">
        <v>470</v>
      </c>
    </row>
    <row r="62" spans="1:5">
      <c r="A62" s="68">
        <v>0.34875699999999998</v>
      </c>
      <c r="B62" s="68">
        <v>0.49862099999999998</v>
      </c>
      <c r="C62" s="68">
        <v>24.322299999999998</v>
      </c>
      <c r="D62" s="68">
        <v>1</v>
      </c>
      <c r="E62" s="68" t="s">
        <v>471</v>
      </c>
    </row>
    <row r="63" spans="1:5">
      <c r="A63" s="68">
        <v>0.35063499999999997</v>
      </c>
      <c r="B63" s="68">
        <v>0.49791000000000002</v>
      </c>
      <c r="C63" s="68">
        <v>24.729199999999999</v>
      </c>
      <c r="D63" s="68">
        <v>1</v>
      </c>
      <c r="E63" s="68" t="s">
        <v>472</v>
      </c>
    </row>
    <row r="64" spans="1:5">
      <c r="A64" s="68">
        <v>0.35269899999999998</v>
      </c>
      <c r="B64" s="68">
        <v>0.49716700000000003</v>
      </c>
      <c r="C64" s="68">
        <v>25.133900000000001</v>
      </c>
      <c r="D64" s="68">
        <v>1</v>
      </c>
      <c r="E64" s="68" t="s">
        <v>473</v>
      </c>
    </row>
    <row r="65" spans="1:5">
      <c r="A65" s="68">
        <v>0.354933</v>
      </c>
      <c r="B65" s="68">
        <v>0.496867</v>
      </c>
      <c r="C65" s="68">
        <v>25.5442</v>
      </c>
      <c r="D65" s="68">
        <v>1</v>
      </c>
      <c r="E65" s="68" t="s">
        <v>474</v>
      </c>
    </row>
    <row r="66" spans="1:5">
      <c r="A66" s="68">
        <v>0.35710700000000001</v>
      </c>
      <c r="B66" s="68">
        <v>0.496888</v>
      </c>
      <c r="C66" s="68">
        <v>25.947299999999998</v>
      </c>
      <c r="D66" s="68">
        <v>1</v>
      </c>
      <c r="E66" s="68" t="s">
        <v>475</v>
      </c>
    </row>
    <row r="67" spans="1:5">
      <c r="A67" s="68">
        <v>0.359265</v>
      </c>
      <c r="B67" s="68">
        <v>0.49702400000000002</v>
      </c>
      <c r="C67" s="68">
        <v>26.353899999999999</v>
      </c>
      <c r="D67" s="68">
        <v>1</v>
      </c>
      <c r="E67" s="68" t="s">
        <v>476</v>
      </c>
    </row>
    <row r="68" spans="1:5">
      <c r="A68" s="68">
        <v>0.36144100000000001</v>
      </c>
      <c r="B68" s="68">
        <v>0.49745</v>
      </c>
      <c r="C68" s="68">
        <v>26.759399999999999</v>
      </c>
      <c r="D68" s="68">
        <v>1</v>
      </c>
      <c r="E68" s="68" t="s">
        <v>477</v>
      </c>
    </row>
    <row r="69" spans="1:5">
      <c r="A69" s="68">
        <v>0.363931</v>
      </c>
      <c r="B69" s="68">
        <v>0.49682599999999999</v>
      </c>
      <c r="C69" s="68">
        <v>27.1631</v>
      </c>
      <c r="D69" s="68">
        <v>1</v>
      </c>
      <c r="E69" s="68" t="s">
        <v>478</v>
      </c>
    </row>
    <row r="70" spans="1:5">
      <c r="A70" s="68">
        <v>0.36694100000000002</v>
      </c>
      <c r="B70" s="68">
        <v>0.49531599999999998</v>
      </c>
      <c r="C70" s="68">
        <v>27.570499999999999</v>
      </c>
      <c r="D70" s="68">
        <v>1</v>
      </c>
      <c r="E70" s="68" t="s">
        <v>479</v>
      </c>
    </row>
    <row r="71" spans="1:5">
      <c r="A71" s="68">
        <v>0.37024600000000002</v>
      </c>
      <c r="B71" s="68">
        <v>0.49338599999999999</v>
      </c>
      <c r="C71" s="68">
        <v>27.977599999999999</v>
      </c>
      <c r="D71" s="68">
        <v>1</v>
      </c>
      <c r="E71" s="68" t="s">
        <v>480</v>
      </c>
    </row>
    <row r="72" spans="1:5">
      <c r="A72" s="68">
        <v>0.37349300000000002</v>
      </c>
      <c r="B72" s="68">
        <v>0.49070599999999998</v>
      </c>
      <c r="C72" s="68">
        <v>28.384</v>
      </c>
      <c r="D72" s="68">
        <v>1</v>
      </c>
      <c r="E72" s="68" t="s">
        <v>481</v>
      </c>
    </row>
    <row r="73" spans="1:5">
      <c r="A73" s="68">
        <v>0.376664</v>
      </c>
      <c r="B73" s="68">
        <v>0.48747499999999999</v>
      </c>
      <c r="C73" s="68">
        <v>28.790500000000002</v>
      </c>
      <c r="D73" s="68">
        <v>1</v>
      </c>
      <c r="E73" s="68" t="s">
        <v>482</v>
      </c>
    </row>
    <row r="74" spans="1:5">
      <c r="A74" s="68">
        <v>0.379492</v>
      </c>
      <c r="B74" s="68">
        <v>0.48477300000000001</v>
      </c>
      <c r="C74" s="68">
        <v>29.1965</v>
      </c>
      <c r="D74" s="68">
        <v>1</v>
      </c>
      <c r="E74" s="68" t="s">
        <v>483</v>
      </c>
    </row>
    <row r="75" spans="1:5">
      <c r="A75" s="68">
        <v>0.38211299999999998</v>
      </c>
      <c r="B75" s="68">
        <v>0.48222100000000001</v>
      </c>
      <c r="C75" s="68">
        <v>29.6036</v>
      </c>
      <c r="D75" s="68">
        <v>1</v>
      </c>
      <c r="E75" s="68" t="s">
        <v>484</v>
      </c>
    </row>
    <row r="76" spans="1:5">
      <c r="A76" s="68">
        <v>0.38480999999999999</v>
      </c>
      <c r="B76" s="68">
        <v>0.47937299999999999</v>
      </c>
      <c r="C76" s="68">
        <v>30.010999999999999</v>
      </c>
      <c r="D76" s="68">
        <v>1</v>
      </c>
      <c r="E76" s="68" t="s">
        <v>485</v>
      </c>
    </row>
    <row r="77" spans="1:5">
      <c r="A77" s="68">
        <v>0.38766800000000001</v>
      </c>
      <c r="B77" s="68">
        <v>0.47459800000000002</v>
      </c>
      <c r="C77" s="68">
        <v>30.603300000000001</v>
      </c>
      <c r="D77" s="68">
        <v>2</v>
      </c>
      <c r="E77" s="68" t="s">
        <v>486</v>
      </c>
    </row>
    <row r="78" spans="1:5">
      <c r="A78" s="68">
        <v>0.38936500000000002</v>
      </c>
      <c r="B78" s="68">
        <v>0.47197899999999998</v>
      </c>
      <c r="C78" s="68">
        <v>30.978899999999999</v>
      </c>
      <c r="D78" s="68">
        <v>2</v>
      </c>
      <c r="E78" s="68" t="s">
        <v>487</v>
      </c>
    </row>
    <row r="79" spans="1:5">
      <c r="A79" s="68">
        <v>0.39059899999999997</v>
      </c>
      <c r="B79" s="68">
        <v>0.46966999999999998</v>
      </c>
      <c r="C79" s="68">
        <v>31.353300000000001</v>
      </c>
      <c r="D79" s="68">
        <v>2</v>
      </c>
      <c r="E79" s="68" t="s">
        <v>488</v>
      </c>
    </row>
    <row r="80" spans="1:5">
      <c r="A80" s="68">
        <v>0.39144299999999999</v>
      </c>
      <c r="B80" s="68">
        <v>0.46689199999999997</v>
      </c>
      <c r="C80" s="68">
        <v>31.727399999999999</v>
      </c>
      <c r="D80" s="68">
        <v>2</v>
      </c>
      <c r="E80" s="68" t="s">
        <v>489</v>
      </c>
    </row>
    <row r="81" spans="1:5">
      <c r="A81" s="68">
        <v>0.39188600000000001</v>
      </c>
      <c r="B81" s="68">
        <v>0.46433000000000002</v>
      </c>
      <c r="C81" s="68">
        <v>32.106900000000003</v>
      </c>
      <c r="D81" s="68">
        <v>2</v>
      </c>
      <c r="E81" s="68" t="s">
        <v>490</v>
      </c>
    </row>
    <row r="82" spans="1:5">
      <c r="A82" s="68">
        <v>0.39208199999999999</v>
      </c>
      <c r="B82" s="68">
        <v>0.46198600000000001</v>
      </c>
      <c r="C82" s="68">
        <v>32.508600000000001</v>
      </c>
      <c r="D82" s="68">
        <v>2</v>
      </c>
      <c r="E82" s="68" t="s">
        <v>491</v>
      </c>
    </row>
    <row r="83" spans="1:5">
      <c r="A83" s="68">
        <v>0.39215699999999998</v>
      </c>
      <c r="B83" s="68">
        <v>0.45968999999999999</v>
      </c>
      <c r="C83" s="68">
        <v>32.917299999999997</v>
      </c>
      <c r="D83" s="68">
        <v>2</v>
      </c>
      <c r="E83" s="68" t="s">
        <v>492</v>
      </c>
    </row>
    <row r="84" spans="1:5">
      <c r="A84" s="68">
        <v>0.39225399999999999</v>
      </c>
      <c r="B84" s="68">
        <v>0.45733200000000002</v>
      </c>
      <c r="C84" s="68">
        <v>33.322099999999999</v>
      </c>
      <c r="D84" s="68">
        <v>2</v>
      </c>
      <c r="E84" s="68" t="s">
        <v>493</v>
      </c>
    </row>
    <row r="85" spans="1:5">
      <c r="A85" s="68">
        <v>0.39203100000000002</v>
      </c>
      <c r="B85" s="68">
        <v>0.45484799999999997</v>
      </c>
      <c r="C85" s="68">
        <v>33.728299999999997</v>
      </c>
      <c r="D85" s="68">
        <v>2</v>
      </c>
      <c r="E85" s="68" t="s">
        <v>494</v>
      </c>
    </row>
    <row r="86" spans="1:5">
      <c r="A86" s="68">
        <v>0.39141300000000001</v>
      </c>
      <c r="B86" s="68">
        <v>0.45240900000000001</v>
      </c>
      <c r="C86" s="68">
        <v>34.132300000000001</v>
      </c>
      <c r="D86" s="68">
        <v>2</v>
      </c>
      <c r="E86" s="68" t="s">
        <v>495</v>
      </c>
    </row>
    <row r="87" spans="1:5">
      <c r="A87" s="68">
        <v>0.39045200000000002</v>
      </c>
      <c r="B87" s="68">
        <v>0.44947199999999998</v>
      </c>
      <c r="C87" s="68">
        <v>34.542900000000003</v>
      </c>
      <c r="D87" s="68">
        <v>2</v>
      </c>
      <c r="E87" s="68" t="s">
        <v>496</v>
      </c>
    </row>
    <row r="88" spans="1:5">
      <c r="A88" s="68">
        <v>0.38897100000000001</v>
      </c>
      <c r="B88" s="68">
        <v>0.44625900000000002</v>
      </c>
      <c r="C88" s="68">
        <v>34.948599999999999</v>
      </c>
      <c r="D88" s="68">
        <v>2</v>
      </c>
      <c r="E88" s="68" t="s">
        <v>497</v>
      </c>
    </row>
    <row r="89" spans="1:5">
      <c r="A89" s="68">
        <v>0.38725300000000001</v>
      </c>
      <c r="B89" s="68">
        <v>0.44265199999999999</v>
      </c>
      <c r="C89" s="68">
        <v>35.350700000000003</v>
      </c>
      <c r="D89" s="68">
        <v>2</v>
      </c>
      <c r="E89" s="68" t="s">
        <v>498</v>
      </c>
    </row>
    <row r="90" spans="1:5">
      <c r="A90" s="68">
        <v>0.38546000000000002</v>
      </c>
      <c r="B90" s="68">
        <v>0.43869000000000002</v>
      </c>
      <c r="C90" s="68">
        <v>35.756399999999999</v>
      </c>
      <c r="D90" s="68">
        <v>2</v>
      </c>
      <c r="E90" s="68" t="s">
        <v>499</v>
      </c>
    </row>
    <row r="91" spans="1:5">
      <c r="A91" s="68">
        <v>0.38325300000000001</v>
      </c>
      <c r="B91" s="68">
        <v>0.43458599999999997</v>
      </c>
      <c r="C91" s="68">
        <v>36.165399999999998</v>
      </c>
      <c r="D91" s="68">
        <v>2</v>
      </c>
      <c r="E91" s="68" t="s">
        <v>500</v>
      </c>
    </row>
    <row r="92" spans="1:5">
      <c r="A92" s="68">
        <v>0.38097700000000001</v>
      </c>
      <c r="B92" s="68">
        <v>0.43029600000000001</v>
      </c>
      <c r="C92" s="68">
        <v>36.570399999999999</v>
      </c>
      <c r="D92" s="68">
        <v>2</v>
      </c>
      <c r="E92" s="68" t="s">
        <v>501</v>
      </c>
    </row>
    <row r="93" spans="1:5">
      <c r="A93" s="68">
        <v>0.37840499999999999</v>
      </c>
      <c r="B93" s="68">
        <v>0.42602499999999999</v>
      </c>
      <c r="C93" s="68">
        <v>36.9818</v>
      </c>
      <c r="D93" s="68">
        <v>2</v>
      </c>
      <c r="E93" s="68" t="s">
        <v>502</v>
      </c>
    </row>
    <row r="94" spans="1:5">
      <c r="A94" s="68">
        <v>0.37534600000000001</v>
      </c>
      <c r="B94" s="68">
        <v>0.42257299999999998</v>
      </c>
      <c r="C94" s="68">
        <v>37.387599999999999</v>
      </c>
      <c r="D94" s="68">
        <v>2</v>
      </c>
      <c r="E94" s="68" t="s">
        <v>503</v>
      </c>
    </row>
    <row r="95" spans="1:5">
      <c r="A95" s="68">
        <v>0.37209199999999998</v>
      </c>
      <c r="B95" s="68">
        <v>0.42078100000000002</v>
      </c>
      <c r="C95" s="68">
        <v>37.789200000000001</v>
      </c>
      <c r="D95" s="68">
        <v>2</v>
      </c>
      <c r="E95" s="68" t="s">
        <v>504</v>
      </c>
    </row>
    <row r="96" spans="1:5">
      <c r="A96" s="68">
        <v>0.36870799999999998</v>
      </c>
      <c r="B96" s="68">
        <v>0.42062500000000003</v>
      </c>
      <c r="C96" s="68">
        <v>38.196300000000001</v>
      </c>
      <c r="D96" s="68">
        <v>2</v>
      </c>
      <c r="E96" s="68" t="s">
        <v>505</v>
      </c>
    </row>
    <row r="97" spans="1:5">
      <c r="A97" s="68">
        <v>0.365124</v>
      </c>
      <c r="B97" s="68">
        <v>0.422373</v>
      </c>
      <c r="C97" s="68">
        <v>38.603900000000003</v>
      </c>
      <c r="D97" s="68">
        <v>2</v>
      </c>
      <c r="E97" s="68" t="s">
        <v>506</v>
      </c>
    </row>
    <row r="98" spans="1:5">
      <c r="A98" s="68">
        <v>0.36172399999999999</v>
      </c>
      <c r="B98" s="68">
        <v>0.42506300000000002</v>
      </c>
      <c r="C98" s="68">
        <v>39.0137</v>
      </c>
      <c r="D98" s="68">
        <v>2</v>
      </c>
      <c r="E98" s="68" t="s">
        <v>507</v>
      </c>
    </row>
    <row r="99" spans="1:5">
      <c r="A99" s="68">
        <v>0.35848400000000002</v>
      </c>
      <c r="B99" s="68">
        <v>0.427373</v>
      </c>
      <c r="C99" s="68">
        <v>39.415300000000002</v>
      </c>
      <c r="D99" s="68">
        <v>2</v>
      </c>
      <c r="E99" s="68" t="s">
        <v>508</v>
      </c>
    </row>
    <row r="100" spans="1:5">
      <c r="A100" s="68">
        <v>0.35535699999999998</v>
      </c>
      <c r="B100" s="68">
        <v>0.42992399999999997</v>
      </c>
      <c r="C100" s="68">
        <v>39.821300000000001</v>
      </c>
      <c r="D100" s="68">
        <v>2</v>
      </c>
      <c r="E100" s="68" t="s">
        <v>509</v>
      </c>
    </row>
    <row r="101" spans="1:5">
      <c r="A101" s="68">
        <v>0.35223599999999999</v>
      </c>
      <c r="B101" s="68">
        <v>0.43349599999999999</v>
      </c>
      <c r="C101" s="68">
        <v>40.226500000000001</v>
      </c>
      <c r="D101" s="68">
        <v>2</v>
      </c>
      <c r="E101" s="68" t="s">
        <v>510</v>
      </c>
    </row>
    <row r="102" spans="1:5">
      <c r="A102" s="68">
        <v>0.34926400000000002</v>
      </c>
      <c r="B102" s="68">
        <v>0.43720799999999999</v>
      </c>
      <c r="C102" s="68">
        <v>40.633299999999998</v>
      </c>
      <c r="D102" s="68">
        <v>2</v>
      </c>
      <c r="E102" s="68" t="s">
        <v>511</v>
      </c>
    </row>
    <row r="103" spans="1:5">
      <c r="A103" s="68">
        <v>0.34670499999999999</v>
      </c>
      <c r="B103" s="68">
        <v>0.44000400000000001</v>
      </c>
      <c r="C103" s="68">
        <v>41.039000000000001</v>
      </c>
      <c r="D103" s="68">
        <v>2</v>
      </c>
      <c r="E103" s="68" t="s">
        <v>512</v>
      </c>
    </row>
    <row r="104" spans="1:5">
      <c r="A104" s="68">
        <v>0.344555</v>
      </c>
      <c r="B104" s="68">
        <v>0.44211899999999998</v>
      </c>
      <c r="C104" s="68">
        <v>41.449599999999997</v>
      </c>
      <c r="D104" s="68">
        <v>2</v>
      </c>
      <c r="E104" s="68" t="s">
        <v>513</v>
      </c>
    </row>
    <row r="105" spans="1:5">
      <c r="A105" s="68">
        <v>0.34274100000000002</v>
      </c>
      <c r="B105" s="68">
        <v>0.443915</v>
      </c>
      <c r="C105" s="68">
        <v>41.8536</v>
      </c>
      <c r="D105" s="68">
        <v>2</v>
      </c>
      <c r="E105" s="68" t="s">
        <v>514</v>
      </c>
    </row>
    <row r="106" spans="1:5">
      <c r="A106" s="68">
        <v>0.34142400000000001</v>
      </c>
      <c r="B106" s="68">
        <v>0.44452799999999998</v>
      </c>
      <c r="C106" s="68">
        <v>42.261800000000001</v>
      </c>
      <c r="D106" s="68">
        <v>2</v>
      </c>
      <c r="E106" s="68" t="s">
        <v>515</v>
      </c>
    </row>
    <row r="107" spans="1:5">
      <c r="A107" s="68">
        <v>0.34024900000000002</v>
      </c>
      <c r="B107" s="68">
        <v>0.44445299999999999</v>
      </c>
      <c r="C107" s="68">
        <v>42.665799999999997</v>
      </c>
      <c r="D107" s="68">
        <v>2</v>
      </c>
      <c r="E107" s="68" t="s">
        <v>516</v>
      </c>
    </row>
    <row r="108" spans="1:5">
      <c r="A108" s="68">
        <v>0.33940999999999999</v>
      </c>
      <c r="B108" s="68">
        <v>0.44399</v>
      </c>
      <c r="C108" s="68">
        <v>43.069400000000002</v>
      </c>
      <c r="D108" s="68">
        <v>2</v>
      </c>
      <c r="E108" s="68" t="s">
        <v>517</v>
      </c>
    </row>
    <row r="109" spans="1:5">
      <c r="A109" s="68">
        <v>0.33868399999999999</v>
      </c>
      <c r="B109" s="68">
        <v>0.44403300000000001</v>
      </c>
      <c r="C109" s="68">
        <v>43.478000000000002</v>
      </c>
      <c r="D109" s="68">
        <v>2</v>
      </c>
      <c r="E109" s="68" t="s">
        <v>518</v>
      </c>
    </row>
    <row r="110" spans="1:5">
      <c r="A110" s="68">
        <v>0.33837</v>
      </c>
      <c r="B110" s="68">
        <v>0.44381900000000002</v>
      </c>
      <c r="C110" s="68">
        <v>43.886499999999998</v>
      </c>
      <c r="D110" s="68">
        <v>2</v>
      </c>
      <c r="E110" s="68" t="s">
        <v>519</v>
      </c>
    </row>
    <row r="111" spans="1:5">
      <c r="A111" s="68">
        <v>0.33844600000000002</v>
      </c>
      <c r="B111" s="68">
        <v>0.442857</v>
      </c>
      <c r="C111" s="68">
        <v>44.291699999999999</v>
      </c>
      <c r="D111" s="68">
        <v>2</v>
      </c>
      <c r="E111" s="68" t="s">
        <v>520</v>
      </c>
    </row>
    <row r="112" spans="1:5">
      <c r="A112" s="68">
        <v>0.33846300000000001</v>
      </c>
      <c r="B112" s="68">
        <v>0.44222499999999998</v>
      </c>
      <c r="C112" s="68">
        <v>44.698700000000002</v>
      </c>
      <c r="D112" s="68">
        <v>2</v>
      </c>
      <c r="E112" s="68" t="s">
        <v>521</v>
      </c>
    </row>
    <row r="113" spans="1:5">
      <c r="A113" s="68">
        <v>0.338312</v>
      </c>
      <c r="B113" s="68">
        <v>0.44237399999999999</v>
      </c>
      <c r="C113" s="68">
        <v>45.103200000000001</v>
      </c>
      <c r="D113" s="68">
        <v>2</v>
      </c>
      <c r="E113" s="68" t="s">
        <v>522</v>
      </c>
    </row>
    <row r="114" spans="1:5">
      <c r="A114" s="68">
        <v>0.33787899999999998</v>
      </c>
      <c r="B114" s="68">
        <v>0.44226500000000002</v>
      </c>
      <c r="C114" s="68">
        <v>45.510100000000001</v>
      </c>
      <c r="D114" s="68">
        <v>2</v>
      </c>
      <c r="E114" s="68" t="s">
        <v>523</v>
      </c>
    </row>
    <row r="115" spans="1:5">
      <c r="A115" s="68">
        <v>0.33744200000000002</v>
      </c>
      <c r="B115" s="68">
        <v>0.44217699999999999</v>
      </c>
      <c r="C115" s="68">
        <v>45.9176</v>
      </c>
      <c r="D115" s="68">
        <v>2</v>
      </c>
      <c r="E115" s="68" t="s">
        <v>524</v>
      </c>
    </row>
    <row r="116" spans="1:5">
      <c r="A116" s="68">
        <v>0.33740900000000001</v>
      </c>
      <c r="B116" s="68">
        <v>0.44148300000000001</v>
      </c>
      <c r="C116" s="68">
        <v>46.322299999999998</v>
      </c>
      <c r="D116" s="68">
        <v>2</v>
      </c>
      <c r="E116" s="68" t="s">
        <v>525</v>
      </c>
    </row>
    <row r="117" spans="1:5">
      <c r="A117" s="68">
        <v>0.33742</v>
      </c>
      <c r="B117" s="68">
        <v>0.44059799999999999</v>
      </c>
      <c r="C117" s="68">
        <v>46.729399999999998</v>
      </c>
      <c r="D117" s="68">
        <v>2</v>
      </c>
      <c r="E117" s="68" t="s">
        <v>526</v>
      </c>
    </row>
    <row r="118" spans="1:5">
      <c r="A118" s="68">
        <v>0.33729799999999999</v>
      </c>
      <c r="B118" s="68">
        <v>0.43995299999999998</v>
      </c>
      <c r="C118" s="68">
        <v>47.131500000000003</v>
      </c>
      <c r="D118" s="68">
        <v>2</v>
      </c>
      <c r="E118" s="68" t="s">
        <v>527</v>
      </c>
    </row>
    <row r="119" spans="1:5">
      <c r="A119" s="68">
        <v>0.33704800000000001</v>
      </c>
      <c r="B119" s="68">
        <v>0.43914399999999998</v>
      </c>
      <c r="C119" s="68">
        <v>47.538699999999999</v>
      </c>
      <c r="D119" s="68">
        <v>2</v>
      </c>
      <c r="E119" s="68" t="s">
        <v>528</v>
      </c>
    </row>
    <row r="120" spans="1:5">
      <c r="A120" s="68">
        <v>0.33646300000000001</v>
      </c>
      <c r="B120" s="68">
        <v>0.43808399999999997</v>
      </c>
      <c r="C120" s="68">
        <v>47.946300000000001</v>
      </c>
      <c r="D120" s="68">
        <v>2</v>
      </c>
      <c r="E120" s="68" t="s">
        <v>529</v>
      </c>
    </row>
    <row r="121" spans="1:5">
      <c r="A121" s="68">
        <v>0.33549099999999998</v>
      </c>
      <c r="B121" s="68">
        <v>0.436525</v>
      </c>
      <c r="C121" s="68">
        <v>48.3521</v>
      </c>
      <c r="D121" s="68">
        <v>2</v>
      </c>
      <c r="E121" s="68" t="s">
        <v>530</v>
      </c>
    </row>
    <row r="122" spans="1:5">
      <c r="A122" s="68">
        <v>0.334206</v>
      </c>
      <c r="B122" s="68">
        <v>0.43464700000000001</v>
      </c>
      <c r="C122" s="68">
        <v>48.756300000000003</v>
      </c>
      <c r="D122" s="68">
        <v>2</v>
      </c>
      <c r="E122" s="68" t="s">
        <v>531</v>
      </c>
    </row>
    <row r="123" spans="1:5">
      <c r="A123" s="68">
        <v>0.332345</v>
      </c>
      <c r="B123" s="68">
        <v>0.432365</v>
      </c>
      <c r="C123" s="68">
        <v>49.165100000000002</v>
      </c>
      <c r="D123" s="68">
        <v>2</v>
      </c>
      <c r="E123" s="68" t="s">
        <v>532</v>
      </c>
    </row>
    <row r="124" spans="1:5">
      <c r="A124" s="68">
        <v>0.330376</v>
      </c>
      <c r="B124" s="68">
        <v>0.42987300000000001</v>
      </c>
      <c r="C124" s="68">
        <v>49.570099999999996</v>
      </c>
      <c r="D124" s="68">
        <v>2</v>
      </c>
      <c r="E124" s="68" t="s">
        <v>533</v>
      </c>
    </row>
    <row r="125" spans="1:5">
      <c r="A125" s="68">
        <v>0.32816000000000001</v>
      </c>
      <c r="B125" s="68">
        <v>0.42751299999999998</v>
      </c>
      <c r="C125" s="68">
        <v>49.979799999999997</v>
      </c>
      <c r="D125" s="68">
        <v>2</v>
      </c>
      <c r="E125" s="68" t="s">
        <v>534</v>
      </c>
    </row>
    <row r="126" spans="1:5">
      <c r="A126" s="68">
        <v>0.32651400000000003</v>
      </c>
      <c r="B126" s="68">
        <v>0.425981</v>
      </c>
      <c r="C126" s="68">
        <v>50.386499999999998</v>
      </c>
      <c r="D126" s="68">
        <v>2</v>
      </c>
      <c r="E126" s="68" t="s">
        <v>535</v>
      </c>
    </row>
    <row r="127" spans="1:5">
      <c r="A127" s="68">
        <v>0.325878</v>
      </c>
      <c r="B127" s="68">
        <v>0.42514400000000002</v>
      </c>
      <c r="C127" s="68">
        <v>50.792400000000001</v>
      </c>
      <c r="D127" s="68">
        <v>2</v>
      </c>
      <c r="E127" s="68" t="s">
        <v>536</v>
      </c>
    </row>
    <row r="128" spans="1:5">
      <c r="A128" s="68">
        <v>0.32519500000000001</v>
      </c>
      <c r="B128" s="68">
        <v>0.42407699999999998</v>
      </c>
      <c r="C128" s="68">
        <v>51.195599999999999</v>
      </c>
      <c r="D128" s="68">
        <v>2</v>
      </c>
      <c r="E128" s="68" t="s">
        <v>537</v>
      </c>
    </row>
    <row r="129" spans="1:5">
      <c r="A129" s="68">
        <v>0.32442399999999999</v>
      </c>
      <c r="B129" s="68">
        <v>0.42300700000000002</v>
      </c>
      <c r="C129" s="68">
        <v>51.603299999999997</v>
      </c>
      <c r="D129" s="68">
        <v>2</v>
      </c>
      <c r="E129" s="68" t="s">
        <v>538</v>
      </c>
    </row>
    <row r="130" spans="1:5">
      <c r="A130" s="68">
        <v>0.32352599999999998</v>
      </c>
      <c r="B130" s="68">
        <v>0.42210599999999998</v>
      </c>
      <c r="C130" s="68">
        <v>52.011000000000003</v>
      </c>
      <c r="D130" s="68">
        <v>2</v>
      </c>
      <c r="E130" s="68" t="s">
        <v>539</v>
      </c>
    </row>
    <row r="131" spans="1:5">
      <c r="A131" s="68">
        <v>0.32248900000000003</v>
      </c>
      <c r="B131" s="68">
        <v>0.421236</v>
      </c>
      <c r="C131" s="68">
        <v>52.414999999999999</v>
      </c>
      <c r="D131" s="68">
        <v>2</v>
      </c>
      <c r="E131" s="68" t="s">
        <v>540</v>
      </c>
    </row>
    <row r="132" spans="1:5">
      <c r="A132" s="68">
        <v>0.32136100000000001</v>
      </c>
      <c r="B132" s="68">
        <v>0.42046600000000001</v>
      </c>
      <c r="C132" s="68">
        <v>52.822499999999998</v>
      </c>
      <c r="D132" s="68">
        <v>2</v>
      </c>
      <c r="E132" s="68" t="s">
        <v>541</v>
      </c>
    </row>
    <row r="133" spans="1:5">
      <c r="A133" s="68">
        <v>0.31971699999999997</v>
      </c>
      <c r="B133" s="68">
        <v>0.42022999999999999</v>
      </c>
      <c r="C133" s="68">
        <v>53.2273</v>
      </c>
      <c r="D133" s="68">
        <v>2</v>
      </c>
      <c r="E133" s="68" t="s">
        <v>542</v>
      </c>
    </row>
    <row r="134" spans="1:5">
      <c r="A134" s="68">
        <v>0.31766899999999998</v>
      </c>
      <c r="B134" s="68">
        <v>0.41995500000000002</v>
      </c>
      <c r="C134" s="68">
        <v>53.633600000000001</v>
      </c>
      <c r="D134" s="68">
        <v>2</v>
      </c>
      <c r="E134" s="68" t="s">
        <v>543</v>
      </c>
    </row>
    <row r="135" spans="1:5">
      <c r="A135" s="68">
        <v>0.31471399999999999</v>
      </c>
      <c r="B135" s="68">
        <v>0.420964</v>
      </c>
      <c r="C135" s="68">
        <v>54.041899999999998</v>
      </c>
      <c r="D135" s="68">
        <v>2</v>
      </c>
      <c r="E135" s="68" t="s">
        <v>544</v>
      </c>
    </row>
    <row r="136" spans="1:5">
      <c r="A136" s="68">
        <v>0.31097599999999997</v>
      </c>
      <c r="B136" s="68">
        <v>0.42350100000000002</v>
      </c>
      <c r="C136" s="68">
        <v>54.448900000000002</v>
      </c>
      <c r="D136" s="68">
        <v>2</v>
      </c>
      <c r="E136" s="68" t="s">
        <v>545</v>
      </c>
    </row>
    <row r="137" spans="1:5">
      <c r="A137" s="68">
        <v>0.30714799999999998</v>
      </c>
      <c r="B137" s="68">
        <v>0.42647699999999999</v>
      </c>
      <c r="C137" s="68">
        <v>54.854900000000001</v>
      </c>
      <c r="D137" s="68">
        <v>2</v>
      </c>
      <c r="E137" s="68" t="s">
        <v>546</v>
      </c>
    </row>
    <row r="138" spans="1:5">
      <c r="A138" s="68">
        <v>0.30377900000000002</v>
      </c>
      <c r="B138" s="68">
        <v>0.42841400000000002</v>
      </c>
      <c r="C138" s="68">
        <v>55.257100000000001</v>
      </c>
      <c r="D138" s="68">
        <v>2</v>
      </c>
      <c r="E138" s="68" t="s">
        <v>547</v>
      </c>
    </row>
    <row r="139" spans="1:5">
      <c r="A139" s="68">
        <v>0.30077900000000002</v>
      </c>
      <c r="B139" s="68">
        <v>0.431093</v>
      </c>
      <c r="C139" s="68">
        <v>55.666499999999999</v>
      </c>
      <c r="D139" s="68">
        <v>2</v>
      </c>
      <c r="E139" s="68" t="s">
        <v>548</v>
      </c>
    </row>
    <row r="140" spans="1:5">
      <c r="A140" s="68">
        <v>0.29759099999999999</v>
      </c>
      <c r="B140" s="68">
        <v>0.43428699999999998</v>
      </c>
      <c r="C140" s="68">
        <v>56.071899999999999</v>
      </c>
      <c r="D140" s="68">
        <v>2</v>
      </c>
      <c r="E140" s="68" t="s">
        <v>549</v>
      </c>
    </row>
    <row r="141" spans="1:5">
      <c r="A141" s="68">
        <v>0.29398200000000002</v>
      </c>
      <c r="B141" s="68">
        <v>0.43856800000000001</v>
      </c>
      <c r="C141" s="68">
        <v>56.478900000000003</v>
      </c>
      <c r="D141" s="68">
        <v>2</v>
      </c>
      <c r="E141" s="68" t="s">
        <v>550</v>
      </c>
    </row>
    <row r="142" spans="1:5">
      <c r="A142" s="68">
        <v>0.28983300000000001</v>
      </c>
      <c r="B142" s="68">
        <v>0.44492799999999999</v>
      </c>
      <c r="C142" s="68">
        <v>56.882899999999999</v>
      </c>
      <c r="D142" s="68">
        <v>2</v>
      </c>
      <c r="E142" s="68" t="s">
        <v>551</v>
      </c>
    </row>
    <row r="143" spans="1:5">
      <c r="A143" s="68">
        <v>0.28598200000000001</v>
      </c>
      <c r="B143" s="68">
        <v>0.44994899999999999</v>
      </c>
      <c r="C143" s="68">
        <v>57.288699999999999</v>
      </c>
      <c r="D143" s="68">
        <v>2</v>
      </c>
      <c r="E143" s="68" t="s">
        <v>552</v>
      </c>
    </row>
    <row r="144" spans="1:5">
      <c r="A144" s="68">
        <v>0.28214099999999998</v>
      </c>
      <c r="B144" s="68">
        <v>0.455123</v>
      </c>
      <c r="C144" s="68">
        <v>57.6967</v>
      </c>
      <c r="D144" s="68">
        <v>2</v>
      </c>
      <c r="E144" s="68" t="s">
        <v>553</v>
      </c>
    </row>
    <row r="145" spans="1:5">
      <c r="A145" s="68">
        <v>0.27778900000000001</v>
      </c>
      <c r="B145" s="68">
        <v>0.46075500000000003</v>
      </c>
      <c r="C145" s="68">
        <v>58.101500000000001</v>
      </c>
      <c r="D145" s="68">
        <v>2</v>
      </c>
      <c r="E145" s="68" t="s">
        <v>554</v>
      </c>
    </row>
    <row r="146" spans="1:5">
      <c r="A146" s="68">
        <v>0.27322400000000002</v>
      </c>
      <c r="B146" s="68">
        <v>0.46615800000000002</v>
      </c>
      <c r="C146" s="68">
        <v>58.509799999999998</v>
      </c>
      <c r="D146" s="68">
        <v>2</v>
      </c>
      <c r="E146" s="68" t="s">
        <v>555</v>
      </c>
    </row>
    <row r="147" spans="1:5">
      <c r="A147" s="68">
        <v>0.26801399999999997</v>
      </c>
      <c r="B147" s="68">
        <v>0.47214499999999998</v>
      </c>
      <c r="C147" s="68">
        <v>58.9176</v>
      </c>
      <c r="D147" s="68">
        <v>2</v>
      </c>
      <c r="E147" s="68" t="s">
        <v>556</v>
      </c>
    </row>
    <row r="148" spans="1:5">
      <c r="A148" s="68">
        <v>0.26414399999999999</v>
      </c>
      <c r="B148" s="68">
        <v>0.475823</v>
      </c>
      <c r="C148" s="68">
        <v>59.320799999999998</v>
      </c>
      <c r="D148" s="68">
        <v>2</v>
      </c>
      <c r="E148" s="68" t="s">
        <v>557</v>
      </c>
    </row>
    <row r="149" spans="1:5">
      <c r="A149" s="68">
        <v>0.26116099999999998</v>
      </c>
      <c r="B149" s="68">
        <v>0.47806799999999999</v>
      </c>
      <c r="C149" s="68">
        <v>59.726599999999998</v>
      </c>
      <c r="D149" s="68">
        <v>2</v>
      </c>
      <c r="E149" s="68" t="s">
        <v>558</v>
      </c>
    </row>
    <row r="150" spans="1:5">
      <c r="A150" s="68">
        <v>0.25532300000000002</v>
      </c>
      <c r="B150" s="68">
        <v>0.48484100000000002</v>
      </c>
      <c r="C150" s="32">
        <v>60.134300000000003</v>
      </c>
      <c r="D150" s="32">
        <v>2</v>
      </c>
      <c r="E150" s="32" t="s">
        <v>559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408</v>
      </c>
      <c r="B1" s="66" t="s">
        <v>560</v>
      </c>
      <c r="C1" s="66" t="s">
        <v>562</v>
      </c>
      <c r="D1" s="66" t="s">
        <v>563</v>
      </c>
      <c r="E1" s="66" t="s">
        <v>564</v>
      </c>
      <c r="F1" s="66" t="s">
        <v>348</v>
      </c>
      <c r="G1" s="66" t="s">
        <v>401</v>
      </c>
      <c r="H1" s="66" t="s">
        <v>565</v>
      </c>
      <c r="I1" s="66" t="s">
        <v>566</v>
      </c>
      <c r="J1" s="66" t="s">
        <v>567</v>
      </c>
      <c r="K1" s="66" t="s">
        <v>568</v>
      </c>
      <c r="L1" s="66" t="s">
        <v>569</v>
      </c>
      <c r="M1" s="66" t="s">
        <v>570</v>
      </c>
      <c r="N1" s="66"/>
    </row>
    <row r="2" spans="1:14">
      <c r="A2" s="75">
        <v>43628.385162037041</v>
      </c>
      <c r="B2" s="66" t="s">
        <v>561</v>
      </c>
      <c r="C2" s="66"/>
      <c r="D2" s="66"/>
      <c r="E2" s="66">
        <v>4.9207200000000002</v>
      </c>
      <c r="F2" s="66">
        <v>1.75495</v>
      </c>
      <c r="G2" s="66">
        <v>0.55471599999999999</v>
      </c>
      <c r="H2" s="66">
        <v>0</v>
      </c>
      <c r="I2" s="66">
        <v>148489</v>
      </c>
      <c r="J2" s="66">
        <v>96</v>
      </c>
      <c r="K2" s="66">
        <v>96</v>
      </c>
      <c r="L2" s="66">
        <v>0</v>
      </c>
      <c r="M2" s="66" t="s">
        <v>571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2019-06-12T01:15:23Z</cp:lastPrinted>
  <dcterms:created xsi:type="dcterms:W3CDTF">2010-10-29T12:53:05Z</dcterms:created>
  <dcterms:modified xsi:type="dcterms:W3CDTF">2019-06-12T01:15:32Z</dcterms:modified>
</cp:coreProperties>
</file>