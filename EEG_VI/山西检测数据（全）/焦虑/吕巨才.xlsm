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<sst xmlns="http://schemas.openxmlformats.org/spreadsheetml/2006/main" count="701" uniqueCount="571">
  <si>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</si>
  <si>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</si>
  <si>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</si>
  <si>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</si>
  <si>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</si>
  <si>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</si>
  <si>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</si>
  <si>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</si>
  <si>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</si>
  <si>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</si>
  <si>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</si>
  <si>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</si>
  <si>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</si>
  <si>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</si>
  <si>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</si>
  <si>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</si>
  <si>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</si>
  <si>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</si>
  <si>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</si>
  <si>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</si>
  <si>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</si>
  <si>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</si>
  <si>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</si>
  <si>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</si>
  <si>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</si>
  <si>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</si>
  <si>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</si>
  <si>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</si>
  <si>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</si>
  <si>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</si>
  <si>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</si>
  <si>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</si>
  <si>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</si>
  <si>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</si>
  <si>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</si>
  <si>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</si>
  <si>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</si>
  <si>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</si>
  <si>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</si>
  <si>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</si>
  <si>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</si>
  <si>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</si>
  <si>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</si>
  <si>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</si>
  <si>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</si>
  <si>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</si>
  <si>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</si>
  <si>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</si>
  <si>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</si>
  <si>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</si>
  <si>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</si>
  <si>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</si>
  <si>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</si>
  <si>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</si>
  <si>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</si>
  <si>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</si>
  <si>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</si>
  <si>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</si>
  <si>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</si>
  <si>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</si>
  <si>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</si>
  <si>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</si>
  <si>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</si>
  <si>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</si>
  <si>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</si>
  <si>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</si>
  <si>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</si>
  <si>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</si>
  <si>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</si>
  <si>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</si>
  <si>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</si>
  <si>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</si>
  <si>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</si>
  <si>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</si>
  <si>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</si>
  <si>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</si>
  <si>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</si>
  <si>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</si>
  <si>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</si>
  <si>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</si>
  <si>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</si>
  <si>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</si>
  <si>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</si>
  <si>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</si>
  <si>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</si>
  <si>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</si>
  <si>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</si>
  <si>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</si>
  <si>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</si>
  <si>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</si>
  <si>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</si>
  <si>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</si>
  <si>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</si>
  <si>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</si>
  <si>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</si>
  <si>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</si>
  <si>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</si>
  <si>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</si>
  <si>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</si>
  <si>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</si>
  <si>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</si>
  <si>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</si>
  <si>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</si>
  <si>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</si>
  <si>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</si>
  <si>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</si>
  <si>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</si>
  <si>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</si>
  <si>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</si>
  <si>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</si>
  <si>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</si>
  <si>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</si>
  <si>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</si>
  <si>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</si>
  <si>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</si>
  <si>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</si>
  <si>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</si>
  <si>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</si>
  <si>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</si>
  <si>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</si>
  <si>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</si>
  <si>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</si>
  <si>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</si>
  <si>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</si>
  <si>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</si>
  <si>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</si>
  <si>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</si>
  <si>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</si>
  <si>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</si>
  <si>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</si>
  <si>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</si>
  <si>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</si>
  <si>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</si>
  <si>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</si>
  <si>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</si>
  <si>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</si>
  <si>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</si>
  <si>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</si>
  <si>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</si>
  <si>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</si>
  <si>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</si>
  <si>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</si>
  <si>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</si>
  <si>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</si>
  <si>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</si>
  <si>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</si>
  <si>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</si>
  <si>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</si>
  <si>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</si>
  <si>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</si>
  <si>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</si>
  <si>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</si>
  <si>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</si>
  <si>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</si>
  <si>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</si>
  <si>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</si>
  <si>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</si>
  <si>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</si>
  <si>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</si>
  <si>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</si>
  <si>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</si>
  <si>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</si>
  <si>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</si>
  <si>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</si>
  <si>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</si>
  <si>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</si>
  <si>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</si>
  <si>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</si>
  <si>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</si>
  <si>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</si>
  <si>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</si>
  <si>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</si>
  <si>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</si>
  <si>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</si>
  <si>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</si>
  <si>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</si>
  <si>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</si>
  <si>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</si>
  <si>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</si>
  <si>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</si>
  <si>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</si>
  <si>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</si>
  <si>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</si>
  <si>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</si>
  <si>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</si>
  <si>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</si>
  <si>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</si>
  <si>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</si>
  <si>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</si>
  <si>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</si>
  <si>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</si>
  <si>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</si>
  <si>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</si>
  <si>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</si>
  <si>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</si>
  <si>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</si>
  <si>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</si>
  <si>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</si>
  <si>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</si>
  <si>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</si>
  <si>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</si>
  <si>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</si>
  <si>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</si>
  <si>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</si>
  <si>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</si>
  <si>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</si>
  <si>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</si>
  <si>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</si>
  <si>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</si>
  <si>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</si>
  <si>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</si>
  <si>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</si>
  <si>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</si>
  <si>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</si>
  <si>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</si>
  <si>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</si>
  <si>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</si>
  <si>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</si>
  <si>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</si>
  <si>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</si>
  <si>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</si>
  <si>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</si>
  <si>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</si>
  <si>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</si>
  <si>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</si>
  <si>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</si>
  <si>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</si>
  <si>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</si>
  <si>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</si>
  <si>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</si>
  <si>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</si>
  <si>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</si>
  <si>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</si>
  <si>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</si>
  <si>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</si>
  <si>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</si>
  <si>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</si>
  <si>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</si>
  <si>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</si>
  <si>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</si>
  <si>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</si>
  <si>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</si>
  <si>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</si>
  <si>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</si>
  <si>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</si>
  <si>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</si>
  <si>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</si>
  <si>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</si>
  <si>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</si>
  <si>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</si>
  <si>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</si>
  <si>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</si>
  <si>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</si>
  <si>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</si>
  <si>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</si>
  <si>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</si>
  <si>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</si>
  <si>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</si>
  <si>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</si>
  <si>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</si>
  <si>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</si>
  <si>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</si>
  <si>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</si>
  <si>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</si>
  <si>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</si>
  <si>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</si>
  <si>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</si>
  <si>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</si>
  <si>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</si>
  <si>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</si>
  <si>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</si>
  <si>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</si>
  <si>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</si>
  <si>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</si>
  <si>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</si>
  <si>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</si>
  <si>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</si>
  <si>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</si>
  <si>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</si>
  <si>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</si>
  <si>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</si>
  <si>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</si>
  <si>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</si>
  <si>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</si>
  <si>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</si>
  <si>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</si>
  <si>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</si>
  <si>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</si>
  <si>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</si>
  <si>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</si>
  <si>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</si>
  <si>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</si>
  <si>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</si>
  <si>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</si>
  <si>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</si>
  <si>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</si>
  <si>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</si>
  <si>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</si>
  <si>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</si>
  <si>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</si>
  <si>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</si>
  <si>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</si>
  <si>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</si>
  <si>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</si>
  <si>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</si>
  <si>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</si>
  <si>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</si>
  <si>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</si>
  <si>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</si>
  <si>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</si>
  <si>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</si>
  <si>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</si>
  <si>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</si>
  <si>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</si>
  <si>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</si>
  <si>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</si>
  <si>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</si>
  <si>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</si>
  <si>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</si>
  <si>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</si>
  <si>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</si>
  <si>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</si>
  <si>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</si>
  <si>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</si>
  <si>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</si>
  <si>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</si>
  <si>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</si>
  <si>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</si>
  <si>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</si>
  <si>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</si>
  <si>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</si>
  <si>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</si>
  <si>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</si>
  <si>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</si>
  <si>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</si>
  <si>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</si>
  <si>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</si>
  <si>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</si>
  <si>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</si>
  <si>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</si>
  <si>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</si>
  <si>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</si>
  <si>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</si>
  <si>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</si>
  <si>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</si>
  <si>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</si>
  <si>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</si>
  <si>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</si>
  <si>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</si>
  <si>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</si>
  <si>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</si>
  <si>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</si>
  <si>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</si>
  <si>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</si>
  <si>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</si>
  <si>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</si>
  <si>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</si>
  <si>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</si>
  <si>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</si>
  <si>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</si>
  <si>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</si>
  <si>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</si>
  <si>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</si>
  <si>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</si>
  <si>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</si>
  <si>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</si>
  <si>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</si>
  <si>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</si>
  <si>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</si>
  <si>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</si>
  <si>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</si>
  <si>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</si>
  <si>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</si>
  <si>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</si>
  <si>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</si>
  <si>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</si>
  <si>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</si>
  <si>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</si>
  <si>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</si>
  <si>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</si>
  <si>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</si>
  <si>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</si>
  <si>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</si>
  <si>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</si>
  <si>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</si>
  <si>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</si>
  <si>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</si>
  <si>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</si>
  <si>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</si>
  <si>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</si>
  <si>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</si>
  <si>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</si>
  <si>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</si>
  <si>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</si>
  <si>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</si>
  <si>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</si>
  <si>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</si>
  <si>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</si>
  <si>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</si>
  <si>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</si>
  <si>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</si>
  <si>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A4 (fast)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</si>
  <si>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</si>
  <si>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</si>
  <si>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</si>
  <si>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</si>
  <si>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</si>
  <si>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</si>
  <si>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</si>
  <si>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</si>
  <si>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[0.381606]</t>
  </si>
  <si>
    <t>1 [0.785122]</t>
  </si>
  <si>
    <t>1 [1.193472]</t>
  </si>
  <si>
    <t>1 [1.598587]</t>
  </si>
  <si>
    <t>1 [2.006322]</t>
  </si>
  <si>
    <t>1 [2.410385]</t>
  </si>
  <si>
    <t>1 [2.818167]</t>
  </si>
  <si>
    <t>1 [3.225065]</t>
  </si>
  <si>
    <t>1 [3.631824]</t>
  </si>
  <si>
    <t>1 [4.038841]</t>
  </si>
  <si>
    <t>1 [4.445721]</t>
  </si>
  <si>
    <t>1 [4.851647]</t>
  </si>
  <si>
    <t>1 [5.254591]</t>
  </si>
  <si>
    <t>1 [5.662630]</t>
  </si>
  <si>
    <t>1 [6.067443]</t>
  </si>
  <si>
    <t>1 [6.472327]</t>
  </si>
  <si>
    <t>1 [6.878404]</t>
  </si>
  <si>
    <t>1 [7.289179]</t>
  </si>
  <si>
    <t>1 [7.695094]</t>
  </si>
  <si>
    <t>1 [8.100057]</t>
  </si>
  <si>
    <t>1 [8.507116]</t>
  </si>
  <si>
    <t>1 [8.913007]</t>
  </si>
  <si>
    <t>1 [9.316744]</t>
  </si>
  <si>
    <t>1 [9.726603]</t>
  </si>
  <si>
    <t>1 [10.131549]</t>
  </si>
  <si>
    <t>1 [10.534488]</t>
  </si>
  <si>
    <t>1 [10.942060]</t>
  </si>
  <si>
    <t>1 [11.352830]</t>
  </si>
  <si>
    <t>1 [11.758215]</t>
  </si>
  <si>
    <t>1 [12.164101]</t>
  </si>
  <si>
    <t>1 [12.566072]</t>
  </si>
  <si>
    <t>1 [12.974484]</t>
  </si>
  <si>
    <t>1 [13.382982]</t>
  </si>
  <si>
    <t>1 [13.789743]</t>
  </si>
  <si>
    <t>1 [14.196688]</t>
  </si>
  <si>
    <t>1 [14.601588]</t>
  </si>
  <si>
    <t>1 [15.006597]</t>
  </si>
  <si>
    <t>1 [15.413433]</t>
  </si>
  <si>
    <t>1 [15.816396]</t>
  </si>
  <si>
    <t>1 [16.226287]</t>
  </si>
  <si>
    <t>1 [16.635198]</t>
  </si>
  <si>
    <t>1 [17.040116]</t>
  </si>
  <si>
    <t>1 [17.443140]</t>
  </si>
  <si>
    <t>1 [17.848881]</t>
  </si>
  <si>
    <t>1 [18.256820]</t>
  </si>
  <si>
    <t>1 [18.664713]</t>
  </si>
  <si>
    <t>1 [19.070641]</t>
  </si>
  <si>
    <t>1 [19.476560]</t>
  </si>
  <si>
    <t>1 [19.880457]</t>
  </si>
  <si>
    <t>1 [20.284607]</t>
  </si>
  <si>
    <t>1 [20.694343]</t>
  </si>
  <si>
    <t>1 [21.103547]</t>
  </si>
  <si>
    <t>1 [21.508110]</t>
  </si>
  <si>
    <t>1 [21.913116]</t>
  </si>
  <si>
    <t>1 [22.318163]</t>
  </si>
  <si>
    <t>1 [22.726855]</t>
  </si>
  <si>
    <t>1 [23.133806]</t>
  </si>
  <si>
    <t>1 [23.537712]</t>
  </si>
  <si>
    <t>1 [23.944641]</t>
  </si>
  <si>
    <t>1 [24.349858]</t>
  </si>
  <si>
    <t>1 [24.758409]</t>
  </si>
  <si>
    <t>1 [25.161375]</t>
  </si>
  <si>
    <t>1 [25.568227]</t>
  </si>
  <si>
    <t>1 [25.975170]</t>
  </si>
  <si>
    <t>1 [26.383459]</t>
  </si>
  <si>
    <t>1 [26.786248]</t>
  </si>
  <si>
    <t>1 [27.191919]</t>
  </si>
  <si>
    <t>1 [27.599813]</t>
  </si>
  <si>
    <t>1 [28.007765]</t>
  </si>
  <si>
    <t>1 [28.412743]</t>
  </si>
  <si>
    <t>1 [28.819714]</t>
  </si>
  <si>
    <t>1 [29.222614]</t>
  </si>
  <si>
    <t>1 [29.629976]</t>
  </si>
  <si>
    <t>2 [30.042650]</t>
  </si>
  <si>
    <t>2 [30.612698]</t>
  </si>
  <si>
    <t>2 [30.989924]</t>
  </si>
  <si>
    <t>2 [31.366847]</t>
  </si>
  <si>
    <t>2 [31.744760]</t>
  </si>
  <si>
    <t>2 [32.114728]</t>
  </si>
  <si>
    <t>2 [32.519819]</t>
  </si>
  <si>
    <t>2 [32.926768]</t>
  </si>
  <si>
    <t>2 [33.334499]</t>
  </si>
  <si>
    <t>2 [33.740802]</t>
  </si>
  <si>
    <t>2 [34.150355]</t>
  </si>
  <si>
    <t>2 [34.556277]</t>
  </si>
  <si>
    <t>2 [34.960164]</t>
  </si>
  <si>
    <t>2 [35.365163]</t>
  </si>
  <si>
    <t>2 [35.771766]</t>
  </si>
  <si>
    <t>2 [36.174941]</t>
  </si>
  <si>
    <t>2 [36.584848]</t>
  </si>
  <si>
    <t>2 [36.990720]</t>
  </si>
  <si>
    <t>2 [37.394635]</t>
  </si>
  <si>
    <t>2 [37.801518]</t>
  </si>
  <si>
    <t>2 [38.206209]</t>
  </si>
  <si>
    <t>2 [38.617376]</t>
  </si>
  <si>
    <t>2 [39.024307]</t>
  </si>
  <si>
    <t>2 [39.428218]</t>
  </si>
  <si>
    <t>2 [39.834104]</t>
  </si>
  <si>
    <t>2 [40.241047]</t>
  </si>
  <si>
    <t>2 [40.647950]</t>
  </si>
  <si>
    <t>2 [41.054854]</t>
  </si>
  <si>
    <t>2 [41.459799]</t>
  </si>
  <si>
    <t>2 [41.865694]</t>
  </si>
  <si>
    <t>2 [42.271816]</t>
  </si>
  <si>
    <t>2 [42.679499]</t>
  </si>
  <si>
    <t>2 [43.086563]</t>
  </si>
  <si>
    <t>2 [43.492031]</t>
  </si>
  <si>
    <t>2 [43.899299]</t>
  </si>
  <si>
    <t>2 [44.305404]</t>
  </si>
  <si>
    <t>2 [44.715648]</t>
  </si>
  <si>
    <t>2 [45.120495]</t>
  </si>
  <si>
    <t>2 [45.526332]</t>
  </si>
  <si>
    <t>2 [45.931055]</t>
  </si>
  <si>
    <t>2 [46.338753]</t>
  </si>
  <si>
    <t>2 [46.741626]</t>
  </si>
  <si>
    <t>2 [47.144631]</t>
  </si>
  <si>
    <t>2 [47.550695]</t>
  </si>
  <si>
    <t>2 [47.961427]</t>
  </si>
  <si>
    <t>2 [48.362554]</t>
  </si>
  <si>
    <t>2 [48.772220]</t>
  </si>
  <si>
    <t>2 [49.178126]</t>
  </si>
  <si>
    <t>2 [49.584185]</t>
  </si>
  <si>
    <t>2 [49.991595]</t>
  </si>
  <si>
    <t>2 [50.398905]</t>
  </si>
  <si>
    <t>2 [50.803194]</t>
  </si>
  <si>
    <t>2 [51.208725]</t>
  </si>
  <si>
    <t>2 [51.615676]</t>
  </si>
  <si>
    <t>2 [52.022695]</t>
  </si>
  <si>
    <t>2 [52.433586]</t>
  </si>
  <si>
    <t>2 [52.833388]</t>
  </si>
  <si>
    <t>2 [53.241495]</t>
  </si>
  <si>
    <t>2 [53.649517]</t>
  </si>
  <si>
    <t>2 [54.054080]</t>
  </si>
  <si>
    <t>2 [54.461353]</t>
  </si>
  <si>
    <t>2 [54.867072]</t>
  </si>
  <si>
    <t>2 [55.293860]</t>
  </si>
  <si>
    <t>2 [55.683738]</t>
  </si>
  <si>
    <t>2 [56.084110]</t>
  </si>
  <si>
    <t>2 [56.488633]</t>
  </si>
  <si>
    <t>2 [56.897556]</t>
  </si>
  <si>
    <t>2 [57.303468]</t>
  </si>
  <si>
    <t>2 [57.708328]</t>
  </si>
  <si>
    <t>2 [58.116234]</t>
  </si>
  <si>
    <t>2 [58.522435]</t>
  </si>
  <si>
    <t>2 [58.927687]</t>
  </si>
  <si>
    <t>2 [59.335002]</t>
  </si>
  <si>
    <t>2 [59.737104]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</si>
  <si>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</si>
  <si>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</si>
  <si>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</si>
  <si>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</si>
  <si>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</si>
  <si>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</si>
  <si>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</si>
  <si>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</si>
  <si>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</si>
  <si>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</si>
  <si>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</si>
  <si>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</si>
  <si>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</si>
  <si>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吕巨才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</si>
</sst>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color indexed="8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6" xfId="0" applyFont="1" applyBorder="1" applyAlignment="1">
      <alignment vertical="center"/>
    </xf>
    <xf numFmtId="0" fontId="35" fillId="0" borderId="32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37.6541</c:v>
                </c:pt>
                <c:pt idx="1">
                  <c:v>28.479500000000002</c:v>
                </c:pt>
                <c:pt idx="2">
                  <c:v>20.475899999999999</c:v>
                </c:pt>
                <c:pt idx="3">
                  <c:v>28.615400000000001</c:v>
                </c:pt>
                <c:pt idx="4">
                  <c:v>73.319400000000002</c:v>
                </c:pt>
                <c:pt idx="5">
                  <c:v>75.680899999999994</c:v>
                </c:pt>
                <c:pt idx="6">
                  <c:v>27.629200000000001</c:v>
                </c:pt>
                <c:pt idx="7">
                  <c:v>74.015799999999999</c:v>
                </c:pt>
                <c:pt idx="8">
                  <c:v>21.348800000000001</c:v>
                </c:pt>
                <c:pt idx="9">
                  <c:v>84.5364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0.43391219384510021</c:v>
                </c:pt>
                <c:pt idx="1">
                  <c:v>0.19947507152371216</c:v>
                </c:pt>
                <c:pt idx="2">
                  <c:v>0.36661273463118765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1.929694117647059E-2</c:v>
                </c:pt>
                <c:pt idx="2">
                  <c:v>3.8593882352941179E-2</c:v>
                </c:pt>
                <c:pt idx="3">
                  <c:v>5.7890823529411765E-2</c:v>
                </c:pt>
                <c:pt idx="4">
                  <c:v>7.7187764705882358E-2</c:v>
                </c:pt>
                <c:pt idx="5">
                  <c:v>9.6484705882352945E-2</c:v>
                </c:pt>
                <c:pt idx="6">
                  <c:v>0.11578164705882353</c:v>
                </c:pt>
                <c:pt idx="7">
                  <c:v>0.13507858823529412</c:v>
                </c:pt>
                <c:pt idx="8">
                  <c:v>0.15437552941176472</c:v>
                </c:pt>
                <c:pt idx="9">
                  <c:v>0.17367247058823529</c:v>
                </c:pt>
                <c:pt idx="10">
                  <c:v>0.19296941176470589</c:v>
                </c:pt>
                <c:pt idx="11">
                  <c:v>0.21226635294117649</c:v>
                </c:pt>
                <c:pt idx="12">
                  <c:v>0.23156329411764706</c:v>
                </c:pt>
                <c:pt idx="13">
                  <c:v>0.25086023529411766</c:v>
                </c:pt>
                <c:pt idx="14">
                  <c:v>0.27015717647058823</c:v>
                </c:pt>
                <c:pt idx="15">
                  <c:v>0.28945411764705881</c:v>
                </c:pt>
                <c:pt idx="16">
                  <c:v>0.30875105882352943</c:v>
                </c:pt>
                <c:pt idx="17">
                  <c:v>0.32804800000000001</c:v>
                </c:pt>
                <c:pt idx="18">
                  <c:v>0.34734494117647058</c:v>
                </c:pt>
                <c:pt idx="19">
                  <c:v>0.36664188235294121</c:v>
                </c:pt>
                <c:pt idx="20">
                  <c:v>0.38593882352941178</c:v>
                </c:pt>
                <c:pt idx="21">
                  <c:v>0.40523576470588235</c:v>
                </c:pt>
                <c:pt idx="22">
                  <c:v>0.42453270588235298</c:v>
                </c:pt>
                <c:pt idx="23">
                  <c:v>0.44382964705882355</c:v>
                </c:pt>
                <c:pt idx="24">
                  <c:v>0.46312658823529412</c:v>
                </c:pt>
                <c:pt idx="25">
                  <c:v>0.4824235294117647</c:v>
                </c:pt>
                <c:pt idx="26">
                  <c:v>0.50172047058823532</c:v>
                </c:pt>
                <c:pt idx="27">
                  <c:v>0.52101741176470595</c:v>
                </c:pt>
                <c:pt idx="28">
                  <c:v>0.54031435294117647</c:v>
                </c:pt>
                <c:pt idx="29">
                  <c:v>0.5596112941176471</c:v>
                </c:pt>
                <c:pt idx="30">
                  <c:v>0.57890823529411761</c:v>
                </c:pt>
                <c:pt idx="31">
                  <c:v>0.59820517647058824</c:v>
                </c:pt>
                <c:pt idx="32">
                  <c:v>0.61750211764705887</c:v>
                </c:pt>
                <c:pt idx="33">
                  <c:v>0.6367990588235295</c:v>
                </c:pt>
                <c:pt idx="34">
                  <c:v>0.65609600000000001</c:v>
                </c:pt>
                <c:pt idx="35">
                  <c:v>0.67539294117647064</c:v>
                </c:pt>
                <c:pt idx="36">
                  <c:v>0.69468988235294116</c:v>
                </c:pt>
                <c:pt idx="37">
                  <c:v>0.7139868235294119</c:v>
                </c:pt>
                <c:pt idx="38">
                  <c:v>0.73328376470588241</c:v>
                </c:pt>
                <c:pt idx="39">
                  <c:v>0.75258070588235304</c:v>
                </c:pt>
                <c:pt idx="40">
                  <c:v>0.77187764705882356</c:v>
                </c:pt>
                <c:pt idx="41">
                  <c:v>0.79117458823529418</c:v>
                </c:pt>
                <c:pt idx="42">
                  <c:v>0.8104715294117647</c:v>
                </c:pt>
                <c:pt idx="43">
                  <c:v>0.82976847058823544</c:v>
                </c:pt>
                <c:pt idx="44">
                  <c:v>0.84906541176470596</c:v>
                </c:pt>
                <c:pt idx="45">
                  <c:v>0.86836235294117659</c:v>
                </c:pt>
                <c:pt idx="46">
                  <c:v>0.8876592941176471</c:v>
                </c:pt>
                <c:pt idx="47">
                  <c:v>0.90695623529411773</c:v>
                </c:pt>
                <c:pt idx="48">
                  <c:v>0.92625317647058825</c:v>
                </c:pt>
                <c:pt idx="49">
                  <c:v>0.94555011764705887</c:v>
                </c:pt>
                <c:pt idx="50">
                  <c:v>0.96484705882352939</c:v>
                </c:pt>
                <c:pt idx="51">
                  <c:v>0.98414400000000013</c:v>
                </c:pt>
                <c:pt idx="52">
                  <c:v>1.0034409411764706</c:v>
                </c:pt>
                <c:pt idx="53">
                  <c:v>1.0227378823529412</c:v>
                </c:pt>
                <c:pt idx="54">
                  <c:v>1.0420348235294119</c:v>
                </c:pt>
                <c:pt idx="55">
                  <c:v>1.0613317647058824</c:v>
                </c:pt>
                <c:pt idx="56">
                  <c:v>1.0806287058823529</c:v>
                </c:pt>
                <c:pt idx="57">
                  <c:v>1.0999256470588237</c:v>
                </c:pt>
                <c:pt idx="58">
                  <c:v>1.1192225882352942</c:v>
                </c:pt>
                <c:pt idx="59">
                  <c:v>1.1385195294117647</c:v>
                </c:pt>
                <c:pt idx="60">
                  <c:v>1.1578164705882352</c:v>
                </c:pt>
                <c:pt idx="61">
                  <c:v>1.177113411764706</c:v>
                </c:pt>
                <c:pt idx="62">
                  <c:v>1.1964103529411765</c:v>
                </c:pt>
                <c:pt idx="63">
                  <c:v>1.2157072941176472</c:v>
                </c:pt>
                <c:pt idx="64">
                  <c:v>1.2350042352941177</c:v>
                </c:pt>
                <c:pt idx="65">
                  <c:v>1.2543011764705883</c:v>
                </c:pt>
                <c:pt idx="66">
                  <c:v>1.273598117647059</c:v>
                </c:pt>
                <c:pt idx="67">
                  <c:v>1.2928950588235295</c:v>
                </c:pt>
                <c:pt idx="68">
                  <c:v>1.312192</c:v>
                </c:pt>
                <c:pt idx="69">
                  <c:v>1.3314889411764705</c:v>
                </c:pt>
                <c:pt idx="70">
                  <c:v>1.3507858823529413</c:v>
                </c:pt>
                <c:pt idx="71">
                  <c:v>1.3700828235294118</c:v>
                </c:pt>
                <c:pt idx="72">
                  <c:v>1.3893797647058823</c:v>
                </c:pt>
                <c:pt idx="73">
                  <c:v>1.4086767058823528</c:v>
                </c:pt>
                <c:pt idx="74">
                  <c:v>1.4279736470588238</c:v>
                </c:pt>
                <c:pt idx="75">
                  <c:v>1.4472705882352943</c:v>
                </c:pt>
                <c:pt idx="76">
                  <c:v>1.4665675294117648</c:v>
                </c:pt>
                <c:pt idx="77">
                  <c:v>1.4858644705882353</c:v>
                </c:pt>
                <c:pt idx="78">
                  <c:v>1.5051614117647061</c:v>
                </c:pt>
                <c:pt idx="79">
                  <c:v>1.5244583529411766</c:v>
                </c:pt>
                <c:pt idx="80">
                  <c:v>1.5437552941176471</c:v>
                </c:pt>
                <c:pt idx="81">
                  <c:v>1.5630522352941176</c:v>
                </c:pt>
                <c:pt idx="82">
                  <c:v>1.5823491764705884</c:v>
                </c:pt>
                <c:pt idx="83">
                  <c:v>1.6016461176470589</c:v>
                </c:pt>
                <c:pt idx="84">
                  <c:v>1.6209430588235294</c:v>
                </c:pt>
                <c:pt idx="85">
                  <c:v>1.6402399999999999</c:v>
                </c:pt>
                <c:pt idx="86">
                  <c:v>1.6595369411764709</c:v>
                </c:pt>
                <c:pt idx="87">
                  <c:v>1.6788338823529414</c:v>
                </c:pt>
                <c:pt idx="88">
                  <c:v>1.6981308235294119</c:v>
                </c:pt>
                <c:pt idx="89">
                  <c:v>1.7174277647058824</c:v>
                </c:pt>
                <c:pt idx="90">
                  <c:v>1.7367247058823532</c:v>
                </c:pt>
                <c:pt idx="91">
                  <c:v>1.7560216470588237</c:v>
                </c:pt>
                <c:pt idx="92">
                  <c:v>1.7753185882352942</c:v>
                </c:pt>
                <c:pt idx="93">
                  <c:v>1.7946155294117647</c:v>
                </c:pt>
                <c:pt idx="94">
                  <c:v>1.8139124705882355</c:v>
                </c:pt>
                <c:pt idx="95">
                  <c:v>1.833209411764706</c:v>
                </c:pt>
                <c:pt idx="96">
                  <c:v>1.8525063529411765</c:v>
                </c:pt>
                <c:pt idx="97">
                  <c:v>1.871803294117647</c:v>
                </c:pt>
                <c:pt idx="98">
                  <c:v>1.8911002352941177</c:v>
                </c:pt>
                <c:pt idx="99">
                  <c:v>1.9103971764705883</c:v>
                </c:pt>
                <c:pt idx="100">
                  <c:v>1.9296941176470588</c:v>
                </c:pt>
                <c:pt idx="101">
                  <c:v>1.9489910588235293</c:v>
                </c:pt>
                <c:pt idx="102">
                  <c:v>1.9682880000000003</c:v>
                </c:pt>
                <c:pt idx="103">
                  <c:v>1.9875849411764708</c:v>
                </c:pt>
                <c:pt idx="104">
                  <c:v>2.0068818823529413</c:v>
                </c:pt>
                <c:pt idx="105">
                  <c:v>2.0261788235294116</c:v>
                </c:pt>
                <c:pt idx="106">
                  <c:v>2.0454757647058823</c:v>
                </c:pt>
                <c:pt idx="107">
                  <c:v>2.0647727058823531</c:v>
                </c:pt>
                <c:pt idx="108">
                  <c:v>2.0840696470588238</c:v>
                </c:pt>
                <c:pt idx="109">
                  <c:v>2.1033665882352941</c:v>
                </c:pt>
                <c:pt idx="110">
                  <c:v>2.1226635294117648</c:v>
                </c:pt>
                <c:pt idx="111">
                  <c:v>2.1419604705882356</c:v>
                </c:pt>
                <c:pt idx="112">
                  <c:v>2.1612574117647059</c:v>
                </c:pt>
                <c:pt idx="113">
                  <c:v>2.1805543529411766</c:v>
                </c:pt>
                <c:pt idx="114">
                  <c:v>2.1998512941176473</c:v>
                </c:pt>
                <c:pt idx="115">
                  <c:v>2.2191482352941176</c:v>
                </c:pt>
                <c:pt idx="116">
                  <c:v>2.2384451764705884</c:v>
                </c:pt>
                <c:pt idx="117">
                  <c:v>2.2577421176470587</c:v>
                </c:pt>
                <c:pt idx="118">
                  <c:v>2.2770390588235294</c:v>
                </c:pt>
                <c:pt idx="119">
                  <c:v>2.2963360000000002</c:v>
                </c:pt>
                <c:pt idx="120">
                  <c:v>2.3156329411764704</c:v>
                </c:pt>
                <c:pt idx="121">
                  <c:v>2.3349298823529412</c:v>
                </c:pt>
                <c:pt idx="122">
                  <c:v>2.3542268235294119</c:v>
                </c:pt>
                <c:pt idx="123">
                  <c:v>2.3735237647058827</c:v>
                </c:pt>
                <c:pt idx="124">
                  <c:v>2.392820705882353</c:v>
                </c:pt>
                <c:pt idx="125">
                  <c:v>2.4121176470588237</c:v>
                </c:pt>
                <c:pt idx="126">
                  <c:v>2.4314145882352944</c:v>
                </c:pt>
                <c:pt idx="127">
                  <c:v>2.4507115294117647</c:v>
                </c:pt>
                <c:pt idx="128">
                  <c:v>2.4700084705882355</c:v>
                </c:pt>
                <c:pt idx="129">
                  <c:v>2.4893054117647058</c:v>
                </c:pt>
                <c:pt idx="130">
                  <c:v>2.5086023529411765</c:v>
                </c:pt>
                <c:pt idx="131">
                  <c:v>2.5278992941176468</c:v>
                </c:pt>
                <c:pt idx="132">
                  <c:v>2.547196235294118</c:v>
                </c:pt>
                <c:pt idx="133">
                  <c:v>2.5664931764705887</c:v>
                </c:pt>
                <c:pt idx="134">
                  <c:v>2.585790117647059</c:v>
                </c:pt>
                <c:pt idx="135">
                  <c:v>2.6050870588235298</c:v>
                </c:pt>
                <c:pt idx="136">
                  <c:v>2.6243840000000001</c:v>
                </c:pt>
                <c:pt idx="137">
                  <c:v>2.6436809411764708</c:v>
                </c:pt>
                <c:pt idx="138">
                  <c:v>2.6629778823529411</c:v>
                </c:pt>
                <c:pt idx="139">
                  <c:v>2.6822748235294118</c:v>
                </c:pt>
                <c:pt idx="140">
                  <c:v>2.7015717647058826</c:v>
                </c:pt>
                <c:pt idx="141">
                  <c:v>2.7208687058823533</c:v>
                </c:pt>
                <c:pt idx="142">
                  <c:v>2.7401656470588236</c:v>
                </c:pt>
                <c:pt idx="143">
                  <c:v>2.7594625882352943</c:v>
                </c:pt>
                <c:pt idx="144">
                  <c:v>2.7787595294117646</c:v>
                </c:pt>
                <c:pt idx="145">
                  <c:v>2.7980564705882354</c:v>
                </c:pt>
                <c:pt idx="146">
                  <c:v>2.8173534117647057</c:v>
                </c:pt>
                <c:pt idx="147">
                  <c:v>2.8366503529411764</c:v>
                </c:pt>
                <c:pt idx="148">
                  <c:v>2.8559472941176476</c:v>
                </c:pt>
                <c:pt idx="149">
                  <c:v>2.8752442352941179</c:v>
                </c:pt>
                <c:pt idx="150">
                  <c:v>2.8945411764705886</c:v>
                </c:pt>
                <c:pt idx="151">
                  <c:v>2.9138381176470589</c:v>
                </c:pt>
                <c:pt idx="152">
                  <c:v>2.9331350588235297</c:v>
                </c:pt>
                <c:pt idx="153">
                  <c:v>2.9524319999999999</c:v>
                </c:pt>
                <c:pt idx="154">
                  <c:v>2.9717289411764707</c:v>
                </c:pt>
                <c:pt idx="155">
                  <c:v>2.991025882352941</c:v>
                </c:pt>
                <c:pt idx="156">
                  <c:v>3.0103228235294122</c:v>
                </c:pt>
                <c:pt idx="157">
                  <c:v>3.0296197647058825</c:v>
                </c:pt>
                <c:pt idx="158">
                  <c:v>3.0489167058823532</c:v>
                </c:pt>
                <c:pt idx="159">
                  <c:v>3.0682136470588235</c:v>
                </c:pt>
                <c:pt idx="160">
                  <c:v>3.0875105882352942</c:v>
                </c:pt>
                <c:pt idx="161">
                  <c:v>3.1068075294117645</c:v>
                </c:pt>
                <c:pt idx="162">
                  <c:v>3.1261044705882353</c:v>
                </c:pt>
                <c:pt idx="163">
                  <c:v>3.1454014117647056</c:v>
                </c:pt>
                <c:pt idx="164">
                  <c:v>3.1646983529411767</c:v>
                </c:pt>
                <c:pt idx="165">
                  <c:v>3.1839952941176475</c:v>
                </c:pt>
                <c:pt idx="166">
                  <c:v>3.2032922352941178</c:v>
                </c:pt>
                <c:pt idx="167">
                  <c:v>3.2225891764705885</c:v>
                </c:pt>
                <c:pt idx="168">
                  <c:v>3.2418861176470588</c:v>
                </c:pt>
                <c:pt idx="169">
                  <c:v>3.2611830588235295</c:v>
                </c:pt>
                <c:pt idx="170">
                  <c:v>3.2804799999999998</c:v>
                </c:pt>
                <c:pt idx="171">
                  <c:v>3.2997769411764706</c:v>
                </c:pt>
                <c:pt idx="172">
                  <c:v>3.3190738823529418</c:v>
                </c:pt>
                <c:pt idx="173">
                  <c:v>3.3383708235294121</c:v>
                </c:pt>
                <c:pt idx="174">
                  <c:v>3.3576677647058828</c:v>
                </c:pt>
                <c:pt idx="175">
                  <c:v>3.3769647058823531</c:v>
                </c:pt>
                <c:pt idx="176">
                  <c:v>3.3962616470588238</c:v>
                </c:pt>
                <c:pt idx="177">
                  <c:v>3.4155585882352941</c:v>
                </c:pt>
                <c:pt idx="178">
                  <c:v>3.4348555294117649</c:v>
                </c:pt>
                <c:pt idx="179">
                  <c:v>3.4541524705882352</c:v>
                </c:pt>
                <c:pt idx="180">
                  <c:v>3.4734494117647063</c:v>
                </c:pt>
                <c:pt idx="181">
                  <c:v>3.4927463529411766</c:v>
                </c:pt>
                <c:pt idx="182">
                  <c:v>3.5120432941176474</c:v>
                </c:pt>
                <c:pt idx="183">
                  <c:v>3.5313402352941177</c:v>
                </c:pt>
                <c:pt idx="184">
                  <c:v>3.5506371764705884</c:v>
                </c:pt>
                <c:pt idx="185">
                  <c:v>3.5699341176470587</c:v>
                </c:pt>
                <c:pt idx="186">
                  <c:v>3.5892310588235294</c:v>
                </c:pt>
                <c:pt idx="187">
                  <c:v>3.6085279999999997</c:v>
                </c:pt>
                <c:pt idx="188">
                  <c:v>3.6278249411764709</c:v>
                </c:pt>
                <c:pt idx="189">
                  <c:v>3.6471218823529417</c:v>
                </c:pt>
                <c:pt idx="190">
                  <c:v>3.666418823529412</c:v>
                </c:pt>
                <c:pt idx="191">
                  <c:v>3.6857157647058827</c:v>
                </c:pt>
                <c:pt idx="192">
                  <c:v>3.705012705882353</c:v>
                </c:pt>
                <c:pt idx="193">
                  <c:v>3.7243096470588237</c:v>
                </c:pt>
                <c:pt idx="194">
                  <c:v>3.743606588235294</c:v>
                </c:pt>
                <c:pt idx="195">
                  <c:v>3.7629035294117648</c:v>
                </c:pt>
                <c:pt idx="196">
                  <c:v>3.7822004705882355</c:v>
                </c:pt>
                <c:pt idx="197">
                  <c:v>3.8014974117647062</c:v>
                </c:pt>
                <c:pt idx="198">
                  <c:v>3.8207943529411765</c:v>
                </c:pt>
                <c:pt idx="199">
                  <c:v>3.8400912941176473</c:v>
                </c:pt>
                <c:pt idx="200">
                  <c:v>3.8593882352941176</c:v>
                </c:pt>
                <c:pt idx="201">
                  <c:v>3.8786851764705883</c:v>
                </c:pt>
                <c:pt idx="202">
                  <c:v>3.8979821176470586</c:v>
                </c:pt>
                <c:pt idx="203">
                  <c:v>3.9172790588235293</c:v>
                </c:pt>
                <c:pt idx="204">
                  <c:v>3.9365760000000005</c:v>
                </c:pt>
                <c:pt idx="205">
                  <c:v>3.9558729411764708</c:v>
                </c:pt>
                <c:pt idx="206">
                  <c:v>3.9751698823529416</c:v>
                </c:pt>
                <c:pt idx="207">
                  <c:v>3.9944668235294118</c:v>
                </c:pt>
                <c:pt idx="208">
                  <c:v>4.0137637647058826</c:v>
                </c:pt>
                <c:pt idx="209">
                  <c:v>4.0330607058823533</c:v>
                </c:pt>
                <c:pt idx="210">
                  <c:v>4.0523576470588232</c:v>
                </c:pt>
                <c:pt idx="211">
                  <c:v>4.0716545882352939</c:v>
                </c:pt>
                <c:pt idx="212">
                  <c:v>4.0909515294117647</c:v>
                </c:pt>
                <c:pt idx="213">
                  <c:v>4.1102484705882354</c:v>
                </c:pt>
                <c:pt idx="214">
                  <c:v>4.1295454117647061</c:v>
                </c:pt>
                <c:pt idx="215">
                  <c:v>4.1488423529411769</c:v>
                </c:pt>
                <c:pt idx="216">
                  <c:v>4.1681392941176476</c:v>
                </c:pt>
                <c:pt idx="217">
                  <c:v>4.1874362352941175</c:v>
                </c:pt>
                <c:pt idx="218">
                  <c:v>4.2067331764705882</c:v>
                </c:pt>
                <c:pt idx="219">
                  <c:v>4.2260301176470589</c:v>
                </c:pt>
                <c:pt idx="220">
                  <c:v>4.2453270588235297</c:v>
                </c:pt>
                <c:pt idx="221">
                  <c:v>4.2646240000000004</c:v>
                </c:pt>
                <c:pt idx="222">
                  <c:v>4.2839209411764712</c:v>
                </c:pt>
                <c:pt idx="223">
                  <c:v>4.303217882352941</c:v>
                </c:pt>
                <c:pt idx="224">
                  <c:v>4.3225148235294117</c:v>
                </c:pt>
                <c:pt idx="225">
                  <c:v>4.3418117647058825</c:v>
                </c:pt>
                <c:pt idx="226">
                  <c:v>4.3611087058823532</c:v>
                </c:pt>
                <c:pt idx="227">
                  <c:v>4.3804056470588231</c:v>
                </c:pt>
                <c:pt idx="228">
                  <c:v>4.3997025882352947</c:v>
                </c:pt>
                <c:pt idx="229">
                  <c:v>4.4189995294117654</c:v>
                </c:pt>
                <c:pt idx="230">
                  <c:v>4.4382964705882353</c:v>
                </c:pt>
                <c:pt idx="231">
                  <c:v>4.457593411764706</c:v>
                </c:pt>
                <c:pt idx="232">
                  <c:v>4.4768903529411768</c:v>
                </c:pt>
                <c:pt idx="233">
                  <c:v>4.4961872941176475</c:v>
                </c:pt>
                <c:pt idx="234">
                  <c:v>4.5154842352941174</c:v>
                </c:pt>
                <c:pt idx="235">
                  <c:v>4.5347811764705881</c:v>
                </c:pt>
                <c:pt idx="236">
                  <c:v>4.5540781176470588</c:v>
                </c:pt>
                <c:pt idx="237">
                  <c:v>4.5733750588235296</c:v>
                </c:pt>
                <c:pt idx="238">
                  <c:v>4.5926720000000003</c:v>
                </c:pt>
                <c:pt idx="239">
                  <c:v>4.611968941176471</c:v>
                </c:pt>
                <c:pt idx="240">
                  <c:v>4.6312658823529409</c:v>
                </c:pt>
                <c:pt idx="241">
                  <c:v>4.6505628235294116</c:v>
                </c:pt>
                <c:pt idx="242">
                  <c:v>4.6698597647058824</c:v>
                </c:pt>
                <c:pt idx="243">
                  <c:v>4.6891567058823531</c:v>
                </c:pt>
                <c:pt idx="244">
                  <c:v>4.7084536470588239</c:v>
                </c:pt>
                <c:pt idx="245">
                  <c:v>4.7277505882352946</c:v>
                </c:pt>
                <c:pt idx="246">
                  <c:v>4.7470475294117653</c:v>
                </c:pt>
                <c:pt idx="247">
                  <c:v>4.7663444705882352</c:v>
                </c:pt>
                <c:pt idx="248">
                  <c:v>4.7856414117647059</c:v>
                </c:pt>
                <c:pt idx="249">
                  <c:v>4.8049383529411767</c:v>
                </c:pt>
                <c:pt idx="250">
                  <c:v>4.8242352941176474</c:v>
                </c:pt>
                <c:pt idx="251">
                  <c:v>4.8435322352941172</c:v>
                </c:pt>
                <c:pt idx="252">
                  <c:v>4.8628291764705889</c:v>
                </c:pt>
                <c:pt idx="253">
                  <c:v>4.8821261176470587</c:v>
                </c:pt>
                <c:pt idx="254">
                  <c:v>4.9014230588235295</c:v>
                </c:pt>
                <c:pt idx="255">
                  <c:v>4.9207200000000002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704</c:v>
                </c:pt>
                <c:pt idx="7">
                  <c:v>0</c:v>
                </c:pt>
                <c:pt idx="8">
                  <c:v>450</c:v>
                </c:pt>
                <c:pt idx="9">
                  <c:v>0</c:v>
                </c:pt>
                <c:pt idx="10">
                  <c:v>0</c:v>
                </c:pt>
                <c:pt idx="11">
                  <c:v>1211</c:v>
                </c:pt>
                <c:pt idx="12">
                  <c:v>0</c:v>
                </c:pt>
                <c:pt idx="13">
                  <c:v>2463</c:v>
                </c:pt>
                <c:pt idx="14">
                  <c:v>0</c:v>
                </c:pt>
                <c:pt idx="15">
                  <c:v>0</c:v>
                </c:pt>
                <c:pt idx="16">
                  <c:v>2438</c:v>
                </c:pt>
                <c:pt idx="17">
                  <c:v>0</c:v>
                </c:pt>
                <c:pt idx="18">
                  <c:v>0</c:v>
                </c:pt>
                <c:pt idx="19">
                  <c:v>8871</c:v>
                </c:pt>
                <c:pt idx="20">
                  <c:v>0</c:v>
                </c:pt>
                <c:pt idx="21">
                  <c:v>9644</c:v>
                </c:pt>
                <c:pt idx="22">
                  <c:v>0</c:v>
                </c:pt>
                <c:pt idx="23">
                  <c:v>0</c:v>
                </c:pt>
                <c:pt idx="24">
                  <c:v>12321</c:v>
                </c:pt>
                <c:pt idx="25">
                  <c:v>0</c:v>
                </c:pt>
                <c:pt idx="26">
                  <c:v>17176</c:v>
                </c:pt>
                <c:pt idx="27">
                  <c:v>0</c:v>
                </c:pt>
                <c:pt idx="28">
                  <c:v>0</c:v>
                </c:pt>
                <c:pt idx="29">
                  <c:v>21087</c:v>
                </c:pt>
                <c:pt idx="30">
                  <c:v>0</c:v>
                </c:pt>
                <c:pt idx="31">
                  <c:v>31110</c:v>
                </c:pt>
                <c:pt idx="32">
                  <c:v>0</c:v>
                </c:pt>
                <c:pt idx="33">
                  <c:v>0</c:v>
                </c:pt>
                <c:pt idx="34">
                  <c:v>40212</c:v>
                </c:pt>
                <c:pt idx="35">
                  <c:v>0</c:v>
                </c:pt>
                <c:pt idx="36">
                  <c:v>0</c:v>
                </c:pt>
                <c:pt idx="37">
                  <c:v>58638</c:v>
                </c:pt>
                <c:pt idx="38">
                  <c:v>0</c:v>
                </c:pt>
                <c:pt idx="39">
                  <c:v>74958</c:v>
                </c:pt>
                <c:pt idx="40">
                  <c:v>0</c:v>
                </c:pt>
                <c:pt idx="41">
                  <c:v>0</c:v>
                </c:pt>
                <c:pt idx="42">
                  <c:v>86327</c:v>
                </c:pt>
                <c:pt idx="43">
                  <c:v>0</c:v>
                </c:pt>
                <c:pt idx="44">
                  <c:v>97466</c:v>
                </c:pt>
                <c:pt idx="45">
                  <c:v>0</c:v>
                </c:pt>
                <c:pt idx="46">
                  <c:v>0</c:v>
                </c:pt>
                <c:pt idx="47">
                  <c:v>104739</c:v>
                </c:pt>
                <c:pt idx="48">
                  <c:v>0</c:v>
                </c:pt>
                <c:pt idx="49">
                  <c:v>104914</c:v>
                </c:pt>
                <c:pt idx="50">
                  <c:v>0</c:v>
                </c:pt>
                <c:pt idx="51">
                  <c:v>0</c:v>
                </c:pt>
                <c:pt idx="52">
                  <c:v>117045</c:v>
                </c:pt>
                <c:pt idx="53">
                  <c:v>0</c:v>
                </c:pt>
                <c:pt idx="54">
                  <c:v>0</c:v>
                </c:pt>
                <c:pt idx="55">
                  <c:v>117603</c:v>
                </c:pt>
                <c:pt idx="56">
                  <c:v>0</c:v>
                </c:pt>
                <c:pt idx="57">
                  <c:v>135142</c:v>
                </c:pt>
                <c:pt idx="58">
                  <c:v>0</c:v>
                </c:pt>
                <c:pt idx="59">
                  <c:v>0</c:v>
                </c:pt>
                <c:pt idx="60">
                  <c:v>140558</c:v>
                </c:pt>
                <c:pt idx="61">
                  <c:v>0</c:v>
                </c:pt>
                <c:pt idx="62">
                  <c:v>153700</c:v>
                </c:pt>
                <c:pt idx="63">
                  <c:v>0</c:v>
                </c:pt>
                <c:pt idx="64">
                  <c:v>0</c:v>
                </c:pt>
                <c:pt idx="65">
                  <c:v>163658</c:v>
                </c:pt>
                <c:pt idx="66">
                  <c:v>0</c:v>
                </c:pt>
                <c:pt idx="67">
                  <c:v>174102</c:v>
                </c:pt>
                <c:pt idx="68">
                  <c:v>0</c:v>
                </c:pt>
                <c:pt idx="69">
                  <c:v>0</c:v>
                </c:pt>
                <c:pt idx="70">
                  <c:v>194888</c:v>
                </c:pt>
                <c:pt idx="71">
                  <c:v>0</c:v>
                </c:pt>
                <c:pt idx="72">
                  <c:v>0</c:v>
                </c:pt>
                <c:pt idx="73">
                  <c:v>228957</c:v>
                </c:pt>
                <c:pt idx="74">
                  <c:v>0</c:v>
                </c:pt>
                <c:pt idx="75">
                  <c:v>242949</c:v>
                </c:pt>
                <c:pt idx="76">
                  <c:v>0</c:v>
                </c:pt>
                <c:pt idx="77">
                  <c:v>0</c:v>
                </c:pt>
                <c:pt idx="78">
                  <c:v>268684</c:v>
                </c:pt>
                <c:pt idx="79">
                  <c:v>0</c:v>
                </c:pt>
                <c:pt idx="80">
                  <c:v>290209</c:v>
                </c:pt>
                <c:pt idx="81">
                  <c:v>0</c:v>
                </c:pt>
                <c:pt idx="82">
                  <c:v>0</c:v>
                </c:pt>
                <c:pt idx="83">
                  <c:v>306554</c:v>
                </c:pt>
                <c:pt idx="84">
                  <c:v>0</c:v>
                </c:pt>
                <c:pt idx="85">
                  <c:v>0</c:v>
                </c:pt>
                <c:pt idx="86">
                  <c:v>302885</c:v>
                </c:pt>
                <c:pt idx="87">
                  <c:v>0</c:v>
                </c:pt>
                <c:pt idx="88">
                  <c:v>306196</c:v>
                </c:pt>
                <c:pt idx="89">
                  <c:v>0</c:v>
                </c:pt>
                <c:pt idx="90">
                  <c:v>0</c:v>
                </c:pt>
                <c:pt idx="91">
                  <c:v>297742</c:v>
                </c:pt>
                <c:pt idx="92">
                  <c:v>0</c:v>
                </c:pt>
                <c:pt idx="93">
                  <c:v>306670</c:v>
                </c:pt>
                <c:pt idx="94">
                  <c:v>0</c:v>
                </c:pt>
                <c:pt idx="95">
                  <c:v>0</c:v>
                </c:pt>
                <c:pt idx="96">
                  <c:v>316256</c:v>
                </c:pt>
                <c:pt idx="97">
                  <c:v>0</c:v>
                </c:pt>
                <c:pt idx="98">
                  <c:v>319875</c:v>
                </c:pt>
                <c:pt idx="99">
                  <c:v>0</c:v>
                </c:pt>
                <c:pt idx="100">
                  <c:v>0</c:v>
                </c:pt>
                <c:pt idx="101">
                  <c:v>313028</c:v>
                </c:pt>
                <c:pt idx="102">
                  <c:v>0</c:v>
                </c:pt>
                <c:pt idx="103">
                  <c:v>0</c:v>
                </c:pt>
                <c:pt idx="104">
                  <c:v>310287</c:v>
                </c:pt>
                <c:pt idx="105">
                  <c:v>0</c:v>
                </c:pt>
                <c:pt idx="106">
                  <c:v>313484</c:v>
                </c:pt>
                <c:pt idx="107">
                  <c:v>0</c:v>
                </c:pt>
                <c:pt idx="108">
                  <c:v>0</c:v>
                </c:pt>
                <c:pt idx="109">
                  <c:v>288757</c:v>
                </c:pt>
                <c:pt idx="110">
                  <c:v>0</c:v>
                </c:pt>
                <c:pt idx="111">
                  <c:v>273908</c:v>
                </c:pt>
                <c:pt idx="112">
                  <c:v>0</c:v>
                </c:pt>
                <c:pt idx="113">
                  <c:v>0</c:v>
                </c:pt>
                <c:pt idx="114">
                  <c:v>274599</c:v>
                </c:pt>
                <c:pt idx="115">
                  <c:v>0</c:v>
                </c:pt>
                <c:pt idx="116">
                  <c:v>253491</c:v>
                </c:pt>
                <c:pt idx="117">
                  <c:v>0</c:v>
                </c:pt>
                <c:pt idx="118">
                  <c:v>0</c:v>
                </c:pt>
                <c:pt idx="119">
                  <c:v>222680</c:v>
                </c:pt>
                <c:pt idx="120">
                  <c:v>0</c:v>
                </c:pt>
                <c:pt idx="121">
                  <c:v>0</c:v>
                </c:pt>
                <c:pt idx="122">
                  <c:v>189935</c:v>
                </c:pt>
                <c:pt idx="123">
                  <c:v>0</c:v>
                </c:pt>
                <c:pt idx="124">
                  <c:v>166426</c:v>
                </c:pt>
                <c:pt idx="125">
                  <c:v>0</c:v>
                </c:pt>
                <c:pt idx="126">
                  <c:v>0</c:v>
                </c:pt>
                <c:pt idx="127">
                  <c:v>141474</c:v>
                </c:pt>
                <c:pt idx="128">
                  <c:v>0</c:v>
                </c:pt>
                <c:pt idx="129">
                  <c:v>122087</c:v>
                </c:pt>
                <c:pt idx="130">
                  <c:v>0</c:v>
                </c:pt>
                <c:pt idx="131">
                  <c:v>0</c:v>
                </c:pt>
                <c:pt idx="132">
                  <c:v>102552</c:v>
                </c:pt>
                <c:pt idx="133">
                  <c:v>0</c:v>
                </c:pt>
                <c:pt idx="134">
                  <c:v>98223</c:v>
                </c:pt>
                <c:pt idx="135">
                  <c:v>0</c:v>
                </c:pt>
                <c:pt idx="136">
                  <c:v>0</c:v>
                </c:pt>
                <c:pt idx="137">
                  <c:v>87279</c:v>
                </c:pt>
                <c:pt idx="138">
                  <c:v>0</c:v>
                </c:pt>
                <c:pt idx="139">
                  <c:v>0</c:v>
                </c:pt>
                <c:pt idx="140">
                  <c:v>80276</c:v>
                </c:pt>
                <c:pt idx="141">
                  <c:v>0</c:v>
                </c:pt>
                <c:pt idx="142">
                  <c:v>70662</c:v>
                </c:pt>
                <c:pt idx="143">
                  <c:v>0</c:v>
                </c:pt>
                <c:pt idx="144">
                  <c:v>0</c:v>
                </c:pt>
                <c:pt idx="145">
                  <c:v>61257</c:v>
                </c:pt>
                <c:pt idx="146">
                  <c:v>0</c:v>
                </c:pt>
                <c:pt idx="147">
                  <c:v>49907</c:v>
                </c:pt>
                <c:pt idx="148">
                  <c:v>0</c:v>
                </c:pt>
                <c:pt idx="149">
                  <c:v>0</c:v>
                </c:pt>
                <c:pt idx="150">
                  <c:v>40967</c:v>
                </c:pt>
                <c:pt idx="151">
                  <c:v>0</c:v>
                </c:pt>
                <c:pt idx="152">
                  <c:v>39707</c:v>
                </c:pt>
                <c:pt idx="153">
                  <c:v>0</c:v>
                </c:pt>
                <c:pt idx="154">
                  <c:v>0</c:v>
                </c:pt>
                <c:pt idx="155">
                  <c:v>35150</c:v>
                </c:pt>
                <c:pt idx="156">
                  <c:v>0</c:v>
                </c:pt>
                <c:pt idx="157">
                  <c:v>0</c:v>
                </c:pt>
                <c:pt idx="158">
                  <c:v>24645</c:v>
                </c:pt>
                <c:pt idx="159">
                  <c:v>0</c:v>
                </c:pt>
                <c:pt idx="160">
                  <c:v>18655</c:v>
                </c:pt>
                <c:pt idx="161">
                  <c:v>0</c:v>
                </c:pt>
                <c:pt idx="162">
                  <c:v>0</c:v>
                </c:pt>
                <c:pt idx="163">
                  <c:v>10507</c:v>
                </c:pt>
                <c:pt idx="164">
                  <c:v>0</c:v>
                </c:pt>
                <c:pt idx="165">
                  <c:v>9653</c:v>
                </c:pt>
                <c:pt idx="166">
                  <c:v>0</c:v>
                </c:pt>
                <c:pt idx="167">
                  <c:v>0</c:v>
                </c:pt>
                <c:pt idx="168">
                  <c:v>6389</c:v>
                </c:pt>
                <c:pt idx="169">
                  <c:v>0</c:v>
                </c:pt>
                <c:pt idx="170">
                  <c:v>0</c:v>
                </c:pt>
                <c:pt idx="171">
                  <c:v>3934</c:v>
                </c:pt>
                <c:pt idx="172">
                  <c:v>0</c:v>
                </c:pt>
                <c:pt idx="173">
                  <c:v>2416</c:v>
                </c:pt>
                <c:pt idx="174">
                  <c:v>0</c:v>
                </c:pt>
                <c:pt idx="175">
                  <c:v>0</c:v>
                </c:pt>
                <c:pt idx="176">
                  <c:v>477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2.2598599999999998</c:v>
                </c:pt>
                <c:pt idx="1">
                  <c:v>2.3228200000000001</c:v>
                </c:pt>
                <c:pt idx="2">
                  <c:v>2.3847800000000001</c:v>
                </c:pt>
                <c:pt idx="3">
                  <c:v>2.4469799999999999</c:v>
                </c:pt>
                <c:pt idx="4">
                  <c:v>2.5077300000000005</c:v>
                </c:pt>
                <c:pt idx="5">
                  <c:v>2.5658099999999999</c:v>
                </c:pt>
                <c:pt idx="6">
                  <c:v>2.6219399999999999</c:v>
                </c:pt>
                <c:pt idx="7">
                  <c:v>2.6788499999999997</c:v>
                </c:pt>
                <c:pt idx="8">
                  <c:v>2.7368600000000001</c:v>
                </c:pt>
                <c:pt idx="9">
                  <c:v>2.7966299999999999</c:v>
                </c:pt>
                <c:pt idx="10">
                  <c:v>2.85833</c:v>
                </c:pt>
                <c:pt idx="11">
                  <c:v>2.92354</c:v>
                </c:pt>
                <c:pt idx="12">
                  <c:v>2.9895199999999997</c:v>
                </c:pt>
                <c:pt idx="13">
                  <c:v>3.0585100000000001</c:v>
                </c:pt>
                <c:pt idx="14">
                  <c:v>3.1290100000000001</c:v>
                </c:pt>
                <c:pt idx="15">
                  <c:v>3.2009300000000001</c:v>
                </c:pt>
                <c:pt idx="16">
                  <c:v>3.2751200000000003</c:v>
                </c:pt>
                <c:pt idx="17">
                  <c:v>3.3516499999999998</c:v>
                </c:pt>
                <c:pt idx="18">
                  <c:v>3.4278300000000002</c:v>
                </c:pt>
                <c:pt idx="19">
                  <c:v>3.4998899999999997</c:v>
                </c:pt>
                <c:pt idx="20">
                  <c:v>3.5674399999999999</c:v>
                </c:pt>
                <c:pt idx="21">
                  <c:v>3.6264400000000001</c:v>
                </c:pt>
                <c:pt idx="22">
                  <c:v>3.6745899999999998</c:v>
                </c:pt>
                <c:pt idx="23">
                  <c:v>3.71821</c:v>
                </c:pt>
                <c:pt idx="24">
                  <c:v>3.7589800000000002</c:v>
                </c:pt>
                <c:pt idx="25">
                  <c:v>3.7953799999999998</c:v>
                </c:pt>
                <c:pt idx="26">
                  <c:v>3.8263200000000004</c:v>
                </c:pt>
                <c:pt idx="27">
                  <c:v>3.8551899999999999</c:v>
                </c:pt>
                <c:pt idx="28">
                  <c:v>3.8780299999999999</c:v>
                </c:pt>
                <c:pt idx="29">
                  <c:v>3.89825</c:v>
                </c:pt>
                <c:pt idx="30">
                  <c:v>3.91927</c:v>
                </c:pt>
                <c:pt idx="31">
                  <c:v>3.9413999999999998</c:v>
                </c:pt>
                <c:pt idx="32">
                  <c:v>3.9638600000000004</c:v>
                </c:pt>
                <c:pt idx="33">
                  <c:v>3.9835500000000001</c:v>
                </c:pt>
                <c:pt idx="34">
                  <c:v>3.99899</c:v>
                </c:pt>
                <c:pt idx="35">
                  <c:v>4.0084799999999996</c:v>
                </c:pt>
                <c:pt idx="36">
                  <c:v>4.0114900000000002</c:v>
                </c:pt>
                <c:pt idx="37">
                  <c:v>4.0091400000000004</c:v>
                </c:pt>
                <c:pt idx="38">
                  <c:v>4.0044599999999999</c:v>
                </c:pt>
                <c:pt idx="39">
                  <c:v>3.9965299999999999</c:v>
                </c:pt>
                <c:pt idx="40">
                  <c:v>3.9839899999999999</c:v>
                </c:pt>
                <c:pt idx="41">
                  <c:v>3.9681100000000002</c:v>
                </c:pt>
                <c:pt idx="42">
                  <c:v>3.9493200000000002</c:v>
                </c:pt>
                <c:pt idx="43">
                  <c:v>3.9237799999999998</c:v>
                </c:pt>
                <c:pt idx="44">
                  <c:v>3.8947500000000002</c:v>
                </c:pt>
                <c:pt idx="45">
                  <c:v>3.8654199999999999</c:v>
                </c:pt>
                <c:pt idx="46">
                  <c:v>3.83812</c:v>
                </c:pt>
                <c:pt idx="47">
                  <c:v>3.8165300000000002</c:v>
                </c:pt>
                <c:pt idx="48">
                  <c:v>3.79928</c:v>
                </c:pt>
                <c:pt idx="49">
                  <c:v>3.7839400000000003</c:v>
                </c:pt>
                <c:pt idx="50">
                  <c:v>3.7713600000000005</c:v>
                </c:pt>
                <c:pt idx="51">
                  <c:v>3.7649400000000002</c:v>
                </c:pt>
                <c:pt idx="52">
                  <c:v>3.7626500000000003</c:v>
                </c:pt>
                <c:pt idx="53">
                  <c:v>3.7691300000000001</c:v>
                </c:pt>
                <c:pt idx="54">
                  <c:v>3.7840199999999999</c:v>
                </c:pt>
                <c:pt idx="55">
                  <c:v>3.8041599999999995</c:v>
                </c:pt>
                <c:pt idx="56">
                  <c:v>3.8461800000000004</c:v>
                </c:pt>
                <c:pt idx="57">
                  <c:v>3.87276</c:v>
                </c:pt>
                <c:pt idx="58">
                  <c:v>3.8869700000000003</c:v>
                </c:pt>
                <c:pt idx="59">
                  <c:v>3.9369900000000002</c:v>
                </c:pt>
                <c:pt idx="60">
                  <c:v>3.9570499999999997</c:v>
                </c:pt>
                <c:pt idx="61">
                  <c:v>4.0066800000000002</c:v>
                </c:pt>
                <c:pt idx="62">
                  <c:v>4.0399400000000005</c:v>
                </c:pt>
                <c:pt idx="63">
                  <c:v>4.0619899999999998</c:v>
                </c:pt>
                <c:pt idx="64">
                  <c:v>4.0886800000000001</c:v>
                </c:pt>
                <c:pt idx="65">
                  <c:v>4.11212</c:v>
                </c:pt>
                <c:pt idx="66">
                  <c:v>4.1270499999999997</c:v>
                </c:pt>
                <c:pt idx="67">
                  <c:v>4.1337600000000005</c:v>
                </c:pt>
                <c:pt idx="68">
                  <c:v>4.1441499999999998</c:v>
                </c:pt>
                <c:pt idx="69">
                  <c:v>4.1508500000000002</c:v>
                </c:pt>
                <c:pt idx="70">
                  <c:v>4.1533899999999999</c:v>
                </c:pt>
                <c:pt idx="71">
                  <c:v>4.1543700000000001</c:v>
                </c:pt>
                <c:pt idx="72">
                  <c:v>4.1538300000000001</c:v>
                </c:pt>
                <c:pt idx="73">
                  <c:v>4.1479900000000001</c:v>
                </c:pt>
                <c:pt idx="74">
                  <c:v>4.1262300000000005</c:v>
                </c:pt>
                <c:pt idx="75">
                  <c:v>4.1119300000000001</c:v>
                </c:pt>
                <c:pt idx="76">
                  <c:v>4.0925799999999999</c:v>
                </c:pt>
                <c:pt idx="77">
                  <c:v>4.0705599999999995</c:v>
                </c:pt>
                <c:pt idx="78">
                  <c:v>4.0447499999999996</c:v>
                </c:pt>
                <c:pt idx="79">
                  <c:v>4.0124700000000004</c:v>
                </c:pt>
                <c:pt idx="80">
                  <c:v>3.9719300000000004</c:v>
                </c:pt>
                <c:pt idx="81">
                  <c:v>3.9229500000000002</c:v>
                </c:pt>
                <c:pt idx="82">
                  <c:v>3.87059</c:v>
                </c:pt>
                <c:pt idx="83">
                  <c:v>3.8139600000000002</c:v>
                </c:pt>
                <c:pt idx="84">
                  <c:v>3.7570199999999998</c:v>
                </c:pt>
                <c:pt idx="85">
                  <c:v>3.7014200000000002</c:v>
                </c:pt>
                <c:pt idx="86">
                  <c:v>3.6461399999999999</c:v>
                </c:pt>
                <c:pt idx="87">
                  <c:v>3.59694</c:v>
                </c:pt>
                <c:pt idx="88">
                  <c:v>3.5521399999999996</c:v>
                </c:pt>
                <c:pt idx="89">
                  <c:v>3.5169899999999998</c:v>
                </c:pt>
                <c:pt idx="90">
                  <c:v>3.4929999999999999</c:v>
                </c:pt>
                <c:pt idx="91">
                  <c:v>3.4767999999999999</c:v>
                </c:pt>
                <c:pt idx="92">
                  <c:v>3.46949</c:v>
                </c:pt>
                <c:pt idx="93">
                  <c:v>3.4706799999999998</c:v>
                </c:pt>
                <c:pt idx="94">
                  <c:v>3.4776000000000002</c:v>
                </c:pt>
                <c:pt idx="95">
                  <c:v>3.4878</c:v>
                </c:pt>
                <c:pt idx="96">
                  <c:v>3.50143</c:v>
                </c:pt>
                <c:pt idx="97">
                  <c:v>3.52081</c:v>
                </c:pt>
                <c:pt idx="98">
                  <c:v>3.5467500000000003</c:v>
                </c:pt>
                <c:pt idx="99">
                  <c:v>3.5769600000000001</c:v>
                </c:pt>
                <c:pt idx="100">
                  <c:v>3.6080800000000002</c:v>
                </c:pt>
                <c:pt idx="101">
                  <c:v>3.6397699999999999</c:v>
                </c:pt>
                <c:pt idx="102">
                  <c:v>3.6706799999999999</c:v>
                </c:pt>
                <c:pt idx="103">
                  <c:v>3.6966700000000001</c:v>
                </c:pt>
                <c:pt idx="104">
                  <c:v>3.7190400000000001</c:v>
                </c:pt>
                <c:pt idx="105">
                  <c:v>3.7397299999999998</c:v>
                </c:pt>
                <c:pt idx="106">
                  <c:v>3.7613400000000001</c:v>
                </c:pt>
                <c:pt idx="107">
                  <c:v>3.7823200000000003</c:v>
                </c:pt>
                <c:pt idx="108">
                  <c:v>3.7991000000000001</c:v>
                </c:pt>
                <c:pt idx="109">
                  <c:v>3.8124000000000002</c:v>
                </c:pt>
                <c:pt idx="110">
                  <c:v>3.8226700000000005</c:v>
                </c:pt>
                <c:pt idx="111">
                  <c:v>3.8305600000000002</c:v>
                </c:pt>
                <c:pt idx="112">
                  <c:v>3.8372800000000002</c:v>
                </c:pt>
                <c:pt idx="113">
                  <c:v>3.8416099999999997</c:v>
                </c:pt>
                <c:pt idx="114">
                  <c:v>3.8468999999999998</c:v>
                </c:pt>
                <c:pt idx="115">
                  <c:v>3.8494600000000001</c:v>
                </c:pt>
                <c:pt idx="116">
                  <c:v>3.8536700000000002</c:v>
                </c:pt>
                <c:pt idx="117">
                  <c:v>3.8564799999999999</c:v>
                </c:pt>
                <c:pt idx="118">
                  <c:v>3.8569900000000001</c:v>
                </c:pt>
                <c:pt idx="119">
                  <c:v>3.8572499999999996</c:v>
                </c:pt>
                <c:pt idx="120">
                  <c:v>3.8565800000000001</c:v>
                </c:pt>
                <c:pt idx="121">
                  <c:v>3.8536100000000002</c:v>
                </c:pt>
                <c:pt idx="122">
                  <c:v>3.8472400000000002</c:v>
                </c:pt>
                <c:pt idx="123">
                  <c:v>3.8400800000000004</c:v>
                </c:pt>
                <c:pt idx="124">
                  <c:v>3.8266899999999997</c:v>
                </c:pt>
                <c:pt idx="125">
                  <c:v>3.81229</c:v>
                </c:pt>
                <c:pt idx="126">
                  <c:v>3.79765</c:v>
                </c:pt>
                <c:pt idx="127">
                  <c:v>3.7817699999999999</c:v>
                </c:pt>
                <c:pt idx="128">
                  <c:v>3.7697599999999998</c:v>
                </c:pt>
                <c:pt idx="129">
                  <c:v>3.7617000000000003</c:v>
                </c:pt>
                <c:pt idx="130">
                  <c:v>3.7580599999999995</c:v>
                </c:pt>
                <c:pt idx="131">
                  <c:v>3.7541400000000005</c:v>
                </c:pt>
                <c:pt idx="132">
                  <c:v>3.7519200000000001</c:v>
                </c:pt>
                <c:pt idx="133">
                  <c:v>3.7549399999999999</c:v>
                </c:pt>
                <c:pt idx="134">
                  <c:v>3.7624499999999999</c:v>
                </c:pt>
                <c:pt idx="135">
                  <c:v>3.7754799999999999</c:v>
                </c:pt>
                <c:pt idx="136">
                  <c:v>3.7933699999999999</c:v>
                </c:pt>
                <c:pt idx="137">
                  <c:v>3.81237</c:v>
                </c:pt>
                <c:pt idx="138">
                  <c:v>3.8367899999999997</c:v>
                </c:pt>
                <c:pt idx="139">
                  <c:v>3.8521200000000002</c:v>
                </c:pt>
                <c:pt idx="140">
                  <c:v>3.86747</c:v>
                </c:pt>
                <c:pt idx="141">
                  <c:v>3.8752500000000003</c:v>
                </c:pt>
                <c:pt idx="142">
                  <c:v>3.8805000000000001</c:v>
                </c:pt>
                <c:pt idx="143">
                  <c:v>3.8864700000000001</c:v>
                </c:pt>
                <c:pt idx="144">
                  <c:v>3.88537</c:v>
                </c:pt>
                <c:pt idx="145">
                  <c:v>3.8835100000000002</c:v>
                </c:pt>
                <c:pt idx="146">
                  <c:v>3.8967800000000001</c:v>
                </c:pt>
                <c:pt idx="147">
                  <c:v>3.9226200000000002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63.871500000000005</c:v>
                </c:pt>
                <c:pt idx="1">
                  <c:v>63.349200000000003</c:v>
                </c:pt>
                <c:pt idx="2">
                  <c:v>62.910200000000003</c:v>
                </c:pt>
                <c:pt idx="3">
                  <c:v>62.437200000000004</c:v>
                </c:pt>
                <c:pt idx="4">
                  <c:v>61.981200000000001</c:v>
                </c:pt>
                <c:pt idx="5">
                  <c:v>61.669799999999995</c:v>
                </c:pt>
                <c:pt idx="6">
                  <c:v>61.481300000000005</c:v>
                </c:pt>
                <c:pt idx="7">
                  <c:v>61.333400000000005</c:v>
                </c:pt>
                <c:pt idx="8">
                  <c:v>61.126899999999992</c:v>
                </c:pt>
                <c:pt idx="9">
                  <c:v>60.852200000000003</c:v>
                </c:pt>
                <c:pt idx="10">
                  <c:v>60.428400000000003</c:v>
                </c:pt>
                <c:pt idx="11">
                  <c:v>59.8384</c:v>
                </c:pt>
                <c:pt idx="12">
                  <c:v>58.984800000000007</c:v>
                </c:pt>
                <c:pt idx="13">
                  <c:v>57.996299999999998</c:v>
                </c:pt>
                <c:pt idx="14">
                  <c:v>56.921999999999997</c:v>
                </c:pt>
                <c:pt idx="15">
                  <c:v>55.887799999999999</c:v>
                </c:pt>
                <c:pt idx="16">
                  <c:v>54.788899999999998</c:v>
                </c:pt>
                <c:pt idx="17">
                  <c:v>53.696999999999996</c:v>
                </c:pt>
                <c:pt idx="18">
                  <c:v>52.651099999999992</c:v>
                </c:pt>
                <c:pt idx="19">
                  <c:v>51.811500000000002</c:v>
                </c:pt>
                <c:pt idx="20">
                  <c:v>51.166500000000006</c:v>
                </c:pt>
                <c:pt idx="21">
                  <c:v>50.861199999999997</c:v>
                </c:pt>
                <c:pt idx="22">
                  <c:v>50.762500000000003</c:v>
                </c:pt>
                <c:pt idx="23">
                  <c:v>50.783299999999997</c:v>
                </c:pt>
                <c:pt idx="24">
                  <c:v>50.77</c:v>
                </c:pt>
                <c:pt idx="25">
                  <c:v>50.797699999999999</c:v>
                </c:pt>
                <c:pt idx="26">
                  <c:v>50.9069</c:v>
                </c:pt>
                <c:pt idx="27">
                  <c:v>51.001700000000007</c:v>
                </c:pt>
                <c:pt idx="28">
                  <c:v>51.103600000000007</c:v>
                </c:pt>
                <c:pt idx="29">
                  <c:v>51.213799999999999</c:v>
                </c:pt>
                <c:pt idx="30">
                  <c:v>51.3551</c:v>
                </c:pt>
                <c:pt idx="31">
                  <c:v>51.509300000000003</c:v>
                </c:pt>
                <c:pt idx="32">
                  <c:v>51.627400000000002</c:v>
                </c:pt>
                <c:pt idx="33">
                  <c:v>51.738300000000002</c:v>
                </c:pt>
                <c:pt idx="34">
                  <c:v>51.812400000000004</c:v>
                </c:pt>
                <c:pt idx="35">
                  <c:v>51.772500000000001</c:v>
                </c:pt>
                <c:pt idx="36">
                  <c:v>51.624600000000001</c:v>
                </c:pt>
                <c:pt idx="37">
                  <c:v>51.449399999999997</c:v>
                </c:pt>
                <c:pt idx="38">
                  <c:v>51.273100000000007</c:v>
                </c:pt>
                <c:pt idx="39">
                  <c:v>51.072399999999995</c:v>
                </c:pt>
                <c:pt idx="40">
                  <c:v>50.841700000000003</c:v>
                </c:pt>
                <c:pt idx="41">
                  <c:v>50.682499999999997</c:v>
                </c:pt>
                <c:pt idx="42">
                  <c:v>50.572300000000006</c:v>
                </c:pt>
                <c:pt idx="43">
                  <c:v>50.517100000000006</c:v>
                </c:pt>
                <c:pt idx="44">
                  <c:v>50.531700000000001</c:v>
                </c:pt>
                <c:pt idx="45">
                  <c:v>50.624899999999997</c:v>
                </c:pt>
                <c:pt idx="46">
                  <c:v>50.662600000000005</c:v>
                </c:pt>
                <c:pt idx="47">
                  <c:v>50.612900000000003</c:v>
                </c:pt>
                <c:pt idx="48">
                  <c:v>50.593600000000002</c:v>
                </c:pt>
                <c:pt idx="49">
                  <c:v>50.675699999999999</c:v>
                </c:pt>
                <c:pt idx="50">
                  <c:v>50.764699999999998</c:v>
                </c:pt>
                <c:pt idx="51">
                  <c:v>50.780899999999995</c:v>
                </c:pt>
                <c:pt idx="52">
                  <c:v>50.7652</c:v>
                </c:pt>
                <c:pt idx="53">
                  <c:v>50.621099999999998</c:v>
                </c:pt>
                <c:pt idx="54">
                  <c:v>50.342500000000001</c:v>
                </c:pt>
                <c:pt idx="55">
                  <c:v>49.902200000000001</c:v>
                </c:pt>
                <c:pt idx="56">
                  <c:v>49.020200000000003</c:v>
                </c:pt>
                <c:pt idx="57">
                  <c:v>48.499600000000001</c:v>
                </c:pt>
                <c:pt idx="58">
                  <c:v>48.155200000000001</c:v>
                </c:pt>
                <c:pt idx="59">
                  <c:v>47.270400000000002</c:v>
                </c:pt>
                <c:pt idx="60">
                  <c:v>46.893099999999997</c:v>
                </c:pt>
                <c:pt idx="61">
                  <c:v>46.146799999999999</c:v>
                </c:pt>
                <c:pt idx="62">
                  <c:v>45.827600000000004</c:v>
                </c:pt>
                <c:pt idx="63">
                  <c:v>45.646500000000003</c:v>
                </c:pt>
                <c:pt idx="64">
                  <c:v>45.5379</c:v>
                </c:pt>
                <c:pt idx="65">
                  <c:v>45.637100000000004</c:v>
                </c:pt>
                <c:pt idx="66">
                  <c:v>45.694200000000002</c:v>
                </c:pt>
                <c:pt idx="67">
                  <c:v>45.783099999999997</c:v>
                </c:pt>
                <c:pt idx="68">
                  <c:v>45.830599999999997</c:v>
                </c:pt>
                <c:pt idx="69">
                  <c:v>45.873000000000005</c:v>
                </c:pt>
                <c:pt idx="70">
                  <c:v>45.900100000000002</c:v>
                </c:pt>
                <c:pt idx="71">
                  <c:v>45.947500000000005</c:v>
                </c:pt>
                <c:pt idx="72">
                  <c:v>45.981999999999999</c:v>
                </c:pt>
                <c:pt idx="73">
                  <c:v>45.875</c:v>
                </c:pt>
                <c:pt idx="74">
                  <c:v>45.5336</c:v>
                </c:pt>
                <c:pt idx="75">
                  <c:v>45.183700000000002</c:v>
                </c:pt>
                <c:pt idx="76">
                  <c:v>44.745200000000004</c:v>
                </c:pt>
                <c:pt idx="77">
                  <c:v>44.3309</c:v>
                </c:pt>
                <c:pt idx="78">
                  <c:v>43.959399999999995</c:v>
                </c:pt>
                <c:pt idx="79">
                  <c:v>43.66</c:v>
                </c:pt>
                <c:pt idx="80">
                  <c:v>43.4848</c:v>
                </c:pt>
                <c:pt idx="81">
                  <c:v>43.458300000000001</c:v>
                </c:pt>
                <c:pt idx="82">
                  <c:v>43.542199999999994</c:v>
                </c:pt>
                <c:pt idx="83">
                  <c:v>43.906300000000002</c:v>
                </c:pt>
                <c:pt idx="84">
                  <c:v>44.616399999999999</c:v>
                </c:pt>
                <c:pt idx="85">
                  <c:v>45.61</c:v>
                </c:pt>
                <c:pt idx="86">
                  <c:v>46.880400000000002</c:v>
                </c:pt>
                <c:pt idx="87">
                  <c:v>48.170400000000001</c:v>
                </c:pt>
                <c:pt idx="88">
                  <c:v>49.595800000000004</c:v>
                </c:pt>
                <c:pt idx="89">
                  <c:v>50.868899999999996</c:v>
                </c:pt>
                <c:pt idx="90">
                  <c:v>51.944199999999995</c:v>
                </c:pt>
                <c:pt idx="91">
                  <c:v>52.9054</c:v>
                </c:pt>
                <c:pt idx="92">
                  <c:v>53.758099999999999</c:v>
                </c:pt>
                <c:pt idx="93">
                  <c:v>54.386199999999995</c:v>
                </c:pt>
                <c:pt idx="94">
                  <c:v>54.821899999999999</c:v>
                </c:pt>
                <c:pt idx="95">
                  <c:v>55.124899999999997</c:v>
                </c:pt>
                <c:pt idx="96">
                  <c:v>55.2821</c:v>
                </c:pt>
                <c:pt idx="97">
                  <c:v>55.322899999999997</c:v>
                </c:pt>
                <c:pt idx="98">
                  <c:v>55.272399999999998</c:v>
                </c:pt>
                <c:pt idx="99">
                  <c:v>55.196999999999996</c:v>
                </c:pt>
                <c:pt idx="100">
                  <c:v>55.195999999999998</c:v>
                </c:pt>
                <c:pt idx="101">
                  <c:v>55.239600000000003</c:v>
                </c:pt>
                <c:pt idx="102">
                  <c:v>55.301000000000002</c:v>
                </c:pt>
                <c:pt idx="103">
                  <c:v>55.470500000000001</c:v>
                </c:pt>
                <c:pt idx="104">
                  <c:v>55.739700000000006</c:v>
                </c:pt>
                <c:pt idx="105">
                  <c:v>56.015300000000003</c:v>
                </c:pt>
                <c:pt idx="106">
                  <c:v>56.292200000000001</c:v>
                </c:pt>
                <c:pt idx="107">
                  <c:v>56.528300000000002</c:v>
                </c:pt>
                <c:pt idx="108">
                  <c:v>56.706100000000006</c:v>
                </c:pt>
                <c:pt idx="109">
                  <c:v>56.7986</c:v>
                </c:pt>
                <c:pt idx="110">
                  <c:v>56.799799999999998</c:v>
                </c:pt>
                <c:pt idx="111">
                  <c:v>56.710999999999999</c:v>
                </c:pt>
                <c:pt idx="112">
                  <c:v>56.588099999999997</c:v>
                </c:pt>
                <c:pt idx="113">
                  <c:v>56.437199999999997</c:v>
                </c:pt>
                <c:pt idx="114">
                  <c:v>56.266300000000001</c:v>
                </c:pt>
                <c:pt idx="115">
                  <c:v>56.057699999999997</c:v>
                </c:pt>
                <c:pt idx="116">
                  <c:v>55.751799999999996</c:v>
                </c:pt>
                <c:pt idx="117">
                  <c:v>55.398699999999998</c:v>
                </c:pt>
                <c:pt idx="118">
                  <c:v>55.043200000000006</c:v>
                </c:pt>
                <c:pt idx="119">
                  <c:v>54.679000000000002</c:v>
                </c:pt>
                <c:pt idx="120">
                  <c:v>54.325800000000001</c:v>
                </c:pt>
                <c:pt idx="121">
                  <c:v>54.014200000000002</c:v>
                </c:pt>
                <c:pt idx="122">
                  <c:v>53.738699999999994</c:v>
                </c:pt>
                <c:pt idx="123">
                  <c:v>53.477200000000003</c:v>
                </c:pt>
                <c:pt idx="124">
                  <c:v>53.349000000000004</c:v>
                </c:pt>
                <c:pt idx="125">
                  <c:v>53.212699999999998</c:v>
                </c:pt>
                <c:pt idx="126">
                  <c:v>53.104500000000002</c:v>
                </c:pt>
                <c:pt idx="127">
                  <c:v>53.056499999999993</c:v>
                </c:pt>
                <c:pt idx="128">
                  <c:v>52.957200000000007</c:v>
                </c:pt>
                <c:pt idx="129">
                  <c:v>52.770399999999995</c:v>
                </c:pt>
                <c:pt idx="130">
                  <c:v>52.574399999999997</c:v>
                </c:pt>
                <c:pt idx="131">
                  <c:v>52.401299999999992</c:v>
                </c:pt>
                <c:pt idx="132">
                  <c:v>52.259199999999993</c:v>
                </c:pt>
                <c:pt idx="133">
                  <c:v>52.160700000000006</c:v>
                </c:pt>
                <c:pt idx="134">
                  <c:v>52.041899999999998</c:v>
                </c:pt>
                <c:pt idx="135">
                  <c:v>51.962899999999998</c:v>
                </c:pt>
                <c:pt idx="136">
                  <c:v>51.9985</c:v>
                </c:pt>
                <c:pt idx="137">
                  <c:v>52.027900000000002</c:v>
                </c:pt>
                <c:pt idx="138">
                  <c:v>51.983900000000006</c:v>
                </c:pt>
                <c:pt idx="139">
                  <c:v>51.800699999999999</c:v>
                </c:pt>
                <c:pt idx="140">
                  <c:v>51.561800000000005</c:v>
                </c:pt>
                <c:pt idx="141">
                  <c:v>51.387300000000003</c:v>
                </c:pt>
                <c:pt idx="142">
                  <c:v>51.261199999999995</c:v>
                </c:pt>
                <c:pt idx="143">
                  <c:v>51.147100000000002</c:v>
                </c:pt>
                <c:pt idx="144">
                  <c:v>51.196399999999997</c:v>
                </c:pt>
                <c:pt idx="145">
                  <c:v>51.270600000000002</c:v>
                </c:pt>
                <c:pt idx="146">
                  <c:v>51.193100000000001</c:v>
                </c:pt>
                <c:pt idx="147">
                  <c:v>50.893000000000001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2.2598599999999998</c:v>
                </c:pt>
                <c:pt idx="1">
                  <c:v>2.3228200000000001</c:v>
                </c:pt>
                <c:pt idx="2">
                  <c:v>2.3847800000000001</c:v>
                </c:pt>
                <c:pt idx="3">
                  <c:v>2.4469799999999999</c:v>
                </c:pt>
                <c:pt idx="4">
                  <c:v>2.5077300000000005</c:v>
                </c:pt>
                <c:pt idx="5">
                  <c:v>2.5658099999999999</c:v>
                </c:pt>
                <c:pt idx="6">
                  <c:v>2.6219399999999999</c:v>
                </c:pt>
                <c:pt idx="7">
                  <c:v>2.6788499999999997</c:v>
                </c:pt>
                <c:pt idx="8">
                  <c:v>2.7368600000000001</c:v>
                </c:pt>
                <c:pt idx="9">
                  <c:v>2.7966299999999999</c:v>
                </c:pt>
                <c:pt idx="10">
                  <c:v>2.85833</c:v>
                </c:pt>
                <c:pt idx="11">
                  <c:v>2.92354</c:v>
                </c:pt>
                <c:pt idx="12">
                  <c:v>2.9895199999999997</c:v>
                </c:pt>
                <c:pt idx="13">
                  <c:v>3.0585100000000001</c:v>
                </c:pt>
                <c:pt idx="14">
                  <c:v>3.1290100000000001</c:v>
                </c:pt>
                <c:pt idx="15">
                  <c:v>3.2009300000000001</c:v>
                </c:pt>
                <c:pt idx="16">
                  <c:v>3.2751200000000003</c:v>
                </c:pt>
                <c:pt idx="17">
                  <c:v>3.3516499999999998</c:v>
                </c:pt>
                <c:pt idx="18">
                  <c:v>3.4278300000000002</c:v>
                </c:pt>
                <c:pt idx="19">
                  <c:v>3.4998899999999997</c:v>
                </c:pt>
                <c:pt idx="20">
                  <c:v>3.5674399999999999</c:v>
                </c:pt>
                <c:pt idx="21">
                  <c:v>3.6264400000000001</c:v>
                </c:pt>
                <c:pt idx="22">
                  <c:v>3.6745899999999998</c:v>
                </c:pt>
                <c:pt idx="23">
                  <c:v>3.71821</c:v>
                </c:pt>
                <c:pt idx="24">
                  <c:v>3.7589800000000002</c:v>
                </c:pt>
                <c:pt idx="25">
                  <c:v>3.7953799999999998</c:v>
                </c:pt>
                <c:pt idx="26">
                  <c:v>3.8263200000000004</c:v>
                </c:pt>
                <c:pt idx="27">
                  <c:v>3.8551899999999999</c:v>
                </c:pt>
                <c:pt idx="28">
                  <c:v>3.8780299999999999</c:v>
                </c:pt>
                <c:pt idx="29">
                  <c:v>3.89825</c:v>
                </c:pt>
                <c:pt idx="30">
                  <c:v>3.91927</c:v>
                </c:pt>
                <c:pt idx="31">
                  <c:v>3.9413999999999998</c:v>
                </c:pt>
                <c:pt idx="32">
                  <c:v>3.9638600000000004</c:v>
                </c:pt>
                <c:pt idx="33">
                  <c:v>3.9835500000000001</c:v>
                </c:pt>
                <c:pt idx="34">
                  <c:v>3.99899</c:v>
                </c:pt>
                <c:pt idx="35">
                  <c:v>4.0084799999999996</c:v>
                </c:pt>
                <c:pt idx="36">
                  <c:v>4.0114900000000002</c:v>
                </c:pt>
                <c:pt idx="37">
                  <c:v>4.0091400000000004</c:v>
                </c:pt>
                <c:pt idx="38">
                  <c:v>4.0044599999999999</c:v>
                </c:pt>
                <c:pt idx="39">
                  <c:v>3.9965299999999999</c:v>
                </c:pt>
                <c:pt idx="40">
                  <c:v>3.9839899999999999</c:v>
                </c:pt>
                <c:pt idx="41">
                  <c:v>3.9681100000000002</c:v>
                </c:pt>
                <c:pt idx="42">
                  <c:v>3.9493200000000002</c:v>
                </c:pt>
                <c:pt idx="43">
                  <c:v>3.9237799999999998</c:v>
                </c:pt>
                <c:pt idx="44">
                  <c:v>3.8947500000000002</c:v>
                </c:pt>
                <c:pt idx="45">
                  <c:v>3.8654199999999999</c:v>
                </c:pt>
                <c:pt idx="46">
                  <c:v>3.83812</c:v>
                </c:pt>
                <c:pt idx="47">
                  <c:v>3.8165300000000002</c:v>
                </c:pt>
                <c:pt idx="48">
                  <c:v>3.79928</c:v>
                </c:pt>
                <c:pt idx="49">
                  <c:v>3.7839400000000003</c:v>
                </c:pt>
                <c:pt idx="50">
                  <c:v>3.7713600000000005</c:v>
                </c:pt>
                <c:pt idx="51">
                  <c:v>3.7649400000000002</c:v>
                </c:pt>
                <c:pt idx="52">
                  <c:v>3.7626500000000003</c:v>
                </c:pt>
                <c:pt idx="53">
                  <c:v>3.7691300000000001</c:v>
                </c:pt>
                <c:pt idx="54">
                  <c:v>3.7840199999999999</c:v>
                </c:pt>
                <c:pt idx="55">
                  <c:v>3.8041599999999995</c:v>
                </c:pt>
                <c:pt idx="56">
                  <c:v>3.8461800000000004</c:v>
                </c:pt>
                <c:pt idx="57">
                  <c:v>3.87276</c:v>
                </c:pt>
                <c:pt idx="58">
                  <c:v>3.8869700000000003</c:v>
                </c:pt>
                <c:pt idx="59">
                  <c:v>3.9369900000000002</c:v>
                </c:pt>
                <c:pt idx="60">
                  <c:v>3.9570499999999997</c:v>
                </c:pt>
                <c:pt idx="61">
                  <c:v>4.0066800000000002</c:v>
                </c:pt>
                <c:pt idx="62">
                  <c:v>4.0399400000000005</c:v>
                </c:pt>
                <c:pt idx="63">
                  <c:v>4.0619899999999998</c:v>
                </c:pt>
                <c:pt idx="64">
                  <c:v>4.0886800000000001</c:v>
                </c:pt>
                <c:pt idx="65">
                  <c:v>4.11212</c:v>
                </c:pt>
                <c:pt idx="66">
                  <c:v>4.1270499999999997</c:v>
                </c:pt>
                <c:pt idx="67">
                  <c:v>4.1337600000000005</c:v>
                </c:pt>
                <c:pt idx="68">
                  <c:v>4.1441499999999998</c:v>
                </c:pt>
                <c:pt idx="69">
                  <c:v>4.1508500000000002</c:v>
                </c:pt>
                <c:pt idx="70">
                  <c:v>4.1533899999999999</c:v>
                </c:pt>
                <c:pt idx="71">
                  <c:v>4.1543700000000001</c:v>
                </c:pt>
                <c:pt idx="72">
                  <c:v>4.1538300000000001</c:v>
                </c:pt>
                <c:pt idx="73">
                  <c:v>4.1479900000000001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63.871500000000005</c:v>
                </c:pt>
                <c:pt idx="1">
                  <c:v>63.349200000000003</c:v>
                </c:pt>
                <c:pt idx="2">
                  <c:v>62.910200000000003</c:v>
                </c:pt>
                <c:pt idx="3">
                  <c:v>62.437200000000004</c:v>
                </c:pt>
                <c:pt idx="4">
                  <c:v>61.981200000000001</c:v>
                </c:pt>
                <c:pt idx="5">
                  <c:v>61.669799999999995</c:v>
                </c:pt>
                <c:pt idx="6">
                  <c:v>61.481300000000005</c:v>
                </c:pt>
                <c:pt idx="7">
                  <c:v>61.333400000000005</c:v>
                </c:pt>
                <c:pt idx="8">
                  <c:v>61.126899999999992</c:v>
                </c:pt>
                <c:pt idx="9">
                  <c:v>60.852200000000003</c:v>
                </c:pt>
                <c:pt idx="10">
                  <c:v>60.428400000000003</c:v>
                </c:pt>
                <c:pt idx="11">
                  <c:v>59.8384</c:v>
                </c:pt>
                <c:pt idx="12">
                  <c:v>58.984800000000007</c:v>
                </c:pt>
                <c:pt idx="13">
                  <c:v>57.996299999999998</c:v>
                </c:pt>
                <c:pt idx="14">
                  <c:v>56.921999999999997</c:v>
                </c:pt>
                <c:pt idx="15">
                  <c:v>55.887799999999999</c:v>
                </c:pt>
                <c:pt idx="16">
                  <c:v>54.788899999999998</c:v>
                </c:pt>
                <c:pt idx="17">
                  <c:v>53.696999999999996</c:v>
                </c:pt>
                <c:pt idx="18">
                  <c:v>52.651099999999992</c:v>
                </c:pt>
                <c:pt idx="19">
                  <c:v>51.811500000000002</c:v>
                </c:pt>
                <c:pt idx="20">
                  <c:v>51.166500000000006</c:v>
                </c:pt>
                <c:pt idx="21">
                  <c:v>50.861199999999997</c:v>
                </c:pt>
                <c:pt idx="22">
                  <c:v>50.762500000000003</c:v>
                </c:pt>
                <c:pt idx="23">
                  <c:v>50.783299999999997</c:v>
                </c:pt>
                <c:pt idx="24">
                  <c:v>50.77</c:v>
                </c:pt>
                <c:pt idx="25">
                  <c:v>50.797699999999999</c:v>
                </c:pt>
                <c:pt idx="26">
                  <c:v>50.9069</c:v>
                </c:pt>
                <c:pt idx="27">
                  <c:v>51.001700000000007</c:v>
                </c:pt>
                <c:pt idx="28">
                  <c:v>51.103600000000007</c:v>
                </c:pt>
                <c:pt idx="29">
                  <c:v>51.213799999999999</c:v>
                </c:pt>
                <c:pt idx="30">
                  <c:v>51.3551</c:v>
                </c:pt>
                <c:pt idx="31">
                  <c:v>51.509300000000003</c:v>
                </c:pt>
                <c:pt idx="32">
                  <c:v>51.627400000000002</c:v>
                </c:pt>
                <c:pt idx="33">
                  <c:v>51.738300000000002</c:v>
                </c:pt>
                <c:pt idx="34">
                  <c:v>51.812400000000004</c:v>
                </c:pt>
                <c:pt idx="35">
                  <c:v>51.772500000000001</c:v>
                </c:pt>
                <c:pt idx="36">
                  <c:v>51.624600000000001</c:v>
                </c:pt>
                <c:pt idx="37">
                  <c:v>51.449399999999997</c:v>
                </c:pt>
                <c:pt idx="38">
                  <c:v>51.273100000000007</c:v>
                </c:pt>
                <c:pt idx="39">
                  <c:v>51.072399999999995</c:v>
                </c:pt>
                <c:pt idx="40">
                  <c:v>50.841700000000003</c:v>
                </c:pt>
                <c:pt idx="41">
                  <c:v>50.682499999999997</c:v>
                </c:pt>
                <c:pt idx="42">
                  <c:v>50.572300000000006</c:v>
                </c:pt>
                <c:pt idx="43">
                  <c:v>50.517100000000006</c:v>
                </c:pt>
                <c:pt idx="44">
                  <c:v>50.531700000000001</c:v>
                </c:pt>
                <c:pt idx="45">
                  <c:v>50.624899999999997</c:v>
                </c:pt>
                <c:pt idx="46">
                  <c:v>50.662600000000005</c:v>
                </c:pt>
                <c:pt idx="47">
                  <c:v>50.612900000000003</c:v>
                </c:pt>
                <c:pt idx="48">
                  <c:v>50.593600000000002</c:v>
                </c:pt>
                <c:pt idx="49">
                  <c:v>50.675699999999999</c:v>
                </c:pt>
                <c:pt idx="50">
                  <c:v>50.764699999999998</c:v>
                </c:pt>
                <c:pt idx="51">
                  <c:v>50.780899999999995</c:v>
                </c:pt>
                <c:pt idx="52">
                  <c:v>50.7652</c:v>
                </c:pt>
                <c:pt idx="53">
                  <c:v>50.621099999999998</c:v>
                </c:pt>
                <c:pt idx="54">
                  <c:v>50.342500000000001</c:v>
                </c:pt>
                <c:pt idx="55">
                  <c:v>49.902200000000001</c:v>
                </c:pt>
                <c:pt idx="56">
                  <c:v>49.020200000000003</c:v>
                </c:pt>
                <c:pt idx="57">
                  <c:v>48.499600000000001</c:v>
                </c:pt>
                <c:pt idx="58">
                  <c:v>48.155200000000001</c:v>
                </c:pt>
                <c:pt idx="59">
                  <c:v>47.270400000000002</c:v>
                </c:pt>
                <c:pt idx="60">
                  <c:v>46.893099999999997</c:v>
                </c:pt>
                <c:pt idx="61">
                  <c:v>46.146799999999999</c:v>
                </c:pt>
                <c:pt idx="62">
                  <c:v>45.827600000000004</c:v>
                </c:pt>
                <c:pt idx="63">
                  <c:v>45.646500000000003</c:v>
                </c:pt>
                <c:pt idx="64">
                  <c:v>45.5379</c:v>
                </c:pt>
                <c:pt idx="65">
                  <c:v>45.637100000000004</c:v>
                </c:pt>
                <c:pt idx="66">
                  <c:v>45.694200000000002</c:v>
                </c:pt>
                <c:pt idx="67">
                  <c:v>45.783099999999997</c:v>
                </c:pt>
                <c:pt idx="68">
                  <c:v>45.830599999999997</c:v>
                </c:pt>
                <c:pt idx="69">
                  <c:v>45.873000000000005</c:v>
                </c:pt>
                <c:pt idx="70">
                  <c:v>45.900100000000002</c:v>
                </c:pt>
                <c:pt idx="71">
                  <c:v>45.947500000000005</c:v>
                </c:pt>
                <c:pt idx="72">
                  <c:v>45.981999999999999</c:v>
                </c:pt>
                <c:pt idx="73">
                  <c:v>45.875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4.1479900000000001</c:v>
                </c:pt>
                <c:pt idx="1">
                  <c:v>4.1262300000000005</c:v>
                </c:pt>
                <c:pt idx="2">
                  <c:v>4.1119300000000001</c:v>
                </c:pt>
                <c:pt idx="3">
                  <c:v>4.0925799999999999</c:v>
                </c:pt>
                <c:pt idx="4">
                  <c:v>4.0705599999999995</c:v>
                </c:pt>
                <c:pt idx="5">
                  <c:v>4.0447499999999996</c:v>
                </c:pt>
                <c:pt idx="6">
                  <c:v>4.0124700000000004</c:v>
                </c:pt>
                <c:pt idx="7">
                  <c:v>3.9719300000000004</c:v>
                </c:pt>
                <c:pt idx="8">
                  <c:v>3.9229500000000002</c:v>
                </c:pt>
                <c:pt idx="9">
                  <c:v>3.87059</c:v>
                </c:pt>
                <c:pt idx="10">
                  <c:v>3.8139600000000002</c:v>
                </c:pt>
                <c:pt idx="11">
                  <c:v>3.7570199999999998</c:v>
                </c:pt>
                <c:pt idx="12">
                  <c:v>3.7014200000000002</c:v>
                </c:pt>
                <c:pt idx="13">
                  <c:v>3.6461399999999999</c:v>
                </c:pt>
                <c:pt idx="14">
                  <c:v>3.59694</c:v>
                </c:pt>
                <c:pt idx="15">
                  <c:v>3.5521399999999996</c:v>
                </c:pt>
                <c:pt idx="16">
                  <c:v>3.5169899999999998</c:v>
                </c:pt>
                <c:pt idx="17">
                  <c:v>3.4929999999999999</c:v>
                </c:pt>
                <c:pt idx="18">
                  <c:v>3.4767999999999999</c:v>
                </c:pt>
                <c:pt idx="19">
                  <c:v>3.46949</c:v>
                </c:pt>
                <c:pt idx="20">
                  <c:v>3.4706799999999998</c:v>
                </c:pt>
                <c:pt idx="21">
                  <c:v>3.4776000000000002</c:v>
                </c:pt>
                <c:pt idx="22">
                  <c:v>3.4878</c:v>
                </c:pt>
                <c:pt idx="23">
                  <c:v>3.50143</c:v>
                </c:pt>
                <c:pt idx="24">
                  <c:v>3.52081</c:v>
                </c:pt>
                <c:pt idx="25">
                  <c:v>3.5467500000000003</c:v>
                </c:pt>
                <c:pt idx="26">
                  <c:v>3.5769600000000001</c:v>
                </c:pt>
                <c:pt idx="27">
                  <c:v>3.6080800000000002</c:v>
                </c:pt>
                <c:pt idx="28">
                  <c:v>3.6397699999999999</c:v>
                </c:pt>
                <c:pt idx="29">
                  <c:v>3.6706799999999999</c:v>
                </c:pt>
                <c:pt idx="30">
                  <c:v>3.6966700000000001</c:v>
                </c:pt>
                <c:pt idx="31">
                  <c:v>3.7190400000000001</c:v>
                </c:pt>
                <c:pt idx="32">
                  <c:v>3.7397299999999998</c:v>
                </c:pt>
                <c:pt idx="33">
                  <c:v>3.7613400000000001</c:v>
                </c:pt>
                <c:pt idx="34">
                  <c:v>3.7823200000000003</c:v>
                </c:pt>
                <c:pt idx="35">
                  <c:v>3.7991000000000001</c:v>
                </c:pt>
                <c:pt idx="36">
                  <c:v>3.8124000000000002</c:v>
                </c:pt>
                <c:pt idx="37">
                  <c:v>3.8226700000000005</c:v>
                </c:pt>
                <c:pt idx="38">
                  <c:v>3.8305600000000002</c:v>
                </c:pt>
                <c:pt idx="39">
                  <c:v>3.8372800000000002</c:v>
                </c:pt>
                <c:pt idx="40">
                  <c:v>3.8416099999999997</c:v>
                </c:pt>
                <c:pt idx="41">
                  <c:v>3.8468999999999998</c:v>
                </c:pt>
                <c:pt idx="42">
                  <c:v>3.8494600000000001</c:v>
                </c:pt>
                <c:pt idx="43">
                  <c:v>3.8536700000000002</c:v>
                </c:pt>
                <c:pt idx="44">
                  <c:v>3.8564799999999999</c:v>
                </c:pt>
                <c:pt idx="45">
                  <c:v>3.8569900000000001</c:v>
                </c:pt>
                <c:pt idx="46">
                  <c:v>3.8572499999999996</c:v>
                </c:pt>
                <c:pt idx="47">
                  <c:v>3.8565800000000001</c:v>
                </c:pt>
                <c:pt idx="48">
                  <c:v>3.8536100000000002</c:v>
                </c:pt>
                <c:pt idx="49">
                  <c:v>3.8472400000000002</c:v>
                </c:pt>
                <c:pt idx="50">
                  <c:v>3.8400800000000004</c:v>
                </c:pt>
                <c:pt idx="51">
                  <c:v>3.8266899999999997</c:v>
                </c:pt>
                <c:pt idx="52">
                  <c:v>3.81229</c:v>
                </c:pt>
                <c:pt idx="53">
                  <c:v>3.79765</c:v>
                </c:pt>
                <c:pt idx="54">
                  <c:v>3.7817699999999999</c:v>
                </c:pt>
                <c:pt idx="55">
                  <c:v>3.7697599999999998</c:v>
                </c:pt>
                <c:pt idx="56">
                  <c:v>3.7617000000000003</c:v>
                </c:pt>
                <c:pt idx="57">
                  <c:v>3.7580599999999995</c:v>
                </c:pt>
                <c:pt idx="58">
                  <c:v>3.7541400000000005</c:v>
                </c:pt>
                <c:pt idx="59">
                  <c:v>3.7519200000000001</c:v>
                </c:pt>
                <c:pt idx="60">
                  <c:v>3.7549399999999999</c:v>
                </c:pt>
                <c:pt idx="61">
                  <c:v>3.7624499999999999</c:v>
                </c:pt>
                <c:pt idx="62">
                  <c:v>3.7754799999999999</c:v>
                </c:pt>
                <c:pt idx="63">
                  <c:v>3.7933699999999999</c:v>
                </c:pt>
                <c:pt idx="64">
                  <c:v>3.81237</c:v>
                </c:pt>
                <c:pt idx="65">
                  <c:v>3.8367899999999997</c:v>
                </c:pt>
                <c:pt idx="66">
                  <c:v>3.8521200000000002</c:v>
                </c:pt>
                <c:pt idx="67">
                  <c:v>3.86747</c:v>
                </c:pt>
                <c:pt idx="68">
                  <c:v>3.8752500000000003</c:v>
                </c:pt>
                <c:pt idx="69">
                  <c:v>3.8805000000000001</c:v>
                </c:pt>
                <c:pt idx="70">
                  <c:v>3.8864700000000001</c:v>
                </c:pt>
                <c:pt idx="71">
                  <c:v>3.88537</c:v>
                </c:pt>
                <c:pt idx="72">
                  <c:v>3.8835100000000002</c:v>
                </c:pt>
                <c:pt idx="73">
                  <c:v>3.8967800000000001</c:v>
                </c:pt>
                <c:pt idx="74">
                  <c:v>3.9226200000000002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45.875</c:v>
                </c:pt>
                <c:pt idx="1">
                  <c:v>45.5336</c:v>
                </c:pt>
                <c:pt idx="2">
                  <c:v>45.183700000000002</c:v>
                </c:pt>
                <c:pt idx="3">
                  <c:v>44.745200000000004</c:v>
                </c:pt>
                <c:pt idx="4">
                  <c:v>44.3309</c:v>
                </c:pt>
                <c:pt idx="5">
                  <c:v>43.959399999999995</c:v>
                </c:pt>
                <c:pt idx="6">
                  <c:v>43.66</c:v>
                </c:pt>
                <c:pt idx="7">
                  <c:v>43.4848</c:v>
                </c:pt>
                <c:pt idx="8">
                  <c:v>43.458300000000001</c:v>
                </c:pt>
                <c:pt idx="9">
                  <c:v>43.542199999999994</c:v>
                </c:pt>
                <c:pt idx="10">
                  <c:v>43.906300000000002</c:v>
                </c:pt>
                <c:pt idx="11">
                  <c:v>44.616399999999999</c:v>
                </c:pt>
                <c:pt idx="12">
                  <c:v>45.61</c:v>
                </c:pt>
                <c:pt idx="13">
                  <c:v>46.880400000000002</c:v>
                </c:pt>
                <c:pt idx="14">
                  <c:v>48.170400000000001</c:v>
                </c:pt>
                <c:pt idx="15">
                  <c:v>49.595800000000004</c:v>
                </c:pt>
                <c:pt idx="16">
                  <c:v>50.868899999999996</c:v>
                </c:pt>
                <c:pt idx="17">
                  <c:v>51.944199999999995</c:v>
                </c:pt>
                <c:pt idx="18">
                  <c:v>52.9054</c:v>
                </c:pt>
                <c:pt idx="19">
                  <c:v>53.758099999999999</c:v>
                </c:pt>
                <c:pt idx="20">
                  <c:v>54.386199999999995</c:v>
                </c:pt>
                <c:pt idx="21">
                  <c:v>54.821899999999999</c:v>
                </c:pt>
                <c:pt idx="22">
                  <c:v>55.124899999999997</c:v>
                </c:pt>
                <c:pt idx="23">
                  <c:v>55.2821</c:v>
                </c:pt>
                <c:pt idx="24">
                  <c:v>55.322899999999997</c:v>
                </c:pt>
                <c:pt idx="25">
                  <c:v>55.272399999999998</c:v>
                </c:pt>
                <c:pt idx="26">
                  <c:v>55.196999999999996</c:v>
                </c:pt>
                <c:pt idx="27">
                  <c:v>55.195999999999998</c:v>
                </c:pt>
                <c:pt idx="28">
                  <c:v>55.239600000000003</c:v>
                </c:pt>
                <c:pt idx="29">
                  <c:v>55.301000000000002</c:v>
                </c:pt>
                <c:pt idx="30">
                  <c:v>55.470500000000001</c:v>
                </c:pt>
                <c:pt idx="31">
                  <c:v>55.739700000000006</c:v>
                </c:pt>
                <c:pt idx="32">
                  <c:v>56.015300000000003</c:v>
                </c:pt>
                <c:pt idx="33">
                  <c:v>56.292200000000001</c:v>
                </c:pt>
                <c:pt idx="34">
                  <c:v>56.528300000000002</c:v>
                </c:pt>
                <c:pt idx="35">
                  <c:v>56.706100000000006</c:v>
                </c:pt>
                <c:pt idx="36">
                  <c:v>56.7986</c:v>
                </c:pt>
                <c:pt idx="37">
                  <c:v>56.799799999999998</c:v>
                </c:pt>
                <c:pt idx="38">
                  <c:v>56.710999999999999</c:v>
                </c:pt>
                <c:pt idx="39">
                  <c:v>56.588099999999997</c:v>
                </c:pt>
                <c:pt idx="40">
                  <c:v>56.437199999999997</c:v>
                </c:pt>
                <c:pt idx="41">
                  <c:v>56.266300000000001</c:v>
                </c:pt>
                <c:pt idx="42">
                  <c:v>56.057699999999997</c:v>
                </c:pt>
                <c:pt idx="43">
                  <c:v>55.751799999999996</c:v>
                </c:pt>
                <c:pt idx="44">
                  <c:v>55.398699999999998</c:v>
                </c:pt>
                <c:pt idx="45">
                  <c:v>55.043200000000006</c:v>
                </c:pt>
                <c:pt idx="46">
                  <c:v>54.679000000000002</c:v>
                </c:pt>
                <c:pt idx="47">
                  <c:v>54.325800000000001</c:v>
                </c:pt>
                <c:pt idx="48">
                  <c:v>54.014200000000002</c:v>
                </c:pt>
                <c:pt idx="49">
                  <c:v>53.738699999999994</c:v>
                </c:pt>
                <c:pt idx="50">
                  <c:v>53.477200000000003</c:v>
                </c:pt>
                <c:pt idx="51">
                  <c:v>53.349000000000004</c:v>
                </c:pt>
                <c:pt idx="52">
                  <c:v>53.212699999999998</c:v>
                </c:pt>
                <c:pt idx="53">
                  <c:v>53.104500000000002</c:v>
                </c:pt>
                <c:pt idx="54">
                  <c:v>53.056499999999993</c:v>
                </c:pt>
                <c:pt idx="55">
                  <c:v>52.957200000000007</c:v>
                </c:pt>
                <c:pt idx="56">
                  <c:v>52.770399999999995</c:v>
                </c:pt>
                <c:pt idx="57">
                  <c:v>52.574399999999997</c:v>
                </c:pt>
                <c:pt idx="58">
                  <c:v>52.401299999999992</c:v>
                </c:pt>
                <c:pt idx="59">
                  <c:v>52.259199999999993</c:v>
                </c:pt>
                <c:pt idx="60">
                  <c:v>52.160700000000006</c:v>
                </c:pt>
                <c:pt idx="61">
                  <c:v>52.041899999999998</c:v>
                </c:pt>
                <c:pt idx="62">
                  <c:v>51.962899999999998</c:v>
                </c:pt>
                <c:pt idx="63">
                  <c:v>51.9985</c:v>
                </c:pt>
                <c:pt idx="64">
                  <c:v>52.027900000000002</c:v>
                </c:pt>
                <c:pt idx="65">
                  <c:v>51.983900000000006</c:v>
                </c:pt>
                <c:pt idx="66">
                  <c:v>51.800699999999999</c:v>
                </c:pt>
                <c:pt idx="67">
                  <c:v>51.561800000000005</c:v>
                </c:pt>
                <c:pt idx="68">
                  <c:v>51.387300000000003</c:v>
                </c:pt>
                <c:pt idx="69">
                  <c:v>51.261199999999995</c:v>
                </c:pt>
                <c:pt idx="70">
                  <c:v>51.147100000000002</c:v>
                </c:pt>
                <c:pt idx="71">
                  <c:v>51.196399999999997</c:v>
                </c:pt>
                <c:pt idx="72">
                  <c:v>51.270600000000002</c:v>
                </c:pt>
                <c:pt idx="73">
                  <c:v>51.193100000000001</c:v>
                </c:pt>
                <c:pt idx="74">
                  <c:v>50.893000000000001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3.634146486486487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52.076112162162133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3.7784986486486485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52.104183783783768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3.7784986486486485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52.104183783783768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0.12100523859276803</c:v>
                </c:pt>
                <c:pt idx="1">
                  <c:v>0.32956529796832895</c:v>
                </c:pt>
                <c:pt idx="2">
                  <c:v>0.54942946343890309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0.381606</c:v>
                </c:pt>
                <c:pt idx="2">
                  <c:v>0.78512199999999999</c:v>
                </c:pt>
                <c:pt idx="3">
                  <c:v>1.19347</c:v>
                </c:pt>
                <c:pt idx="4">
                  <c:v>1.59859</c:v>
                </c:pt>
                <c:pt idx="5">
                  <c:v>2.0063200000000001</c:v>
                </c:pt>
                <c:pt idx="6">
                  <c:v>2.41039</c:v>
                </c:pt>
                <c:pt idx="7">
                  <c:v>2.8181699999999998</c:v>
                </c:pt>
                <c:pt idx="8">
                  <c:v>3.22506</c:v>
                </c:pt>
                <c:pt idx="9">
                  <c:v>3.6318199999999998</c:v>
                </c:pt>
                <c:pt idx="10">
                  <c:v>4.0388400000000004</c:v>
                </c:pt>
                <c:pt idx="11">
                  <c:v>4.4457199999999997</c:v>
                </c:pt>
                <c:pt idx="12">
                  <c:v>4.8516500000000002</c:v>
                </c:pt>
                <c:pt idx="13">
                  <c:v>5.2545900000000003</c:v>
                </c:pt>
                <c:pt idx="14">
                  <c:v>5.6626300000000001</c:v>
                </c:pt>
                <c:pt idx="15">
                  <c:v>6.0674400000000004</c:v>
                </c:pt>
                <c:pt idx="16">
                  <c:v>6.4723300000000004</c:v>
                </c:pt>
                <c:pt idx="17">
                  <c:v>6.8784000000000001</c:v>
                </c:pt>
                <c:pt idx="18">
                  <c:v>7.28918</c:v>
                </c:pt>
                <c:pt idx="19">
                  <c:v>7.6950900000000004</c:v>
                </c:pt>
                <c:pt idx="20">
                  <c:v>8.1000599999999991</c:v>
                </c:pt>
                <c:pt idx="21">
                  <c:v>8.5071200000000005</c:v>
                </c:pt>
                <c:pt idx="22">
                  <c:v>8.9130099999999999</c:v>
                </c:pt>
                <c:pt idx="23">
                  <c:v>9.3167399999999994</c:v>
                </c:pt>
                <c:pt idx="24">
                  <c:v>9.7265999999999995</c:v>
                </c:pt>
                <c:pt idx="25">
                  <c:v>10.131500000000001</c:v>
                </c:pt>
                <c:pt idx="26">
                  <c:v>10.5345</c:v>
                </c:pt>
                <c:pt idx="27">
                  <c:v>10.9421</c:v>
                </c:pt>
                <c:pt idx="28">
                  <c:v>11.3528</c:v>
                </c:pt>
                <c:pt idx="29">
                  <c:v>11.7582</c:v>
                </c:pt>
                <c:pt idx="30">
                  <c:v>12.164099999999999</c:v>
                </c:pt>
                <c:pt idx="31">
                  <c:v>12.5661</c:v>
                </c:pt>
                <c:pt idx="32">
                  <c:v>12.974500000000001</c:v>
                </c:pt>
                <c:pt idx="33">
                  <c:v>13.382999999999999</c:v>
                </c:pt>
                <c:pt idx="34">
                  <c:v>13.7897</c:v>
                </c:pt>
                <c:pt idx="35">
                  <c:v>14.1967</c:v>
                </c:pt>
                <c:pt idx="36">
                  <c:v>14.601599999999999</c:v>
                </c:pt>
                <c:pt idx="37">
                  <c:v>15.006600000000001</c:v>
                </c:pt>
                <c:pt idx="38">
                  <c:v>15.413399999999999</c:v>
                </c:pt>
                <c:pt idx="39">
                  <c:v>15.8164</c:v>
                </c:pt>
                <c:pt idx="40">
                  <c:v>16.226299999999998</c:v>
                </c:pt>
                <c:pt idx="41">
                  <c:v>16.635200000000001</c:v>
                </c:pt>
                <c:pt idx="42">
                  <c:v>17.040099999999999</c:v>
                </c:pt>
                <c:pt idx="43">
                  <c:v>17.443100000000001</c:v>
                </c:pt>
                <c:pt idx="44">
                  <c:v>17.8489</c:v>
                </c:pt>
                <c:pt idx="45">
                  <c:v>18.256799999999998</c:v>
                </c:pt>
                <c:pt idx="46">
                  <c:v>18.6647</c:v>
                </c:pt>
                <c:pt idx="47">
                  <c:v>19.070599999999999</c:v>
                </c:pt>
                <c:pt idx="48">
                  <c:v>19.476600000000001</c:v>
                </c:pt>
                <c:pt idx="49">
                  <c:v>19.880500000000001</c:v>
                </c:pt>
                <c:pt idx="50">
                  <c:v>20.284600000000001</c:v>
                </c:pt>
                <c:pt idx="51">
                  <c:v>20.694299999999998</c:v>
                </c:pt>
                <c:pt idx="52">
                  <c:v>21.1035</c:v>
                </c:pt>
                <c:pt idx="53">
                  <c:v>21.508099999999999</c:v>
                </c:pt>
                <c:pt idx="54">
                  <c:v>21.9131</c:v>
                </c:pt>
                <c:pt idx="55">
                  <c:v>22.318200000000001</c:v>
                </c:pt>
                <c:pt idx="56">
                  <c:v>22.726900000000001</c:v>
                </c:pt>
                <c:pt idx="57">
                  <c:v>23.133800000000001</c:v>
                </c:pt>
                <c:pt idx="58">
                  <c:v>23.537700000000001</c:v>
                </c:pt>
                <c:pt idx="59">
                  <c:v>23.944600000000001</c:v>
                </c:pt>
                <c:pt idx="60">
                  <c:v>24.349900000000002</c:v>
                </c:pt>
                <c:pt idx="61">
                  <c:v>24.758400000000002</c:v>
                </c:pt>
                <c:pt idx="62">
                  <c:v>25.1614</c:v>
                </c:pt>
                <c:pt idx="63">
                  <c:v>25.568200000000001</c:v>
                </c:pt>
                <c:pt idx="64">
                  <c:v>25.975200000000001</c:v>
                </c:pt>
                <c:pt idx="65">
                  <c:v>26.383500000000002</c:v>
                </c:pt>
                <c:pt idx="66">
                  <c:v>26.786200000000001</c:v>
                </c:pt>
                <c:pt idx="67">
                  <c:v>27.1919</c:v>
                </c:pt>
                <c:pt idx="68">
                  <c:v>27.599799999999998</c:v>
                </c:pt>
                <c:pt idx="69">
                  <c:v>28.0078</c:v>
                </c:pt>
                <c:pt idx="70">
                  <c:v>28.412700000000001</c:v>
                </c:pt>
                <c:pt idx="71">
                  <c:v>28.819700000000001</c:v>
                </c:pt>
                <c:pt idx="72">
                  <c:v>29.2226</c:v>
                </c:pt>
                <c:pt idx="73">
                  <c:v>29.63</c:v>
                </c:pt>
                <c:pt idx="74">
                  <c:v>30.0426</c:v>
                </c:pt>
                <c:pt idx="75">
                  <c:v>30.6127</c:v>
                </c:pt>
                <c:pt idx="76">
                  <c:v>30.989899999999999</c:v>
                </c:pt>
                <c:pt idx="77">
                  <c:v>31.366800000000001</c:v>
                </c:pt>
                <c:pt idx="78">
                  <c:v>31.744800000000001</c:v>
                </c:pt>
                <c:pt idx="79">
                  <c:v>32.114699999999999</c:v>
                </c:pt>
                <c:pt idx="80">
                  <c:v>32.519799999999996</c:v>
                </c:pt>
                <c:pt idx="81">
                  <c:v>32.9268</c:v>
                </c:pt>
                <c:pt idx="82">
                  <c:v>33.334499999999998</c:v>
                </c:pt>
                <c:pt idx="83">
                  <c:v>33.7408</c:v>
                </c:pt>
                <c:pt idx="84">
                  <c:v>34.150399999999998</c:v>
                </c:pt>
                <c:pt idx="85">
                  <c:v>34.5563</c:v>
                </c:pt>
                <c:pt idx="86">
                  <c:v>34.9602</c:v>
                </c:pt>
                <c:pt idx="87">
                  <c:v>35.365200000000002</c:v>
                </c:pt>
                <c:pt idx="88">
                  <c:v>35.771799999999999</c:v>
                </c:pt>
                <c:pt idx="89">
                  <c:v>36.174900000000001</c:v>
                </c:pt>
                <c:pt idx="90">
                  <c:v>36.584800000000001</c:v>
                </c:pt>
                <c:pt idx="91">
                  <c:v>36.990699999999997</c:v>
                </c:pt>
                <c:pt idx="92">
                  <c:v>37.394599999999997</c:v>
                </c:pt>
                <c:pt idx="93">
                  <c:v>37.801499999999997</c:v>
                </c:pt>
                <c:pt idx="94">
                  <c:v>38.206200000000003</c:v>
                </c:pt>
                <c:pt idx="95">
                  <c:v>38.617400000000004</c:v>
                </c:pt>
                <c:pt idx="96">
                  <c:v>39.024299999999997</c:v>
                </c:pt>
                <c:pt idx="97">
                  <c:v>39.428199999999997</c:v>
                </c:pt>
                <c:pt idx="98">
                  <c:v>39.834099999999999</c:v>
                </c:pt>
                <c:pt idx="99">
                  <c:v>40.241</c:v>
                </c:pt>
                <c:pt idx="100">
                  <c:v>40.648000000000003</c:v>
                </c:pt>
                <c:pt idx="101">
                  <c:v>41.054900000000004</c:v>
                </c:pt>
                <c:pt idx="102">
                  <c:v>41.459800000000001</c:v>
                </c:pt>
                <c:pt idx="103">
                  <c:v>41.865699999999997</c:v>
                </c:pt>
                <c:pt idx="104">
                  <c:v>42.271799999999999</c:v>
                </c:pt>
                <c:pt idx="105">
                  <c:v>42.679499999999997</c:v>
                </c:pt>
                <c:pt idx="106">
                  <c:v>43.086599999999997</c:v>
                </c:pt>
                <c:pt idx="107">
                  <c:v>43.491999999999997</c:v>
                </c:pt>
                <c:pt idx="108">
                  <c:v>43.899299999999997</c:v>
                </c:pt>
                <c:pt idx="109">
                  <c:v>44.305399999999999</c:v>
                </c:pt>
                <c:pt idx="110">
                  <c:v>44.715600000000002</c:v>
                </c:pt>
                <c:pt idx="111">
                  <c:v>45.1205</c:v>
                </c:pt>
                <c:pt idx="112">
                  <c:v>45.526299999999999</c:v>
                </c:pt>
                <c:pt idx="113">
                  <c:v>45.931100000000001</c:v>
                </c:pt>
                <c:pt idx="114">
                  <c:v>46.338799999999999</c:v>
                </c:pt>
                <c:pt idx="115">
                  <c:v>46.741599999999998</c:v>
                </c:pt>
                <c:pt idx="116">
                  <c:v>47.144599999999997</c:v>
                </c:pt>
                <c:pt idx="117">
                  <c:v>47.550699999999999</c:v>
                </c:pt>
                <c:pt idx="118">
                  <c:v>47.961399999999998</c:v>
                </c:pt>
                <c:pt idx="119">
                  <c:v>48.3626</c:v>
                </c:pt>
                <c:pt idx="120">
                  <c:v>48.772199999999998</c:v>
                </c:pt>
                <c:pt idx="121">
                  <c:v>49.178100000000001</c:v>
                </c:pt>
                <c:pt idx="122">
                  <c:v>49.584200000000003</c:v>
                </c:pt>
                <c:pt idx="123">
                  <c:v>49.991599999999998</c:v>
                </c:pt>
                <c:pt idx="124">
                  <c:v>50.398899999999998</c:v>
                </c:pt>
                <c:pt idx="125">
                  <c:v>50.803199999999997</c:v>
                </c:pt>
                <c:pt idx="126">
                  <c:v>51.2087</c:v>
                </c:pt>
                <c:pt idx="127">
                  <c:v>51.615699999999997</c:v>
                </c:pt>
                <c:pt idx="128">
                  <c:v>52.0227</c:v>
                </c:pt>
                <c:pt idx="129">
                  <c:v>52.433599999999998</c:v>
                </c:pt>
                <c:pt idx="130">
                  <c:v>52.833399999999997</c:v>
                </c:pt>
                <c:pt idx="131">
                  <c:v>53.241500000000002</c:v>
                </c:pt>
                <c:pt idx="132">
                  <c:v>53.649500000000003</c:v>
                </c:pt>
                <c:pt idx="133">
                  <c:v>54.054099999999998</c:v>
                </c:pt>
                <c:pt idx="134">
                  <c:v>54.461399999999998</c:v>
                </c:pt>
                <c:pt idx="135">
                  <c:v>54.867100000000001</c:v>
                </c:pt>
                <c:pt idx="136">
                  <c:v>55.293900000000001</c:v>
                </c:pt>
                <c:pt idx="137">
                  <c:v>55.683700000000002</c:v>
                </c:pt>
                <c:pt idx="138">
                  <c:v>56.084099999999999</c:v>
                </c:pt>
                <c:pt idx="139">
                  <c:v>56.488599999999998</c:v>
                </c:pt>
                <c:pt idx="140">
                  <c:v>56.897599999999997</c:v>
                </c:pt>
                <c:pt idx="141">
                  <c:v>57.3035</c:v>
                </c:pt>
                <c:pt idx="142">
                  <c:v>57.708300000000001</c:v>
                </c:pt>
                <c:pt idx="143">
                  <c:v>58.116199999999999</c:v>
                </c:pt>
                <c:pt idx="144">
                  <c:v>58.522399999999998</c:v>
                </c:pt>
                <c:pt idx="145">
                  <c:v>58.927700000000002</c:v>
                </c:pt>
                <c:pt idx="146">
                  <c:v>59.335000000000001</c:v>
                </c:pt>
                <c:pt idx="147">
                  <c:v>59.737099999999998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2.2598599999999998</c:v>
                </c:pt>
                <c:pt idx="1">
                  <c:v>2.3228200000000001</c:v>
                </c:pt>
                <c:pt idx="2">
                  <c:v>2.3847800000000001</c:v>
                </c:pt>
                <c:pt idx="3">
                  <c:v>2.4469799999999999</c:v>
                </c:pt>
                <c:pt idx="4">
                  <c:v>2.5077300000000005</c:v>
                </c:pt>
                <c:pt idx="5">
                  <c:v>2.5658099999999999</c:v>
                </c:pt>
                <c:pt idx="6">
                  <c:v>2.6219399999999999</c:v>
                </c:pt>
                <c:pt idx="7">
                  <c:v>2.6788499999999997</c:v>
                </c:pt>
                <c:pt idx="8">
                  <c:v>2.7368600000000001</c:v>
                </c:pt>
                <c:pt idx="9">
                  <c:v>2.7966299999999999</c:v>
                </c:pt>
                <c:pt idx="10">
                  <c:v>2.85833</c:v>
                </c:pt>
                <c:pt idx="11">
                  <c:v>2.92354</c:v>
                </c:pt>
                <c:pt idx="12">
                  <c:v>2.9895199999999997</c:v>
                </c:pt>
                <c:pt idx="13">
                  <c:v>3.0585100000000001</c:v>
                </c:pt>
                <c:pt idx="14">
                  <c:v>3.1290100000000001</c:v>
                </c:pt>
                <c:pt idx="15">
                  <c:v>3.2009300000000001</c:v>
                </c:pt>
                <c:pt idx="16">
                  <c:v>3.2751200000000003</c:v>
                </c:pt>
                <c:pt idx="17">
                  <c:v>3.3516499999999998</c:v>
                </c:pt>
                <c:pt idx="18">
                  <c:v>3.4278300000000002</c:v>
                </c:pt>
                <c:pt idx="19">
                  <c:v>3.4998899999999997</c:v>
                </c:pt>
                <c:pt idx="20">
                  <c:v>3.5674399999999999</c:v>
                </c:pt>
                <c:pt idx="21">
                  <c:v>3.6264400000000001</c:v>
                </c:pt>
                <c:pt idx="22">
                  <c:v>3.6745899999999998</c:v>
                </c:pt>
                <c:pt idx="23">
                  <c:v>3.71821</c:v>
                </c:pt>
                <c:pt idx="24">
                  <c:v>3.7589800000000002</c:v>
                </c:pt>
                <c:pt idx="25">
                  <c:v>3.7953799999999998</c:v>
                </c:pt>
                <c:pt idx="26">
                  <c:v>3.8263200000000004</c:v>
                </c:pt>
                <c:pt idx="27">
                  <c:v>3.8551899999999999</c:v>
                </c:pt>
                <c:pt idx="28">
                  <c:v>3.8780299999999999</c:v>
                </c:pt>
                <c:pt idx="29">
                  <c:v>3.89825</c:v>
                </c:pt>
                <c:pt idx="30">
                  <c:v>3.91927</c:v>
                </c:pt>
                <c:pt idx="31">
                  <c:v>3.9413999999999998</c:v>
                </c:pt>
                <c:pt idx="32">
                  <c:v>3.9638600000000004</c:v>
                </c:pt>
                <c:pt idx="33">
                  <c:v>3.9835500000000001</c:v>
                </c:pt>
                <c:pt idx="34">
                  <c:v>3.99899</c:v>
                </c:pt>
                <c:pt idx="35">
                  <c:v>4.0084799999999996</c:v>
                </c:pt>
                <c:pt idx="36">
                  <c:v>4.0114900000000002</c:v>
                </c:pt>
                <c:pt idx="37">
                  <c:v>4.0091400000000004</c:v>
                </c:pt>
                <c:pt idx="38">
                  <c:v>4.0044599999999999</c:v>
                </c:pt>
                <c:pt idx="39">
                  <c:v>3.9965299999999999</c:v>
                </c:pt>
                <c:pt idx="40">
                  <c:v>3.9839899999999999</c:v>
                </c:pt>
                <c:pt idx="41">
                  <c:v>3.9681100000000002</c:v>
                </c:pt>
                <c:pt idx="42">
                  <c:v>3.9493200000000002</c:v>
                </c:pt>
                <c:pt idx="43">
                  <c:v>3.9237799999999998</c:v>
                </c:pt>
                <c:pt idx="44">
                  <c:v>3.8947500000000002</c:v>
                </c:pt>
                <c:pt idx="45">
                  <c:v>3.8654199999999999</c:v>
                </c:pt>
                <c:pt idx="46">
                  <c:v>3.83812</c:v>
                </c:pt>
                <c:pt idx="47">
                  <c:v>3.8165300000000002</c:v>
                </c:pt>
                <c:pt idx="48">
                  <c:v>3.79928</c:v>
                </c:pt>
                <c:pt idx="49">
                  <c:v>3.7839400000000003</c:v>
                </c:pt>
                <c:pt idx="50">
                  <c:v>3.7713600000000005</c:v>
                </c:pt>
                <c:pt idx="51">
                  <c:v>3.7649400000000002</c:v>
                </c:pt>
                <c:pt idx="52">
                  <c:v>3.7626500000000003</c:v>
                </c:pt>
                <c:pt idx="53">
                  <c:v>3.7691300000000001</c:v>
                </c:pt>
                <c:pt idx="54">
                  <c:v>3.7840199999999999</c:v>
                </c:pt>
                <c:pt idx="55">
                  <c:v>3.8041599999999995</c:v>
                </c:pt>
                <c:pt idx="56">
                  <c:v>3.8461800000000004</c:v>
                </c:pt>
                <c:pt idx="57">
                  <c:v>3.87276</c:v>
                </c:pt>
                <c:pt idx="58">
                  <c:v>3.8869700000000003</c:v>
                </c:pt>
                <c:pt idx="59">
                  <c:v>3.9369900000000002</c:v>
                </c:pt>
                <c:pt idx="60">
                  <c:v>3.9570499999999997</c:v>
                </c:pt>
                <c:pt idx="61">
                  <c:v>4.0066800000000002</c:v>
                </c:pt>
                <c:pt idx="62">
                  <c:v>4.0399400000000005</c:v>
                </c:pt>
                <c:pt idx="63">
                  <c:v>4.0619899999999998</c:v>
                </c:pt>
                <c:pt idx="64">
                  <c:v>4.0886800000000001</c:v>
                </c:pt>
                <c:pt idx="65">
                  <c:v>4.11212</c:v>
                </c:pt>
                <c:pt idx="66">
                  <c:v>4.1270499999999997</c:v>
                </c:pt>
                <c:pt idx="67">
                  <c:v>4.1337600000000005</c:v>
                </c:pt>
                <c:pt idx="68">
                  <c:v>4.1441499999999998</c:v>
                </c:pt>
                <c:pt idx="69">
                  <c:v>4.1508500000000002</c:v>
                </c:pt>
                <c:pt idx="70">
                  <c:v>4.1533899999999999</c:v>
                </c:pt>
                <c:pt idx="71">
                  <c:v>4.1543700000000001</c:v>
                </c:pt>
                <c:pt idx="72">
                  <c:v>4.1538300000000001</c:v>
                </c:pt>
                <c:pt idx="73">
                  <c:v>4.1479900000000001</c:v>
                </c:pt>
                <c:pt idx="74">
                  <c:v>4.1262300000000005</c:v>
                </c:pt>
                <c:pt idx="75">
                  <c:v>4.1119300000000001</c:v>
                </c:pt>
                <c:pt idx="76">
                  <c:v>4.0925799999999999</c:v>
                </c:pt>
                <c:pt idx="77">
                  <c:v>4.0705599999999995</c:v>
                </c:pt>
                <c:pt idx="78">
                  <c:v>4.0447499999999996</c:v>
                </c:pt>
                <c:pt idx="79">
                  <c:v>4.0124700000000004</c:v>
                </c:pt>
                <c:pt idx="80">
                  <c:v>3.9719300000000004</c:v>
                </c:pt>
                <c:pt idx="81">
                  <c:v>3.9229500000000002</c:v>
                </c:pt>
                <c:pt idx="82">
                  <c:v>3.87059</c:v>
                </c:pt>
                <c:pt idx="83">
                  <c:v>3.8139600000000002</c:v>
                </c:pt>
                <c:pt idx="84">
                  <c:v>3.7570199999999998</c:v>
                </c:pt>
                <c:pt idx="85">
                  <c:v>3.7014200000000002</c:v>
                </c:pt>
                <c:pt idx="86">
                  <c:v>3.6461399999999999</c:v>
                </c:pt>
                <c:pt idx="87">
                  <c:v>3.59694</c:v>
                </c:pt>
                <c:pt idx="88">
                  <c:v>3.5521399999999996</c:v>
                </c:pt>
                <c:pt idx="89">
                  <c:v>3.5169899999999998</c:v>
                </c:pt>
                <c:pt idx="90">
                  <c:v>3.4929999999999999</c:v>
                </c:pt>
                <c:pt idx="91">
                  <c:v>3.4767999999999999</c:v>
                </c:pt>
                <c:pt idx="92">
                  <c:v>3.46949</c:v>
                </c:pt>
                <c:pt idx="93">
                  <c:v>3.4706799999999998</c:v>
                </c:pt>
                <c:pt idx="94">
                  <c:v>3.4776000000000002</c:v>
                </c:pt>
                <c:pt idx="95">
                  <c:v>3.4878</c:v>
                </c:pt>
                <c:pt idx="96">
                  <c:v>3.50143</c:v>
                </c:pt>
                <c:pt idx="97">
                  <c:v>3.52081</c:v>
                </c:pt>
                <c:pt idx="98">
                  <c:v>3.5467500000000003</c:v>
                </c:pt>
                <c:pt idx="99">
                  <c:v>3.5769600000000001</c:v>
                </c:pt>
                <c:pt idx="100">
                  <c:v>3.6080800000000002</c:v>
                </c:pt>
                <c:pt idx="101">
                  <c:v>3.6397699999999999</c:v>
                </c:pt>
                <c:pt idx="102">
                  <c:v>3.6706799999999999</c:v>
                </c:pt>
                <c:pt idx="103">
                  <c:v>3.6966700000000001</c:v>
                </c:pt>
                <c:pt idx="104">
                  <c:v>3.7190400000000001</c:v>
                </c:pt>
                <c:pt idx="105">
                  <c:v>3.7397299999999998</c:v>
                </c:pt>
                <c:pt idx="106">
                  <c:v>3.7613400000000001</c:v>
                </c:pt>
                <c:pt idx="107">
                  <c:v>3.7823200000000003</c:v>
                </c:pt>
                <c:pt idx="108">
                  <c:v>3.7991000000000001</c:v>
                </c:pt>
                <c:pt idx="109">
                  <c:v>3.8124000000000002</c:v>
                </c:pt>
                <c:pt idx="110">
                  <c:v>3.8226700000000005</c:v>
                </c:pt>
                <c:pt idx="111">
                  <c:v>3.8305600000000002</c:v>
                </c:pt>
                <c:pt idx="112">
                  <c:v>3.8372800000000002</c:v>
                </c:pt>
                <c:pt idx="113">
                  <c:v>3.8416099999999997</c:v>
                </c:pt>
                <c:pt idx="114">
                  <c:v>3.8468999999999998</c:v>
                </c:pt>
                <c:pt idx="115">
                  <c:v>3.8494600000000001</c:v>
                </c:pt>
                <c:pt idx="116">
                  <c:v>3.8536700000000002</c:v>
                </c:pt>
                <c:pt idx="117">
                  <c:v>3.8564799999999999</c:v>
                </c:pt>
                <c:pt idx="118">
                  <c:v>3.8569900000000001</c:v>
                </c:pt>
                <c:pt idx="119">
                  <c:v>3.8572499999999996</c:v>
                </c:pt>
                <c:pt idx="120">
                  <c:v>3.8565800000000001</c:v>
                </c:pt>
                <c:pt idx="121">
                  <c:v>3.8536100000000002</c:v>
                </c:pt>
                <c:pt idx="122">
                  <c:v>3.8472400000000002</c:v>
                </c:pt>
                <c:pt idx="123">
                  <c:v>3.8400800000000004</c:v>
                </c:pt>
                <c:pt idx="124">
                  <c:v>3.8266899999999997</c:v>
                </c:pt>
                <c:pt idx="125">
                  <c:v>3.81229</c:v>
                </c:pt>
                <c:pt idx="126">
                  <c:v>3.79765</c:v>
                </c:pt>
                <c:pt idx="127">
                  <c:v>3.7817699999999999</c:v>
                </c:pt>
                <c:pt idx="128">
                  <c:v>3.7697599999999998</c:v>
                </c:pt>
                <c:pt idx="129">
                  <c:v>3.7617000000000003</c:v>
                </c:pt>
                <c:pt idx="130">
                  <c:v>3.7580599999999995</c:v>
                </c:pt>
                <c:pt idx="131">
                  <c:v>3.7541400000000005</c:v>
                </c:pt>
                <c:pt idx="132">
                  <c:v>3.7519200000000001</c:v>
                </c:pt>
                <c:pt idx="133">
                  <c:v>3.7549399999999999</c:v>
                </c:pt>
                <c:pt idx="134">
                  <c:v>3.7624499999999999</c:v>
                </c:pt>
                <c:pt idx="135">
                  <c:v>3.7754799999999999</c:v>
                </c:pt>
                <c:pt idx="136">
                  <c:v>3.7933699999999999</c:v>
                </c:pt>
                <c:pt idx="137">
                  <c:v>3.81237</c:v>
                </c:pt>
                <c:pt idx="138">
                  <c:v>3.8367899999999997</c:v>
                </c:pt>
                <c:pt idx="139">
                  <c:v>3.8521200000000002</c:v>
                </c:pt>
                <c:pt idx="140">
                  <c:v>3.86747</c:v>
                </c:pt>
                <c:pt idx="141">
                  <c:v>3.8752500000000003</c:v>
                </c:pt>
                <c:pt idx="142">
                  <c:v>3.8805000000000001</c:v>
                </c:pt>
                <c:pt idx="143">
                  <c:v>3.8864700000000001</c:v>
                </c:pt>
                <c:pt idx="144">
                  <c:v>3.88537</c:v>
                </c:pt>
                <c:pt idx="145">
                  <c:v>3.8835100000000002</c:v>
                </c:pt>
                <c:pt idx="146">
                  <c:v>3.8967800000000001</c:v>
                </c:pt>
                <c:pt idx="147">
                  <c:v>3.9226200000000002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0.381606</c:v>
                </c:pt>
                <c:pt idx="2">
                  <c:v>0.78512199999999999</c:v>
                </c:pt>
                <c:pt idx="3">
                  <c:v>1.19347</c:v>
                </c:pt>
                <c:pt idx="4">
                  <c:v>1.59859</c:v>
                </c:pt>
                <c:pt idx="5">
                  <c:v>2.0063200000000001</c:v>
                </c:pt>
                <c:pt idx="6">
                  <c:v>2.41039</c:v>
                </c:pt>
                <c:pt idx="7">
                  <c:v>2.8181699999999998</c:v>
                </c:pt>
                <c:pt idx="8">
                  <c:v>3.22506</c:v>
                </c:pt>
                <c:pt idx="9">
                  <c:v>3.6318199999999998</c:v>
                </c:pt>
                <c:pt idx="10">
                  <c:v>4.0388400000000004</c:v>
                </c:pt>
                <c:pt idx="11">
                  <c:v>4.4457199999999997</c:v>
                </c:pt>
                <c:pt idx="12">
                  <c:v>4.8516500000000002</c:v>
                </c:pt>
                <c:pt idx="13">
                  <c:v>5.2545900000000003</c:v>
                </c:pt>
                <c:pt idx="14">
                  <c:v>5.6626300000000001</c:v>
                </c:pt>
                <c:pt idx="15">
                  <c:v>6.0674400000000004</c:v>
                </c:pt>
                <c:pt idx="16">
                  <c:v>6.4723300000000004</c:v>
                </c:pt>
                <c:pt idx="17">
                  <c:v>6.8784000000000001</c:v>
                </c:pt>
                <c:pt idx="18">
                  <c:v>7.28918</c:v>
                </c:pt>
                <c:pt idx="19">
                  <c:v>7.6950900000000004</c:v>
                </c:pt>
                <c:pt idx="20">
                  <c:v>8.1000599999999991</c:v>
                </c:pt>
                <c:pt idx="21">
                  <c:v>8.5071200000000005</c:v>
                </c:pt>
                <c:pt idx="22">
                  <c:v>8.9130099999999999</c:v>
                </c:pt>
                <c:pt idx="23">
                  <c:v>9.3167399999999994</c:v>
                </c:pt>
                <c:pt idx="24">
                  <c:v>9.7265999999999995</c:v>
                </c:pt>
                <c:pt idx="25">
                  <c:v>10.131500000000001</c:v>
                </c:pt>
                <c:pt idx="26">
                  <c:v>10.5345</c:v>
                </c:pt>
                <c:pt idx="27">
                  <c:v>10.9421</c:v>
                </c:pt>
                <c:pt idx="28">
                  <c:v>11.3528</c:v>
                </c:pt>
                <c:pt idx="29">
                  <c:v>11.7582</c:v>
                </c:pt>
                <c:pt idx="30">
                  <c:v>12.164099999999999</c:v>
                </c:pt>
                <c:pt idx="31">
                  <c:v>12.5661</c:v>
                </c:pt>
                <c:pt idx="32">
                  <c:v>12.974500000000001</c:v>
                </c:pt>
                <c:pt idx="33">
                  <c:v>13.382999999999999</c:v>
                </c:pt>
                <c:pt idx="34">
                  <c:v>13.7897</c:v>
                </c:pt>
                <c:pt idx="35">
                  <c:v>14.1967</c:v>
                </c:pt>
                <c:pt idx="36">
                  <c:v>14.601599999999999</c:v>
                </c:pt>
                <c:pt idx="37">
                  <c:v>15.006600000000001</c:v>
                </c:pt>
                <c:pt idx="38">
                  <c:v>15.413399999999999</c:v>
                </c:pt>
                <c:pt idx="39">
                  <c:v>15.8164</c:v>
                </c:pt>
                <c:pt idx="40">
                  <c:v>16.226299999999998</c:v>
                </c:pt>
                <c:pt idx="41">
                  <c:v>16.635200000000001</c:v>
                </c:pt>
                <c:pt idx="42">
                  <c:v>17.040099999999999</c:v>
                </c:pt>
                <c:pt idx="43">
                  <c:v>17.443100000000001</c:v>
                </c:pt>
                <c:pt idx="44">
                  <c:v>17.8489</c:v>
                </c:pt>
                <c:pt idx="45">
                  <c:v>18.256799999999998</c:v>
                </c:pt>
                <c:pt idx="46">
                  <c:v>18.6647</c:v>
                </c:pt>
                <c:pt idx="47">
                  <c:v>19.070599999999999</c:v>
                </c:pt>
                <c:pt idx="48">
                  <c:v>19.476600000000001</c:v>
                </c:pt>
                <c:pt idx="49">
                  <c:v>19.880500000000001</c:v>
                </c:pt>
                <c:pt idx="50">
                  <c:v>20.284600000000001</c:v>
                </c:pt>
                <c:pt idx="51">
                  <c:v>20.694299999999998</c:v>
                </c:pt>
                <c:pt idx="52">
                  <c:v>21.1035</c:v>
                </c:pt>
                <c:pt idx="53">
                  <c:v>21.508099999999999</c:v>
                </c:pt>
                <c:pt idx="54">
                  <c:v>21.9131</c:v>
                </c:pt>
                <c:pt idx="55">
                  <c:v>22.318200000000001</c:v>
                </c:pt>
                <c:pt idx="56">
                  <c:v>22.726900000000001</c:v>
                </c:pt>
                <c:pt idx="57">
                  <c:v>23.133800000000001</c:v>
                </c:pt>
                <c:pt idx="58">
                  <c:v>23.537700000000001</c:v>
                </c:pt>
                <c:pt idx="59">
                  <c:v>23.944600000000001</c:v>
                </c:pt>
                <c:pt idx="60">
                  <c:v>24.349900000000002</c:v>
                </c:pt>
                <c:pt idx="61">
                  <c:v>24.758400000000002</c:v>
                </c:pt>
                <c:pt idx="62">
                  <c:v>25.1614</c:v>
                </c:pt>
                <c:pt idx="63">
                  <c:v>25.568200000000001</c:v>
                </c:pt>
                <c:pt idx="64">
                  <c:v>25.975200000000001</c:v>
                </c:pt>
                <c:pt idx="65">
                  <c:v>26.383500000000002</c:v>
                </c:pt>
                <c:pt idx="66">
                  <c:v>26.786200000000001</c:v>
                </c:pt>
                <c:pt idx="67">
                  <c:v>27.1919</c:v>
                </c:pt>
                <c:pt idx="68">
                  <c:v>27.599799999999998</c:v>
                </c:pt>
                <c:pt idx="69">
                  <c:v>28.0078</c:v>
                </c:pt>
                <c:pt idx="70">
                  <c:v>28.412700000000001</c:v>
                </c:pt>
                <c:pt idx="71">
                  <c:v>28.819700000000001</c:v>
                </c:pt>
                <c:pt idx="72">
                  <c:v>29.2226</c:v>
                </c:pt>
                <c:pt idx="73">
                  <c:v>29.63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2.2598599999999998</c:v>
                </c:pt>
                <c:pt idx="1">
                  <c:v>2.3228200000000001</c:v>
                </c:pt>
                <c:pt idx="2">
                  <c:v>2.3847800000000001</c:v>
                </c:pt>
                <c:pt idx="3">
                  <c:v>2.4469799999999999</c:v>
                </c:pt>
                <c:pt idx="4">
                  <c:v>2.5077300000000005</c:v>
                </c:pt>
                <c:pt idx="5">
                  <c:v>2.5658099999999999</c:v>
                </c:pt>
                <c:pt idx="6">
                  <c:v>2.6219399999999999</c:v>
                </c:pt>
                <c:pt idx="7">
                  <c:v>2.6788499999999997</c:v>
                </c:pt>
                <c:pt idx="8">
                  <c:v>2.7368600000000001</c:v>
                </c:pt>
                <c:pt idx="9">
                  <c:v>2.7966299999999999</c:v>
                </c:pt>
                <c:pt idx="10">
                  <c:v>2.85833</c:v>
                </c:pt>
                <c:pt idx="11">
                  <c:v>2.92354</c:v>
                </c:pt>
                <c:pt idx="12">
                  <c:v>2.9895199999999997</c:v>
                </c:pt>
                <c:pt idx="13">
                  <c:v>3.0585100000000001</c:v>
                </c:pt>
                <c:pt idx="14">
                  <c:v>3.1290100000000001</c:v>
                </c:pt>
                <c:pt idx="15">
                  <c:v>3.2009300000000001</c:v>
                </c:pt>
                <c:pt idx="16">
                  <c:v>3.2751200000000003</c:v>
                </c:pt>
                <c:pt idx="17">
                  <c:v>3.3516499999999998</c:v>
                </c:pt>
                <c:pt idx="18">
                  <c:v>3.4278300000000002</c:v>
                </c:pt>
                <c:pt idx="19">
                  <c:v>3.4998899999999997</c:v>
                </c:pt>
                <c:pt idx="20">
                  <c:v>3.5674399999999999</c:v>
                </c:pt>
                <c:pt idx="21">
                  <c:v>3.6264400000000001</c:v>
                </c:pt>
                <c:pt idx="22">
                  <c:v>3.6745899999999998</c:v>
                </c:pt>
                <c:pt idx="23">
                  <c:v>3.71821</c:v>
                </c:pt>
                <c:pt idx="24">
                  <c:v>3.7589800000000002</c:v>
                </c:pt>
                <c:pt idx="25">
                  <c:v>3.7953799999999998</c:v>
                </c:pt>
                <c:pt idx="26">
                  <c:v>3.8263200000000004</c:v>
                </c:pt>
                <c:pt idx="27">
                  <c:v>3.8551899999999999</c:v>
                </c:pt>
                <c:pt idx="28">
                  <c:v>3.8780299999999999</c:v>
                </c:pt>
                <c:pt idx="29">
                  <c:v>3.89825</c:v>
                </c:pt>
                <c:pt idx="30">
                  <c:v>3.91927</c:v>
                </c:pt>
                <c:pt idx="31">
                  <c:v>3.9413999999999998</c:v>
                </c:pt>
                <c:pt idx="32">
                  <c:v>3.9638600000000004</c:v>
                </c:pt>
                <c:pt idx="33">
                  <c:v>3.9835500000000001</c:v>
                </c:pt>
                <c:pt idx="34">
                  <c:v>3.99899</c:v>
                </c:pt>
                <c:pt idx="35">
                  <c:v>4.0084799999999996</c:v>
                </c:pt>
                <c:pt idx="36">
                  <c:v>4.0114900000000002</c:v>
                </c:pt>
                <c:pt idx="37">
                  <c:v>4.0091400000000004</c:v>
                </c:pt>
                <c:pt idx="38">
                  <c:v>4.0044599999999999</c:v>
                </c:pt>
                <c:pt idx="39">
                  <c:v>3.9965299999999999</c:v>
                </c:pt>
                <c:pt idx="40">
                  <c:v>3.9839899999999999</c:v>
                </c:pt>
                <c:pt idx="41">
                  <c:v>3.9681100000000002</c:v>
                </c:pt>
                <c:pt idx="42">
                  <c:v>3.9493200000000002</c:v>
                </c:pt>
                <c:pt idx="43">
                  <c:v>3.9237799999999998</c:v>
                </c:pt>
                <c:pt idx="44">
                  <c:v>3.8947500000000002</c:v>
                </c:pt>
                <c:pt idx="45">
                  <c:v>3.8654199999999999</c:v>
                </c:pt>
                <c:pt idx="46">
                  <c:v>3.83812</c:v>
                </c:pt>
                <c:pt idx="47">
                  <c:v>3.8165300000000002</c:v>
                </c:pt>
                <c:pt idx="48">
                  <c:v>3.79928</c:v>
                </c:pt>
                <c:pt idx="49">
                  <c:v>3.7839400000000003</c:v>
                </c:pt>
                <c:pt idx="50">
                  <c:v>3.7713600000000005</c:v>
                </c:pt>
                <c:pt idx="51">
                  <c:v>3.7649400000000002</c:v>
                </c:pt>
                <c:pt idx="52">
                  <c:v>3.7626500000000003</c:v>
                </c:pt>
                <c:pt idx="53">
                  <c:v>3.7691300000000001</c:v>
                </c:pt>
                <c:pt idx="54">
                  <c:v>3.7840199999999999</c:v>
                </c:pt>
                <c:pt idx="55">
                  <c:v>3.8041599999999995</c:v>
                </c:pt>
                <c:pt idx="56">
                  <c:v>3.8461800000000004</c:v>
                </c:pt>
                <c:pt idx="57">
                  <c:v>3.87276</c:v>
                </c:pt>
                <c:pt idx="58">
                  <c:v>3.8869700000000003</c:v>
                </c:pt>
                <c:pt idx="59">
                  <c:v>3.9369900000000002</c:v>
                </c:pt>
                <c:pt idx="60">
                  <c:v>3.9570499999999997</c:v>
                </c:pt>
                <c:pt idx="61">
                  <c:v>4.0066800000000002</c:v>
                </c:pt>
                <c:pt idx="62">
                  <c:v>4.0399400000000005</c:v>
                </c:pt>
                <c:pt idx="63">
                  <c:v>4.0619899999999998</c:v>
                </c:pt>
                <c:pt idx="64">
                  <c:v>4.0886800000000001</c:v>
                </c:pt>
                <c:pt idx="65">
                  <c:v>4.11212</c:v>
                </c:pt>
                <c:pt idx="66">
                  <c:v>4.1270499999999997</c:v>
                </c:pt>
                <c:pt idx="67">
                  <c:v>4.1337600000000005</c:v>
                </c:pt>
                <c:pt idx="68">
                  <c:v>4.1441499999999998</c:v>
                </c:pt>
                <c:pt idx="69">
                  <c:v>4.1508500000000002</c:v>
                </c:pt>
                <c:pt idx="70">
                  <c:v>4.1533899999999999</c:v>
                </c:pt>
                <c:pt idx="71">
                  <c:v>4.1543700000000001</c:v>
                </c:pt>
                <c:pt idx="72">
                  <c:v>4.1538300000000001</c:v>
                </c:pt>
                <c:pt idx="73">
                  <c:v>4.1479900000000001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29.63</c:v>
                </c:pt>
                <c:pt idx="1">
                  <c:v>30.0426</c:v>
                </c:pt>
                <c:pt idx="2">
                  <c:v>30.6127</c:v>
                </c:pt>
                <c:pt idx="3">
                  <c:v>30.989899999999999</c:v>
                </c:pt>
                <c:pt idx="4">
                  <c:v>31.366800000000001</c:v>
                </c:pt>
                <c:pt idx="5">
                  <c:v>31.744800000000001</c:v>
                </c:pt>
                <c:pt idx="6">
                  <c:v>32.114699999999999</c:v>
                </c:pt>
                <c:pt idx="7">
                  <c:v>32.519799999999996</c:v>
                </c:pt>
                <c:pt idx="8">
                  <c:v>32.9268</c:v>
                </c:pt>
                <c:pt idx="9">
                  <c:v>33.334499999999998</c:v>
                </c:pt>
                <c:pt idx="10">
                  <c:v>33.7408</c:v>
                </c:pt>
                <c:pt idx="11">
                  <c:v>34.150399999999998</c:v>
                </c:pt>
                <c:pt idx="12">
                  <c:v>34.5563</c:v>
                </c:pt>
                <c:pt idx="13">
                  <c:v>34.9602</c:v>
                </c:pt>
                <c:pt idx="14">
                  <c:v>35.365200000000002</c:v>
                </c:pt>
                <c:pt idx="15">
                  <c:v>35.771799999999999</c:v>
                </c:pt>
                <c:pt idx="16">
                  <c:v>36.174900000000001</c:v>
                </c:pt>
                <c:pt idx="17">
                  <c:v>36.584800000000001</c:v>
                </c:pt>
                <c:pt idx="18">
                  <c:v>36.990699999999997</c:v>
                </c:pt>
                <c:pt idx="19">
                  <c:v>37.394599999999997</c:v>
                </c:pt>
                <c:pt idx="20">
                  <c:v>37.801499999999997</c:v>
                </c:pt>
                <c:pt idx="21">
                  <c:v>38.206200000000003</c:v>
                </c:pt>
                <c:pt idx="22">
                  <c:v>38.617400000000004</c:v>
                </c:pt>
                <c:pt idx="23">
                  <c:v>39.024299999999997</c:v>
                </c:pt>
                <c:pt idx="24">
                  <c:v>39.428199999999997</c:v>
                </c:pt>
                <c:pt idx="25">
                  <c:v>39.834099999999999</c:v>
                </c:pt>
                <c:pt idx="26">
                  <c:v>40.241</c:v>
                </c:pt>
                <c:pt idx="27">
                  <c:v>40.648000000000003</c:v>
                </c:pt>
                <c:pt idx="28">
                  <c:v>41.054900000000004</c:v>
                </c:pt>
                <c:pt idx="29">
                  <c:v>41.459800000000001</c:v>
                </c:pt>
                <c:pt idx="30">
                  <c:v>41.865699999999997</c:v>
                </c:pt>
                <c:pt idx="31">
                  <c:v>42.271799999999999</c:v>
                </c:pt>
                <c:pt idx="32">
                  <c:v>42.679499999999997</c:v>
                </c:pt>
                <c:pt idx="33">
                  <c:v>43.086599999999997</c:v>
                </c:pt>
                <c:pt idx="34">
                  <c:v>43.491999999999997</c:v>
                </c:pt>
                <c:pt idx="35">
                  <c:v>43.899299999999997</c:v>
                </c:pt>
                <c:pt idx="36">
                  <c:v>44.305399999999999</c:v>
                </c:pt>
                <c:pt idx="37">
                  <c:v>44.715600000000002</c:v>
                </c:pt>
                <c:pt idx="38">
                  <c:v>45.1205</c:v>
                </c:pt>
                <c:pt idx="39">
                  <c:v>45.526299999999999</c:v>
                </c:pt>
                <c:pt idx="40">
                  <c:v>45.931100000000001</c:v>
                </c:pt>
                <c:pt idx="41">
                  <c:v>46.338799999999999</c:v>
                </c:pt>
                <c:pt idx="42">
                  <c:v>46.741599999999998</c:v>
                </c:pt>
                <c:pt idx="43">
                  <c:v>47.144599999999997</c:v>
                </c:pt>
                <c:pt idx="44">
                  <c:v>47.550699999999999</c:v>
                </c:pt>
                <c:pt idx="45">
                  <c:v>47.961399999999998</c:v>
                </c:pt>
                <c:pt idx="46">
                  <c:v>48.3626</c:v>
                </c:pt>
                <c:pt idx="47">
                  <c:v>48.772199999999998</c:v>
                </c:pt>
                <c:pt idx="48">
                  <c:v>49.178100000000001</c:v>
                </c:pt>
                <c:pt idx="49">
                  <c:v>49.584200000000003</c:v>
                </c:pt>
                <c:pt idx="50">
                  <c:v>49.991599999999998</c:v>
                </c:pt>
                <c:pt idx="51">
                  <c:v>50.398899999999998</c:v>
                </c:pt>
                <c:pt idx="52">
                  <c:v>50.803199999999997</c:v>
                </c:pt>
                <c:pt idx="53">
                  <c:v>51.2087</c:v>
                </c:pt>
                <c:pt idx="54">
                  <c:v>51.615699999999997</c:v>
                </c:pt>
                <c:pt idx="55">
                  <c:v>52.0227</c:v>
                </c:pt>
                <c:pt idx="56">
                  <c:v>52.433599999999998</c:v>
                </c:pt>
                <c:pt idx="57">
                  <c:v>52.833399999999997</c:v>
                </c:pt>
                <c:pt idx="58">
                  <c:v>53.241500000000002</c:v>
                </c:pt>
                <c:pt idx="59">
                  <c:v>53.649500000000003</c:v>
                </c:pt>
                <c:pt idx="60">
                  <c:v>54.054099999999998</c:v>
                </c:pt>
                <c:pt idx="61">
                  <c:v>54.461399999999998</c:v>
                </c:pt>
                <c:pt idx="62">
                  <c:v>54.867100000000001</c:v>
                </c:pt>
                <c:pt idx="63">
                  <c:v>55.293900000000001</c:v>
                </c:pt>
                <c:pt idx="64">
                  <c:v>55.683700000000002</c:v>
                </c:pt>
                <c:pt idx="65">
                  <c:v>56.084099999999999</c:v>
                </c:pt>
                <c:pt idx="66">
                  <c:v>56.488599999999998</c:v>
                </c:pt>
                <c:pt idx="67">
                  <c:v>56.897599999999997</c:v>
                </c:pt>
                <c:pt idx="68">
                  <c:v>57.3035</c:v>
                </c:pt>
                <c:pt idx="69">
                  <c:v>57.708300000000001</c:v>
                </c:pt>
                <c:pt idx="70">
                  <c:v>58.116199999999999</c:v>
                </c:pt>
                <c:pt idx="71">
                  <c:v>58.522399999999998</c:v>
                </c:pt>
                <c:pt idx="72">
                  <c:v>58.927700000000002</c:v>
                </c:pt>
                <c:pt idx="73">
                  <c:v>59.335000000000001</c:v>
                </c:pt>
                <c:pt idx="74">
                  <c:v>59.737099999999998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4.1479900000000001</c:v>
                </c:pt>
                <c:pt idx="1">
                  <c:v>4.1262300000000005</c:v>
                </c:pt>
                <c:pt idx="2">
                  <c:v>4.1119300000000001</c:v>
                </c:pt>
                <c:pt idx="3">
                  <c:v>4.0925799999999999</c:v>
                </c:pt>
                <c:pt idx="4">
                  <c:v>4.0705599999999995</c:v>
                </c:pt>
                <c:pt idx="5">
                  <c:v>4.0447499999999996</c:v>
                </c:pt>
                <c:pt idx="6">
                  <c:v>4.0124700000000004</c:v>
                </c:pt>
                <c:pt idx="7">
                  <c:v>3.9719300000000004</c:v>
                </c:pt>
                <c:pt idx="8">
                  <c:v>3.9229500000000002</c:v>
                </c:pt>
                <c:pt idx="9">
                  <c:v>3.87059</c:v>
                </c:pt>
                <c:pt idx="10">
                  <c:v>3.8139600000000002</c:v>
                </c:pt>
                <c:pt idx="11">
                  <c:v>3.7570199999999998</c:v>
                </c:pt>
                <c:pt idx="12">
                  <c:v>3.7014200000000002</c:v>
                </c:pt>
                <c:pt idx="13">
                  <c:v>3.6461399999999999</c:v>
                </c:pt>
                <c:pt idx="14">
                  <c:v>3.59694</c:v>
                </c:pt>
                <c:pt idx="15">
                  <c:v>3.5521399999999996</c:v>
                </c:pt>
                <c:pt idx="16">
                  <c:v>3.5169899999999998</c:v>
                </c:pt>
                <c:pt idx="17">
                  <c:v>3.4929999999999999</c:v>
                </c:pt>
                <c:pt idx="18">
                  <c:v>3.4767999999999999</c:v>
                </c:pt>
                <c:pt idx="19">
                  <c:v>3.46949</c:v>
                </c:pt>
                <c:pt idx="20">
                  <c:v>3.4706799999999998</c:v>
                </c:pt>
                <c:pt idx="21">
                  <c:v>3.4776000000000002</c:v>
                </c:pt>
                <c:pt idx="22">
                  <c:v>3.4878</c:v>
                </c:pt>
                <c:pt idx="23">
                  <c:v>3.50143</c:v>
                </c:pt>
                <c:pt idx="24">
                  <c:v>3.52081</c:v>
                </c:pt>
                <c:pt idx="25">
                  <c:v>3.5467500000000003</c:v>
                </c:pt>
                <c:pt idx="26">
                  <c:v>3.5769600000000001</c:v>
                </c:pt>
                <c:pt idx="27">
                  <c:v>3.6080800000000002</c:v>
                </c:pt>
                <c:pt idx="28">
                  <c:v>3.6397699999999999</c:v>
                </c:pt>
                <c:pt idx="29">
                  <c:v>3.6706799999999999</c:v>
                </c:pt>
                <c:pt idx="30">
                  <c:v>3.6966700000000001</c:v>
                </c:pt>
                <c:pt idx="31">
                  <c:v>3.7190400000000001</c:v>
                </c:pt>
                <c:pt idx="32">
                  <c:v>3.7397299999999998</c:v>
                </c:pt>
                <c:pt idx="33">
                  <c:v>3.7613400000000001</c:v>
                </c:pt>
                <c:pt idx="34">
                  <c:v>3.7823200000000003</c:v>
                </c:pt>
                <c:pt idx="35">
                  <c:v>3.7991000000000001</c:v>
                </c:pt>
                <c:pt idx="36">
                  <c:v>3.8124000000000002</c:v>
                </c:pt>
                <c:pt idx="37">
                  <c:v>3.8226700000000005</c:v>
                </c:pt>
                <c:pt idx="38">
                  <c:v>3.8305600000000002</c:v>
                </c:pt>
                <c:pt idx="39">
                  <c:v>3.8372800000000002</c:v>
                </c:pt>
                <c:pt idx="40">
                  <c:v>3.8416099999999997</c:v>
                </c:pt>
                <c:pt idx="41">
                  <c:v>3.8468999999999998</c:v>
                </c:pt>
                <c:pt idx="42">
                  <c:v>3.8494600000000001</c:v>
                </c:pt>
                <c:pt idx="43">
                  <c:v>3.8536700000000002</c:v>
                </c:pt>
                <c:pt idx="44">
                  <c:v>3.8564799999999999</c:v>
                </c:pt>
                <c:pt idx="45">
                  <c:v>3.8569900000000001</c:v>
                </c:pt>
                <c:pt idx="46">
                  <c:v>3.8572499999999996</c:v>
                </c:pt>
                <c:pt idx="47">
                  <c:v>3.8565800000000001</c:v>
                </c:pt>
                <c:pt idx="48">
                  <c:v>3.8536100000000002</c:v>
                </c:pt>
                <c:pt idx="49">
                  <c:v>3.8472400000000002</c:v>
                </c:pt>
                <c:pt idx="50">
                  <c:v>3.8400800000000004</c:v>
                </c:pt>
                <c:pt idx="51">
                  <c:v>3.8266899999999997</c:v>
                </c:pt>
                <c:pt idx="52">
                  <c:v>3.81229</c:v>
                </c:pt>
                <c:pt idx="53">
                  <c:v>3.79765</c:v>
                </c:pt>
                <c:pt idx="54">
                  <c:v>3.7817699999999999</c:v>
                </c:pt>
                <c:pt idx="55">
                  <c:v>3.7697599999999998</c:v>
                </c:pt>
                <c:pt idx="56">
                  <c:v>3.7617000000000003</c:v>
                </c:pt>
                <c:pt idx="57">
                  <c:v>3.7580599999999995</c:v>
                </c:pt>
                <c:pt idx="58">
                  <c:v>3.7541400000000005</c:v>
                </c:pt>
                <c:pt idx="59">
                  <c:v>3.7519200000000001</c:v>
                </c:pt>
                <c:pt idx="60">
                  <c:v>3.7549399999999999</c:v>
                </c:pt>
                <c:pt idx="61">
                  <c:v>3.7624499999999999</c:v>
                </c:pt>
                <c:pt idx="62">
                  <c:v>3.7754799999999999</c:v>
                </c:pt>
                <c:pt idx="63">
                  <c:v>3.7933699999999999</c:v>
                </c:pt>
                <c:pt idx="64">
                  <c:v>3.81237</c:v>
                </c:pt>
                <c:pt idx="65">
                  <c:v>3.8367899999999997</c:v>
                </c:pt>
                <c:pt idx="66">
                  <c:v>3.8521200000000002</c:v>
                </c:pt>
                <c:pt idx="67">
                  <c:v>3.86747</c:v>
                </c:pt>
                <c:pt idx="68">
                  <c:v>3.8752500000000003</c:v>
                </c:pt>
                <c:pt idx="69">
                  <c:v>3.8805000000000001</c:v>
                </c:pt>
                <c:pt idx="70">
                  <c:v>3.8864700000000001</c:v>
                </c:pt>
                <c:pt idx="71">
                  <c:v>3.88537</c:v>
                </c:pt>
                <c:pt idx="72">
                  <c:v>3.8835100000000002</c:v>
                </c:pt>
                <c:pt idx="73">
                  <c:v>3.8967800000000001</c:v>
                </c:pt>
                <c:pt idx="74">
                  <c:v>3.9226200000000002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14.934275</c:v>
                </c:pt>
                <c:pt idx="1">
                  <c:v>44.802824999999999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3.634146486486487</c:v>
                </c:pt>
                <c:pt idx="1">
                  <c:v>3.7784986486486485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0.381606</c:v>
                </c:pt>
                <c:pt idx="2">
                  <c:v>0.78512199999999999</c:v>
                </c:pt>
                <c:pt idx="3">
                  <c:v>1.19347</c:v>
                </c:pt>
                <c:pt idx="4">
                  <c:v>1.59859</c:v>
                </c:pt>
                <c:pt idx="5">
                  <c:v>2.0063200000000001</c:v>
                </c:pt>
                <c:pt idx="6">
                  <c:v>2.41039</c:v>
                </c:pt>
                <c:pt idx="7">
                  <c:v>2.8181699999999998</c:v>
                </c:pt>
                <c:pt idx="8">
                  <c:v>3.22506</c:v>
                </c:pt>
                <c:pt idx="9">
                  <c:v>3.6318199999999998</c:v>
                </c:pt>
                <c:pt idx="10">
                  <c:v>4.0388400000000004</c:v>
                </c:pt>
                <c:pt idx="11">
                  <c:v>4.4457199999999997</c:v>
                </c:pt>
                <c:pt idx="12">
                  <c:v>4.8516500000000002</c:v>
                </c:pt>
                <c:pt idx="13">
                  <c:v>5.2545900000000003</c:v>
                </c:pt>
                <c:pt idx="14">
                  <c:v>5.6626300000000001</c:v>
                </c:pt>
                <c:pt idx="15">
                  <c:v>6.0674400000000004</c:v>
                </c:pt>
                <c:pt idx="16">
                  <c:v>6.4723300000000004</c:v>
                </c:pt>
                <c:pt idx="17">
                  <c:v>6.8784000000000001</c:v>
                </c:pt>
                <c:pt idx="18">
                  <c:v>7.28918</c:v>
                </c:pt>
                <c:pt idx="19">
                  <c:v>7.6950900000000004</c:v>
                </c:pt>
                <c:pt idx="20">
                  <c:v>8.1000599999999991</c:v>
                </c:pt>
                <c:pt idx="21">
                  <c:v>8.5071200000000005</c:v>
                </c:pt>
                <c:pt idx="22">
                  <c:v>8.9130099999999999</c:v>
                </c:pt>
                <c:pt idx="23">
                  <c:v>9.3167399999999994</c:v>
                </c:pt>
                <c:pt idx="24">
                  <c:v>9.7265999999999995</c:v>
                </c:pt>
                <c:pt idx="25">
                  <c:v>10.131500000000001</c:v>
                </c:pt>
                <c:pt idx="26">
                  <c:v>10.5345</c:v>
                </c:pt>
                <c:pt idx="27">
                  <c:v>10.9421</c:v>
                </c:pt>
                <c:pt idx="28">
                  <c:v>11.3528</c:v>
                </c:pt>
                <c:pt idx="29">
                  <c:v>11.7582</c:v>
                </c:pt>
                <c:pt idx="30">
                  <c:v>12.164099999999999</c:v>
                </c:pt>
                <c:pt idx="31">
                  <c:v>12.5661</c:v>
                </c:pt>
                <c:pt idx="32">
                  <c:v>12.974500000000001</c:v>
                </c:pt>
                <c:pt idx="33">
                  <c:v>13.382999999999999</c:v>
                </c:pt>
                <c:pt idx="34">
                  <c:v>13.7897</c:v>
                </c:pt>
                <c:pt idx="35">
                  <c:v>14.1967</c:v>
                </c:pt>
                <c:pt idx="36">
                  <c:v>14.601599999999999</c:v>
                </c:pt>
                <c:pt idx="37">
                  <c:v>15.006600000000001</c:v>
                </c:pt>
                <c:pt idx="38">
                  <c:v>15.413399999999999</c:v>
                </c:pt>
                <c:pt idx="39">
                  <c:v>15.8164</c:v>
                </c:pt>
                <c:pt idx="40">
                  <c:v>16.226299999999998</c:v>
                </c:pt>
                <c:pt idx="41">
                  <c:v>16.635200000000001</c:v>
                </c:pt>
                <c:pt idx="42">
                  <c:v>17.040099999999999</c:v>
                </c:pt>
                <c:pt idx="43">
                  <c:v>17.443100000000001</c:v>
                </c:pt>
                <c:pt idx="44">
                  <c:v>17.8489</c:v>
                </c:pt>
                <c:pt idx="45">
                  <c:v>18.256799999999998</c:v>
                </c:pt>
                <c:pt idx="46">
                  <c:v>18.6647</c:v>
                </c:pt>
                <c:pt idx="47">
                  <c:v>19.070599999999999</c:v>
                </c:pt>
                <c:pt idx="48">
                  <c:v>19.476600000000001</c:v>
                </c:pt>
                <c:pt idx="49">
                  <c:v>19.880500000000001</c:v>
                </c:pt>
                <c:pt idx="50">
                  <c:v>20.284600000000001</c:v>
                </c:pt>
                <c:pt idx="51">
                  <c:v>20.694299999999998</c:v>
                </c:pt>
                <c:pt idx="52">
                  <c:v>21.1035</c:v>
                </c:pt>
                <c:pt idx="53">
                  <c:v>21.508099999999999</c:v>
                </c:pt>
                <c:pt idx="54">
                  <c:v>21.9131</c:v>
                </c:pt>
                <c:pt idx="55">
                  <c:v>22.318200000000001</c:v>
                </c:pt>
                <c:pt idx="56">
                  <c:v>22.726900000000001</c:v>
                </c:pt>
                <c:pt idx="57">
                  <c:v>23.133800000000001</c:v>
                </c:pt>
                <c:pt idx="58">
                  <c:v>23.537700000000001</c:v>
                </c:pt>
                <c:pt idx="59">
                  <c:v>23.944600000000001</c:v>
                </c:pt>
                <c:pt idx="60">
                  <c:v>24.349900000000002</c:v>
                </c:pt>
                <c:pt idx="61">
                  <c:v>24.758400000000002</c:v>
                </c:pt>
                <c:pt idx="62">
                  <c:v>25.1614</c:v>
                </c:pt>
                <c:pt idx="63">
                  <c:v>25.568200000000001</c:v>
                </c:pt>
                <c:pt idx="64">
                  <c:v>25.975200000000001</c:v>
                </c:pt>
                <c:pt idx="65">
                  <c:v>26.383500000000002</c:v>
                </c:pt>
                <c:pt idx="66">
                  <c:v>26.786200000000001</c:v>
                </c:pt>
                <c:pt idx="67">
                  <c:v>27.1919</c:v>
                </c:pt>
                <c:pt idx="68">
                  <c:v>27.599799999999998</c:v>
                </c:pt>
                <c:pt idx="69">
                  <c:v>28.0078</c:v>
                </c:pt>
                <c:pt idx="70">
                  <c:v>28.412700000000001</c:v>
                </c:pt>
                <c:pt idx="71">
                  <c:v>28.819700000000001</c:v>
                </c:pt>
                <c:pt idx="72">
                  <c:v>29.2226</c:v>
                </c:pt>
                <c:pt idx="73">
                  <c:v>29.63</c:v>
                </c:pt>
                <c:pt idx="74">
                  <c:v>30.0426</c:v>
                </c:pt>
                <c:pt idx="75">
                  <c:v>30.6127</c:v>
                </c:pt>
                <c:pt idx="76">
                  <c:v>30.989899999999999</c:v>
                </c:pt>
                <c:pt idx="77">
                  <c:v>31.366800000000001</c:v>
                </c:pt>
                <c:pt idx="78">
                  <c:v>31.744800000000001</c:v>
                </c:pt>
                <c:pt idx="79">
                  <c:v>32.114699999999999</c:v>
                </c:pt>
                <c:pt idx="80">
                  <c:v>32.519799999999996</c:v>
                </c:pt>
                <c:pt idx="81">
                  <c:v>32.9268</c:v>
                </c:pt>
                <c:pt idx="82">
                  <c:v>33.334499999999998</c:v>
                </c:pt>
                <c:pt idx="83">
                  <c:v>33.7408</c:v>
                </c:pt>
                <c:pt idx="84">
                  <c:v>34.150399999999998</c:v>
                </c:pt>
                <c:pt idx="85">
                  <c:v>34.5563</c:v>
                </c:pt>
                <c:pt idx="86">
                  <c:v>34.9602</c:v>
                </c:pt>
                <c:pt idx="87">
                  <c:v>35.365200000000002</c:v>
                </c:pt>
                <c:pt idx="88">
                  <c:v>35.771799999999999</c:v>
                </c:pt>
                <c:pt idx="89">
                  <c:v>36.174900000000001</c:v>
                </c:pt>
                <c:pt idx="90">
                  <c:v>36.584800000000001</c:v>
                </c:pt>
                <c:pt idx="91">
                  <c:v>36.990699999999997</c:v>
                </c:pt>
                <c:pt idx="92">
                  <c:v>37.394599999999997</c:v>
                </c:pt>
                <c:pt idx="93">
                  <c:v>37.801499999999997</c:v>
                </c:pt>
                <c:pt idx="94">
                  <c:v>38.206200000000003</c:v>
                </c:pt>
                <c:pt idx="95">
                  <c:v>38.617400000000004</c:v>
                </c:pt>
                <c:pt idx="96">
                  <c:v>39.024299999999997</c:v>
                </c:pt>
                <c:pt idx="97">
                  <c:v>39.428199999999997</c:v>
                </c:pt>
                <c:pt idx="98">
                  <c:v>39.834099999999999</c:v>
                </c:pt>
                <c:pt idx="99">
                  <c:v>40.241</c:v>
                </c:pt>
                <c:pt idx="100">
                  <c:v>40.648000000000003</c:v>
                </c:pt>
                <c:pt idx="101">
                  <c:v>41.054900000000004</c:v>
                </c:pt>
                <c:pt idx="102">
                  <c:v>41.459800000000001</c:v>
                </c:pt>
                <c:pt idx="103">
                  <c:v>41.865699999999997</c:v>
                </c:pt>
                <c:pt idx="104">
                  <c:v>42.271799999999999</c:v>
                </c:pt>
                <c:pt idx="105">
                  <c:v>42.679499999999997</c:v>
                </c:pt>
                <c:pt idx="106">
                  <c:v>43.086599999999997</c:v>
                </c:pt>
                <c:pt idx="107">
                  <c:v>43.491999999999997</c:v>
                </c:pt>
                <c:pt idx="108">
                  <c:v>43.899299999999997</c:v>
                </c:pt>
                <c:pt idx="109">
                  <c:v>44.305399999999999</c:v>
                </c:pt>
                <c:pt idx="110">
                  <c:v>44.715600000000002</c:v>
                </c:pt>
                <c:pt idx="111">
                  <c:v>45.1205</c:v>
                </c:pt>
                <c:pt idx="112">
                  <c:v>45.526299999999999</c:v>
                </c:pt>
                <c:pt idx="113">
                  <c:v>45.931100000000001</c:v>
                </c:pt>
                <c:pt idx="114">
                  <c:v>46.338799999999999</c:v>
                </c:pt>
                <c:pt idx="115">
                  <c:v>46.741599999999998</c:v>
                </c:pt>
                <c:pt idx="116">
                  <c:v>47.144599999999997</c:v>
                </c:pt>
                <c:pt idx="117">
                  <c:v>47.550699999999999</c:v>
                </c:pt>
                <c:pt idx="118">
                  <c:v>47.961399999999998</c:v>
                </c:pt>
                <c:pt idx="119">
                  <c:v>48.3626</c:v>
                </c:pt>
                <c:pt idx="120">
                  <c:v>48.772199999999998</c:v>
                </c:pt>
                <c:pt idx="121">
                  <c:v>49.178100000000001</c:v>
                </c:pt>
                <c:pt idx="122">
                  <c:v>49.584200000000003</c:v>
                </c:pt>
                <c:pt idx="123">
                  <c:v>49.991599999999998</c:v>
                </c:pt>
                <c:pt idx="124">
                  <c:v>50.398899999999998</c:v>
                </c:pt>
                <c:pt idx="125">
                  <c:v>50.803199999999997</c:v>
                </c:pt>
                <c:pt idx="126">
                  <c:v>51.2087</c:v>
                </c:pt>
                <c:pt idx="127">
                  <c:v>51.615699999999997</c:v>
                </c:pt>
                <c:pt idx="128">
                  <c:v>52.0227</c:v>
                </c:pt>
                <c:pt idx="129">
                  <c:v>52.433599999999998</c:v>
                </c:pt>
                <c:pt idx="130">
                  <c:v>52.833399999999997</c:v>
                </c:pt>
                <c:pt idx="131">
                  <c:v>53.241500000000002</c:v>
                </c:pt>
                <c:pt idx="132">
                  <c:v>53.649500000000003</c:v>
                </c:pt>
                <c:pt idx="133">
                  <c:v>54.054099999999998</c:v>
                </c:pt>
                <c:pt idx="134">
                  <c:v>54.461399999999998</c:v>
                </c:pt>
                <c:pt idx="135">
                  <c:v>54.867100000000001</c:v>
                </c:pt>
                <c:pt idx="136">
                  <c:v>55.293900000000001</c:v>
                </c:pt>
                <c:pt idx="137">
                  <c:v>55.683700000000002</c:v>
                </c:pt>
                <c:pt idx="138">
                  <c:v>56.084099999999999</c:v>
                </c:pt>
                <c:pt idx="139">
                  <c:v>56.488599999999998</c:v>
                </c:pt>
                <c:pt idx="140">
                  <c:v>56.897599999999997</c:v>
                </c:pt>
                <c:pt idx="141">
                  <c:v>57.3035</c:v>
                </c:pt>
                <c:pt idx="142">
                  <c:v>57.708300000000001</c:v>
                </c:pt>
                <c:pt idx="143">
                  <c:v>58.116199999999999</c:v>
                </c:pt>
                <c:pt idx="144">
                  <c:v>58.522399999999998</c:v>
                </c:pt>
                <c:pt idx="145">
                  <c:v>58.927700000000002</c:v>
                </c:pt>
                <c:pt idx="146">
                  <c:v>59.335000000000001</c:v>
                </c:pt>
                <c:pt idx="147">
                  <c:v>59.737099999999998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63.871500000000005</c:v>
                </c:pt>
                <c:pt idx="1">
                  <c:v>63.349200000000003</c:v>
                </c:pt>
                <c:pt idx="2">
                  <c:v>62.910200000000003</c:v>
                </c:pt>
                <c:pt idx="3">
                  <c:v>62.437200000000004</c:v>
                </c:pt>
                <c:pt idx="4">
                  <c:v>61.981200000000001</c:v>
                </c:pt>
                <c:pt idx="5">
                  <c:v>61.669799999999995</c:v>
                </c:pt>
                <c:pt idx="6">
                  <c:v>61.481300000000005</c:v>
                </c:pt>
                <c:pt idx="7">
                  <c:v>61.333400000000005</c:v>
                </c:pt>
                <c:pt idx="8">
                  <c:v>61.126899999999992</c:v>
                </c:pt>
                <c:pt idx="9">
                  <c:v>60.852200000000003</c:v>
                </c:pt>
                <c:pt idx="10">
                  <c:v>60.428400000000003</c:v>
                </c:pt>
                <c:pt idx="11">
                  <c:v>59.8384</c:v>
                </c:pt>
                <c:pt idx="12">
                  <c:v>58.984800000000007</c:v>
                </c:pt>
                <c:pt idx="13">
                  <c:v>57.996299999999998</c:v>
                </c:pt>
                <c:pt idx="14">
                  <c:v>56.921999999999997</c:v>
                </c:pt>
                <c:pt idx="15">
                  <c:v>55.887799999999999</c:v>
                </c:pt>
                <c:pt idx="16">
                  <c:v>54.788899999999998</c:v>
                </c:pt>
                <c:pt idx="17">
                  <c:v>53.696999999999996</c:v>
                </c:pt>
                <c:pt idx="18">
                  <c:v>52.651099999999992</c:v>
                </c:pt>
                <c:pt idx="19">
                  <c:v>51.811500000000002</c:v>
                </c:pt>
                <c:pt idx="20">
                  <c:v>51.166500000000006</c:v>
                </c:pt>
                <c:pt idx="21">
                  <c:v>50.861199999999997</c:v>
                </c:pt>
                <c:pt idx="22">
                  <c:v>50.762500000000003</c:v>
                </c:pt>
                <c:pt idx="23">
                  <c:v>50.783299999999997</c:v>
                </c:pt>
                <c:pt idx="24">
                  <c:v>50.77</c:v>
                </c:pt>
                <c:pt idx="25">
                  <c:v>50.797699999999999</c:v>
                </c:pt>
                <c:pt idx="26">
                  <c:v>50.9069</c:v>
                </c:pt>
                <c:pt idx="27">
                  <c:v>51.001700000000007</c:v>
                </c:pt>
                <c:pt idx="28">
                  <c:v>51.103600000000007</c:v>
                </c:pt>
                <c:pt idx="29">
                  <c:v>51.213799999999999</c:v>
                </c:pt>
                <c:pt idx="30">
                  <c:v>51.3551</c:v>
                </c:pt>
                <c:pt idx="31">
                  <c:v>51.509300000000003</c:v>
                </c:pt>
                <c:pt idx="32">
                  <c:v>51.627400000000002</c:v>
                </c:pt>
                <c:pt idx="33">
                  <c:v>51.738300000000002</c:v>
                </c:pt>
                <c:pt idx="34">
                  <c:v>51.812400000000004</c:v>
                </c:pt>
                <c:pt idx="35">
                  <c:v>51.772500000000001</c:v>
                </c:pt>
                <c:pt idx="36">
                  <c:v>51.624600000000001</c:v>
                </c:pt>
                <c:pt idx="37">
                  <c:v>51.449399999999997</c:v>
                </c:pt>
                <c:pt idx="38">
                  <c:v>51.273100000000007</c:v>
                </c:pt>
                <c:pt idx="39">
                  <c:v>51.072399999999995</c:v>
                </c:pt>
                <c:pt idx="40">
                  <c:v>50.841700000000003</c:v>
                </c:pt>
                <c:pt idx="41">
                  <c:v>50.682499999999997</c:v>
                </c:pt>
                <c:pt idx="42">
                  <c:v>50.572300000000006</c:v>
                </c:pt>
                <c:pt idx="43">
                  <c:v>50.517100000000006</c:v>
                </c:pt>
                <c:pt idx="44">
                  <c:v>50.531700000000001</c:v>
                </c:pt>
                <c:pt idx="45">
                  <c:v>50.624899999999997</c:v>
                </c:pt>
                <c:pt idx="46">
                  <c:v>50.662600000000005</c:v>
                </c:pt>
                <c:pt idx="47">
                  <c:v>50.612900000000003</c:v>
                </c:pt>
                <c:pt idx="48">
                  <c:v>50.593600000000002</c:v>
                </c:pt>
                <c:pt idx="49">
                  <c:v>50.675699999999999</c:v>
                </c:pt>
                <c:pt idx="50">
                  <c:v>50.764699999999998</c:v>
                </c:pt>
                <c:pt idx="51">
                  <c:v>50.780899999999995</c:v>
                </c:pt>
                <c:pt idx="52">
                  <c:v>50.7652</c:v>
                </c:pt>
                <c:pt idx="53">
                  <c:v>50.621099999999998</c:v>
                </c:pt>
                <c:pt idx="54">
                  <c:v>50.342500000000001</c:v>
                </c:pt>
                <c:pt idx="55">
                  <c:v>49.902200000000001</c:v>
                </c:pt>
                <c:pt idx="56">
                  <c:v>49.020200000000003</c:v>
                </c:pt>
                <c:pt idx="57">
                  <c:v>48.499600000000001</c:v>
                </c:pt>
                <c:pt idx="58">
                  <c:v>48.155200000000001</c:v>
                </c:pt>
                <c:pt idx="59">
                  <c:v>47.270400000000002</c:v>
                </c:pt>
                <c:pt idx="60">
                  <c:v>46.893099999999997</c:v>
                </c:pt>
                <c:pt idx="61">
                  <c:v>46.146799999999999</c:v>
                </c:pt>
                <c:pt idx="62">
                  <c:v>45.827600000000004</c:v>
                </c:pt>
                <c:pt idx="63">
                  <c:v>45.646500000000003</c:v>
                </c:pt>
                <c:pt idx="64">
                  <c:v>45.5379</c:v>
                </c:pt>
                <c:pt idx="65">
                  <c:v>45.637100000000004</c:v>
                </c:pt>
                <c:pt idx="66">
                  <c:v>45.694200000000002</c:v>
                </c:pt>
                <c:pt idx="67">
                  <c:v>45.783099999999997</c:v>
                </c:pt>
                <c:pt idx="68">
                  <c:v>45.830599999999997</c:v>
                </c:pt>
                <c:pt idx="69">
                  <c:v>45.873000000000005</c:v>
                </c:pt>
                <c:pt idx="70">
                  <c:v>45.900100000000002</c:v>
                </c:pt>
                <c:pt idx="71">
                  <c:v>45.947500000000005</c:v>
                </c:pt>
                <c:pt idx="72">
                  <c:v>45.981999999999999</c:v>
                </c:pt>
                <c:pt idx="73">
                  <c:v>45.875</c:v>
                </c:pt>
                <c:pt idx="74">
                  <c:v>45.5336</c:v>
                </c:pt>
                <c:pt idx="75">
                  <c:v>45.183700000000002</c:v>
                </c:pt>
                <c:pt idx="76">
                  <c:v>44.745200000000004</c:v>
                </c:pt>
                <c:pt idx="77">
                  <c:v>44.3309</c:v>
                </c:pt>
                <c:pt idx="78">
                  <c:v>43.959399999999995</c:v>
                </c:pt>
                <c:pt idx="79">
                  <c:v>43.66</c:v>
                </c:pt>
                <c:pt idx="80">
                  <c:v>43.4848</c:v>
                </c:pt>
                <c:pt idx="81">
                  <c:v>43.458300000000001</c:v>
                </c:pt>
                <c:pt idx="82">
                  <c:v>43.542199999999994</c:v>
                </c:pt>
                <c:pt idx="83">
                  <c:v>43.906300000000002</c:v>
                </c:pt>
                <c:pt idx="84">
                  <c:v>44.616399999999999</c:v>
                </c:pt>
                <c:pt idx="85">
                  <c:v>45.61</c:v>
                </c:pt>
                <c:pt idx="86">
                  <c:v>46.880400000000002</c:v>
                </c:pt>
                <c:pt idx="87">
                  <c:v>48.170400000000001</c:v>
                </c:pt>
                <c:pt idx="88">
                  <c:v>49.595800000000004</c:v>
                </c:pt>
                <c:pt idx="89">
                  <c:v>50.868899999999996</c:v>
                </c:pt>
                <c:pt idx="90">
                  <c:v>51.944199999999995</c:v>
                </c:pt>
                <c:pt idx="91">
                  <c:v>52.9054</c:v>
                </c:pt>
                <c:pt idx="92">
                  <c:v>53.758099999999999</c:v>
                </c:pt>
                <c:pt idx="93">
                  <c:v>54.386199999999995</c:v>
                </c:pt>
                <c:pt idx="94">
                  <c:v>54.821899999999999</c:v>
                </c:pt>
                <c:pt idx="95">
                  <c:v>55.124899999999997</c:v>
                </c:pt>
                <c:pt idx="96">
                  <c:v>55.2821</c:v>
                </c:pt>
                <c:pt idx="97">
                  <c:v>55.322899999999997</c:v>
                </c:pt>
                <c:pt idx="98">
                  <c:v>55.272399999999998</c:v>
                </c:pt>
                <c:pt idx="99">
                  <c:v>55.196999999999996</c:v>
                </c:pt>
                <c:pt idx="100">
                  <c:v>55.195999999999998</c:v>
                </c:pt>
                <c:pt idx="101">
                  <c:v>55.239600000000003</c:v>
                </c:pt>
                <c:pt idx="102">
                  <c:v>55.301000000000002</c:v>
                </c:pt>
                <c:pt idx="103">
                  <c:v>55.470500000000001</c:v>
                </c:pt>
                <c:pt idx="104">
                  <c:v>55.739700000000006</c:v>
                </c:pt>
                <c:pt idx="105">
                  <c:v>56.015300000000003</c:v>
                </c:pt>
                <c:pt idx="106">
                  <c:v>56.292200000000001</c:v>
                </c:pt>
                <c:pt idx="107">
                  <c:v>56.528300000000002</c:v>
                </c:pt>
                <c:pt idx="108">
                  <c:v>56.706100000000006</c:v>
                </c:pt>
                <c:pt idx="109">
                  <c:v>56.7986</c:v>
                </c:pt>
                <c:pt idx="110">
                  <c:v>56.799799999999998</c:v>
                </c:pt>
                <c:pt idx="111">
                  <c:v>56.710999999999999</c:v>
                </c:pt>
                <c:pt idx="112">
                  <c:v>56.588099999999997</c:v>
                </c:pt>
                <c:pt idx="113">
                  <c:v>56.437199999999997</c:v>
                </c:pt>
                <c:pt idx="114">
                  <c:v>56.266300000000001</c:v>
                </c:pt>
                <c:pt idx="115">
                  <c:v>56.057699999999997</c:v>
                </c:pt>
                <c:pt idx="116">
                  <c:v>55.751799999999996</c:v>
                </c:pt>
                <c:pt idx="117">
                  <c:v>55.398699999999998</c:v>
                </c:pt>
                <c:pt idx="118">
                  <c:v>55.043200000000006</c:v>
                </c:pt>
                <c:pt idx="119">
                  <c:v>54.679000000000002</c:v>
                </c:pt>
                <c:pt idx="120">
                  <c:v>54.325800000000001</c:v>
                </c:pt>
                <c:pt idx="121">
                  <c:v>54.014200000000002</c:v>
                </c:pt>
                <c:pt idx="122">
                  <c:v>53.738699999999994</c:v>
                </c:pt>
                <c:pt idx="123">
                  <c:v>53.477200000000003</c:v>
                </c:pt>
                <c:pt idx="124">
                  <c:v>53.349000000000004</c:v>
                </c:pt>
                <c:pt idx="125">
                  <c:v>53.212699999999998</c:v>
                </c:pt>
                <c:pt idx="126">
                  <c:v>53.104500000000002</c:v>
                </c:pt>
                <c:pt idx="127">
                  <c:v>53.056499999999993</c:v>
                </c:pt>
                <c:pt idx="128">
                  <c:v>52.957200000000007</c:v>
                </c:pt>
                <c:pt idx="129">
                  <c:v>52.770399999999995</c:v>
                </c:pt>
                <c:pt idx="130">
                  <c:v>52.574399999999997</c:v>
                </c:pt>
                <c:pt idx="131">
                  <c:v>52.401299999999992</c:v>
                </c:pt>
                <c:pt idx="132">
                  <c:v>52.259199999999993</c:v>
                </c:pt>
                <c:pt idx="133">
                  <c:v>52.160700000000006</c:v>
                </c:pt>
                <c:pt idx="134">
                  <c:v>52.041899999999998</c:v>
                </c:pt>
                <c:pt idx="135">
                  <c:v>51.962899999999998</c:v>
                </c:pt>
                <c:pt idx="136">
                  <c:v>51.9985</c:v>
                </c:pt>
                <c:pt idx="137">
                  <c:v>52.027900000000002</c:v>
                </c:pt>
                <c:pt idx="138">
                  <c:v>51.983900000000006</c:v>
                </c:pt>
                <c:pt idx="139">
                  <c:v>51.800699999999999</c:v>
                </c:pt>
                <c:pt idx="140">
                  <c:v>51.561800000000005</c:v>
                </c:pt>
                <c:pt idx="141">
                  <c:v>51.387300000000003</c:v>
                </c:pt>
                <c:pt idx="142">
                  <c:v>51.261199999999995</c:v>
                </c:pt>
                <c:pt idx="143">
                  <c:v>51.147100000000002</c:v>
                </c:pt>
                <c:pt idx="144">
                  <c:v>51.196399999999997</c:v>
                </c:pt>
                <c:pt idx="145">
                  <c:v>51.270600000000002</c:v>
                </c:pt>
                <c:pt idx="146">
                  <c:v>51.193100000000001</c:v>
                </c:pt>
                <c:pt idx="147">
                  <c:v>50.893000000000001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0.381606</c:v>
                </c:pt>
                <c:pt idx="2">
                  <c:v>0.78512199999999999</c:v>
                </c:pt>
                <c:pt idx="3">
                  <c:v>1.19347</c:v>
                </c:pt>
                <c:pt idx="4">
                  <c:v>1.59859</c:v>
                </c:pt>
                <c:pt idx="5">
                  <c:v>2.0063200000000001</c:v>
                </c:pt>
                <c:pt idx="6">
                  <c:v>2.41039</c:v>
                </c:pt>
                <c:pt idx="7">
                  <c:v>2.8181699999999998</c:v>
                </c:pt>
                <c:pt idx="8">
                  <c:v>3.22506</c:v>
                </c:pt>
                <c:pt idx="9">
                  <c:v>3.6318199999999998</c:v>
                </c:pt>
                <c:pt idx="10">
                  <c:v>4.0388400000000004</c:v>
                </c:pt>
                <c:pt idx="11">
                  <c:v>4.4457199999999997</c:v>
                </c:pt>
                <c:pt idx="12">
                  <c:v>4.8516500000000002</c:v>
                </c:pt>
                <c:pt idx="13">
                  <c:v>5.2545900000000003</c:v>
                </c:pt>
                <c:pt idx="14">
                  <c:v>5.6626300000000001</c:v>
                </c:pt>
                <c:pt idx="15">
                  <c:v>6.0674400000000004</c:v>
                </c:pt>
                <c:pt idx="16">
                  <c:v>6.4723300000000004</c:v>
                </c:pt>
                <c:pt idx="17">
                  <c:v>6.8784000000000001</c:v>
                </c:pt>
                <c:pt idx="18">
                  <c:v>7.28918</c:v>
                </c:pt>
                <c:pt idx="19">
                  <c:v>7.6950900000000004</c:v>
                </c:pt>
                <c:pt idx="20">
                  <c:v>8.1000599999999991</c:v>
                </c:pt>
                <c:pt idx="21">
                  <c:v>8.5071200000000005</c:v>
                </c:pt>
                <c:pt idx="22">
                  <c:v>8.9130099999999999</c:v>
                </c:pt>
                <c:pt idx="23">
                  <c:v>9.3167399999999994</c:v>
                </c:pt>
                <c:pt idx="24">
                  <c:v>9.7265999999999995</c:v>
                </c:pt>
                <c:pt idx="25">
                  <c:v>10.131500000000001</c:v>
                </c:pt>
                <c:pt idx="26">
                  <c:v>10.5345</c:v>
                </c:pt>
                <c:pt idx="27">
                  <c:v>10.9421</c:v>
                </c:pt>
                <c:pt idx="28">
                  <c:v>11.3528</c:v>
                </c:pt>
                <c:pt idx="29">
                  <c:v>11.7582</c:v>
                </c:pt>
                <c:pt idx="30">
                  <c:v>12.164099999999999</c:v>
                </c:pt>
                <c:pt idx="31">
                  <c:v>12.5661</c:v>
                </c:pt>
                <c:pt idx="32">
                  <c:v>12.974500000000001</c:v>
                </c:pt>
                <c:pt idx="33">
                  <c:v>13.382999999999999</c:v>
                </c:pt>
                <c:pt idx="34">
                  <c:v>13.7897</c:v>
                </c:pt>
                <c:pt idx="35">
                  <c:v>14.1967</c:v>
                </c:pt>
                <c:pt idx="36">
                  <c:v>14.601599999999999</c:v>
                </c:pt>
                <c:pt idx="37">
                  <c:v>15.006600000000001</c:v>
                </c:pt>
                <c:pt idx="38">
                  <c:v>15.413399999999999</c:v>
                </c:pt>
                <c:pt idx="39">
                  <c:v>15.8164</c:v>
                </c:pt>
                <c:pt idx="40">
                  <c:v>16.226299999999998</c:v>
                </c:pt>
                <c:pt idx="41">
                  <c:v>16.635200000000001</c:v>
                </c:pt>
                <c:pt idx="42">
                  <c:v>17.040099999999999</c:v>
                </c:pt>
                <c:pt idx="43">
                  <c:v>17.443100000000001</c:v>
                </c:pt>
                <c:pt idx="44">
                  <c:v>17.8489</c:v>
                </c:pt>
                <c:pt idx="45">
                  <c:v>18.256799999999998</c:v>
                </c:pt>
                <c:pt idx="46">
                  <c:v>18.6647</c:v>
                </c:pt>
                <c:pt idx="47">
                  <c:v>19.070599999999999</c:v>
                </c:pt>
                <c:pt idx="48">
                  <c:v>19.476600000000001</c:v>
                </c:pt>
                <c:pt idx="49">
                  <c:v>19.880500000000001</c:v>
                </c:pt>
                <c:pt idx="50">
                  <c:v>20.284600000000001</c:v>
                </c:pt>
                <c:pt idx="51">
                  <c:v>20.694299999999998</c:v>
                </c:pt>
                <c:pt idx="52">
                  <c:v>21.1035</c:v>
                </c:pt>
                <c:pt idx="53">
                  <c:v>21.508099999999999</c:v>
                </c:pt>
                <c:pt idx="54">
                  <c:v>21.9131</c:v>
                </c:pt>
                <c:pt idx="55">
                  <c:v>22.318200000000001</c:v>
                </c:pt>
                <c:pt idx="56">
                  <c:v>22.726900000000001</c:v>
                </c:pt>
                <c:pt idx="57">
                  <c:v>23.133800000000001</c:v>
                </c:pt>
                <c:pt idx="58">
                  <c:v>23.537700000000001</c:v>
                </c:pt>
                <c:pt idx="59">
                  <c:v>23.944600000000001</c:v>
                </c:pt>
                <c:pt idx="60">
                  <c:v>24.349900000000002</c:v>
                </c:pt>
                <c:pt idx="61">
                  <c:v>24.758400000000002</c:v>
                </c:pt>
                <c:pt idx="62">
                  <c:v>25.1614</c:v>
                </c:pt>
                <c:pt idx="63">
                  <c:v>25.568200000000001</c:v>
                </c:pt>
                <c:pt idx="64">
                  <c:v>25.975200000000001</c:v>
                </c:pt>
                <c:pt idx="65">
                  <c:v>26.383500000000002</c:v>
                </c:pt>
                <c:pt idx="66">
                  <c:v>26.786200000000001</c:v>
                </c:pt>
                <c:pt idx="67">
                  <c:v>27.1919</c:v>
                </c:pt>
                <c:pt idx="68">
                  <c:v>27.599799999999998</c:v>
                </c:pt>
                <c:pt idx="69">
                  <c:v>28.0078</c:v>
                </c:pt>
                <c:pt idx="70">
                  <c:v>28.412700000000001</c:v>
                </c:pt>
                <c:pt idx="71">
                  <c:v>28.819700000000001</c:v>
                </c:pt>
                <c:pt idx="72">
                  <c:v>29.2226</c:v>
                </c:pt>
                <c:pt idx="73">
                  <c:v>29.63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63.871500000000005</c:v>
                </c:pt>
                <c:pt idx="1">
                  <c:v>63.349200000000003</c:v>
                </c:pt>
                <c:pt idx="2">
                  <c:v>62.910200000000003</c:v>
                </c:pt>
                <c:pt idx="3">
                  <c:v>62.437200000000004</c:v>
                </c:pt>
                <c:pt idx="4">
                  <c:v>61.981200000000001</c:v>
                </c:pt>
                <c:pt idx="5">
                  <c:v>61.669799999999995</c:v>
                </c:pt>
                <c:pt idx="6">
                  <c:v>61.481300000000005</c:v>
                </c:pt>
                <c:pt idx="7">
                  <c:v>61.333400000000005</c:v>
                </c:pt>
                <c:pt idx="8">
                  <c:v>61.126899999999992</c:v>
                </c:pt>
                <c:pt idx="9">
                  <c:v>60.852200000000003</c:v>
                </c:pt>
                <c:pt idx="10">
                  <c:v>60.428400000000003</c:v>
                </c:pt>
                <c:pt idx="11">
                  <c:v>59.8384</c:v>
                </c:pt>
                <c:pt idx="12">
                  <c:v>58.984800000000007</c:v>
                </c:pt>
                <c:pt idx="13">
                  <c:v>57.996299999999998</c:v>
                </c:pt>
                <c:pt idx="14">
                  <c:v>56.921999999999997</c:v>
                </c:pt>
                <c:pt idx="15">
                  <c:v>55.887799999999999</c:v>
                </c:pt>
                <c:pt idx="16">
                  <c:v>54.788899999999998</c:v>
                </c:pt>
                <c:pt idx="17">
                  <c:v>53.696999999999996</c:v>
                </c:pt>
                <c:pt idx="18">
                  <c:v>52.651099999999992</c:v>
                </c:pt>
                <c:pt idx="19">
                  <c:v>51.811500000000002</c:v>
                </c:pt>
                <c:pt idx="20">
                  <c:v>51.166500000000006</c:v>
                </c:pt>
                <c:pt idx="21">
                  <c:v>50.861199999999997</c:v>
                </c:pt>
                <c:pt idx="22">
                  <c:v>50.762500000000003</c:v>
                </c:pt>
                <c:pt idx="23">
                  <c:v>50.783299999999997</c:v>
                </c:pt>
                <c:pt idx="24">
                  <c:v>50.77</c:v>
                </c:pt>
                <c:pt idx="25">
                  <c:v>50.797699999999999</c:v>
                </c:pt>
                <c:pt idx="26">
                  <c:v>50.9069</c:v>
                </c:pt>
                <c:pt idx="27">
                  <c:v>51.001700000000007</c:v>
                </c:pt>
                <c:pt idx="28">
                  <c:v>51.103600000000007</c:v>
                </c:pt>
                <c:pt idx="29">
                  <c:v>51.213799999999999</c:v>
                </c:pt>
                <c:pt idx="30">
                  <c:v>51.3551</c:v>
                </c:pt>
                <c:pt idx="31">
                  <c:v>51.509300000000003</c:v>
                </c:pt>
                <c:pt idx="32">
                  <c:v>51.627400000000002</c:v>
                </c:pt>
                <c:pt idx="33">
                  <c:v>51.738300000000002</c:v>
                </c:pt>
                <c:pt idx="34">
                  <c:v>51.812400000000004</c:v>
                </c:pt>
                <c:pt idx="35">
                  <c:v>51.772500000000001</c:v>
                </c:pt>
                <c:pt idx="36">
                  <c:v>51.624600000000001</c:v>
                </c:pt>
                <c:pt idx="37">
                  <c:v>51.449399999999997</c:v>
                </c:pt>
                <c:pt idx="38">
                  <c:v>51.273100000000007</c:v>
                </c:pt>
                <c:pt idx="39">
                  <c:v>51.072399999999995</c:v>
                </c:pt>
                <c:pt idx="40">
                  <c:v>50.841700000000003</c:v>
                </c:pt>
                <c:pt idx="41">
                  <c:v>50.682499999999997</c:v>
                </c:pt>
                <c:pt idx="42">
                  <c:v>50.572300000000006</c:v>
                </c:pt>
                <c:pt idx="43">
                  <c:v>50.517100000000006</c:v>
                </c:pt>
                <c:pt idx="44">
                  <c:v>50.531700000000001</c:v>
                </c:pt>
                <c:pt idx="45">
                  <c:v>50.624899999999997</c:v>
                </c:pt>
                <c:pt idx="46">
                  <c:v>50.662600000000005</c:v>
                </c:pt>
                <c:pt idx="47">
                  <c:v>50.612900000000003</c:v>
                </c:pt>
                <c:pt idx="48">
                  <c:v>50.593600000000002</c:v>
                </c:pt>
                <c:pt idx="49">
                  <c:v>50.675699999999999</c:v>
                </c:pt>
                <c:pt idx="50">
                  <c:v>50.764699999999998</c:v>
                </c:pt>
                <c:pt idx="51">
                  <c:v>50.780899999999995</c:v>
                </c:pt>
                <c:pt idx="52">
                  <c:v>50.7652</c:v>
                </c:pt>
                <c:pt idx="53">
                  <c:v>50.621099999999998</c:v>
                </c:pt>
                <c:pt idx="54">
                  <c:v>50.342500000000001</c:v>
                </c:pt>
                <c:pt idx="55">
                  <c:v>49.902200000000001</c:v>
                </c:pt>
                <c:pt idx="56">
                  <c:v>49.020200000000003</c:v>
                </c:pt>
                <c:pt idx="57">
                  <c:v>48.499600000000001</c:v>
                </c:pt>
                <c:pt idx="58">
                  <c:v>48.155200000000001</c:v>
                </c:pt>
                <c:pt idx="59">
                  <c:v>47.270400000000002</c:v>
                </c:pt>
                <c:pt idx="60">
                  <c:v>46.893099999999997</c:v>
                </c:pt>
                <c:pt idx="61">
                  <c:v>46.146799999999999</c:v>
                </c:pt>
                <c:pt idx="62">
                  <c:v>45.827600000000004</c:v>
                </c:pt>
                <c:pt idx="63">
                  <c:v>45.646500000000003</c:v>
                </c:pt>
                <c:pt idx="64">
                  <c:v>45.5379</c:v>
                </c:pt>
                <c:pt idx="65">
                  <c:v>45.637100000000004</c:v>
                </c:pt>
                <c:pt idx="66">
                  <c:v>45.694200000000002</c:v>
                </c:pt>
                <c:pt idx="67">
                  <c:v>45.783099999999997</c:v>
                </c:pt>
                <c:pt idx="68">
                  <c:v>45.830599999999997</c:v>
                </c:pt>
                <c:pt idx="69">
                  <c:v>45.873000000000005</c:v>
                </c:pt>
                <c:pt idx="70">
                  <c:v>45.900100000000002</c:v>
                </c:pt>
                <c:pt idx="71">
                  <c:v>45.947500000000005</c:v>
                </c:pt>
                <c:pt idx="72">
                  <c:v>45.981999999999999</c:v>
                </c:pt>
                <c:pt idx="73">
                  <c:v>45.875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29.63</c:v>
                </c:pt>
                <c:pt idx="1">
                  <c:v>30.0426</c:v>
                </c:pt>
                <c:pt idx="2">
                  <c:v>30.6127</c:v>
                </c:pt>
                <c:pt idx="3">
                  <c:v>30.989899999999999</c:v>
                </c:pt>
                <c:pt idx="4">
                  <c:v>31.366800000000001</c:v>
                </c:pt>
                <c:pt idx="5">
                  <c:v>31.744800000000001</c:v>
                </c:pt>
                <c:pt idx="6">
                  <c:v>32.114699999999999</c:v>
                </c:pt>
                <c:pt idx="7">
                  <c:v>32.519799999999996</c:v>
                </c:pt>
                <c:pt idx="8">
                  <c:v>32.9268</c:v>
                </c:pt>
                <c:pt idx="9">
                  <c:v>33.334499999999998</c:v>
                </c:pt>
                <c:pt idx="10">
                  <c:v>33.7408</c:v>
                </c:pt>
                <c:pt idx="11">
                  <c:v>34.150399999999998</c:v>
                </c:pt>
                <c:pt idx="12">
                  <c:v>34.5563</c:v>
                </c:pt>
                <c:pt idx="13">
                  <c:v>34.9602</c:v>
                </c:pt>
                <c:pt idx="14">
                  <c:v>35.365200000000002</c:v>
                </c:pt>
                <c:pt idx="15">
                  <c:v>35.771799999999999</c:v>
                </c:pt>
                <c:pt idx="16">
                  <c:v>36.174900000000001</c:v>
                </c:pt>
                <c:pt idx="17">
                  <c:v>36.584800000000001</c:v>
                </c:pt>
                <c:pt idx="18">
                  <c:v>36.990699999999997</c:v>
                </c:pt>
                <c:pt idx="19">
                  <c:v>37.394599999999997</c:v>
                </c:pt>
                <c:pt idx="20">
                  <c:v>37.801499999999997</c:v>
                </c:pt>
                <c:pt idx="21">
                  <c:v>38.206200000000003</c:v>
                </c:pt>
                <c:pt idx="22">
                  <c:v>38.617400000000004</c:v>
                </c:pt>
                <c:pt idx="23">
                  <c:v>39.024299999999997</c:v>
                </c:pt>
                <c:pt idx="24">
                  <c:v>39.428199999999997</c:v>
                </c:pt>
                <c:pt idx="25">
                  <c:v>39.834099999999999</c:v>
                </c:pt>
                <c:pt idx="26">
                  <c:v>40.241</c:v>
                </c:pt>
                <c:pt idx="27">
                  <c:v>40.648000000000003</c:v>
                </c:pt>
                <c:pt idx="28">
                  <c:v>41.054900000000004</c:v>
                </c:pt>
                <c:pt idx="29">
                  <c:v>41.459800000000001</c:v>
                </c:pt>
                <c:pt idx="30">
                  <c:v>41.865699999999997</c:v>
                </c:pt>
                <c:pt idx="31">
                  <c:v>42.271799999999999</c:v>
                </c:pt>
                <c:pt idx="32">
                  <c:v>42.679499999999997</c:v>
                </c:pt>
                <c:pt idx="33">
                  <c:v>43.086599999999997</c:v>
                </c:pt>
                <c:pt idx="34">
                  <c:v>43.491999999999997</c:v>
                </c:pt>
                <c:pt idx="35">
                  <c:v>43.899299999999997</c:v>
                </c:pt>
                <c:pt idx="36">
                  <c:v>44.305399999999999</c:v>
                </c:pt>
                <c:pt idx="37">
                  <c:v>44.715600000000002</c:v>
                </c:pt>
                <c:pt idx="38">
                  <c:v>45.1205</c:v>
                </c:pt>
                <c:pt idx="39">
                  <c:v>45.526299999999999</c:v>
                </c:pt>
                <c:pt idx="40">
                  <c:v>45.931100000000001</c:v>
                </c:pt>
                <c:pt idx="41">
                  <c:v>46.338799999999999</c:v>
                </c:pt>
                <c:pt idx="42">
                  <c:v>46.741599999999998</c:v>
                </c:pt>
                <c:pt idx="43">
                  <c:v>47.144599999999997</c:v>
                </c:pt>
                <c:pt idx="44">
                  <c:v>47.550699999999999</c:v>
                </c:pt>
                <c:pt idx="45">
                  <c:v>47.961399999999998</c:v>
                </c:pt>
                <c:pt idx="46">
                  <c:v>48.3626</c:v>
                </c:pt>
                <c:pt idx="47">
                  <c:v>48.772199999999998</c:v>
                </c:pt>
                <c:pt idx="48">
                  <c:v>49.178100000000001</c:v>
                </c:pt>
                <c:pt idx="49">
                  <c:v>49.584200000000003</c:v>
                </c:pt>
                <c:pt idx="50">
                  <c:v>49.991599999999998</c:v>
                </c:pt>
                <c:pt idx="51">
                  <c:v>50.398899999999998</c:v>
                </c:pt>
                <c:pt idx="52">
                  <c:v>50.803199999999997</c:v>
                </c:pt>
                <c:pt idx="53">
                  <c:v>51.2087</c:v>
                </c:pt>
                <c:pt idx="54">
                  <c:v>51.615699999999997</c:v>
                </c:pt>
                <c:pt idx="55">
                  <c:v>52.0227</c:v>
                </c:pt>
                <c:pt idx="56">
                  <c:v>52.433599999999998</c:v>
                </c:pt>
                <c:pt idx="57">
                  <c:v>52.833399999999997</c:v>
                </c:pt>
                <c:pt idx="58">
                  <c:v>53.241500000000002</c:v>
                </c:pt>
                <c:pt idx="59">
                  <c:v>53.649500000000003</c:v>
                </c:pt>
                <c:pt idx="60">
                  <c:v>54.054099999999998</c:v>
                </c:pt>
                <c:pt idx="61">
                  <c:v>54.461399999999998</c:v>
                </c:pt>
                <c:pt idx="62">
                  <c:v>54.867100000000001</c:v>
                </c:pt>
                <c:pt idx="63">
                  <c:v>55.293900000000001</c:v>
                </c:pt>
                <c:pt idx="64">
                  <c:v>55.683700000000002</c:v>
                </c:pt>
                <c:pt idx="65">
                  <c:v>56.084099999999999</c:v>
                </c:pt>
                <c:pt idx="66">
                  <c:v>56.488599999999998</c:v>
                </c:pt>
                <c:pt idx="67">
                  <c:v>56.897599999999997</c:v>
                </c:pt>
                <c:pt idx="68">
                  <c:v>57.3035</c:v>
                </c:pt>
                <c:pt idx="69">
                  <c:v>57.708300000000001</c:v>
                </c:pt>
                <c:pt idx="70">
                  <c:v>58.116199999999999</c:v>
                </c:pt>
                <c:pt idx="71">
                  <c:v>58.522399999999998</c:v>
                </c:pt>
                <c:pt idx="72">
                  <c:v>58.927700000000002</c:v>
                </c:pt>
                <c:pt idx="73">
                  <c:v>59.335000000000001</c:v>
                </c:pt>
                <c:pt idx="74">
                  <c:v>59.737099999999998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45.875</c:v>
                </c:pt>
                <c:pt idx="1">
                  <c:v>45.5336</c:v>
                </c:pt>
                <c:pt idx="2">
                  <c:v>45.183700000000002</c:v>
                </c:pt>
                <c:pt idx="3">
                  <c:v>44.745200000000004</c:v>
                </c:pt>
                <c:pt idx="4">
                  <c:v>44.3309</c:v>
                </c:pt>
                <c:pt idx="5">
                  <c:v>43.959399999999995</c:v>
                </c:pt>
                <c:pt idx="6">
                  <c:v>43.66</c:v>
                </c:pt>
                <c:pt idx="7">
                  <c:v>43.4848</c:v>
                </c:pt>
                <c:pt idx="8">
                  <c:v>43.458300000000001</c:v>
                </c:pt>
                <c:pt idx="9">
                  <c:v>43.542199999999994</c:v>
                </c:pt>
                <c:pt idx="10">
                  <c:v>43.906300000000002</c:v>
                </c:pt>
                <c:pt idx="11">
                  <c:v>44.616399999999999</c:v>
                </c:pt>
                <c:pt idx="12">
                  <c:v>45.61</c:v>
                </c:pt>
                <c:pt idx="13">
                  <c:v>46.880400000000002</c:v>
                </c:pt>
                <c:pt idx="14">
                  <c:v>48.170400000000001</c:v>
                </c:pt>
                <c:pt idx="15">
                  <c:v>49.595800000000004</c:v>
                </c:pt>
                <c:pt idx="16">
                  <c:v>50.868899999999996</c:v>
                </c:pt>
                <c:pt idx="17">
                  <c:v>51.944199999999995</c:v>
                </c:pt>
                <c:pt idx="18">
                  <c:v>52.9054</c:v>
                </c:pt>
                <c:pt idx="19">
                  <c:v>53.758099999999999</c:v>
                </c:pt>
                <c:pt idx="20">
                  <c:v>54.386199999999995</c:v>
                </c:pt>
                <c:pt idx="21">
                  <c:v>54.821899999999999</c:v>
                </c:pt>
                <c:pt idx="22">
                  <c:v>55.124899999999997</c:v>
                </c:pt>
                <c:pt idx="23">
                  <c:v>55.2821</c:v>
                </c:pt>
                <c:pt idx="24">
                  <c:v>55.322899999999997</c:v>
                </c:pt>
                <c:pt idx="25">
                  <c:v>55.272399999999998</c:v>
                </c:pt>
                <c:pt idx="26">
                  <c:v>55.196999999999996</c:v>
                </c:pt>
                <c:pt idx="27">
                  <c:v>55.195999999999998</c:v>
                </c:pt>
                <c:pt idx="28">
                  <c:v>55.239600000000003</c:v>
                </c:pt>
                <c:pt idx="29">
                  <c:v>55.301000000000002</c:v>
                </c:pt>
                <c:pt idx="30">
                  <c:v>55.470500000000001</c:v>
                </c:pt>
                <c:pt idx="31">
                  <c:v>55.739700000000006</c:v>
                </c:pt>
                <c:pt idx="32">
                  <c:v>56.015300000000003</c:v>
                </c:pt>
                <c:pt idx="33">
                  <c:v>56.292200000000001</c:v>
                </c:pt>
                <c:pt idx="34">
                  <c:v>56.528300000000002</c:v>
                </c:pt>
                <c:pt idx="35">
                  <c:v>56.706100000000006</c:v>
                </c:pt>
                <c:pt idx="36">
                  <c:v>56.7986</c:v>
                </c:pt>
                <c:pt idx="37">
                  <c:v>56.799799999999998</c:v>
                </c:pt>
                <c:pt idx="38">
                  <c:v>56.710999999999999</c:v>
                </c:pt>
                <c:pt idx="39">
                  <c:v>56.588099999999997</c:v>
                </c:pt>
                <c:pt idx="40">
                  <c:v>56.437199999999997</c:v>
                </c:pt>
                <c:pt idx="41">
                  <c:v>56.266300000000001</c:v>
                </c:pt>
                <c:pt idx="42">
                  <c:v>56.057699999999997</c:v>
                </c:pt>
                <c:pt idx="43">
                  <c:v>55.751799999999996</c:v>
                </c:pt>
                <c:pt idx="44">
                  <c:v>55.398699999999998</c:v>
                </c:pt>
                <c:pt idx="45">
                  <c:v>55.043200000000006</c:v>
                </c:pt>
                <c:pt idx="46">
                  <c:v>54.679000000000002</c:v>
                </c:pt>
                <c:pt idx="47">
                  <c:v>54.325800000000001</c:v>
                </c:pt>
                <c:pt idx="48">
                  <c:v>54.014200000000002</c:v>
                </c:pt>
                <c:pt idx="49">
                  <c:v>53.738699999999994</c:v>
                </c:pt>
                <c:pt idx="50">
                  <c:v>53.477200000000003</c:v>
                </c:pt>
                <c:pt idx="51">
                  <c:v>53.349000000000004</c:v>
                </c:pt>
                <c:pt idx="52">
                  <c:v>53.212699999999998</c:v>
                </c:pt>
                <c:pt idx="53">
                  <c:v>53.104500000000002</c:v>
                </c:pt>
                <c:pt idx="54">
                  <c:v>53.056499999999993</c:v>
                </c:pt>
                <c:pt idx="55">
                  <c:v>52.957200000000007</c:v>
                </c:pt>
                <c:pt idx="56">
                  <c:v>52.770399999999995</c:v>
                </c:pt>
                <c:pt idx="57">
                  <c:v>52.574399999999997</c:v>
                </c:pt>
                <c:pt idx="58">
                  <c:v>52.401299999999992</c:v>
                </c:pt>
                <c:pt idx="59">
                  <c:v>52.259199999999993</c:v>
                </c:pt>
                <c:pt idx="60">
                  <c:v>52.160700000000006</c:v>
                </c:pt>
                <c:pt idx="61">
                  <c:v>52.041899999999998</c:v>
                </c:pt>
                <c:pt idx="62">
                  <c:v>51.962899999999998</c:v>
                </c:pt>
                <c:pt idx="63">
                  <c:v>51.9985</c:v>
                </c:pt>
                <c:pt idx="64">
                  <c:v>52.027900000000002</c:v>
                </c:pt>
                <c:pt idx="65">
                  <c:v>51.983900000000006</c:v>
                </c:pt>
                <c:pt idx="66">
                  <c:v>51.800699999999999</c:v>
                </c:pt>
                <c:pt idx="67">
                  <c:v>51.561800000000005</c:v>
                </c:pt>
                <c:pt idx="68">
                  <c:v>51.387300000000003</c:v>
                </c:pt>
                <c:pt idx="69">
                  <c:v>51.261199999999995</c:v>
                </c:pt>
                <c:pt idx="70">
                  <c:v>51.147100000000002</c:v>
                </c:pt>
                <c:pt idx="71">
                  <c:v>51.196399999999997</c:v>
                </c:pt>
                <c:pt idx="72">
                  <c:v>51.270600000000002</c:v>
                </c:pt>
                <c:pt idx="73">
                  <c:v>51.193100000000001</c:v>
                </c:pt>
                <c:pt idx="74">
                  <c:v>50.893000000000001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14.934275</c:v>
                </c:pt>
                <c:pt idx="1">
                  <c:v>44.802824999999999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52.076112162162133</c:v>
                </c:pt>
                <c:pt idx="1">
                  <c:v>52.104183783783768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35.745899999999999</c:v>
                </c:pt>
                <c:pt idx="1">
                  <c:v>28.8567</c:v>
                </c:pt>
                <c:pt idx="2">
                  <c:v>21.470400000000001</c:v>
                </c:pt>
                <c:pt idx="3">
                  <c:v>29.146599999999999</c:v>
                </c:pt>
                <c:pt idx="4">
                  <c:v>74.136399999999995</c:v>
                </c:pt>
                <c:pt idx="5">
                  <c:v>74.6066</c:v>
                </c:pt>
                <c:pt idx="6">
                  <c:v>26.221499999999999</c:v>
                </c:pt>
                <c:pt idx="7">
                  <c:v>74.502499999999998</c:v>
                </c:pt>
                <c:pt idx="8">
                  <c:v>20.122399999999999</c:v>
                </c:pt>
                <c:pt idx="9">
                  <c:v>68.908199999999994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37.935600000000001</c:v>
                </c:pt>
                <c:pt idx="1">
                  <c:v>28.1995</c:v>
                </c:pt>
                <c:pt idx="2">
                  <c:v>17.364599999999999</c:v>
                </c:pt>
                <c:pt idx="3">
                  <c:v>28.321000000000002</c:v>
                </c:pt>
                <c:pt idx="4">
                  <c:v>72.421099999999996</c:v>
                </c:pt>
                <c:pt idx="5">
                  <c:v>76.351600000000005</c:v>
                </c:pt>
                <c:pt idx="6">
                  <c:v>28.869</c:v>
                </c:pt>
                <c:pt idx="7">
                  <c:v>73.929400000000001</c:v>
                </c:pt>
                <c:pt idx="8">
                  <c:v>22.624199999999998</c:v>
                </c:pt>
                <c:pt idx="9">
                  <c:v>96.253799999999998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0.45963705426350876</c:v>
                </c:pt>
                <c:pt idx="1">
                  <c:v>0.21228939113157158</c:v>
                </c:pt>
                <c:pt idx="2">
                  <c:v>0.3280735546049196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1.929694117647059E-2</c:v>
                </c:pt>
                <c:pt idx="2">
                  <c:v>3.8593882352941179E-2</c:v>
                </c:pt>
                <c:pt idx="3">
                  <c:v>5.7890823529411765E-2</c:v>
                </c:pt>
                <c:pt idx="4">
                  <c:v>7.7187764705882358E-2</c:v>
                </c:pt>
                <c:pt idx="5">
                  <c:v>9.6484705882352945E-2</c:v>
                </c:pt>
                <c:pt idx="6">
                  <c:v>0.11578164705882353</c:v>
                </c:pt>
                <c:pt idx="7">
                  <c:v>0.13507858823529412</c:v>
                </c:pt>
                <c:pt idx="8">
                  <c:v>0.15437552941176472</c:v>
                </c:pt>
                <c:pt idx="9">
                  <c:v>0.17367247058823529</c:v>
                </c:pt>
                <c:pt idx="10">
                  <c:v>0.19296941176470589</c:v>
                </c:pt>
                <c:pt idx="11">
                  <c:v>0.21226635294117649</c:v>
                </c:pt>
                <c:pt idx="12">
                  <c:v>0.23156329411764706</c:v>
                </c:pt>
                <c:pt idx="13">
                  <c:v>0.25086023529411766</c:v>
                </c:pt>
                <c:pt idx="14">
                  <c:v>0.27015717647058823</c:v>
                </c:pt>
                <c:pt idx="15">
                  <c:v>0.28945411764705881</c:v>
                </c:pt>
                <c:pt idx="16">
                  <c:v>0.30875105882352943</c:v>
                </c:pt>
                <c:pt idx="17">
                  <c:v>0.32804800000000001</c:v>
                </c:pt>
                <c:pt idx="18">
                  <c:v>0.34734494117647058</c:v>
                </c:pt>
                <c:pt idx="19">
                  <c:v>0.36664188235294121</c:v>
                </c:pt>
                <c:pt idx="20">
                  <c:v>0.38593882352941178</c:v>
                </c:pt>
                <c:pt idx="21">
                  <c:v>0.40523576470588235</c:v>
                </c:pt>
                <c:pt idx="22">
                  <c:v>0.42453270588235298</c:v>
                </c:pt>
                <c:pt idx="23">
                  <c:v>0.44382964705882355</c:v>
                </c:pt>
                <c:pt idx="24">
                  <c:v>0.46312658823529412</c:v>
                </c:pt>
                <c:pt idx="25">
                  <c:v>0.4824235294117647</c:v>
                </c:pt>
                <c:pt idx="26">
                  <c:v>0.50172047058823532</c:v>
                </c:pt>
                <c:pt idx="27">
                  <c:v>0.52101741176470595</c:v>
                </c:pt>
                <c:pt idx="28">
                  <c:v>0.54031435294117647</c:v>
                </c:pt>
                <c:pt idx="29">
                  <c:v>0.5596112941176471</c:v>
                </c:pt>
                <c:pt idx="30">
                  <c:v>0.57890823529411761</c:v>
                </c:pt>
                <c:pt idx="31">
                  <c:v>0.59820517647058824</c:v>
                </c:pt>
                <c:pt idx="32">
                  <c:v>0.61750211764705887</c:v>
                </c:pt>
                <c:pt idx="33">
                  <c:v>0.6367990588235295</c:v>
                </c:pt>
                <c:pt idx="34">
                  <c:v>0.65609600000000001</c:v>
                </c:pt>
                <c:pt idx="35">
                  <c:v>0.67539294117647064</c:v>
                </c:pt>
                <c:pt idx="36">
                  <c:v>0.69468988235294116</c:v>
                </c:pt>
                <c:pt idx="37">
                  <c:v>0.7139868235294119</c:v>
                </c:pt>
                <c:pt idx="38">
                  <c:v>0.73328376470588241</c:v>
                </c:pt>
                <c:pt idx="39">
                  <c:v>0.75258070588235304</c:v>
                </c:pt>
                <c:pt idx="40">
                  <c:v>0.77187764705882356</c:v>
                </c:pt>
                <c:pt idx="41">
                  <c:v>0.79117458823529418</c:v>
                </c:pt>
                <c:pt idx="42">
                  <c:v>0.8104715294117647</c:v>
                </c:pt>
                <c:pt idx="43">
                  <c:v>0.82976847058823544</c:v>
                </c:pt>
                <c:pt idx="44">
                  <c:v>0.84906541176470596</c:v>
                </c:pt>
                <c:pt idx="45">
                  <c:v>0.86836235294117659</c:v>
                </c:pt>
                <c:pt idx="46">
                  <c:v>0.8876592941176471</c:v>
                </c:pt>
                <c:pt idx="47">
                  <c:v>0.90695623529411773</c:v>
                </c:pt>
                <c:pt idx="48">
                  <c:v>0.92625317647058825</c:v>
                </c:pt>
                <c:pt idx="49">
                  <c:v>0.94555011764705887</c:v>
                </c:pt>
                <c:pt idx="50">
                  <c:v>0.96484705882352939</c:v>
                </c:pt>
                <c:pt idx="51">
                  <c:v>0.98414400000000013</c:v>
                </c:pt>
                <c:pt idx="52">
                  <c:v>1.0034409411764706</c:v>
                </c:pt>
                <c:pt idx="53">
                  <c:v>1.0227378823529412</c:v>
                </c:pt>
                <c:pt idx="54">
                  <c:v>1.0420348235294119</c:v>
                </c:pt>
                <c:pt idx="55">
                  <c:v>1.0613317647058824</c:v>
                </c:pt>
                <c:pt idx="56">
                  <c:v>1.0806287058823529</c:v>
                </c:pt>
                <c:pt idx="57">
                  <c:v>1.0999256470588237</c:v>
                </c:pt>
                <c:pt idx="58">
                  <c:v>1.1192225882352942</c:v>
                </c:pt>
                <c:pt idx="59">
                  <c:v>1.1385195294117647</c:v>
                </c:pt>
                <c:pt idx="60">
                  <c:v>1.1578164705882352</c:v>
                </c:pt>
                <c:pt idx="61">
                  <c:v>1.177113411764706</c:v>
                </c:pt>
                <c:pt idx="62">
                  <c:v>1.1964103529411765</c:v>
                </c:pt>
                <c:pt idx="63">
                  <c:v>1.2157072941176472</c:v>
                </c:pt>
                <c:pt idx="64">
                  <c:v>1.2350042352941177</c:v>
                </c:pt>
                <c:pt idx="65">
                  <c:v>1.2543011764705883</c:v>
                </c:pt>
                <c:pt idx="66">
                  <c:v>1.273598117647059</c:v>
                </c:pt>
                <c:pt idx="67">
                  <c:v>1.2928950588235295</c:v>
                </c:pt>
                <c:pt idx="68">
                  <c:v>1.312192</c:v>
                </c:pt>
                <c:pt idx="69">
                  <c:v>1.3314889411764705</c:v>
                </c:pt>
                <c:pt idx="70">
                  <c:v>1.3507858823529413</c:v>
                </c:pt>
                <c:pt idx="71">
                  <c:v>1.3700828235294118</c:v>
                </c:pt>
                <c:pt idx="72">
                  <c:v>1.3893797647058823</c:v>
                </c:pt>
                <c:pt idx="73">
                  <c:v>1.4086767058823528</c:v>
                </c:pt>
                <c:pt idx="74">
                  <c:v>1.4279736470588238</c:v>
                </c:pt>
                <c:pt idx="75">
                  <c:v>1.4472705882352943</c:v>
                </c:pt>
                <c:pt idx="76">
                  <c:v>1.4665675294117648</c:v>
                </c:pt>
                <c:pt idx="77">
                  <c:v>1.4858644705882353</c:v>
                </c:pt>
                <c:pt idx="78">
                  <c:v>1.5051614117647061</c:v>
                </c:pt>
                <c:pt idx="79">
                  <c:v>1.5244583529411766</c:v>
                </c:pt>
                <c:pt idx="80">
                  <c:v>1.5437552941176471</c:v>
                </c:pt>
                <c:pt idx="81">
                  <c:v>1.5630522352941176</c:v>
                </c:pt>
                <c:pt idx="82">
                  <c:v>1.5823491764705884</c:v>
                </c:pt>
                <c:pt idx="83">
                  <c:v>1.6016461176470589</c:v>
                </c:pt>
                <c:pt idx="84">
                  <c:v>1.6209430588235294</c:v>
                </c:pt>
                <c:pt idx="85">
                  <c:v>1.6402399999999999</c:v>
                </c:pt>
                <c:pt idx="86">
                  <c:v>1.6595369411764709</c:v>
                </c:pt>
                <c:pt idx="87">
                  <c:v>1.6788338823529414</c:v>
                </c:pt>
                <c:pt idx="88">
                  <c:v>1.6981308235294119</c:v>
                </c:pt>
                <c:pt idx="89">
                  <c:v>1.7174277647058824</c:v>
                </c:pt>
                <c:pt idx="90">
                  <c:v>1.7367247058823532</c:v>
                </c:pt>
                <c:pt idx="91">
                  <c:v>1.7560216470588237</c:v>
                </c:pt>
                <c:pt idx="92">
                  <c:v>1.7753185882352942</c:v>
                </c:pt>
                <c:pt idx="93">
                  <c:v>1.7946155294117647</c:v>
                </c:pt>
                <c:pt idx="94">
                  <c:v>1.8139124705882355</c:v>
                </c:pt>
                <c:pt idx="95">
                  <c:v>1.833209411764706</c:v>
                </c:pt>
                <c:pt idx="96">
                  <c:v>1.8525063529411765</c:v>
                </c:pt>
                <c:pt idx="97">
                  <c:v>1.871803294117647</c:v>
                </c:pt>
                <c:pt idx="98">
                  <c:v>1.8911002352941177</c:v>
                </c:pt>
                <c:pt idx="99">
                  <c:v>1.9103971764705883</c:v>
                </c:pt>
                <c:pt idx="100">
                  <c:v>1.9296941176470588</c:v>
                </c:pt>
                <c:pt idx="101">
                  <c:v>1.9489910588235293</c:v>
                </c:pt>
                <c:pt idx="102">
                  <c:v>1.9682880000000003</c:v>
                </c:pt>
                <c:pt idx="103">
                  <c:v>1.9875849411764708</c:v>
                </c:pt>
                <c:pt idx="104">
                  <c:v>2.0068818823529413</c:v>
                </c:pt>
                <c:pt idx="105">
                  <c:v>2.0261788235294116</c:v>
                </c:pt>
                <c:pt idx="106">
                  <c:v>2.0454757647058823</c:v>
                </c:pt>
                <c:pt idx="107">
                  <c:v>2.0647727058823531</c:v>
                </c:pt>
                <c:pt idx="108">
                  <c:v>2.0840696470588238</c:v>
                </c:pt>
                <c:pt idx="109">
                  <c:v>2.1033665882352941</c:v>
                </c:pt>
                <c:pt idx="110">
                  <c:v>2.1226635294117648</c:v>
                </c:pt>
                <c:pt idx="111">
                  <c:v>2.1419604705882356</c:v>
                </c:pt>
                <c:pt idx="112">
                  <c:v>2.1612574117647059</c:v>
                </c:pt>
                <c:pt idx="113">
                  <c:v>2.1805543529411766</c:v>
                </c:pt>
                <c:pt idx="114">
                  <c:v>2.1998512941176473</c:v>
                </c:pt>
                <c:pt idx="115">
                  <c:v>2.2191482352941176</c:v>
                </c:pt>
                <c:pt idx="116">
                  <c:v>2.2384451764705884</c:v>
                </c:pt>
                <c:pt idx="117">
                  <c:v>2.2577421176470587</c:v>
                </c:pt>
                <c:pt idx="118">
                  <c:v>2.2770390588235294</c:v>
                </c:pt>
                <c:pt idx="119">
                  <c:v>2.2963360000000002</c:v>
                </c:pt>
                <c:pt idx="120">
                  <c:v>2.3156329411764704</c:v>
                </c:pt>
                <c:pt idx="121">
                  <c:v>2.3349298823529412</c:v>
                </c:pt>
                <c:pt idx="122">
                  <c:v>2.3542268235294119</c:v>
                </c:pt>
                <c:pt idx="123">
                  <c:v>2.3735237647058827</c:v>
                </c:pt>
                <c:pt idx="124">
                  <c:v>2.392820705882353</c:v>
                </c:pt>
                <c:pt idx="125">
                  <c:v>2.4121176470588237</c:v>
                </c:pt>
                <c:pt idx="126">
                  <c:v>2.4314145882352944</c:v>
                </c:pt>
                <c:pt idx="127">
                  <c:v>2.4507115294117647</c:v>
                </c:pt>
                <c:pt idx="128">
                  <c:v>2.4700084705882355</c:v>
                </c:pt>
                <c:pt idx="129">
                  <c:v>2.4893054117647058</c:v>
                </c:pt>
                <c:pt idx="130">
                  <c:v>2.5086023529411765</c:v>
                </c:pt>
                <c:pt idx="131">
                  <c:v>2.5278992941176468</c:v>
                </c:pt>
                <c:pt idx="132">
                  <c:v>2.547196235294118</c:v>
                </c:pt>
                <c:pt idx="133">
                  <c:v>2.5664931764705887</c:v>
                </c:pt>
                <c:pt idx="134">
                  <c:v>2.585790117647059</c:v>
                </c:pt>
                <c:pt idx="135">
                  <c:v>2.6050870588235298</c:v>
                </c:pt>
                <c:pt idx="136">
                  <c:v>2.6243840000000001</c:v>
                </c:pt>
                <c:pt idx="137">
                  <c:v>2.6436809411764708</c:v>
                </c:pt>
                <c:pt idx="138">
                  <c:v>2.6629778823529411</c:v>
                </c:pt>
                <c:pt idx="139">
                  <c:v>2.6822748235294118</c:v>
                </c:pt>
                <c:pt idx="140">
                  <c:v>2.7015717647058826</c:v>
                </c:pt>
                <c:pt idx="141">
                  <c:v>2.7208687058823533</c:v>
                </c:pt>
                <c:pt idx="142">
                  <c:v>2.7401656470588236</c:v>
                </c:pt>
                <c:pt idx="143">
                  <c:v>2.7594625882352943</c:v>
                </c:pt>
                <c:pt idx="144">
                  <c:v>2.7787595294117646</c:v>
                </c:pt>
                <c:pt idx="145">
                  <c:v>2.7980564705882354</c:v>
                </c:pt>
                <c:pt idx="146">
                  <c:v>2.8173534117647057</c:v>
                </c:pt>
                <c:pt idx="147">
                  <c:v>2.8366503529411764</c:v>
                </c:pt>
                <c:pt idx="148">
                  <c:v>2.8559472941176476</c:v>
                </c:pt>
                <c:pt idx="149">
                  <c:v>2.8752442352941179</c:v>
                </c:pt>
                <c:pt idx="150">
                  <c:v>2.8945411764705886</c:v>
                </c:pt>
                <c:pt idx="151">
                  <c:v>2.9138381176470589</c:v>
                </c:pt>
                <c:pt idx="152">
                  <c:v>2.9331350588235297</c:v>
                </c:pt>
                <c:pt idx="153">
                  <c:v>2.9524319999999999</c:v>
                </c:pt>
                <c:pt idx="154">
                  <c:v>2.9717289411764707</c:v>
                </c:pt>
                <c:pt idx="155">
                  <c:v>2.991025882352941</c:v>
                </c:pt>
                <c:pt idx="156">
                  <c:v>3.0103228235294122</c:v>
                </c:pt>
                <c:pt idx="157">
                  <c:v>3.0296197647058825</c:v>
                </c:pt>
                <c:pt idx="158">
                  <c:v>3.0489167058823532</c:v>
                </c:pt>
                <c:pt idx="159">
                  <c:v>3.0682136470588235</c:v>
                </c:pt>
                <c:pt idx="160">
                  <c:v>3.0875105882352942</c:v>
                </c:pt>
                <c:pt idx="161">
                  <c:v>3.1068075294117645</c:v>
                </c:pt>
                <c:pt idx="162">
                  <c:v>3.1261044705882353</c:v>
                </c:pt>
                <c:pt idx="163">
                  <c:v>3.1454014117647056</c:v>
                </c:pt>
                <c:pt idx="164">
                  <c:v>3.1646983529411767</c:v>
                </c:pt>
                <c:pt idx="165">
                  <c:v>3.1839952941176475</c:v>
                </c:pt>
                <c:pt idx="166">
                  <c:v>3.2032922352941178</c:v>
                </c:pt>
                <c:pt idx="167">
                  <c:v>3.2225891764705885</c:v>
                </c:pt>
                <c:pt idx="168">
                  <c:v>3.2418861176470588</c:v>
                </c:pt>
                <c:pt idx="169">
                  <c:v>3.2611830588235295</c:v>
                </c:pt>
                <c:pt idx="170">
                  <c:v>3.2804799999999998</c:v>
                </c:pt>
                <c:pt idx="171">
                  <c:v>3.2997769411764706</c:v>
                </c:pt>
                <c:pt idx="172">
                  <c:v>3.3190738823529418</c:v>
                </c:pt>
                <c:pt idx="173">
                  <c:v>3.3383708235294121</c:v>
                </c:pt>
                <c:pt idx="174">
                  <c:v>3.3576677647058828</c:v>
                </c:pt>
                <c:pt idx="175">
                  <c:v>3.3769647058823531</c:v>
                </c:pt>
                <c:pt idx="176">
                  <c:v>3.3962616470588238</c:v>
                </c:pt>
                <c:pt idx="177">
                  <c:v>3.4155585882352941</c:v>
                </c:pt>
                <c:pt idx="178">
                  <c:v>3.4348555294117649</c:v>
                </c:pt>
                <c:pt idx="179">
                  <c:v>3.4541524705882352</c:v>
                </c:pt>
                <c:pt idx="180">
                  <c:v>3.4734494117647063</c:v>
                </c:pt>
                <c:pt idx="181">
                  <c:v>3.4927463529411766</c:v>
                </c:pt>
                <c:pt idx="182">
                  <c:v>3.5120432941176474</c:v>
                </c:pt>
                <c:pt idx="183">
                  <c:v>3.5313402352941177</c:v>
                </c:pt>
                <c:pt idx="184">
                  <c:v>3.5506371764705884</c:v>
                </c:pt>
                <c:pt idx="185">
                  <c:v>3.5699341176470587</c:v>
                </c:pt>
                <c:pt idx="186">
                  <c:v>3.5892310588235294</c:v>
                </c:pt>
                <c:pt idx="187">
                  <c:v>3.6085279999999997</c:v>
                </c:pt>
                <c:pt idx="188">
                  <c:v>3.6278249411764709</c:v>
                </c:pt>
                <c:pt idx="189">
                  <c:v>3.6471218823529417</c:v>
                </c:pt>
                <c:pt idx="190">
                  <c:v>3.666418823529412</c:v>
                </c:pt>
                <c:pt idx="191">
                  <c:v>3.6857157647058827</c:v>
                </c:pt>
                <c:pt idx="192">
                  <c:v>3.705012705882353</c:v>
                </c:pt>
                <c:pt idx="193">
                  <c:v>3.7243096470588237</c:v>
                </c:pt>
                <c:pt idx="194">
                  <c:v>3.743606588235294</c:v>
                </c:pt>
                <c:pt idx="195">
                  <c:v>3.7629035294117648</c:v>
                </c:pt>
                <c:pt idx="196">
                  <c:v>3.7822004705882355</c:v>
                </c:pt>
                <c:pt idx="197">
                  <c:v>3.8014974117647062</c:v>
                </c:pt>
                <c:pt idx="198">
                  <c:v>3.8207943529411765</c:v>
                </c:pt>
                <c:pt idx="199">
                  <c:v>3.8400912941176473</c:v>
                </c:pt>
                <c:pt idx="200">
                  <c:v>3.8593882352941176</c:v>
                </c:pt>
                <c:pt idx="201">
                  <c:v>3.8786851764705883</c:v>
                </c:pt>
                <c:pt idx="202">
                  <c:v>3.8979821176470586</c:v>
                </c:pt>
                <c:pt idx="203">
                  <c:v>3.9172790588235293</c:v>
                </c:pt>
                <c:pt idx="204">
                  <c:v>3.9365760000000005</c:v>
                </c:pt>
                <c:pt idx="205">
                  <c:v>3.9558729411764708</c:v>
                </c:pt>
                <c:pt idx="206">
                  <c:v>3.9751698823529416</c:v>
                </c:pt>
                <c:pt idx="207">
                  <c:v>3.9944668235294118</c:v>
                </c:pt>
                <c:pt idx="208">
                  <c:v>4.0137637647058826</c:v>
                </c:pt>
                <c:pt idx="209">
                  <c:v>4.0330607058823533</c:v>
                </c:pt>
                <c:pt idx="210">
                  <c:v>4.0523576470588232</c:v>
                </c:pt>
                <c:pt idx="211">
                  <c:v>4.0716545882352939</c:v>
                </c:pt>
                <c:pt idx="212">
                  <c:v>4.0909515294117647</c:v>
                </c:pt>
                <c:pt idx="213">
                  <c:v>4.1102484705882354</c:v>
                </c:pt>
                <c:pt idx="214">
                  <c:v>4.1295454117647061</c:v>
                </c:pt>
                <c:pt idx="215">
                  <c:v>4.1488423529411769</c:v>
                </c:pt>
                <c:pt idx="216">
                  <c:v>4.1681392941176476</c:v>
                </c:pt>
                <c:pt idx="217">
                  <c:v>4.1874362352941175</c:v>
                </c:pt>
                <c:pt idx="218">
                  <c:v>4.2067331764705882</c:v>
                </c:pt>
                <c:pt idx="219">
                  <c:v>4.2260301176470589</c:v>
                </c:pt>
                <c:pt idx="220">
                  <c:v>4.2453270588235297</c:v>
                </c:pt>
                <c:pt idx="221">
                  <c:v>4.2646240000000004</c:v>
                </c:pt>
                <c:pt idx="222">
                  <c:v>4.2839209411764712</c:v>
                </c:pt>
                <c:pt idx="223">
                  <c:v>4.303217882352941</c:v>
                </c:pt>
                <c:pt idx="224">
                  <c:v>4.3225148235294117</c:v>
                </c:pt>
                <c:pt idx="225">
                  <c:v>4.3418117647058825</c:v>
                </c:pt>
                <c:pt idx="226">
                  <c:v>4.3611087058823532</c:v>
                </c:pt>
                <c:pt idx="227">
                  <c:v>4.3804056470588231</c:v>
                </c:pt>
                <c:pt idx="228">
                  <c:v>4.3997025882352947</c:v>
                </c:pt>
                <c:pt idx="229">
                  <c:v>4.4189995294117654</c:v>
                </c:pt>
                <c:pt idx="230">
                  <c:v>4.4382964705882353</c:v>
                </c:pt>
                <c:pt idx="231">
                  <c:v>4.457593411764706</c:v>
                </c:pt>
                <c:pt idx="232">
                  <c:v>4.4768903529411768</c:v>
                </c:pt>
                <c:pt idx="233">
                  <c:v>4.4961872941176475</c:v>
                </c:pt>
                <c:pt idx="234">
                  <c:v>4.5154842352941174</c:v>
                </c:pt>
                <c:pt idx="235">
                  <c:v>4.5347811764705881</c:v>
                </c:pt>
                <c:pt idx="236">
                  <c:v>4.5540781176470588</c:v>
                </c:pt>
                <c:pt idx="237">
                  <c:v>4.5733750588235296</c:v>
                </c:pt>
                <c:pt idx="238">
                  <c:v>4.5926720000000003</c:v>
                </c:pt>
                <c:pt idx="239">
                  <c:v>4.611968941176471</c:v>
                </c:pt>
                <c:pt idx="240">
                  <c:v>4.6312658823529409</c:v>
                </c:pt>
                <c:pt idx="241">
                  <c:v>4.6505628235294116</c:v>
                </c:pt>
                <c:pt idx="242">
                  <c:v>4.6698597647058824</c:v>
                </c:pt>
                <c:pt idx="243">
                  <c:v>4.6891567058823531</c:v>
                </c:pt>
                <c:pt idx="244">
                  <c:v>4.7084536470588239</c:v>
                </c:pt>
                <c:pt idx="245">
                  <c:v>4.7277505882352946</c:v>
                </c:pt>
                <c:pt idx="246">
                  <c:v>4.7470475294117653</c:v>
                </c:pt>
                <c:pt idx="247">
                  <c:v>4.7663444705882352</c:v>
                </c:pt>
                <c:pt idx="248">
                  <c:v>4.7856414117647059</c:v>
                </c:pt>
                <c:pt idx="249">
                  <c:v>4.8049383529411767</c:v>
                </c:pt>
                <c:pt idx="250">
                  <c:v>4.8242352941176474</c:v>
                </c:pt>
                <c:pt idx="251">
                  <c:v>4.8435322352941172</c:v>
                </c:pt>
                <c:pt idx="252">
                  <c:v>4.8628291764705889</c:v>
                </c:pt>
                <c:pt idx="253">
                  <c:v>4.8821261176470587</c:v>
                </c:pt>
                <c:pt idx="254">
                  <c:v>4.9014230588235295</c:v>
                </c:pt>
                <c:pt idx="255">
                  <c:v>4.9207200000000002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612</c:v>
                </c:pt>
                <c:pt idx="7">
                  <c:v>0</c:v>
                </c:pt>
                <c:pt idx="8">
                  <c:v>330</c:v>
                </c:pt>
                <c:pt idx="9">
                  <c:v>0</c:v>
                </c:pt>
                <c:pt idx="10">
                  <c:v>0</c:v>
                </c:pt>
                <c:pt idx="11">
                  <c:v>993</c:v>
                </c:pt>
                <c:pt idx="12">
                  <c:v>0</c:v>
                </c:pt>
                <c:pt idx="13">
                  <c:v>2191</c:v>
                </c:pt>
                <c:pt idx="14">
                  <c:v>0</c:v>
                </c:pt>
                <c:pt idx="15">
                  <c:v>0</c:v>
                </c:pt>
                <c:pt idx="16">
                  <c:v>2385</c:v>
                </c:pt>
                <c:pt idx="17">
                  <c:v>0</c:v>
                </c:pt>
                <c:pt idx="18">
                  <c:v>0</c:v>
                </c:pt>
                <c:pt idx="19">
                  <c:v>8556</c:v>
                </c:pt>
                <c:pt idx="20">
                  <c:v>0</c:v>
                </c:pt>
                <c:pt idx="21">
                  <c:v>8870</c:v>
                </c:pt>
                <c:pt idx="22">
                  <c:v>0</c:v>
                </c:pt>
                <c:pt idx="23">
                  <c:v>0</c:v>
                </c:pt>
                <c:pt idx="24">
                  <c:v>11292</c:v>
                </c:pt>
                <c:pt idx="25">
                  <c:v>0</c:v>
                </c:pt>
                <c:pt idx="26">
                  <c:v>14667</c:v>
                </c:pt>
                <c:pt idx="27">
                  <c:v>0</c:v>
                </c:pt>
                <c:pt idx="28">
                  <c:v>0</c:v>
                </c:pt>
                <c:pt idx="29">
                  <c:v>19686</c:v>
                </c:pt>
                <c:pt idx="30">
                  <c:v>0</c:v>
                </c:pt>
                <c:pt idx="31">
                  <c:v>26302</c:v>
                </c:pt>
                <c:pt idx="32">
                  <c:v>0</c:v>
                </c:pt>
                <c:pt idx="33">
                  <c:v>0</c:v>
                </c:pt>
                <c:pt idx="34">
                  <c:v>33594</c:v>
                </c:pt>
                <c:pt idx="35">
                  <c:v>0</c:v>
                </c:pt>
                <c:pt idx="36">
                  <c:v>0</c:v>
                </c:pt>
                <c:pt idx="37">
                  <c:v>48358</c:v>
                </c:pt>
                <c:pt idx="38">
                  <c:v>0</c:v>
                </c:pt>
                <c:pt idx="39">
                  <c:v>57257</c:v>
                </c:pt>
                <c:pt idx="40">
                  <c:v>0</c:v>
                </c:pt>
                <c:pt idx="41">
                  <c:v>0</c:v>
                </c:pt>
                <c:pt idx="42">
                  <c:v>65455</c:v>
                </c:pt>
                <c:pt idx="43">
                  <c:v>0</c:v>
                </c:pt>
                <c:pt idx="44">
                  <c:v>70735</c:v>
                </c:pt>
                <c:pt idx="45">
                  <c:v>0</c:v>
                </c:pt>
                <c:pt idx="46">
                  <c:v>0</c:v>
                </c:pt>
                <c:pt idx="47">
                  <c:v>76428</c:v>
                </c:pt>
                <c:pt idx="48">
                  <c:v>0</c:v>
                </c:pt>
                <c:pt idx="49">
                  <c:v>69832</c:v>
                </c:pt>
                <c:pt idx="50">
                  <c:v>0</c:v>
                </c:pt>
                <c:pt idx="51">
                  <c:v>0</c:v>
                </c:pt>
                <c:pt idx="52">
                  <c:v>76579</c:v>
                </c:pt>
                <c:pt idx="53">
                  <c:v>0</c:v>
                </c:pt>
                <c:pt idx="54">
                  <c:v>0</c:v>
                </c:pt>
                <c:pt idx="55">
                  <c:v>71535</c:v>
                </c:pt>
                <c:pt idx="56">
                  <c:v>0</c:v>
                </c:pt>
                <c:pt idx="57">
                  <c:v>81162</c:v>
                </c:pt>
                <c:pt idx="58">
                  <c:v>0</c:v>
                </c:pt>
                <c:pt idx="59">
                  <c:v>0</c:v>
                </c:pt>
                <c:pt idx="60">
                  <c:v>80772</c:v>
                </c:pt>
                <c:pt idx="61">
                  <c:v>0</c:v>
                </c:pt>
                <c:pt idx="62">
                  <c:v>86785</c:v>
                </c:pt>
                <c:pt idx="63">
                  <c:v>0</c:v>
                </c:pt>
                <c:pt idx="64">
                  <c:v>0</c:v>
                </c:pt>
                <c:pt idx="65">
                  <c:v>90916</c:v>
                </c:pt>
                <c:pt idx="66">
                  <c:v>0</c:v>
                </c:pt>
                <c:pt idx="67">
                  <c:v>90195</c:v>
                </c:pt>
                <c:pt idx="68">
                  <c:v>0</c:v>
                </c:pt>
                <c:pt idx="69">
                  <c:v>0</c:v>
                </c:pt>
                <c:pt idx="70">
                  <c:v>95273</c:v>
                </c:pt>
                <c:pt idx="71">
                  <c:v>0</c:v>
                </c:pt>
                <c:pt idx="72">
                  <c:v>0</c:v>
                </c:pt>
                <c:pt idx="73">
                  <c:v>107298</c:v>
                </c:pt>
                <c:pt idx="74">
                  <c:v>0</c:v>
                </c:pt>
                <c:pt idx="75">
                  <c:v>113944</c:v>
                </c:pt>
                <c:pt idx="76">
                  <c:v>0</c:v>
                </c:pt>
                <c:pt idx="77">
                  <c:v>0</c:v>
                </c:pt>
                <c:pt idx="78">
                  <c:v>122237</c:v>
                </c:pt>
                <c:pt idx="79">
                  <c:v>0</c:v>
                </c:pt>
                <c:pt idx="80">
                  <c:v>135281</c:v>
                </c:pt>
                <c:pt idx="81">
                  <c:v>0</c:v>
                </c:pt>
                <c:pt idx="82">
                  <c:v>0</c:v>
                </c:pt>
                <c:pt idx="83">
                  <c:v>141102</c:v>
                </c:pt>
                <c:pt idx="84">
                  <c:v>0</c:v>
                </c:pt>
                <c:pt idx="85">
                  <c:v>0</c:v>
                </c:pt>
                <c:pt idx="86">
                  <c:v>128740</c:v>
                </c:pt>
                <c:pt idx="87">
                  <c:v>0</c:v>
                </c:pt>
                <c:pt idx="88">
                  <c:v>128786</c:v>
                </c:pt>
                <c:pt idx="89">
                  <c:v>0</c:v>
                </c:pt>
                <c:pt idx="90">
                  <c:v>0</c:v>
                </c:pt>
                <c:pt idx="91">
                  <c:v>123754</c:v>
                </c:pt>
                <c:pt idx="92">
                  <c:v>0</c:v>
                </c:pt>
                <c:pt idx="93">
                  <c:v>119542</c:v>
                </c:pt>
                <c:pt idx="94">
                  <c:v>0</c:v>
                </c:pt>
                <c:pt idx="95">
                  <c:v>0</c:v>
                </c:pt>
                <c:pt idx="96">
                  <c:v>123742</c:v>
                </c:pt>
                <c:pt idx="97">
                  <c:v>0</c:v>
                </c:pt>
                <c:pt idx="98">
                  <c:v>123541</c:v>
                </c:pt>
                <c:pt idx="99">
                  <c:v>0</c:v>
                </c:pt>
                <c:pt idx="100">
                  <c:v>0</c:v>
                </c:pt>
                <c:pt idx="101">
                  <c:v>123665</c:v>
                </c:pt>
                <c:pt idx="102">
                  <c:v>0</c:v>
                </c:pt>
                <c:pt idx="103">
                  <c:v>0</c:v>
                </c:pt>
                <c:pt idx="104">
                  <c:v>116368</c:v>
                </c:pt>
                <c:pt idx="105">
                  <c:v>0</c:v>
                </c:pt>
                <c:pt idx="106">
                  <c:v>121828</c:v>
                </c:pt>
                <c:pt idx="107">
                  <c:v>0</c:v>
                </c:pt>
                <c:pt idx="108">
                  <c:v>0</c:v>
                </c:pt>
                <c:pt idx="109">
                  <c:v>110851</c:v>
                </c:pt>
                <c:pt idx="110">
                  <c:v>0</c:v>
                </c:pt>
                <c:pt idx="111">
                  <c:v>109981</c:v>
                </c:pt>
                <c:pt idx="112">
                  <c:v>0</c:v>
                </c:pt>
                <c:pt idx="113">
                  <c:v>0</c:v>
                </c:pt>
                <c:pt idx="114">
                  <c:v>109969</c:v>
                </c:pt>
                <c:pt idx="115">
                  <c:v>0</c:v>
                </c:pt>
                <c:pt idx="116">
                  <c:v>102840</c:v>
                </c:pt>
                <c:pt idx="117">
                  <c:v>0</c:v>
                </c:pt>
                <c:pt idx="118">
                  <c:v>0</c:v>
                </c:pt>
                <c:pt idx="119">
                  <c:v>91595</c:v>
                </c:pt>
                <c:pt idx="120">
                  <c:v>0</c:v>
                </c:pt>
                <c:pt idx="121">
                  <c:v>0</c:v>
                </c:pt>
                <c:pt idx="122">
                  <c:v>75985</c:v>
                </c:pt>
                <c:pt idx="123">
                  <c:v>0</c:v>
                </c:pt>
                <c:pt idx="124">
                  <c:v>68189</c:v>
                </c:pt>
                <c:pt idx="125">
                  <c:v>0</c:v>
                </c:pt>
                <c:pt idx="126">
                  <c:v>0</c:v>
                </c:pt>
                <c:pt idx="127">
                  <c:v>55987</c:v>
                </c:pt>
                <c:pt idx="128">
                  <c:v>0</c:v>
                </c:pt>
                <c:pt idx="129">
                  <c:v>50138</c:v>
                </c:pt>
                <c:pt idx="130">
                  <c:v>0</c:v>
                </c:pt>
                <c:pt idx="131">
                  <c:v>0</c:v>
                </c:pt>
                <c:pt idx="132">
                  <c:v>42313</c:v>
                </c:pt>
                <c:pt idx="133">
                  <c:v>0</c:v>
                </c:pt>
                <c:pt idx="134">
                  <c:v>40530</c:v>
                </c:pt>
                <c:pt idx="135">
                  <c:v>0</c:v>
                </c:pt>
                <c:pt idx="136">
                  <c:v>0</c:v>
                </c:pt>
                <c:pt idx="137">
                  <c:v>35658</c:v>
                </c:pt>
                <c:pt idx="138">
                  <c:v>0</c:v>
                </c:pt>
                <c:pt idx="139">
                  <c:v>0</c:v>
                </c:pt>
                <c:pt idx="140">
                  <c:v>30217</c:v>
                </c:pt>
                <c:pt idx="141">
                  <c:v>0</c:v>
                </c:pt>
                <c:pt idx="142">
                  <c:v>24284</c:v>
                </c:pt>
                <c:pt idx="143">
                  <c:v>0</c:v>
                </c:pt>
                <c:pt idx="144">
                  <c:v>0</c:v>
                </c:pt>
                <c:pt idx="145">
                  <c:v>19963</c:v>
                </c:pt>
                <c:pt idx="146">
                  <c:v>0</c:v>
                </c:pt>
                <c:pt idx="147">
                  <c:v>14551</c:v>
                </c:pt>
                <c:pt idx="148">
                  <c:v>0</c:v>
                </c:pt>
                <c:pt idx="149">
                  <c:v>0</c:v>
                </c:pt>
                <c:pt idx="150">
                  <c:v>10675</c:v>
                </c:pt>
                <c:pt idx="151">
                  <c:v>0</c:v>
                </c:pt>
                <c:pt idx="152">
                  <c:v>7981</c:v>
                </c:pt>
                <c:pt idx="153">
                  <c:v>0</c:v>
                </c:pt>
                <c:pt idx="154">
                  <c:v>0</c:v>
                </c:pt>
                <c:pt idx="155">
                  <c:v>5578</c:v>
                </c:pt>
                <c:pt idx="156">
                  <c:v>0</c:v>
                </c:pt>
                <c:pt idx="157">
                  <c:v>0</c:v>
                </c:pt>
                <c:pt idx="158">
                  <c:v>5172</c:v>
                </c:pt>
                <c:pt idx="159">
                  <c:v>0</c:v>
                </c:pt>
                <c:pt idx="160">
                  <c:v>4825</c:v>
                </c:pt>
                <c:pt idx="161">
                  <c:v>0</c:v>
                </c:pt>
                <c:pt idx="162">
                  <c:v>0</c:v>
                </c:pt>
                <c:pt idx="163">
                  <c:v>1869</c:v>
                </c:pt>
                <c:pt idx="164">
                  <c:v>0</c:v>
                </c:pt>
                <c:pt idx="165">
                  <c:v>1379</c:v>
                </c:pt>
                <c:pt idx="166">
                  <c:v>0</c:v>
                </c:pt>
                <c:pt idx="167">
                  <c:v>0</c:v>
                </c:pt>
                <c:pt idx="168">
                  <c:v>1108</c:v>
                </c:pt>
                <c:pt idx="169">
                  <c:v>0</c:v>
                </c:pt>
                <c:pt idx="170">
                  <c:v>0</c:v>
                </c:pt>
                <c:pt idx="171">
                  <c:v>269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92</c:v>
                </c:pt>
                <c:pt idx="7">
                  <c:v>0</c:v>
                </c:pt>
                <c:pt idx="8">
                  <c:v>120</c:v>
                </c:pt>
                <c:pt idx="9">
                  <c:v>0</c:v>
                </c:pt>
                <c:pt idx="10">
                  <c:v>0</c:v>
                </c:pt>
                <c:pt idx="11">
                  <c:v>225</c:v>
                </c:pt>
                <c:pt idx="12">
                  <c:v>0</c:v>
                </c:pt>
                <c:pt idx="13">
                  <c:v>282</c:v>
                </c:pt>
                <c:pt idx="14">
                  <c:v>0</c:v>
                </c:pt>
                <c:pt idx="15">
                  <c:v>0</c:v>
                </c:pt>
                <c:pt idx="16">
                  <c:v>53</c:v>
                </c:pt>
                <c:pt idx="17">
                  <c:v>0</c:v>
                </c:pt>
                <c:pt idx="18">
                  <c:v>0</c:v>
                </c:pt>
                <c:pt idx="19">
                  <c:v>384</c:v>
                </c:pt>
                <c:pt idx="20">
                  <c:v>0</c:v>
                </c:pt>
                <c:pt idx="21">
                  <c:v>803</c:v>
                </c:pt>
                <c:pt idx="22">
                  <c:v>0</c:v>
                </c:pt>
                <c:pt idx="23">
                  <c:v>0</c:v>
                </c:pt>
                <c:pt idx="24">
                  <c:v>1046</c:v>
                </c:pt>
                <c:pt idx="25">
                  <c:v>0</c:v>
                </c:pt>
                <c:pt idx="26">
                  <c:v>2540</c:v>
                </c:pt>
                <c:pt idx="27">
                  <c:v>0</c:v>
                </c:pt>
                <c:pt idx="28">
                  <c:v>0</c:v>
                </c:pt>
                <c:pt idx="29">
                  <c:v>1443</c:v>
                </c:pt>
                <c:pt idx="30">
                  <c:v>0</c:v>
                </c:pt>
                <c:pt idx="31">
                  <c:v>4808</c:v>
                </c:pt>
                <c:pt idx="32">
                  <c:v>0</c:v>
                </c:pt>
                <c:pt idx="33">
                  <c:v>0</c:v>
                </c:pt>
                <c:pt idx="34">
                  <c:v>6658</c:v>
                </c:pt>
                <c:pt idx="35">
                  <c:v>0</c:v>
                </c:pt>
                <c:pt idx="36">
                  <c:v>0</c:v>
                </c:pt>
                <c:pt idx="37">
                  <c:v>10310</c:v>
                </c:pt>
                <c:pt idx="38">
                  <c:v>0</c:v>
                </c:pt>
                <c:pt idx="39">
                  <c:v>17843</c:v>
                </c:pt>
                <c:pt idx="40">
                  <c:v>0</c:v>
                </c:pt>
                <c:pt idx="41">
                  <c:v>0</c:v>
                </c:pt>
                <c:pt idx="42">
                  <c:v>21102</c:v>
                </c:pt>
                <c:pt idx="43">
                  <c:v>0</c:v>
                </c:pt>
                <c:pt idx="44">
                  <c:v>26991</c:v>
                </c:pt>
                <c:pt idx="45">
                  <c:v>0</c:v>
                </c:pt>
                <c:pt idx="46">
                  <c:v>0</c:v>
                </c:pt>
                <c:pt idx="47">
                  <c:v>28559</c:v>
                </c:pt>
                <c:pt idx="48">
                  <c:v>0</c:v>
                </c:pt>
                <c:pt idx="49">
                  <c:v>35383</c:v>
                </c:pt>
                <c:pt idx="50">
                  <c:v>0</c:v>
                </c:pt>
                <c:pt idx="51">
                  <c:v>0</c:v>
                </c:pt>
                <c:pt idx="52">
                  <c:v>40752</c:v>
                </c:pt>
                <c:pt idx="53">
                  <c:v>0</c:v>
                </c:pt>
                <c:pt idx="54">
                  <c:v>0</c:v>
                </c:pt>
                <c:pt idx="55">
                  <c:v>46332</c:v>
                </c:pt>
                <c:pt idx="56">
                  <c:v>0</c:v>
                </c:pt>
                <c:pt idx="57">
                  <c:v>54351</c:v>
                </c:pt>
                <c:pt idx="58">
                  <c:v>0</c:v>
                </c:pt>
                <c:pt idx="59">
                  <c:v>0</c:v>
                </c:pt>
                <c:pt idx="60">
                  <c:v>60151</c:v>
                </c:pt>
                <c:pt idx="61">
                  <c:v>0</c:v>
                </c:pt>
                <c:pt idx="62">
                  <c:v>67275</c:v>
                </c:pt>
                <c:pt idx="63">
                  <c:v>0</c:v>
                </c:pt>
                <c:pt idx="64">
                  <c:v>0</c:v>
                </c:pt>
                <c:pt idx="65">
                  <c:v>73067</c:v>
                </c:pt>
                <c:pt idx="66">
                  <c:v>0</c:v>
                </c:pt>
                <c:pt idx="67">
                  <c:v>84216</c:v>
                </c:pt>
                <c:pt idx="68">
                  <c:v>0</c:v>
                </c:pt>
                <c:pt idx="69">
                  <c:v>0</c:v>
                </c:pt>
                <c:pt idx="70">
                  <c:v>100116</c:v>
                </c:pt>
                <c:pt idx="71">
                  <c:v>0</c:v>
                </c:pt>
                <c:pt idx="72">
                  <c:v>0</c:v>
                </c:pt>
                <c:pt idx="73">
                  <c:v>122206</c:v>
                </c:pt>
                <c:pt idx="74">
                  <c:v>0</c:v>
                </c:pt>
                <c:pt idx="75">
                  <c:v>129232</c:v>
                </c:pt>
                <c:pt idx="76">
                  <c:v>0</c:v>
                </c:pt>
                <c:pt idx="77">
                  <c:v>0</c:v>
                </c:pt>
                <c:pt idx="78">
                  <c:v>146840</c:v>
                </c:pt>
                <c:pt idx="79">
                  <c:v>0</c:v>
                </c:pt>
                <c:pt idx="80">
                  <c:v>155430</c:v>
                </c:pt>
                <c:pt idx="81">
                  <c:v>0</c:v>
                </c:pt>
                <c:pt idx="82">
                  <c:v>0</c:v>
                </c:pt>
                <c:pt idx="83">
                  <c:v>166442</c:v>
                </c:pt>
                <c:pt idx="84">
                  <c:v>0</c:v>
                </c:pt>
                <c:pt idx="85">
                  <c:v>0</c:v>
                </c:pt>
                <c:pt idx="86">
                  <c:v>174821</c:v>
                </c:pt>
                <c:pt idx="87">
                  <c:v>0</c:v>
                </c:pt>
                <c:pt idx="88">
                  <c:v>178569</c:v>
                </c:pt>
                <c:pt idx="89">
                  <c:v>0</c:v>
                </c:pt>
                <c:pt idx="90">
                  <c:v>0</c:v>
                </c:pt>
                <c:pt idx="91">
                  <c:v>175164</c:v>
                </c:pt>
                <c:pt idx="92">
                  <c:v>0</c:v>
                </c:pt>
                <c:pt idx="93">
                  <c:v>188136</c:v>
                </c:pt>
                <c:pt idx="94">
                  <c:v>0</c:v>
                </c:pt>
                <c:pt idx="95">
                  <c:v>0</c:v>
                </c:pt>
                <c:pt idx="96">
                  <c:v>194125</c:v>
                </c:pt>
                <c:pt idx="97">
                  <c:v>0</c:v>
                </c:pt>
                <c:pt idx="98">
                  <c:v>197321</c:v>
                </c:pt>
                <c:pt idx="99">
                  <c:v>0</c:v>
                </c:pt>
                <c:pt idx="100">
                  <c:v>0</c:v>
                </c:pt>
                <c:pt idx="101">
                  <c:v>190850</c:v>
                </c:pt>
                <c:pt idx="102">
                  <c:v>0</c:v>
                </c:pt>
                <c:pt idx="103">
                  <c:v>0</c:v>
                </c:pt>
                <c:pt idx="104">
                  <c:v>195329</c:v>
                </c:pt>
                <c:pt idx="105">
                  <c:v>0</c:v>
                </c:pt>
                <c:pt idx="106">
                  <c:v>192605</c:v>
                </c:pt>
                <c:pt idx="107">
                  <c:v>0</c:v>
                </c:pt>
                <c:pt idx="108">
                  <c:v>0</c:v>
                </c:pt>
                <c:pt idx="109">
                  <c:v>179260</c:v>
                </c:pt>
                <c:pt idx="110">
                  <c:v>0</c:v>
                </c:pt>
                <c:pt idx="111">
                  <c:v>164976</c:v>
                </c:pt>
                <c:pt idx="112">
                  <c:v>0</c:v>
                </c:pt>
                <c:pt idx="113">
                  <c:v>0</c:v>
                </c:pt>
                <c:pt idx="114">
                  <c:v>165504</c:v>
                </c:pt>
                <c:pt idx="115">
                  <c:v>0</c:v>
                </c:pt>
                <c:pt idx="116">
                  <c:v>151409</c:v>
                </c:pt>
                <c:pt idx="117">
                  <c:v>0</c:v>
                </c:pt>
                <c:pt idx="118">
                  <c:v>0</c:v>
                </c:pt>
                <c:pt idx="119">
                  <c:v>132315</c:v>
                </c:pt>
                <c:pt idx="120">
                  <c:v>0</c:v>
                </c:pt>
                <c:pt idx="121">
                  <c:v>0</c:v>
                </c:pt>
                <c:pt idx="122">
                  <c:v>114756</c:v>
                </c:pt>
                <c:pt idx="123">
                  <c:v>0</c:v>
                </c:pt>
                <c:pt idx="124">
                  <c:v>99094</c:v>
                </c:pt>
                <c:pt idx="125">
                  <c:v>0</c:v>
                </c:pt>
                <c:pt idx="126">
                  <c:v>0</c:v>
                </c:pt>
                <c:pt idx="127">
                  <c:v>85967</c:v>
                </c:pt>
                <c:pt idx="128">
                  <c:v>0</c:v>
                </c:pt>
                <c:pt idx="129">
                  <c:v>72389</c:v>
                </c:pt>
                <c:pt idx="130">
                  <c:v>0</c:v>
                </c:pt>
                <c:pt idx="131">
                  <c:v>0</c:v>
                </c:pt>
                <c:pt idx="132">
                  <c:v>60718</c:v>
                </c:pt>
                <c:pt idx="133">
                  <c:v>0</c:v>
                </c:pt>
                <c:pt idx="134">
                  <c:v>58011</c:v>
                </c:pt>
                <c:pt idx="135">
                  <c:v>0</c:v>
                </c:pt>
                <c:pt idx="136">
                  <c:v>0</c:v>
                </c:pt>
                <c:pt idx="137">
                  <c:v>51757</c:v>
                </c:pt>
                <c:pt idx="138">
                  <c:v>0</c:v>
                </c:pt>
                <c:pt idx="139">
                  <c:v>0</c:v>
                </c:pt>
                <c:pt idx="140">
                  <c:v>50171</c:v>
                </c:pt>
                <c:pt idx="141">
                  <c:v>0</c:v>
                </c:pt>
                <c:pt idx="142">
                  <c:v>46442</c:v>
                </c:pt>
                <c:pt idx="143">
                  <c:v>0</c:v>
                </c:pt>
                <c:pt idx="144">
                  <c:v>0</c:v>
                </c:pt>
                <c:pt idx="145">
                  <c:v>41440</c:v>
                </c:pt>
                <c:pt idx="146">
                  <c:v>0</c:v>
                </c:pt>
                <c:pt idx="147">
                  <c:v>35567</c:v>
                </c:pt>
                <c:pt idx="148">
                  <c:v>0</c:v>
                </c:pt>
                <c:pt idx="149">
                  <c:v>0</c:v>
                </c:pt>
                <c:pt idx="150">
                  <c:v>30350</c:v>
                </c:pt>
                <c:pt idx="151">
                  <c:v>0</c:v>
                </c:pt>
                <c:pt idx="152">
                  <c:v>31793</c:v>
                </c:pt>
                <c:pt idx="153">
                  <c:v>0</c:v>
                </c:pt>
                <c:pt idx="154">
                  <c:v>0</c:v>
                </c:pt>
                <c:pt idx="155">
                  <c:v>29572</c:v>
                </c:pt>
                <c:pt idx="156">
                  <c:v>0</c:v>
                </c:pt>
                <c:pt idx="157">
                  <c:v>0</c:v>
                </c:pt>
                <c:pt idx="158">
                  <c:v>19532</c:v>
                </c:pt>
                <c:pt idx="159">
                  <c:v>0</c:v>
                </c:pt>
                <c:pt idx="160">
                  <c:v>13830</c:v>
                </c:pt>
                <c:pt idx="161">
                  <c:v>0</c:v>
                </c:pt>
                <c:pt idx="162">
                  <c:v>0</c:v>
                </c:pt>
                <c:pt idx="163">
                  <c:v>8638</c:v>
                </c:pt>
                <c:pt idx="164">
                  <c:v>0</c:v>
                </c:pt>
                <c:pt idx="165">
                  <c:v>8274</c:v>
                </c:pt>
                <c:pt idx="166">
                  <c:v>0</c:v>
                </c:pt>
                <c:pt idx="167">
                  <c:v>0</c:v>
                </c:pt>
                <c:pt idx="168">
                  <c:v>5281</c:v>
                </c:pt>
                <c:pt idx="169">
                  <c:v>0</c:v>
                </c:pt>
                <c:pt idx="170">
                  <c:v>0</c:v>
                </c:pt>
                <c:pt idx="171">
                  <c:v>3665</c:v>
                </c:pt>
                <c:pt idx="172">
                  <c:v>0</c:v>
                </c:pt>
                <c:pt idx="173">
                  <c:v>2416</c:v>
                </c:pt>
                <c:pt idx="174">
                  <c:v>0</c:v>
                </c:pt>
                <c:pt idx="175">
                  <c:v>0</c:v>
                </c:pt>
                <c:pt idx="176">
                  <c:v>477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0.14158442607486638</c:v>
                </c:pt>
                <c:pt idx="1">
                  <c:v>0.35465438988646814</c:v>
                </c:pt>
                <c:pt idx="2">
                  <c:v>0.50376118403866554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0.41848460561612305</c:v>
                </c:pt>
                <c:pt idx="1">
                  <c:v>0.18601199239188765</c:v>
                </c:pt>
                <c:pt idx="2">
                  <c:v>0.39550340199198936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6.1051525</c:v>
                </c:pt>
                <c:pt idx="1">
                  <c:v>20.934727500000001</c:v>
                </c:pt>
                <c:pt idx="2">
                  <c:v>40.398449999999997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0.381606</c:v>
                </c:pt>
                <c:pt idx="2">
                  <c:v>0.78512199999999999</c:v>
                </c:pt>
                <c:pt idx="3">
                  <c:v>1.19347</c:v>
                </c:pt>
                <c:pt idx="4">
                  <c:v>1.59859</c:v>
                </c:pt>
                <c:pt idx="5">
                  <c:v>2.0063200000000001</c:v>
                </c:pt>
                <c:pt idx="6">
                  <c:v>2.41039</c:v>
                </c:pt>
                <c:pt idx="7">
                  <c:v>2.8181699999999998</c:v>
                </c:pt>
                <c:pt idx="8">
                  <c:v>3.22506</c:v>
                </c:pt>
                <c:pt idx="9">
                  <c:v>3.6318199999999998</c:v>
                </c:pt>
                <c:pt idx="10">
                  <c:v>4.0388400000000004</c:v>
                </c:pt>
                <c:pt idx="11">
                  <c:v>4.4457199999999997</c:v>
                </c:pt>
                <c:pt idx="12">
                  <c:v>4.8516500000000002</c:v>
                </c:pt>
                <c:pt idx="13">
                  <c:v>5.2545900000000003</c:v>
                </c:pt>
                <c:pt idx="14">
                  <c:v>5.6626300000000001</c:v>
                </c:pt>
                <c:pt idx="15">
                  <c:v>6.0674400000000004</c:v>
                </c:pt>
                <c:pt idx="16">
                  <c:v>6.4723300000000004</c:v>
                </c:pt>
                <c:pt idx="17">
                  <c:v>6.8784000000000001</c:v>
                </c:pt>
                <c:pt idx="18">
                  <c:v>7.28918</c:v>
                </c:pt>
                <c:pt idx="19">
                  <c:v>7.6950900000000004</c:v>
                </c:pt>
                <c:pt idx="20">
                  <c:v>8.1000599999999991</c:v>
                </c:pt>
                <c:pt idx="21">
                  <c:v>8.5071200000000005</c:v>
                </c:pt>
                <c:pt idx="22">
                  <c:v>8.9130099999999999</c:v>
                </c:pt>
                <c:pt idx="23">
                  <c:v>9.3167399999999994</c:v>
                </c:pt>
                <c:pt idx="24">
                  <c:v>9.7265999999999995</c:v>
                </c:pt>
                <c:pt idx="25">
                  <c:v>10.131500000000001</c:v>
                </c:pt>
                <c:pt idx="26">
                  <c:v>10.5345</c:v>
                </c:pt>
                <c:pt idx="27">
                  <c:v>10.9421</c:v>
                </c:pt>
                <c:pt idx="28">
                  <c:v>11.3528</c:v>
                </c:pt>
                <c:pt idx="29">
                  <c:v>11.7582</c:v>
                </c:pt>
                <c:pt idx="30">
                  <c:v>12.164099999999999</c:v>
                </c:pt>
                <c:pt idx="31">
                  <c:v>12.5661</c:v>
                </c:pt>
                <c:pt idx="32">
                  <c:v>12.974500000000001</c:v>
                </c:pt>
                <c:pt idx="33">
                  <c:v>13.382999999999999</c:v>
                </c:pt>
                <c:pt idx="34">
                  <c:v>13.7897</c:v>
                </c:pt>
                <c:pt idx="35">
                  <c:v>14.1967</c:v>
                </c:pt>
                <c:pt idx="36">
                  <c:v>14.601599999999999</c:v>
                </c:pt>
                <c:pt idx="37">
                  <c:v>15.006600000000001</c:v>
                </c:pt>
                <c:pt idx="38">
                  <c:v>15.413399999999999</c:v>
                </c:pt>
                <c:pt idx="39">
                  <c:v>15.8164</c:v>
                </c:pt>
                <c:pt idx="40">
                  <c:v>16.226299999999998</c:v>
                </c:pt>
                <c:pt idx="41">
                  <c:v>16.635200000000001</c:v>
                </c:pt>
                <c:pt idx="42">
                  <c:v>17.040099999999999</c:v>
                </c:pt>
                <c:pt idx="43">
                  <c:v>17.443100000000001</c:v>
                </c:pt>
                <c:pt idx="44">
                  <c:v>17.8489</c:v>
                </c:pt>
                <c:pt idx="45">
                  <c:v>18.256799999999998</c:v>
                </c:pt>
                <c:pt idx="46">
                  <c:v>18.6647</c:v>
                </c:pt>
                <c:pt idx="47">
                  <c:v>19.070599999999999</c:v>
                </c:pt>
                <c:pt idx="48">
                  <c:v>19.476600000000001</c:v>
                </c:pt>
                <c:pt idx="49">
                  <c:v>19.880500000000001</c:v>
                </c:pt>
                <c:pt idx="50">
                  <c:v>20.284600000000001</c:v>
                </c:pt>
                <c:pt idx="51">
                  <c:v>20.694299999999998</c:v>
                </c:pt>
                <c:pt idx="52">
                  <c:v>21.1035</c:v>
                </c:pt>
                <c:pt idx="53">
                  <c:v>21.508099999999999</c:v>
                </c:pt>
                <c:pt idx="54">
                  <c:v>21.9131</c:v>
                </c:pt>
                <c:pt idx="55">
                  <c:v>22.318200000000001</c:v>
                </c:pt>
                <c:pt idx="56">
                  <c:v>22.726900000000001</c:v>
                </c:pt>
                <c:pt idx="57">
                  <c:v>23.133800000000001</c:v>
                </c:pt>
                <c:pt idx="58">
                  <c:v>23.537700000000001</c:v>
                </c:pt>
                <c:pt idx="59">
                  <c:v>23.944600000000001</c:v>
                </c:pt>
                <c:pt idx="60">
                  <c:v>24.349900000000002</c:v>
                </c:pt>
                <c:pt idx="61">
                  <c:v>24.758400000000002</c:v>
                </c:pt>
                <c:pt idx="62">
                  <c:v>25.1614</c:v>
                </c:pt>
                <c:pt idx="63">
                  <c:v>25.568200000000001</c:v>
                </c:pt>
                <c:pt idx="64">
                  <c:v>25.975200000000001</c:v>
                </c:pt>
                <c:pt idx="65">
                  <c:v>26.383500000000002</c:v>
                </c:pt>
                <c:pt idx="66">
                  <c:v>26.786200000000001</c:v>
                </c:pt>
                <c:pt idx="67">
                  <c:v>27.1919</c:v>
                </c:pt>
                <c:pt idx="68">
                  <c:v>27.599799999999998</c:v>
                </c:pt>
                <c:pt idx="69">
                  <c:v>28.0078</c:v>
                </c:pt>
                <c:pt idx="70">
                  <c:v>28.412700000000001</c:v>
                </c:pt>
                <c:pt idx="71">
                  <c:v>28.819700000000001</c:v>
                </c:pt>
                <c:pt idx="72">
                  <c:v>29.2226</c:v>
                </c:pt>
                <c:pt idx="73">
                  <c:v>29.63</c:v>
                </c:pt>
                <c:pt idx="74">
                  <c:v>30.0426</c:v>
                </c:pt>
                <c:pt idx="75">
                  <c:v>30.6127</c:v>
                </c:pt>
                <c:pt idx="76">
                  <c:v>30.989899999999999</c:v>
                </c:pt>
                <c:pt idx="77">
                  <c:v>31.366800000000001</c:v>
                </c:pt>
                <c:pt idx="78">
                  <c:v>31.744800000000001</c:v>
                </c:pt>
                <c:pt idx="79">
                  <c:v>32.114699999999999</c:v>
                </c:pt>
                <c:pt idx="80">
                  <c:v>32.519799999999996</c:v>
                </c:pt>
                <c:pt idx="81">
                  <c:v>32.9268</c:v>
                </c:pt>
                <c:pt idx="82">
                  <c:v>33.334499999999998</c:v>
                </c:pt>
                <c:pt idx="83">
                  <c:v>33.7408</c:v>
                </c:pt>
                <c:pt idx="84">
                  <c:v>34.150399999999998</c:v>
                </c:pt>
                <c:pt idx="85">
                  <c:v>34.5563</c:v>
                </c:pt>
                <c:pt idx="86">
                  <c:v>34.9602</c:v>
                </c:pt>
                <c:pt idx="87">
                  <c:v>35.365200000000002</c:v>
                </c:pt>
                <c:pt idx="88">
                  <c:v>35.771799999999999</c:v>
                </c:pt>
                <c:pt idx="89">
                  <c:v>36.174900000000001</c:v>
                </c:pt>
                <c:pt idx="90">
                  <c:v>36.584800000000001</c:v>
                </c:pt>
                <c:pt idx="91">
                  <c:v>36.990699999999997</c:v>
                </c:pt>
                <c:pt idx="92">
                  <c:v>37.394599999999997</c:v>
                </c:pt>
                <c:pt idx="93">
                  <c:v>37.801499999999997</c:v>
                </c:pt>
                <c:pt idx="94">
                  <c:v>38.206200000000003</c:v>
                </c:pt>
                <c:pt idx="95">
                  <c:v>38.617400000000004</c:v>
                </c:pt>
                <c:pt idx="96">
                  <c:v>39.024299999999997</c:v>
                </c:pt>
                <c:pt idx="97">
                  <c:v>39.428199999999997</c:v>
                </c:pt>
                <c:pt idx="98">
                  <c:v>39.834099999999999</c:v>
                </c:pt>
                <c:pt idx="99">
                  <c:v>40.241</c:v>
                </c:pt>
                <c:pt idx="100">
                  <c:v>40.648000000000003</c:v>
                </c:pt>
                <c:pt idx="101">
                  <c:v>41.054900000000004</c:v>
                </c:pt>
                <c:pt idx="102">
                  <c:v>41.459800000000001</c:v>
                </c:pt>
                <c:pt idx="103">
                  <c:v>41.865699999999997</c:v>
                </c:pt>
                <c:pt idx="104">
                  <c:v>42.271799999999999</c:v>
                </c:pt>
                <c:pt idx="105">
                  <c:v>42.679499999999997</c:v>
                </c:pt>
                <c:pt idx="106">
                  <c:v>43.086599999999997</c:v>
                </c:pt>
                <c:pt idx="107">
                  <c:v>43.491999999999997</c:v>
                </c:pt>
                <c:pt idx="108">
                  <c:v>43.899299999999997</c:v>
                </c:pt>
                <c:pt idx="109">
                  <c:v>44.305399999999999</c:v>
                </c:pt>
                <c:pt idx="110">
                  <c:v>44.715600000000002</c:v>
                </c:pt>
                <c:pt idx="111">
                  <c:v>45.1205</c:v>
                </c:pt>
                <c:pt idx="112">
                  <c:v>45.526299999999999</c:v>
                </c:pt>
                <c:pt idx="113">
                  <c:v>45.931100000000001</c:v>
                </c:pt>
                <c:pt idx="114">
                  <c:v>46.338799999999999</c:v>
                </c:pt>
                <c:pt idx="115">
                  <c:v>46.741599999999998</c:v>
                </c:pt>
                <c:pt idx="116">
                  <c:v>47.144599999999997</c:v>
                </c:pt>
                <c:pt idx="117">
                  <c:v>47.550699999999999</c:v>
                </c:pt>
                <c:pt idx="118">
                  <c:v>47.961399999999998</c:v>
                </c:pt>
                <c:pt idx="119">
                  <c:v>48.3626</c:v>
                </c:pt>
                <c:pt idx="120">
                  <c:v>48.772199999999998</c:v>
                </c:pt>
                <c:pt idx="121">
                  <c:v>49.178100000000001</c:v>
                </c:pt>
                <c:pt idx="122">
                  <c:v>49.584200000000003</c:v>
                </c:pt>
                <c:pt idx="123">
                  <c:v>49.991599999999998</c:v>
                </c:pt>
                <c:pt idx="124">
                  <c:v>50.398899999999998</c:v>
                </c:pt>
                <c:pt idx="125">
                  <c:v>50.803199999999997</c:v>
                </c:pt>
                <c:pt idx="126">
                  <c:v>51.2087</c:v>
                </c:pt>
                <c:pt idx="127">
                  <c:v>51.615699999999997</c:v>
                </c:pt>
                <c:pt idx="128">
                  <c:v>52.0227</c:v>
                </c:pt>
                <c:pt idx="129">
                  <c:v>52.433599999999998</c:v>
                </c:pt>
                <c:pt idx="130">
                  <c:v>52.833399999999997</c:v>
                </c:pt>
                <c:pt idx="131">
                  <c:v>53.241500000000002</c:v>
                </c:pt>
                <c:pt idx="132">
                  <c:v>53.649500000000003</c:v>
                </c:pt>
                <c:pt idx="133">
                  <c:v>54.054099999999998</c:v>
                </c:pt>
                <c:pt idx="134">
                  <c:v>54.461399999999998</c:v>
                </c:pt>
                <c:pt idx="135">
                  <c:v>54.867100000000001</c:v>
                </c:pt>
                <c:pt idx="136">
                  <c:v>55.293900000000001</c:v>
                </c:pt>
                <c:pt idx="137">
                  <c:v>55.683700000000002</c:v>
                </c:pt>
                <c:pt idx="138">
                  <c:v>56.084099999999999</c:v>
                </c:pt>
                <c:pt idx="139">
                  <c:v>56.488599999999998</c:v>
                </c:pt>
                <c:pt idx="140">
                  <c:v>56.897599999999997</c:v>
                </c:pt>
                <c:pt idx="141">
                  <c:v>57.3035</c:v>
                </c:pt>
                <c:pt idx="142">
                  <c:v>57.708300000000001</c:v>
                </c:pt>
                <c:pt idx="143">
                  <c:v>58.116199999999999</c:v>
                </c:pt>
                <c:pt idx="144">
                  <c:v>58.522399999999998</c:v>
                </c:pt>
                <c:pt idx="145">
                  <c:v>58.927700000000002</c:v>
                </c:pt>
                <c:pt idx="146">
                  <c:v>59.335000000000001</c:v>
                </c:pt>
                <c:pt idx="147">
                  <c:v>59.737099999999998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2.2598599999999998</c:v>
                </c:pt>
                <c:pt idx="1">
                  <c:v>2.3228200000000001</c:v>
                </c:pt>
                <c:pt idx="2">
                  <c:v>2.3847800000000001</c:v>
                </c:pt>
                <c:pt idx="3">
                  <c:v>2.4469799999999999</c:v>
                </c:pt>
                <c:pt idx="4">
                  <c:v>2.5077300000000005</c:v>
                </c:pt>
                <c:pt idx="5">
                  <c:v>2.5658099999999999</c:v>
                </c:pt>
                <c:pt idx="6">
                  <c:v>2.6219399999999999</c:v>
                </c:pt>
                <c:pt idx="7">
                  <c:v>2.6788499999999997</c:v>
                </c:pt>
                <c:pt idx="8">
                  <c:v>2.7368600000000001</c:v>
                </c:pt>
                <c:pt idx="9">
                  <c:v>2.7966299999999999</c:v>
                </c:pt>
                <c:pt idx="10">
                  <c:v>2.85833</c:v>
                </c:pt>
                <c:pt idx="11">
                  <c:v>2.92354</c:v>
                </c:pt>
                <c:pt idx="12">
                  <c:v>2.9895199999999997</c:v>
                </c:pt>
                <c:pt idx="13">
                  <c:v>3.0585100000000001</c:v>
                </c:pt>
                <c:pt idx="14">
                  <c:v>3.1290100000000001</c:v>
                </c:pt>
                <c:pt idx="15">
                  <c:v>3.2009300000000001</c:v>
                </c:pt>
                <c:pt idx="16">
                  <c:v>3.2751200000000003</c:v>
                </c:pt>
                <c:pt idx="17">
                  <c:v>3.3516499999999998</c:v>
                </c:pt>
                <c:pt idx="18">
                  <c:v>3.4278300000000002</c:v>
                </c:pt>
                <c:pt idx="19">
                  <c:v>3.4998899999999997</c:v>
                </c:pt>
                <c:pt idx="20">
                  <c:v>3.5674399999999999</c:v>
                </c:pt>
                <c:pt idx="21">
                  <c:v>3.6264400000000001</c:v>
                </c:pt>
                <c:pt idx="22">
                  <c:v>3.6745899999999998</c:v>
                </c:pt>
                <c:pt idx="23">
                  <c:v>3.71821</c:v>
                </c:pt>
                <c:pt idx="24">
                  <c:v>3.7589800000000002</c:v>
                </c:pt>
                <c:pt idx="25">
                  <c:v>3.7953799999999998</c:v>
                </c:pt>
                <c:pt idx="26">
                  <c:v>3.8263200000000004</c:v>
                </c:pt>
                <c:pt idx="27">
                  <c:v>3.8551899999999999</c:v>
                </c:pt>
                <c:pt idx="28">
                  <c:v>3.8780299999999999</c:v>
                </c:pt>
                <c:pt idx="29">
                  <c:v>3.89825</c:v>
                </c:pt>
                <c:pt idx="30">
                  <c:v>3.91927</c:v>
                </c:pt>
                <c:pt idx="31">
                  <c:v>3.9413999999999998</c:v>
                </c:pt>
                <c:pt idx="32">
                  <c:v>3.9638600000000004</c:v>
                </c:pt>
                <c:pt idx="33">
                  <c:v>3.9835500000000001</c:v>
                </c:pt>
                <c:pt idx="34">
                  <c:v>3.99899</c:v>
                </c:pt>
                <c:pt idx="35">
                  <c:v>4.0084799999999996</c:v>
                </c:pt>
                <c:pt idx="36">
                  <c:v>4.0114900000000002</c:v>
                </c:pt>
                <c:pt idx="37">
                  <c:v>4.0091400000000004</c:v>
                </c:pt>
                <c:pt idx="38">
                  <c:v>4.0044599999999999</c:v>
                </c:pt>
                <c:pt idx="39">
                  <c:v>3.9965299999999999</c:v>
                </c:pt>
                <c:pt idx="40">
                  <c:v>3.9839899999999999</c:v>
                </c:pt>
                <c:pt idx="41">
                  <c:v>3.9681100000000002</c:v>
                </c:pt>
                <c:pt idx="42">
                  <c:v>3.9493200000000002</c:v>
                </c:pt>
                <c:pt idx="43">
                  <c:v>3.9237799999999998</c:v>
                </c:pt>
                <c:pt idx="44">
                  <c:v>3.8947500000000002</c:v>
                </c:pt>
                <c:pt idx="45">
                  <c:v>3.8654199999999999</c:v>
                </c:pt>
                <c:pt idx="46">
                  <c:v>3.83812</c:v>
                </c:pt>
                <c:pt idx="47">
                  <c:v>3.8165300000000002</c:v>
                </c:pt>
                <c:pt idx="48">
                  <c:v>3.79928</c:v>
                </c:pt>
                <c:pt idx="49">
                  <c:v>3.7839400000000003</c:v>
                </c:pt>
                <c:pt idx="50">
                  <c:v>3.7713600000000005</c:v>
                </c:pt>
                <c:pt idx="51">
                  <c:v>3.7649400000000002</c:v>
                </c:pt>
                <c:pt idx="52">
                  <c:v>3.7626500000000003</c:v>
                </c:pt>
                <c:pt idx="53">
                  <c:v>3.7691300000000001</c:v>
                </c:pt>
                <c:pt idx="54">
                  <c:v>3.7840199999999999</c:v>
                </c:pt>
                <c:pt idx="55">
                  <c:v>3.8041599999999995</c:v>
                </c:pt>
                <c:pt idx="56">
                  <c:v>3.8461800000000004</c:v>
                </c:pt>
                <c:pt idx="57">
                  <c:v>3.87276</c:v>
                </c:pt>
                <c:pt idx="58">
                  <c:v>3.8869700000000003</c:v>
                </c:pt>
                <c:pt idx="59">
                  <c:v>3.9369900000000002</c:v>
                </c:pt>
                <c:pt idx="60">
                  <c:v>3.9570499999999997</c:v>
                </c:pt>
                <c:pt idx="61">
                  <c:v>4.0066800000000002</c:v>
                </c:pt>
                <c:pt idx="62">
                  <c:v>4.0399400000000005</c:v>
                </c:pt>
                <c:pt idx="63">
                  <c:v>4.0619899999999998</c:v>
                </c:pt>
                <c:pt idx="64">
                  <c:v>4.0886800000000001</c:v>
                </c:pt>
                <c:pt idx="65">
                  <c:v>4.11212</c:v>
                </c:pt>
                <c:pt idx="66">
                  <c:v>4.1270499999999997</c:v>
                </c:pt>
                <c:pt idx="67">
                  <c:v>4.1337600000000005</c:v>
                </c:pt>
                <c:pt idx="68">
                  <c:v>4.1441499999999998</c:v>
                </c:pt>
                <c:pt idx="69">
                  <c:v>4.1508500000000002</c:v>
                </c:pt>
                <c:pt idx="70">
                  <c:v>4.1533899999999999</c:v>
                </c:pt>
                <c:pt idx="71">
                  <c:v>4.1543700000000001</c:v>
                </c:pt>
                <c:pt idx="72">
                  <c:v>4.1538300000000001</c:v>
                </c:pt>
                <c:pt idx="73">
                  <c:v>4.1479900000000001</c:v>
                </c:pt>
                <c:pt idx="74">
                  <c:v>4.1262300000000005</c:v>
                </c:pt>
                <c:pt idx="75">
                  <c:v>4.1119300000000001</c:v>
                </c:pt>
                <c:pt idx="76">
                  <c:v>4.0925799999999999</c:v>
                </c:pt>
                <c:pt idx="77">
                  <c:v>4.0705599999999995</c:v>
                </c:pt>
                <c:pt idx="78">
                  <c:v>4.0447499999999996</c:v>
                </c:pt>
                <c:pt idx="79">
                  <c:v>4.0124700000000004</c:v>
                </c:pt>
                <c:pt idx="80">
                  <c:v>3.9719300000000004</c:v>
                </c:pt>
                <c:pt idx="81">
                  <c:v>3.9229500000000002</c:v>
                </c:pt>
                <c:pt idx="82">
                  <c:v>3.87059</c:v>
                </c:pt>
                <c:pt idx="83">
                  <c:v>3.8139600000000002</c:v>
                </c:pt>
                <c:pt idx="84">
                  <c:v>3.7570199999999998</c:v>
                </c:pt>
                <c:pt idx="85">
                  <c:v>3.7014200000000002</c:v>
                </c:pt>
                <c:pt idx="86">
                  <c:v>3.6461399999999999</c:v>
                </c:pt>
                <c:pt idx="87">
                  <c:v>3.59694</c:v>
                </c:pt>
                <c:pt idx="88">
                  <c:v>3.5521399999999996</c:v>
                </c:pt>
                <c:pt idx="89">
                  <c:v>3.5169899999999998</c:v>
                </c:pt>
                <c:pt idx="90">
                  <c:v>3.4929999999999999</c:v>
                </c:pt>
                <c:pt idx="91">
                  <c:v>3.4767999999999999</c:v>
                </c:pt>
                <c:pt idx="92">
                  <c:v>3.46949</c:v>
                </c:pt>
                <c:pt idx="93">
                  <c:v>3.4706799999999998</c:v>
                </c:pt>
                <c:pt idx="94">
                  <c:v>3.4776000000000002</c:v>
                </c:pt>
                <c:pt idx="95">
                  <c:v>3.4878</c:v>
                </c:pt>
                <c:pt idx="96">
                  <c:v>3.50143</c:v>
                </c:pt>
                <c:pt idx="97">
                  <c:v>3.52081</c:v>
                </c:pt>
                <c:pt idx="98">
                  <c:v>3.5467500000000003</c:v>
                </c:pt>
                <c:pt idx="99">
                  <c:v>3.5769600000000001</c:v>
                </c:pt>
                <c:pt idx="100">
                  <c:v>3.6080800000000002</c:v>
                </c:pt>
                <c:pt idx="101">
                  <c:v>3.6397699999999999</c:v>
                </c:pt>
                <c:pt idx="102">
                  <c:v>3.6706799999999999</c:v>
                </c:pt>
                <c:pt idx="103">
                  <c:v>3.6966700000000001</c:v>
                </c:pt>
                <c:pt idx="104">
                  <c:v>3.7190400000000001</c:v>
                </c:pt>
                <c:pt idx="105">
                  <c:v>3.7397299999999998</c:v>
                </c:pt>
                <c:pt idx="106">
                  <c:v>3.7613400000000001</c:v>
                </c:pt>
                <c:pt idx="107">
                  <c:v>3.7823200000000003</c:v>
                </c:pt>
                <c:pt idx="108">
                  <c:v>3.7991000000000001</c:v>
                </c:pt>
                <c:pt idx="109">
                  <c:v>3.8124000000000002</c:v>
                </c:pt>
                <c:pt idx="110">
                  <c:v>3.8226700000000005</c:v>
                </c:pt>
                <c:pt idx="111">
                  <c:v>3.8305600000000002</c:v>
                </c:pt>
                <c:pt idx="112">
                  <c:v>3.8372800000000002</c:v>
                </c:pt>
                <c:pt idx="113">
                  <c:v>3.8416099999999997</c:v>
                </c:pt>
                <c:pt idx="114">
                  <c:v>3.8468999999999998</c:v>
                </c:pt>
                <c:pt idx="115">
                  <c:v>3.8494600000000001</c:v>
                </c:pt>
                <c:pt idx="116">
                  <c:v>3.8536700000000002</c:v>
                </c:pt>
                <c:pt idx="117">
                  <c:v>3.8564799999999999</c:v>
                </c:pt>
                <c:pt idx="118">
                  <c:v>3.8569900000000001</c:v>
                </c:pt>
                <c:pt idx="119">
                  <c:v>3.8572499999999996</c:v>
                </c:pt>
                <c:pt idx="120">
                  <c:v>3.8565800000000001</c:v>
                </c:pt>
                <c:pt idx="121">
                  <c:v>3.8536100000000002</c:v>
                </c:pt>
                <c:pt idx="122">
                  <c:v>3.8472400000000002</c:v>
                </c:pt>
                <c:pt idx="123">
                  <c:v>3.8400800000000004</c:v>
                </c:pt>
                <c:pt idx="124">
                  <c:v>3.8266899999999997</c:v>
                </c:pt>
                <c:pt idx="125">
                  <c:v>3.81229</c:v>
                </c:pt>
                <c:pt idx="126">
                  <c:v>3.79765</c:v>
                </c:pt>
                <c:pt idx="127">
                  <c:v>3.7817699999999999</c:v>
                </c:pt>
                <c:pt idx="128">
                  <c:v>3.7697599999999998</c:v>
                </c:pt>
                <c:pt idx="129">
                  <c:v>3.7617000000000003</c:v>
                </c:pt>
                <c:pt idx="130">
                  <c:v>3.7580599999999995</c:v>
                </c:pt>
                <c:pt idx="131">
                  <c:v>3.7541400000000005</c:v>
                </c:pt>
                <c:pt idx="132">
                  <c:v>3.7519200000000001</c:v>
                </c:pt>
                <c:pt idx="133">
                  <c:v>3.7549399999999999</c:v>
                </c:pt>
                <c:pt idx="134">
                  <c:v>3.7624499999999999</c:v>
                </c:pt>
                <c:pt idx="135">
                  <c:v>3.7754799999999999</c:v>
                </c:pt>
                <c:pt idx="136">
                  <c:v>3.7933699999999999</c:v>
                </c:pt>
                <c:pt idx="137">
                  <c:v>3.81237</c:v>
                </c:pt>
                <c:pt idx="138">
                  <c:v>3.8367899999999997</c:v>
                </c:pt>
                <c:pt idx="139">
                  <c:v>3.8521200000000002</c:v>
                </c:pt>
                <c:pt idx="140">
                  <c:v>3.86747</c:v>
                </c:pt>
                <c:pt idx="141">
                  <c:v>3.8752500000000003</c:v>
                </c:pt>
                <c:pt idx="142">
                  <c:v>3.8805000000000001</c:v>
                </c:pt>
                <c:pt idx="143">
                  <c:v>3.8864700000000001</c:v>
                </c:pt>
                <c:pt idx="144">
                  <c:v>3.88537</c:v>
                </c:pt>
                <c:pt idx="145">
                  <c:v>3.8835100000000002</c:v>
                </c:pt>
                <c:pt idx="146">
                  <c:v>3.8967800000000001</c:v>
                </c:pt>
                <c:pt idx="147">
                  <c:v>3.9226200000000002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0.381606</c:v>
                </c:pt>
                <c:pt idx="2">
                  <c:v>0.78512199999999999</c:v>
                </c:pt>
                <c:pt idx="3">
                  <c:v>1.19347</c:v>
                </c:pt>
                <c:pt idx="4">
                  <c:v>1.59859</c:v>
                </c:pt>
                <c:pt idx="5">
                  <c:v>2.0063200000000001</c:v>
                </c:pt>
                <c:pt idx="6">
                  <c:v>2.41039</c:v>
                </c:pt>
                <c:pt idx="7">
                  <c:v>2.8181699999999998</c:v>
                </c:pt>
                <c:pt idx="8">
                  <c:v>3.22506</c:v>
                </c:pt>
                <c:pt idx="9">
                  <c:v>3.6318199999999998</c:v>
                </c:pt>
                <c:pt idx="10">
                  <c:v>4.0388400000000004</c:v>
                </c:pt>
                <c:pt idx="11">
                  <c:v>4.4457199999999997</c:v>
                </c:pt>
                <c:pt idx="12">
                  <c:v>4.8516500000000002</c:v>
                </c:pt>
                <c:pt idx="13">
                  <c:v>5.2545900000000003</c:v>
                </c:pt>
                <c:pt idx="14">
                  <c:v>5.6626300000000001</c:v>
                </c:pt>
                <c:pt idx="15">
                  <c:v>6.0674400000000004</c:v>
                </c:pt>
                <c:pt idx="16">
                  <c:v>6.4723300000000004</c:v>
                </c:pt>
                <c:pt idx="17">
                  <c:v>6.8784000000000001</c:v>
                </c:pt>
                <c:pt idx="18">
                  <c:v>7.28918</c:v>
                </c:pt>
                <c:pt idx="19">
                  <c:v>7.6950900000000004</c:v>
                </c:pt>
                <c:pt idx="20">
                  <c:v>8.1000599999999991</c:v>
                </c:pt>
                <c:pt idx="21">
                  <c:v>8.5071200000000005</c:v>
                </c:pt>
                <c:pt idx="22">
                  <c:v>8.9130099999999999</c:v>
                </c:pt>
                <c:pt idx="23">
                  <c:v>9.3167399999999994</c:v>
                </c:pt>
                <c:pt idx="24">
                  <c:v>9.7265999999999995</c:v>
                </c:pt>
                <c:pt idx="25">
                  <c:v>10.131500000000001</c:v>
                </c:pt>
                <c:pt idx="26">
                  <c:v>10.5345</c:v>
                </c:pt>
                <c:pt idx="27">
                  <c:v>10.9421</c:v>
                </c:pt>
                <c:pt idx="28">
                  <c:v>11.3528</c:v>
                </c:pt>
                <c:pt idx="29">
                  <c:v>11.7582</c:v>
                </c:pt>
                <c:pt idx="30">
                  <c:v>12.164099999999999</c:v>
                </c:pt>
                <c:pt idx="31">
                  <c:v>12.5661</c:v>
                </c:pt>
                <c:pt idx="32">
                  <c:v>12.974500000000001</c:v>
                </c:pt>
                <c:pt idx="33">
                  <c:v>13.382999999999999</c:v>
                </c:pt>
                <c:pt idx="34">
                  <c:v>13.7897</c:v>
                </c:pt>
                <c:pt idx="35">
                  <c:v>14.1967</c:v>
                </c:pt>
                <c:pt idx="36">
                  <c:v>14.601599999999999</c:v>
                </c:pt>
                <c:pt idx="37">
                  <c:v>15.006600000000001</c:v>
                </c:pt>
                <c:pt idx="38">
                  <c:v>15.413399999999999</c:v>
                </c:pt>
                <c:pt idx="39">
                  <c:v>15.8164</c:v>
                </c:pt>
                <c:pt idx="40">
                  <c:v>16.226299999999998</c:v>
                </c:pt>
                <c:pt idx="41">
                  <c:v>16.635200000000001</c:v>
                </c:pt>
                <c:pt idx="42">
                  <c:v>17.040099999999999</c:v>
                </c:pt>
                <c:pt idx="43">
                  <c:v>17.443100000000001</c:v>
                </c:pt>
                <c:pt idx="44">
                  <c:v>17.8489</c:v>
                </c:pt>
                <c:pt idx="45">
                  <c:v>18.256799999999998</c:v>
                </c:pt>
                <c:pt idx="46">
                  <c:v>18.6647</c:v>
                </c:pt>
                <c:pt idx="47">
                  <c:v>19.070599999999999</c:v>
                </c:pt>
                <c:pt idx="48">
                  <c:v>19.476600000000001</c:v>
                </c:pt>
                <c:pt idx="49">
                  <c:v>19.880500000000001</c:v>
                </c:pt>
                <c:pt idx="50">
                  <c:v>20.284600000000001</c:v>
                </c:pt>
                <c:pt idx="51">
                  <c:v>20.694299999999998</c:v>
                </c:pt>
                <c:pt idx="52">
                  <c:v>21.1035</c:v>
                </c:pt>
                <c:pt idx="53">
                  <c:v>21.508099999999999</c:v>
                </c:pt>
                <c:pt idx="54">
                  <c:v>21.9131</c:v>
                </c:pt>
                <c:pt idx="55">
                  <c:v>22.318200000000001</c:v>
                </c:pt>
                <c:pt idx="56">
                  <c:v>22.726900000000001</c:v>
                </c:pt>
                <c:pt idx="57">
                  <c:v>23.133800000000001</c:v>
                </c:pt>
                <c:pt idx="58">
                  <c:v>23.537700000000001</c:v>
                </c:pt>
                <c:pt idx="59">
                  <c:v>23.944600000000001</c:v>
                </c:pt>
                <c:pt idx="60">
                  <c:v>24.349900000000002</c:v>
                </c:pt>
                <c:pt idx="61">
                  <c:v>24.758400000000002</c:v>
                </c:pt>
                <c:pt idx="62">
                  <c:v>25.1614</c:v>
                </c:pt>
                <c:pt idx="63">
                  <c:v>25.568200000000001</c:v>
                </c:pt>
                <c:pt idx="64">
                  <c:v>25.975200000000001</c:v>
                </c:pt>
                <c:pt idx="65">
                  <c:v>26.383500000000002</c:v>
                </c:pt>
                <c:pt idx="66">
                  <c:v>26.786200000000001</c:v>
                </c:pt>
                <c:pt idx="67">
                  <c:v>27.1919</c:v>
                </c:pt>
                <c:pt idx="68">
                  <c:v>27.599799999999998</c:v>
                </c:pt>
                <c:pt idx="69">
                  <c:v>28.0078</c:v>
                </c:pt>
                <c:pt idx="70">
                  <c:v>28.412700000000001</c:v>
                </c:pt>
                <c:pt idx="71">
                  <c:v>28.819700000000001</c:v>
                </c:pt>
                <c:pt idx="72">
                  <c:v>29.2226</c:v>
                </c:pt>
                <c:pt idx="73">
                  <c:v>29.63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2.2598599999999998</c:v>
                </c:pt>
                <c:pt idx="1">
                  <c:v>2.3228200000000001</c:v>
                </c:pt>
                <c:pt idx="2">
                  <c:v>2.3847800000000001</c:v>
                </c:pt>
                <c:pt idx="3">
                  <c:v>2.4469799999999999</c:v>
                </c:pt>
                <c:pt idx="4">
                  <c:v>2.5077300000000005</c:v>
                </c:pt>
                <c:pt idx="5">
                  <c:v>2.5658099999999999</c:v>
                </c:pt>
                <c:pt idx="6">
                  <c:v>2.6219399999999999</c:v>
                </c:pt>
                <c:pt idx="7">
                  <c:v>2.6788499999999997</c:v>
                </c:pt>
                <c:pt idx="8">
                  <c:v>2.7368600000000001</c:v>
                </c:pt>
                <c:pt idx="9">
                  <c:v>2.7966299999999999</c:v>
                </c:pt>
                <c:pt idx="10">
                  <c:v>2.85833</c:v>
                </c:pt>
                <c:pt idx="11">
                  <c:v>2.92354</c:v>
                </c:pt>
                <c:pt idx="12">
                  <c:v>2.9895199999999997</c:v>
                </c:pt>
                <c:pt idx="13">
                  <c:v>3.0585100000000001</c:v>
                </c:pt>
                <c:pt idx="14">
                  <c:v>3.1290100000000001</c:v>
                </c:pt>
                <c:pt idx="15">
                  <c:v>3.2009300000000001</c:v>
                </c:pt>
                <c:pt idx="16">
                  <c:v>3.2751200000000003</c:v>
                </c:pt>
                <c:pt idx="17">
                  <c:v>3.3516499999999998</c:v>
                </c:pt>
                <c:pt idx="18">
                  <c:v>3.4278300000000002</c:v>
                </c:pt>
                <c:pt idx="19">
                  <c:v>3.4998899999999997</c:v>
                </c:pt>
                <c:pt idx="20">
                  <c:v>3.5674399999999999</c:v>
                </c:pt>
                <c:pt idx="21">
                  <c:v>3.6264400000000001</c:v>
                </c:pt>
                <c:pt idx="22">
                  <c:v>3.6745899999999998</c:v>
                </c:pt>
                <c:pt idx="23">
                  <c:v>3.71821</c:v>
                </c:pt>
                <c:pt idx="24">
                  <c:v>3.7589800000000002</c:v>
                </c:pt>
                <c:pt idx="25">
                  <c:v>3.7953799999999998</c:v>
                </c:pt>
                <c:pt idx="26">
                  <c:v>3.8263200000000004</c:v>
                </c:pt>
                <c:pt idx="27">
                  <c:v>3.8551899999999999</c:v>
                </c:pt>
                <c:pt idx="28">
                  <c:v>3.8780299999999999</c:v>
                </c:pt>
                <c:pt idx="29">
                  <c:v>3.89825</c:v>
                </c:pt>
                <c:pt idx="30">
                  <c:v>3.91927</c:v>
                </c:pt>
                <c:pt idx="31">
                  <c:v>3.9413999999999998</c:v>
                </c:pt>
                <c:pt idx="32">
                  <c:v>3.9638600000000004</c:v>
                </c:pt>
                <c:pt idx="33">
                  <c:v>3.9835500000000001</c:v>
                </c:pt>
                <c:pt idx="34">
                  <c:v>3.99899</c:v>
                </c:pt>
                <c:pt idx="35">
                  <c:v>4.0084799999999996</c:v>
                </c:pt>
                <c:pt idx="36">
                  <c:v>4.0114900000000002</c:v>
                </c:pt>
                <c:pt idx="37">
                  <c:v>4.0091400000000004</c:v>
                </c:pt>
                <c:pt idx="38">
                  <c:v>4.0044599999999999</c:v>
                </c:pt>
                <c:pt idx="39">
                  <c:v>3.9965299999999999</c:v>
                </c:pt>
                <c:pt idx="40">
                  <c:v>3.9839899999999999</c:v>
                </c:pt>
                <c:pt idx="41">
                  <c:v>3.9681100000000002</c:v>
                </c:pt>
                <c:pt idx="42">
                  <c:v>3.9493200000000002</c:v>
                </c:pt>
                <c:pt idx="43">
                  <c:v>3.9237799999999998</c:v>
                </c:pt>
                <c:pt idx="44">
                  <c:v>3.8947500000000002</c:v>
                </c:pt>
                <c:pt idx="45">
                  <c:v>3.8654199999999999</c:v>
                </c:pt>
                <c:pt idx="46">
                  <c:v>3.83812</c:v>
                </c:pt>
                <c:pt idx="47">
                  <c:v>3.8165300000000002</c:v>
                </c:pt>
                <c:pt idx="48">
                  <c:v>3.79928</c:v>
                </c:pt>
                <c:pt idx="49">
                  <c:v>3.7839400000000003</c:v>
                </c:pt>
                <c:pt idx="50">
                  <c:v>3.7713600000000005</c:v>
                </c:pt>
                <c:pt idx="51">
                  <c:v>3.7649400000000002</c:v>
                </c:pt>
                <c:pt idx="52">
                  <c:v>3.7626500000000003</c:v>
                </c:pt>
                <c:pt idx="53">
                  <c:v>3.7691300000000001</c:v>
                </c:pt>
                <c:pt idx="54">
                  <c:v>3.7840199999999999</c:v>
                </c:pt>
                <c:pt idx="55">
                  <c:v>3.8041599999999995</c:v>
                </c:pt>
                <c:pt idx="56">
                  <c:v>3.8461800000000004</c:v>
                </c:pt>
                <c:pt idx="57">
                  <c:v>3.87276</c:v>
                </c:pt>
                <c:pt idx="58">
                  <c:v>3.8869700000000003</c:v>
                </c:pt>
                <c:pt idx="59">
                  <c:v>3.9369900000000002</c:v>
                </c:pt>
                <c:pt idx="60">
                  <c:v>3.9570499999999997</c:v>
                </c:pt>
                <c:pt idx="61">
                  <c:v>4.0066800000000002</c:v>
                </c:pt>
                <c:pt idx="62">
                  <c:v>4.0399400000000005</c:v>
                </c:pt>
                <c:pt idx="63">
                  <c:v>4.0619899999999998</c:v>
                </c:pt>
                <c:pt idx="64">
                  <c:v>4.0886800000000001</c:v>
                </c:pt>
                <c:pt idx="65">
                  <c:v>4.11212</c:v>
                </c:pt>
                <c:pt idx="66">
                  <c:v>4.1270499999999997</c:v>
                </c:pt>
                <c:pt idx="67">
                  <c:v>4.1337600000000005</c:v>
                </c:pt>
                <c:pt idx="68">
                  <c:v>4.1441499999999998</c:v>
                </c:pt>
                <c:pt idx="69">
                  <c:v>4.1508500000000002</c:v>
                </c:pt>
                <c:pt idx="70">
                  <c:v>4.1533899999999999</c:v>
                </c:pt>
                <c:pt idx="71">
                  <c:v>4.1543700000000001</c:v>
                </c:pt>
                <c:pt idx="72">
                  <c:v>4.1538300000000001</c:v>
                </c:pt>
                <c:pt idx="73">
                  <c:v>4.1479900000000001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29.63</c:v>
                </c:pt>
                <c:pt idx="1">
                  <c:v>30.0426</c:v>
                </c:pt>
                <c:pt idx="2">
                  <c:v>30.6127</c:v>
                </c:pt>
                <c:pt idx="3">
                  <c:v>30.989899999999999</c:v>
                </c:pt>
                <c:pt idx="4">
                  <c:v>31.366800000000001</c:v>
                </c:pt>
                <c:pt idx="5">
                  <c:v>31.744800000000001</c:v>
                </c:pt>
                <c:pt idx="6">
                  <c:v>32.114699999999999</c:v>
                </c:pt>
                <c:pt idx="7">
                  <c:v>32.519799999999996</c:v>
                </c:pt>
                <c:pt idx="8">
                  <c:v>32.9268</c:v>
                </c:pt>
                <c:pt idx="9">
                  <c:v>33.334499999999998</c:v>
                </c:pt>
                <c:pt idx="10">
                  <c:v>33.7408</c:v>
                </c:pt>
                <c:pt idx="11">
                  <c:v>34.150399999999998</c:v>
                </c:pt>
                <c:pt idx="12">
                  <c:v>34.5563</c:v>
                </c:pt>
                <c:pt idx="13">
                  <c:v>34.9602</c:v>
                </c:pt>
                <c:pt idx="14">
                  <c:v>35.365200000000002</c:v>
                </c:pt>
                <c:pt idx="15">
                  <c:v>35.771799999999999</c:v>
                </c:pt>
                <c:pt idx="16">
                  <c:v>36.174900000000001</c:v>
                </c:pt>
                <c:pt idx="17">
                  <c:v>36.584800000000001</c:v>
                </c:pt>
                <c:pt idx="18">
                  <c:v>36.990699999999997</c:v>
                </c:pt>
                <c:pt idx="19">
                  <c:v>37.394599999999997</c:v>
                </c:pt>
                <c:pt idx="20">
                  <c:v>37.801499999999997</c:v>
                </c:pt>
                <c:pt idx="21">
                  <c:v>38.206200000000003</c:v>
                </c:pt>
                <c:pt idx="22">
                  <c:v>38.617400000000004</c:v>
                </c:pt>
                <c:pt idx="23">
                  <c:v>39.024299999999997</c:v>
                </c:pt>
                <c:pt idx="24">
                  <c:v>39.428199999999997</c:v>
                </c:pt>
                <c:pt idx="25">
                  <c:v>39.834099999999999</c:v>
                </c:pt>
                <c:pt idx="26">
                  <c:v>40.241</c:v>
                </c:pt>
                <c:pt idx="27">
                  <c:v>40.648000000000003</c:v>
                </c:pt>
                <c:pt idx="28">
                  <c:v>41.054900000000004</c:v>
                </c:pt>
                <c:pt idx="29">
                  <c:v>41.459800000000001</c:v>
                </c:pt>
                <c:pt idx="30">
                  <c:v>41.865699999999997</c:v>
                </c:pt>
                <c:pt idx="31">
                  <c:v>42.271799999999999</c:v>
                </c:pt>
                <c:pt idx="32">
                  <c:v>42.679499999999997</c:v>
                </c:pt>
                <c:pt idx="33">
                  <c:v>43.086599999999997</c:v>
                </c:pt>
                <c:pt idx="34">
                  <c:v>43.491999999999997</c:v>
                </c:pt>
                <c:pt idx="35">
                  <c:v>43.899299999999997</c:v>
                </c:pt>
                <c:pt idx="36">
                  <c:v>44.305399999999999</c:v>
                </c:pt>
                <c:pt idx="37">
                  <c:v>44.715600000000002</c:v>
                </c:pt>
                <c:pt idx="38">
                  <c:v>45.1205</c:v>
                </c:pt>
                <c:pt idx="39">
                  <c:v>45.526299999999999</c:v>
                </c:pt>
                <c:pt idx="40">
                  <c:v>45.931100000000001</c:v>
                </c:pt>
                <c:pt idx="41">
                  <c:v>46.338799999999999</c:v>
                </c:pt>
                <c:pt idx="42">
                  <c:v>46.741599999999998</c:v>
                </c:pt>
                <c:pt idx="43">
                  <c:v>47.144599999999997</c:v>
                </c:pt>
                <c:pt idx="44">
                  <c:v>47.550699999999999</c:v>
                </c:pt>
                <c:pt idx="45">
                  <c:v>47.961399999999998</c:v>
                </c:pt>
                <c:pt idx="46">
                  <c:v>48.3626</c:v>
                </c:pt>
                <c:pt idx="47">
                  <c:v>48.772199999999998</c:v>
                </c:pt>
                <c:pt idx="48">
                  <c:v>49.178100000000001</c:v>
                </c:pt>
                <c:pt idx="49">
                  <c:v>49.584200000000003</c:v>
                </c:pt>
                <c:pt idx="50">
                  <c:v>49.991599999999998</c:v>
                </c:pt>
                <c:pt idx="51">
                  <c:v>50.398899999999998</c:v>
                </c:pt>
                <c:pt idx="52">
                  <c:v>50.803199999999997</c:v>
                </c:pt>
                <c:pt idx="53">
                  <c:v>51.2087</c:v>
                </c:pt>
                <c:pt idx="54">
                  <c:v>51.615699999999997</c:v>
                </c:pt>
                <c:pt idx="55">
                  <c:v>52.0227</c:v>
                </c:pt>
                <c:pt idx="56">
                  <c:v>52.433599999999998</c:v>
                </c:pt>
                <c:pt idx="57">
                  <c:v>52.833399999999997</c:v>
                </c:pt>
                <c:pt idx="58">
                  <c:v>53.241500000000002</c:v>
                </c:pt>
                <c:pt idx="59">
                  <c:v>53.649500000000003</c:v>
                </c:pt>
                <c:pt idx="60">
                  <c:v>54.054099999999998</c:v>
                </c:pt>
                <c:pt idx="61">
                  <c:v>54.461399999999998</c:v>
                </c:pt>
                <c:pt idx="62">
                  <c:v>54.867100000000001</c:v>
                </c:pt>
                <c:pt idx="63">
                  <c:v>55.293900000000001</c:v>
                </c:pt>
                <c:pt idx="64">
                  <c:v>55.683700000000002</c:v>
                </c:pt>
                <c:pt idx="65">
                  <c:v>56.084099999999999</c:v>
                </c:pt>
                <c:pt idx="66">
                  <c:v>56.488599999999998</c:v>
                </c:pt>
                <c:pt idx="67">
                  <c:v>56.897599999999997</c:v>
                </c:pt>
                <c:pt idx="68">
                  <c:v>57.3035</c:v>
                </c:pt>
                <c:pt idx="69">
                  <c:v>57.708300000000001</c:v>
                </c:pt>
                <c:pt idx="70">
                  <c:v>58.116199999999999</c:v>
                </c:pt>
                <c:pt idx="71">
                  <c:v>58.522399999999998</c:v>
                </c:pt>
                <c:pt idx="72">
                  <c:v>58.927700000000002</c:v>
                </c:pt>
                <c:pt idx="73">
                  <c:v>59.335000000000001</c:v>
                </c:pt>
                <c:pt idx="74">
                  <c:v>59.737099999999998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4.1479900000000001</c:v>
                </c:pt>
                <c:pt idx="1">
                  <c:v>4.1262300000000005</c:v>
                </c:pt>
                <c:pt idx="2">
                  <c:v>4.1119300000000001</c:v>
                </c:pt>
                <c:pt idx="3">
                  <c:v>4.0925799999999999</c:v>
                </c:pt>
                <c:pt idx="4">
                  <c:v>4.0705599999999995</c:v>
                </c:pt>
                <c:pt idx="5">
                  <c:v>4.0447499999999996</c:v>
                </c:pt>
                <c:pt idx="6">
                  <c:v>4.0124700000000004</c:v>
                </c:pt>
                <c:pt idx="7">
                  <c:v>3.9719300000000004</c:v>
                </c:pt>
                <c:pt idx="8">
                  <c:v>3.9229500000000002</c:v>
                </c:pt>
                <c:pt idx="9">
                  <c:v>3.87059</c:v>
                </c:pt>
                <c:pt idx="10">
                  <c:v>3.8139600000000002</c:v>
                </c:pt>
                <c:pt idx="11">
                  <c:v>3.7570199999999998</c:v>
                </c:pt>
                <c:pt idx="12">
                  <c:v>3.7014200000000002</c:v>
                </c:pt>
                <c:pt idx="13">
                  <c:v>3.6461399999999999</c:v>
                </c:pt>
                <c:pt idx="14">
                  <c:v>3.59694</c:v>
                </c:pt>
                <c:pt idx="15">
                  <c:v>3.5521399999999996</c:v>
                </c:pt>
                <c:pt idx="16">
                  <c:v>3.5169899999999998</c:v>
                </c:pt>
                <c:pt idx="17">
                  <c:v>3.4929999999999999</c:v>
                </c:pt>
                <c:pt idx="18">
                  <c:v>3.4767999999999999</c:v>
                </c:pt>
                <c:pt idx="19">
                  <c:v>3.46949</c:v>
                </c:pt>
                <c:pt idx="20">
                  <c:v>3.4706799999999998</c:v>
                </c:pt>
                <c:pt idx="21">
                  <c:v>3.4776000000000002</c:v>
                </c:pt>
                <c:pt idx="22">
                  <c:v>3.4878</c:v>
                </c:pt>
                <c:pt idx="23">
                  <c:v>3.50143</c:v>
                </c:pt>
                <c:pt idx="24">
                  <c:v>3.52081</c:v>
                </c:pt>
                <c:pt idx="25">
                  <c:v>3.5467500000000003</c:v>
                </c:pt>
                <c:pt idx="26">
                  <c:v>3.5769600000000001</c:v>
                </c:pt>
                <c:pt idx="27">
                  <c:v>3.6080800000000002</c:v>
                </c:pt>
                <c:pt idx="28">
                  <c:v>3.6397699999999999</c:v>
                </c:pt>
                <c:pt idx="29">
                  <c:v>3.6706799999999999</c:v>
                </c:pt>
                <c:pt idx="30">
                  <c:v>3.6966700000000001</c:v>
                </c:pt>
                <c:pt idx="31">
                  <c:v>3.7190400000000001</c:v>
                </c:pt>
                <c:pt idx="32">
                  <c:v>3.7397299999999998</c:v>
                </c:pt>
                <c:pt idx="33">
                  <c:v>3.7613400000000001</c:v>
                </c:pt>
                <c:pt idx="34">
                  <c:v>3.7823200000000003</c:v>
                </c:pt>
                <c:pt idx="35">
                  <c:v>3.7991000000000001</c:v>
                </c:pt>
                <c:pt idx="36">
                  <c:v>3.8124000000000002</c:v>
                </c:pt>
                <c:pt idx="37">
                  <c:v>3.8226700000000005</c:v>
                </c:pt>
                <c:pt idx="38">
                  <c:v>3.8305600000000002</c:v>
                </c:pt>
                <c:pt idx="39">
                  <c:v>3.8372800000000002</c:v>
                </c:pt>
                <c:pt idx="40">
                  <c:v>3.8416099999999997</c:v>
                </c:pt>
                <c:pt idx="41">
                  <c:v>3.8468999999999998</c:v>
                </c:pt>
                <c:pt idx="42">
                  <c:v>3.8494600000000001</c:v>
                </c:pt>
                <c:pt idx="43">
                  <c:v>3.8536700000000002</c:v>
                </c:pt>
                <c:pt idx="44">
                  <c:v>3.8564799999999999</c:v>
                </c:pt>
                <c:pt idx="45">
                  <c:v>3.8569900000000001</c:v>
                </c:pt>
                <c:pt idx="46">
                  <c:v>3.8572499999999996</c:v>
                </c:pt>
                <c:pt idx="47">
                  <c:v>3.8565800000000001</c:v>
                </c:pt>
                <c:pt idx="48">
                  <c:v>3.8536100000000002</c:v>
                </c:pt>
                <c:pt idx="49">
                  <c:v>3.8472400000000002</c:v>
                </c:pt>
                <c:pt idx="50">
                  <c:v>3.8400800000000004</c:v>
                </c:pt>
                <c:pt idx="51">
                  <c:v>3.8266899999999997</c:v>
                </c:pt>
                <c:pt idx="52">
                  <c:v>3.81229</c:v>
                </c:pt>
                <c:pt idx="53">
                  <c:v>3.79765</c:v>
                </c:pt>
                <c:pt idx="54">
                  <c:v>3.7817699999999999</c:v>
                </c:pt>
                <c:pt idx="55">
                  <c:v>3.7697599999999998</c:v>
                </c:pt>
                <c:pt idx="56">
                  <c:v>3.7617000000000003</c:v>
                </c:pt>
                <c:pt idx="57">
                  <c:v>3.7580599999999995</c:v>
                </c:pt>
                <c:pt idx="58">
                  <c:v>3.7541400000000005</c:v>
                </c:pt>
                <c:pt idx="59">
                  <c:v>3.7519200000000001</c:v>
                </c:pt>
                <c:pt idx="60">
                  <c:v>3.7549399999999999</c:v>
                </c:pt>
                <c:pt idx="61">
                  <c:v>3.7624499999999999</c:v>
                </c:pt>
                <c:pt idx="62">
                  <c:v>3.7754799999999999</c:v>
                </c:pt>
                <c:pt idx="63">
                  <c:v>3.7933699999999999</c:v>
                </c:pt>
                <c:pt idx="64">
                  <c:v>3.81237</c:v>
                </c:pt>
                <c:pt idx="65">
                  <c:v>3.8367899999999997</c:v>
                </c:pt>
                <c:pt idx="66">
                  <c:v>3.8521200000000002</c:v>
                </c:pt>
                <c:pt idx="67">
                  <c:v>3.86747</c:v>
                </c:pt>
                <c:pt idx="68">
                  <c:v>3.8752500000000003</c:v>
                </c:pt>
                <c:pt idx="69">
                  <c:v>3.8805000000000001</c:v>
                </c:pt>
                <c:pt idx="70">
                  <c:v>3.8864700000000001</c:v>
                </c:pt>
                <c:pt idx="71">
                  <c:v>3.88537</c:v>
                </c:pt>
                <c:pt idx="72">
                  <c:v>3.8835100000000002</c:v>
                </c:pt>
                <c:pt idx="73">
                  <c:v>3.8967800000000001</c:v>
                </c:pt>
                <c:pt idx="74">
                  <c:v>3.9226200000000002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14.934275</c:v>
                </c:pt>
                <c:pt idx="1">
                  <c:v>44.802824999999999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3.634146486486487</c:v>
                </c:pt>
                <c:pt idx="1">
                  <c:v>3.7784986486486485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0.381606</c:v>
                </c:pt>
                <c:pt idx="2">
                  <c:v>0.78512199999999999</c:v>
                </c:pt>
                <c:pt idx="3">
                  <c:v>1.19347</c:v>
                </c:pt>
                <c:pt idx="4">
                  <c:v>1.59859</c:v>
                </c:pt>
                <c:pt idx="5">
                  <c:v>2.0063200000000001</c:v>
                </c:pt>
                <c:pt idx="6">
                  <c:v>2.41039</c:v>
                </c:pt>
                <c:pt idx="7">
                  <c:v>2.8181699999999998</c:v>
                </c:pt>
                <c:pt idx="8">
                  <c:v>3.22506</c:v>
                </c:pt>
                <c:pt idx="9">
                  <c:v>3.6318199999999998</c:v>
                </c:pt>
                <c:pt idx="10">
                  <c:v>4.0388400000000004</c:v>
                </c:pt>
                <c:pt idx="11">
                  <c:v>4.4457199999999997</c:v>
                </c:pt>
                <c:pt idx="12">
                  <c:v>4.8516500000000002</c:v>
                </c:pt>
                <c:pt idx="13">
                  <c:v>5.2545900000000003</c:v>
                </c:pt>
                <c:pt idx="14">
                  <c:v>5.6626300000000001</c:v>
                </c:pt>
                <c:pt idx="15">
                  <c:v>6.0674400000000004</c:v>
                </c:pt>
                <c:pt idx="16">
                  <c:v>6.4723300000000004</c:v>
                </c:pt>
                <c:pt idx="17">
                  <c:v>6.8784000000000001</c:v>
                </c:pt>
                <c:pt idx="18">
                  <c:v>7.28918</c:v>
                </c:pt>
                <c:pt idx="19">
                  <c:v>7.6950900000000004</c:v>
                </c:pt>
                <c:pt idx="20">
                  <c:v>8.1000599999999991</c:v>
                </c:pt>
                <c:pt idx="21">
                  <c:v>8.5071200000000005</c:v>
                </c:pt>
                <c:pt idx="22">
                  <c:v>8.9130099999999999</c:v>
                </c:pt>
                <c:pt idx="23">
                  <c:v>9.3167399999999994</c:v>
                </c:pt>
                <c:pt idx="24">
                  <c:v>9.7265999999999995</c:v>
                </c:pt>
                <c:pt idx="25">
                  <c:v>10.131500000000001</c:v>
                </c:pt>
                <c:pt idx="26">
                  <c:v>10.5345</c:v>
                </c:pt>
                <c:pt idx="27">
                  <c:v>10.9421</c:v>
                </c:pt>
                <c:pt idx="28">
                  <c:v>11.3528</c:v>
                </c:pt>
                <c:pt idx="29">
                  <c:v>11.7582</c:v>
                </c:pt>
                <c:pt idx="30">
                  <c:v>12.164099999999999</c:v>
                </c:pt>
                <c:pt idx="31">
                  <c:v>12.5661</c:v>
                </c:pt>
                <c:pt idx="32">
                  <c:v>12.974500000000001</c:v>
                </c:pt>
                <c:pt idx="33">
                  <c:v>13.382999999999999</c:v>
                </c:pt>
                <c:pt idx="34">
                  <c:v>13.7897</c:v>
                </c:pt>
                <c:pt idx="35">
                  <c:v>14.1967</c:v>
                </c:pt>
                <c:pt idx="36">
                  <c:v>14.601599999999999</c:v>
                </c:pt>
                <c:pt idx="37">
                  <c:v>15.006600000000001</c:v>
                </c:pt>
                <c:pt idx="38">
                  <c:v>15.413399999999999</c:v>
                </c:pt>
                <c:pt idx="39">
                  <c:v>15.8164</c:v>
                </c:pt>
                <c:pt idx="40">
                  <c:v>16.226299999999998</c:v>
                </c:pt>
                <c:pt idx="41">
                  <c:v>16.635200000000001</c:v>
                </c:pt>
                <c:pt idx="42">
                  <c:v>17.040099999999999</c:v>
                </c:pt>
                <c:pt idx="43">
                  <c:v>17.443100000000001</c:v>
                </c:pt>
                <c:pt idx="44">
                  <c:v>17.8489</c:v>
                </c:pt>
                <c:pt idx="45">
                  <c:v>18.256799999999998</c:v>
                </c:pt>
                <c:pt idx="46">
                  <c:v>18.6647</c:v>
                </c:pt>
                <c:pt idx="47">
                  <c:v>19.070599999999999</c:v>
                </c:pt>
                <c:pt idx="48">
                  <c:v>19.476600000000001</c:v>
                </c:pt>
                <c:pt idx="49">
                  <c:v>19.880500000000001</c:v>
                </c:pt>
                <c:pt idx="50">
                  <c:v>20.284600000000001</c:v>
                </c:pt>
                <c:pt idx="51">
                  <c:v>20.694299999999998</c:v>
                </c:pt>
                <c:pt idx="52">
                  <c:v>21.1035</c:v>
                </c:pt>
                <c:pt idx="53">
                  <c:v>21.508099999999999</c:v>
                </c:pt>
                <c:pt idx="54">
                  <c:v>21.9131</c:v>
                </c:pt>
                <c:pt idx="55">
                  <c:v>22.318200000000001</c:v>
                </c:pt>
                <c:pt idx="56">
                  <c:v>22.726900000000001</c:v>
                </c:pt>
                <c:pt idx="57">
                  <c:v>23.133800000000001</c:v>
                </c:pt>
                <c:pt idx="58">
                  <c:v>23.537700000000001</c:v>
                </c:pt>
                <c:pt idx="59">
                  <c:v>23.944600000000001</c:v>
                </c:pt>
                <c:pt idx="60">
                  <c:v>24.349900000000002</c:v>
                </c:pt>
                <c:pt idx="61">
                  <c:v>24.758400000000002</c:v>
                </c:pt>
                <c:pt idx="62">
                  <c:v>25.1614</c:v>
                </c:pt>
                <c:pt idx="63">
                  <c:v>25.568200000000001</c:v>
                </c:pt>
                <c:pt idx="64">
                  <c:v>25.975200000000001</c:v>
                </c:pt>
                <c:pt idx="65">
                  <c:v>26.383500000000002</c:v>
                </c:pt>
                <c:pt idx="66">
                  <c:v>26.786200000000001</c:v>
                </c:pt>
                <c:pt idx="67">
                  <c:v>27.1919</c:v>
                </c:pt>
                <c:pt idx="68">
                  <c:v>27.599799999999998</c:v>
                </c:pt>
                <c:pt idx="69">
                  <c:v>28.0078</c:v>
                </c:pt>
                <c:pt idx="70">
                  <c:v>28.412700000000001</c:v>
                </c:pt>
                <c:pt idx="71">
                  <c:v>28.819700000000001</c:v>
                </c:pt>
                <c:pt idx="72">
                  <c:v>29.2226</c:v>
                </c:pt>
                <c:pt idx="73">
                  <c:v>29.63</c:v>
                </c:pt>
                <c:pt idx="74">
                  <c:v>30.0426</c:v>
                </c:pt>
                <c:pt idx="75">
                  <c:v>30.6127</c:v>
                </c:pt>
                <c:pt idx="76">
                  <c:v>30.989899999999999</c:v>
                </c:pt>
                <c:pt idx="77">
                  <c:v>31.366800000000001</c:v>
                </c:pt>
                <c:pt idx="78">
                  <c:v>31.744800000000001</c:v>
                </c:pt>
                <c:pt idx="79">
                  <c:v>32.114699999999999</c:v>
                </c:pt>
                <c:pt idx="80">
                  <c:v>32.519799999999996</c:v>
                </c:pt>
                <c:pt idx="81">
                  <c:v>32.9268</c:v>
                </c:pt>
                <c:pt idx="82">
                  <c:v>33.334499999999998</c:v>
                </c:pt>
                <c:pt idx="83">
                  <c:v>33.7408</c:v>
                </c:pt>
                <c:pt idx="84">
                  <c:v>34.150399999999998</c:v>
                </c:pt>
                <c:pt idx="85">
                  <c:v>34.5563</c:v>
                </c:pt>
                <c:pt idx="86">
                  <c:v>34.9602</c:v>
                </c:pt>
                <c:pt idx="87">
                  <c:v>35.365200000000002</c:v>
                </c:pt>
                <c:pt idx="88">
                  <c:v>35.771799999999999</c:v>
                </c:pt>
                <c:pt idx="89">
                  <c:v>36.174900000000001</c:v>
                </c:pt>
                <c:pt idx="90">
                  <c:v>36.584800000000001</c:v>
                </c:pt>
                <c:pt idx="91">
                  <c:v>36.990699999999997</c:v>
                </c:pt>
                <c:pt idx="92">
                  <c:v>37.394599999999997</c:v>
                </c:pt>
                <c:pt idx="93">
                  <c:v>37.801499999999997</c:v>
                </c:pt>
                <c:pt idx="94">
                  <c:v>38.206200000000003</c:v>
                </c:pt>
                <c:pt idx="95">
                  <c:v>38.617400000000004</c:v>
                </c:pt>
                <c:pt idx="96">
                  <c:v>39.024299999999997</c:v>
                </c:pt>
                <c:pt idx="97">
                  <c:v>39.428199999999997</c:v>
                </c:pt>
                <c:pt idx="98">
                  <c:v>39.834099999999999</c:v>
                </c:pt>
                <c:pt idx="99">
                  <c:v>40.241</c:v>
                </c:pt>
                <c:pt idx="100">
                  <c:v>40.648000000000003</c:v>
                </c:pt>
                <c:pt idx="101">
                  <c:v>41.054900000000004</c:v>
                </c:pt>
                <c:pt idx="102">
                  <c:v>41.459800000000001</c:v>
                </c:pt>
                <c:pt idx="103">
                  <c:v>41.865699999999997</c:v>
                </c:pt>
                <c:pt idx="104">
                  <c:v>42.271799999999999</c:v>
                </c:pt>
                <c:pt idx="105">
                  <c:v>42.679499999999997</c:v>
                </c:pt>
                <c:pt idx="106">
                  <c:v>43.086599999999997</c:v>
                </c:pt>
                <c:pt idx="107">
                  <c:v>43.491999999999997</c:v>
                </c:pt>
                <c:pt idx="108">
                  <c:v>43.899299999999997</c:v>
                </c:pt>
                <c:pt idx="109">
                  <c:v>44.305399999999999</c:v>
                </c:pt>
                <c:pt idx="110">
                  <c:v>44.715600000000002</c:v>
                </c:pt>
                <c:pt idx="111">
                  <c:v>45.1205</c:v>
                </c:pt>
                <c:pt idx="112">
                  <c:v>45.526299999999999</c:v>
                </c:pt>
                <c:pt idx="113">
                  <c:v>45.931100000000001</c:v>
                </c:pt>
                <c:pt idx="114">
                  <c:v>46.338799999999999</c:v>
                </c:pt>
                <c:pt idx="115">
                  <c:v>46.741599999999998</c:v>
                </c:pt>
                <c:pt idx="116">
                  <c:v>47.144599999999997</c:v>
                </c:pt>
                <c:pt idx="117">
                  <c:v>47.550699999999999</c:v>
                </c:pt>
                <c:pt idx="118">
                  <c:v>47.961399999999998</c:v>
                </c:pt>
                <c:pt idx="119">
                  <c:v>48.3626</c:v>
                </c:pt>
                <c:pt idx="120">
                  <c:v>48.772199999999998</c:v>
                </c:pt>
                <c:pt idx="121">
                  <c:v>49.178100000000001</c:v>
                </c:pt>
                <c:pt idx="122">
                  <c:v>49.584200000000003</c:v>
                </c:pt>
                <c:pt idx="123">
                  <c:v>49.991599999999998</c:v>
                </c:pt>
                <c:pt idx="124">
                  <c:v>50.398899999999998</c:v>
                </c:pt>
                <c:pt idx="125">
                  <c:v>50.803199999999997</c:v>
                </c:pt>
                <c:pt idx="126">
                  <c:v>51.2087</c:v>
                </c:pt>
                <c:pt idx="127">
                  <c:v>51.615699999999997</c:v>
                </c:pt>
                <c:pt idx="128">
                  <c:v>52.0227</c:v>
                </c:pt>
                <c:pt idx="129">
                  <c:v>52.433599999999998</c:v>
                </c:pt>
                <c:pt idx="130">
                  <c:v>52.833399999999997</c:v>
                </c:pt>
                <c:pt idx="131">
                  <c:v>53.241500000000002</c:v>
                </c:pt>
                <c:pt idx="132">
                  <c:v>53.649500000000003</c:v>
                </c:pt>
                <c:pt idx="133">
                  <c:v>54.054099999999998</c:v>
                </c:pt>
                <c:pt idx="134">
                  <c:v>54.461399999999998</c:v>
                </c:pt>
                <c:pt idx="135">
                  <c:v>54.867100000000001</c:v>
                </c:pt>
                <c:pt idx="136">
                  <c:v>55.293900000000001</c:v>
                </c:pt>
                <c:pt idx="137">
                  <c:v>55.683700000000002</c:v>
                </c:pt>
                <c:pt idx="138">
                  <c:v>56.084099999999999</c:v>
                </c:pt>
                <c:pt idx="139">
                  <c:v>56.488599999999998</c:v>
                </c:pt>
                <c:pt idx="140">
                  <c:v>56.897599999999997</c:v>
                </c:pt>
                <c:pt idx="141">
                  <c:v>57.3035</c:v>
                </c:pt>
                <c:pt idx="142">
                  <c:v>57.708300000000001</c:v>
                </c:pt>
                <c:pt idx="143">
                  <c:v>58.116199999999999</c:v>
                </c:pt>
                <c:pt idx="144">
                  <c:v>58.522399999999998</c:v>
                </c:pt>
                <c:pt idx="145">
                  <c:v>58.927700000000002</c:v>
                </c:pt>
                <c:pt idx="146">
                  <c:v>59.335000000000001</c:v>
                </c:pt>
                <c:pt idx="147">
                  <c:v>59.737099999999998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63.871500000000005</c:v>
                </c:pt>
                <c:pt idx="1">
                  <c:v>63.349200000000003</c:v>
                </c:pt>
                <c:pt idx="2">
                  <c:v>62.910200000000003</c:v>
                </c:pt>
                <c:pt idx="3">
                  <c:v>62.437200000000004</c:v>
                </c:pt>
                <c:pt idx="4">
                  <c:v>61.981200000000001</c:v>
                </c:pt>
                <c:pt idx="5">
                  <c:v>61.669799999999995</c:v>
                </c:pt>
                <c:pt idx="6">
                  <c:v>61.481300000000005</c:v>
                </c:pt>
                <c:pt idx="7">
                  <c:v>61.333400000000005</c:v>
                </c:pt>
                <c:pt idx="8">
                  <c:v>61.126899999999992</c:v>
                </c:pt>
                <c:pt idx="9">
                  <c:v>60.852200000000003</c:v>
                </c:pt>
                <c:pt idx="10">
                  <c:v>60.428400000000003</c:v>
                </c:pt>
                <c:pt idx="11">
                  <c:v>59.8384</c:v>
                </c:pt>
                <c:pt idx="12">
                  <c:v>58.984800000000007</c:v>
                </c:pt>
                <c:pt idx="13">
                  <c:v>57.996299999999998</c:v>
                </c:pt>
                <c:pt idx="14">
                  <c:v>56.921999999999997</c:v>
                </c:pt>
                <c:pt idx="15">
                  <c:v>55.887799999999999</c:v>
                </c:pt>
                <c:pt idx="16">
                  <c:v>54.788899999999998</c:v>
                </c:pt>
                <c:pt idx="17">
                  <c:v>53.696999999999996</c:v>
                </c:pt>
                <c:pt idx="18">
                  <c:v>52.651099999999992</c:v>
                </c:pt>
                <c:pt idx="19">
                  <c:v>51.811500000000002</c:v>
                </c:pt>
                <c:pt idx="20">
                  <c:v>51.166500000000006</c:v>
                </c:pt>
                <c:pt idx="21">
                  <c:v>50.861199999999997</c:v>
                </c:pt>
                <c:pt idx="22">
                  <c:v>50.762500000000003</c:v>
                </c:pt>
                <c:pt idx="23">
                  <c:v>50.783299999999997</c:v>
                </c:pt>
                <c:pt idx="24">
                  <c:v>50.77</c:v>
                </c:pt>
                <c:pt idx="25">
                  <c:v>50.797699999999999</c:v>
                </c:pt>
                <c:pt idx="26">
                  <c:v>50.9069</c:v>
                </c:pt>
                <c:pt idx="27">
                  <c:v>51.001700000000007</c:v>
                </c:pt>
                <c:pt idx="28">
                  <c:v>51.103600000000007</c:v>
                </c:pt>
                <c:pt idx="29">
                  <c:v>51.213799999999999</c:v>
                </c:pt>
                <c:pt idx="30">
                  <c:v>51.3551</c:v>
                </c:pt>
                <c:pt idx="31">
                  <c:v>51.509300000000003</c:v>
                </c:pt>
                <c:pt idx="32">
                  <c:v>51.627400000000002</c:v>
                </c:pt>
                <c:pt idx="33">
                  <c:v>51.738300000000002</c:v>
                </c:pt>
                <c:pt idx="34">
                  <c:v>51.812400000000004</c:v>
                </c:pt>
                <c:pt idx="35">
                  <c:v>51.772500000000001</c:v>
                </c:pt>
                <c:pt idx="36">
                  <c:v>51.624600000000001</c:v>
                </c:pt>
                <c:pt idx="37">
                  <c:v>51.449399999999997</c:v>
                </c:pt>
                <c:pt idx="38">
                  <c:v>51.273100000000007</c:v>
                </c:pt>
                <c:pt idx="39">
                  <c:v>51.072399999999995</c:v>
                </c:pt>
                <c:pt idx="40">
                  <c:v>50.841700000000003</c:v>
                </c:pt>
                <c:pt idx="41">
                  <c:v>50.682499999999997</c:v>
                </c:pt>
                <c:pt idx="42">
                  <c:v>50.572300000000006</c:v>
                </c:pt>
                <c:pt idx="43">
                  <c:v>50.517100000000006</c:v>
                </c:pt>
                <c:pt idx="44">
                  <c:v>50.531700000000001</c:v>
                </c:pt>
                <c:pt idx="45">
                  <c:v>50.624899999999997</c:v>
                </c:pt>
                <c:pt idx="46">
                  <c:v>50.662600000000005</c:v>
                </c:pt>
                <c:pt idx="47">
                  <c:v>50.612900000000003</c:v>
                </c:pt>
                <c:pt idx="48">
                  <c:v>50.593600000000002</c:v>
                </c:pt>
                <c:pt idx="49">
                  <c:v>50.675699999999999</c:v>
                </c:pt>
                <c:pt idx="50">
                  <c:v>50.764699999999998</c:v>
                </c:pt>
                <c:pt idx="51">
                  <c:v>50.780899999999995</c:v>
                </c:pt>
                <c:pt idx="52">
                  <c:v>50.7652</c:v>
                </c:pt>
                <c:pt idx="53">
                  <c:v>50.621099999999998</c:v>
                </c:pt>
                <c:pt idx="54">
                  <c:v>50.342500000000001</c:v>
                </c:pt>
                <c:pt idx="55">
                  <c:v>49.902200000000001</c:v>
                </c:pt>
                <c:pt idx="56">
                  <c:v>49.020200000000003</c:v>
                </c:pt>
                <c:pt idx="57">
                  <c:v>48.499600000000001</c:v>
                </c:pt>
                <c:pt idx="58">
                  <c:v>48.155200000000001</c:v>
                </c:pt>
                <c:pt idx="59">
                  <c:v>47.270400000000002</c:v>
                </c:pt>
                <c:pt idx="60">
                  <c:v>46.893099999999997</c:v>
                </c:pt>
                <c:pt idx="61">
                  <c:v>46.146799999999999</c:v>
                </c:pt>
                <c:pt idx="62">
                  <c:v>45.827600000000004</c:v>
                </c:pt>
                <c:pt idx="63">
                  <c:v>45.646500000000003</c:v>
                </c:pt>
                <c:pt idx="64">
                  <c:v>45.5379</c:v>
                </c:pt>
                <c:pt idx="65">
                  <c:v>45.637100000000004</c:v>
                </c:pt>
                <c:pt idx="66">
                  <c:v>45.694200000000002</c:v>
                </c:pt>
                <c:pt idx="67">
                  <c:v>45.783099999999997</c:v>
                </c:pt>
                <c:pt idx="68">
                  <c:v>45.830599999999997</c:v>
                </c:pt>
                <c:pt idx="69">
                  <c:v>45.873000000000005</c:v>
                </c:pt>
                <c:pt idx="70">
                  <c:v>45.900100000000002</c:v>
                </c:pt>
                <c:pt idx="71">
                  <c:v>45.947500000000005</c:v>
                </c:pt>
                <c:pt idx="72">
                  <c:v>45.981999999999999</c:v>
                </c:pt>
                <c:pt idx="73">
                  <c:v>45.875</c:v>
                </c:pt>
                <c:pt idx="74">
                  <c:v>45.5336</c:v>
                </c:pt>
                <c:pt idx="75">
                  <c:v>45.183700000000002</c:v>
                </c:pt>
                <c:pt idx="76">
                  <c:v>44.745200000000004</c:v>
                </c:pt>
                <c:pt idx="77">
                  <c:v>44.3309</c:v>
                </c:pt>
                <c:pt idx="78">
                  <c:v>43.959399999999995</c:v>
                </c:pt>
                <c:pt idx="79">
                  <c:v>43.66</c:v>
                </c:pt>
                <c:pt idx="80">
                  <c:v>43.4848</c:v>
                </c:pt>
                <c:pt idx="81">
                  <c:v>43.458300000000001</c:v>
                </c:pt>
                <c:pt idx="82">
                  <c:v>43.542199999999994</c:v>
                </c:pt>
                <c:pt idx="83">
                  <c:v>43.906300000000002</c:v>
                </c:pt>
                <c:pt idx="84">
                  <c:v>44.616399999999999</c:v>
                </c:pt>
                <c:pt idx="85">
                  <c:v>45.61</c:v>
                </c:pt>
                <c:pt idx="86">
                  <c:v>46.880400000000002</c:v>
                </c:pt>
                <c:pt idx="87">
                  <c:v>48.170400000000001</c:v>
                </c:pt>
                <c:pt idx="88">
                  <c:v>49.595800000000004</c:v>
                </c:pt>
                <c:pt idx="89">
                  <c:v>50.868899999999996</c:v>
                </c:pt>
                <c:pt idx="90">
                  <c:v>51.944199999999995</c:v>
                </c:pt>
                <c:pt idx="91">
                  <c:v>52.9054</c:v>
                </c:pt>
                <c:pt idx="92">
                  <c:v>53.758099999999999</c:v>
                </c:pt>
                <c:pt idx="93">
                  <c:v>54.386199999999995</c:v>
                </c:pt>
                <c:pt idx="94">
                  <c:v>54.821899999999999</c:v>
                </c:pt>
                <c:pt idx="95">
                  <c:v>55.124899999999997</c:v>
                </c:pt>
                <c:pt idx="96">
                  <c:v>55.2821</c:v>
                </c:pt>
                <c:pt idx="97">
                  <c:v>55.322899999999997</c:v>
                </c:pt>
                <c:pt idx="98">
                  <c:v>55.272399999999998</c:v>
                </c:pt>
                <c:pt idx="99">
                  <c:v>55.196999999999996</c:v>
                </c:pt>
                <c:pt idx="100">
                  <c:v>55.195999999999998</c:v>
                </c:pt>
                <c:pt idx="101">
                  <c:v>55.239600000000003</c:v>
                </c:pt>
                <c:pt idx="102">
                  <c:v>55.301000000000002</c:v>
                </c:pt>
                <c:pt idx="103">
                  <c:v>55.470500000000001</c:v>
                </c:pt>
                <c:pt idx="104">
                  <c:v>55.739700000000006</c:v>
                </c:pt>
                <c:pt idx="105">
                  <c:v>56.015300000000003</c:v>
                </c:pt>
                <c:pt idx="106">
                  <c:v>56.292200000000001</c:v>
                </c:pt>
                <c:pt idx="107">
                  <c:v>56.528300000000002</c:v>
                </c:pt>
                <c:pt idx="108">
                  <c:v>56.706100000000006</c:v>
                </c:pt>
                <c:pt idx="109">
                  <c:v>56.7986</c:v>
                </c:pt>
                <c:pt idx="110">
                  <c:v>56.799799999999998</c:v>
                </c:pt>
                <c:pt idx="111">
                  <c:v>56.710999999999999</c:v>
                </c:pt>
                <c:pt idx="112">
                  <c:v>56.588099999999997</c:v>
                </c:pt>
                <c:pt idx="113">
                  <c:v>56.437199999999997</c:v>
                </c:pt>
                <c:pt idx="114">
                  <c:v>56.266300000000001</c:v>
                </c:pt>
                <c:pt idx="115">
                  <c:v>56.057699999999997</c:v>
                </c:pt>
                <c:pt idx="116">
                  <c:v>55.751799999999996</c:v>
                </c:pt>
                <c:pt idx="117">
                  <c:v>55.398699999999998</c:v>
                </c:pt>
                <c:pt idx="118">
                  <c:v>55.043200000000006</c:v>
                </c:pt>
                <c:pt idx="119">
                  <c:v>54.679000000000002</c:v>
                </c:pt>
                <c:pt idx="120">
                  <c:v>54.325800000000001</c:v>
                </c:pt>
                <c:pt idx="121">
                  <c:v>54.014200000000002</c:v>
                </c:pt>
                <c:pt idx="122">
                  <c:v>53.738699999999994</c:v>
                </c:pt>
                <c:pt idx="123">
                  <c:v>53.477200000000003</c:v>
                </c:pt>
                <c:pt idx="124">
                  <c:v>53.349000000000004</c:v>
                </c:pt>
                <c:pt idx="125">
                  <c:v>53.212699999999998</c:v>
                </c:pt>
                <c:pt idx="126">
                  <c:v>53.104500000000002</c:v>
                </c:pt>
                <c:pt idx="127">
                  <c:v>53.056499999999993</c:v>
                </c:pt>
                <c:pt idx="128">
                  <c:v>52.957200000000007</c:v>
                </c:pt>
                <c:pt idx="129">
                  <c:v>52.770399999999995</c:v>
                </c:pt>
                <c:pt idx="130">
                  <c:v>52.574399999999997</c:v>
                </c:pt>
                <c:pt idx="131">
                  <c:v>52.401299999999992</c:v>
                </c:pt>
                <c:pt idx="132">
                  <c:v>52.259199999999993</c:v>
                </c:pt>
                <c:pt idx="133">
                  <c:v>52.160700000000006</c:v>
                </c:pt>
                <c:pt idx="134">
                  <c:v>52.041899999999998</c:v>
                </c:pt>
                <c:pt idx="135">
                  <c:v>51.962899999999998</c:v>
                </c:pt>
                <c:pt idx="136">
                  <c:v>51.9985</c:v>
                </c:pt>
                <c:pt idx="137">
                  <c:v>52.027900000000002</c:v>
                </c:pt>
                <c:pt idx="138">
                  <c:v>51.983900000000006</c:v>
                </c:pt>
                <c:pt idx="139">
                  <c:v>51.800699999999999</c:v>
                </c:pt>
                <c:pt idx="140">
                  <c:v>51.561800000000005</c:v>
                </c:pt>
                <c:pt idx="141">
                  <c:v>51.387300000000003</c:v>
                </c:pt>
                <c:pt idx="142">
                  <c:v>51.261199999999995</c:v>
                </c:pt>
                <c:pt idx="143">
                  <c:v>51.147100000000002</c:v>
                </c:pt>
                <c:pt idx="144">
                  <c:v>51.196399999999997</c:v>
                </c:pt>
                <c:pt idx="145">
                  <c:v>51.270600000000002</c:v>
                </c:pt>
                <c:pt idx="146">
                  <c:v>51.193100000000001</c:v>
                </c:pt>
                <c:pt idx="147">
                  <c:v>50.893000000000001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0.381606</c:v>
                </c:pt>
                <c:pt idx="2">
                  <c:v>0.78512199999999999</c:v>
                </c:pt>
                <c:pt idx="3">
                  <c:v>1.19347</c:v>
                </c:pt>
                <c:pt idx="4">
                  <c:v>1.59859</c:v>
                </c:pt>
                <c:pt idx="5">
                  <c:v>2.0063200000000001</c:v>
                </c:pt>
                <c:pt idx="6">
                  <c:v>2.41039</c:v>
                </c:pt>
                <c:pt idx="7">
                  <c:v>2.8181699999999998</c:v>
                </c:pt>
                <c:pt idx="8">
                  <c:v>3.22506</c:v>
                </c:pt>
                <c:pt idx="9">
                  <c:v>3.6318199999999998</c:v>
                </c:pt>
                <c:pt idx="10">
                  <c:v>4.0388400000000004</c:v>
                </c:pt>
                <c:pt idx="11">
                  <c:v>4.4457199999999997</c:v>
                </c:pt>
                <c:pt idx="12">
                  <c:v>4.8516500000000002</c:v>
                </c:pt>
                <c:pt idx="13">
                  <c:v>5.2545900000000003</c:v>
                </c:pt>
                <c:pt idx="14">
                  <c:v>5.6626300000000001</c:v>
                </c:pt>
                <c:pt idx="15">
                  <c:v>6.0674400000000004</c:v>
                </c:pt>
                <c:pt idx="16">
                  <c:v>6.4723300000000004</c:v>
                </c:pt>
                <c:pt idx="17">
                  <c:v>6.8784000000000001</c:v>
                </c:pt>
                <c:pt idx="18">
                  <c:v>7.28918</c:v>
                </c:pt>
                <c:pt idx="19">
                  <c:v>7.6950900000000004</c:v>
                </c:pt>
                <c:pt idx="20">
                  <c:v>8.1000599999999991</c:v>
                </c:pt>
                <c:pt idx="21">
                  <c:v>8.5071200000000005</c:v>
                </c:pt>
                <c:pt idx="22">
                  <c:v>8.9130099999999999</c:v>
                </c:pt>
                <c:pt idx="23">
                  <c:v>9.3167399999999994</c:v>
                </c:pt>
                <c:pt idx="24">
                  <c:v>9.7265999999999995</c:v>
                </c:pt>
                <c:pt idx="25">
                  <c:v>10.131500000000001</c:v>
                </c:pt>
                <c:pt idx="26">
                  <c:v>10.5345</c:v>
                </c:pt>
                <c:pt idx="27">
                  <c:v>10.9421</c:v>
                </c:pt>
                <c:pt idx="28">
                  <c:v>11.3528</c:v>
                </c:pt>
                <c:pt idx="29">
                  <c:v>11.7582</c:v>
                </c:pt>
                <c:pt idx="30">
                  <c:v>12.164099999999999</c:v>
                </c:pt>
                <c:pt idx="31">
                  <c:v>12.5661</c:v>
                </c:pt>
                <c:pt idx="32">
                  <c:v>12.974500000000001</c:v>
                </c:pt>
                <c:pt idx="33">
                  <c:v>13.382999999999999</c:v>
                </c:pt>
                <c:pt idx="34">
                  <c:v>13.7897</c:v>
                </c:pt>
                <c:pt idx="35">
                  <c:v>14.1967</c:v>
                </c:pt>
                <c:pt idx="36">
                  <c:v>14.601599999999999</c:v>
                </c:pt>
                <c:pt idx="37">
                  <c:v>15.006600000000001</c:v>
                </c:pt>
                <c:pt idx="38">
                  <c:v>15.413399999999999</c:v>
                </c:pt>
                <c:pt idx="39">
                  <c:v>15.8164</c:v>
                </c:pt>
                <c:pt idx="40">
                  <c:v>16.226299999999998</c:v>
                </c:pt>
                <c:pt idx="41">
                  <c:v>16.635200000000001</c:v>
                </c:pt>
                <c:pt idx="42">
                  <c:v>17.040099999999999</c:v>
                </c:pt>
                <c:pt idx="43">
                  <c:v>17.443100000000001</c:v>
                </c:pt>
                <c:pt idx="44">
                  <c:v>17.8489</c:v>
                </c:pt>
                <c:pt idx="45">
                  <c:v>18.256799999999998</c:v>
                </c:pt>
                <c:pt idx="46">
                  <c:v>18.6647</c:v>
                </c:pt>
                <c:pt idx="47">
                  <c:v>19.070599999999999</c:v>
                </c:pt>
                <c:pt idx="48">
                  <c:v>19.476600000000001</c:v>
                </c:pt>
                <c:pt idx="49">
                  <c:v>19.880500000000001</c:v>
                </c:pt>
                <c:pt idx="50">
                  <c:v>20.284600000000001</c:v>
                </c:pt>
                <c:pt idx="51">
                  <c:v>20.694299999999998</c:v>
                </c:pt>
                <c:pt idx="52">
                  <c:v>21.1035</c:v>
                </c:pt>
                <c:pt idx="53">
                  <c:v>21.508099999999999</c:v>
                </c:pt>
                <c:pt idx="54">
                  <c:v>21.9131</c:v>
                </c:pt>
                <c:pt idx="55">
                  <c:v>22.318200000000001</c:v>
                </c:pt>
                <c:pt idx="56">
                  <c:v>22.726900000000001</c:v>
                </c:pt>
                <c:pt idx="57">
                  <c:v>23.133800000000001</c:v>
                </c:pt>
                <c:pt idx="58">
                  <c:v>23.537700000000001</c:v>
                </c:pt>
                <c:pt idx="59">
                  <c:v>23.944600000000001</c:v>
                </c:pt>
                <c:pt idx="60">
                  <c:v>24.349900000000002</c:v>
                </c:pt>
                <c:pt idx="61">
                  <c:v>24.758400000000002</c:v>
                </c:pt>
                <c:pt idx="62">
                  <c:v>25.1614</c:v>
                </c:pt>
                <c:pt idx="63">
                  <c:v>25.568200000000001</c:v>
                </c:pt>
                <c:pt idx="64">
                  <c:v>25.975200000000001</c:v>
                </c:pt>
                <c:pt idx="65">
                  <c:v>26.383500000000002</c:v>
                </c:pt>
                <c:pt idx="66">
                  <c:v>26.786200000000001</c:v>
                </c:pt>
                <c:pt idx="67">
                  <c:v>27.1919</c:v>
                </c:pt>
                <c:pt idx="68">
                  <c:v>27.599799999999998</c:v>
                </c:pt>
                <c:pt idx="69">
                  <c:v>28.0078</c:v>
                </c:pt>
                <c:pt idx="70">
                  <c:v>28.412700000000001</c:v>
                </c:pt>
                <c:pt idx="71">
                  <c:v>28.819700000000001</c:v>
                </c:pt>
                <c:pt idx="72">
                  <c:v>29.2226</c:v>
                </c:pt>
                <c:pt idx="73">
                  <c:v>29.63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63.871500000000005</c:v>
                </c:pt>
                <c:pt idx="1">
                  <c:v>63.349200000000003</c:v>
                </c:pt>
                <c:pt idx="2">
                  <c:v>62.910200000000003</c:v>
                </c:pt>
                <c:pt idx="3">
                  <c:v>62.437200000000004</c:v>
                </c:pt>
                <c:pt idx="4">
                  <c:v>61.981200000000001</c:v>
                </c:pt>
                <c:pt idx="5">
                  <c:v>61.669799999999995</c:v>
                </c:pt>
                <c:pt idx="6">
                  <c:v>61.481300000000005</c:v>
                </c:pt>
                <c:pt idx="7">
                  <c:v>61.333400000000005</c:v>
                </c:pt>
                <c:pt idx="8">
                  <c:v>61.126899999999992</c:v>
                </c:pt>
                <c:pt idx="9">
                  <c:v>60.852200000000003</c:v>
                </c:pt>
                <c:pt idx="10">
                  <c:v>60.428400000000003</c:v>
                </c:pt>
                <c:pt idx="11">
                  <c:v>59.8384</c:v>
                </c:pt>
                <c:pt idx="12">
                  <c:v>58.984800000000007</c:v>
                </c:pt>
                <c:pt idx="13">
                  <c:v>57.996299999999998</c:v>
                </c:pt>
                <c:pt idx="14">
                  <c:v>56.921999999999997</c:v>
                </c:pt>
                <c:pt idx="15">
                  <c:v>55.887799999999999</c:v>
                </c:pt>
                <c:pt idx="16">
                  <c:v>54.788899999999998</c:v>
                </c:pt>
                <c:pt idx="17">
                  <c:v>53.696999999999996</c:v>
                </c:pt>
                <c:pt idx="18">
                  <c:v>52.651099999999992</c:v>
                </c:pt>
                <c:pt idx="19">
                  <c:v>51.811500000000002</c:v>
                </c:pt>
                <c:pt idx="20">
                  <c:v>51.166500000000006</c:v>
                </c:pt>
                <c:pt idx="21">
                  <c:v>50.861199999999997</c:v>
                </c:pt>
                <c:pt idx="22">
                  <c:v>50.762500000000003</c:v>
                </c:pt>
                <c:pt idx="23">
                  <c:v>50.783299999999997</c:v>
                </c:pt>
                <c:pt idx="24">
                  <c:v>50.77</c:v>
                </c:pt>
                <c:pt idx="25">
                  <c:v>50.797699999999999</c:v>
                </c:pt>
                <c:pt idx="26">
                  <c:v>50.9069</c:v>
                </c:pt>
                <c:pt idx="27">
                  <c:v>51.001700000000007</c:v>
                </c:pt>
                <c:pt idx="28">
                  <c:v>51.103600000000007</c:v>
                </c:pt>
                <c:pt idx="29">
                  <c:v>51.213799999999999</c:v>
                </c:pt>
                <c:pt idx="30">
                  <c:v>51.3551</c:v>
                </c:pt>
                <c:pt idx="31">
                  <c:v>51.509300000000003</c:v>
                </c:pt>
                <c:pt idx="32">
                  <c:v>51.627400000000002</c:v>
                </c:pt>
                <c:pt idx="33">
                  <c:v>51.738300000000002</c:v>
                </c:pt>
                <c:pt idx="34">
                  <c:v>51.812400000000004</c:v>
                </c:pt>
                <c:pt idx="35">
                  <c:v>51.772500000000001</c:v>
                </c:pt>
                <c:pt idx="36">
                  <c:v>51.624600000000001</c:v>
                </c:pt>
                <c:pt idx="37">
                  <c:v>51.449399999999997</c:v>
                </c:pt>
                <c:pt idx="38">
                  <c:v>51.273100000000007</c:v>
                </c:pt>
                <c:pt idx="39">
                  <c:v>51.072399999999995</c:v>
                </c:pt>
                <c:pt idx="40">
                  <c:v>50.841700000000003</c:v>
                </c:pt>
                <c:pt idx="41">
                  <c:v>50.682499999999997</c:v>
                </c:pt>
                <c:pt idx="42">
                  <c:v>50.572300000000006</c:v>
                </c:pt>
                <c:pt idx="43">
                  <c:v>50.517100000000006</c:v>
                </c:pt>
                <c:pt idx="44">
                  <c:v>50.531700000000001</c:v>
                </c:pt>
                <c:pt idx="45">
                  <c:v>50.624899999999997</c:v>
                </c:pt>
                <c:pt idx="46">
                  <c:v>50.662600000000005</c:v>
                </c:pt>
                <c:pt idx="47">
                  <c:v>50.612900000000003</c:v>
                </c:pt>
                <c:pt idx="48">
                  <c:v>50.593600000000002</c:v>
                </c:pt>
                <c:pt idx="49">
                  <c:v>50.675699999999999</c:v>
                </c:pt>
                <c:pt idx="50">
                  <c:v>50.764699999999998</c:v>
                </c:pt>
                <c:pt idx="51">
                  <c:v>50.780899999999995</c:v>
                </c:pt>
                <c:pt idx="52">
                  <c:v>50.7652</c:v>
                </c:pt>
                <c:pt idx="53">
                  <c:v>50.621099999999998</c:v>
                </c:pt>
                <c:pt idx="54">
                  <c:v>50.342500000000001</c:v>
                </c:pt>
                <c:pt idx="55">
                  <c:v>49.902200000000001</c:v>
                </c:pt>
                <c:pt idx="56">
                  <c:v>49.020200000000003</c:v>
                </c:pt>
                <c:pt idx="57">
                  <c:v>48.499600000000001</c:v>
                </c:pt>
                <c:pt idx="58">
                  <c:v>48.155200000000001</c:v>
                </c:pt>
                <c:pt idx="59">
                  <c:v>47.270400000000002</c:v>
                </c:pt>
                <c:pt idx="60">
                  <c:v>46.893099999999997</c:v>
                </c:pt>
                <c:pt idx="61">
                  <c:v>46.146799999999999</c:v>
                </c:pt>
                <c:pt idx="62">
                  <c:v>45.827600000000004</c:v>
                </c:pt>
                <c:pt idx="63">
                  <c:v>45.646500000000003</c:v>
                </c:pt>
                <c:pt idx="64">
                  <c:v>45.5379</c:v>
                </c:pt>
                <c:pt idx="65">
                  <c:v>45.637100000000004</c:v>
                </c:pt>
                <c:pt idx="66">
                  <c:v>45.694200000000002</c:v>
                </c:pt>
                <c:pt idx="67">
                  <c:v>45.783099999999997</c:v>
                </c:pt>
                <c:pt idx="68">
                  <c:v>45.830599999999997</c:v>
                </c:pt>
                <c:pt idx="69">
                  <c:v>45.873000000000005</c:v>
                </c:pt>
                <c:pt idx="70">
                  <c:v>45.900100000000002</c:v>
                </c:pt>
                <c:pt idx="71">
                  <c:v>45.947500000000005</c:v>
                </c:pt>
                <c:pt idx="72">
                  <c:v>45.981999999999999</c:v>
                </c:pt>
                <c:pt idx="73">
                  <c:v>45.875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29.63</c:v>
                </c:pt>
                <c:pt idx="1">
                  <c:v>30.0426</c:v>
                </c:pt>
                <c:pt idx="2">
                  <c:v>30.6127</c:v>
                </c:pt>
                <c:pt idx="3">
                  <c:v>30.989899999999999</c:v>
                </c:pt>
                <c:pt idx="4">
                  <c:v>31.366800000000001</c:v>
                </c:pt>
                <c:pt idx="5">
                  <c:v>31.744800000000001</c:v>
                </c:pt>
                <c:pt idx="6">
                  <c:v>32.114699999999999</c:v>
                </c:pt>
                <c:pt idx="7">
                  <c:v>32.519799999999996</c:v>
                </c:pt>
                <c:pt idx="8">
                  <c:v>32.9268</c:v>
                </c:pt>
                <c:pt idx="9">
                  <c:v>33.334499999999998</c:v>
                </c:pt>
                <c:pt idx="10">
                  <c:v>33.7408</c:v>
                </c:pt>
                <c:pt idx="11">
                  <c:v>34.150399999999998</c:v>
                </c:pt>
                <c:pt idx="12">
                  <c:v>34.5563</c:v>
                </c:pt>
                <c:pt idx="13">
                  <c:v>34.9602</c:v>
                </c:pt>
                <c:pt idx="14">
                  <c:v>35.365200000000002</c:v>
                </c:pt>
                <c:pt idx="15">
                  <c:v>35.771799999999999</c:v>
                </c:pt>
                <c:pt idx="16">
                  <c:v>36.174900000000001</c:v>
                </c:pt>
                <c:pt idx="17">
                  <c:v>36.584800000000001</c:v>
                </c:pt>
                <c:pt idx="18">
                  <c:v>36.990699999999997</c:v>
                </c:pt>
                <c:pt idx="19">
                  <c:v>37.394599999999997</c:v>
                </c:pt>
                <c:pt idx="20">
                  <c:v>37.801499999999997</c:v>
                </c:pt>
                <c:pt idx="21">
                  <c:v>38.206200000000003</c:v>
                </c:pt>
                <c:pt idx="22">
                  <c:v>38.617400000000004</c:v>
                </c:pt>
                <c:pt idx="23">
                  <c:v>39.024299999999997</c:v>
                </c:pt>
                <c:pt idx="24">
                  <c:v>39.428199999999997</c:v>
                </c:pt>
                <c:pt idx="25">
                  <c:v>39.834099999999999</c:v>
                </c:pt>
                <c:pt idx="26">
                  <c:v>40.241</c:v>
                </c:pt>
                <c:pt idx="27">
                  <c:v>40.648000000000003</c:v>
                </c:pt>
                <c:pt idx="28">
                  <c:v>41.054900000000004</c:v>
                </c:pt>
                <c:pt idx="29">
                  <c:v>41.459800000000001</c:v>
                </c:pt>
                <c:pt idx="30">
                  <c:v>41.865699999999997</c:v>
                </c:pt>
                <c:pt idx="31">
                  <c:v>42.271799999999999</c:v>
                </c:pt>
                <c:pt idx="32">
                  <c:v>42.679499999999997</c:v>
                </c:pt>
                <c:pt idx="33">
                  <c:v>43.086599999999997</c:v>
                </c:pt>
                <c:pt idx="34">
                  <c:v>43.491999999999997</c:v>
                </c:pt>
                <c:pt idx="35">
                  <c:v>43.899299999999997</c:v>
                </c:pt>
                <c:pt idx="36">
                  <c:v>44.305399999999999</c:v>
                </c:pt>
                <c:pt idx="37">
                  <c:v>44.715600000000002</c:v>
                </c:pt>
                <c:pt idx="38">
                  <c:v>45.1205</c:v>
                </c:pt>
                <c:pt idx="39">
                  <c:v>45.526299999999999</c:v>
                </c:pt>
                <c:pt idx="40">
                  <c:v>45.931100000000001</c:v>
                </c:pt>
                <c:pt idx="41">
                  <c:v>46.338799999999999</c:v>
                </c:pt>
                <c:pt idx="42">
                  <c:v>46.741599999999998</c:v>
                </c:pt>
                <c:pt idx="43">
                  <c:v>47.144599999999997</c:v>
                </c:pt>
                <c:pt idx="44">
                  <c:v>47.550699999999999</c:v>
                </c:pt>
                <c:pt idx="45">
                  <c:v>47.961399999999998</c:v>
                </c:pt>
                <c:pt idx="46">
                  <c:v>48.3626</c:v>
                </c:pt>
                <c:pt idx="47">
                  <c:v>48.772199999999998</c:v>
                </c:pt>
                <c:pt idx="48">
                  <c:v>49.178100000000001</c:v>
                </c:pt>
                <c:pt idx="49">
                  <c:v>49.584200000000003</c:v>
                </c:pt>
                <c:pt idx="50">
                  <c:v>49.991599999999998</c:v>
                </c:pt>
                <c:pt idx="51">
                  <c:v>50.398899999999998</c:v>
                </c:pt>
                <c:pt idx="52">
                  <c:v>50.803199999999997</c:v>
                </c:pt>
                <c:pt idx="53">
                  <c:v>51.2087</c:v>
                </c:pt>
                <c:pt idx="54">
                  <c:v>51.615699999999997</c:v>
                </c:pt>
                <c:pt idx="55">
                  <c:v>52.0227</c:v>
                </c:pt>
                <c:pt idx="56">
                  <c:v>52.433599999999998</c:v>
                </c:pt>
                <c:pt idx="57">
                  <c:v>52.833399999999997</c:v>
                </c:pt>
                <c:pt idx="58">
                  <c:v>53.241500000000002</c:v>
                </c:pt>
                <c:pt idx="59">
                  <c:v>53.649500000000003</c:v>
                </c:pt>
                <c:pt idx="60">
                  <c:v>54.054099999999998</c:v>
                </c:pt>
                <c:pt idx="61">
                  <c:v>54.461399999999998</c:v>
                </c:pt>
                <c:pt idx="62">
                  <c:v>54.867100000000001</c:v>
                </c:pt>
                <c:pt idx="63">
                  <c:v>55.293900000000001</c:v>
                </c:pt>
                <c:pt idx="64">
                  <c:v>55.683700000000002</c:v>
                </c:pt>
                <c:pt idx="65">
                  <c:v>56.084099999999999</c:v>
                </c:pt>
                <c:pt idx="66">
                  <c:v>56.488599999999998</c:v>
                </c:pt>
                <c:pt idx="67">
                  <c:v>56.897599999999997</c:v>
                </c:pt>
                <c:pt idx="68">
                  <c:v>57.3035</c:v>
                </c:pt>
                <c:pt idx="69">
                  <c:v>57.708300000000001</c:v>
                </c:pt>
                <c:pt idx="70">
                  <c:v>58.116199999999999</c:v>
                </c:pt>
                <c:pt idx="71">
                  <c:v>58.522399999999998</c:v>
                </c:pt>
                <c:pt idx="72">
                  <c:v>58.927700000000002</c:v>
                </c:pt>
                <c:pt idx="73">
                  <c:v>59.335000000000001</c:v>
                </c:pt>
                <c:pt idx="74">
                  <c:v>59.737099999999998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45.875</c:v>
                </c:pt>
                <c:pt idx="1">
                  <c:v>45.5336</c:v>
                </c:pt>
                <c:pt idx="2">
                  <c:v>45.183700000000002</c:v>
                </c:pt>
                <c:pt idx="3">
                  <c:v>44.745200000000004</c:v>
                </c:pt>
                <c:pt idx="4">
                  <c:v>44.3309</c:v>
                </c:pt>
                <c:pt idx="5">
                  <c:v>43.959399999999995</c:v>
                </c:pt>
                <c:pt idx="6">
                  <c:v>43.66</c:v>
                </c:pt>
                <c:pt idx="7">
                  <c:v>43.4848</c:v>
                </c:pt>
                <c:pt idx="8">
                  <c:v>43.458300000000001</c:v>
                </c:pt>
                <c:pt idx="9">
                  <c:v>43.542199999999994</c:v>
                </c:pt>
                <c:pt idx="10">
                  <c:v>43.906300000000002</c:v>
                </c:pt>
                <c:pt idx="11">
                  <c:v>44.616399999999999</c:v>
                </c:pt>
                <c:pt idx="12">
                  <c:v>45.61</c:v>
                </c:pt>
                <c:pt idx="13">
                  <c:v>46.880400000000002</c:v>
                </c:pt>
                <c:pt idx="14">
                  <c:v>48.170400000000001</c:v>
                </c:pt>
                <c:pt idx="15">
                  <c:v>49.595800000000004</c:v>
                </c:pt>
                <c:pt idx="16">
                  <c:v>50.868899999999996</c:v>
                </c:pt>
                <c:pt idx="17">
                  <c:v>51.944199999999995</c:v>
                </c:pt>
                <c:pt idx="18">
                  <c:v>52.9054</c:v>
                </c:pt>
                <c:pt idx="19">
                  <c:v>53.758099999999999</c:v>
                </c:pt>
                <c:pt idx="20">
                  <c:v>54.386199999999995</c:v>
                </c:pt>
                <c:pt idx="21">
                  <c:v>54.821899999999999</c:v>
                </c:pt>
                <c:pt idx="22">
                  <c:v>55.124899999999997</c:v>
                </c:pt>
                <c:pt idx="23">
                  <c:v>55.2821</c:v>
                </c:pt>
                <c:pt idx="24">
                  <c:v>55.322899999999997</c:v>
                </c:pt>
                <c:pt idx="25">
                  <c:v>55.272399999999998</c:v>
                </c:pt>
                <c:pt idx="26">
                  <c:v>55.196999999999996</c:v>
                </c:pt>
                <c:pt idx="27">
                  <c:v>55.195999999999998</c:v>
                </c:pt>
                <c:pt idx="28">
                  <c:v>55.239600000000003</c:v>
                </c:pt>
                <c:pt idx="29">
                  <c:v>55.301000000000002</c:v>
                </c:pt>
                <c:pt idx="30">
                  <c:v>55.470500000000001</c:v>
                </c:pt>
                <c:pt idx="31">
                  <c:v>55.739700000000006</c:v>
                </c:pt>
                <c:pt idx="32">
                  <c:v>56.015300000000003</c:v>
                </c:pt>
                <c:pt idx="33">
                  <c:v>56.292200000000001</c:v>
                </c:pt>
                <c:pt idx="34">
                  <c:v>56.528300000000002</c:v>
                </c:pt>
                <c:pt idx="35">
                  <c:v>56.706100000000006</c:v>
                </c:pt>
                <c:pt idx="36">
                  <c:v>56.7986</c:v>
                </c:pt>
                <c:pt idx="37">
                  <c:v>56.799799999999998</c:v>
                </c:pt>
                <c:pt idx="38">
                  <c:v>56.710999999999999</c:v>
                </c:pt>
                <c:pt idx="39">
                  <c:v>56.588099999999997</c:v>
                </c:pt>
                <c:pt idx="40">
                  <c:v>56.437199999999997</c:v>
                </c:pt>
                <c:pt idx="41">
                  <c:v>56.266300000000001</c:v>
                </c:pt>
                <c:pt idx="42">
                  <c:v>56.057699999999997</c:v>
                </c:pt>
                <c:pt idx="43">
                  <c:v>55.751799999999996</c:v>
                </c:pt>
                <c:pt idx="44">
                  <c:v>55.398699999999998</c:v>
                </c:pt>
                <c:pt idx="45">
                  <c:v>55.043200000000006</c:v>
                </c:pt>
                <c:pt idx="46">
                  <c:v>54.679000000000002</c:v>
                </c:pt>
                <c:pt idx="47">
                  <c:v>54.325800000000001</c:v>
                </c:pt>
                <c:pt idx="48">
                  <c:v>54.014200000000002</c:v>
                </c:pt>
                <c:pt idx="49">
                  <c:v>53.738699999999994</c:v>
                </c:pt>
                <c:pt idx="50">
                  <c:v>53.477200000000003</c:v>
                </c:pt>
                <c:pt idx="51">
                  <c:v>53.349000000000004</c:v>
                </c:pt>
                <c:pt idx="52">
                  <c:v>53.212699999999998</c:v>
                </c:pt>
                <c:pt idx="53">
                  <c:v>53.104500000000002</c:v>
                </c:pt>
                <c:pt idx="54">
                  <c:v>53.056499999999993</c:v>
                </c:pt>
                <c:pt idx="55">
                  <c:v>52.957200000000007</c:v>
                </c:pt>
                <c:pt idx="56">
                  <c:v>52.770399999999995</c:v>
                </c:pt>
                <c:pt idx="57">
                  <c:v>52.574399999999997</c:v>
                </c:pt>
                <c:pt idx="58">
                  <c:v>52.401299999999992</c:v>
                </c:pt>
                <c:pt idx="59">
                  <c:v>52.259199999999993</c:v>
                </c:pt>
                <c:pt idx="60">
                  <c:v>52.160700000000006</c:v>
                </c:pt>
                <c:pt idx="61">
                  <c:v>52.041899999999998</c:v>
                </c:pt>
                <c:pt idx="62">
                  <c:v>51.962899999999998</c:v>
                </c:pt>
                <c:pt idx="63">
                  <c:v>51.9985</c:v>
                </c:pt>
                <c:pt idx="64">
                  <c:v>52.027900000000002</c:v>
                </c:pt>
                <c:pt idx="65">
                  <c:v>51.983900000000006</c:v>
                </c:pt>
                <c:pt idx="66">
                  <c:v>51.800699999999999</c:v>
                </c:pt>
                <c:pt idx="67">
                  <c:v>51.561800000000005</c:v>
                </c:pt>
                <c:pt idx="68">
                  <c:v>51.387300000000003</c:v>
                </c:pt>
                <c:pt idx="69">
                  <c:v>51.261199999999995</c:v>
                </c:pt>
                <c:pt idx="70">
                  <c:v>51.147100000000002</c:v>
                </c:pt>
                <c:pt idx="71">
                  <c:v>51.196399999999997</c:v>
                </c:pt>
                <c:pt idx="72">
                  <c:v>51.270600000000002</c:v>
                </c:pt>
                <c:pt idx="73">
                  <c:v>51.193100000000001</c:v>
                </c:pt>
                <c:pt idx="74">
                  <c:v>50.893000000000001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14.934275</c:v>
                </c:pt>
                <c:pt idx="1">
                  <c:v>44.802824999999999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52.076112162162133</c:v>
                </c:pt>
                <c:pt idx="1">
                  <c:v>52.104183783783768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2.2598599999999998</c:v>
                </c:pt>
                <c:pt idx="1">
                  <c:v>2.3228200000000001</c:v>
                </c:pt>
                <c:pt idx="2">
                  <c:v>2.3847800000000001</c:v>
                </c:pt>
                <c:pt idx="3">
                  <c:v>2.4469799999999999</c:v>
                </c:pt>
                <c:pt idx="4">
                  <c:v>2.5077300000000005</c:v>
                </c:pt>
                <c:pt idx="5">
                  <c:v>2.5658099999999999</c:v>
                </c:pt>
                <c:pt idx="6">
                  <c:v>2.6219399999999999</c:v>
                </c:pt>
                <c:pt idx="7">
                  <c:v>2.6788499999999997</c:v>
                </c:pt>
                <c:pt idx="8">
                  <c:v>2.7368600000000001</c:v>
                </c:pt>
                <c:pt idx="9">
                  <c:v>2.7966299999999999</c:v>
                </c:pt>
                <c:pt idx="10">
                  <c:v>2.85833</c:v>
                </c:pt>
                <c:pt idx="11">
                  <c:v>2.92354</c:v>
                </c:pt>
                <c:pt idx="12">
                  <c:v>2.9895199999999997</c:v>
                </c:pt>
                <c:pt idx="13">
                  <c:v>3.0585100000000001</c:v>
                </c:pt>
                <c:pt idx="14">
                  <c:v>3.1290100000000001</c:v>
                </c:pt>
                <c:pt idx="15">
                  <c:v>3.2009300000000001</c:v>
                </c:pt>
                <c:pt idx="16">
                  <c:v>3.2751200000000003</c:v>
                </c:pt>
                <c:pt idx="17">
                  <c:v>3.3516499999999998</c:v>
                </c:pt>
                <c:pt idx="18">
                  <c:v>3.4278300000000002</c:v>
                </c:pt>
                <c:pt idx="19">
                  <c:v>3.4998899999999997</c:v>
                </c:pt>
                <c:pt idx="20">
                  <c:v>3.5674399999999999</c:v>
                </c:pt>
                <c:pt idx="21">
                  <c:v>3.6264400000000001</c:v>
                </c:pt>
                <c:pt idx="22">
                  <c:v>3.6745899999999998</c:v>
                </c:pt>
                <c:pt idx="23">
                  <c:v>3.71821</c:v>
                </c:pt>
                <c:pt idx="24">
                  <c:v>3.7589800000000002</c:v>
                </c:pt>
                <c:pt idx="25">
                  <c:v>3.7953799999999998</c:v>
                </c:pt>
                <c:pt idx="26">
                  <c:v>3.8263200000000004</c:v>
                </c:pt>
                <c:pt idx="27">
                  <c:v>3.8551899999999999</c:v>
                </c:pt>
                <c:pt idx="28">
                  <c:v>3.8780299999999999</c:v>
                </c:pt>
                <c:pt idx="29">
                  <c:v>3.89825</c:v>
                </c:pt>
                <c:pt idx="30">
                  <c:v>3.91927</c:v>
                </c:pt>
                <c:pt idx="31">
                  <c:v>3.9413999999999998</c:v>
                </c:pt>
                <c:pt idx="32">
                  <c:v>3.9638600000000004</c:v>
                </c:pt>
                <c:pt idx="33">
                  <c:v>3.9835500000000001</c:v>
                </c:pt>
                <c:pt idx="34">
                  <c:v>3.99899</c:v>
                </c:pt>
                <c:pt idx="35">
                  <c:v>4.0084799999999996</c:v>
                </c:pt>
                <c:pt idx="36">
                  <c:v>4.0114900000000002</c:v>
                </c:pt>
                <c:pt idx="37">
                  <c:v>4.0091400000000004</c:v>
                </c:pt>
                <c:pt idx="38">
                  <c:v>4.0044599999999999</c:v>
                </c:pt>
                <c:pt idx="39">
                  <c:v>3.9965299999999999</c:v>
                </c:pt>
                <c:pt idx="40">
                  <c:v>3.9839899999999999</c:v>
                </c:pt>
                <c:pt idx="41">
                  <c:v>3.9681100000000002</c:v>
                </c:pt>
                <c:pt idx="42">
                  <c:v>3.9493200000000002</c:v>
                </c:pt>
                <c:pt idx="43">
                  <c:v>3.9237799999999998</c:v>
                </c:pt>
                <c:pt idx="44">
                  <c:v>3.8947500000000002</c:v>
                </c:pt>
                <c:pt idx="45">
                  <c:v>3.8654199999999999</c:v>
                </c:pt>
                <c:pt idx="46">
                  <c:v>3.83812</c:v>
                </c:pt>
                <c:pt idx="47">
                  <c:v>3.8165300000000002</c:v>
                </c:pt>
                <c:pt idx="48">
                  <c:v>3.79928</c:v>
                </c:pt>
                <c:pt idx="49">
                  <c:v>3.7839400000000003</c:v>
                </c:pt>
                <c:pt idx="50">
                  <c:v>3.7713600000000005</c:v>
                </c:pt>
                <c:pt idx="51">
                  <c:v>3.7649400000000002</c:v>
                </c:pt>
                <c:pt idx="52">
                  <c:v>3.7626500000000003</c:v>
                </c:pt>
                <c:pt idx="53">
                  <c:v>3.7691300000000001</c:v>
                </c:pt>
                <c:pt idx="54">
                  <c:v>3.7840199999999999</c:v>
                </c:pt>
                <c:pt idx="55">
                  <c:v>3.8041599999999995</c:v>
                </c:pt>
                <c:pt idx="56">
                  <c:v>3.8461800000000004</c:v>
                </c:pt>
                <c:pt idx="57">
                  <c:v>3.87276</c:v>
                </c:pt>
                <c:pt idx="58">
                  <c:v>3.8869700000000003</c:v>
                </c:pt>
                <c:pt idx="59">
                  <c:v>3.9369900000000002</c:v>
                </c:pt>
                <c:pt idx="60">
                  <c:v>3.9570499999999997</c:v>
                </c:pt>
                <c:pt idx="61">
                  <c:v>4.0066800000000002</c:v>
                </c:pt>
                <c:pt idx="62">
                  <c:v>4.0399400000000005</c:v>
                </c:pt>
                <c:pt idx="63">
                  <c:v>4.0619899999999998</c:v>
                </c:pt>
                <c:pt idx="64">
                  <c:v>4.0886800000000001</c:v>
                </c:pt>
                <c:pt idx="65">
                  <c:v>4.11212</c:v>
                </c:pt>
                <c:pt idx="66">
                  <c:v>4.1270499999999997</c:v>
                </c:pt>
                <c:pt idx="67">
                  <c:v>4.1337600000000005</c:v>
                </c:pt>
                <c:pt idx="68">
                  <c:v>4.1441499999999998</c:v>
                </c:pt>
                <c:pt idx="69">
                  <c:v>4.1508500000000002</c:v>
                </c:pt>
                <c:pt idx="70">
                  <c:v>4.1533899999999999</c:v>
                </c:pt>
                <c:pt idx="71">
                  <c:v>4.1543700000000001</c:v>
                </c:pt>
                <c:pt idx="72">
                  <c:v>4.1538300000000001</c:v>
                </c:pt>
                <c:pt idx="73">
                  <c:v>4.1479900000000001</c:v>
                </c:pt>
                <c:pt idx="74">
                  <c:v>4.1262300000000005</c:v>
                </c:pt>
                <c:pt idx="75">
                  <c:v>4.1119300000000001</c:v>
                </c:pt>
                <c:pt idx="76">
                  <c:v>4.0925799999999999</c:v>
                </c:pt>
                <c:pt idx="77">
                  <c:v>4.0705599999999995</c:v>
                </c:pt>
                <c:pt idx="78">
                  <c:v>4.0447499999999996</c:v>
                </c:pt>
                <c:pt idx="79">
                  <c:v>4.0124700000000004</c:v>
                </c:pt>
                <c:pt idx="80">
                  <c:v>3.9719300000000004</c:v>
                </c:pt>
                <c:pt idx="81">
                  <c:v>3.9229500000000002</c:v>
                </c:pt>
                <c:pt idx="82">
                  <c:v>3.87059</c:v>
                </c:pt>
                <c:pt idx="83">
                  <c:v>3.8139600000000002</c:v>
                </c:pt>
                <c:pt idx="84">
                  <c:v>3.7570199999999998</c:v>
                </c:pt>
                <c:pt idx="85">
                  <c:v>3.7014200000000002</c:v>
                </c:pt>
                <c:pt idx="86">
                  <c:v>3.6461399999999999</c:v>
                </c:pt>
                <c:pt idx="87">
                  <c:v>3.59694</c:v>
                </c:pt>
                <c:pt idx="88">
                  <c:v>3.5521399999999996</c:v>
                </c:pt>
                <c:pt idx="89">
                  <c:v>3.5169899999999998</c:v>
                </c:pt>
                <c:pt idx="90">
                  <c:v>3.4929999999999999</c:v>
                </c:pt>
                <c:pt idx="91">
                  <c:v>3.4767999999999999</c:v>
                </c:pt>
                <c:pt idx="92">
                  <c:v>3.46949</c:v>
                </c:pt>
                <c:pt idx="93">
                  <c:v>3.4706799999999998</c:v>
                </c:pt>
                <c:pt idx="94">
                  <c:v>3.4776000000000002</c:v>
                </c:pt>
                <c:pt idx="95">
                  <c:v>3.4878</c:v>
                </c:pt>
                <c:pt idx="96">
                  <c:v>3.50143</c:v>
                </c:pt>
                <c:pt idx="97">
                  <c:v>3.52081</c:v>
                </c:pt>
                <c:pt idx="98">
                  <c:v>3.5467500000000003</c:v>
                </c:pt>
                <c:pt idx="99">
                  <c:v>3.5769600000000001</c:v>
                </c:pt>
                <c:pt idx="100">
                  <c:v>3.6080800000000002</c:v>
                </c:pt>
                <c:pt idx="101">
                  <c:v>3.6397699999999999</c:v>
                </c:pt>
                <c:pt idx="102">
                  <c:v>3.6706799999999999</c:v>
                </c:pt>
                <c:pt idx="103">
                  <c:v>3.6966700000000001</c:v>
                </c:pt>
                <c:pt idx="104">
                  <c:v>3.7190400000000001</c:v>
                </c:pt>
                <c:pt idx="105">
                  <c:v>3.7397299999999998</c:v>
                </c:pt>
                <c:pt idx="106">
                  <c:v>3.7613400000000001</c:v>
                </c:pt>
                <c:pt idx="107">
                  <c:v>3.7823200000000003</c:v>
                </c:pt>
                <c:pt idx="108">
                  <c:v>3.7991000000000001</c:v>
                </c:pt>
                <c:pt idx="109">
                  <c:v>3.8124000000000002</c:v>
                </c:pt>
                <c:pt idx="110">
                  <c:v>3.8226700000000005</c:v>
                </c:pt>
                <c:pt idx="111">
                  <c:v>3.8305600000000002</c:v>
                </c:pt>
                <c:pt idx="112">
                  <c:v>3.8372800000000002</c:v>
                </c:pt>
                <c:pt idx="113">
                  <c:v>3.8416099999999997</c:v>
                </c:pt>
                <c:pt idx="114">
                  <c:v>3.8468999999999998</c:v>
                </c:pt>
                <c:pt idx="115">
                  <c:v>3.8494600000000001</c:v>
                </c:pt>
                <c:pt idx="116">
                  <c:v>3.8536700000000002</c:v>
                </c:pt>
                <c:pt idx="117">
                  <c:v>3.8564799999999999</c:v>
                </c:pt>
                <c:pt idx="118">
                  <c:v>3.8569900000000001</c:v>
                </c:pt>
                <c:pt idx="119">
                  <c:v>3.8572499999999996</c:v>
                </c:pt>
                <c:pt idx="120">
                  <c:v>3.8565800000000001</c:v>
                </c:pt>
                <c:pt idx="121">
                  <c:v>3.8536100000000002</c:v>
                </c:pt>
                <c:pt idx="122">
                  <c:v>3.8472400000000002</c:v>
                </c:pt>
                <c:pt idx="123">
                  <c:v>3.8400800000000004</c:v>
                </c:pt>
                <c:pt idx="124">
                  <c:v>3.8266899999999997</c:v>
                </c:pt>
                <c:pt idx="125">
                  <c:v>3.81229</c:v>
                </c:pt>
                <c:pt idx="126">
                  <c:v>3.79765</c:v>
                </c:pt>
                <c:pt idx="127">
                  <c:v>3.7817699999999999</c:v>
                </c:pt>
                <c:pt idx="128">
                  <c:v>3.7697599999999998</c:v>
                </c:pt>
                <c:pt idx="129">
                  <c:v>3.7617000000000003</c:v>
                </c:pt>
                <c:pt idx="130">
                  <c:v>3.7580599999999995</c:v>
                </c:pt>
                <c:pt idx="131">
                  <c:v>3.7541400000000005</c:v>
                </c:pt>
                <c:pt idx="132">
                  <c:v>3.7519200000000001</c:v>
                </c:pt>
                <c:pt idx="133">
                  <c:v>3.7549399999999999</c:v>
                </c:pt>
                <c:pt idx="134">
                  <c:v>3.7624499999999999</c:v>
                </c:pt>
                <c:pt idx="135">
                  <c:v>3.7754799999999999</c:v>
                </c:pt>
                <c:pt idx="136">
                  <c:v>3.7933699999999999</c:v>
                </c:pt>
                <c:pt idx="137">
                  <c:v>3.81237</c:v>
                </c:pt>
                <c:pt idx="138">
                  <c:v>3.8367899999999997</c:v>
                </c:pt>
                <c:pt idx="139">
                  <c:v>3.8521200000000002</c:v>
                </c:pt>
                <c:pt idx="140">
                  <c:v>3.86747</c:v>
                </c:pt>
                <c:pt idx="141">
                  <c:v>3.8752500000000003</c:v>
                </c:pt>
                <c:pt idx="142">
                  <c:v>3.8805000000000001</c:v>
                </c:pt>
                <c:pt idx="143">
                  <c:v>3.8864700000000001</c:v>
                </c:pt>
                <c:pt idx="144">
                  <c:v>3.88537</c:v>
                </c:pt>
                <c:pt idx="145">
                  <c:v>3.8835100000000002</c:v>
                </c:pt>
                <c:pt idx="146">
                  <c:v>3.8967800000000001</c:v>
                </c:pt>
                <c:pt idx="147">
                  <c:v>3.9226200000000002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63.871500000000005</c:v>
                </c:pt>
                <c:pt idx="1">
                  <c:v>63.349200000000003</c:v>
                </c:pt>
                <c:pt idx="2">
                  <c:v>62.910200000000003</c:v>
                </c:pt>
                <c:pt idx="3">
                  <c:v>62.437200000000004</c:v>
                </c:pt>
                <c:pt idx="4">
                  <c:v>61.981200000000001</c:v>
                </c:pt>
                <c:pt idx="5">
                  <c:v>61.669799999999995</c:v>
                </c:pt>
                <c:pt idx="6">
                  <c:v>61.481300000000005</c:v>
                </c:pt>
                <c:pt idx="7">
                  <c:v>61.333400000000005</c:v>
                </c:pt>
                <c:pt idx="8">
                  <c:v>61.126899999999992</c:v>
                </c:pt>
                <c:pt idx="9">
                  <c:v>60.852200000000003</c:v>
                </c:pt>
                <c:pt idx="10">
                  <c:v>60.428400000000003</c:v>
                </c:pt>
                <c:pt idx="11">
                  <c:v>59.8384</c:v>
                </c:pt>
                <c:pt idx="12">
                  <c:v>58.984800000000007</c:v>
                </c:pt>
                <c:pt idx="13">
                  <c:v>57.996299999999998</c:v>
                </c:pt>
                <c:pt idx="14">
                  <c:v>56.921999999999997</c:v>
                </c:pt>
                <c:pt idx="15">
                  <c:v>55.887799999999999</c:v>
                </c:pt>
                <c:pt idx="16">
                  <c:v>54.788899999999998</c:v>
                </c:pt>
                <c:pt idx="17">
                  <c:v>53.696999999999996</c:v>
                </c:pt>
                <c:pt idx="18">
                  <c:v>52.651099999999992</c:v>
                </c:pt>
                <c:pt idx="19">
                  <c:v>51.811500000000002</c:v>
                </c:pt>
                <c:pt idx="20">
                  <c:v>51.166500000000006</c:v>
                </c:pt>
                <c:pt idx="21">
                  <c:v>50.861199999999997</c:v>
                </c:pt>
                <c:pt idx="22">
                  <c:v>50.762500000000003</c:v>
                </c:pt>
                <c:pt idx="23">
                  <c:v>50.783299999999997</c:v>
                </c:pt>
                <c:pt idx="24">
                  <c:v>50.77</c:v>
                </c:pt>
                <c:pt idx="25">
                  <c:v>50.797699999999999</c:v>
                </c:pt>
                <c:pt idx="26">
                  <c:v>50.9069</c:v>
                </c:pt>
                <c:pt idx="27">
                  <c:v>51.001700000000007</c:v>
                </c:pt>
                <c:pt idx="28">
                  <c:v>51.103600000000007</c:v>
                </c:pt>
                <c:pt idx="29">
                  <c:v>51.213799999999999</c:v>
                </c:pt>
                <c:pt idx="30">
                  <c:v>51.3551</c:v>
                </c:pt>
                <c:pt idx="31">
                  <c:v>51.509300000000003</c:v>
                </c:pt>
                <c:pt idx="32">
                  <c:v>51.627400000000002</c:v>
                </c:pt>
                <c:pt idx="33">
                  <c:v>51.738300000000002</c:v>
                </c:pt>
                <c:pt idx="34">
                  <c:v>51.812400000000004</c:v>
                </c:pt>
                <c:pt idx="35">
                  <c:v>51.772500000000001</c:v>
                </c:pt>
                <c:pt idx="36">
                  <c:v>51.624600000000001</c:v>
                </c:pt>
                <c:pt idx="37">
                  <c:v>51.449399999999997</c:v>
                </c:pt>
                <c:pt idx="38">
                  <c:v>51.273100000000007</c:v>
                </c:pt>
                <c:pt idx="39">
                  <c:v>51.072399999999995</c:v>
                </c:pt>
                <c:pt idx="40">
                  <c:v>50.841700000000003</c:v>
                </c:pt>
                <c:pt idx="41">
                  <c:v>50.682499999999997</c:v>
                </c:pt>
                <c:pt idx="42">
                  <c:v>50.572300000000006</c:v>
                </c:pt>
                <c:pt idx="43">
                  <c:v>50.517100000000006</c:v>
                </c:pt>
                <c:pt idx="44">
                  <c:v>50.531700000000001</c:v>
                </c:pt>
                <c:pt idx="45">
                  <c:v>50.624899999999997</c:v>
                </c:pt>
                <c:pt idx="46">
                  <c:v>50.662600000000005</c:v>
                </c:pt>
                <c:pt idx="47">
                  <c:v>50.612900000000003</c:v>
                </c:pt>
                <c:pt idx="48">
                  <c:v>50.593600000000002</c:v>
                </c:pt>
                <c:pt idx="49">
                  <c:v>50.675699999999999</c:v>
                </c:pt>
                <c:pt idx="50">
                  <c:v>50.764699999999998</c:v>
                </c:pt>
                <c:pt idx="51">
                  <c:v>50.780899999999995</c:v>
                </c:pt>
                <c:pt idx="52">
                  <c:v>50.7652</c:v>
                </c:pt>
                <c:pt idx="53">
                  <c:v>50.621099999999998</c:v>
                </c:pt>
                <c:pt idx="54">
                  <c:v>50.342500000000001</c:v>
                </c:pt>
                <c:pt idx="55">
                  <c:v>49.902200000000001</c:v>
                </c:pt>
                <c:pt idx="56">
                  <c:v>49.020200000000003</c:v>
                </c:pt>
                <c:pt idx="57">
                  <c:v>48.499600000000001</c:v>
                </c:pt>
                <c:pt idx="58">
                  <c:v>48.155200000000001</c:v>
                </c:pt>
                <c:pt idx="59">
                  <c:v>47.270400000000002</c:v>
                </c:pt>
                <c:pt idx="60">
                  <c:v>46.893099999999997</c:v>
                </c:pt>
                <c:pt idx="61">
                  <c:v>46.146799999999999</c:v>
                </c:pt>
                <c:pt idx="62">
                  <c:v>45.827600000000004</c:v>
                </c:pt>
                <c:pt idx="63">
                  <c:v>45.646500000000003</c:v>
                </c:pt>
                <c:pt idx="64">
                  <c:v>45.5379</c:v>
                </c:pt>
                <c:pt idx="65">
                  <c:v>45.637100000000004</c:v>
                </c:pt>
                <c:pt idx="66">
                  <c:v>45.694200000000002</c:v>
                </c:pt>
                <c:pt idx="67">
                  <c:v>45.783099999999997</c:v>
                </c:pt>
                <c:pt idx="68">
                  <c:v>45.830599999999997</c:v>
                </c:pt>
                <c:pt idx="69">
                  <c:v>45.873000000000005</c:v>
                </c:pt>
                <c:pt idx="70">
                  <c:v>45.900100000000002</c:v>
                </c:pt>
                <c:pt idx="71">
                  <c:v>45.947500000000005</c:v>
                </c:pt>
                <c:pt idx="72">
                  <c:v>45.981999999999999</c:v>
                </c:pt>
                <c:pt idx="73">
                  <c:v>45.875</c:v>
                </c:pt>
                <c:pt idx="74">
                  <c:v>45.5336</c:v>
                </c:pt>
                <c:pt idx="75">
                  <c:v>45.183700000000002</c:v>
                </c:pt>
                <c:pt idx="76">
                  <c:v>44.745200000000004</c:v>
                </c:pt>
                <c:pt idx="77">
                  <c:v>44.3309</c:v>
                </c:pt>
                <c:pt idx="78">
                  <c:v>43.959399999999995</c:v>
                </c:pt>
                <c:pt idx="79">
                  <c:v>43.66</c:v>
                </c:pt>
                <c:pt idx="80">
                  <c:v>43.4848</c:v>
                </c:pt>
                <c:pt idx="81">
                  <c:v>43.458300000000001</c:v>
                </c:pt>
                <c:pt idx="82">
                  <c:v>43.542199999999994</c:v>
                </c:pt>
                <c:pt idx="83">
                  <c:v>43.906300000000002</c:v>
                </c:pt>
                <c:pt idx="84">
                  <c:v>44.616399999999999</c:v>
                </c:pt>
                <c:pt idx="85">
                  <c:v>45.61</c:v>
                </c:pt>
                <c:pt idx="86">
                  <c:v>46.880400000000002</c:v>
                </c:pt>
                <c:pt idx="87">
                  <c:v>48.170400000000001</c:v>
                </c:pt>
                <c:pt idx="88">
                  <c:v>49.595800000000004</c:v>
                </c:pt>
                <c:pt idx="89">
                  <c:v>50.868899999999996</c:v>
                </c:pt>
                <c:pt idx="90">
                  <c:v>51.944199999999995</c:v>
                </c:pt>
                <c:pt idx="91">
                  <c:v>52.9054</c:v>
                </c:pt>
                <c:pt idx="92">
                  <c:v>53.758099999999999</c:v>
                </c:pt>
                <c:pt idx="93">
                  <c:v>54.386199999999995</c:v>
                </c:pt>
                <c:pt idx="94">
                  <c:v>54.821899999999999</c:v>
                </c:pt>
                <c:pt idx="95">
                  <c:v>55.124899999999997</c:v>
                </c:pt>
                <c:pt idx="96">
                  <c:v>55.2821</c:v>
                </c:pt>
                <c:pt idx="97">
                  <c:v>55.322899999999997</c:v>
                </c:pt>
                <c:pt idx="98">
                  <c:v>55.272399999999998</c:v>
                </c:pt>
                <c:pt idx="99">
                  <c:v>55.196999999999996</c:v>
                </c:pt>
                <c:pt idx="100">
                  <c:v>55.195999999999998</c:v>
                </c:pt>
                <c:pt idx="101">
                  <c:v>55.239600000000003</c:v>
                </c:pt>
                <c:pt idx="102">
                  <c:v>55.301000000000002</c:v>
                </c:pt>
                <c:pt idx="103">
                  <c:v>55.470500000000001</c:v>
                </c:pt>
                <c:pt idx="104">
                  <c:v>55.739700000000006</c:v>
                </c:pt>
                <c:pt idx="105">
                  <c:v>56.015300000000003</c:v>
                </c:pt>
                <c:pt idx="106">
                  <c:v>56.292200000000001</c:v>
                </c:pt>
                <c:pt idx="107">
                  <c:v>56.528300000000002</c:v>
                </c:pt>
                <c:pt idx="108">
                  <c:v>56.706100000000006</c:v>
                </c:pt>
                <c:pt idx="109">
                  <c:v>56.7986</c:v>
                </c:pt>
                <c:pt idx="110">
                  <c:v>56.799799999999998</c:v>
                </c:pt>
                <c:pt idx="111">
                  <c:v>56.710999999999999</c:v>
                </c:pt>
                <c:pt idx="112">
                  <c:v>56.588099999999997</c:v>
                </c:pt>
                <c:pt idx="113">
                  <c:v>56.437199999999997</c:v>
                </c:pt>
                <c:pt idx="114">
                  <c:v>56.266300000000001</c:v>
                </c:pt>
                <c:pt idx="115">
                  <c:v>56.057699999999997</c:v>
                </c:pt>
                <c:pt idx="116">
                  <c:v>55.751799999999996</c:v>
                </c:pt>
                <c:pt idx="117">
                  <c:v>55.398699999999998</c:v>
                </c:pt>
                <c:pt idx="118">
                  <c:v>55.043200000000006</c:v>
                </c:pt>
                <c:pt idx="119">
                  <c:v>54.679000000000002</c:v>
                </c:pt>
                <c:pt idx="120">
                  <c:v>54.325800000000001</c:v>
                </c:pt>
                <c:pt idx="121">
                  <c:v>54.014200000000002</c:v>
                </c:pt>
                <c:pt idx="122">
                  <c:v>53.738699999999994</c:v>
                </c:pt>
                <c:pt idx="123">
                  <c:v>53.477200000000003</c:v>
                </c:pt>
                <c:pt idx="124">
                  <c:v>53.349000000000004</c:v>
                </c:pt>
                <c:pt idx="125">
                  <c:v>53.212699999999998</c:v>
                </c:pt>
                <c:pt idx="126">
                  <c:v>53.104500000000002</c:v>
                </c:pt>
                <c:pt idx="127">
                  <c:v>53.056499999999993</c:v>
                </c:pt>
                <c:pt idx="128">
                  <c:v>52.957200000000007</c:v>
                </c:pt>
                <c:pt idx="129">
                  <c:v>52.770399999999995</c:v>
                </c:pt>
                <c:pt idx="130">
                  <c:v>52.574399999999997</c:v>
                </c:pt>
                <c:pt idx="131">
                  <c:v>52.401299999999992</c:v>
                </c:pt>
                <c:pt idx="132">
                  <c:v>52.259199999999993</c:v>
                </c:pt>
                <c:pt idx="133">
                  <c:v>52.160700000000006</c:v>
                </c:pt>
                <c:pt idx="134">
                  <c:v>52.041899999999998</c:v>
                </c:pt>
                <c:pt idx="135">
                  <c:v>51.962899999999998</c:v>
                </c:pt>
                <c:pt idx="136">
                  <c:v>51.9985</c:v>
                </c:pt>
                <c:pt idx="137">
                  <c:v>52.027900000000002</c:v>
                </c:pt>
                <c:pt idx="138">
                  <c:v>51.983900000000006</c:v>
                </c:pt>
                <c:pt idx="139">
                  <c:v>51.800699999999999</c:v>
                </c:pt>
                <c:pt idx="140">
                  <c:v>51.561800000000005</c:v>
                </c:pt>
                <c:pt idx="141">
                  <c:v>51.387300000000003</c:v>
                </c:pt>
                <c:pt idx="142">
                  <c:v>51.261199999999995</c:v>
                </c:pt>
                <c:pt idx="143">
                  <c:v>51.147100000000002</c:v>
                </c:pt>
                <c:pt idx="144">
                  <c:v>51.196399999999997</c:v>
                </c:pt>
                <c:pt idx="145">
                  <c:v>51.270600000000002</c:v>
                </c:pt>
                <c:pt idx="146">
                  <c:v>51.193100000000001</c:v>
                </c:pt>
                <c:pt idx="147">
                  <c:v>50.893000000000001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2.2598599999999998</c:v>
                </c:pt>
                <c:pt idx="1">
                  <c:v>2.3228200000000001</c:v>
                </c:pt>
                <c:pt idx="2">
                  <c:v>2.3847800000000001</c:v>
                </c:pt>
                <c:pt idx="3">
                  <c:v>2.4469799999999999</c:v>
                </c:pt>
                <c:pt idx="4">
                  <c:v>2.5077300000000005</c:v>
                </c:pt>
                <c:pt idx="5">
                  <c:v>2.5658099999999999</c:v>
                </c:pt>
                <c:pt idx="6">
                  <c:v>2.6219399999999999</c:v>
                </c:pt>
                <c:pt idx="7">
                  <c:v>2.6788499999999997</c:v>
                </c:pt>
                <c:pt idx="8">
                  <c:v>2.7368600000000001</c:v>
                </c:pt>
                <c:pt idx="9">
                  <c:v>2.7966299999999999</c:v>
                </c:pt>
                <c:pt idx="10">
                  <c:v>2.85833</c:v>
                </c:pt>
                <c:pt idx="11">
                  <c:v>2.92354</c:v>
                </c:pt>
                <c:pt idx="12">
                  <c:v>2.9895199999999997</c:v>
                </c:pt>
                <c:pt idx="13">
                  <c:v>3.0585100000000001</c:v>
                </c:pt>
                <c:pt idx="14">
                  <c:v>3.1290100000000001</c:v>
                </c:pt>
                <c:pt idx="15">
                  <c:v>3.2009300000000001</c:v>
                </c:pt>
                <c:pt idx="16">
                  <c:v>3.2751200000000003</c:v>
                </c:pt>
                <c:pt idx="17">
                  <c:v>3.3516499999999998</c:v>
                </c:pt>
                <c:pt idx="18">
                  <c:v>3.4278300000000002</c:v>
                </c:pt>
                <c:pt idx="19">
                  <c:v>3.4998899999999997</c:v>
                </c:pt>
                <c:pt idx="20">
                  <c:v>3.5674399999999999</c:v>
                </c:pt>
                <c:pt idx="21">
                  <c:v>3.6264400000000001</c:v>
                </c:pt>
                <c:pt idx="22">
                  <c:v>3.6745899999999998</c:v>
                </c:pt>
                <c:pt idx="23">
                  <c:v>3.71821</c:v>
                </c:pt>
                <c:pt idx="24">
                  <c:v>3.7589800000000002</c:v>
                </c:pt>
                <c:pt idx="25">
                  <c:v>3.7953799999999998</c:v>
                </c:pt>
                <c:pt idx="26">
                  <c:v>3.8263200000000004</c:v>
                </c:pt>
                <c:pt idx="27">
                  <c:v>3.8551899999999999</c:v>
                </c:pt>
                <c:pt idx="28">
                  <c:v>3.8780299999999999</c:v>
                </c:pt>
                <c:pt idx="29">
                  <c:v>3.89825</c:v>
                </c:pt>
                <c:pt idx="30">
                  <c:v>3.91927</c:v>
                </c:pt>
                <c:pt idx="31">
                  <c:v>3.9413999999999998</c:v>
                </c:pt>
                <c:pt idx="32">
                  <c:v>3.9638600000000004</c:v>
                </c:pt>
                <c:pt idx="33">
                  <c:v>3.9835500000000001</c:v>
                </c:pt>
                <c:pt idx="34">
                  <c:v>3.99899</c:v>
                </c:pt>
                <c:pt idx="35">
                  <c:v>4.0084799999999996</c:v>
                </c:pt>
                <c:pt idx="36">
                  <c:v>4.0114900000000002</c:v>
                </c:pt>
                <c:pt idx="37">
                  <c:v>4.0091400000000004</c:v>
                </c:pt>
                <c:pt idx="38">
                  <c:v>4.0044599999999999</c:v>
                </c:pt>
                <c:pt idx="39">
                  <c:v>3.9965299999999999</c:v>
                </c:pt>
                <c:pt idx="40">
                  <c:v>3.9839899999999999</c:v>
                </c:pt>
                <c:pt idx="41">
                  <c:v>3.9681100000000002</c:v>
                </c:pt>
                <c:pt idx="42">
                  <c:v>3.9493200000000002</c:v>
                </c:pt>
                <c:pt idx="43">
                  <c:v>3.9237799999999998</c:v>
                </c:pt>
                <c:pt idx="44">
                  <c:v>3.8947500000000002</c:v>
                </c:pt>
                <c:pt idx="45">
                  <c:v>3.8654199999999999</c:v>
                </c:pt>
                <c:pt idx="46">
                  <c:v>3.83812</c:v>
                </c:pt>
                <c:pt idx="47">
                  <c:v>3.8165300000000002</c:v>
                </c:pt>
                <c:pt idx="48">
                  <c:v>3.79928</c:v>
                </c:pt>
                <c:pt idx="49">
                  <c:v>3.7839400000000003</c:v>
                </c:pt>
                <c:pt idx="50">
                  <c:v>3.7713600000000005</c:v>
                </c:pt>
                <c:pt idx="51">
                  <c:v>3.7649400000000002</c:v>
                </c:pt>
                <c:pt idx="52">
                  <c:v>3.7626500000000003</c:v>
                </c:pt>
                <c:pt idx="53">
                  <c:v>3.7691300000000001</c:v>
                </c:pt>
                <c:pt idx="54">
                  <c:v>3.7840199999999999</c:v>
                </c:pt>
                <c:pt idx="55">
                  <c:v>3.8041599999999995</c:v>
                </c:pt>
                <c:pt idx="56">
                  <c:v>3.8461800000000004</c:v>
                </c:pt>
                <c:pt idx="57">
                  <c:v>3.87276</c:v>
                </c:pt>
                <c:pt idx="58">
                  <c:v>3.8869700000000003</c:v>
                </c:pt>
                <c:pt idx="59">
                  <c:v>3.9369900000000002</c:v>
                </c:pt>
                <c:pt idx="60">
                  <c:v>3.9570499999999997</c:v>
                </c:pt>
                <c:pt idx="61">
                  <c:v>4.0066800000000002</c:v>
                </c:pt>
                <c:pt idx="62">
                  <c:v>4.0399400000000005</c:v>
                </c:pt>
                <c:pt idx="63">
                  <c:v>4.0619899999999998</c:v>
                </c:pt>
                <c:pt idx="64">
                  <c:v>4.0886800000000001</c:v>
                </c:pt>
                <c:pt idx="65">
                  <c:v>4.11212</c:v>
                </c:pt>
                <c:pt idx="66">
                  <c:v>4.1270499999999997</c:v>
                </c:pt>
                <c:pt idx="67">
                  <c:v>4.1337600000000005</c:v>
                </c:pt>
                <c:pt idx="68">
                  <c:v>4.1441499999999998</c:v>
                </c:pt>
                <c:pt idx="69">
                  <c:v>4.1508500000000002</c:v>
                </c:pt>
                <c:pt idx="70">
                  <c:v>4.1533899999999999</c:v>
                </c:pt>
                <c:pt idx="71">
                  <c:v>4.1543700000000001</c:v>
                </c:pt>
                <c:pt idx="72">
                  <c:v>4.1538300000000001</c:v>
                </c:pt>
                <c:pt idx="73">
                  <c:v>4.1479900000000001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63.871500000000005</c:v>
                </c:pt>
                <c:pt idx="1">
                  <c:v>63.349200000000003</c:v>
                </c:pt>
                <c:pt idx="2">
                  <c:v>62.910200000000003</c:v>
                </c:pt>
                <c:pt idx="3">
                  <c:v>62.437200000000004</c:v>
                </c:pt>
                <c:pt idx="4">
                  <c:v>61.981200000000001</c:v>
                </c:pt>
                <c:pt idx="5">
                  <c:v>61.669799999999995</c:v>
                </c:pt>
                <c:pt idx="6">
                  <c:v>61.481300000000005</c:v>
                </c:pt>
                <c:pt idx="7">
                  <c:v>61.333400000000005</c:v>
                </c:pt>
                <c:pt idx="8">
                  <c:v>61.126899999999992</c:v>
                </c:pt>
                <c:pt idx="9">
                  <c:v>60.852200000000003</c:v>
                </c:pt>
                <c:pt idx="10">
                  <c:v>60.428400000000003</c:v>
                </c:pt>
                <c:pt idx="11">
                  <c:v>59.8384</c:v>
                </c:pt>
                <c:pt idx="12">
                  <c:v>58.984800000000007</c:v>
                </c:pt>
                <c:pt idx="13">
                  <c:v>57.996299999999998</c:v>
                </c:pt>
                <c:pt idx="14">
                  <c:v>56.921999999999997</c:v>
                </c:pt>
                <c:pt idx="15">
                  <c:v>55.887799999999999</c:v>
                </c:pt>
                <c:pt idx="16">
                  <c:v>54.788899999999998</c:v>
                </c:pt>
                <c:pt idx="17">
                  <c:v>53.696999999999996</c:v>
                </c:pt>
                <c:pt idx="18">
                  <c:v>52.651099999999992</c:v>
                </c:pt>
                <c:pt idx="19">
                  <c:v>51.811500000000002</c:v>
                </c:pt>
                <c:pt idx="20">
                  <c:v>51.166500000000006</c:v>
                </c:pt>
                <c:pt idx="21">
                  <c:v>50.861199999999997</c:v>
                </c:pt>
                <c:pt idx="22">
                  <c:v>50.762500000000003</c:v>
                </c:pt>
                <c:pt idx="23">
                  <c:v>50.783299999999997</c:v>
                </c:pt>
                <c:pt idx="24">
                  <c:v>50.77</c:v>
                </c:pt>
                <c:pt idx="25">
                  <c:v>50.797699999999999</c:v>
                </c:pt>
                <c:pt idx="26">
                  <c:v>50.9069</c:v>
                </c:pt>
                <c:pt idx="27">
                  <c:v>51.001700000000007</c:v>
                </c:pt>
                <c:pt idx="28">
                  <c:v>51.103600000000007</c:v>
                </c:pt>
                <c:pt idx="29">
                  <c:v>51.213799999999999</c:v>
                </c:pt>
                <c:pt idx="30">
                  <c:v>51.3551</c:v>
                </c:pt>
                <c:pt idx="31">
                  <c:v>51.509300000000003</c:v>
                </c:pt>
                <c:pt idx="32">
                  <c:v>51.627400000000002</c:v>
                </c:pt>
                <c:pt idx="33">
                  <c:v>51.738300000000002</c:v>
                </c:pt>
                <c:pt idx="34">
                  <c:v>51.812400000000004</c:v>
                </c:pt>
                <c:pt idx="35">
                  <c:v>51.772500000000001</c:v>
                </c:pt>
                <c:pt idx="36">
                  <c:v>51.624600000000001</c:v>
                </c:pt>
                <c:pt idx="37">
                  <c:v>51.449399999999997</c:v>
                </c:pt>
                <c:pt idx="38">
                  <c:v>51.273100000000007</c:v>
                </c:pt>
                <c:pt idx="39">
                  <c:v>51.072399999999995</c:v>
                </c:pt>
                <c:pt idx="40">
                  <c:v>50.841700000000003</c:v>
                </c:pt>
                <c:pt idx="41">
                  <c:v>50.682499999999997</c:v>
                </c:pt>
                <c:pt idx="42">
                  <c:v>50.572300000000006</c:v>
                </c:pt>
                <c:pt idx="43">
                  <c:v>50.517100000000006</c:v>
                </c:pt>
                <c:pt idx="44">
                  <c:v>50.531700000000001</c:v>
                </c:pt>
                <c:pt idx="45">
                  <c:v>50.624899999999997</c:v>
                </c:pt>
                <c:pt idx="46">
                  <c:v>50.662600000000005</c:v>
                </c:pt>
                <c:pt idx="47">
                  <c:v>50.612900000000003</c:v>
                </c:pt>
                <c:pt idx="48">
                  <c:v>50.593600000000002</c:v>
                </c:pt>
                <c:pt idx="49">
                  <c:v>50.675699999999999</c:v>
                </c:pt>
                <c:pt idx="50">
                  <c:v>50.764699999999998</c:v>
                </c:pt>
                <c:pt idx="51">
                  <c:v>50.780899999999995</c:v>
                </c:pt>
                <c:pt idx="52">
                  <c:v>50.7652</c:v>
                </c:pt>
                <c:pt idx="53">
                  <c:v>50.621099999999998</c:v>
                </c:pt>
                <c:pt idx="54">
                  <c:v>50.342500000000001</c:v>
                </c:pt>
                <c:pt idx="55">
                  <c:v>49.902200000000001</c:v>
                </c:pt>
                <c:pt idx="56">
                  <c:v>49.020200000000003</c:v>
                </c:pt>
                <c:pt idx="57">
                  <c:v>48.499600000000001</c:v>
                </c:pt>
                <c:pt idx="58">
                  <c:v>48.155200000000001</c:v>
                </c:pt>
                <c:pt idx="59">
                  <c:v>47.270400000000002</c:v>
                </c:pt>
                <c:pt idx="60">
                  <c:v>46.893099999999997</c:v>
                </c:pt>
                <c:pt idx="61">
                  <c:v>46.146799999999999</c:v>
                </c:pt>
                <c:pt idx="62">
                  <c:v>45.827600000000004</c:v>
                </c:pt>
                <c:pt idx="63">
                  <c:v>45.646500000000003</c:v>
                </c:pt>
                <c:pt idx="64">
                  <c:v>45.5379</c:v>
                </c:pt>
                <c:pt idx="65">
                  <c:v>45.637100000000004</c:v>
                </c:pt>
                <c:pt idx="66">
                  <c:v>45.694200000000002</c:v>
                </c:pt>
                <c:pt idx="67">
                  <c:v>45.783099999999997</c:v>
                </c:pt>
                <c:pt idx="68">
                  <c:v>45.830599999999997</c:v>
                </c:pt>
                <c:pt idx="69">
                  <c:v>45.873000000000005</c:v>
                </c:pt>
                <c:pt idx="70">
                  <c:v>45.900100000000002</c:v>
                </c:pt>
                <c:pt idx="71">
                  <c:v>45.947500000000005</c:v>
                </c:pt>
                <c:pt idx="72">
                  <c:v>45.981999999999999</c:v>
                </c:pt>
                <c:pt idx="73">
                  <c:v>45.875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4.1479900000000001</c:v>
                </c:pt>
                <c:pt idx="1">
                  <c:v>4.1262300000000005</c:v>
                </c:pt>
                <c:pt idx="2">
                  <c:v>4.1119300000000001</c:v>
                </c:pt>
                <c:pt idx="3">
                  <c:v>4.0925799999999999</c:v>
                </c:pt>
                <c:pt idx="4">
                  <c:v>4.0705599999999995</c:v>
                </c:pt>
                <c:pt idx="5">
                  <c:v>4.0447499999999996</c:v>
                </c:pt>
                <c:pt idx="6">
                  <c:v>4.0124700000000004</c:v>
                </c:pt>
                <c:pt idx="7">
                  <c:v>3.9719300000000004</c:v>
                </c:pt>
                <c:pt idx="8">
                  <c:v>3.9229500000000002</c:v>
                </c:pt>
                <c:pt idx="9">
                  <c:v>3.87059</c:v>
                </c:pt>
                <c:pt idx="10">
                  <c:v>3.8139600000000002</c:v>
                </c:pt>
                <c:pt idx="11">
                  <c:v>3.7570199999999998</c:v>
                </c:pt>
                <c:pt idx="12">
                  <c:v>3.7014200000000002</c:v>
                </c:pt>
                <c:pt idx="13">
                  <c:v>3.6461399999999999</c:v>
                </c:pt>
                <c:pt idx="14">
                  <c:v>3.59694</c:v>
                </c:pt>
                <c:pt idx="15">
                  <c:v>3.5521399999999996</c:v>
                </c:pt>
                <c:pt idx="16">
                  <c:v>3.5169899999999998</c:v>
                </c:pt>
                <c:pt idx="17">
                  <c:v>3.4929999999999999</c:v>
                </c:pt>
                <c:pt idx="18">
                  <c:v>3.4767999999999999</c:v>
                </c:pt>
                <c:pt idx="19">
                  <c:v>3.46949</c:v>
                </c:pt>
                <c:pt idx="20">
                  <c:v>3.4706799999999998</c:v>
                </c:pt>
                <c:pt idx="21">
                  <c:v>3.4776000000000002</c:v>
                </c:pt>
                <c:pt idx="22">
                  <c:v>3.4878</c:v>
                </c:pt>
                <c:pt idx="23">
                  <c:v>3.50143</c:v>
                </c:pt>
                <c:pt idx="24">
                  <c:v>3.52081</c:v>
                </c:pt>
                <c:pt idx="25">
                  <c:v>3.5467500000000003</c:v>
                </c:pt>
                <c:pt idx="26">
                  <c:v>3.5769600000000001</c:v>
                </c:pt>
                <c:pt idx="27">
                  <c:v>3.6080800000000002</c:v>
                </c:pt>
                <c:pt idx="28">
                  <c:v>3.6397699999999999</c:v>
                </c:pt>
                <c:pt idx="29">
                  <c:v>3.6706799999999999</c:v>
                </c:pt>
                <c:pt idx="30">
                  <c:v>3.6966700000000001</c:v>
                </c:pt>
                <c:pt idx="31">
                  <c:v>3.7190400000000001</c:v>
                </c:pt>
                <c:pt idx="32">
                  <c:v>3.7397299999999998</c:v>
                </c:pt>
                <c:pt idx="33">
                  <c:v>3.7613400000000001</c:v>
                </c:pt>
                <c:pt idx="34">
                  <c:v>3.7823200000000003</c:v>
                </c:pt>
                <c:pt idx="35">
                  <c:v>3.7991000000000001</c:v>
                </c:pt>
                <c:pt idx="36">
                  <c:v>3.8124000000000002</c:v>
                </c:pt>
                <c:pt idx="37">
                  <c:v>3.8226700000000005</c:v>
                </c:pt>
                <c:pt idx="38">
                  <c:v>3.8305600000000002</c:v>
                </c:pt>
                <c:pt idx="39">
                  <c:v>3.8372800000000002</c:v>
                </c:pt>
                <c:pt idx="40">
                  <c:v>3.8416099999999997</c:v>
                </c:pt>
                <c:pt idx="41">
                  <c:v>3.8468999999999998</c:v>
                </c:pt>
                <c:pt idx="42">
                  <c:v>3.8494600000000001</c:v>
                </c:pt>
                <c:pt idx="43">
                  <c:v>3.8536700000000002</c:v>
                </c:pt>
                <c:pt idx="44">
                  <c:v>3.8564799999999999</c:v>
                </c:pt>
                <c:pt idx="45">
                  <c:v>3.8569900000000001</c:v>
                </c:pt>
                <c:pt idx="46">
                  <c:v>3.8572499999999996</c:v>
                </c:pt>
                <c:pt idx="47">
                  <c:v>3.8565800000000001</c:v>
                </c:pt>
                <c:pt idx="48">
                  <c:v>3.8536100000000002</c:v>
                </c:pt>
                <c:pt idx="49">
                  <c:v>3.8472400000000002</c:v>
                </c:pt>
                <c:pt idx="50">
                  <c:v>3.8400800000000004</c:v>
                </c:pt>
                <c:pt idx="51">
                  <c:v>3.8266899999999997</c:v>
                </c:pt>
                <c:pt idx="52">
                  <c:v>3.81229</c:v>
                </c:pt>
                <c:pt idx="53">
                  <c:v>3.79765</c:v>
                </c:pt>
                <c:pt idx="54">
                  <c:v>3.7817699999999999</c:v>
                </c:pt>
                <c:pt idx="55">
                  <c:v>3.7697599999999998</c:v>
                </c:pt>
                <c:pt idx="56">
                  <c:v>3.7617000000000003</c:v>
                </c:pt>
                <c:pt idx="57">
                  <c:v>3.7580599999999995</c:v>
                </c:pt>
                <c:pt idx="58">
                  <c:v>3.7541400000000005</c:v>
                </c:pt>
                <c:pt idx="59">
                  <c:v>3.7519200000000001</c:v>
                </c:pt>
                <c:pt idx="60">
                  <c:v>3.7549399999999999</c:v>
                </c:pt>
                <c:pt idx="61">
                  <c:v>3.7624499999999999</c:v>
                </c:pt>
                <c:pt idx="62">
                  <c:v>3.7754799999999999</c:v>
                </c:pt>
                <c:pt idx="63">
                  <c:v>3.7933699999999999</c:v>
                </c:pt>
                <c:pt idx="64">
                  <c:v>3.81237</c:v>
                </c:pt>
                <c:pt idx="65">
                  <c:v>3.8367899999999997</c:v>
                </c:pt>
                <c:pt idx="66">
                  <c:v>3.8521200000000002</c:v>
                </c:pt>
                <c:pt idx="67">
                  <c:v>3.86747</c:v>
                </c:pt>
                <c:pt idx="68">
                  <c:v>3.8752500000000003</c:v>
                </c:pt>
                <c:pt idx="69">
                  <c:v>3.8805000000000001</c:v>
                </c:pt>
                <c:pt idx="70">
                  <c:v>3.8864700000000001</c:v>
                </c:pt>
                <c:pt idx="71">
                  <c:v>3.88537</c:v>
                </c:pt>
                <c:pt idx="72">
                  <c:v>3.8835100000000002</c:v>
                </c:pt>
                <c:pt idx="73">
                  <c:v>3.8967800000000001</c:v>
                </c:pt>
                <c:pt idx="74">
                  <c:v>3.9226200000000002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45.875</c:v>
                </c:pt>
                <c:pt idx="1">
                  <c:v>45.5336</c:v>
                </c:pt>
                <c:pt idx="2">
                  <c:v>45.183700000000002</c:v>
                </c:pt>
                <c:pt idx="3">
                  <c:v>44.745200000000004</c:v>
                </c:pt>
                <c:pt idx="4">
                  <c:v>44.3309</c:v>
                </c:pt>
                <c:pt idx="5">
                  <c:v>43.959399999999995</c:v>
                </c:pt>
                <c:pt idx="6">
                  <c:v>43.66</c:v>
                </c:pt>
                <c:pt idx="7">
                  <c:v>43.4848</c:v>
                </c:pt>
                <c:pt idx="8">
                  <c:v>43.458300000000001</c:v>
                </c:pt>
                <c:pt idx="9">
                  <c:v>43.542199999999994</c:v>
                </c:pt>
                <c:pt idx="10">
                  <c:v>43.906300000000002</c:v>
                </c:pt>
                <c:pt idx="11">
                  <c:v>44.616399999999999</c:v>
                </c:pt>
                <c:pt idx="12">
                  <c:v>45.61</c:v>
                </c:pt>
                <c:pt idx="13">
                  <c:v>46.880400000000002</c:v>
                </c:pt>
                <c:pt idx="14">
                  <c:v>48.170400000000001</c:v>
                </c:pt>
                <c:pt idx="15">
                  <c:v>49.595800000000004</c:v>
                </c:pt>
                <c:pt idx="16">
                  <c:v>50.868899999999996</c:v>
                </c:pt>
                <c:pt idx="17">
                  <c:v>51.944199999999995</c:v>
                </c:pt>
                <c:pt idx="18">
                  <c:v>52.9054</c:v>
                </c:pt>
                <c:pt idx="19">
                  <c:v>53.758099999999999</c:v>
                </c:pt>
                <c:pt idx="20">
                  <c:v>54.386199999999995</c:v>
                </c:pt>
                <c:pt idx="21">
                  <c:v>54.821899999999999</c:v>
                </c:pt>
                <c:pt idx="22">
                  <c:v>55.124899999999997</c:v>
                </c:pt>
                <c:pt idx="23">
                  <c:v>55.2821</c:v>
                </c:pt>
                <c:pt idx="24">
                  <c:v>55.322899999999997</c:v>
                </c:pt>
                <c:pt idx="25">
                  <c:v>55.272399999999998</c:v>
                </c:pt>
                <c:pt idx="26">
                  <c:v>55.196999999999996</c:v>
                </c:pt>
                <c:pt idx="27">
                  <c:v>55.195999999999998</c:v>
                </c:pt>
                <c:pt idx="28">
                  <c:v>55.239600000000003</c:v>
                </c:pt>
                <c:pt idx="29">
                  <c:v>55.301000000000002</c:v>
                </c:pt>
                <c:pt idx="30">
                  <c:v>55.470500000000001</c:v>
                </c:pt>
                <c:pt idx="31">
                  <c:v>55.739700000000006</c:v>
                </c:pt>
                <c:pt idx="32">
                  <c:v>56.015300000000003</c:v>
                </c:pt>
                <c:pt idx="33">
                  <c:v>56.292200000000001</c:v>
                </c:pt>
                <c:pt idx="34">
                  <c:v>56.528300000000002</c:v>
                </c:pt>
                <c:pt idx="35">
                  <c:v>56.706100000000006</c:v>
                </c:pt>
                <c:pt idx="36">
                  <c:v>56.7986</c:v>
                </c:pt>
                <c:pt idx="37">
                  <c:v>56.799799999999998</c:v>
                </c:pt>
                <c:pt idx="38">
                  <c:v>56.710999999999999</c:v>
                </c:pt>
                <c:pt idx="39">
                  <c:v>56.588099999999997</c:v>
                </c:pt>
                <c:pt idx="40">
                  <c:v>56.437199999999997</c:v>
                </c:pt>
                <c:pt idx="41">
                  <c:v>56.266300000000001</c:v>
                </c:pt>
                <c:pt idx="42">
                  <c:v>56.057699999999997</c:v>
                </c:pt>
                <c:pt idx="43">
                  <c:v>55.751799999999996</c:v>
                </c:pt>
                <c:pt idx="44">
                  <c:v>55.398699999999998</c:v>
                </c:pt>
                <c:pt idx="45">
                  <c:v>55.043200000000006</c:v>
                </c:pt>
                <c:pt idx="46">
                  <c:v>54.679000000000002</c:v>
                </c:pt>
                <c:pt idx="47">
                  <c:v>54.325800000000001</c:v>
                </c:pt>
                <c:pt idx="48">
                  <c:v>54.014200000000002</c:v>
                </c:pt>
                <c:pt idx="49">
                  <c:v>53.738699999999994</c:v>
                </c:pt>
                <c:pt idx="50">
                  <c:v>53.477200000000003</c:v>
                </c:pt>
                <c:pt idx="51">
                  <c:v>53.349000000000004</c:v>
                </c:pt>
                <c:pt idx="52">
                  <c:v>53.212699999999998</c:v>
                </c:pt>
                <c:pt idx="53">
                  <c:v>53.104500000000002</c:v>
                </c:pt>
                <c:pt idx="54">
                  <c:v>53.056499999999993</c:v>
                </c:pt>
                <c:pt idx="55">
                  <c:v>52.957200000000007</c:v>
                </c:pt>
                <c:pt idx="56">
                  <c:v>52.770399999999995</c:v>
                </c:pt>
                <c:pt idx="57">
                  <c:v>52.574399999999997</c:v>
                </c:pt>
                <c:pt idx="58">
                  <c:v>52.401299999999992</c:v>
                </c:pt>
                <c:pt idx="59">
                  <c:v>52.259199999999993</c:v>
                </c:pt>
                <c:pt idx="60">
                  <c:v>52.160700000000006</c:v>
                </c:pt>
                <c:pt idx="61">
                  <c:v>52.041899999999998</c:v>
                </c:pt>
                <c:pt idx="62">
                  <c:v>51.962899999999998</c:v>
                </c:pt>
                <c:pt idx="63">
                  <c:v>51.9985</c:v>
                </c:pt>
                <c:pt idx="64">
                  <c:v>52.027900000000002</c:v>
                </c:pt>
                <c:pt idx="65">
                  <c:v>51.983900000000006</c:v>
                </c:pt>
                <c:pt idx="66">
                  <c:v>51.800699999999999</c:v>
                </c:pt>
                <c:pt idx="67">
                  <c:v>51.561800000000005</c:v>
                </c:pt>
                <c:pt idx="68">
                  <c:v>51.387300000000003</c:v>
                </c:pt>
                <c:pt idx="69">
                  <c:v>51.261199999999995</c:v>
                </c:pt>
                <c:pt idx="70">
                  <c:v>51.147100000000002</c:v>
                </c:pt>
                <c:pt idx="71">
                  <c:v>51.196399999999997</c:v>
                </c:pt>
                <c:pt idx="72">
                  <c:v>51.270600000000002</c:v>
                </c:pt>
                <c:pt idx="73">
                  <c:v>51.193100000000001</c:v>
                </c:pt>
                <c:pt idx="74">
                  <c:v>50.893000000000001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2.2598599999999998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63.871500000000005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3.634146486486487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52.076112162162133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3.7784986486486485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52.104183783783768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3.7784986486486485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52.104183783783768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15</xdr:row>
      <xdr:rowOff>0</xdr:rowOff>
    </xdr:from>
    <xdr:to>
      <xdr:col>8</xdr:col>
      <xdr:colOff>304800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15</xdr:row>
      <xdr:rowOff>0</xdr:rowOff>
    </xdr:from>
    <xdr:to>
      <xdr:col>10</xdr:col>
      <xdr:colOff>609600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9.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7" t="s">
        <v>570</v>
      </c>
      <c r="D5" s="191"/>
      <c r="E5" s="191"/>
      <c r="F5" s="192"/>
      <c r="G5" s="48" t="str">
        <f>lang!B27</f>
        <v>编号</v>
      </c>
      <c r="H5" s="190">
        <v>12</v>
      </c>
      <c r="I5" s="191"/>
      <c r="J5" s="191"/>
      <c r="K5" s="193"/>
    </row>
    <row r="6" spans="2:21" ht="17.25" customHeight="1">
      <c r="B6" s="46" t="str">
        <f>lang!B25</f>
        <v>性别</v>
      </c>
      <c r="C6" s="198" t="s">
        <v>569</v>
      </c>
      <c r="D6" s="145"/>
      <c r="E6" s="145"/>
      <c r="F6" s="146"/>
      <c r="G6" s="49" t="str">
        <f>lang!B28</f>
        <v xml:space="preserve"> 日期</v>
      </c>
      <c r="H6" s="129">
        <f>FH_info!A2</f>
        <v>43605.740682870368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>
        <v>65</v>
      </c>
      <c r="D7" s="148"/>
      <c r="E7" s="148"/>
      <c r="F7" s="149"/>
      <c r="G7" s="50" t="str">
        <f>lang!B29</f>
        <v>误差率（%）</v>
      </c>
      <c r="H7" s="132">
        <f>M!B17*1</f>
        <v>20.4678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37.6541</v>
      </c>
      <c r="O8" s="59">
        <f>M!C5*1</f>
        <v>7.6993600000000004</v>
      </c>
      <c r="P8" s="59">
        <f>M!D5*1</f>
        <v>20.447600000000001</v>
      </c>
      <c r="Q8" s="59">
        <f>M!E5*1</f>
        <v>20</v>
      </c>
      <c r="R8" s="59">
        <f>M!F5*1</f>
        <v>10.509600000000001</v>
      </c>
      <c r="S8" s="59">
        <f>M!G5*1</f>
        <v>50</v>
      </c>
      <c r="T8" s="59">
        <f>M!H5*1</f>
        <v>45.387099999999997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28.479500000000002</v>
      </c>
      <c r="O9" s="59">
        <f>M!C6*1</f>
        <v>2.5129299999999999</v>
      </c>
      <c r="P9" s="59">
        <f>M!D6*1</f>
        <v>8.8236299999999996</v>
      </c>
      <c r="Q9" s="59">
        <f>M!E6*1</f>
        <v>20</v>
      </c>
      <c r="R9" s="59">
        <f>M!F6*1</f>
        <v>19.7973</v>
      </c>
      <c r="S9" s="59">
        <f>M!G6*1</f>
        <v>40</v>
      </c>
      <c r="T9" s="59">
        <f>M!H6*1</f>
        <v>32.273299999999999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10.509600000000001</v>
      </c>
      <c r="D10" s="99">
        <f>N8</f>
        <v>37.6541</v>
      </c>
      <c r="E10" s="100">
        <f>T8</f>
        <v>45.387099999999997</v>
      </c>
      <c r="F10" s="91">
        <f>P8</f>
        <v>20.447600000000001</v>
      </c>
      <c r="G10" s="81" t="str">
        <f>CONCATENATE(M9,"
(20 ~ 40)")</f>
        <v>压力
(20 ~ 40)</v>
      </c>
      <c r="H10" s="98">
        <f>R9</f>
        <v>19.7973</v>
      </c>
      <c r="I10" s="108">
        <f>N9</f>
        <v>28.479500000000002</v>
      </c>
      <c r="J10" s="98">
        <f>T9</f>
        <v>32.273299999999999</v>
      </c>
      <c r="K10" s="92">
        <f>P9</f>
        <v>8.8236299999999996</v>
      </c>
      <c r="L10" s="6"/>
      <c r="M10" s="27" t="str">
        <f>lang!B16</f>
        <v>焦虑</v>
      </c>
      <c r="N10" s="59">
        <f>M!B7*1</f>
        <v>20.475899999999999</v>
      </c>
      <c r="O10" s="59">
        <f>M!C7*1</f>
        <v>9.6038300000000003</v>
      </c>
      <c r="P10" s="59">
        <f>M!D7*1</f>
        <v>46.903199999999998</v>
      </c>
      <c r="Q10" s="59">
        <f>M!E7*1</f>
        <v>15</v>
      </c>
      <c r="R10" s="59">
        <f>M!F7*1</f>
        <v>2.6770399999999999</v>
      </c>
      <c r="S10" s="59">
        <f>M!G7*1</f>
        <v>40</v>
      </c>
      <c r="T10" s="59">
        <f>M!H7*1</f>
        <v>41.509900000000002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2.6770399999999999</v>
      </c>
      <c r="D11" s="102">
        <f>N10</f>
        <v>20.475899999999999</v>
      </c>
      <c r="E11" s="103">
        <f>T10</f>
        <v>41.509900000000002</v>
      </c>
      <c r="F11" s="94">
        <f>P10</f>
        <v>46.903199999999998</v>
      </c>
      <c r="G11" s="52" t="str">
        <f>CONCATENATE(M11,"
(20 ~ 50)")</f>
        <v>可疑
(20 ~ 50)</v>
      </c>
      <c r="H11" s="101">
        <f>R11</f>
        <v>13.0131</v>
      </c>
      <c r="I11" s="104">
        <f>N11</f>
        <v>28.615400000000001</v>
      </c>
      <c r="J11" s="101">
        <f>T11</f>
        <v>36.2485</v>
      </c>
      <c r="K11" s="95">
        <f>P11</f>
        <v>16.830100000000002</v>
      </c>
      <c r="L11" s="4"/>
      <c r="M11" s="27" t="str">
        <f>lang!B17</f>
        <v>可疑</v>
      </c>
      <c r="N11" s="59">
        <f>M!B8*1</f>
        <v>28.615400000000001</v>
      </c>
      <c r="O11" s="59">
        <f>M!C8*1</f>
        <v>4.8159999999999998</v>
      </c>
      <c r="P11" s="59">
        <f>M!D8*1</f>
        <v>16.830100000000002</v>
      </c>
      <c r="Q11" s="59">
        <f>M!E8*1</f>
        <v>20</v>
      </c>
      <c r="R11" s="59">
        <f>M!F8*1</f>
        <v>13.0131</v>
      </c>
      <c r="S11" s="59">
        <f>M!G8*1</f>
        <v>50</v>
      </c>
      <c r="T11" s="59">
        <f>M!H8*1</f>
        <v>36.2485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59.5364</v>
      </c>
      <c r="D12" s="104">
        <f>N12</f>
        <v>73.319400000000002</v>
      </c>
      <c r="E12" s="101">
        <f>T12</f>
        <v>85.961299999999994</v>
      </c>
      <c r="F12" s="93">
        <f>P12</f>
        <v>7.7069299999999998</v>
      </c>
      <c r="G12" s="52" t="str">
        <f>CONCATENATE(M13,"
(40 ~ 100)")</f>
        <v>自信
(40 ~ 100)</v>
      </c>
      <c r="H12" s="101">
        <f>R13</f>
        <v>70.873699999999999</v>
      </c>
      <c r="I12" s="104">
        <f>N13</f>
        <v>75.680899999999994</v>
      </c>
      <c r="J12" s="101">
        <f>T13</f>
        <v>80.349900000000005</v>
      </c>
      <c r="K12" s="95">
        <f>P13</f>
        <v>2.9944299999999999</v>
      </c>
      <c r="L12" s="4"/>
      <c r="M12" s="27" t="str">
        <f>lang!B18</f>
        <v>平衡</v>
      </c>
      <c r="N12" s="59">
        <f>M!B9*1</f>
        <v>73.319400000000002</v>
      </c>
      <c r="O12" s="59">
        <f>M!C9*1</f>
        <v>5.6506699999999999</v>
      </c>
      <c r="P12" s="59">
        <f>M!D9*1</f>
        <v>7.7069299999999998</v>
      </c>
      <c r="Q12" s="59">
        <f>M!E9*1</f>
        <v>50</v>
      </c>
      <c r="R12" s="59">
        <f>M!F9*1</f>
        <v>59.5364</v>
      </c>
      <c r="S12" s="59">
        <f>M!G9*1</f>
        <v>100</v>
      </c>
      <c r="T12" s="59">
        <f>M!H9*1</f>
        <v>85.961299999999994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8.7761800000000001</v>
      </c>
      <c r="D13" s="102">
        <f>N14</f>
        <v>27.629200000000001</v>
      </c>
      <c r="E13" s="103">
        <f>T14</f>
        <v>34.603999999999999</v>
      </c>
      <c r="F13" s="94">
        <f>P14</f>
        <v>19.550699999999999</v>
      </c>
      <c r="G13" s="52" t="str">
        <f>CONCATENATE(M15,"
(50 ~ 100)")</f>
        <v>自我调节
(50 ~ 100)</v>
      </c>
      <c r="H13" s="101">
        <f>R15</f>
        <v>67.508600000000001</v>
      </c>
      <c r="I13" s="104">
        <f>N15</f>
        <v>74.015799999999999</v>
      </c>
      <c r="J13" s="101">
        <f>T15</f>
        <v>80.558199999999999</v>
      </c>
      <c r="K13" s="95">
        <f>P15</f>
        <v>3.8960599999999999</v>
      </c>
      <c r="L13" s="4"/>
      <c r="M13" s="27" t="str">
        <f>lang!B19</f>
        <v>自信</v>
      </c>
      <c r="N13" s="59">
        <f>M!B10*1</f>
        <v>75.680899999999994</v>
      </c>
      <c r="O13" s="59">
        <f>M!C10*1</f>
        <v>2.2662100000000001</v>
      </c>
      <c r="P13" s="59">
        <f>M!D10*1</f>
        <v>2.9944299999999999</v>
      </c>
      <c r="Q13" s="59">
        <f>M!E10*1</f>
        <v>40</v>
      </c>
      <c r="R13" s="59">
        <f>M!F10*1</f>
        <v>70.873699999999999</v>
      </c>
      <c r="S13" s="59">
        <f>M!G10*1</f>
        <v>100</v>
      </c>
      <c r="T13" s="59">
        <f>M!H10*1</f>
        <v>80.349900000000005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13.3432</v>
      </c>
      <c r="D14" s="106">
        <f>N16</f>
        <v>21.348800000000001</v>
      </c>
      <c r="E14" s="107">
        <f>T16</f>
        <v>61.5807</v>
      </c>
      <c r="F14" s="96">
        <f>P16</f>
        <v>39.597700000000003</v>
      </c>
      <c r="G14" s="112" t="str">
        <f>CONCATENATE(M17,"
(10 ~ 50)")</f>
        <v>神经质
(10 ~ 50)</v>
      </c>
      <c r="H14" s="105">
        <f>R17</f>
        <v>2.2558400000000001</v>
      </c>
      <c r="I14" s="106">
        <f>N17</f>
        <v>84.5364</v>
      </c>
      <c r="J14" s="107">
        <f>T17</f>
        <v>127.17100000000001</v>
      </c>
      <c r="K14" s="97">
        <f>P17</f>
        <v>37.927799999999998</v>
      </c>
      <c r="M14" s="27" t="str">
        <f>lang!B20</f>
        <v>活力</v>
      </c>
      <c r="N14" s="59">
        <f>M!B11*1</f>
        <v>27.629200000000001</v>
      </c>
      <c r="O14" s="59">
        <f>M!C11*1</f>
        <v>5.4016999999999999</v>
      </c>
      <c r="P14" s="59">
        <f>M!D11*1</f>
        <v>19.550699999999999</v>
      </c>
      <c r="Q14" s="59">
        <f>M!E11*1</f>
        <v>10</v>
      </c>
      <c r="R14" s="59">
        <f>M!F11*1</f>
        <v>8.7761800000000001</v>
      </c>
      <c r="S14" s="59">
        <f>M!G11*1</f>
        <v>50</v>
      </c>
      <c r="T14" s="59">
        <f>M!H11*1</f>
        <v>34.603999999999999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74.015799999999999</v>
      </c>
      <c r="O15" s="59">
        <f>M!C12*1</f>
        <v>2.8837000000000002</v>
      </c>
      <c r="P15" s="59">
        <f>M!D12*1</f>
        <v>3.8960599999999999</v>
      </c>
      <c r="Q15" s="59">
        <f>M!E12*1</f>
        <v>50</v>
      </c>
      <c r="R15" s="59">
        <f>M!F12*1</f>
        <v>67.508600000000001</v>
      </c>
      <c r="S15" s="59">
        <f>M!G12*1</f>
        <v>100</v>
      </c>
      <c r="T15" s="59">
        <f>M!H12*1</f>
        <v>80.558199999999999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21.348800000000001</v>
      </c>
      <c r="O16" s="59">
        <f>M!C13*1</f>
        <v>8.45364</v>
      </c>
      <c r="P16" s="59">
        <f>M!D13*1</f>
        <v>39.597700000000003</v>
      </c>
      <c r="Q16" s="59">
        <f>M!E13*1</f>
        <v>10</v>
      </c>
      <c r="R16" s="59">
        <f>M!F13*1</f>
        <v>13.3432</v>
      </c>
      <c r="S16" s="59">
        <f>M!G13*1</f>
        <v>25</v>
      </c>
      <c r="T16" s="59">
        <f>M!H13*1</f>
        <v>61.5807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84.5364</v>
      </c>
      <c r="O17" s="59">
        <f>M!C14*1</f>
        <v>32.062800000000003</v>
      </c>
      <c r="P17" s="59">
        <f>M!D14*1</f>
        <v>37.927799999999998</v>
      </c>
      <c r="Q17" s="59">
        <f>M!E14*1</f>
        <v>10</v>
      </c>
      <c r="R17" s="59">
        <f>M!F14*1</f>
        <v>2.2558400000000001</v>
      </c>
      <c r="S17" s="59">
        <f>M!G14*1</f>
        <v>50</v>
      </c>
      <c r="T17" s="59">
        <f>M!H14*1</f>
        <v>127.17100000000001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62.661324999999991</v>
      </c>
      <c r="O18" s="22">
        <f>N18/(N18+N19+N20)</f>
        <v>0.43391219384510021</v>
      </c>
      <c r="P18" s="65">
        <f>SUM(P12:P15)/4</f>
        <v>8.5370299999999997</v>
      </c>
      <c r="Q18" s="22">
        <f>P18/(P18+P19+P20)</f>
        <v>0.12100523859276803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28.806224999999998</v>
      </c>
      <c r="O19" s="22">
        <f>N19/(N18+N19+N20)</f>
        <v>0.19947507152371216</v>
      </c>
      <c r="P19" s="18">
        <f>SUM(P8:P11)/4</f>
        <v>23.251132500000001</v>
      </c>
      <c r="Q19" s="22">
        <f>P19/(P18+P19+P20)</f>
        <v>0.32956529796832895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52.942599999999999</v>
      </c>
      <c r="O20" s="22">
        <f>N20/(N18+N19+N20)</f>
        <v>0.36661273463118765</v>
      </c>
      <c r="P20" s="18">
        <f>(P16+P17)/2</f>
        <v>38.762749999999997</v>
      </c>
      <c r="Q20" s="22">
        <f>P20/(P18+P19+P20)</f>
        <v>0.54942946343890309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-1.4154499999999848E-2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1.7940951168154367</v>
      </c>
      <c r="D25" s="44" t="str">
        <f>lang!B11</f>
        <v>频率方差</v>
      </c>
      <c r="E25" s="182">
        <f ca="1">FH!L3</f>
        <v>0.53610029067691634</v>
      </c>
      <c r="F25" s="183"/>
      <c r="G25" s="174" t="str">
        <f>lang!B12</f>
        <v>生理变化率</v>
      </c>
      <c r="H25" s="175"/>
      <c r="I25" s="62" t="str">
        <f ca="1">CONCATENATE(info!M7,"-",info!M8)</f>
        <v>43.5-63.9</v>
      </c>
      <c r="J25" s="42" t="str">
        <f>lang!B13</f>
        <v>千卡l/分钟</v>
      </c>
      <c r="K25" s="41" t="str">
        <f ca="1">CONCATENATE(info!M5,"-",info!M6)</f>
        <v>2.3-4.2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100%]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60.194299999999998</v>
      </c>
      <c r="F28" s="121"/>
      <c r="G28" s="135" t="str">
        <f>lang!B33</f>
        <v>稳定性</v>
      </c>
      <c r="H28" s="136"/>
      <c r="I28" s="137"/>
      <c r="J28" s="138">
        <f>M!B19*100</f>
        <v>57.493399999999994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43605.740682870368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2.189700000000002</v>
      </c>
      <c r="O7" s="59">
        <f t="shared" ref="O7:T7" si="2">AG7-X7</f>
        <v>-6.102479999999999</v>
      </c>
      <c r="P7" s="59">
        <f t="shared" si="2"/>
        <v>-17.626079999999998</v>
      </c>
      <c r="Q7" s="59">
        <f t="shared" si="2"/>
        <v>0</v>
      </c>
      <c r="R7" s="59">
        <f t="shared" si="2"/>
        <v>19.534500000000001</v>
      </c>
      <c r="S7" s="59">
        <f t="shared" si="2"/>
        <v>0</v>
      </c>
      <c r="T7" s="59">
        <f t="shared" si="2"/>
        <v>2.6283999999999992</v>
      </c>
      <c r="U7" s="14"/>
      <c r="V7" s="27" t="str">
        <f>M7</f>
        <v>攻击性</v>
      </c>
      <c r="W7" s="59">
        <f>'M1'!B5*1</f>
        <v>35.745899999999999</v>
      </c>
      <c r="X7" s="59">
        <f>'M1'!C5*1</f>
        <v>9.5343699999999991</v>
      </c>
      <c r="Y7" s="59">
        <f>'M1'!D5*1</f>
        <v>26.672699999999999</v>
      </c>
      <c r="Z7" s="59">
        <f>'M1'!E5*1</f>
        <v>20</v>
      </c>
      <c r="AA7" s="59">
        <f>'M1'!F5*1</f>
        <v>10.509600000000001</v>
      </c>
      <c r="AB7" s="59">
        <f>'M1'!G5*1</f>
        <v>50</v>
      </c>
      <c r="AC7" s="59">
        <f>'M1'!H5*1</f>
        <v>42.758699999999997</v>
      </c>
      <c r="AE7" s="27" t="str">
        <f>V7</f>
        <v>攻击性</v>
      </c>
      <c r="AF7" s="59">
        <f>'M2'!B5*1</f>
        <v>37.935600000000001</v>
      </c>
      <c r="AG7" s="59">
        <f>'M2'!C5*1</f>
        <v>3.4318900000000001</v>
      </c>
      <c r="AH7" s="59">
        <f>'M2'!D5*1</f>
        <v>9.0466200000000008</v>
      </c>
      <c r="AI7" s="59">
        <f>'M2'!E5*1</f>
        <v>20</v>
      </c>
      <c r="AJ7" s="59">
        <f>'M2'!F5*1</f>
        <v>30.0441</v>
      </c>
      <c r="AK7" s="59">
        <f>'M2'!G5*1</f>
        <v>50</v>
      </c>
      <c r="AL7" s="59">
        <f>'M2'!H5*1</f>
        <v>45.387099999999997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-0.65719999999999956</v>
      </c>
      <c r="O8" s="59">
        <f t="shared" ref="O8:O16" si="5">AG8-X8</f>
        <v>-1.3029500000000001</v>
      </c>
      <c r="P8" s="59">
        <f t="shared" ref="P8:P16" si="6">AH8-Y8</f>
        <v>-4.3738099999999998</v>
      </c>
      <c r="Q8" s="59">
        <f t="shared" ref="Q8:Q16" si="7">AI8-Z8</f>
        <v>0</v>
      </c>
      <c r="R8" s="59">
        <f t="shared" ref="R8:R16" si="8">AJ8-AA8</f>
        <v>5.3582999999999998</v>
      </c>
      <c r="S8" s="59">
        <f t="shared" ref="S8:S16" si="9">AK8-AB8</f>
        <v>0</v>
      </c>
      <c r="T8" s="59">
        <f t="shared" ref="T8:T16" si="10">AL8-AC8</f>
        <v>-0.43449999999999989</v>
      </c>
      <c r="U8" s="15"/>
      <c r="V8" s="27" t="str">
        <f t="shared" ref="V8:V16" si="11">M8</f>
        <v>压力</v>
      </c>
      <c r="W8" s="59">
        <f>'M1'!B6*1</f>
        <v>28.8567</v>
      </c>
      <c r="X8" s="59">
        <f>'M1'!C6*1</f>
        <v>3.0539700000000001</v>
      </c>
      <c r="Y8" s="59">
        <f>'M1'!D6*1</f>
        <v>10.5832</v>
      </c>
      <c r="Z8" s="59">
        <f>'M1'!E6*1</f>
        <v>20</v>
      </c>
      <c r="AA8" s="59">
        <f>'M1'!F6*1</f>
        <v>19.7973</v>
      </c>
      <c r="AB8" s="59">
        <f>'M1'!G6*1</f>
        <v>40</v>
      </c>
      <c r="AC8" s="59">
        <f>'M1'!H6*1</f>
        <v>32.273299999999999</v>
      </c>
      <c r="AE8" s="27" t="str">
        <f t="shared" ref="AE8:AE16" si="12">V8</f>
        <v>压力</v>
      </c>
      <c r="AF8" s="59">
        <f>'M2'!B6*1</f>
        <v>28.1995</v>
      </c>
      <c r="AG8" s="59">
        <f>'M2'!C6*1</f>
        <v>1.75102</v>
      </c>
      <c r="AH8" s="59">
        <f>'M2'!D6*1</f>
        <v>6.20939</v>
      </c>
      <c r="AI8" s="59">
        <f>'M2'!E6*1</f>
        <v>20</v>
      </c>
      <c r="AJ8" s="59">
        <f>'M2'!F6*1</f>
        <v>25.1556</v>
      </c>
      <c r="AK8" s="59">
        <f>'M2'!G6*1</f>
        <v>40</v>
      </c>
      <c r="AL8" s="59">
        <f>'M2'!H6*1</f>
        <v>31.838799999999999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19.534500000000001</v>
      </c>
      <c r="D9" s="78">
        <f>N7</f>
        <v>2.189700000000002</v>
      </c>
      <c r="E9" s="79">
        <f>T7</f>
        <v>2.6283999999999992</v>
      </c>
      <c r="F9" s="79">
        <f>P7</f>
        <v>-17.626079999999998</v>
      </c>
      <c r="G9" s="80" t="str">
        <f>CONCATENATE(M8,"
(20 ~ 40)")</f>
        <v>压力
(20 ~ 40)</v>
      </c>
      <c r="H9" s="77">
        <f>R8</f>
        <v>5.3582999999999998</v>
      </c>
      <c r="I9" s="81">
        <f>N8</f>
        <v>-0.65719999999999956</v>
      </c>
      <c r="J9" s="77">
        <f>T8</f>
        <v>-0.43449999999999989</v>
      </c>
      <c r="K9" s="82">
        <f>P8</f>
        <v>-4.3738099999999998</v>
      </c>
      <c r="L9" s="6"/>
      <c r="M9" s="27" t="str">
        <f>lang!B16</f>
        <v>焦虑</v>
      </c>
      <c r="N9" s="59">
        <f t="shared" si="4"/>
        <v>-4.1058000000000021</v>
      </c>
      <c r="O9" s="59">
        <f t="shared" si="5"/>
        <v>1.3926099999999995</v>
      </c>
      <c r="P9" s="59">
        <f t="shared" si="6"/>
        <v>17.392600000000002</v>
      </c>
      <c r="Q9" s="59">
        <f t="shared" si="7"/>
        <v>0</v>
      </c>
      <c r="R9" s="59">
        <f t="shared" si="8"/>
        <v>-1.5186400000000004</v>
      </c>
      <c r="S9" s="59">
        <f t="shared" si="9"/>
        <v>0</v>
      </c>
      <c r="T9" s="59">
        <f t="shared" si="10"/>
        <v>-1.4980000000000047</v>
      </c>
      <c r="U9" s="14"/>
      <c r="V9" s="27" t="str">
        <f t="shared" si="11"/>
        <v>焦虑</v>
      </c>
      <c r="W9" s="59">
        <f>'M1'!B7*1</f>
        <v>21.470400000000001</v>
      </c>
      <c r="X9" s="59">
        <f>'M1'!C7*1</f>
        <v>8.5107300000000006</v>
      </c>
      <c r="Y9" s="59">
        <f>'M1'!D7*1</f>
        <v>39.639299999999999</v>
      </c>
      <c r="Z9" s="59">
        <f>'M1'!E7*1</f>
        <v>15</v>
      </c>
      <c r="AA9" s="59">
        <f>'M1'!F7*1</f>
        <v>4.1956800000000003</v>
      </c>
      <c r="AB9" s="59">
        <f>'M1'!G7*1</f>
        <v>40</v>
      </c>
      <c r="AC9" s="59">
        <f>'M1'!H7*1</f>
        <v>41.509900000000002</v>
      </c>
      <c r="AE9" s="27" t="str">
        <f t="shared" si="12"/>
        <v>焦虑</v>
      </c>
      <c r="AF9" s="59">
        <f>'M2'!B7*1</f>
        <v>17.364599999999999</v>
      </c>
      <c r="AG9" s="59">
        <f>'M2'!C7*1</f>
        <v>9.90334</v>
      </c>
      <c r="AH9" s="59">
        <f>'M2'!D7*1</f>
        <v>57.0319</v>
      </c>
      <c r="AI9" s="59">
        <f>'M2'!E7*1</f>
        <v>15</v>
      </c>
      <c r="AJ9" s="59">
        <f>'M2'!F7*1</f>
        <v>2.6770399999999999</v>
      </c>
      <c r="AK9" s="59">
        <f>'M2'!G7*1</f>
        <v>40</v>
      </c>
      <c r="AL9" s="59">
        <f>'M2'!H7*1</f>
        <v>40.011899999999997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-1.5186400000000004</v>
      </c>
      <c r="D10" s="51">
        <f>N9</f>
        <v>-4.1058000000000021</v>
      </c>
      <c r="E10" s="53">
        <f>T9</f>
        <v>-1.4980000000000047</v>
      </c>
      <c r="F10" s="53">
        <f>P9</f>
        <v>17.392600000000002</v>
      </c>
      <c r="G10" s="73" t="str">
        <f>CONCATENATE(M10,"
(20 ~ 50)")</f>
        <v>可疑
(20 ~ 50)</v>
      </c>
      <c r="H10" s="24">
        <f>R10</f>
        <v>10.2738</v>
      </c>
      <c r="I10" s="52">
        <f>N10</f>
        <v>-0.82559999999999789</v>
      </c>
      <c r="J10" s="24">
        <f>T10</f>
        <v>-1.9906999999999968</v>
      </c>
      <c r="K10" s="25">
        <f>P10</f>
        <v>-9.0102000000000011</v>
      </c>
      <c r="L10" s="4"/>
      <c r="M10" s="27" t="str">
        <f>lang!B17</f>
        <v>可疑</v>
      </c>
      <c r="N10" s="59">
        <f t="shared" si="4"/>
        <v>-0.82559999999999789</v>
      </c>
      <c r="O10" s="59">
        <f t="shared" si="5"/>
        <v>-2.7206999999999999</v>
      </c>
      <c r="P10" s="59">
        <f t="shared" si="6"/>
        <v>-9.0102000000000011</v>
      </c>
      <c r="Q10" s="59">
        <f t="shared" si="7"/>
        <v>0</v>
      </c>
      <c r="R10" s="59">
        <f t="shared" si="8"/>
        <v>10.2738</v>
      </c>
      <c r="S10" s="59">
        <f t="shared" si="9"/>
        <v>0</v>
      </c>
      <c r="T10" s="59">
        <f t="shared" si="10"/>
        <v>-1.9906999999999968</v>
      </c>
      <c r="U10" s="14"/>
      <c r="V10" s="27" t="str">
        <f t="shared" si="11"/>
        <v>可疑</v>
      </c>
      <c r="W10" s="59">
        <f>'M1'!B8*1</f>
        <v>29.146599999999999</v>
      </c>
      <c r="X10" s="59">
        <f>'M1'!C8*1</f>
        <v>5.9637599999999997</v>
      </c>
      <c r="Y10" s="59">
        <f>'M1'!D8*1</f>
        <v>20.461200000000002</v>
      </c>
      <c r="Z10" s="59">
        <f>'M1'!E8*1</f>
        <v>20</v>
      </c>
      <c r="AA10" s="59">
        <f>'M1'!F8*1</f>
        <v>13.0131</v>
      </c>
      <c r="AB10" s="59">
        <f>'M1'!G8*1</f>
        <v>50</v>
      </c>
      <c r="AC10" s="59">
        <f>'M1'!H8*1</f>
        <v>36.2485</v>
      </c>
      <c r="AE10" s="27" t="str">
        <f t="shared" si="12"/>
        <v>可疑</v>
      </c>
      <c r="AF10" s="59">
        <f>'M2'!B8*1</f>
        <v>28.321000000000002</v>
      </c>
      <c r="AG10" s="59">
        <f>'M2'!C8*1</f>
        <v>3.2430599999999998</v>
      </c>
      <c r="AH10" s="59">
        <f>'M2'!D8*1</f>
        <v>11.451000000000001</v>
      </c>
      <c r="AI10" s="59">
        <f>'M2'!E8*1</f>
        <v>20</v>
      </c>
      <c r="AJ10" s="59">
        <f>'M2'!F8*1</f>
        <v>23.286899999999999</v>
      </c>
      <c r="AK10" s="59">
        <f>'M2'!G8*1</f>
        <v>50</v>
      </c>
      <c r="AL10" s="59">
        <f>'M2'!H8*1</f>
        <v>34.257800000000003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-0.44709999999999894</v>
      </c>
      <c r="D11" s="52">
        <f>N11</f>
        <v>-1.7152999999999992</v>
      </c>
      <c r="E11" s="24">
        <f>T11</f>
        <v>-4.1178999999999917</v>
      </c>
      <c r="F11" s="24">
        <f>P11</f>
        <v>-1.3512999999999993</v>
      </c>
      <c r="G11" s="73" t="str">
        <f>CONCATENATE(M12,"
(40 ~ 100)")</f>
        <v>自信
(40 ~ 100)</v>
      </c>
      <c r="H11" s="24">
        <f>R12</f>
        <v>0.76510000000000389</v>
      </c>
      <c r="I11" s="52">
        <f>N12</f>
        <v>1.7450000000000045</v>
      </c>
      <c r="J11" s="24">
        <f>T12</f>
        <v>1.5247000000000099</v>
      </c>
      <c r="K11" s="25">
        <f>P12</f>
        <v>0.82087000000000021</v>
      </c>
      <c r="L11" s="4"/>
      <c r="M11" s="27" t="str">
        <f>lang!B18</f>
        <v>平衡</v>
      </c>
      <c r="N11" s="59">
        <f t="shared" si="4"/>
        <v>-1.7152999999999992</v>
      </c>
      <c r="O11" s="59">
        <f t="shared" si="5"/>
        <v>-1.1200800000000006</v>
      </c>
      <c r="P11" s="59">
        <f t="shared" si="6"/>
        <v>-1.3512999999999993</v>
      </c>
      <c r="Q11" s="59">
        <f t="shared" si="7"/>
        <v>0</v>
      </c>
      <c r="R11" s="59">
        <f t="shared" si="8"/>
        <v>-0.44709999999999894</v>
      </c>
      <c r="S11" s="59">
        <f t="shared" si="9"/>
        <v>0</v>
      </c>
      <c r="T11" s="59">
        <f t="shared" si="10"/>
        <v>-4.1178999999999917</v>
      </c>
      <c r="U11" s="14"/>
      <c r="V11" s="27" t="str">
        <f t="shared" si="11"/>
        <v>平衡</v>
      </c>
      <c r="W11" s="59">
        <f>'M1'!B9*1</f>
        <v>74.136399999999995</v>
      </c>
      <c r="X11" s="59">
        <f>'M1'!C9*1</f>
        <v>6.1136600000000003</v>
      </c>
      <c r="Y11" s="59">
        <f>'M1'!D9*1</f>
        <v>8.2464999999999993</v>
      </c>
      <c r="Z11" s="59">
        <f>'M1'!E9*1</f>
        <v>50</v>
      </c>
      <c r="AA11" s="59">
        <f>'M1'!F9*1</f>
        <v>59.983499999999999</v>
      </c>
      <c r="AB11" s="59">
        <f>'M1'!G9*1</f>
        <v>100</v>
      </c>
      <c r="AC11" s="59">
        <f>'M1'!H9*1</f>
        <v>85.961299999999994</v>
      </c>
      <c r="AE11" s="27" t="str">
        <f t="shared" si="12"/>
        <v>平衡</v>
      </c>
      <c r="AF11" s="59">
        <f>'M2'!B9*1</f>
        <v>72.421099999999996</v>
      </c>
      <c r="AG11" s="59">
        <f>'M2'!C9*1</f>
        <v>4.9935799999999997</v>
      </c>
      <c r="AH11" s="59">
        <f>'M2'!D9*1</f>
        <v>6.8952</v>
      </c>
      <c r="AI11" s="59">
        <f>'M2'!E9*1</f>
        <v>50</v>
      </c>
      <c r="AJ11" s="59">
        <f>'M2'!F9*1</f>
        <v>59.5364</v>
      </c>
      <c r="AK11" s="59">
        <f>'M2'!G9*1</f>
        <v>100</v>
      </c>
      <c r="AL11" s="59">
        <f>'M2'!H9*1</f>
        <v>81.843400000000003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13.916319999999999</v>
      </c>
      <c r="D12" s="51">
        <f>N13</f>
        <v>2.6475000000000009</v>
      </c>
      <c r="E12" s="53">
        <f>T13</f>
        <v>1.1723999999999961</v>
      </c>
      <c r="F12" s="53">
        <f>P13</f>
        <v>-12.691299999999998</v>
      </c>
      <c r="G12" s="73" t="str">
        <f>CONCATENATE(M14,"
(50 ~ 100)")</f>
        <v>自我调节
(50 ~ 100)</v>
      </c>
      <c r="H12" s="24">
        <f>R14</f>
        <v>-0.42279999999999518</v>
      </c>
      <c r="I12" s="52">
        <f>N14</f>
        <v>-0.57309999999999661</v>
      </c>
      <c r="J12" s="24">
        <f>T14</f>
        <v>-1.4311000000000007</v>
      </c>
      <c r="K12" s="25">
        <f>P14</f>
        <v>-1.2240899999999999</v>
      </c>
      <c r="L12" s="4"/>
      <c r="M12" s="27" t="str">
        <f>lang!B19</f>
        <v>自信</v>
      </c>
      <c r="N12" s="59">
        <f t="shared" si="4"/>
        <v>1.7450000000000045</v>
      </c>
      <c r="O12" s="59">
        <f t="shared" si="5"/>
        <v>0.66967999999999983</v>
      </c>
      <c r="P12" s="59">
        <f t="shared" si="6"/>
        <v>0.82087000000000021</v>
      </c>
      <c r="Q12" s="59">
        <f t="shared" si="7"/>
        <v>0</v>
      </c>
      <c r="R12" s="59">
        <f t="shared" si="8"/>
        <v>0.76510000000000389</v>
      </c>
      <c r="S12" s="59">
        <f t="shared" si="9"/>
        <v>0</v>
      </c>
      <c r="T12" s="59">
        <f t="shared" si="10"/>
        <v>1.5247000000000099</v>
      </c>
      <c r="U12" s="15"/>
      <c r="V12" s="27" t="str">
        <f t="shared" si="11"/>
        <v>自信</v>
      </c>
      <c r="W12" s="59">
        <f>'M1'!B10*1</f>
        <v>74.6066</v>
      </c>
      <c r="X12" s="59">
        <f>'M1'!C10*1</f>
        <v>1.83525</v>
      </c>
      <c r="Y12" s="59">
        <f>'M1'!D10*1</f>
        <v>2.4599099999999998</v>
      </c>
      <c r="Z12" s="59">
        <f>'M1'!E10*1</f>
        <v>40</v>
      </c>
      <c r="AA12" s="59">
        <f>'M1'!F10*1</f>
        <v>70.873699999999999</v>
      </c>
      <c r="AB12" s="59">
        <f>'M1'!G10*1</f>
        <v>100</v>
      </c>
      <c r="AC12" s="59">
        <f>'M1'!H10*1</f>
        <v>78.825199999999995</v>
      </c>
      <c r="AE12" s="27" t="str">
        <f t="shared" si="12"/>
        <v>自信</v>
      </c>
      <c r="AF12" s="59">
        <f>'M2'!B10*1</f>
        <v>76.351600000000005</v>
      </c>
      <c r="AG12" s="59">
        <f>'M2'!C10*1</f>
        <v>2.5049299999999999</v>
      </c>
      <c r="AH12" s="59">
        <f>'M2'!D10*1</f>
        <v>3.28078</v>
      </c>
      <c r="AI12" s="59">
        <f>'M2'!E10*1</f>
        <v>40</v>
      </c>
      <c r="AJ12" s="59">
        <f>'M2'!F10*1</f>
        <v>71.638800000000003</v>
      </c>
      <c r="AK12" s="59">
        <f>'M2'!G10*1</f>
        <v>100</v>
      </c>
      <c r="AL12" s="59">
        <f>'M2'!H10*1</f>
        <v>80.349900000000005</v>
      </c>
    </row>
    <row r="13" spans="2:38" ht="25.5" customHeight="1" thickBot="1">
      <c r="B13" s="72" t="str">
        <f>CONCATENATE(M15,"
(10 ~ 25)")</f>
        <v>抑郁
(10 ~ 25)</v>
      </c>
      <c r="C13" s="54">
        <f>R15</f>
        <v>1.9294000000000011</v>
      </c>
      <c r="D13" s="55">
        <f>N15</f>
        <v>2.5017999999999994</v>
      </c>
      <c r="E13" s="56">
        <f>T15</f>
        <v>17.5319</v>
      </c>
      <c r="F13" s="56">
        <f>P15</f>
        <v>8.3001000000000005</v>
      </c>
      <c r="G13" s="74" t="str">
        <f>CONCATENATE(M16,"
(10 ~ 50)")</f>
        <v>神经质
(10 ~ 50)</v>
      </c>
      <c r="H13" s="54">
        <f>R16</f>
        <v>1.6301799999999997</v>
      </c>
      <c r="I13" s="55">
        <f>N16</f>
        <v>27.345600000000005</v>
      </c>
      <c r="J13" s="56">
        <f>T16</f>
        <v>50.199100000000001</v>
      </c>
      <c r="K13" s="57">
        <f>P16</f>
        <v>3.3528999999999982</v>
      </c>
      <c r="M13" s="27" t="str">
        <f>lang!B20</f>
        <v>活力</v>
      </c>
      <c r="N13" s="59">
        <f t="shared" si="4"/>
        <v>2.6475000000000009</v>
      </c>
      <c r="O13" s="59">
        <f t="shared" si="5"/>
        <v>-3.0358200000000002</v>
      </c>
      <c r="P13" s="59">
        <f t="shared" si="6"/>
        <v>-12.691299999999998</v>
      </c>
      <c r="Q13" s="59">
        <f t="shared" si="7"/>
        <v>0</v>
      </c>
      <c r="R13" s="59">
        <f t="shared" si="8"/>
        <v>13.916319999999999</v>
      </c>
      <c r="S13" s="59">
        <f t="shared" si="9"/>
        <v>0</v>
      </c>
      <c r="T13" s="59">
        <f t="shared" si="10"/>
        <v>1.1723999999999961</v>
      </c>
      <c r="U13" s="14"/>
      <c r="V13" s="27" t="str">
        <f t="shared" si="11"/>
        <v>活力</v>
      </c>
      <c r="W13" s="59">
        <f>'M1'!B11*1</f>
        <v>26.221499999999999</v>
      </c>
      <c r="X13" s="59">
        <f>'M1'!C11*1</f>
        <v>6.22018</v>
      </c>
      <c r="Y13" s="59">
        <f>'M1'!D11*1</f>
        <v>23.721699999999998</v>
      </c>
      <c r="Z13" s="59">
        <f>'M1'!E11*1</f>
        <v>10</v>
      </c>
      <c r="AA13" s="59">
        <f>'M1'!F11*1</f>
        <v>8.7761800000000001</v>
      </c>
      <c r="AB13" s="59">
        <f>'M1'!G11*1</f>
        <v>50</v>
      </c>
      <c r="AC13" s="59">
        <f>'M1'!H11*1</f>
        <v>33.431600000000003</v>
      </c>
      <c r="AE13" s="27" t="str">
        <f t="shared" si="12"/>
        <v>活力</v>
      </c>
      <c r="AF13" s="59">
        <f>'M2'!B11*1</f>
        <v>28.869</v>
      </c>
      <c r="AG13" s="59">
        <f>'M2'!C11*1</f>
        <v>3.1843599999999999</v>
      </c>
      <c r="AH13" s="59">
        <f>'M2'!D11*1</f>
        <v>11.0304</v>
      </c>
      <c r="AI13" s="59">
        <f>'M2'!E11*1</f>
        <v>10</v>
      </c>
      <c r="AJ13" s="59">
        <f>'M2'!F11*1</f>
        <v>22.692499999999999</v>
      </c>
      <c r="AK13" s="59">
        <f>'M2'!G11*1</f>
        <v>50</v>
      </c>
      <c r="AL13" s="59">
        <f>'M2'!H11*1</f>
        <v>34.603999999999999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-0.57309999999999661</v>
      </c>
      <c r="O14" s="59">
        <f t="shared" si="5"/>
        <v>-0.93040000000000012</v>
      </c>
      <c r="P14" s="59">
        <f t="shared" si="6"/>
        <v>-1.2240899999999999</v>
      </c>
      <c r="Q14" s="59">
        <f t="shared" si="7"/>
        <v>0</v>
      </c>
      <c r="R14" s="59">
        <f t="shared" si="8"/>
        <v>-0.42279999999999518</v>
      </c>
      <c r="S14" s="59">
        <f t="shared" si="9"/>
        <v>0</v>
      </c>
      <c r="T14" s="59">
        <f t="shared" si="10"/>
        <v>-1.4311000000000007</v>
      </c>
      <c r="U14" s="14"/>
      <c r="V14" s="27" t="str">
        <f t="shared" si="11"/>
        <v>自我调节</v>
      </c>
      <c r="W14" s="59">
        <f>'M1'!B12*1</f>
        <v>74.502499999999998</v>
      </c>
      <c r="X14" s="59">
        <f>'M1'!C12*1</f>
        <v>3.3066599999999999</v>
      </c>
      <c r="Y14" s="59">
        <f>'M1'!D12*1</f>
        <v>4.43832</v>
      </c>
      <c r="Z14" s="59">
        <f>'M1'!E12*1</f>
        <v>50</v>
      </c>
      <c r="AA14" s="59">
        <f>'M1'!F12*1</f>
        <v>67.931399999999996</v>
      </c>
      <c r="AB14" s="59">
        <f>'M1'!G12*1</f>
        <v>100</v>
      </c>
      <c r="AC14" s="59">
        <f>'M1'!H12*1</f>
        <v>80.558199999999999</v>
      </c>
      <c r="AE14" s="27" t="str">
        <f t="shared" si="12"/>
        <v>自我调节</v>
      </c>
      <c r="AF14" s="59">
        <f>'M2'!B12*1</f>
        <v>73.929400000000001</v>
      </c>
      <c r="AG14" s="59">
        <f>'M2'!C12*1</f>
        <v>2.3762599999999998</v>
      </c>
      <c r="AH14" s="59">
        <f>'M2'!D12*1</f>
        <v>3.2142300000000001</v>
      </c>
      <c r="AI14" s="59">
        <f>'M2'!E12*1</f>
        <v>50</v>
      </c>
      <c r="AJ14" s="59">
        <f>'M2'!F12*1</f>
        <v>67.508600000000001</v>
      </c>
      <c r="AK14" s="59">
        <f>'M2'!G12*1</f>
        <v>100</v>
      </c>
      <c r="AL14" s="59">
        <f>'M2'!H12*1</f>
        <v>79.127099999999999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2.5017999999999994</v>
      </c>
      <c r="O15" s="59">
        <f t="shared" si="5"/>
        <v>2.7345699999999997</v>
      </c>
      <c r="P15" s="59">
        <f t="shared" si="6"/>
        <v>8.3001000000000005</v>
      </c>
      <c r="Q15" s="59">
        <f t="shared" si="7"/>
        <v>0</v>
      </c>
      <c r="R15" s="59">
        <f t="shared" si="8"/>
        <v>1.9294000000000011</v>
      </c>
      <c r="S15" s="59">
        <f t="shared" si="9"/>
        <v>0</v>
      </c>
      <c r="T15" s="59">
        <f t="shared" si="10"/>
        <v>17.5319</v>
      </c>
      <c r="U15" s="14"/>
      <c r="V15" s="27" t="str">
        <f t="shared" si="11"/>
        <v>抑郁</v>
      </c>
      <c r="W15" s="59">
        <f>'M1'!B13*1</f>
        <v>20.122399999999999</v>
      </c>
      <c r="X15" s="59">
        <f>'M1'!C13*1</f>
        <v>6.8908199999999997</v>
      </c>
      <c r="Y15" s="59">
        <f>'M1'!D13*1</f>
        <v>34.244500000000002</v>
      </c>
      <c r="Z15" s="59">
        <f>'M1'!E13*1</f>
        <v>10</v>
      </c>
      <c r="AA15" s="59">
        <f>'M1'!F13*1</f>
        <v>13.3432</v>
      </c>
      <c r="AB15" s="59">
        <f>'M1'!G13*1</f>
        <v>25</v>
      </c>
      <c r="AC15" s="59">
        <f>'M1'!H13*1</f>
        <v>44.0488</v>
      </c>
      <c r="AE15" s="27" t="str">
        <f t="shared" si="12"/>
        <v>抑郁</v>
      </c>
      <c r="AF15" s="59">
        <f>'M2'!B13*1</f>
        <v>22.624199999999998</v>
      </c>
      <c r="AG15" s="59">
        <f>'M2'!C13*1</f>
        <v>9.6253899999999994</v>
      </c>
      <c r="AH15" s="59">
        <f>'M2'!D13*1</f>
        <v>42.544600000000003</v>
      </c>
      <c r="AI15" s="59">
        <f>'M2'!E13*1</f>
        <v>10</v>
      </c>
      <c r="AJ15" s="59">
        <f>'M2'!F13*1</f>
        <v>15.272600000000001</v>
      </c>
      <c r="AK15" s="59">
        <f>'M2'!G13*1</f>
        <v>25</v>
      </c>
      <c r="AL15" s="59">
        <f>'M2'!H13*1</f>
        <v>61.5807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27.345600000000005</v>
      </c>
      <c r="O16" s="59">
        <f t="shared" si="5"/>
        <v>12.770699999999998</v>
      </c>
      <c r="P16" s="59">
        <f t="shared" si="6"/>
        <v>3.3528999999999982</v>
      </c>
      <c r="Q16" s="59">
        <f t="shared" si="7"/>
        <v>0</v>
      </c>
      <c r="R16" s="59">
        <f t="shared" si="8"/>
        <v>1.6301799999999997</v>
      </c>
      <c r="S16" s="59">
        <f t="shared" si="9"/>
        <v>0</v>
      </c>
      <c r="T16" s="59">
        <f t="shared" si="10"/>
        <v>50.199100000000001</v>
      </c>
      <c r="U16" s="15"/>
      <c r="V16" s="27" t="str">
        <f t="shared" si="11"/>
        <v>神经质</v>
      </c>
      <c r="W16" s="59">
        <f>'M1'!B14*1</f>
        <v>68.908199999999994</v>
      </c>
      <c r="X16" s="59">
        <f>'M1'!C14*1</f>
        <v>24.0486</v>
      </c>
      <c r="Y16" s="59">
        <f>'M1'!D14*1</f>
        <v>34.8994</v>
      </c>
      <c r="Z16" s="59">
        <f>'M1'!E14*1</f>
        <v>10</v>
      </c>
      <c r="AA16" s="59">
        <f>'M1'!F14*1</f>
        <v>2.2558400000000001</v>
      </c>
      <c r="AB16" s="59">
        <f>'M1'!G14*1</f>
        <v>50</v>
      </c>
      <c r="AC16" s="59">
        <f>'M1'!H14*1</f>
        <v>76.971900000000005</v>
      </c>
      <c r="AE16" s="27" t="str">
        <f t="shared" si="12"/>
        <v>神经质</v>
      </c>
      <c r="AF16" s="59">
        <f>'M2'!B14*1</f>
        <v>96.253799999999998</v>
      </c>
      <c r="AG16" s="59">
        <f>'M2'!C14*1</f>
        <v>36.819299999999998</v>
      </c>
      <c r="AH16" s="59">
        <f>'M2'!D14*1</f>
        <v>38.252299999999998</v>
      </c>
      <c r="AI16" s="59">
        <f>'M2'!E14*1</f>
        <v>10</v>
      </c>
      <c r="AJ16" s="59">
        <f>'M2'!F14*1</f>
        <v>3.8860199999999998</v>
      </c>
      <c r="AK16" s="59">
        <f>'M2'!G14*1</f>
        <v>50</v>
      </c>
      <c r="AL16" s="59">
        <f>'M2'!H14*1</f>
        <v>127.17100000000001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0.52602500000000241</v>
      </c>
      <c r="O17" s="22">
        <f>N17/(N17+N18+N19)</f>
        <v>3.602910958904125E-2</v>
      </c>
      <c r="P17" s="65">
        <f>SUM(P11:P14)/4</f>
        <v>-3.6114549999999994</v>
      </c>
      <c r="Q17" s="22">
        <f>P17/(P17+P18+P19)</f>
        <v>3.036552169188051</v>
      </c>
      <c r="R17" s="14"/>
      <c r="S17" s="14"/>
      <c r="T17" s="14"/>
      <c r="U17" s="14"/>
      <c r="V17" s="21" t="str">
        <f>M17</f>
        <v>Positive</v>
      </c>
      <c r="W17" s="65">
        <f>SUM(W11:W14)/4</f>
        <v>62.366749999999996</v>
      </c>
      <c r="X17" s="22">
        <f>W17/(W17+W18+W19)</f>
        <v>0.45963705426350876</v>
      </c>
      <c r="Y17" s="65">
        <f>SUM(Y11:Y14)/4</f>
        <v>9.7166074999999985</v>
      </c>
      <c r="Z17" s="22">
        <f>Y17/(Y17+Y18+Y19)</f>
        <v>0.14158442607486638</v>
      </c>
      <c r="AA17" s="14"/>
      <c r="AB17" s="14"/>
      <c r="AC17" s="14"/>
      <c r="AE17" s="21" t="str">
        <f>V17</f>
        <v>Positive</v>
      </c>
      <c r="AF17" s="65">
        <f>SUM(AF11:AF14)/4</f>
        <v>62.892775</v>
      </c>
      <c r="AG17" s="22">
        <f>AF17/(AF17+AF18+AF19)</f>
        <v>0.41848460561612305</v>
      </c>
      <c r="AH17" s="65">
        <f>SUM(AH11:AH14)/4</f>
        <v>6.1051525</v>
      </c>
      <c r="AI17" s="22">
        <f>AH17/(AH17+AH18+AH19)</f>
        <v>9.0529414058740793E-2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-0.8497249999999994</v>
      </c>
      <c r="O18" s="22">
        <f>N18/(N17+N18+N19)</f>
        <v>-5.8200342465753362E-2</v>
      </c>
      <c r="P18" s="18">
        <f>SUM(P7:P10)/4</f>
        <v>-3.4043724999999991</v>
      </c>
      <c r="Q18" s="22">
        <f>P18/(P17+P18+P19)</f>
        <v>2.8624348633996957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28.804899999999996</v>
      </c>
      <c r="X18" s="22">
        <f>W18/(W17+W18+W19)</f>
        <v>0.21228939113157158</v>
      </c>
      <c r="Y18" s="18">
        <f>SUM(Y7:Y10)/4</f>
        <v>24.339099999999998</v>
      </c>
      <c r="Z18" s="22">
        <f>Y18/(Y17+Y18+Y19)</f>
        <v>0.35465438988646814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27.955174999999997</v>
      </c>
      <c r="AG18" s="22">
        <f>AF18/(AF17+AF18+AF19)</f>
        <v>0.18601199239188765</v>
      </c>
      <c r="AH18" s="18">
        <f>SUM(AH7:AH10)/4</f>
        <v>20.934727500000001</v>
      </c>
      <c r="AI18" s="22">
        <f>AH18/(AH17+AH18+AH19)</f>
        <v>0.31042772708043043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14.923700000000002</v>
      </c>
      <c r="O19" s="22">
        <f>N19/(N17+N18+N19)</f>
        <v>1.0221712328767121</v>
      </c>
      <c r="P19" s="18">
        <f>(P15+P16)/2</f>
        <v>5.8264999999999993</v>
      </c>
      <c r="Q19" s="22">
        <f>P19/(P17+P18+P19)</f>
        <v>-4.8989870325877467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44.515299999999996</v>
      </c>
      <c r="X19" s="22">
        <f>W19/(W17+W18+W19)</f>
        <v>0.3280735546049196</v>
      </c>
      <c r="Y19" s="18">
        <f>(Y15+Y16)/2</f>
        <v>34.571950000000001</v>
      </c>
      <c r="Z19" s="22">
        <f>Y19/(Y17+Y18+Y19)</f>
        <v>0.50376118403866554</v>
      </c>
      <c r="AA19" s="14"/>
      <c r="AB19" s="14"/>
      <c r="AC19" s="14"/>
      <c r="AE19" s="21" t="str">
        <f t="shared" si="14"/>
        <v>Physiological</v>
      </c>
      <c r="AF19" s="18">
        <f>(AF15+AF16)/2</f>
        <v>59.439</v>
      </c>
      <c r="AG19" s="22">
        <f>AF19/(AF17+AF18+AF19)</f>
        <v>0.39550340199198936</v>
      </c>
      <c r="AH19" s="18">
        <f>(AH15+AH16)/2</f>
        <v>40.398449999999997</v>
      </c>
      <c r="AI19" s="22">
        <f>AH19/(AH17+AH18+AH19)</f>
        <v>0.59904285886082886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1.68/1.89</v>
      </c>
      <c r="D24" s="44" t="str">
        <f>lang!B11</f>
        <v>频率方差</v>
      </c>
      <c r="E24" s="182" t="str">
        <f ca="1">CONCATENATE(ROUND('FH1'!L3,2),"/",ROUND('FH2'!L3,2))</f>
        <v>0.56/0.49</v>
      </c>
      <c r="F24" s="183"/>
      <c r="G24" s="174" t="str">
        <f>lang!B12</f>
        <v>生理变化率</v>
      </c>
      <c r="H24" s="175"/>
      <c r="I24" s="62" t="str">
        <f ca="1">CONCATENATE(info!M7,"-",info!M8)</f>
        <v>43.5-63.9</v>
      </c>
      <c r="J24" s="42" t="str">
        <f>lang!B13</f>
        <v>千卡l/分钟</v>
      </c>
      <c r="K24" s="41" t="str">
        <f ca="1">CONCATENATE(info!M5,"-",info!M6)</f>
        <v>2.3-4.2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100%]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-5.0215000000000014</v>
      </c>
      <c r="F27" s="121"/>
      <c r="G27" s="135" t="str">
        <f>lang!B33</f>
        <v>稳定性</v>
      </c>
      <c r="H27" s="136"/>
      <c r="I27" s="137"/>
      <c r="J27" s="138">
        <f>dM!B19*100</f>
        <v>4.7634999999999987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-0.95464794369384043</v>
      </c>
      <c r="C2">
        <f t="array" aca="1" ref="C2" ca="1">CORREL(FT_E02,FT_PH02)</f>
        <v>-0.45714194231819527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2.2598599999999998</v>
      </c>
      <c r="G2" s="61">
        <f>IF(FT!B2&lt;&gt;"",FT!B2*100,"")</f>
        <v>63.871500000000005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4.9207200000000002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1.929694117647059E-2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2.3228200000000001</v>
      </c>
      <c r="G3" s="61">
        <f>IF(FT!B3&lt;&gt;"",FT!B3*100,"")</f>
        <v>63.349200000000003</v>
      </c>
      <c r="H3" s="61">
        <f t="shared" ref="H3:H66" si="1">(IF(F3&lt;&gt;"",1,""))</f>
        <v>1</v>
      </c>
      <c r="I3" t="str">
        <f>IF(FT!B3&lt;&gt;"",FT!E3,"")</f>
        <v>1 [0.381606]</v>
      </c>
      <c r="J3">
        <f>IF(FT!B3&lt;&gt;"",FT!C3,"")</f>
        <v>0.381606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0.52076112162162136</v>
      </c>
      <c r="V3">
        <f ca="1">AVERAGE(OFFSET(FT!B2,info!$L$3/2,0,info!$L$3/2,1))</f>
        <v>0.52104183783783764</v>
      </c>
      <c r="W3">
        <f ca="1">AVERAGE(OFFSET(FT!A2,0,0,info!$L$3/2,1))</f>
        <v>0.3634146486486487</v>
      </c>
      <c r="X3">
        <f ca="1">AVERAGE(OFFSET(FT!A2,info!$L$3/2,0,info!$L$3/2,1))</f>
        <v>0.37784986486486483</v>
      </c>
    </row>
    <row r="4" spans="1:24">
      <c r="A4" s="61">
        <f t="shared" ref="A4:A67" si="2">A3+1</f>
        <v>2</v>
      </c>
      <c r="B4" s="61">
        <f t="shared" si="0"/>
        <v>3.8593882352941179E-2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2.3847800000000001</v>
      </c>
      <c r="G4" s="61">
        <f>IF(FT!B4&lt;&gt;"",FT!B4*100,"")</f>
        <v>62.910200000000003</v>
      </c>
      <c r="H4" s="61">
        <f t="shared" si="1"/>
        <v>1</v>
      </c>
      <c r="I4" t="str">
        <f>IF(FT!B4&lt;&gt;"",FT!E4,"")</f>
        <v>1 [0.785122]</v>
      </c>
      <c r="J4">
        <f>IF(FT!B4&lt;&gt;"",FT!C4,"")</f>
        <v>0.78512199999999999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14.934275</v>
      </c>
      <c r="V4">
        <f>U4*3</f>
        <v>44.802824999999999</v>
      </c>
      <c r="W4">
        <f>U4</f>
        <v>14.934275</v>
      </c>
      <c r="X4">
        <f>V4</f>
        <v>44.802824999999999</v>
      </c>
    </row>
    <row r="5" spans="1:24">
      <c r="A5" s="61">
        <f t="shared" si="2"/>
        <v>3</v>
      </c>
      <c r="B5" s="61">
        <f t="shared" si="0"/>
        <v>5.7890823529411765E-2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2.4469799999999999</v>
      </c>
      <c r="G5" s="61">
        <f>IF(FT!B5&lt;&gt;"",FT!B5*100,"")</f>
        <v>62.437200000000004</v>
      </c>
      <c r="H5" s="61">
        <f t="shared" si="1"/>
        <v>1</v>
      </c>
      <c r="I5" t="str">
        <f>IF(FT!B5&lt;&gt;"",FT!E5,"")</f>
        <v>1 [1.193472]</v>
      </c>
      <c r="J5">
        <f>IF(FT!B5&lt;&gt;"",FT!C5,"")</f>
        <v>1.19347</v>
      </c>
      <c r="K5" t="s">
        <v>53</v>
      </c>
      <c r="L5" s="63">
        <f ca="1">MIN(FT_E)</f>
        <v>2.2598599999999998</v>
      </c>
      <c r="M5" s="63">
        <f ca="1">ROUND(L5,1)</f>
        <v>2.2999999999999998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52.076112162162133</v>
      </c>
      <c r="V5">
        <f ca="1">V3*100</f>
        <v>52.104183783783768</v>
      </c>
      <c r="W5">
        <f ca="1">W3*10</f>
        <v>3.634146486486487</v>
      </c>
      <c r="X5">
        <f ca="1">X3*10</f>
        <v>3.7784986486486485</v>
      </c>
    </row>
    <row r="6" spans="1:24">
      <c r="A6" s="61">
        <f t="shared" si="2"/>
        <v>4</v>
      </c>
      <c r="B6" s="61">
        <f t="shared" si="0"/>
        <v>7.7187764705882358E-2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2.5077300000000005</v>
      </c>
      <c r="G6" s="61">
        <f>IF(FT!B6&lt;&gt;"",FT!B6*100,"")</f>
        <v>61.981200000000001</v>
      </c>
      <c r="H6" s="61">
        <f t="shared" si="1"/>
        <v>1</v>
      </c>
      <c r="I6" t="str">
        <f>IF(FT!B6&lt;&gt;"",FT!E6,"")</f>
        <v>1 [1.598587]</v>
      </c>
      <c r="J6">
        <f>IF(FT!B6&lt;&gt;"",FT!C6,"")</f>
        <v>1.59859</v>
      </c>
      <c r="K6" t="s">
        <v>54</v>
      </c>
      <c r="L6" s="63">
        <f ca="1">MAX(FT_E)</f>
        <v>4.1543700000000001</v>
      </c>
      <c r="M6" s="63">
        <f ca="1">ROUND(L6,1)</f>
        <v>4.2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9.6484705882352945E-2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2.5658099999999999</v>
      </c>
      <c r="G7" s="61">
        <f>IF(FT!B7&lt;&gt;"",FT!B7*100,"")</f>
        <v>61.669799999999995</v>
      </c>
      <c r="H7" s="61">
        <f t="shared" si="1"/>
        <v>1</v>
      </c>
      <c r="I7" t="str">
        <f>IF(FT!B7&lt;&gt;"",FT!E7,"")</f>
        <v>1 [2.006322]</v>
      </c>
      <c r="J7">
        <f>IF(FT!B7&lt;&gt;"",FT!C7,"")</f>
        <v>2.0063200000000001</v>
      </c>
      <c r="K7" t="s">
        <v>55</v>
      </c>
      <c r="L7" s="63">
        <f ca="1">MIN(FT_PH)</f>
        <v>43.458300000000001</v>
      </c>
      <c r="M7" s="63">
        <f ca="1">ROUND(L7,1)</f>
        <v>43.5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0.11578164705882353</v>
      </c>
      <c r="C8" s="61">
        <f>FH!A8*1</f>
        <v>704</v>
      </c>
      <c r="D8" s="61">
        <f>FH!B8*1</f>
        <v>704</v>
      </c>
      <c r="E8">
        <f t="shared" si="3"/>
        <v>6</v>
      </c>
      <c r="F8" s="61">
        <f>IF(FT!A8&lt;&gt;"",FT!A8*10,"")</f>
        <v>2.6219399999999999</v>
      </c>
      <c r="G8" s="61">
        <f>IF(FT!B8&lt;&gt;"",FT!B8*100,"")</f>
        <v>61.481300000000005</v>
      </c>
      <c r="H8" s="61">
        <f t="shared" si="1"/>
        <v>1</v>
      </c>
      <c r="I8" t="str">
        <f>IF(FT!B8&lt;&gt;"",FT!E8,"")</f>
        <v>1 [2.410385]</v>
      </c>
      <c r="J8">
        <f>IF(FT!B8&lt;&gt;"",FT!C8,"")</f>
        <v>2.41039</v>
      </c>
      <c r="K8" t="s">
        <v>56</v>
      </c>
      <c r="L8" s="63">
        <f ca="1">MAX(FT_PH)</f>
        <v>63.871500000000005</v>
      </c>
      <c r="M8" s="63">
        <f ca="1">ROUND(L8,1)</f>
        <v>63.9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0.13507858823529412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2.6788499999999997</v>
      </c>
      <c r="G9" s="61">
        <f>IF(FT!B9&lt;&gt;"",FT!B9*100,"")</f>
        <v>61.333400000000005</v>
      </c>
      <c r="H9" s="61">
        <f t="shared" si="1"/>
        <v>1</v>
      </c>
      <c r="I9" t="str">
        <f>IF(FT!B9&lt;&gt;"",FT!E9,"")</f>
        <v>1 [2.818167]</v>
      </c>
      <c r="J9">
        <f>IF(FT!B9&lt;&gt;"",FT!C9,"")</f>
        <v>2.8181699999999998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0.15437552941176472</v>
      </c>
      <c r="C10" s="61">
        <f>FH!A10*1</f>
        <v>450</v>
      </c>
      <c r="D10" s="61">
        <f>FH!B10*1</f>
        <v>450</v>
      </c>
      <c r="E10">
        <f t="shared" si="3"/>
        <v>8</v>
      </c>
      <c r="F10" s="61">
        <f>IF(FT!A10&lt;&gt;"",FT!A10*10,"")</f>
        <v>2.7368600000000001</v>
      </c>
      <c r="G10" s="61">
        <f>IF(FT!B10&lt;&gt;"",FT!B10*100,"")</f>
        <v>61.126899999999992</v>
      </c>
      <c r="H10" s="61">
        <f t="shared" si="1"/>
        <v>1</v>
      </c>
      <c r="I10" t="str">
        <f>IF(FT!B10&lt;&gt;"",FT!E10,"")</f>
        <v>1 [3.225065]</v>
      </c>
      <c r="J10">
        <f>IF(FT!B10&lt;&gt;"",FT!C10,"")</f>
        <v>3.22506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0.17367247058823529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2.7966299999999999</v>
      </c>
      <c r="G11" s="61">
        <f>IF(FT!B11&lt;&gt;"",FT!B11*100,"")</f>
        <v>60.852200000000003</v>
      </c>
      <c r="H11" s="61">
        <f t="shared" si="1"/>
        <v>1</v>
      </c>
      <c r="I11" t="str">
        <f>IF(FT!B11&lt;&gt;"",FT!E11,"")</f>
        <v>1 [3.631824]</v>
      </c>
      <c r="J11">
        <f>IF(FT!B11&lt;&gt;"",FT!C11,"")</f>
        <v>3.6318199999999998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0.19296941176470589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2.85833</v>
      </c>
      <c r="G12" s="61">
        <f>IF(FT!B12&lt;&gt;"",FT!B12*100,"")</f>
        <v>60.428400000000003</v>
      </c>
      <c r="H12" s="61">
        <f t="shared" si="1"/>
        <v>1</v>
      </c>
      <c r="I12" t="str">
        <f>IF(FT!B12&lt;&gt;"",FT!E12,"")</f>
        <v>1 [4.038841]</v>
      </c>
      <c r="J12">
        <f>IF(FT!B12&lt;&gt;"",FT!C12,"")</f>
        <v>4.0388400000000004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0.21226635294117649</v>
      </c>
      <c r="C13" s="61">
        <f>FH!A13*1</f>
        <v>1211</v>
      </c>
      <c r="D13" s="61">
        <f>FH!B13*1</f>
        <v>1211</v>
      </c>
      <c r="E13">
        <f t="shared" si="3"/>
        <v>11</v>
      </c>
      <c r="F13" s="61">
        <f>IF(FT!A13&lt;&gt;"",FT!A13*10,"")</f>
        <v>2.92354</v>
      </c>
      <c r="G13" s="61">
        <f>IF(FT!B13&lt;&gt;"",FT!B13*100,"")</f>
        <v>59.8384</v>
      </c>
      <c r="H13" s="61">
        <f t="shared" si="1"/>
        <v>1</v>
      </c>
      <c r="I13" t="str">
        <f>IF(FT!B13&lt;&gt;"",FT!E13,"")</f>
        <v>1 [4.445721]</v>
      </c>
      <c r="J13">
        <f>IF(FT!B13&lt;&gt;"",FT!C13,"")</f>
        <v>4.4457199999999997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0.23156329411764706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2.9895199999999997</v>
      </c>
      <c r="G14" s="61">
        <f>IF(FT!B14&lt;&gt;"",FT!B14*100,"")</f>
        <v>58.984800000000007</v>
      </c>
      <c r="H14" s="61">
        <f t="shared" si="1"/>
        <v>1</v>
      </c>
      <c r="I14" t="str">
        <f>IF(FT!B14&lt;&gt;"",FT!E14,"")</f>
        <v>1 [4.851647]</v>
      </c>
      <c r="J14">
        <f>IF(FT!B14&lt;&gt;"",FT!C14,"")</f>
        <v>4.8516500000000002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0.25086023529411766</v>
      </c>
      <c r="C15" s="61">
        <f>FH!A15*1</f>
        <v>2463</v>
      </c>
      <c r="D15" s="61">
        <f>FH!B15*1</f>
        <v>2463</v>
      </c>
      <c r="E15">
        <f t="shared" si="3"/>
        <v>13</v>
      </c>
      <c r="F15" s="61">
        <f>IF(FT!A15&lt;&gt;"",FT!A15*10,"")</f>
        <v>3.0585100000000001</v>
      </c>
      <c r="G15" s="61">
        <f>IF(FT!B15&lt;&gt;"",FT!B15*100,"")</f>
        <v>57.996299999999998</v>
      </c>
      <c r="H15" s="61">
        <f t="shared" si="1"/>
        <v>1</v>
      </c>
      <c r="I15" t="str">
        <f>IF(FT!B15&lt;&gt;"",FT!E15,"")</f>
        <v>1 [5.254591]</v>
      </c>
      <c r="J15">
        <f>IF(FT!B15&lt;&gt;"",FT!C15,"")</f>
        <v>5.2545900000000003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0.27015717647058823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3.1290100000000001</v>
      </c>
      <c r="G16" s="61">
        <f>IF(FT!B16&lt;&gt;"",FT!B16*100,"")</f>
        <v>56.921999999999997</v>
      </c>
      <c r="H16" s="61">
        <f t="shared" si="1"/>
        <v>1</v>
      </c>
      <c r="I16" t="str">
        <f>IF(FT!B16&lt;&gt;"",FT!E16,"")</f>
        <v>1 [5.662630]</v>
      </c>
      <c r="J16">
        <f>IF(FT!B16&lt;&gt;"",FT!C16,"")</f>
        <v>5.6626300000000001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0.28945411764705881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3.2009300000000001</v>
      </c>
      <c r="G17" s="61">
        <f>IF(FT!B17&lt;&gt;"",FT!B17*100,"")</f>
        <v>55.887799999999999</v>
      </c>
      <c r="H17" s="61">
        <f t="shared" si="1"/>
        <v>1</v>
      </c>
      <c r="I17" t="str">
        <f>IF(FT!B17&lt;&gt;"",FT!E17,"")</f>
        <v>1 [6.067443]</v>
      </c>
      <c r="J17">
        <f>IF(FT!B17&lt;&gt;"",FT!C17,"")</f>
        <v>6.0674400000000004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0.30875105882352943</v>
      </c>
      <c r="C18" s="61">
        <f>FH!A18*1</f>
        <v>2438</v>
      </c>
      <c r="D18" s="61">
        <f>FH!B18*1</f>
        <v>2438</v>
      </c>
      <c r="E18">
        <f t="shared" si="3"/>
        <v>16</v>
      </c>
      <c r="F18" s="61">
        <f>IF(FT!A18&lt;&gt;"",FT!A18*10,"")</f>
        <v>3.2751200000000003</v>
      </c>
      <c r="G18" s="61">
        <f>IF(FT!B18&lt;&gt;"",FT!B18*100,"")</f>
        <v>54.788899999999998</v>
      </c>
      <c r="H18" s="61">
        <f t="shared" si="1"/>
        <v>1</v>
      </c>
      <c r="I18" t="str">
        <f>IF(FT!B18&lt;&gt;"",FT!E18,"")</f>
        <v>1 [6.472327]</v>
      </c>
      <c r="J18">
        <f>IF(FT!B18&lt;&gt;"",FT!C18,"")</f>
        <v>6.4723300000000004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0.32804800000000001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3.3516499999999998</v>
      </c>
      <c r="G19" s="61">
        <f>IF(FT!B19&lt;&gt;"",FT!B19*100,"")</f>
        <v>53.696999999999996</v>
      </c>
      <c r="H19" s="61">
        <f t="shared" si="1"/>
        <v>1</v>
      </c>
      <c r="I19" t="str">
        <f>IF(FT!B19&lt;&gt;"",FT!E19,"")</f>
        <v>1 [6.878404]</v>
      </c>
      <c r="J19">
        <f>IF(FT!B19&lt;&gt;"",FT!C19,"")</f>
        <v>6.8784000000000001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0.34734494117647058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3.4278300000000002</v>
      </c>
      <c r="G20" s="61">
        <f>IF(FT!B20&lt;&gt;"",FT!B20*100,"")</f>
        <v>52.651099999999992</v>
      </c>
      <c r="H20" s="61">
        <f t="shared" si="1"/>
        <v>1</v>
      </c>
      <c r="I20" t="str">
        <f>IF(FT!B20&lt;&gt;"",FT!E20,"")</f>
        <v>1 [7.289179]</v>
      </c>
      <c r="J20">
        <f>IF(FT!B20&lt;&gt;"",FT!C20,"")</f>
        <v>7.28918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0.36664188235294121</v>
      </c>
      <c r="C21" s="61">
        <f>FH!A21*1</f>
        <v>8871</v>
      </c>
      <c r="D21" s="61">
        <f>FH!B21*1</f>
        <v>8871</v>
      </c>
      <c r="E21">
        <f t="shared" si="3"/>
        <v>19</v>
      </c>
      <c r="F21" s="61">
        <f>IF(FT!A21&lt;&gt;"",FT!A21*10,"")</f>
        <v>3.4998899999999997</v>
      </c>
      <c r="G21" s="61">
        <f>IF(FT!B21&lt;&gt;"",FT!B21*100,"")</f>
        <v>51.811500000000002</v>
      </c>
      <c r="H21" s="61">
        <f t="shared" si="1"/>
        <v>1</v>
      </c>
      <c r="I21" t="str">
        <f>IF(FT!B21&lt;&gt;"",FT!E21,"")</f>
        <v>1 [7.695094]</v>
      </c>
      <c r="J21">
        <f>IF(FT!B21&lt;&gt;"",FT!C21,"")</f>
        <v>7.6950900000000004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0.38593882352941178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3.5674399999999999</v>
      </c>
      <c r="G22" s="61">
        <f>IF(FT!B22&lt;&gt;"",FT!B22*100,"")</f>
        <v>51.166500000000006</v>
      </c>
      <c r="H22" s="61">
        <f t="shared" si="1"/>
        <v>1</v>
      </c>
      <c r="I22" t="str">
        <f>IF(FT!B22&lt;&gt;"",FT!E22,"")</f>
        <v>1 [8.100057]</v>
      </c>
      <c r="J22">
        <f>IF(FT!B22&lt;&gt;"",FT!C22,"")</f>
        <v>8.1000599999999991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0.40523576470588235</v>
      </c>
      <c r="C23" s="61">
        <f>FH!A23*1</f>
        <v>9644</v>
      </c>
      <c r="D23" s="61">
        <f>FH!B23*1</f>
        <v>9644</v>
      </c>
      <c r="E23">
        <f t="shared" si="3"/>
        <v>21</v>
      </c>
      <c r="F23" s="61">
        <f>IF(FT!A23&lt;&gt;"",FT!A23*10,"")</f>
        <v>3.6264400000000001</v>
      </c>
      <c r="G23" s="61">
        <f>IF(FT!B23&lt;&gt;"",FT!B23*100,"")</f>
        <v>50.861199999999997</v>
      </c>
      <c r="H23" s="61">
        <f t="shared" si="1"/>
        <v>1</v>
      </c>
      <c r="I23" t="str">
        <f>IF(FT!B23&lt;&gt;"",FT!E23,"")</f>
        <v>1 [8.507116]</v>
      </c>
      <c r="J23">
        <f>IF(FT!B23&lt;&gt;"",FT!C23,"")</f>
        <v>8.5071200000000005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0.42453270588235298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3.6745899999999998</v>
      </c>
      <c r="G24" s="61">
        <f>IF(FT!B24&lt;&gt;"",FT!B24*100,"")</f>
        <v>50.762500000000003</v>
      </c>
      <c r="H24" s="61">
        <f t="shared" si="1"/>
        <v>1</v>
      </c>
      <c r="I24" t="str">
        <f>IF(FT!B24&lt;&gt;"",FT!E24,"")</f>
        <v>1 [8.913007]</v>
      </c>
      <c r="J24">
        <f>IF(FT!B24&lt;&gt;"",FT!C24,"")</f>
        <v>8.9130099999999999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0.44382964705882355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3.71821</v>
      </c>
      <c r="G25" s="61">
        <f>IF(FT!B25&lt;&gt;"",FT!B25*100,"")</f>
        <v>50.783299999999997</v>
      </c>
      <c r="H25" s="61">
        <f t="shared" si="1"/>
        <v>1</v>
      </c>
      <c r="I25" t="str">
        <f>IF(FT!B25&lt;&gt;"",FT!E25,"")</f>
        <v>1 [9.316744]</v>
      </c>
      <c r="J25">
        <f>IF(FT!B25&lt;&gt;"",FT!C25,"")</f>
        <v>9.3167399999999994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0.46312658823529412</v>
      </c>
      <c r="C26" s="61">
        <f>FH!A26*1</f>
        <v>12321</v>
      </c>
      <c r="D26" s="61">
        <f>FH!B26*1</f>
        <v>12321</v>
      </c>
      <c r="E26">
        <f t="shared" si="3"/>
        <v>24</v>
      </c>
      <c r="F26" s="61">
        <f>IF(FT!A26&lt;&gt;"",FT!A26*10,"")</f>
        <v>3.7589800000000002</v>
      </c>
      <c r="G26" s="61">
        <f>IF(FT!B26&lt;&gt;"",FT!B26*100,"")</f>
        <v>50.77</v>
      </c>
      <c r="H26" s="61">
        <f t="shared" si="1"/>
        <v>1</v>
      </c>
      <c r="I26" t="str">
        <f>IF(FT!B26&lt;&gt;"",FT!E26,"")</f>
        <v>1 [9.726603]</v>
      </c>
      <c r="J26">
        <f>IF(FT!B26&lt;&gt;"",FT!C26,"")</f>
        <v>9.7265999999999995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0.4824235294117647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3.7953799999999998</v>
      </c>
      <c r="G27" s="61">
        <f>IF(FT!B27&lt;&gt;"",FT!B27*100,"")</f>
        <v>50.797699999999999</v>
      </c>
      <c r="H27" s="61">
        <f t="shared" si="1"/>
        <v>1</v>
      </c>
      <c r="I27" t="str">
        <f>IF(FT!B27&lt;&gt;"",FT!E27,"")</f>
        <v>1 [10.131549]</v>
      </c>
      <c r="J27">
        <f>IF(FT!B27&lt;&gt;"",FT!C27,"")</f>
        <v>10.131500000000001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0.50172047058823532</v>
      </c>
      <c r="C28" s="61">
        <f>FH!A28*1</f>
        <v>17176</v>
      </c>
      <c r="D28" s="61">
        <f>FH!B28*1</f>
        <v>17176</v>
      </c>
      <c r="E28">
        <f t="shared" si="3"/>
        <v>26</v>
      </c>
      <c r="F28" s="61">
        <f>IF(FT!A28&lt;&gt;"",FT!A28*10,"")</f>
        <v>3.8263200000000004</v>
      </c>
      <c r="G28" s="61">
        <f>IF(FT!B28&lt;&gt;"",FT!B28*100,"")</f>
        <v>50.9069</v>
      </c>
      <c r="H28" s="61">
        <f t="shared" si="1"/>
        <v>1</v>
      </c>
      <c r="I28" t="str">
        <f>IF(FT!B28&lt;&gt;"",FT!E28,"")</f>
        <v>1 [10.534488]</v>
      </c>
      <c r="J28">
        <f>IF(FT!B28&lt;&gt;"",FT!C28,"")</f>
        <v>10.5345</v>
      </c>
    </row>
    <row r="29" spans="1:19">
      <c r="A29" s="61">
        <f t="shared" si="2"/>
        <v>27</v>
      </c>
      <c r="B29" s="61">
        <f t="shared" si="0"/>
        <v>0.52101741176470595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3.8551899999999999</v>
      </c>
      <c r="G29" s="61">
        <f>IF(FT!B29&lt;&gt;"",FT!B29*100,"")</f>
        <v>51.001700000000007</v>
      </c>
      <c r="H29" s="61">
        <f t="shared" si="1"/>
        <v>1</v>
      </c>
      <c r="I29" t="str">
        <f>IF(FT!B29&lt;&gt;"",FT!E29,"")</f>
        <v>1 [10.942060]</v>
      </c>
      <c r="J29">
        <f>IF(FT!B29&lt;&gt;"",FT!C29,"")</f>
        <v>10.9421</v>
      </c>
    </row>
    <row r="30" spans="1:19">
      <c r="A30" s="61">
        <f t="shared" si="2"/>
        <v>28</v>
      </c>
      <c r="B30" s="61">
        <f t="shared" si="0"/>
        <v>0.54031435294117647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3.8780299999999999</v>
      </c>
      <c r="G30" s="61">
        <f>IF(FT!B30&lt;&gt;"",FT!B30*100,"")</f>
        <v>51.103600000000007</v>
      </c>
      <c r="H30" s="61">
        <f t="shared" si="1"/>
        <v>1</v>
      </c>
      <c r="I30" t="str">
        <f>IF(FT!B30&lt;&gt;"",FT!E30,"")</f>
        <v>1 [11.352830]</v>
      </c>
      <c r="J30">
        <f>IF(FT!B30&lt;&gt;"",FT!C30,"")</f>
        <v>11.3528</v>
      </c>
    </row>
    <row r="31" spans="1:19">
      <c r="A31" s="61">
        <f t="shared" si="2"/>
        <v>29</v>
      </c>
      <c r="B31" s="61">
        <f t="shared" si="0"/>
        <v>0.5596112941176471</v>
      </c>
      <c r="C31" s="61">
        <f>FH!A31*1</f>
        <v>21087</v>
      </c>
      <c r="D31" s="61">
        <f>FH!B31*1</f>
        <v>21087</v>
      </c>
      <c r="E31">
        <f t="shared" si="3"/>
        <v>29</v>
      </c>
      <c r="F31" s="61">
        <f>IF(FT!A31&lt;&gt;"",FT!A31*10,"")</f>
        <v>3.89825</v>
      </c>
      <c r="G31" s="61">
        <f>IF(FT!B31&lt;&gt;"",FT!B31*100,"")</f>
        <v>51.213799999999999</v>
      </c>
      <c r="H31" s="61">
        <f t="shared" si="1"/>
        <v>1</v>
      </c>
      <c r="I31" t="str">
        <f>IF(FT!B31&lt;&gt;"",FT!E31,"")</f>
        <v>1 [11.758215]</v>
      </c>
      <c r="J31">
        <f>IF(FT!B31&lt;&gt;"",FT!C31,"")</f>
        <v>11.7582</v>
      </c>
    </row>
    <row r="32" spans="1:19">
      <c r="A32" s="61">
        <f t="shared" si="2"/>
        <v>30</v>
      </c>
      <c r="B32" s="61">
        <f t="shared" si="0"/>
        <v>0.57890823529411761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3.91927</v>
      </c>
      <c r="G32" s="61">
        <f>IF(FT!B32&lt;&gt;"",FT!B32*100,"")</f>
        <v>51.3551</v>
      </c>
      <c r="H32" s="61">
        <f t="shared" si="1"/>
        <v>1</v>
      </c>
      <c r="I32" t="str">
        <f>IF(FT!B32&lt;&gt;"",FT!E32,"")</f>
        <v>1 [12.164101]</v>
      </c>
      <c r="J32">
        <f>IF(FT!B32&lt;&gt;"",FT!C32,"")</f>
        <v>12.164099999999999</v>
      </c>
    </row>
    <row r="33" spans="1:10">
      <c r="A33" s="61">
        <f t="shared" si="2"/>
        <v>31</v>
      </c>
      <c r="B33" s="61">
        <f t="shared" si="0"/>
        <v>0.59820517647058824</v>
      </c>
      <c r="C33" s="61">
        <f>FH!A33*1</f>
        <v>31110</v>
      </c>
      <c r="D33" s="61">
        <f>FH!B33*1</f>
        <v>31110</v>
      </c>
      <c r="E33">
        <f t="shared" si="3"/>
        <v>31</v>
      </c>
      <c r="F33" s="61">
        <f>IF(FT!A33&lt;&gt;"",FT!A33*10,"")</f>
        <v>3.9413999999999998</v>
      </c>
      <c r="G33" s="61">
        <f>IF(FT!B33&lt;&gt;"",FT!B33*100,"")</f>
        <v>51.509300000000003</v>
      </c>
      <c r="H33" s="61">
        <f t="shared" si="1"/>
        <v>1</v>
      </c>
      <c r="I33" t="str">
        <f>IF(FT!B33&lt;&gt;"",FT!E33,"")</f>
        <v>1 [12.566072]</v>
      </c>
      <c r="J33">
        <f>IF(FT!B33&lt;&gt;"",FT!C33,"")</f>
        <v>12.5661</v>
      </c>
    </row>
    <row r="34" spans="1:10">
      <c r="A34" s="61">
        <f t="shared" si="2"/>
        <v>32</v>
      </c>
      <c r="B34" s="61">
        <f t="shared" si="0"/>
        <v>0.61750211764705887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3.9638600000000004</v>
      </c>
      <c r="G34" s="61">
        <f>IF(FT!B34&lt;&gt;"",FT!B34*100,"")</f>
        <v>51.627400000000002</v>
      </c>
      <c r="H34" s="61">
        <f t="shared" si="1"/>
        <v>1</v>
      </c>
      <c r="I34" t="str">
        <f>IF(FT!B34&lt;&gt;"",FT!E34,"")</f>
        <v>1 [12.974484]</v>
      </c>
      <c r="J34">
        <f>IF(FT!B34&lt;&gt;"",FT!C34,"")</f>
        <v>12.974500000000001</v>
      </c>
    </row>
    <row r="35" spans="1:10">
      <c r="A35" s="61">
        <f t="shared" si="2"/>
        <v>33</v>
      </c>
      <c r="B35" s="61">
        <f t="shared" si="0"/>
        <v>0.6367990588235295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3.9835500000000001</v>
      </c>
      <c r="G35" s="61">
        <f>IF(FT!B35&lt;&gt;"",FT!B35*100,"")</f>
        <v>51.738300000000002</v>
      </c>
      <c r="H35" s="61">
        <f t="shared" si="1"/>
        <v>1</v>
      </c>
      <c r="I35" t="str">
        <f>IF(FT!B35&lt;&gt;"",FT!E35,"")</f>
        <v>1 [13.382982]</v>
      </c>
      <c r="J35">
        <f>IF(FT!B35&lt;&gt;"",FT!C35,"")</f>
        <v>13.382999999999999</v>
      </c>
    </row>
    <row r="36" spans="1:10">
      <c r="A36" s="61">
        <f t="shared" si="2"/>
        <v>34</v>
      </c>
      <c r="B36" s="61">
        <f t="shared" si="0"/>
        <v>0.65609600000000001</v>
      </c>
      <c r="C36" s="61">
        <f>FH!A36*1</f>
        <v>40212</v>
      </c>
      <c r="D36" s="61">
        <f>FH!B36*1</f>
        <v>40212</v>
      </c>
      <c r="E36">
        <f t="shared" si="3"/>
        <v>34</v>
      </c>
      <c r="F36" s="61">
        <f>IF(FT!A36&lt;&gt;"",FT!A36*10,"")</f>
        <v>3.99899</v>
      </c>
      <c r="G36" s="61">
        <f>IF(FT!B36&lt;&gt;"",FT!B36*100,"")</f>
        <v>51.812400000000004</v>
      </c>
      <c r="H36" s="61">
        <f t="shared" si="1"/>
        <v>1</v>
      </c>
      <c r="I36" t="str">
        <f>IF(FT!B36&lt;&gt;"",FT!E36,"")</f>
        <v>1 [13.789743]</v>
      </c>
      <c r="J36">
        <f>IF(FT!B36&lt;&gt;"",FT!C36,"")</f>
        <v>13.7897</v>
      </c>
    </row>
    <row r="37" spans="1:10">
      <c r="A37" s="61">
        <f t="shared" si="2"/>
        <v>35</v>
      </c>
      <c r="B37" s="61">
        <f t="shared" si="0"/>
        <v>0.67539294117647064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4.0084799999999996</v>
      </c>
      <c r="G37" s="61">
        <f>IF(FT!B37&lt;&gt;"",FT!B37*100,"")</f>
        <v>51.772500000000001</v>
      </c>
      <c r="H37" s="61">
        <f t="shared" si="1"/>
        <v>1</v>
      </c>
      <c r="I37" t="str">
        <f>IF(FT!B37&lt;&gt;"",FT!E37,"")</f>
        <v>1 [14.196688]</v>
      </c>
      <c r="J37">
        <f>IF(FT!B37&lt;&gt;"",FT!C37,"")</f>
        <v>14.1967</v>
      </c>
    </row>
    <row r="38" spans="1:10">
      <c r="A38" s="61">
        <f t="shared" si="2"/>
        <v>36</v>
      </c>
      <c r="B38" s="61">
        <f t="shared" si="0"/>
        <v>0.69468988235294116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4.0114900000000002</v>
      </c>
      <c r="G38" s="61">
        <f>IF(FT!B38&lt;&gt;"",FT!B38*100,"")</f>
        <v>51.624600000000001</v>
      </c>
      <c r="H38" s="61">
        <f t="shared" si="1"/>
        <v>1</v>
      </c>
      <c r="I38" t="str">
        <f>IF(FT!B38&lt;&gt;"",FT!E38,"")</f>
        <v>1 [14.601588]</v>
      </c>
      <c r="J38">
        <f>IF(FT!B38&lt;&gt;"",FT!C38,"")</f>
        <v>14.601599999999999</v>
      </c>
    </row>
    <row r="39" spans="1:10">
      <c r="A39" s="61">
        <f t="shared" si="2"/>
        <v>37</v>
      </c>
      <c r="B39" s="61">
        <f t="shared" si="0"/>
        <v>0.7139868235294119</v>
      </c>
      <c r="C39" s="61">
        <f>FH!A39*1</f>
        <v>58638</v>
      </c>
      <c r="D39" s="61">
        <f>FH!B39*1</f>
        <v>58638</v>
      </c>
      <c r="E39">
        <f t="shared" si="3"/>
        <v>37</v>
      </c>
      <c r="F39" s="61">
        <f>IF(FT!A39&lt;&gt;"",FT!A39*10,"")</f>
        <v>4.0091400000000004</v>
      </c>
      <c r="G39" s="61">
        <f>IF(FT!B39&lt;&gt;"",FT!B39*100,"")</f>
        <v>51.449399999999997</v>
      </c>
      <c r="H39" s="61">
        <f t="shared" si="1"/>
        <v>1</v>
      </c>
      <c r="I39" t="str">
        <f>IF(FT!B39&lt;&gt;"",FT!E39,"")</f>
        <v>1 [15.006597]</v>
      </c>
      <c r="J39">
        <f>IF(FT!B39&lt;&gt;"",FT!C39,"")</f>
        <v>15.006600000000001</v>
      </c>
    </row>
    <row r="40" spans="1:10">
      <c r="A40" s="61">
        <f t="shared" si="2"/>
        <v>38</v>
      </c>
      <c r="B40" s="61">
        <f t="shared" si="0"/>
        <v>0.73328376470588241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4.0044599999999999</v>
      </c>
      <c r="G40" s="61">
        <f>IF(FT!B40&lt;&gt;"",FT!B40*100,"")</f>
        <v>51.273100000000007</v>
      </c>
      <c r="H40" s="61">
        <f t="shared" si="1"/>
        <v>1</v>
      </c>
      <c r="I40" t="str">
        <f>IF(FT!B40&lt;&gt;"",FT!E40,"")</f>
        <v>1 [15.413433]</v>
      </c>
      <c r="J40">
        <f>IF(FT!B40&lt;&gt;"",FT!C40,"")</f>
        <v>15.413399999999999</v>
      </c>
    </row>
    <row r="41" spans="1:10">
      <c r="A41" s="61">
        <f t="shared" si="2"/>
        <v>39</v>
      </c>
      <c r="B41" s="61">
        <f t="shared" si="0"/>
        <v>0.75258070588235304</v>
      </c>
      <c r="C41" s="61">
        <f>FH!A41*1</f>
        <v>74958</v>
      </c>
      <c r="D41" s="61">
        <f>FH!B41*1</f>
        <v>74958</v>
      </c>
      <c r="E41">
        <f t="shared" si="3"/>
        <v>39</v>
      </c>
      <c r="F41" s="61">
        <f>IF(FT!A41&lt;&gt;"",FT!A41*10,"")</f>
        <v>3.9965299999999999</v>
      </c>
      <c r="G41" s="61">
        <f>IF(FT!B41&lt;&gt;"",FT!B41*100,"")</f>
        <v>51.072399999999995</v>
      </c>
      <c r="H41" s="61">
        <f t="shared" si="1"/>
        <v>1</v>
      </c>
      <c r="I41" t="str">
        <f>IF(FT!B41&lt;&gt;"",FT!E41,"")</f>
        <v>1 [15.816396]</v>
      </c>
      <c r="J41">
        <f>IF(FT!B41&lt;&gt;"",FT!C41,"")</f>
        <v>15.8164</v>
      </c>
    </row>
    <row r="42" spans="1:10">
      <c r="A42" s="61">
        <f t="shared" si="2"/>
        <v>40</v>
      </c>
      <c r="B42" s="61">
        <f t="shared" si="0"/>
        <v>0.77187764705882356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3.9839899999999999</v>
      </c>
      <c r="G42" s="61">
        <f>IF(FT!B42&lt;&gt;"",FT!B42*100,"")</f>
        <v>50.841700000000003</v>
      </c>
      <c r="H42" s="61">
        <f t="shared" si="1"/>
        <v>1</v>
      </c>
      <c r="I42" t="str">
        <f>IF(FT!B42&lt;&gt;"",FT!E42,"")</f>
        <v>1 [16.226287]</v>
      </c>
      <c r="J42">
        <f>IF(FT!B42&lt;&gt;"",FT!C42,"")</f>
        <v>16.226299999999998</v>
      </c>
    </row>
    <row r="43" spans="1:10">
      <c r="A43" s="61">
        <f t="shared" si="2"/>
        <v>41</v>
      </c>
      <c r="B43" s="61">
        <f t="shared" si="0"/>
        <v>0.79117458823529418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3.9681100000000002</v>
      </c>
      <c r="G43" s="61">
        <f>IF(FT!B43&lt;&gt;"",FT!B43*100,"")</f>
        <v>50.682499999999997</v>
      </c>
      <c r="H43" s="61">
        <f t="shared" si="1"/>
        <v>1</v>
      </c>
      <c r="I43" t="str">
        <f>IF(FT!B43&lt;&gt;"",FT!E43,"")</f>
        <v>1 [16.635198]</v>
      </c>
      <c r="J43">
        <f>IF(FT!B43&lt;&gt;"",FT!C43,"")</f>
        <v>16.635200000000001</v>
      </c>
    </row>
    <row r="44" spans="1:10">
      <c r="A44" s="61">
        <f t="shared" si="2"/>
        <v>42</v>
      </c>
      <c r="B44" s="61">
        <f t="shared" si="0"/>
        <v>0.8104715294117647</v>
      </c>
      <c r="C44" s="61">
        <f>FH!A44*1</f>
        <v>86327</v>
      </c>
      <c r="D44" s="61">
        <f>FH!B44*1</f>
        <v>86327</v>
      </c>
      <c r="E44">
        <f t="shared" si="3"/>
        <v>42</v>
      </c>
      <c r="F44" s="61">
        <f>IF(FT!A44&lt;&gt;"",FT!A44*10,"")</f>
        <v>3.9493200000000002</v>
      </c>
      <c r="G44" s="61">
        <f>IF(FT!B44&lt;&gt;"",FT!B44*100,"")</f>
        <v>50.572300000000006</v>
      </c>
      <c r="H44" s="61">
        <f t="shared" si="1"/>
        <v>1</v>
      </c>
      <c r="I44" t="str">
        <f>IF(FT!B44&lt;&gt;"",FT!E44,"")</f>
        <v>1 [17.040116]</v>
      </c>
      <c r="J44">
        <f>IF(FT!B44&lt;&gt;"",FT!C44,"")</f>
        <v>17.040099999999999</v>
      </c>
    </row>
    <row r="45" spans="1:10">
      <c r="A45" s="61">
        <f t="shared" si="2"/>
        <v>43</v>
      </c>
      <c r="B45" s="61">
        <f t="shared" si="0"/>
        <v>0.82976847058823544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3.9237799999999998</v>
      </c>
      <c r="G45" s="61">
        <f>IF(FT!B45&lt;&gt;"",FT!B45*100,"")</f>
        <v>50.517100000000006</v>
      </c>
      <c r="H45" s="61">
        <f t="shared" si="1"/>
        <v>1</v>
      </c>
      <c r="I45" t="str">
        <f>IF(FT!B45&lt;&gt;"",FT!E45,"")</f>
        <v>1 [17.443140]</v>
      </c>
      <c r="J45">
        <f>IF(FT!B45&lt;&gt;"",FT!C45,"")</f>
        <v>17.443100000000001</v>
      </c>
    </row>
    <row r="46" spans="1:10">
      <c r="A46" s="61">
        <f t="shared" si="2"/>
        <v>44</v>
      </c>
      <c r="B46" s="61">
        <f t="shared" si="0"/>
        <v>0.84906541176470596</v>
      </c>
      <c r="C46" s="61">
        <f>FH!A46*1</f>
        <v>97466</v>
      </c>
      <c r="D46" s="61">
        <f>FH!B46*1</f>
        <v>97466</v>
      </c>
      <c r="E46">
        <f t="shared" si="3"/>
        <v>44</v>
      </c>
      <c r="F46" s="61">
        <f>IF(FT!A46&lt;&gt;"",FT!A46*10,"")</f>
        <v>3.8947500000000002</v>
      </c>
      <c r="G46" s="61">
        <f>IF(FT!B46&lt;&gt;"",FT!B46*100,"")</f>
        <v>50.531700000000001</v>
      </c>
      <c r="H46" s="61">
        <f t="shared" si="1"/>
        <v>1</v>
      </c>
      <c r="I46" t="str">
        <f>IF(FT!B46&lt;&gt;"",FT!E46,"")</f>
        <v>1 [17.848881]</v>
      </c>
      <c r="J46">
        <f>IF(FT!B46&lt;&gt;"",FT!C46,"")</f>
        <v>17.8489</v>
      </c>
    </row>
    <row r="47" spans="1:10">
      <c r="A47" s="61">
        <f t="shared" si="2"/>
        <v>45</v>
      </c>
      <c r="B47" s="61">
        <f t="shared" si="0"/>
        <v>0.86836235294117659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3.8654199999999999</v>
      </c>
      <c r="G47" s="61">
        <f>IF(FT!B47&lt;&gt;"",FT!B47*100,"")</f>
        <v>50.624899999999997</v>
      </c>
      <c r="H47" s="61">
        <f t="shared" si="1"/>
        <v>1</v>
      </c>
      <c r="I47" t="str">
        <f>IF(FT!B47&lt;&gt;"",FT!E47,"")</f>
        <v>1 [18.256820]</v>
      </c>
      <c r="J47">
        <f>IF(FT!B47&lt;&gt;"",FT!C47,"")</f>
        <v>18.256799999999998</v>
      </c>
    </row>
    <row r="48" spans="1:10">
      <c r="A48" s="61">
        <f t="shared" si="2"/>
        <v>46</v>
      </c>
      <c r="B48" s="61">
        <f t="shared" si="0"/>
        <v>0.8876592941176471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3.83812</v>
      </c>
      <c r="G48" s="61">
        <f>IF(FT!B48&lt;&gt;"",FT!B48*100,"")</f>
        <v>50.662600000000005</v>
      </c>
      <c r="H48" s="61">
        <f t="shared" si="1"/>
        <v>1</v>
      </c>
      <c r="I48" t="str">
        <f>IF(FT!B48&lt;&gt;"",FT!E48,"")</f>
        <v>1 [18.664713]</v>
      </c>
      <c r="J48">
        <f>IF(FT!B48&lt;&gt;"",FT!C48,"")</f>
        <v>18.6647</v>
      </c>
    </row>
    <row r="49" spans="1:10">
      <c r="A49" s="61">
        <f t="shared" si="2"/>
        <v>47</v>
      </c>
      <c r="B49" s="61">
        <f t="shared" si="0"/>
        <v>0.90695623529411773</v>
      </c>
      <c r="C49" s="61">
        <f>FH!A49*1</f>
        <v>104739</v>
      </c>
      <c r="D49" s="61">
        <f>FH!B49*1</f>
        <v>104739</v>
      </c>
      <c r="E49">
        <f t="shared" si="3"/>
        <v>47</v>
      </c>
      <c r="F49" s="61">
        <f>IF(FT!A49&lt;&gt;"",FT!A49*10,"")</f>
        <v>3.8165300000000002</v>
      </c>
      <c r="G49" s="61">
        <f>IF(FT!B49&lt;&gt;"",FT!B49*100,"")</f>
        <v>50.612900000000003</v>
      </c>
      <c r="H49" s="61">
        <f t="shared" si="1"/>
        <v>1</v>
      </c>
      <c r="I49" t="str">
        <f>IF(FT!B49&lt;&gt;"",FT!E49,"")</f>
        <v>1 [19.070641]</v>
      </c>
      <c r="J49">
        <f>IF(FT!B49&lt;&gt;"",FT!C49,"")</f>
        <v>19.070599999999999</v>
      </c>
    </row>
    <row r="50" spans="1:10">
      <c r="A50" s="61">
        <f t="shared" si="2"/>
        <v>48</v>
      </c>
      <c r="B50" s="61">
        <f t="shared" si="0"/>
        <v>0.92625317647058825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3.79928</v>
      </c>
      <c r="G50" s="61">
        <f>IF(FT!B50&lt;&gt;"",FT!B50*100,"")</f>
        <v>50.593600000000002</v>
      </c>
      <c r="H50" s="61">
        <f t="shared" si="1"/>
        <v>1</v>
      </c>
      <c r="I50" t="str">
        <f>IF(FT!B50&lt;&gt;"",FT!E50,"")</f>
        <v>1 [19.476560]</v>
      </c>
      <c r="J50">
        <f>IF(FT!B50&lt;&gt;"",FT!C50,"")</f>
        <v>19.476600000000001</v>
      </c>
    </row>
    <row r="51" spans="1:10">
      <c r="A51" s="61">
        <f t="shared" si="2"/>
        <v>49</v>
      </c>
      <c r="B51" s="61">
        <f t="shared" si="0"/>
        <v>0.94555011764705887</v>
      </c>
      <c r="C51" s="61">
        <f>FH!A51*1</f>
        <v>104914</v>
      </c>
      <c r="D51" s="61">
        <f>FH!B51*1</f>
        <v>104914</v>
      </c>
      <c r="E51">
        <f t="shared" si="3"/>
        <v>49</v>
      </c>
      <c r="F51" s="61">
        <f>IF(FT!A51&lt;&gt;"",FT!A51*10,"")</f>
        <v>3.7839400000000003</v>
      </c>
      <c r="G51" s="61">
        <f>IF(FT!B51&lt;&gt;"",FT!B51*100,"")</f>
        <v>50.675699999999999</v>
      </c>
      <c r="H51" s="61">
        <f t="shared" si="1"/>
        <v>1</v>
      </c>
      <c r="I51" t="str">
        <f>IF(FT!B51&lt;&gt;"",FT!E51,"")</f>
        <v>1 [19.880457]</v>
      </c>
      <c r="J51">
        <f>IF(FT!B51&lt;&gt;"",FT!C51,"")</f>
        <v>19.880500000000001</v>
      </c>
    </row>
    <row r="52" spans="1:10">
      <c r="A52" s="61">
        <f t="shared" si="2"/>
        <v>50</v>
      </c>
      <c r="B52" s="61">
        <f t="shared" si="0"/>
        <v>0.96484705882352939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3.7713600000000005</v>
      </c>
      <c r="G52" s="61">
        <f>IF(FT!B52&lt;&gt;"",FT!B52*100,"")</f>
        <v>50.764699999999998</v>
      </c>
      <c r="H52" s="61">
        <f t="shared" si="1"/>
        <v>1</v>
      </c>
      <c r="I52" t="str">
        <f>IF(FT!B52&lt;&gt;"",FT!E52,"")</f>
        <v>1 [20.284607]</v>
      </c>
      <c r="J52">
        <f>IF(FT!B52&lt;&gt;"",FT!C52,"")</f>
        <v>20.284600000000001</v>
      </c>
    </row>
    <row r="53" spans="1:10">
      <c r="A53" s="61">
        <f t="shared" si="2"/>
        <v>51</v>
      </c>
      <c r="B53" s="61">
        <f t="shared" si="0"/>
        <v>0.98414400000000013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3.7649400000000002</v>
      </c>
      <c r="G53" s="61">
        <f>IF(FT!B53&lt;&gt;"",FT!B53*100,"")</f>
        <v>50.780899999999995</v>
      </c>
      <c r="H53" s="61">
        <f t="shared" si="1"/>
        <v>1</v>
      </c>
      <c r="I53" t="str">
        <f>IF(FT!B53&lt;&gt;"",FT!E53,"")</f>
        <v>1 [20.694343]</v>
      </c>
      <c r="J53">
        <f>IF(FT!B53&lt;&gt;"",FT!C53,"")</f>
        <v>20.694299999999998</v>
      </c>
    </row>
    <row r="54" spans="1:10">
      <c r="A54" s="61">
        <f t="shared" si="2"/>
        <v>52</v>
      </c>
      <c r="B54" s="61">
        <f t="shared" si="0"/>
        <v>1.0034409411764706</v>
      </c>
      <c r="C54" s="61">
        <f>FH!A54*1</f>
        <v>117045</v>
      </c>
      <c r="D54" s="61">
        <f>FH!B54*1</f>
        <v>117045</v>
      </c>
      <c r="E54">
        <f t="shared" si="3"/>
        <v>52</v>
      </c>
      <c r="F54" s="61">
        <f>IF(FT!A54&lt;&gt;"",FT!A54*10,"")</f>
        <v>3.7626500000000003</v>
      </c>
      <c r="G54" s="61">
        <f>IF(FT!B54&lt;&gt;"",FT!B54*100,"")</f>
        <v>50.7652</v>
      </c>
      <c r="H54" s="61">
        <f t="shared" si="1"/>
        <v>1</v>
      </c>
      <c r="I54" t="str">
        <f>IF(FT!B54&lt;&gt;"",FT!E54,"")</f>
        <v>1 [21.103547]</v>
      </c>
      <c r="J54">
        <f>IF(FT!B54&lt;&gt;"",FT!C54,"")</f>
        <v>21.1035</v>
      </c>
    </row>
    <row r="55" spans="1:10">
      <c r="A55" s="61">
        <f t="shared" si="2"/>
        <v>53</v>
      </c>
      <c r="B55" s="61">
        <f t="shared" si="0"/>
        <v>1.0227378823529412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3.7691300000000001</v>
      </c>
      <c r="G55" s="61">
        <f>IF(FT!B55&lt;&gt;"",FT!B55*100,"")</f>
        <v>50.621099999999998</v>
      </c>
      <c r="H55" s="61">
        <f t="shared" si="1"/>
        <v>1</v>
      </c>
      <c r="I55" t="str">
        <f>IF(FT!B55&lt;&gt;"",FT!E55,"")</f>
        <v>1 [21.508110]</v>
      </c>
      <c r="J55">
        <f>IF(FT!B55&lt;&gt;"",FT!C55,"")</f>
        <v>21.508099999999999</v>
      </c>
    </row>
    <row r="56" spans="1:10">
      <c r="A56" s="61">
        <f t="shared" si="2"/>
        <v>54</v>
      </c>
      <c r="B56" s="61">
        <f t="shared" si="0"/>
        <v>1.0420348235294119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3.7840199999999999</v>
      </c>
      <c r="G56" s="61">
        <f>IF(FT!B56&lt;&gt;"",FT!B56*100,"")</f>
        <v>50.342500000000001</v>
      </c>
      <c r="H56" s="61">
        <f t="shared" si="1"/>
        <v>1</v>
      </c>
      <c r="I56" t="str">
        <f>IF(FT!B56&lt;&gt;"",FT!E56,"")</f>
        <v>1 [21.913116]</v>
      </c>
      <c r="J56">
        <f>IF(FT!B56&lt;&gt;"",FT!C56,"")</f>
        <v>21.9131</v>
      </c>
    </row>
    <row r="57" spans="1:10">
      <c r="A57" s="61">
        <f t="shared" si="2"/>
        <v>55</v>
      </c>
      <c r="B57" s="61">
        <f t="shared" si="0"/>
        <v>1.0613317647058824</v>
      </c>
      <c r="C57" s="61">
        <f>FH!A57*1</f>
        <v>117603</v>
      </c>
      <c r="D57" s="61">
        <f>FH!B57*1</f>
        <v>117603</v>
      </c>
      <c r="E57">
        <f t="shared" si="3"/>
        <v>55</v>
      </c>
      <c r="F57" s="61">
        <f>IF(FT!A57&lt;&gt;"",FT!A57*10,"")</f>
        <v>3.8041599999999995</v>
      </c>
      <c r="G57" s="61">
        <f>IF(FT!B57&lt;&gt;"",FT!B57*100,"")</f>
        <v>49.902200000000001</v>
      </c>
      <c r="H57" s="61">
        <f t="shared" si="1"/>
        <v>1</v>
      </c>
      <c r="I57" t="str">
        <f>IF(FT!B57&lt;&gt;"",FT!E57,"")</f>
        <v>1 [22.318163]</v>
      </c>
      <c r="J57">
        <f>IF(FT!B57&lt;&gt;"",FT!C57,"")</f>
        <v>22.318200000000001</v>
      </c>
    </row>
    <row r="58" spans="1:10">
      <c r="A58" s="61">
        <f t="shared" si="2"/>
        <v>56</v>
      </c>
      <c r="B58" s="61">
        <f t="shared" si="0"/>
        <v>1.0806287058823529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3.8461800000000004</v>
      </c>
      <c r="G58" s="61">
        <f>IF(FT!B58&lt;&gt;"",FT!B58*100,"")</f>
        <v>49.020200000000003</v>
      </c>
      <c r="H58" s="61">
        <f t="shared" si="1"/>
        <v>1</v>
      </c>
      <c r="I58" t="str">
        <f>IF(FT!B58&lt;&gt;"",FT!E58,"")</f>
        <v>1 [22.726855]</v>
      </c>
      <c r="J58">
        <f>IF(FT!B58&lt;&gt;"",FT!C58,"")</f>
        <v>22.726900000000001</v>
      </c>
    </row>
    <row r="59" spans="1:10">
      <c r="A59" s="61">
        <f t="shared" si="2"/>
        <v>57</v>
      </c>
      <c r="B59" s="61">
        <f t="shared" si="0"/>
        <v>1.0999256470588237</v>
      </c>
      <c r="C59" s="61">
        <f>FH!A59*1</f>
        <v>135142</v>
      </c>
      <c r="D59" s="61">
        <f>FH!B59*1</f>
        <v>135142</v>
      </c>
      <c r="E59">
        <f t="shared" si="3"/>
        <v>57</v>
      </c>
      <c r="F59" s="61">
        <f>IF(FT!A59&lt;&gt;"",FT!A59*10,"")</f>
        <v>3.87276</v>
      </c>
      <c r="G59" s="61">
        <f>IF(FT!B59&lt;&gt;"",FT!B59*100,"")</f>
        <v>48.499600000000001</v>
      </c>
      <c r="H59" s="61">
        <f t="shared" si="1"/>
        <v>1</v>
      </c>
      <c r="I59" t="str">
        <f>IF(FT!B59&lt;&gt;"",FT!E59,"")</f>
        <v>1 [23.133806]</v>
      </c>
      <c r="J59">
        <f>IF(FT!B59&lt;&gt;"",FT!C59,"")</f>
        <v>23.133800000000001</v>
      </c>
    </row>
    <row r="60" spans="1:10">
      <c r="A60" s="61">
        <f t="shared" si="2"/>
        <v>58</v>
      </c>
      <c r="B60" s="61">
        <f t="shared" si="0"/>
        <v>1.1192225882352942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3.8869700000000003</v>
      </c>
      <c r="G60" s="61">
        <f>IF(FT!B60&lt;&gt;"",FT!B60*100,"")</f>
        <v>48.155200000000001</v>
      </c>
      <c r="H60" s="61">
        <f t="shared" si="1"/>
        <v>1</v>
      </c>
      <c r="I60" t="str">
        <f>IF(FT!B60&lt;&gt;"",FT!E60,"")</f>
        <v>1 [23.537712]</v>
      </c>
      <c r="J60">
        <f>IF(FT!B60&lt;&gt;"",FT!C60,"")</f>
        <v>23.537700000000001</v>
      </c>
    </row>
    <row r="61" spans="1:10">
      <c r="A61" s="61">
        <f t="shared" si="2"/>
        <v>59</v>
      </c>
      <c r="B61" s="61">
        <f t="shared" si="0"/>
        <v>1.1385195294117647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3.9369900000000002</v>
      </c>
      <c r="G61" s="61">
        <f>IF(FT!B61&lt;&gt;"",FT!B61*100,"")</f>
        <v>47.270400000000002</v>
      </c>
      <c r="H61" s="61">
        <f t="shared" si="1"/>
        <v>1</v>
      </c>
      <c r="I61" t="str">
        <f>IF(FT!B61&lt;&gt;"",FT!E61,"")</f>
        <v>1 [23.944641]</v>
      </c>
      <c r="J61">
        <f>IF(FT!B61&lt;&gt;"",FT!C61,"")</f>
        <v>23.944600000000001</v>
      </c>
    </row>
    <row r="62" spans="1:10">
      <c r="A62" s="61">
        <f t="shared" si="2"/>
        <v>60</v>
      </c>
      <c r="B62" s="61">
        <f t="shared" si="0"/>
        <v>1.1578164705882352</v>
      </c>
      <c r="C62" s="61">
        <f>FH!A62*1</f>
        <v>140558</v>
      </c>
      <c r="D62" s="61">
        <f>FH!B62*1</f>
        <v>140558</v>
      </c>
      <c r="E62">
        <f t="shared" si="3"/>
        <v>60</v>
      </c>
      <c r="F62" s="61">
        <f>IF(FT!A62&lt;&gt;"",FT!A62*10,"")</f>
        <v>3.9570499999999997</v>
      </c>
      <c r="G62" s="61">
        <f>IF(FT!B62&lt;&gt;"",FT!B62*100,"")</f>
        <v>46.893099999999997</v>
      </c>
      <c r="H62" s="61">
        <f t="shared" si="1"/>
        <v>1</v>
      </c>
      <c r="I62" t="str">
        <f>IF(FT!B62&lt;&gt;"",FT!E62,"")</f>
        <v>1 [24.349858]</v>
      </c>
      <c r="J62">
        <f>IF(FT!B62&lt;&gt;"",FT!C62,"")</f>
        <v>24.349900000000002</v>
      </c>
    </row>
    <row r="63" spans="1:10">
      <c r="A63" s="61">
        <f t="shared" si="2"/>
        <v>61</v>
      </c>
      <c r="B63" s="61">
        <f t="shared" si="0"/>
        <v>1.177113411764706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4.0066800000000002</v>
      </c>
      <c r="G63" s="61">
        <f>IF(FT!B63&lt;&gt;"",FT!B63*100,"")</f>
        <v>46.146799999999999</v>
      </c>
      <c r="H63" s="61">
        <f t="shared" si="1"/>
        <v>1</v>
      </c>
      <c r="I63" t="str">
        <f>IF(FT!B63&lt;&gt;"",FT!E63,"")</f>
        <v>1 [24.758409]</v>
      </c>
      <c r="J63">
        <f>IF(FT!B63&lt;&gt;"",FT!C63,"")</f>
        <v>24.758400000000002</v>
      </c>
    </row>
    <row r="64" spans="1:10">
      <c r="A64" s="61">
        <f t="shared" si="2"/>
        <v>62</v>
      </c>
      <c r="B64" s="61">
        <f t="shared" si="0"/>
        <v>1.1964103529411765</v>
      </c>
      <c r="C64" s="61">
        <f>FH!A64*1</f>
        <v>153700</v>
      </c>
      <c r="D64" s="61">
        <f>FH!B64*1</f>
        <v>153700</v>
      </c>
      <c r="E64">
        <f t="shared" si="3"/>
        <v>62</v>
      </c>
      <c r="F64" s="61">
        <f>IF(FT!A64&lt;&gt;"",FT!A64*10,"")</f>
        <v>4.0399400000000005</v>
      </c>
      <c r="G64" s="61">
        <f>IF(FT!B64&lt;&gt;"",FT!B64*100,"")</f>
        <v>45.827600000000004</v>
      </c>
      <c r="H64" s="61">
        <f t="shared" si="1"/>
        <v>1</v>
      </c>
      <c r="I64" t="str">
        <f>IF(FT!B64&lt;&gt;"",FT!E64,"")</f>
        <v>1 [25.161375]</v>
      </c>
      <c r="J64">
        <f>IF(FT!B64&lt;&gt;"",FT!C64,"")</f>
        <v>25.1614</v>
      </c>
    </row>
    <row r="65" spans="1:10">
      <c r="A65" s="61">
        <f t="shared" si="2"/>
        <v>63</v>
      </c>
      <c r="B65" s="61">
        <f t="shared" si="0"/>
        <v>1.2157072941176472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4.0619899999999998</v>
      </c>
      <c r="G65" s="61">
        <f>IF(FT!B65&lt;&gt;"",FT!B65*100,"")</f>
        <v>45.646500000000003</v>
      </c>
      <c r="H65" s="61">
        <f t="shared" si="1"/>
        <v>1</v>
      </c>
      <c r="I65" t="str">
        <f>IF(FT!B65&lt;&gt;"",FT!E65,"")</f>
        <v>1 [25.568227]</v>
      </c>
      <c r="J65">
        <f>IF(FT!B65&lt;&gt;"",FT!C65,"")</f>
        <v>25.568200000000001</v>
      </c>
    </row>
    <row r="66" spans="1:10">
      <c r="A66" s="61">
        <f t="shared" si="2"/>
        <v>64</v>
      </c>
      <c r="B66" s="61">
        <f t="shared" si="0"/>
        <v>1.2350042352941177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4.0886800000000001</v>
      </c>
      <c r="G66" s="61">
        <f>IF(FT!B66&lt;&gt;"",FT!B66*100,"")</f>
        <v>45.5379</v>
      </c>
      <c r="H66" s="61">
        <f t="shared" si="1"/>
        <v>1</v>
      </c>
      <c r="I66" t="str">
        <f>IF(FT!B66&lt;&gt;"",FT!E66,"")</f>
        <v>1 [25.975170]</v>
      </c>
      <c r="J66">
        <f>IF(FT!B66&lt;&gt;"",FT!C66,"")</f>
        <v>25.975200000000001</v>
      </c>
    </row>
    <row r="67" spans="1:10">
      <c r="A67" s="61">
        <f t="shared" si="2"/>
        <v>65</v>
      </c>
      <c r="B67" s="61">
        <f t="shared" ref="B67:B130" si="8">A67/255*$L$2</f>
        <v>1.2543011764705883</v>
      </c>
      <c r="C67" s="61">
        <f>FH!A67*1</f>
        <v>163658</v>
      </c>
      <c r="D67" s="61">
        <f>FH!B67*1</f>
        <v>163658</v>
      </c>
      <c r="E67">
        <f t="shared" si="3"/>
        <v>65</v>
      </c>
      <c r="F67" s="61">
        <f>IF(FT!A67&lt;&gt;"",FT!A67*10,"")</f>
        <v>4.11212</v>
      </c>
      <c r="G67" s="61">
        <f>IF(FT!B67&lt;&gt;"",FT!B67*100,"")</f>
        <v>45.637100000000004</v>
      </c>
      <c r="H67" s="61">
        <f t="shared" ref="H67:H130" si="9">(IF(F67&lt;&gt;"",1,""))</f>
        <v>1</v>
      </c>
      <c r="I67" t="str">
        <f>IF(FT!B67&lt;&gt;"",FT!E67,"")</f>
        <v>1 [26.383459]</v>
      </c>
      <c r="J67">
        <f>IF(FT!B67&lt;&gt;"",FT!C67,"")</f>
        <v>26.383500000000002</v>
      </c>
    </row>
    <row r="68" spans="1:10">
      <c r="A68" s="61">
        <f t="shared" ref="A68:A131" si="10">A67+1</f>
        <v>66</v>
      </c>
      <c r="B68" s="61">
        <f t="shared" si="8"/>
        <v>1.273598117647059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4.1270499999999997</v>
      </c>
      <c r="G68" s="61">
        <f>IF(FT!B68&lt;&gt;"",FT!B68*100,"")</f>
        <v>45.694200000000002</v>
      </c>
      <c r="H68" s="61">
        <f t="shared" si="9"/>
        <v>1</v>
      </c>
      <c r="I68" t="str">
        <f>IF(FT!B68&lt;&gt;"",FT!E68,"")</f>
        <v>1 [26.786248]</v>
      </c>
      <c r="J68">
        <f>IF(FT!B68&lt;&gt;"",FT!C68,"")</f>
        <v>26.786200000000001</v>
      </c>
    </row>
    <row r="69" spans="1:10">
      <c r="A69" s="61">
        <f t="shared" si="10"/>
        <v>67</v>
      </c>
      <c r="B69" s="61">
        <f t="shared" si="8"/>
        <v>1.2928950588235295</v>
      </c>
      <c r="C69" s="61">
        <f>FH!A69*1</f>
        <v>174102</v>
      </c>
      <c r="D69" s="61">
        <f>FH!B69*1</f>
        <v>174102</v>
      </c>
      <c r="E69">
        <f t="shared" si="11"/>
        <v>67</v>
      </c>
      <c r="F69" s="61">
        <f>IF(FT!A69&lt;&gt;"",FT!A69*10,"")</f>
        <v>4.1337600000000005</v>
      </c>
      <c r="G69" s="61">
        <f>IF(FT!B69&lt;&gt;"",FT!B69*100,"")</f>
        <v>45.783099999999997</v>
      </c>
      <c r="H69" s="61">
        <f t="shared" si="9"/>
        <v>1</v>
      </c>
      <c r="I69" t="str">
        <f>IF(FT!B69&lt;&gt;"",FT!E69,"")</f>
        <v>1 [27.191919]</v>
      </c>
      <c r="J69">
        <f>IF(FT!B69&lt;&gt;"",FT!C69,"")</f>
        <v>27.1919</v>
      </c>
    </row>
    <row r="70" spans="1:10">
      <c r="A70" s="61">
        <f t="shared" si="10"/>
        <v>68</v>
      </c>
      <c r="B70" s="61">
        <f t="shared" si="8"/>
        <v>1.312192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4.1441499999999998</v>
      </c>
      <c r="G70" s="61">
        <f>IF(FT!B70&lt;&gt;"",FT!B70*100,"")</f>
        <v>45.830599999999997</v>
      </c>
      <c r="H70" s="61">
        <f t="shared" si="9"/>
        <v>1</v>
      </c>
      <c r="I70" t="str">
        <f>IF(FT!B70&lt;&gt;"",FT!E70,"")</f>
        <v>1 [27.599813]</v>
      </c>
      <c r="J70">
        <f>IF(FT!B70&lt;&gt;"",FT!C70,"")</f>
        <v>27.599799999999998</v>
      </c>
    </row>
    <row r="71" spans="1:10">
      <c r="A71" s="61">
        <f t="shared" si="10"/>
        <v>69</v>
      </c>
      <c r="B71" s="61">
        <f t="shared" si="8"/>
        <v>1.3314889411764705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4.1508500000000002</v>
      </c>
      <c r="G71" s="61">
        <f>IF(FT!B71&lt;&gt;"",FT!B71*100,"")</f>
        <v>45.873000000000005</v>
      </c>
      <c r="H71" s="61">
        <f t="shared" si="9"/>
        <v>1</v>
      </c>
      <c r="I71" t="str">
        <f>IF(FT!B71&lt;&gt;"",FT!E71,"")</f>
        <v>1 [28.007765]</v>
      </c>
      <c r="J71">
        <f>IF(FT!B71&lt;&gt;"",FT!C71,"")</f>
        <v>28.0078</v>
      </c>
    </row>
    <row r="72" spans="1:10">
      <c r="A72" s="61">
        <f t="shared" si="10"/>
        <v>70</v>
      </c>
      <c r="B72" s="61">
        <f t="shared" si="8"/>
        <v>1.3507858823529413</v>
      </c>
      <c r="C72" s="61">
        <f>FH!A72*1</f>
        <v>194888</v>
      </c>
      <c r="D72" s="61">
        <f>FH!B72*1</f>
        <v>194888</v>
      </c>
      <c r="E72">
        <f t="shared" si="11"/>
        <v>70</v>
      </c>
      <c r="F72" s="61">
        <f>IF(FT!A72&lt;&gt;"",FT!A72*10,"")</f>
        <v>4.1533899999999999</v>
      </c>
      <c r="G72" s="61">
        <f>IF(FT!B72&lt;&gt;"",FT!B72*100,"")</f>
        <v>45.900100000000002</v>
      </c>
      <c r="H72" s="61">
        <f t="shared" si="9"/>
        <v>1</v>
      </c>
      <c r="I72" t="str">
        <f>IF(FT!B72&lt;&gt;"",FT!E72,"")</f>
        <v>1 [28.412743]</v>
      </c>
      <c r="J72">
        <f>IF(FT!B72&lt;&gt;"",FT!C72,"")</f>
        <v>28.412700000000001</v>
      </c>
    </row>
    <row r="73" spans="1:10">
      <c r="A73" s="61">
        <f t="shared" si="10"/>
        <v>71</v>
      </c>
      <c r="B73" s="61">
        <f t="shared" si="8"/>
        <v>1.3700828235294118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4.1543700000000001</v>
      </c>
      <c r="G73" s="61">
        <f>IF(FT!B73&lt;&gt;"",FT!B73*100,"")</f>
        <v>45.947500000000005</v>
      </c>
      <c r="H73" s="61">
        <f t="shared" si="9"/>
        <v>1</v>
      </c>
      <c r="I73" t="str">
        <f>IF(FT!B73&lt;&gt;"",FT!E73,"")</f>
        <v>1 [28.819714]</v>
      </c>
      <c r="J73">
        <f>IF(FT!B73&lt;&gt;"",FT!C73,"")</f>
        <v>28.819700000000001</v>
      </c>
    </row>
    <row r="74" spans="1:10">
      <c r="A74" s="61">
        <f t="shared" si="10"/>
        <v>72</v>
      </c>
      <c r="B74" s="61">
        <f t="shared" si="8"/>
        <v>1.3893797647058823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4.1538300000000001</v>
      </c>
      <c r="G74" s="61">
        <f>IF(FT!B74&lt;&gt;"",FT!B74*100,"")</f>
        <v>45.981999999999999</v>
      </c>
      <c r="H74" s="61">
        <f t="shared" si="9"/>
        <v>1</v>
      </c>
      <c r="I74" t="str">
        <f>IF(FT!B74&lt;&gt;"",FT!E74,"")</f>
        <v>1 [29.222614]</v>
      </c>
      <c r="J74">
        <f>IF(FT!B74&lt;&gt;"",FT!C74,"")</f>
        <v>29.2226</v>
      </c>
    </row>
    <row r="75" spans="1:10">
      <c r="A75" s="61">
        <f t="shared" si="10"/>
        <v>73</v>
      </c>
      <c r="B75" s="61">
        <f t="shared" si="8"/>
        <v>1.4086767058823528</v>
      </c>
      <c r="C75" s="61">
        <f>FH!A75*1</f>
        <v>228957</v>
      </c>
      <c r="D75" s="61">
        <f>FH!B75*1</f>
        <v>228957</v>
      </c>
      <c r="E75">
        <f t="shared" si="11"/>
        <v>73</v>
      </c>
      <c r="F75" s="61">
        <f>IF(FT!A75&lt;&gt;"",FT!A75*10,"")</f>
        <v>4.1479900000000001</v>
      </c>
      <c r="G75" s="61">
        <f>IF(FT!B75&lt;&gt;"",FT!B75*100,"")</f>
        <v>45.875</v>
      </c>
      <c r="H75" s="61">
        <f t="shared" si="9"/>
        <v>1</v>
      </c>
      <c r="I75" t="str">
        <f>IF(FT!B75&lt;&gt;"",FT!E75,"")</f>
        <v>1 [29.629976]</v>
      </c>
      <c r="J75">
        <f>IF(FT!B75&lt;&gt;"",FT!C75,"")</f>
        <v>29.63</v>
      </c>
    </row>
    <row r="76" spans="1:10">
      <c r="A76" s="61">
        <f t="shared" si="10"/>
        <v>74</v>
      </c>
      <c r="B76" s="61">
        <f t="shared" si="8"/>
        <v>1.4279736470588238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4.1262300000000005</v>
      </c>
      <c r="G76" s="61">
        <f>IF(FT!B76&lt;&gt;"",FT!B76*100,"")</f>
        <v>45.5336</v>
      </c>
      <c r="H76" s="61">
        <f t="shared" si="9"/>
        <v>1</v>
      </c>
      <c r="I76" t="str">
        <f>IF(FT!B76&lt;&gt;"",FT!E76,"")</f>
        <v>2 [30.042650]</v>
      </c>
      <c r="J76">
        <f>IF(FT!B76&lt;&gt;"",FT!C76,"")</f>
        <v>30.0426</v>
      </c>
    </row>
    <row r="77" spans="1:10">
      <c r="A77" s="61">
        <f t="shared" si="10"/>
        <v>75</v>
      </c>
      <c r="B77" s="61">
        <f t="shared" si="8"/>
        <v>1.4472705882352943</v>
      </c>
      <c r="C77" s="61">
        <f>FH!A77*1</f>
        <v>242949</v>
      </c>
      <c r="D77" s="61">
        <f>FH!B77*1</f>
        <v>242949</v>
      </c>
      <c r="E77">
        <f t="shared" si="11"/>
        <v>75</v>
      </c>
      <c r="F77" s="61">
        <f>IF(FT!A77&lt;&gt;"",FT!A77*10,"")</f>
        <v>4.1119300000000001</v>
      </c>
      <c r="G77" s="61">
        <f>IF(FT!B77&lt;&gt;"",FT!B77*100,"")</f>
        <v>45.183700000000002</v>
      </c>
      <c r="H77" s="61">
        <f t="shared" si="9"/>
        <v>1</v>
      </c>
      <c r="I77" t="str">
        <f>IF(FT!B77&lt;&gt;"",FT!E77,"")</f>
        <v>2 [30.612698]</v>
      </c>
      <c r="J77">
        <f>IF(FT!B77&lt;&gt;"",FT!C77,"")</f>
        <v>30.6127</v>
      </c>
    </row>
    <row r="78" spans="1:10">
      <c r="A78" s="61">
        <f t="shared" si="10"/>
        <v>76</v>
      </c>
      <c r="B78" s="61">
        <f t="shared" si="8"/>
        <v>1.4665675294117648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4.0925799999999999</v>
      </c>
      <c r="G78" s="61">
        <f>IF(FT!B78&lt;&gt;"",FT!B78*100,"")</f>
        <v>44.745200000000004</v>
      </c>
      <c r="H78" s="61">
        <f t="shared" si="9"/>
        <v>1</v>
      </c>
      <c r="I78" t="str">
        <f>IF(FT!B78&lt;&gt;"",FT!E78,"")</f>
        <v>2 [30.989924]</v>
      </c>
      <c r="J78">
        <f>IF(FT!B78&lt;&gt;"",FT!C78,"")</f>
        <v>30.989899999999999</v>
      </c>
    </row>
    <row r="79" spans="1:10">
      <c r="A79" s="61">
        <f t="shared" si="10"/>
        <v>77</v>
      </c>
      <c r="B79" s="61">
        <f t="shared" si="8"/>
        <v>1.4858644705882353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4.0705599999999995</v>
      </c>
      <c r="G79" s="61">
        <f>IF(FT!B79&lt;&gt;"",FT!B79*100,"")</f>
        <v>44.3309</v>
      </c>
      <c r="H79" s="61">
        <f t="shared" si="9"/>
        <v>1</v>
      </c>
      <c r="I79" t="str">
        <f>IF(FT!B79&lt;&gt;"",FT!E79,"")</f>
        <v>2 [31.366847]</v>
      </c>
      <c r="J79">
        <f>IF(FT!B79&lt;&gt;"",FT!C79,"")</f>
        <v>31.366800000000001</v>
      </c>
    </row>
    <row r="80" spans="1:10">
      <c r="A80" s="61">
        <f t="shared" si="10"/>
        <v>78</v>
      </c>
      <c r="B80" s="61">
        <f t="shared" si="8"/>
        <v>1.5051614117647061</v>
      </c>
      <c r="C80" s="61">
        <f>FH!A80*1</f>
        <v>268684</v>
      </c>
      <c r="D80" s="61">
        <f>FH!B80*1</f>
        <v>268684</v>
      </c>
      <c r="E80">
        <f t="shared" si="11"/>
        <v>78</v>
      </c>
      <c r="F80" s="61">
        <f>IF(FT!A80&lt;&gt;"",FT!A80*10,"")</f>
        <v>4.0447499999999996</v>
      </c>
      <c r="G80" s="61">
        <f>IF(FT!B80&lt;&gt;"",FT!B80*100,"")</f>
        <v>43.959399999999995</v>
      </c>
      <c r="H80" s="61">
        <f t="shared" si="9"/>
        <v>1</v>
      </c>
      <c r="I80" t="str">
        <f>IF(FT!B80&lt;&gt;"",FT!E80,"")</f>
        <v>2 [31.744760]</v>
      </c>
      <c r="J80">
        <f>IF(FT!B80&lt;&gt;"",FT!C80,"")</f>
        <v>31.744800000000001</v>
      </c>
    </row>
    <row r="81" spans="1:10">
      <c r="A81" s="61">
        <f t="shared" si="10"/>
        <v>79</v>
      </c>
      <c r="B81" s="61">
        <f t="shared" si="8"/>
        <v>1.5244583529411766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4.0124700000000004</v>
      </c>
      <c r="G81" s="61">
        <f>IF(FT!B81&lt;&gt;"",FT!B81*100,"")</f>
        <v>43.66</v>
      </c>
      <c r="H81" s="61">
        <f t="shared" si="9"/>
        <v>1</v>
      </c>
      <c r="I81" t="str">
        <f>IF(FT!B81&lt;&gt;"",FT!E81,"")</f>
        <v>2 [32.114728]</v>
      </c>
      <c r="J81">
        <f>IF(FT!B81&lt;&gt;"",FT!C81,"")</f>
        <v>32.114699999999999</v>
      </c>
    </row>
    <row r="82" spans="1:10">
      <c r="A82" s="61">
        <f t="shared" si="10"/>
        <v>80</v>
      </c>
      <c r="B82" s="61">
        <f t="shared" si="8"/>
        <v>1.5437552941176471</v>
      </c>
      <c r="C82" s="61">
        <f>FH!A82*1</f>
        <v>290209</v>
      </c>
      <c r="D82" s="61">
        <f>FH!B82*1</f>
        <v>290209</v>
      </c>
      <c r="E82">
        <f t="shared" si="11"/>
        <v>80</v>
      </c>
      <c r="F82" s="61">
        <f>IF(FT!A82&lt;&gt;"",FT!A82*10,"")</f>
        <v>3.9719300000000004</v>
      </c>
      <c r="G82" s="61">
        <f>IF(FT!B82&lt;&gt;"",FT!B82*100,"")</f>
        <v>43.4848</v>
      </c>
      <c r="H82" s="61">
        <f t="shared" si="9"/>
        <v>1</v>
      </c>
      <c r="I82" t="str">
        <f>IF(FT!B82&lt;&gt;"",FT!E82,"")</f>
        <v>2 [32.519819]</v>
      </c>
      <c r="J82">
        <f>IF(FT!B82&lt;&gt;"",FT!C82,"")</f>
        <v>32.519799999999996</v>
      </c>
    </row>
    <row r="83" spans="1:10">
      <c r="A83" s="61">
        <f t="shared" si="10"/>
        <v>81</v>
      </c>
      <c r="B83" s="61">
        <f t="shared" si="8"/>
        <v>1.5630522352941176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3.9229500000000002</v>
      </c>
      <c r="G83" s="61">
        <f>IF(FT!B83&lt;&gt;"",FT!B83*100,"")</f>
        <v>43.458300000000001</v>
      </c>
      <c r="H83" s="61">
        <f t="shared" si="9"/>
        <v>1</v>
      </c>
      <c r="I83" t="str">
        <f>IF(FT!B83&lt;&gt;"",FT!E83,"")</f>
        <v>2 [32.926768]</v>
      </c>
      <c r="J83">
        <f>IF(FT!B83&lt;&gt;"",FT!C83,"")</f>
        <v>32.9268</v>
      </c>
    </row>
    <row r="84" spans="1:10">
      <c r="A84" s="61">
        <f t="shared" si="10"/>
        <v>82</v>
      </c>
      <c r="B84" s="61">
        <f t="shared" si="8"/>
        <v>1.5823491764705884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3.87059</v>
      </c>
      <c r="G84" s="61">
        <f>IF(FT!B84&lt;&gt;"",FT!B84*100,"")</f>
        <v>43.542199999999994</v>
      </c>
      <c r="H84" s="61">
        <f t="shared" si="9"/>
        <v>1</v>
      </c>
      <c r="I84" t="str">
        <f>IF(FT!B84&lt;&gt;"",FT!E84,"")</f>
        <v>2 [33.334499]</v>
      </c>
      <c r="J84">
        <f>IF(FT!B84&lt;&gt;"",FT!C84,"")</f>
        <v>33.334499999999998</v>
      </c>
    </row>
    <row r="85" spans="1:10">
      <c r="A85" s="61">
        <f t="shared" si="10"/>
        <v>83</v>
      </c>
      <c r="B85" s="61">
        <f t="shared" si="8"/>
        <v>1.6016461176470589</v>
      </c>
      <c r="C85" s="61">
        <f>FH!A85*1</f>
        <v>306554</v>
      </c>
      <c r="D85" s="61">
        <f>FH!B85*1</f>
        <v>306554</v>
      </c>
      <c r="E85">
        <f t="shared" si="11"/>
        <v>83</v>
      </c>
      <c r="F85" s="61">
        <f>IF(FT!A85&lt;&gt;"",FT!A85*10,"")</f>
        <v>3.8139600000000002</v>
      </c>
      <c r="G85" s="61">
        <f>IF(FT!B85&lt;&gt;"",FT!B85*100,"")</f>
        <v>43.906300000000002</v>
      </c>
      <c r="H85" s="61">
        <f t="shared" si="9"/>
        <v>1</v>
      </c>
      <c r="I85" t="str">
        <f>IF(FT!B85&lt;&gt;"",FT!E85,"")</f>
        <v>2 [33.740802]</v>
      </c>
      <c r="J85">
        <f>IF(FT!B85&lt;&gt;"",FT!C85,"")</f>
        <v>33.7408</v>
      </c>
    </row>
    <row r="86" spans="1:10">
      <c r="A86" s="61">
        <f t="shared" si="10"/>
        <v>84</v>
      </c>
      <c r="B86" s="61">
        <f t="shared" si="8"/>
        <v>1.6209430588235294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3.7570199999999998</v>
      </c>
      <c r="G86" s="61">
        <f>IF(FT!B86&lt;&gt;"",FT!B86*100,"")</f>
        <v>44.616399999999999</v>
      </c>
      <c r="H86" s="61">
        <f t="shared" si="9"/>
        <v>1</v>
      </c>
      <c r="I86" t="str">
        <f>IF(FT!B86&lt;&gt;"",FT!E86,"")</f>
        <v>2 [34.150355]</v>
      </c>
      <c r="J86">
        <f>IF(FT!B86&lt;&gt;"",FT!C86,"")</f>
        <v>34.150399999999998</v>
      </c>
    </row>
    <row r="87" spans="1:10">
      <c r="A87" s="61">
        <f t="shared" si="10"/>
        <v>85</v>
      </c>
      <c r="B87" s="61">
        <f t="shared" si="8"/>
        <v>1.6402399999999999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3.7014200000000002</v>
      </c>
      <c r="G87" s="61">
        <f>IF(FT!B87&lt;&gt;"",FT!B87*100,"")</f>
        <v>45.61</v>
      </c>
      <c r="H87" s="61">
        <f t="shared" si="9"/>
        <v>1</v>
      </c>
      <c r="I87" t="str">
        <f>IF(FT!B87&lt;&gt;"",FT!E87,"")</f>
        <v>2 [34.556277]</v>
      </c>
      <c r="J87">
        <f>IF(FT!B87&lt;&gt;"",FT!C87,"")</f>
        <v>34.5563</v>
      </c>
    </row>
    <row r="88" spans="1:10">
      <c r="A88" s="61">
        <f t="shared" si="10"/>
        <v>86</v>
      </c>
      <c r="B88" s="61">
        <f t="shared" si="8"/>
        <v>1.6595369411764709</v>
      </c>
      <c r="C88" s="61">
        <f>FH!A88*1</f>
        <v>302885</v>
      </c>
      <c r="D88" s="61">
        <f>FH!B88*1</f>
        <v>302885</v>
      </c>
      <c r="E88">
        <f t="shared" si="11"/>
        <v>86</v>
      </c>
      <c r="F88" s="61">
        <f>IF(FT!A88&lt;&gt;"",FT!A88*10,"")</f>
        <v>3.6461399999999999</v>
      </c>
      <c r="G88" s="61">
        <f>IF(FT!B88&lt;&gt;"",FT!B88*100,"")</f>
        <v>46.880400000000002</v>
      </c>
      <c r="H88" s="61">
        <f t="shared" si="9"/>
        <v>1</v>
      </c>
      <c r="I88" t="str">
        <f>IF(FT!B88&lt;&gt;"",FT!E88,"")</f>
        <v>2 [34.960164]</v>
      </c>
      <c r="J88">
        <f>IF(FT!B88&lt;&gt;"",FT!C88,"")</f>
        <v>34.9602</v>
      </c>
    </row>
    <row r="89" spans="1:10">
      <c r="A89" s="61">
        <f t="shared" si="10"/>
        <v>87</v>
      </c>
      <c r="B89" s="61">
        <f t="shared" si="8"/>
        <v>1.6788338823529414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3.59694</v>
      </c>
      <c r="G89" s="61">
        <f>IF(FT!B89&lt;&gt;"",FT!B89*100,"")</f>
        <v>48.170400000000001</v>
      </c>
      <c r="H89" s="61">
        <f t="shared" si="9"/>
        <v>1</v>
      </c>
      <c r="I89" t="str">
        <f>IF(FT!B89&lt;&gt;"",FT!E89,"")</f>
        <v>2 [35.365163]</v>
      </c>
      <c r="J89">
        <f>IF(FT!B89&lt;&gt;"",FT!C89,"")</f>
        <v>35.365200000000002</v>
      </c>
    </row>
    <row r="90" spans="1:10">
      <c r="A90" s="61">
        <f t="shared" si="10"/>
        <v>88</v>
      </c>
      <c r="B90" s="61">
        <f t="shared" si="8"/>
        <v>1.6981308235294119</v>
      </c>
      <c r="C90" s="61">
        <f>FH!A90*1</f>
        <v>306196</v>
      </c>
      <c r="D90" s="61">
        <f>FH!B90*1</f>
        <v>306196</v>
      </c>
      <c r="E90">
        <f t="shared" si="11"/>
        <v>88</v>
      </c>
      <c r="F90" s="61">
        <f>IF(FT!A90&lt;&gt;"",FT!A90*10,"")</f>
        <v>3.5521399999999996</v>
      </c>
      <c r="G90" s="61">
        <f>IF(FT!B90&lt;&gt;"",FT!B90*100,"")</f>
        <v>49.595800000000004</v>
      </c>
      <c r="H90" s="61">
        <f t="shared" si="9"/>
        <v>1</v>
      </c>
      <c r="I90" t="str">
        <f>IF(FT!B90&lt;&gt;"",FT!E90,"")</f>
        <v>2 [35.771766]</v>
      </c>
      <c r="J90">
        <f>IF(FT!B90&lt;&gt;"",FT!C90,"")</f>
        <v>35.771799999999999</v>
      </c>
    </row>
    <row r="91" spans="1:10">
      <c r="A91" s="61">
        <f t="shared" si="10"/>
        <v>89</v>
      </c>
      <c r="B91" s="61">
        <f t="shared" si="8"/>
        <v>1.7174277647058824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3.5169899999999998</v>
      </c>
      <c r="G91" s="61">
        <f>IF(FT!B91&lt;&gt;"",FT!B91*100,"")</f>
        <v>50.868899999999996</v>
      </c>
      <c r="H91" s="61">
        <f t="shared" si="9"/>
        <v>1</v>
      </c>
      <c r="I91" t="str">
        <f>IF(FT!B91&lt;&gt;"",FT!E91,"")</f>
        <v>2 [36.174941]</v>
      </c>
      <c r="J91">
        <f>IF(FT!B91&lt;&gt;"",FT!C91,"")</f>
        <v>36.174900000000001</v>
      </c>
    </row>
    <row r="92" spans="1:10">
      <c r="A92" s="61">
        <f t="shared" si="10"/>
        <v>90</v>
      </c>
      <c r="B92" s="61">
        <f t="shared" si="8"/>
        <v>1.7367247058823532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3.4929999999999999</v>
      </c>
      <c r="G92" s="61">
        <f>IF(FT!B92&lt;&gt;"",FT!B92*100,"")</f>
        <v>51.944199999999995</v>
      </c>
      <c r="H92" s="61">
        <f t="shared" si="9"/>
        <v>1</v>
      </c>
      <c r="I92" t="str">
        <f>IF(FT!B92&lt;&gt;"",FT!E92,"")</f>
        <v>2 [36.584848]</v>
      </c>
      <c r="J92">
        <f>IF(FT!B92&lt;&gt;"",FT!C92,"")</f>
        <v>36.584800000000001</v>
      </c>
    </row>
    <row r="93" spans="1:10">
      <c r="A93" s="61">
        <f t="shared" si="10"/>
        <v>91</v>
      </c>
      <c r="B93" s="61">
        <f t="shared" si="8"/>
        <v>1.7560216470588237</v>
      </c>
      <c r="C93" s="61">
        <f>FH!A93*1</f>
        <v>297742</v>
      </c>
      <c r="D93" s="61">
        <f>FH!B93*1</f>
        <v>297742</v>
      </c>
      <c r="E93">
        <f t="shared" si="11"/>
        <v>91</v>
      </c>
      <c r="F93" s="61">
        <f>IF(FT!A93&lt;&gt;"",FT!A93*10,"")</f>
        <v>3.4767999999999999</v>
      </c>
      <c r="G93" s="61">
        <f>IF(FT!B93&lt;&gt;"",FT!B93*100,"")</f>
        <v>52.9054</v>
      </c>
      <c r="H93" s="61">
        <f t="shared" si="9"/>
        <v>1</v>
      </c>
      <c r="I93" t="str">
        <f>IF(FT!B93&lt;&gt;"",FT!E93,"")</f>
        <v>2 [36.990720]</v>
      </c>
      <c r="J93">
        <f>IF(FT!B93&lt;&gt;"",FT!C93,"")</f>
        <v>36.990699999999997</v>
      </c>
    </row>
    <row r="94" spans="1:10">
      <c r="A94" s="61">
        <f t="shared" si="10"/>
        <v>92</v>
      </c>
      <c r="B94" s="61">
        <f t="shared" si="8"/>
        <v>1.7753185882352942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3.46949</v>
      </c>
      <c r="G94" s="61">
        <f>IF(FT!B94&lt;&gt;"",FT!B94*100,"")</f>
        <v>53.758099999999999</v>
      </c>
      <c r="H94" s="61">
        <f t="shared" si="9"/>
        <v>1</v>
      </c>
      <c r="I94" t="str">
        <f>IF(FT!B94&lt;&gt;"",FT!E94,"")</f>
        <v>2 [37.394635]</v>
      </c>
      <c r="J94">
        <f>IF(FT!B94&lt;&gt;"",FT!C94,"")</f>
        <v>37.394599999999997</v>
      </c>
    </row>
    <row r="95" spans="1:10">
      <c r="A95" s="61">
        <f t="shared" si="10"/>
        <v>93</v>
      </c>
      <c r="B95" s="61">
        <f t="shared" si="8"/>
        <v>1.7946155294117647</v>
      </c>
      <c r="C95" s="61">
        <f>FH!A95*1</f>
        <v>306670</v>
      </c>
      <c r="D95" s="61">
        <f>FH!B95*1</f>
        <v>306670</v>
      </c>
      <c r="E95">
        <f t="shared" si="11"/>
        <v>93</v>
      </c>
      <c r="F95" s="61">
        <f>IF(FT!A95&lt;&gt;"",FT!A95*10,"")</f>
        <v>3.4706799999999998</v>
      </c>
      <c r="G95" s="61">
        <f>IF(FT!B95&lt;&gt;"",FT!B95*100,"")</f>
        <v>54.386199999999995</v>
      </c>
      <c r="H95" s="61">
        <f t="shared" si="9"/>
        <v>1</v>
      </c>
      <c r="I95" t="str">
        <f>IF(FT!B95&lt;&gt;"",FT!E95,"")</f>
        <v>2 [37.801518]</v>
      </c>
      <c r="J95">
        <f>IF(FT!B95&lt;&gt;"",FT!C95,"")</f>
        <v>37.801499999999997</v>
      </c>
    </row>
    <row r="96" spans="1:10">
      <c r="A96" s="61">
        <f t="shared" si="10"/>
        <v>94</v>
      </c>
      <c r="B96" s="61">
        <f t="shared" si="8"/>
        <v>1.8139124705882355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3.4776000000000002</v>
      </c>
      <c r="G96" s="61">
        <f>IF(FT!B96&lt;&gt;"",FT!B96*100,"")</f>
        <v>54.821899999999999</v>
      </c>
      <c r="H96" s="61">
        <f t="shared" si="9"/>
        <v>1</v>
      </c>
      <c r="I96" t="str">
        <f>IF(FT!B96&lt;&gt;"",FT!E96,"")</f>
        <v>2 [38.206209]</v>
      </c>
      <c r="J96">
        <f>IF(FT!B96&lt;&gt;"",FT!C96,"")</f>
        <v>38.206200000000003</v>
      </c>
    </row>
    <row r="97" spans="1:10">
      <c r="A97" s="61">
        <f t="shared" si="10"/>
        <v>95</v>
      </c>
      <c r="B97" s="61">
        <f t="shared" si="8"/>
        <v>1.833209411764706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3.4878</v>
      </c>
      <c r="G97" s="61">
        <f>IF(FT!B97&lt;&gt;"",FT!B97*100,"")</f>
        <v>55.124899999999997</v>
      </c>
      <c r="H97" s="61">
        <f t="shared" si="9"/>
        <v>1</v>
      </c>
      <c r="I97" t="str">
        <f>IF(FT!B97&lt;&gt;"",FT!E97,"")</f>
        <v>2 [38.617376]</v>
      </c>
      <c r="J97">
        <f>IF(FT!B97&lt;&gt;"",FT!C97,"")</f>
        <v>38.617400000000004</v>
      </c>
    </row>
    <row r="98" spans="1:10">
      <c r="A98" s="61">
        <f t="shared" si="10"/>
        <v>96</v>
      </c>
      <c r="B98" s="61">
        <f t="shared" si="8"/>
        <v>1.8525063529411765</v>
      </c>
      <c r="C98" s="61">
        <f>FH!A98*1</f>
        <v>316256</v>
      </c>
      <c r="D98" s="61">
        <f>FH!B98*1</f>
        <v>316256</v>
      </c>
      <c r="E98">
        <f t="shared" si="11"/>
        <v>96</v>
      </c>
      <c r="F98" s="61">
        <f>IF(FT!A98&lt;&gt;"",FT!A98*10,"")</f>
        <v>3.50143</v>
      </c>
      <c r="G98" s="61">
        <f>IF(FT!B98&lt;&gt;"",FT!B98*100,"")</f>
        <v>55.2821</v>
      </c>
      <c r="H98" s="61">
        <f t="shared" si="9"/>
        <v>1</v>
      </c>
      <c r="I98" t="str">
        <f>IF(FT!B98&lt;&gt;"",FT!E98,"")</f>
        <v>2 [39.024307]</v>
      </c>
      <c r="J98">
        <f>IF(FT!B98&lt;&gt;"",FT!C98,"")</f>
        <v>39.024299999999997</v>
      </c>
    </row>
    <row r="99" spans="1:10">
      <c r="A99" s="61">
        <f t="shared" si="10"/>
        <v>97</v>
      </c>
      <c r="B99" s="61">
        <f t="shared" si="8"/>
        <v>1.871803294117647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3.52081</v>
      </c>
      <c r="G99" s="61">
        <f>IF(FT!B99&lt;&gt;"",FT!B99*100,"")</f>
        <v>55.322899999999997</v>
      </c>
      <c r="H99" s="61">
        <f t="shared" si="9"/>
        <v>1</v>
      </c>
      <c r="I99" t="str">
        <f>IF(FT!B99&lt;&gt;"",FT!E99,"")</f>
        <v>2 [39.428218]</v>
      </c>
      <c r="J99">
        <f>IF(FT!B99&lt;&gt;"",FT!C99,"")</f>
        <v>39.428199999999997</v>
      </c>
    </row>
    <row r="100" spans="1:10">
      <c r="A100" s="61">
        <f t="shared" si="10"/>
        <v>98</v>
      </c>
      <c r="B100" s="61">
        <f t="shared" si="8"/>
        <v>1.8911002352941177</v>
      </c>
      <c r="C100" s="61">
        <f>FH!A100*1</f>
        <v>319875</v>
      </c>
      <c r="D100" s="61">
        <f>FH!B100*1</f>
        <v>319875</v>
      </c>
      <c r="E100">
        <f t="shared" si="11"/>
        <v>98</v>
      </c>
      <c r="F100" s="61">
        <f>IF(FT!A100&lt;&gt;"",FT!A100*10,"")</f>
        <v>3.5467500000000003</v>
      </c>
      <c r="G100" s="61">
        <f>IF(FT!B100&lt;&gt;"",FT!B100*100,"")</f>
        <v>55.272399999999998</v>
      </c>
      <c r="H100" s="61">
        <f t="shared" si="9"/>
        <v>1</v>
      </c>
      <c r="I100" t="str">
        <f>IF(FT!B100&lt;&gt;"",FT!E100,"")</f>
        <v>2 [39.834104]</v>
      </c>
      <c r="J100">
        <f>IF(FT!B100&lt;&gt;"",FT!C100,"")</f>
        <v>39.834099999999999</v>
      </c>
    </row>
    <row r="101" spans="1:10">
      <c r="A101" s="61">
        <f t="shared" si="10"/>
        <v>99</v>
      </c>
      <c r="B101" s="61">
        <f t="shared" si="8"/>
        <v>1.9103971764705883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3.5769600000000001</v>
      </c>
      <c r="G101" s="61">
        <f>IF(FT!B101&lt;&gt;"",FT!B101*100,"")</f>
        <v>55.196999999999996</v>
      </c>
      <c r="H101" s="61">
        <f t="shared" si="9"/>
        <v>1</v>
      </c>
      <c r="I101" t="str">
        <f>IF(FT!B101&lt;&gt;"",FT!E101,"")</f>
        <v>2 [40.241047]</v>
      </c>
      <c r="J101">
        <f>IF(FT!B101&lt;&gt;"",FT!C101,"")</f>
        <v>40.241</v>
      </c>
    </row>
    <row r="102" spans="1:10">
      <c r="A102" s="61">
        <f t="shared" si="10"/>
        <v>100</v>
      </c>
      <c r="B102" s="61">
        <f t="shared" si="8"/>
        <v>1.9296941176470588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3.6080800000000002</v>
      </c>
      <c r="G102" s="61">
        <f>IF(FT!B102&lt;&gt;"",FT!B102*100,"")</f>
        <v>55.195999999999998</v>
      </c>
      <c r="H102" s="61">
        <f t="shared" si="9"/>
        <v>1</v>
      </c>
      <c r="I102" t="str">
        <f>IF(FT!B102&lt;&gt;"",FT!E102,"")</f>
        <v>2 [40.647950]</v>
      </c>
      <c r="J102">
        <f>IF(FT!B102&lt;&gt;"",FT!C102,"")</f>
        <v>40.648000000000003</v>
      </c>
    </row>
    <row r="103" spans="1:10">
      <c r="A103" s="61">
        <f t="shared" si="10"/>
        <v>101</v>
      </c>
      <c r="B103" s="61">
        <f t="shared" si="8"/>
        <v>1.9489910588235293</v>
      </c>
      <c r="C103" s="61">
        <f>FH!A103*1</f>
        <v>313028</v>
      </c>
      <c r="D103" s="61">
        <f>FH!B103*1</f>
        <v>313028</v>
      </c>
      <c r="E103">
        <f t="shared" si="11"/>
        <v>101</v>
      </c>
      <c r="F103" s="61">
        <f>IF(FT!A103&lt;&gt;"",FT!A103*10,"")</f>
        <v>3.6397699999999999</v>
      </c>
      <c r="G103" s="61">
        <f>IF(FT!B103&lt;&gt;"",FT!B103*100,"")</f>
        <v>55.239600000000003</v>
      </c>
      <c r="H103" s="61">
        <f t="shared" si="9"/>
        <v>1</v>
      </c>
      <c r="I103" t="str">
        <f>IF(FT!B103&lt;&gt;"",FT!E103,"")</f>
        <v>2 [41.054854]</v>
      </c>
      <c r="J103">
        <f>IF(FT!B103&lt;&gt;"",FT!C103,"")</f>
        <v>41.054900000000004</v>
      </c>
    </row>
    <row r="104" spans="1:10">
      <c r="A104" s="61">
        <f t="shared" si="10"/>
        <v>102</v>
      </c>
      <c r="B104" s="61">
        <f t="shared" si="8"/>
        <v>1.9682880000000003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3.6706799999999999</v>
      </c>
      <c r="G104" s="61">
        <f>IF(FT!B104&lt;&gt;"",FT!B104*100,"")</f>
        <v>55.301000000000002</v>
      </c>
      <c r="H104" s="61">
        <f t="shared" si="9"/>
        <v>1</v>
      </c>
      <c r="I104" t="str">
        <f>IF(FT!B104&lt;&gt;"",FT!E104,"")</f>
        <v>2 [41.459799]</v>
      </c>
      <c r="J104">
        <f>IF(FT!B104&lt;&gt;"",FT!C104,"")</f>
        <v>41.459800000000001</v>
      </c>
    </row>
    <row r="105" spans="1:10">
      <c r="A105" s="61">
        <f t="shared" si="10"/>
        <v>103</v>
      </c>
      <c r="B105" s="61">
        <f t="shared" si="8"/>
        <v>1.9875849411764708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3.6966700000000001</v>
      </c>
      <c r="G105" s="61">
        <f>IF(FT!B105&lt;&gt;"",FT!B105*100,"")</f>
        <v>55.470500000000001</v>
      </c>
      <c r="H105" s="61">
        <f t="shared" si="9"/>
        <v>1</v>
      </c>
      <c r="I105" t="str">
        <f>IF(FT!B105&lt;&gt;"",FT!E105,"")</f>
        <v>2 [41.865694]</v>
      </c>
      <c r="J105">
        <f>IF(FT!B105&lt;&gt;"",FT!C105,"")</f>
        <v>41.865699999999997</v>
      </c>
    </row>
    <row r="106" spans="1:10">
      <c r="A106" s="61">
        <f t="shared" si="10"/>
        <v>104</v>
      </c>
      <c r="B106" s="61">
        <f t="shared" si="8"/>
        <v>2.0068818823529413</v>
      </c>
      <c r="C106" s="61">
        <f>FH!A106*1</f>
        <v>310287</v>
      </c>
      <c r="D106" s="61">
        <f>FH!B106*1</f>
        <v>310287</v>
      </c>
      <c r="E106">
        <f t="shared" si="11"/>
        <v>104</v>
      </c>
      <c r="F106" s="61">
        <f>IF(FT!A106&lt;&gt;"",FT!A106*10,"")</f>
        <v>3.7190400000000001</v>
      </c>
      <c r="G106" s="61">
        <f>IF(FT!B106&lt;&gt;"",FT!B106*100,"")</f>
        <v>55.739700000000006</v>
      </c>
      <c r="H106" s="61">
        <f t="shared" si="9"/>
        <v>1</v>
      </c>
      <c r="I106" t="str">
        <f>IF(FT!B106&lt;&gt;"",FT!E106,"")</f>
        <v>2 [42.271816]</v>
      </c>
      <c r="J106">
        <f>IF(FT!B106&lt;&gt;"",FT!C106,"")</f>
        <v>42.271799999999999</v>
      </c>
    </row>
    <row r="107" spans="1:10">
      <c r="A107" s="61">
        <f t="shared" si="10"/>
        <v>105</v>
      </c>
      <c r="B107" s="61">
        <f t="shared" si="8"/>
        <v>2.0261788235294116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3.7397299999999998</v>
      </c>
      <c r="G107" s="61">
        <f>IF(FT!B107&lt;&gt;"",FT!B107*100,"")</f>
        <v>56.015300000000003</v>
      </c>
      <c r="H107" s="61">
        <f t="shared" si="9"/>
        <v>1</v>
      </c>
      <c r="I107" t="str">
        <f>IF(FT!B107&lt;&gt;"",FT!E107,"")</f>
        <v>2 [42.679499]</v>
      </c>
      <c r="J107">
        <f>IF(FT!B107&lt;&gt;"",FT!C107,"")</f>
        <v>42.679499999999997</v>
      </c>
    </row>
    <row r="108" spans="1:10">
      <c r="A108" s="61">
        <f t="shared" si="10"/>
        <v>106</v>
      </c>
      <c r="B108" s="61">
        <f t="shared" si="8"/>
        <v>2.0454757647058823</v>
      </c>
      <c r="C108" s="61">
        <f>FH!A108*1</f>
        <v>313484</v>
      </c>
      <c r="D108" s="61">
        <f>FH!B108*1</f>
        <v>313484</v>
      </c>
      <c r="E108">
        <f t="shared" si="11"/>
        <v>106</v>
      </c>
      <c r="F108" s="61">
        <f>IF(FT!A108&lt;&gt;"",FT!A108*10,"")</f>
        <v>3.7613400000000001</v>
      </c>
      <c r="G108" s="61">
        <f>IF(FT!B108&lt;&gt;"",FT!B108*100,"")</f>
        <v>56.292200000000001</v>
      </c>
      <c r="H108" s="61">
        <f t="shared" si="9"/>
        <v>1</v>
      </c>
      <c r="I108" t="str">
        <f>IF(FT!B108&lt;&gt;"",FT!E108,"")</f>
        <v>2 [43.086563]</v>
      </c>
      <c r="J108">
        <f>IF(FT!B108&lt;&gt;"",FT!C108,"")</f>
        <v>43.086599999999997</v>
      </c>
    </row>
    <row r="109" spans="1:10">
      <c r="A109" s="61">
        <f t="shared" si="10"/>
        <v>107</v>
      </c>
      <c r="B109" s="61">
        <f t="shared" si="8"/>
        <v>2.0647727058823531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3.7823200000000003</v>
      </c>
      <c r="G109" s="61">
        <f>IF(FT!B109&lt;&gt;"",FT!B109*100,"")</f>
        <v>56.528300000000002</v>
      </c>
      <c r="H109" s="61">
        <f t="shared" si="9"/>
        <v>1</v>
      </c>
      <c r="I109" t="str">
        <f>IF(FT!B109&lt;&gt;"",FT!E109,"")</f>
        <v>2 [43.492031]</v>
      </c>
      <c r="J109">
        <f>IF(FT!B109&lt;&gt;"",FT!C109,"")</f>
        <v>43.491999999999997</v>
      </c>
    </row>
    <row r="110" spans="1:10">
      <c r="A110" s="61">
        <f t="shared" si="10"/>
        <v>108</v>
      </c>
      <c r="B110" s="61">
        <f t="shared" si="8"/>
        <v>2.0840696470588238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3.7991000000000001</v>
      </c>
      <c r="G110" s="61">
        <f>IF(FT!B110&lt;&gt;"",FT!B110*100,"")</f>
        <v>56.706100000000006</v>
      </c>
      <c r="H110" s="61">
        <f t="shared" si="9"/>
        <v>1</v>
      </c>
      <c r="I110" t="str">
        <f>IF(FT!B110&lt;&gt;"",FT!E110,"")</f>
        <v>2 [43.899299]</v>
      </c>
      <c r="J110">
        <f>IF(FT!B110&lt;&gt;"",FT!C110,"")</f>
        <v>43.899299999999997</v>
      </c>
    </row>
    <row r="111" spans="1:10">
      <c r="A111" s="61">
        <f t="shared" si="10"/>
        <v>109</v>
      </c>
      <c r="B111" s="61">
        <f t="shared" si="8"/>
        <v>2.1033665882352941</v>
      </c>
      <c r="C111" s="61">
        <f>FH!A111*1</f>
        <v>288757</v>
      </c>
      <c r="D111" s="61">
        <f>FH!B111*1</f>
        <v>288757</v>
      </c>
      <c r="E111">
        <f t="shared" si="11"/>
        <v>109</v>
      </c>
      <c r="F111" s="61">
        <f>IF(FT!A111&lt;&gt;"",FT!A111*10,"")</f>
        <v>3.8124000000000002</v>
      </c>
      <c r="G111" s="61">
        <f>IF(FT!B111&lt;&gt;"",FT!B111*100,"")</f>
        <v>56.7986</v>
      </c>
      <c r="H111" s="61">
        <f t="shared" si="9"/>
        <v>1</v>
      </c>
      <c r="I111" t="str">
        <f>IF(FT!B111&lt;&gt;"",FT!E111,"")</f>
        <v>2 [44.305404]</v>
      </c>
      <c r="J111">
        <f>IF(FT!B111&lt;&gt;"",FT!C111,"")</f>
        <v>44.305399999999999</v>
      </c>
    </row>
    <row r="112" spans="1:10">
      <c r="A112" s="61">
        <f t="shared" si="10"/>
        <v>110</v>
      </c>
      <c r="B112" s="61">
        <f t="shared" si="8"/>
        <v>2.1226635294117648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3.8226700000000005</v>
      </c>
      <c r="G112" s="61">
        <f>IF(FT!B112&lt;&gt;"",FT!B112*100,"")</f>
        <v>56.799799999999998</v>
      </c>
      <c r="H112" s="61">
        <f t="shared" si="9"/>
        <v>1</v>
      </c>
      <c r="I112" t="str">
        <f>IF(FT!B112&lt;&gt;"",FT!E112,"")</f>
        <v>2 [44.715648]</v>
      </c>
      <c r="J112">
        <f>IF(FT!B112&lt;&gt;"",FT!C112,"")</f>
        <v>44.715600000000002</v>
      </c>
    </row>
    <row r="113" spans="1:10">
      <c r="A113" s="61">
        <f t="shared" si="10"/>
        <v>111</v>
      </c>
      <c r="B113" s="61">
        <f t="shared" si="8"/>
        <v>2.1419604705882356</v>
      </c>
      <c r="C113" s="61">
        <f>FH!A113*1</f>
        <v>273908</v>
      </c>
      <c r="D113" s="61">
        <f>FH!B113*1</f>
        <v>273908</v>
      </c>
      <c r="E113">
        <f t="shared" si="11"/>
        <v>111</v>
      </c>
      <c r="F113" s="61">
        <f>IF(FT!A113&lt;&gt;"",FT!A113*10,"")</f>
        <v>3.8305600000000002</v>
      </c>
      <c r="G113" s="61">
        <f>IF(FT!B113&lt;&gt;"",FT!B113*100,"")</f>
        <v>56.710999999999999</v>
      </c>
      <c r="H113" s="61">
        <f t="shared" si="9"/>
        <v>1</v>
      </c>
      <c r="I113" t="str">
        <f>IF(FT!B113&lt;&gt;"",FT!E113,"")</f>
        <v>2 [45.120495]</v>
      </c>
      <c r="J113">
        <f>IF(FT!B113&lt;&gt;"",FT!C113,"")</f>
        <v>45.1205</v>
      </c>
    </row>
    <row r="114" spans="1:10">
      <c r="A114" s="61">
        <f t="shared" si="10"/>
        <v>112</v>
      </c>
      <c r="B114" s="61">
        <f t="shared" si="8"/>
        <v>2.1612574117647059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3.8372800000000002</v>
      </c>
      <c r="G114" s="61">
        <f>IF(FT!B114&lt;&gt;"",FT!B114*100,"")</f>
        <v>56.588099999999997</v>
      </c>
      <c r="H114" s="61">
        <f t="shared" si="9"/>
        <v>1</v>
      </c>
      <c r="I114" t="str">
        <f>IF(FT!B114&lt;&gt;"",FT!E114,"")</f>
        <v>2 [45.526332]</v>
      </c>
      <c r="J114">
        <f>IF(FT!B114&lt;&gt;"",FT!C114,"")</f>
        <v>45.526299999999999</v>
      </c>
    </row>
    <row r="115" spans="1:10">
      <c r="A115" s="61">
        <f t="shared" si="10"/>
        <v>113</v>
      </c>
      <c r="B115" s="61">
        <f t="shared" si="8"/>
        <v>2.1805543529411766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3.8416099999999997</v>
      </c>
      <c r="G115" s="61">
        <f>IF(FT!B115&lt;&gt;"",FT!B115*100,"")</f>
        <v>56.437199999999997</v>
      </c>
      <c r="H115" s="61">
        <f t="shared" si="9"/>
        <v>1</v>
      </c>
      <c r="I115" t="str">
        <f>IF(FT!B115&lt;&gt;"",FT!E115,"")</f>
        <v>2 [45.931055]</v>
      </c>
      <c r="J115">
        <f>IF(FT!B115&lt;&gt;"",FT!C115,"")</f>
        <v>45.931100000000001</v>
      </c>
    </row>
    <row r="116" spans="1:10">
      <c r="A116" s="61">
        <f t="shared" si="10"/>
        <v>114</v>
      </c>
      <c r="B116" s="61">
        <f t="shared" si="8"/>
        <v>2.1998512941176473</v>
      </c>
      <c r="C116" s="61">
        <f>FH!A116*1</f>
        <v>274599</v>
      </c>
      <c r="D116" s="61">
        <f>FH!B116*1</f>
        <v>274599</v>
      </c>
      <c r="E116">
        <f t="shared" si="11"/>
        <v>114</v>
      </c>
      <c r="F116" s="61">
        <f>IF(FT!A116&lt;&gt;"",FT!A116*10,"")</f>
        <v>3.8468999999999998</v>
      </c>
      <c r="G116" s="61">
        <f>IF(FT!B116&lt;&gt;"",FT!B116*100,"")</f>
        <v>56.266300000000001</v>
      </c>
      <c r="H116" s="61">
        <f t="shared" si="9"/>
        <v>1</v>
      </c>
      <c r="I116" t="str">
        <f>IF(FT!B116&lt;&gt;"",FT!E116,"")</f>
        <v>2 [46.338753]</v>
      </c>
      <c r="J116">
        <f>IF(FT!B116&lt;&gt;"",FT!C116,"")</f>
        <v>46.338799999999999</v>
      </c>
    </row>
    <row r="117" spans="1:10">
      <c r="A117" s="61">
        <f t="shared" si="10"/>
        <v>115</v>
      </c>
      <c r="B117" s="61">
        <f t="shared" si="8"/>
        <v>2.2191482352941176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3.8494600000000001</v>
      </c>
      <c r="G117" s="61">
        <f>IF(FT!B117&lt;&gt;"",FT!B117*100,"")</f>
        <v>56.057699999999997</v>
      </c>
      <c r="H117" s="61">
        <f t="shared" si="9"/>
        <v>1</v>
      </c>
      <c r="I117" t="str">
        <f>IF(FT!B117&lt;&gt;"",FT!E117,"")</f>
        <v>2 [46.741626]</v>
      </c>
      <c r="J117">
        <f>IF(FT!B117&lt;&gt;"",FT!C117,"")</f>
        <v>46.741599999999998</v>
      </c>
    </row>
    <row r="118" spans="1:10">
      <c r="A118" s="61">
        <f t="shared" si="10"/>
        <v>116</v>
      </c>
      <c r="B118" s="61">
        <f t="shared" si="8"/>
        <v>2.2384451764705884</v>
      </c>
      <c r="C118" s="61">
        <f>FH!A118*1</f>
        <v>253491</v>
      </c>
      <c r="D118" s="61">
        <f>FH!B118*1</f>
        <v>253491</v>
      </c>
      <c r="E118">
        <f t="shared" si="11"/>
        <v>116</v>
      </c>
      <c r="F118" s="61">
        <f>IF(FT!A118&lt;&gt;"",FT!A118*10,"")</f>
        <v>3.8536700000000002</v>
      </c>
      <c r="G118" s="61">
        <f>IF(FT!B118&lt;&gt;"",FT!B118*100,"")</f>
        <v>55.751799999999996</v>
      </c>
      <c r="H118" s="61">
        <f t="shared" si="9"/>
        <v>1</v>
      </c>
      <c r="I118" t="str">
        <f>IF(FT!B118&lt;&gt;"",FT!E118,"")</f>
        <v>2 [47.144631]</v>
      </c>
      <c r="J118">
        <f>IF(FT!B118&lt;&gt;"",FT!C118,"")</f>
        <v>47.144599999999997</v>
      </c>
    </row>
    <row r="119" spans="1:10">
      <c r="A119" s="61">
        <f t="shared" si="10"/>
        <v>117</v>
      </c>
      <c r="B119" s="61">
        <f t="shared" si="8"/>
        <v>2.2577421176470587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3.8564799999999999</v>
      </c>
      <c r="G119" s="61">
        <f>IF(FT!B119&lt;&gt;"",FT!B119*100,"")</f>
        <v>55.398699999999998</v>
      </c>
      <c r="H119" s="61">
        <f t="shared" si="9"/>
        <v>1</v>
      </c>
      <c r="I119" t="str">
        <f>IF(FT!B119&lt;&gt;"",FT!E119,"")</f>
        <v>2 [47.550695]</v>
      </c>
      <c r="J119">
        <f>IF(FT!B119&lt;&gt;"",FT!C119,"")</f>
        <v>47.550699999999999</v>
      </c>
    </row>
    <row r="120" spans="1:10">
      <c r="A120" s="61">
        <f t="shared" si="10"/>
        <v>118</v>
      </c>
      <c r="B120" s="61">
        <f t="shared" si="8"/>
        <v>2.2770390588235294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3.8569900000000001</v>
      </c>
      <c r="G120" s="61">
        <f>IF(FT!B120&lt;&gt;"",FT!B120*100,"")</f>
        <v>55.043200000000006</v>
      </c>
      <c r="H120" s="61">
        <f t="shared" si="9"/>
        <v>1</v>
      </c>
      <c r="I120" t="str">
        <f>IF(FT!B120&lt;&gt;"",FT!E120,"")</f>
        <v>2 [47.961427]</v>
      </c>
      <c r="J120">
        <f>IF(FT!B120&lt;&gt;"",FT!C120,"")</f>
        <v>47.961399999999998</v>
      </c>
    </row>
    <row r="121" spans="1:10">
      <c r="A121" s="61">
        <f t="shared" si="10"/>
        <v>119</v>
      </c>
      <c r="B121" s="61">
        <f t="shared" si="8"/>
        <v>2.2963360000000002</v>
      </c>
      <c r="C121" s="61">
        <f>FH!A121*1</f>
        <v>222680</v>
      </c>
      <c r="D121" s="61">
        <f>FH!B121*1</f>
        <v>222680</v>
      </c>
      <c r="E121">
        <f t="shared" si="11"/>
        <v>119</v>
      </c>
      <c r="F121" s="61">
        <f>IF(FT!A121&lt;&gt;"",FT!A121*10,"")</f>
        <v>3.8572499999999996</v>
      </c>
      <c r="G121" s="61">
        <f>IF(FT!B121&lt;&gt;"",FT!B121*100,"")</f>
        <v>54.679000000000002</v>
      </c>
      <c r="H121" s="61">
        <f t="shared" si="9"/>
        <v>1</v>
      </c>
      <c r="I121" t="str">
        <f>IF(FT!B121&lt;&gt;"",FT!E121,"")</f>
        <v>2 [48.362554]</v>
      </c>
      <c r="J121">
        <f>IF(FT!B121&lt;&gt;"",FT!C121,"")</f>
        <v>48.3626</v>
      </c>
    </row>
    <row r="122" spans="1:10">
      <c r="A122" s="61">
        <f t="shared" si="10"/>
        <v>120</v>
      </c>
      <c r="B122" s="61">
        <f t="shared" si="8"/>
        <v>2.3156329411764704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3.8565800000000001</v>
      </c>
      <c r="G122" s="61">
        <f>IF(FT!B122&lt;&gt;"",FT!B122*100,"")</f>
        <v>54.325800000000001</v>
      </c>
      <c r="H122" s="61">
        <f t="shared" si="9"/>
        <v>1</v>
      </c>
      <c r="I122" t="str">
        <f>IF(FT!B122&lt;&gt;"",FT!E122,"")</f>
        <v>2 [48.772220]</v>
      </c>
      <c r="J122">
        <f>IF(FT!B122&lt;&gt;"",FT!C122,"")</f>
        <v>48.772199999999998</v>
      </c>
    </row>
    <row r="123" spans="1:10">
      <c r="A123" s="61">
        <f t="shared" si="10"/>
        <v>121</v>
      </c>
      <c r="B123" s="61">
        <f t="shared" si="8"/>
        <v>2.3349298823529412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3.8536100000000002</v>
      </c>
      <c r="G123" s="61">
        <f>IF(FT!B123&lt;&gt;"",FT!B123*100,"")</f>
        <v>54.014200000000002</v>
      </c>
      <c r="H123" s="61">
        <f t="shared" si="9"/>
        <v>1</v>
      </c>
      <c r="I123" t="str">
        <f>IF(FT!B123&lt;&gt;"",FT!E123,"")</f>
        <v>2 [49.178126]</v>
      </c>
      <c r="J123">
        <f>IF(FT!B123&lt;&gt;"",FT!C123,"")</f>
        <v>49.178100000000001</v>
      </c>
    </row>
    <row r="124" spans="1:10">
      <c r="A124" s="61">
        <f t="shared" si="10"/>
        <v>122</v>
      </c>
      <c r="B124" s="61">
        <f t="shared" si="8"/>
        <v>2.3542268235294119</v>
      </c>
      <c r="C124" s="61">
        <f>FH!A124*1</f>
        <v>189935</v>
      </c>
      <c r="D124" s="61">
        <f>FH!B124*1</f>
        <v>189935</v>
      </c>
      <c r="E124">
        <f t="shared" si="11"/>
        <v>122</v>
      </c>
      <c r="F124" s="61">
        <f>IF(FT!A124&lt;&gt;"",FT!A124*10,"")</f>
        <v>3.8472400000000002</v>
      </c>
      <c r="G124" s="61">
        <f>IF(FT!B124&lt;&gt;"",FT!B124*100,"")</f>
        <v>53.738699999999994</v>
      </c>
      <c r="H124" s="61">
        <f t="shared" si="9"/>
        <v>1</v>
      </c>
      <c r="I124" t="str">
        <f>IF(FT!B124&lt;&gt;"",FT!E124,"")</f>
        <v>2 [49.584185]</v>
      </c>
      <c r="J124">
        <f>IF(FT!B124&lt;&gt;"",FT!C124,"")</f>
        <v>49.584200000000003</v>
      </c>
    </row>
    <row r="125" spans="1:10">
      <c r="A125" s="61">
        <f t="shared" si="10"/>
        <v>123</v>
      </c>
      <c r="B125" s="61">
        <f t="shared" si="8"/>
        <v>2.3735237647058827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3.8400800000000004</v>
      </c>
      <c r="G125" s="61">
        <f>IF(FT!B125&lt;&gt;"",FT!B125*100,"")</f>
        <v>53.477200000000003</v>
      </c>
      <c r="H125" s="61">
        <f t="shared" si="9"/>
        <v>1</v>
      </c>
      <c r="I125" t="str">
        <f>IF(FT!B125&lt;&gt;"",FT!E125,"")</f>
        <v>2 [49.991595]</v>
      </c>
      <c r="J125">
        <f>IF(FT!B125&lt;&gt;"",FT!C125,"")</f>
        <v>49.991599999999998</v>
      </c>
    </row>
    <row r="126" spans="1:10">
      <c r="A126" s="61">
        <f t="shared" si="10"/>
        <v>124</v>
      </c>
      <c r="B126" s="61">
        <f t="shared" si="8"/>
        <v>2.392820705882353</v>
      </c>
      <c r="C126" s="61">
        <f>FH!A126*1</f>
        <v>166426</v>
      </c>
      <c r="D126" s="61">
        <f>FH!B126*1</f>
        <v>166426</v>
      </c>
      <c r="E126">
        <f t="shared" si="11"/>
        <v>124</v>
      </c>
      <c r="F126" s="61">
        <f>IF(FT!A126&lt;&gt;"",FT!A126*10,"")</f>
        <v>3.8266899999999997</v>
      </c>
      <c r="G126" s="61">
        <f>IF(FT!B126&lt;&gt;"",FT!B126*100,"")</f>
        <v>53.349000000000004</v>
      </c>
      <c r="H126" s="61">
        <f t="shared" si="9"/>
        <v>1</v>
      </c>
      <c r="I126" t="str">
        <f>IF(FT!B126&lt;&gt;"",FT!E126,"")</f>
        <v>2 [50.398905]</v>
      </c>
      <c r="J126">
        <f>IF(FT!B126&lt;&gt;"",FT!C126,"")</f>
        <v>50.398899999999998</v>
      </c>
    </row>
    <row r="127" spans="1:10">
      <c r="A127" s="61">
        <f t="shared" si="10"/>
        <v>125</v>
      </c>
      <c r="B127" s="61">
        <f t="shared" si="8"/>
        <v>2.4121176470588237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3.81229</v>
      </c>
      <c r="G127" s="61">
        <f>IF(FT!B127&lt;&gt;"",FT!B127*100,"")</f>
        <v>53.212699999999998</v>
      </c>
      <c r="H127" s="61">
        <f t="shared" si="9"/>
        <v>1</v>
      </c>
      <c r="I127" t="str">
        <f>IF(FT!B127&lt;&gt;"",FT!E127,"")</f>
        <v>2 [50.803194]</v>
      </c>
      <c r="J127">
        <f>IF(FT!B127&lt;&gt;"",FT!C127,"")</f>
        <v>50.803199999999997</v>
      </c>
    </row>
    <row r="128" spans="1:10">
      <c r="A128" s="61">
        <f t="shared" si="10"/>
        <v>126</v>
      </c>
      <c r="B128" s="61">
        <f t="shared" si="8"/>
        <v>2.4314145882352944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3.79765</v>
      </c>
      <c r="G128" s="61">
        <f>IF(FT!B128&lt;&gt;"",FT!B128*100,"")</f>
        <v>53.104500000000002</v>
      </c>
      <c r="H128" s="61">
        <f t="shared" si="9"/>
        <v>1</v>
      </c>
      <c r="I128" t="str">
        <f>IF(FT!B128&lt;&gt;"",FT!E128,"")</f>
        <v>2 [51.208725]</v>
      </c>
      <c r="J128">
        <f>IF(FT!B128&lt;&gt;"",FT!C128,"")</f>
        <v>51.2087</v>
      </c>
    </row>
    <row r="129" spans="1:10">
      <c r="A129" s="61">
        <f t="shared" si="10"/>
        <v>127</v>
      </c>
      <c r="B129" s="61">
        <f t="shared" si="8"/>
        <v>2.4507115294117647</v>
      </c>
      <c r="C129" s="61">
        <f>FH!A129*1</f>
        <v>141474</v>
      </c>
      <c r="D129" s="61">
        <f>FH!B129*1</f>
        <v>141474</v>
      </c>
      <c r="E129">
        <f t="shared" si="11"/>
        <v>127</v>
      </c>
      <c r="F129" s="61">
        <f>IF(FT!A129&lt;&gt;"",FT!A129*10,"")</f>
        <v>3.7817699999999999</v>
      </c>
      <c r="G129" s="61">
        <f>IF(FT!B129&lt;&gt;"",FT!B129*100,"")</f>
        <v>53.056499999999993</v>
      </c>
      <c r="H129" s="61">
        <f t="shared" si="9"/>
        <v>1</v>
      </c>
      <c r="I129" t="str">
        <f>IF(FT!B129&lt;&gt;"",FT!E129,"")</f>
        <v>2 [51.615676]</v>
      </c>
      <c r="J129">
        <f>IF(FT!B129&lt;&gt;"",FT!C129,"")</f>
        <v>51.615699999999997</v>
      </c>
    </row>
    <row r="130" spans="1:10">
      <c r="A130" s="61">
        <f t="shared" si="10"/>
        <v>128</v>
      </c>
      <c r="B130" s="61">
        <f t="shared" si="8"/>
        <v>2.4700084705882355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3.7697599999999998</v>
      </c>
      <c r="G130" s="61">
        <f>IF(FT!B130&lt;&gt;"",FT!B130*100,"")</f>
        <v>52.957200000000007</v>
      </c>
      <c r="H130" s="61">
        <f t="shared" si="9"/>
        <v>1</v>
      </c>
      <c r="I130" t="str">
        <f>IF(FT!B130&lt;&gt;"",FT!E130,"")</f>
        <v>2 [52.022695]</v>
      </c>
      <c r="J130">
        <f>IF(FT!B130&lt;&gt;"",FT!C130,"")</f>
        <v>52.0227</v>
      </c>
    </row>
    <row r="131" spans="1:10">
      <c r="A131" s="61">
        <f t="shared" si="10"/>
        <v>129</v>
      </c>
      <c r="B131" s="61">
        <f t="shared" ref="B131:B194" si="12">A131/255*$L$2</f>
        <v>2.4893054117647058</v>
      </c>
      <c r="C131" s="61">
        <f>FH!A131*1</f>
        <v>122087</v>
      </c>
      <c r="D131" s="61">
        <f>FH!B131*1</f>
        <v>122087</v>
      </c>
      <c r="E131">
        <f t="shared" si="11"/>
        <v>129</v>
      </c>
      <c r="F131" s="61">
        <f>IF(FT!A131&lt;&gt;"",FT!A131*10,"")</f>
        <v>3.7617000000000003</v>
      </c>
      <c r="G131" s="61">
        <f>IF(FT!B131&lt;&gt;"",FT!B131*100,"")</f>
        <v>52.770399999999995</v>
      </c>
      <c r="H131" s="61">
        <f t="shared" ref="H131:H194" si="13">(IF(F131&lt;&gt;"",1,""))</f>
        <v>1</v>
      </c>
      <c r="I131" t="str">
        <f>IF(FT!B131&lt;&gt;"",FT!E131,"")</f>
        <v>2 [52.433586]</v>
      </c>
      <c r="J131">
        <f>IF(FT!B131&lt;&gt;"",FT!C131,"")</f>
        <v>52.433599999999998</v>
      </c>
    </row>
    <row r="132" spans="1:10">
      <c r="A132" s="61">
        <f t="shared" ref="A132:A195" si="14">A131+1</f>
        <v>130</v>
      </c>
      <c r="B132" s="61">
        <f t="shared" si="12"/>
        <v>2.5086023529411765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3.7580599999999995</v>
      </c>
      <c r="G132" s="61">
        <f>IF(FT!B132&lt;&gt;"",FT!B132*100,"")</f>
        <v>52.574399999999997</v>
      </c>
      <c r="H132" s="61">
        <f t="shared" si="13"/>
        <v>1</v>
      </c>
      <c r="I132" t="str">
        <f>IF(FT!B132&lt;&gt;"",FT!E132,"")</f>
        <v>2 [52.833388]</v>
      </c>
      <c r="J132">
        <f>IF(FT!B132&lt;&gt;"",FT!C132,"")</f>
        <v>52.833399999999997</v>
      </c>
    </row>
    <row r="133" spans="1:10">
      <c r="A133" s="61">
        <f t="shared" si="14"/>
        <v>131</v>
      </c>
      <c r="B133" s="61">
        <f t="shared" si="12"/>
        <v>2.5278992941176468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3.7541400000000005</v>
      </c>
      <c r="G133" s="61">
        <f>IF(FT!B133&lt;&gt;"",FT!B133*100,"")</f>
        <v>52.401299999999992</v>
      </c>
      <c r="H133" s="61">
        <f t="shared" si="13"/>
        <v>1</v>
      </c>
      <c r="I133" t="str">
        <f>IF(FT!B133&lt;&gt;"",FT!E133,"")</f>
        <v>2 [53.241495]</v>
      </c>
      <c r="J133">
        <f>IF(FT!B133&lt;&gt;"",FT!C133,"")</f>
        <v>53.241500000000002</v>
      </c>
    </row>
    <row r="134" spans="1:10">
      <c r="A134" s="61">
        <f t="shared" si="14"/>
        <v>132</v>
      </c>
      <c r="B134" s="61">
        <f t="shared" si="12"/>
        <v>2.547196235294118</v>
      </c>
      <c r="C134" s="61">
        <f>FH!A134*1</f>
        <v>102552</v>
      </c>
      <c r="D134" s="61">
        <f>FH!B134*1</f>
        <v>102552</v>
      </c>
      <c r="E134">
        <f t="shared" si="15"/>
        <v>132</v>
      </c>
      <c r="F134" s="61">
        <f>IF(FT!A134&lt;&gt;"",FT!A134*10,"")</f>
        <v>3.7519200000000001</v>
      </c>
      <c r="G134" s="61">
        <f>IF(FT!B134&lt;&gt;"",FT!B134*100,"")</f>
        <v>52.259199999999993</v>
      </c>
      <c r="H134" s="61">
        <f t="shared" si="13"/>
        <v>1</v>
      </c>
      <c r="I134" t="str">
        <f>IF(FT!B134&lt;&gt;"",FT!E134,"")</f>
        <v>2 [53.649517]</v>
      </c>
      <c r="J134">
        <f>IF(FT!B134&lt;&gt;"",FT!C134,"")</f>
        <v>53.649500000000003</v>
      </c>
    </row>
    <row r="135" spans="1:10">
      <c r="A135" s="61">
        <f t="shared" si="14"/>
        <v>133</v>
      </c>
      <c r="B135" s="61">
        <f t="shared" si="12"/>
        <v>2.5664931764705887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3.7549399999999999</v>
      </c>
      <c r="G135" s="61">
        <f>IF(FT!B135&lt;&gt;"",FT!B135*100,"")</f>
        <v>52.160700000000006</v>
      </c>
      <c r="H135" s="61">
        <f t="shared" si="13"/>
        <v>1</v>
      </c>
      <c r="I135" t="str">
        <f>IF(FT!B135&lt;&gt;"",FT!E135,"")</f>
        <v>2 [54.054080]</v>
      </c>
      <c r="J135">
        <f>IF(FT!B135&lt;&gt;"",FT!C135,"")</f>
        <v>54.054099999999998</v>
      </c>
    </row>
    <row r="136" spans="1:10">
      <c r="A136" s="61">
        <f t="shared" si="14"/>
        <v>134</v>
      </c>
      <c r="B136" s="61">
        <f t="shared" si="12"/>
        <v>2.585790117647059</v>
      </c>
      <c r="C136" s="61">
        <f>FH!A136*1</f>
        <v>98223</v>
      </c>
      <c r="D136" s="61">
        <f>FH!B136*1</f>
        <v>98223</v>
      </c>
      <c r="E136">
        <f t="shared" si="15"/>
        <v>134</v>
      </c>
      <c r="F136" s="61">
        <f>IF(FT!A136&lt;&gt;"",FT!A136*10,"")</f>
        <v>3.7624499999999999</v>
      </c>
      <c r="G136" s="61">
        <f>IF(FT!B136&lt;&gt;"",FT!B136*100,"")</f>
        <v>52.041899999999998</v>
      </c>
      <c r="H136" s="61">
        <f t="shared" si="13"/>
        <v>1</v>
      </c>
      <c r="I136" t="str">
        <f>IF(FT!B136&lt;&gt;"",FT!E136,"")</f>
        <v>2 [54.461353]</v>
      </c>
      <c r="J136">
        <f>IF(FT!B136&lt;&gt;"",FT!C136,"")</f>
        <v>54.461399999999998</v>
      </c>
    </row>
    <row r="137" spans="1:10">
      <c r="A137" s="61">
        <f t="shared" si="14"/>
        <v>135</v>
      </c>
      <c r="B137" s="61">
        <f t="shared" si="12"/>
        <v>2.6050870588235298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3.7754799999999999</v>
      </c>
      <c r="G137" s="61">
        <f>IF(FT!B137&lt;&gt;"",FT!B137*100,"")</f>
        <v>51.962899999999998</v>
      </c>
      <c r="H137" s="61">
        <f t="shared" si="13"/>
        <v>1</v>
      </c>
      <c r="I137" t="str">
        <f>IF(FT!B137&lt;&gt;"",FT!E137,"")</f>
        <v>2 [54.867072]</v>
      </c>
      <c r="J137">
        <f>IF(FT!B137&lt;&gt;"",FT!C137,"")</f>
        <v>54.867100000000001</v>
      </c>
    </row>
    <row r="138" spans="1:10">
      <c r="A138" s="61">
        <f t="shared" si="14"/>
        <v>136</v>
      </c>
      <c r="B138" s="61">
        <f t="shared" si="12"/>
        <v>2.6243840000000001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3.7933699999999999</v>
      </c>
      <c r="G138" s="61">
        <f>IF(FT!B138&lt;&gt;"",FT!B138*100,"")</f>
        <v>51.9985</v>
      </c>
      <c r="H138" s="61">
        <f t="shared" si="13"/>
        <v>1</v>
      </c>
      <c r="I138" t="str">
        <f>IF(FT!B138&lt;&gt;"",FT!E138,"")</f>
        <v>2 [55.293860]</v>
      </c>
      <c r="J138">
        <f>IF(FT!B138&lt;&gt;"",FT!C138,"")</f>
        <v>55.293900000000001</v>
      </c>
    </row>
    <row r="139" spans="1:10">
      <c r="A139" s="61">
        <f t="shared" si="14"/>
        <v>137</v>
      </c>
      <c r="B139" s="61">
        <f t="shared" si="12"/>
        <v>2.6436809411764708</v>
      </c>
      <c r="C139" s="61">
        <f>FH!A139*1</f>
        <v>87279</v>
      </c>
      <c r="D139" s="61">
        <f>FH!B139*1</f>
        <v>87279</v>
      </c>
      <c r="E139">
        <f t="shared" si="15"/>
        <v>137</v>
      </c>
      <c r="F139" s="61">
        <f>IF(FT!A139&lt;&gt;"",FT!A139*10,"")</f>
        <v>3.81237</v>
      </c>
      <c r="G139" s="61">
        <f>IF(FT!B139&lt;&gt;"",FT!B139*100,"")</f>
        <v>52.027900000000002</v>
      </c>
      <c r="H139" s="61">
        <f t="shared" si="13"/>
        <v>1</v>
      </c>
      <c r="I139" t="str">
        <f>IF(FT!B139&lt;&gt;"",FT!E139,"")</f>
        <v>2 [55.683738]</v>
      </c>
      <c r="J139">
        <f>IF(FT!B139&lt;&gt;"",FT!C139,"")</f>
        <v>55.683700000000002</v>
      </c>
    </row>
    <row r="140" spans="1:10">
      <c r="A140" s="61">
        <f t="shared" si="14"/>
        <v>138</v>
      </c>
      <c r="B140" s="61">
        <f t="shared" si="12"/>
        <v>2.6629778823529411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3.8367899999999997</v>
      </c>
      <c r="G140" s="61">
        <f>IF(FT!B140&lt;&gt;"",FT!B140*100,"")</f>
        <v>51.983900000000006</v>
      </c>
      <c r="H140" s="61">
        <f t="shared" si="13"/>
        <v>1</v>
      </c>
      <c r="I140" t="str">
        <f>IF(FT!B140&lt;&gt;"",FT!E140,"")</f>
        <v>2 [56.084110]</v>
      </c>
      <c r="J140">
        <f>IF(FT!B140&lt;&gt;"",FT!C140,"")</f>
        <v>56.084099999999999</v>
      </c>
    </row>
    <row r="141" spans="1:10">
      <c r="A141" s="61">
        <f t="shared" si="14"/>
        <v>139</v>
      </c>
      <c r="B141" s="61">
        <f t="shared" si="12"/>
        <v>2.6822748235294118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3.8521200000000002</v>
      </c>
      <c r="G141" s="61">
        <f>IF(FT!B141&lt;&gt;"",FT!B141*100,"")</f>
        <v>51.800699999999999</v>
      </c>
      <c r="H141" s="61">
        <f t="shared" si="13"/>
        <v>1</v>
      </c>
      <c r="I141" t="str">
        <f>IF(FT!B141&lt;&gt;"",FT!E141,"")</f>
        <v>2 [56.488633]</v>
      </c>
      <c r="J141">
        <f>IF(FT!B141&lt;&gt;"",FT!C141,"")</f>
        <v>56.488599999999998</v>
      </c>
    </row>
    <row r="142" spans="1:10">
      <c r="A142" s="61">
        <f t="shared" si="14"/>
        <v>140</v>
      </c>
      <c r="B142" s="61">
        <f t="shared" si="12"/>
        <v>2.7015717647058826</v>
      </c>
      <c r="C142" s="61">
        <f>FH!A142*1</f>
        <v>80276</v>
      </c>
      <c r="D142" s="61">
        <f>FH!B142*1</f>
        <v>80276</v>
      </c>
      <c r="E142">
        <f t="shared" si="15"/>
        <v>140</v>
      </c>
      <c r="F142" s="61">
        <f>IF(FT!A142&lt;&gt;"",FT!A142*10,"")</f>
        <v>3.86747</v>
      </c>
      <c r="G142" s="61">
        <f>IF(FT!B142&lt;&gt;"",FT!B142*100,"")</f>
        <v>51.561800000000005</v>
      </c>
      <c r="H142" s="61">
        <f t="shared" si="13"/>
        <v>1</v>
      </c>
      <c r="I142" t="str">
        <f>IF(FT!B142&lt;&gt;"",FT!E142,"")</f>
        <v>2 [56.897556]</v>
      </c>
      <c r="J142">
        <f>IF(FT!B142&lt;&gt;"",FT!C142,"")</f>
        <v>56.897599999999997</v>
      </c>
    </row>
    <row r="143" spans="1:10">
      <c r="A143" s="61">
        <f t="shared" si="14"/>
        <v>141</v>
      </c>
      <c r="B143" s="61">
        <f t="shared" si="12"/>
        <v>2.7208687058823533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3.8752500000000003</v>
      </c>
      <c r="G143" s="61">
        <f>IF(FT!B143&lt;&gt;"",FT!B143*100,"")</f>
        <v>51.387300000000003</v>
      </c>
      <c r="H143" s="61">
        <f t="shared" si="13"/>
        <v>1</v>
      </c>
      <c r="I143" t="str">
        <f>IF(FT!B143&lt;&gt;"",FT!E143,"")</f>
        <v>2 [57.303468]</v>
      </c>
      <c r="J143">
        <f>IF(FT!B143&lt;&gt;"",FT!C143,"")</f>
        <v>57.3035</v>
      </c>
    </row>
    <row r="144" spans="1:10">
      <c r="A144" s="61">
        <f t="shared" si="14"/>
        <v>142</v>
      </c>
      <c r="B144" s="61">
        <f t="shared" si="12"/>
        <v>2.7401656470588236</v>
      </c>
      <c r="C144" s="61">
        <f>FH!A144*1</f>
        <v>70662</v>
      </c>
      <c r="D144" s="61">
        <f>FH!B144*1</f>
        <v>70662</v>
      </c>
      <c r="E144">
        <f t="shared" si="15"/>
        <v>142</v>
      </c>
      <c r="F144" s="61">
        <f>IF(FT!A144&lt;&gt;"",FT!A144*10,"")</f>
        <v>3.8805000000000001</v>
      </c>
      <c r="G144" s="61">
        <f>IF(FT!B144&lt;&gt;"",FT!B144*100,"")</f>
        <v>51.261199999999995</v>
      </c>
      <c r="H144" s="61">
        <f t="shared" si="13"/>
        <v>1</v>
      </c>
      <c r="I144" t="str">
        <f>IF(FT!B144&lt;&gt;"",FT!E144,"")</f>
        <v>2 [57.708328]</v>
      </c>
      <c r="J144">
        <f>IF(FT!B144&lt;&gt;"",FT!C144,"")</f>
        <v>57.708300000000001</v>
      </c>
    </row>
    <row r="145" spans="1:10">
      <c r="A145" s="61">
        <f t="shared" si="14"/>
        <v>143</v>
      </c>
      <c r="B145" s="61">
        <f t="shared" si="12"/>
        <v>2.7594625882352943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3.8864700000000001</v>
      </c>
      <c r="G145" s="61">
        <f>IF(FT!B145&lt;&gt;"",FT!B145*100,"")</f>
        <v>51.147100000000002</v>
      </c>
      <c r="H145" s="61">
        <f t="shared" si="13"/>
        <v>1</v>
      </c>
      <c r="I145" t="str">
        <f>IF(FT!B145&lt;&gt;"",FT!E145,"")</f>
        <v>2 [58.116234]</v>
      </c>
      <c r="J145">
        <f>IF(FT!B145&lt;&gt;"",FT!C145,"")</f>
        <v>58.116199999999999</v>
      </c>
    </row>
    <row r="146" spans="1:10">
      <c r="A146" s="61">
        <f t="shared" si="14"/>
        <v>144</v>
      </c>
      <c r="B146" s="61">
        <f t="shared" si="12"/>
        <v>2.7787595294117646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3.88537</v>
      </c>
      <c r="G146" s="61">
        <f>IF(FT!B146&lt;&gt;"",FT!B146*100,"")</f>
        <v>51.196399999999997</v>
      </c>
      <c r="H146" s="61">
        <f t="shared" si="13"/>
        <v>1</v>
      </c>
      <c r="I146" t="str">
        <f>IF(FT!B146&lt;&gt;"",FT!E146,"")</f>
        <v>2 [58.522435]</v>
      </c>
      <c r="J146">
        <f>IF(FT!B146&lt;&gt;"",FT!C146,"")</f>
        <v>58.522399999999998</v>
      </c>
    </row>
    <row r="147" spans="1:10">
      <c r="A147" s="61">
        <f t="shared" si="14"/>
        <v>145</v>
      </c>
      <c r="B147" s="61">
        <f t="shared" si="12"/>
        <v>2.7980564705882354</v>
      </c>
      <c r="C147" s="61">
        <f>FH!A147*1</f>
        <v>61257</v>
      </c>
      <c r="D147" s="61">
        <f>FH!B147*1</f>
        <v>61257</v>
      </c>
      <c r="E147">
        <f t="shared" si="15"/>
        <v>145</v>
      </c>
      <c r="F147" s="61">
        <f>IF(FT!A147&lt;&gt;"",FT!A147*10,"")</f>
        <v>3.8835100000000002</v>
      </c>
      <c r="G147" s="61">
        <f>IF(FT!B147&lt;&gt;"",FT!B147*100,"")</f>
        <v>51.270600000000002</v>
      </c>
      <c r="H147" s="61">
        <f t="shared" si="13"/>
        <v>1</v>
      </c>
      <c r="I147" t="str">
        <f>IF(FT!B147&lt;&gt;"",FT!E147,"")</f>
        <v>2 [58.927687]</v>
      </c>
      <c r="J147">
        <f>IF(FT!B147&lt;&gt;"",FT!C147,"")</f>
        <v>58.927700000000002</v>
      </c>
    </row>
    <row r="148" spans="1:10">
      <c r="A148" s="61">
        <f t="shared" si="14"/>
        <v>146</v>
      </c>
      <c r="B148" s="61">
        <f t="shared" si="12"/>
        <v>2.8173534117647057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3.8967800000000001</v>
      </c>
      <c r="G148" s="61">
        <f>IF(FT!B148&lt;&gt;"",FT!B148*100,"")</f>
        <v>51.193100000000001</v>
      </c>
      <c r="H148" s="61">
        <f t="shared" si="13"/>
        <v>1</v>
      </c>
      <c r="I148" t="str">
        <f>IF(FT!B148&lt;&gt;"",FT!E148,"")</f>
        <v>2 [59.335002]</v>
      </c>
      <c r="J148">
        <f>IF(FT!B148&lt;&gt;"",FT!C148,"")</f>
        <v>59.335000000000001</v>
      </c>
    </row>
    <row r="149" spans="1:10">
      <c r="A149" s="61">
        <f t="shared" si="14"/>
        <v>147</v>
      </c>
      <c r="B149" s="61">
        <f t="shared" si="12"/>
        <v>2.8366503529411764</v>
      </c>
      <c r="C149" s="61">
        <f>FH!A149*1</f>
        <v>49907</v>
      </c>
      <c r="D149" s="61">
        <f>FH!B149*1</f>
        <v>49907</v>
      </c>
      <c r="E149">
        <f t="shared" si="15"/>
        <v>147</v>
      </c>
      <c r="F149" s="61">
        <f>IF(FT!A149&lt;&gt;"",FT!A149*10,"")</f>
        <v>3.9226200000000002</v>
      </c>
      <c r="G149" s="61">
        <f>IF(FT!B149&lt;&gt;"",FT!B149*100,"")</f>
        <v>50.893000000000001</v>
      </c>
      <c r="H149" s="61">
        <f t="shared" si="13"/>
        <v>1</v>
      </c>
      <c r="I149" t="str">
        <f>IF(FT!B149&lt;&gt;"",FT!E149,"")</f>
        <v>2 [59.737104]</v>
      </c>
      <c r="J149">
        <f>IF(FT!B149&lt;&gt;"",FT!C149,"")</f>
        <v>59.737099999999998</v>
      </c>
    </row>
    <row r="150" spans="1:10">
      <c r="A150" s="61">
        <f t="shared" si="14"/>
        <v>148</v>
      </c>
      <c r="B150" s="61">
        <f t="shared" si="12"/>
        <v>2.8559472941176476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2.8752442352941179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2.8945411764705886</v>
      </c>
      <c r="C152" s="61">
        <f>FH!A152*1</f>
        <v>40967</v>
      </c>
      <c r="D152" s="61">
        <f>FH!B152*1</f>
        <v>40967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2.9138381176470589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2.9331350588235297</v>
      </c>
      <c r="C154" s="61">
        <f>FH!A154*1</f>
        <v>39707</v>
      </c>
      <c r="D154" s="61">
        <f>FH!B154*1</f>
        <v>39707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2.9524319999999999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2.9717289411764707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2.991025882352941</v>
      </c>
      <c r="C157" s="61">
        <f>FH!A157*1</f>
        <v>35150</v>
      </c>
      <c r="D157" s="61">
        <f>FH!B157*1</f>
        <v>35150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3.0103228235294122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3.0296197647058825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3.0489167058823532</v>
      </c>
      <c r="C160" s="61">
        <f>FH!A160*1</f>
        <v>24645</v>
      </c>
      <c r="D160" s="61">
        <f>FH!B160*1</f>
        <v>24645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3.0682136470588235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3.0875105882352942</v>
      </c>
      <c r="C162" s="61">
        <f>FH!A162*1</f>
        <v>18655</v>
      </c>
      <c r="D162" s="61">
        <f>FH!B162*1</f>
        <v>18655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3.1068075294117645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3.1261044705882353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3.1454014117647056</v>
      </c>
      <c r="C165" s="61">
        <f>FH!A165*1</f>
        <v>10507</v>
      </c>
      <c r="D165" s="61">
        <f>FH!B165*1</f>
        <v>10507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3.1646983529411767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3.1839952941176475</v>
      </c>
      <c r="C167" s="61">
        <f>FH!A167*1</f>
        <v>9653</v>
      </c>
      <c r="D167" s="61">
        <f>FH!B167*1</f>
        <v>9653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3.2032922352941178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3.2225891764705885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3.2418861176470588</v>
      </c>
      <c r="C170" s="61">
        <f>FH!A170*1</f>
        <v>6389</v>
      </c>
      <c r="D170" s="61">
        <f>FH!B170*1</f>
        <v>6389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3.2611830588235295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3.2804799999999998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3.2997769411764706</v>
      </c>
      <c r="C173" s="61">
        <f>FH!A173*1</f>
        <v>3934</v>
      </c>
      <c r="D173" s="61">
        <f>FH!B173*1</f>
        <v>3934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3.3190738823529418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3.3383708235294121</v>
      </c>
      <c r="C175" s="61">
        <f>FH!A175*1</f>
        <v>2416</v>
      </c>
      <c r="D175" s="61">
        <f>FH!B175*1</f>
        <v>2416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3.3576677647058828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3.3769647058823531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3.3962616470588238</v>
      </c>
      <c r="C178" s="61">
        <f>FH!A178*1</f>
        <v>477</v>
      </c>
      <c r="D178" s="61">
        <f>FH!B178*1</f>
        <v>477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3.4155585882352941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3.4348555294117649</v>
      </c>
      <c r="C180" s="61">
        <f>FH!A180*1</f>
        <v>0</v>
      </c>
      <c r="D180" s="61">
        <f>FH!B180*1</f>
        <v>0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3.4541524705882352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3.4734494117647063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3.4927463529411766</v>
      </c>
      <c r="C183" s="61">
        <f>FH!A183*1</f>
        <v>0</v>
      </c>
      <c r="D183" s="61">
        <f>FH!B183*1</f>
        <v>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3.5120432941176474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3.5313402352941177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3.5506371764705884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3.5699341176470587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3.5892310588235294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3.6085279999999997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3.6278249411764709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3.6471218823529417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3.666418823529412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3.6857157647058827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3.705012705882353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3.7243096470588237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3.743606588235294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3.7629035294117648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3.7822004705882355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3.8014974117647062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3.8207943529411765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3.8400912941176473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3.8593882352941176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3.8786851764705883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3.8979821176470586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3.9172790588235293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3.9365760000000005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3.9558729411764708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3.9751698823529416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3.9944668235294118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4.0137637647058826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4.0330607058823533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4.0523576470588232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4.0716545882352939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4.0909515294117647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4.1102484705882354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4.1295454117647061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4.1488423529411769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4.1681392941176476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4.1874362352941175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4.2067331764705882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4.2260301176470589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4.2453270588235297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4.2646240000000004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4.2839209411764712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4.303217882352941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4.3225148235294117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4.3418117647058825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4.3611087058823532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4.3804056470588231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4.3997025882352947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4.4189995294117654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4.4382964705882353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4.457593411764706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4.4768903529411768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4.4961872941176475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4.5154842352941174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4.5347811764705881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4.5540781176470588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4.5733750588235296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4.5926720000000003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4.611968941176471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4.6312658823529409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4.6505628235294116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4.6698597647058824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4.6891567058823531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4.7084536470588239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4.7277505882352946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4.7470475294117653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4.7663444705882352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4.7856414117647059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4.8049383529411767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4.8242352941176474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4.8435322352941172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4.8628291764705889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4.8821261176470587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4.9014230588235295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4.9207200000000002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37.6541</v>
      </c>
      <c r="C5" s="66">
        <v>7.6993600000000004</v>
      </c>
      <c r="D5" s="66">
        <v>20.447600000000001</v>
      </c>
      <c r="E5" s="66">
        <v>20</v>
      </c>
      <c r="F5" s="66">
        <v>10.509600000000001</v>
      </c>
      <c r="G5" s="66">
        <v>50</v>
      </c>
      <c r="H5" s="66">
        <v>45.387099999999997</v>
      </c>
    </row>
    <row r="6" spans="1:8">
      <c r="A6" s="58" t="s">
        <v>303</v>
      </c>
      <c r="B6" s="66">
        <v>28.479500000000002</v>
      </c>
      <c r="C6" s="66">
        <v>2.5129299999999999</v>
      </c>
      <c r="D6" s="66">
        <v>8.8236299999999996</v>
      </c>
      <c r="E6" s="66">
        <v>20</v>
      </c>
      <c r="F6" s="66">
        <v>19.7973</v>
      </c>
      <c r="G6" s="66">
        <v>40</v>
      </c>
      <c r="H6" s="66">
        <v>32.273299999999999</v>
      </c>
    </row>
    <row r="7" spans="1:8">
      <c r="A7" s="58" t="s">
        <v>304</v>
      </c>
      <c r="B7" s="66">
        <v>20.475899999999999</v>
      </c>
      <c r="C7" s="66">
        <v>9.6038300000000003</v>
      </c>
      <c r="D7" s="66">
        <v>46.903199999999998</v>
      </c>
      <c r="E7" s="66">
        <v>15</v>
      </c>
      <c r="F7" s="66">
        <v>2.6770399999999999</v>
      </c>
      <c r="G7" s="66">
        <v>40</v>
      </c>
      <c r="H7" s="66">
        <v>41.509900000000002</v>
      </c>
    </row>
    <row r="8" spans="1:8">
      <c r="A8" s="58" t="s">
        <v>305</v>
      </c>
      <c r="B8" s="66">
        <v>28.615400000000001</v>
      </c>
      <c r="C8" s="66">
        <v>4.8159999999999998</v>
      </c>
      <c r="D8" s="66">
        <v>16.830100000000002</v>
      </c>
      <c r="E8" s="66">
        <v>20</v>
      </c>
      <c r="F8" s="66">
        <v>13.0131</v>
      </c>
      <c r="G8" s="66">
        <v>50</v>
      </c>
      <c r="H8" s="66">
        <v>36.2485</v>
      </c>
    </row>
    <row r="9" spans="1:8">
      <c r="A9" s="58" t="s">
        <v>306</v>
      </c>
      <c r="B9" s="66">
        <v>73.319400000000002</v>
      </c>
      <c r="C9" s="66">
        <v>5.6506699999999999</v>
      </c>
      <c r="D9" s="66">
        <v>7.7069299999999998</v>
      </c>
      <c r="E9" s="66">
        <v>50</v>
      </c>
      <c r="F9" s="66">
        <v>59.5364</v>
      </c>
      <c r="G9" s="66">
        <v>100</v>
      </c>
      <c r="H9" s="66">
        <v>85.961299999999994</v>
      </c>
    </row>
    <row r="10" spans="1:8">
      <c r="A10" s="58" t="s">
        <v>307</v>
      </c>
      <c r="B10" s="66">
        <v>75.680899999999994</v>
      </c>
      <c r="C10" s="66">
        <v>2.2662100000000001</v>
      </c>
      <c r="D10" s="66">
        <v>2.9944299999999999</v>
      </c>
      <c r="E10" s="66">
        <v>40</v>
      </c>
      <c r="F10" s="66">
        <v>70.873699999999999</v>
      </c>
      <c r="G10" s="66">
        <v>100</v>
      </c>
      <c r="H10" s="66">
        <v>80.349900000000005</v>
      </c>
    </row>
    <row r="11" spans="1:8">
      <c r="A11" s="58" t="s">
        <v>308</v>
      </c>
      <c r="B11" s="66">
        <v>27.629200000000001</v>
      </c>
      <c r="C11" s="66">
        <v>5.4016999999999999</v>
      </c>
      <c r="D11" s="66">
        <v>19.550699999999999</v>
      </c>
      <c r="E11" s="66">
        <v>10</v>
      </c>
      <c r="F11" s="66">
        <v>8.7761800000000001</v>
      </c>
      <c r="G11" s="66">
        <v>50</v>
      </c>
      <c r="H11" s="66">
        <v>34.603999999999999</v>
      </c>
    </row>
    <row r="12" spans="1:8">
      <c r="A12" s="58" t="s">
        <v>309</v>
      </c>
      <c r="B12" s="66">
        <v>74.015799999999999</v>
      </c>
      <c r="C12" s="66">
        <v>2.8837000000000002</v>
      </c>
      <c r="D12" s="66">
        <v>3.8960599999999999</v>
      </c>
      <c r="E12" s="66">
        <v>50</v>
      </c>
      <c r="F12" s="66">
        <v>67.508600000000001</v>
      </c>
      <c r="G12" s="66">
        <v>100</v>
      </c>
      <c r="H12" s="66">
        <v>80.558199999999999</v>
      </c>
    </row>
    <row r="13" spans="1:8">
      <c r="A13" s="58" t="s">
        <v>310</v>
      </c>
      <c r="B13" s="66">
        <v>21.348800000000001</v>
      </c>
      <c r="C13" s="66">
        <v>8.45364</v>
      </c>
      <c r="D13" s="66">
        <v>39.597700000000003</v>
      </c>
      <c r="E13" s="66">
        <v>10</v>
      </c>
      <c r="F13" s="66">
        <v>13.3432</v>
      </c>
      <c r="G13" s="66">
        <v>25</v>
      </c>
      <c r="H13" s="66">
        <v>61.5807</v>
      </c>
    </row>
    <row r="14" spans="1:8">
      <c r="A14" s="58" t="s">
        <v>311</v>
      </c>
      <c r="B14" s="66">
        <v>84.5364</v>
      </c>
      <c r="C14" s="66">
        <v>32.062800000000003</v>
      </c>
      <c r="D14" s="66">
        <v>37.927799999999998</v>
      </c>
      <c r="E14" s="66">
        <v>10</v>
      </c>
      <c r="F14" s="66">
        <v>2.2558400000000001</v>
      </c>
      <c r="G14" s="66">
        <v>50</v>
      </c>
      <c r="H14" s="66">
        <v>127.17100000000001</v>
      </c>
    </row>
    <row r="15" spans="1:8">
      <c r="A15" s="58" t="s">
        <v>312</v>
      </c>
      <c r="B15" s="66">
        <v>1.29914E-2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1.2392699999999999E-4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20.4678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0.60194300000000001</v>
      </c>
      <c r="C18" s="66">
        <v>6.2523499999999996E-2</v>
      </c>
      <c r="D18" s="66">
        <v>0.103869</v>
      </c>
      <c r="E18" s="66">
        <v>0</v>
      </c>
      <c r="F18" s="66">
        <v>0.53941899999999998</v>
      </c>
      <c r="G18" s="66">
        <v>0</v>
      </c>
      <c r="H18" s="66">
        <v>0.664466</v>
      </c>
    </row>
    <row r="19" spans="1:8">
      <c r="A19" s="58" t="s">
        <v>316</v>
      </c>
      <c r="B19" s="66">
        <v>0.57493399999999995</v>
      </c>
      <c r="C19" s="66">
        <v>1.8203500000000001E-2</v>
      </c>
      <c r="D19" s="66">
        <v>3.1662000000000003E-2</v>
      </c>
      <c r="E19" s="66">
        <v>0</v>
      </c>
      <c r="F19" s="66">
        <v>0.55672999999999995</v>
      </c>
      <c r="G19" s="66">
        <v>0</v>
      </c>
      <c r="H19" s="66">
        <v>0.59313700000000003</v>
      </c>
    </row>
    <row r="20" spans="1:8">
      <c r="A20" s="58" t="s">
        <v>317</v>
      </c>
      <c r="B20" s="66">
        <v>2.5023699999999999E-3</v>
      </c>
      <c r="C20" s="66">
        <v>0.156858</v>
      </c>
      <c r="D20" s="66">
        <v>62.683700000000002</v>
      </c>
      <c r="E20" s="66">
        <v>0</v>
      </c>
      <c r="F20" s="66">
        <v>0</v>
      </c>
      <c r="G20" s="66">
        <v>0</v>
      </c>
      <c r="H20" s="66">
        <v>1.3221499999999999</v>
      </c>
    </row>
    <row r="21" spans="1:8">
      <c r="A21" s="58" t="s">
        <v>318</v>
      </c>
      <c r="B21" s="66">
        <v>0.19389100000000001</v>
      </c>
      <c r="C21" s="66">
        <v>1.05742</v>
      </c>
      <c r="D21" s="66">
        <v>5.4536600000000002</v>
      </c>
      <c r="E21" s="66">
        <v>0</v>
      </c>
      <c r="F21" s="66">
        <v>4.3281500000000002E-4</v>
      </c>
      <c r="G21" s="66">
        <v>0</v>
      </c>
      <c r="H21" s="66">
        <v>6.1653399999999996</v>
      </c>
    </row>
    <row r="22" spans="1:8">
      <c r="A22" s="58" t="s">
        <v>319</v>
      </c>
      <c r="B22" s="66">
        <v>50.359499999999997</v>
      </c>
      <c r="C22" s="66">
        <v>37.890099999999997</v>
      </c>
      <c r="D22" s="66">
        <v>0.75239199999999995</v>
      </c>
      <c r="E22" s="66">
        <v>0</v>
      </c>
      <c r="F22" s="66">
        <v>19.2225</v>
      </c>
      <c r="G22" s="66">
        <v>0</v>
      </c>
      <c r="H22" s="66">
        <v>188.44800000000001</v>
      </c>
    </row>
    <row r="23" spans="1:8">
      <c r="A23" s="58" t="s">
        <v>320</v>
      </c>
      <c r="B23" s="66">
        <v>35.021999999999998</v>
      </c>
      <c r="C23" s="66">
        <v>6.72804</v>
      </c>
      <c r="D23" s="66">
        <v>0.192109</v>
      </c>
      <c r="E23" s="66">
        <v>0</v>
      </c>
      <c r="F23" s="66">
        <v>14.9457</v>
      </c>
      <c r="G23" s="66">
        <v>0</v>
      </c>
      <c r="H23" s="66">
        <v>52.078200000000002</v>
      </c>
    </row>
    <row r="24" spans="1:8">
      <c r="A24" s="58" t="s">
        <v>321</v>
      </c>
      <c r="B24" s="66">
        <v>5.1940199999999997E-3</v>
      </c>
      <c r="C24" s="66">
        <v>0.15323999999999999</v>
      </c>
      <c r="D24" s="66">
        <v>29.5032</v>
      </c>
      <c r="E24" s="66">
        <v>0</v>
      </c>
      <c r="F24" s="196">
        <v>8.3101699999999998E-5</v>
      </c>
      <c r="G24" s="66">
        <v>0</v>
      </c>
      <c r="H24" s="66">
        <v>1.2777000000000001</v>
      </c>
    </row>
    <row r="25" spans="1:8">
      <c r="A25" s="58" t="s">
        <v>322</v>
      </c>
      <c r="B25" s="66">
        <v>0.29308099999999998</v>
      </c>
      <c r="C25" s="66">
        <v>0.81403300000000001</v>
      </c>
      <c r="D25" s="66">
        <v>2.7774999999999999</v>
      </c>
      <c r="E25" s="66">
        <v>0</v>
      </c>
      <c r="F25" s="66">
        <v>1.2459400000000001E-2</v>
      </c>
      <c r="G25" s="66">
        <v>0</v>
      </c>
      <c r="H25" s="66">
        <v>3.5872999999999999</v>
      </c>
    </row>
    <row r="26" spans="1:8">
      <c r="A26" s="58" t="s">
        <v>323</v>
      </c>
      <c r="B26" s="66">
        <v>6.401E-4</v>
      </c>
      <c r="C26" s="66">
        <v>1.3494900000000001E-2</v>
      </c>
      <c r="D26" s="66">
        <v>21.0825</v>
      </c>
      <c r="E26" s="66">
        <v>0</v>
      </c>
      <c r="F26" s="66">
        <v>0</v>
      </c>
      <c r="G26" s="66">
        <v>0</v>
      </c>
      <c r="H26" s="66">
        <v>9.4958000000000001E-2</v>
      </c>
    </row>
    <row r="27" spans="1:8">
      <c r="A27" s="58" t="s">
        <v>324</v>
      </c>
      <c r="B27" s="196">
        <v>-9.8476899999999999E-6</v>
      </c>
      <c r="C27" s="66">
        <v>3.0868599999999999E-3</v>
      </c>
      <c r="D27" s="66">
        <v>-313.46100000000001</v>
      </c>
      <c r="E27" s="66">
        <v>0</v>
      </c>
      <c r="F27" s="66">
        <v>-3.7270200000000003E-2</v>
      </c>
      <c r="G27" s="66">
        <v>0</v>
      </c>
      <c r="H27" s="66">
        <v>4.6812600000000003E-2</v>
      </c>
    </row>
    <row r="28" spans="1:8">
      <c r="A28" s="58" t="s">
        <v>325</v>
      </c>
      <c r="B28" s="66">
        <v>2.1258099999999999E-2</v>
      </c>
      <c r="C28" s="66">
        <v>5.0316199999999998E-2</v>
      </c>
      <c r="D28" s="66">
        <v>2.3669099999999998</v>
      </c>
      <c r="E28" s="66">
        <v>0</v>
      </c>
      <c r="F28" s="66">
        <v>1.17187E-4</v>
      </c>
      <c r="G28" s="66">
        <v>0</v>
      </c>
      <c r="H28" s="66">
        <v>0.215752</v>
      </c>
    </row>
    <row r="29" spans="1:8">
      <c r="A29" s="58" t="s">
        <v>326</v>
      </c>
      <c r="B29" s="66">
        <v>75.5792</v>
      </c>
      <c r="C29" s="66">
        <v>19.2865</v>
      </c>
      <c r="D29" s="66">
        <v>0.25518299999999999</v>
      </c>
      <c r="E29" s="66">
        <v>0</v>
      </c>
      <c r="F29" s="66">
        <v>45.145200000000003</v>
      </c>
      <c r="G29" s="66">
        <v>0</v>
      </c>
      <c r="H29" s="66">
        <v>136.14400000000001</v>
      </c>
    </row>
    <row r="30" spans="1:8">
      <c r="A30" s="58" t="s">
        <v>327</v>
      </c>
      <c r="B30" s="66">
        <v>35.471400000000003</v>
      </c>
      <c r="C30" s="66">
        <v>6.3866500000000004</v>
      </c>
      <c r="D30" s="66">
        <v>0.18004999999999999</v>
      </c>
      <c r="E30" s="66">
        <v>0</v>
      </c>
      <c r="F30" s="66">
        <v>13.2087</v>
      </c>
      <c r="G30" s="66">
        <v>0</v>
      </c>
      <c r="H30" s="66">
        <v>47.4893</v>
      </c>
    </row>
    <row r="31" spans="1:8">
      <c r="A31" s="58" t="s">
        <v>328</v>
      </c>
      <c r="B31" s="66">
        <v>160.84899999999999</v>
      </c>
      <c r="C31" s="66">
        <v>30.389099999999999</v>
      </c>
      <c r="D31" s="66">
        <v>0.18892900000000001</v>
      </c>
      <c r="E31" s="66">
        <v>0</v>
      </c>
      <c r="F31" s="66">
        <v>61.712600000000002</v>
      </c>
      <c r="G31" s="66">
        <v>0</v>
      </c>
      <c r="H31" s="66">
        <v>221.42500000000001</v>
      </c>
    </row>
    <row r="32" spans="1:8">
      <c r="A32" s="58" t="s">
        <v>329</v>
      </c>
      <c r="B32" s="66">
        <v>0.204759</v>
      </c>
      <c r="C32" s="66">
        <v>9.6038299999999993E-2</v>
      </c>
      <c r="D32" s="66">
        <v>0.469032</v>
      </c>
      <c r="E32" s="66">
        <v>0.15</v>
      </c>
      <c r="F32" s="66">
        <v>2.67704E-2</v>
      </c>
      <c r="G32" s="66">
        <v>0.4</v>
      </c>
      <c r="H32" s="66">
        <v>0.415099</v>
      </c>
    </row>
    <row r="33" spans="1:8">
      <c r="A33" s="58" t="s">
        <v>330</v>
      </c>
      <c r="B33" s="66">
        <v>0.25711699999999998</v>
      </c>
      <c r="C33" s="66">
        <v>2.5671800000000002E-2</v>
      </c>
      <c r="D33" s="66">
        <v>9.98449E-2</v>
      </c>
      <c r="E33" s="66">
        <v>0</v>
      </c>
      <c r="F33" s="66">
        <v>0.13624900000000001</v>
      </c>
      <c r="G33" s="66">
        <v>0</v>
      </c>
      <c r="H33" s="66">
        <v>0.31960899999999998</v>
      </c>
    </row>
    <row r="34" spans="1:8">
      <c r="A34" s="58" t="s">
        <v>331</v>
      </c>
      <c r="B34" s="66">
        <v>0.21348800000000001</v>
      </c>
      <c r="C34" s="66">
        <v>8.4536399999999998E-2</v>
      </c>
      <c r="D34" s="66">
        <v>0.39597700000000002</v>
      </c>
      <c r="E34" s="66">
        <v>0.1</v>
      </c>
      <c r="F34" s="66">
        <v>0.133432</v>
      </c>
      <c r="G34" s="66">
        <v>0.25</v>
      </c>
      <c r="H34" s="66">
        <v>0.61580699999999999</v>
      </c>
    </row>
    <row r="35" spans="1:8">
      <c r="A35" s="58" t="s">
        <v>332</v>
      </c>
      <c r="B35" s="66">
        <v>8.6157999999999998E-2</v>
      </c>
      <c r="C35" s="66">
        <v>5.4779399999999999E-2</v>
      </c>
      <c r="D35" s="66">
        <v>0.63580099999999995</v>
      </c>
      <c r="E35" s="66">
        <v>0</v>
      </c>
      <c r="F35" s="66">
        <v>3.25627E-2</v>
      </c>
      <c r="G35" s="66">
        <v>0</v>
      </c>
      <c r="H35" s="66">
        <v>0.35313099999999997</v>
      </c>
    </row>
    <row r="36" spans="1:8">
      <c r="A36" s="58" t="s">
        <v>333</v>
      </c>
      <c r="B36" s="66">
        <v>0.17158899999999999</v>
      </c>
      <c r="C36" s="66">
        <v>0.14276900000000001</v>
      </c>
      <c r="D36" s="66">
        <v>0.83204100000000003</v>
      </c>
      <c r="E36" s="66">
        <v>0</v>
      </c>
      <c r="F36" s="66">
        <v>3.8153100000000002E-2</v>
      </c>
      <c r="G36" s="66">
        <v>0</v>
      </c>
      <c r="H36" s="66">
        <v>0.92331799999999997</v>
      </c>
    </row>
    <row r="37" spans="1:8">
      <c r="A37" s="58" t="s">
        <v>334</v>
      </c>
      <c r="B37" s="66">
        <v>0.845364</v>
      </c>
      <c r="C37" s="66">
        <v>0.32062800000000002</v>
      </c>
      <c r="D37" s="66">
        <v>0.379278</v>
      </c>
      <c r="E37" s="66">
        <v>0.1</v>
      </c>
      <c r="F37" s="66">
        <v>2.2558399999999999E-2</v>
      </c>
      <c r="G37" s="66">
        <v>0.5</v>
      </c>
      <c r="H37" s="66">
        <v>1.2717099999999999</v>
      </c>
    </row>
    <row r="38" spans="1:8">
      <c r="A38" s="58" t="s">
        <v>335</v>
      </c>
      <c r="B38" s="66">
        <v>-35.998699999999999</v>
      </c>
      <c r="C38" s="66">
        <v>53.061399999999999</v>
      </c>
      <c r="D38" s="66">
        <v>-1.4739800000000001</v>
      </c>
      <c r="E38" s="66">
        <v>0</v>
      </c>
      <c r="F38" s="66">
        <v>-189.173</v>
      </c>
      <c r="G38" s="66">
        <v>0</v>
      </c>
      <c r="H38" s="66">
        <v>121.697</v>
      </c>
    </row>
    <row r="39" spans="1:8">
      <c r="A39" s="58" t="s">
        <v>336</v>
      </c>
      <c r="B39" s="66">
        <v>-14.456099999999999</v>
      </c>
      <c r="C39" s="66">
        <v>12.8345</v>
      </c>
      <c r="D39" s="66">
        <v>-0.88782499999999998</v>
      </c>
      <c r="E39" s="66">
        <v>0</v>
      </c>
      <c r="F39" s="66">
        <v>-63.559800000000003</v>
      </c>
      <c r="G39" s="66">
        <v>0</v>
      </c>
      <c r="H39" s="66">
        <v>2.5352000000000001</v>
      </c>
    </row>
    <row r="40" spans="1:8">
      <c r="A40" s="58" t="s">
        <v>337</v>
      </c>
      <c r="B40" s="66">
        <v>-8.44346</v>
      </c>
      <c r="C40" s="66">
        <v>2.6587800000000001</v>
      </c>
      <c r="D40" s="66">
        <v>-0.31489200000000001</v>
      </c>
      <c r="E40" s="66">
        <v>0</v>
      </c>
      <c r="F40" s="66">
        <v>-16.6815</v>
      </c>
      <c r="G40" s="66">
        <v>0</v>
      </c>
      <c r="H40" s="66">
        <v>-3.23821</v>
      </c>
    </row>
    <row r="41" spans="1:8">
      <c r="A41" s="58" t="s">
        <v>338</v>
      </c>
      <c r="B41" s="66">
        <v>-0.183035</v>
      </c>
      <c r="C41" s="66">
        <v>0.32655200000000001</v>
      </c>
      <c r="D41" s="66">
        <v>-1.7841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-0.204184</v>
      </c>
      <c r="C42" s="66">
        <v>0.106154</v>
      </c>
      <c r="D42" s="66">
        <v>-0.51989200000000002</v>
      </c>
      <c r="E42" s="66">
        <v>0</v>
      </c>
      <c r="F42" s="66">
        <v>-0.39768700000000001</v>
      </c>
      <c r="G42" s="66">
        <v>0</v>
      </c>
      <c r="H42" s="66">
        <v>0.10294200000000001</v>
      </c>
    </row>
    <row r="43" spans="1:8">
      <c r="A43" s="58" t="s">
        <v>340</v>
      </c>
      <c r="B43" s="66">
        <v>-6.7338800000000004E-2</v>
      </c>
      <c r="C43" s="66">
        <v>5.2839799999999999E-2</v>
      </c>
      <c r="D43" s="66">
        <v>-0.78468599999999999</v>
      </c>
      <c r="E43" s="66">
        <v>0</v>
      </c>
      <c r="F43" s="66">
        <v>-0.13259000000000001</v>
      </c>
      <c r="G43" s="66">
        <v>0</v>
      </c>
      <c r="H43" s="66">
        <v>8.0933500000000005E-2</v>
      </c>
    </row>
    <row r="44" spans="1:8">
      <c r="A44" s="58" t="s">
        <v>341</v>
      </c>
      <c r="B44" s="66">
        <v>-17.011199999999999</v>
      </c>
      <c r="C44" s="66">
        <v>16.668099999999999</v>
      </c>
      <c r="D44" s="66">
        <v>-0.97983299999999995</v>
      </c>
      <c r="E44" s="66">
        <v>0</v>
      </c>
      <c r="F44" s="66">
        <v>-70.015900000000002</v>
      </c>
      <c r="G44" s="66">
        <v>0</v>
      </c>
      <c r="H44" s="66">
        <v>4.64886</v>
      </c>
    </row>
    <row r="45" spans="1:8">
      <c r="A45" s="58" t="s">
        <v>342</v>
      </c>
      <c r="B45" s="66">
        <v>42.8172</v>
      </c>
      <c r="C45" s="66">
        <v>7.7951300000000003</v>
      </c>
      <c r="D45" s="66">
        <v>0.182056</v>
      </c>
      <c r="E45" s="66">
        <v>0</v>
      </c>
      <c r="F45" s="66">
        <v>27.610800000000001</v>
      </c>
      <c r="G45" s="66">
        <v>0</v>
      </c>
      <c r="H45" s="66">
        <v>65.106899999999996</v>
      </c>
    </row>
    <row r="46" spans="1:8">
      <c r="A46" s="58" t="s">
        <v>343</v>
      </c>
      <c r="B46" s="66">
        <v>24.875800000000002</v>
      </c>
      <c r="C46" s="66">
        <v>5.4043799999999997</v>
      </c>
      <c r="D46" s="66">
        <v>0.217255</v>
      </c>
      <c r="E46" s="66">
        <v>0</v>
      </c>
      <c r="F46" s="66">
        <v>7.4326100000000004</v>
      </c>
      <c r="G46" s="66">
        <v>0</v>
      </c>
      <c r="H46" s="66">
        <v>30.999500000000001</v>
      </c>
    </row>
    <row r="47" spans="1:8">
      <c r="A47" s="58" t="s">
        <v>344</v>
      </c>
      <c r="B47" s="66">
        <v>1.5499499999999999</v>
      </c>
      <c r="C47" s="66">
        <v>1.1998599999999999</v>
      </c>
      <c r="D47" s="66">
        <v>0.77412400000000003</v>
      </c>
      <c r="E47" s="66">
        <v>0</v>
      </c>
      <c r="F47" s="66">
        <v>0.24731900000000001</v>
      </c>
      <c r="G47" s="66">
        <v>0</v>
      </c>
      <c r="H47" s="66">
        <v>7.7023999999999999</v>
      </c>
    </row>
    <row r="48" spans="1:8">
      <c r="A48" s="58" t="s">
        <v>345</v>
      </c>
      <c r="B48" s="66">
        <v>1.16459</v>
      </c>
      <c r="C48" s="66">
        <v>0.34234799999999999</v>
      </c>
      <c r="D48" s="66">
        <v>0.29396600000000001</v>
      </c>
      <c r="E48" s="66">
        <v>0</v>
      </c>
      <c r="F48" s="66">
        <v>0.662551</v>
      </c>
      <c r="G48" s="66">
        <v>0</v>
      </c>
      <c r="H48" s="66">
        <v>2.05118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2.189700000000002</v>
      </c>
      <c r="C5" s="66">
        <f>'M2'!C5-'M1'!C5</f>
        <v>-6.102479999999999</v>
      </c>
      <c r="D5" s="66">
        <f>'M2'!D5-'M1'!D5</f>
        <v>-17.626079999999998</v>
      </c>
      <c r="E5" s="66">
        <f>'M2'!E5-'M1'!E5</f>
        <v>0</v>
      </c>
      <c r="F5" s="66">
        <f>'M2'!F5-'M1'!F5</f>
        <v>19.534500000000001</v>
      </c>
      <c r="G5" s="66">
        <f>'M2'!G5-'M1'!G5</f>
        <v>0</v>
      </c>
      <c r="H5" s="66">
        <f>'M2'!H5-'M1'!H5</f>
        <v>2.6283999999999992</v>
      </c>
    </row>
    <row r="6" spans="1:8">
      <c r="A6" s="66" t="s">
        <v>244</v>
      </c>
      <c r="B6" s="66">
        <f>'M2'!B6-'M1'!B6</f>
        <v>-0.65719999999999956</v>
      </c>
      <c r="C6" s="66">
        <f>'M2'!C6-'M1'!C6</f>
        <v>-1.3029500000000001</v>
      </c>
      <c r="D6" s="66">
        <f>'M2'!D6-'M1'!D6</f>
        <v>-4.3738099999999998</v>
      </c>
      <c r="E6" s="66">
        <f>'M2'!E6-'M1'!E6</f>
        <v>0</v>
      </c>
      <c r="F6" s="66">
        <f>'M2'!F6-'M1'!F6</f>
        <v>5.3582999999999998</v>
      </c>
      <c r="G6" s="66">
        <f>'M2'!G6-'M1'!G6</f>
        <v>0</v>
      </c>
      <c r="H6" s="66">
        <f>'M2'!H6-'M1'!H6</f>
        <v>-0.43449999999999989</v>
      </c>
    </row>
    <row r="7" spans="1:8">
      <c r="A7" s="66" t="s">
        <v>245</v>
      </c>
      <c r="B7" s="66">
        <f>'M2'!B7-'M1'!B7</f>
        <v>-4.1058000000000021</v>
      </c>
      <c r="C7" s="66">
        <f>'M2'!C7-'M1'!C7</f>
        <v>1.3926099999999995</v>
      </c>
      <c r="D7" s="66">
        <f>'M2'!D7-'M1'!D7</f>
        <v>17.392600000000002</v>
      </c>
      <c r="E7" s="66">
        <f>'M2'!E7-'M1'!E7</f>
        <v>0</v>
      </c>
      <c r="F7" s="66">
        <f>'M2'!F7-'M1'!F7</f>
        <v>-1.5186400000000004</v>
      </c>
      <c r="G7" s="66">
        <f>'M2'!G7-'M1'!G7</f>
        <v>0</v>
      </c>
      <c r="H7" s="66">
        <f>'M2'!H7-'M1'!H7</f>
        <v>-1.4980000000000047</v>
      </c>
    </row>
    <row r="8" spans="1:8">
      <c r="A8" s="66" t="s">
        <v>246</v>
      </c>
      <c r="B8" s="66">
        <f>'M2'!B8-'M1'!B8</f>
        <v>-0.82559999999999789</v>
      </c>
      <c r="C8" s="66">
        <f>'M2'!C8-'M1'!C8</f>
        <v>-2.7206999999999999</v>
      </c>
      <c r="D8" s="66">
        <f>'M2'!D8-'M1'!D8</f>
        <v>-9.0102000000000011</v>
      </c>
      <c r="E8" s="66">
        <f>'M2'!E8-'M1'!E8</f>
        <v>0</v>
      </c>
      <c r="F8" s="66">
        <f>'M2'!F8-'M1'!F8</f>
        <v>10.2738</v>
      </c>
      <c r="G8" s="66">
        <f>'M2'!G8-'M1'!G8</f>
        <v>0</v>
      </c>
      <c r="H8" s="66">
        <f>'M2'!H8-'M1'!H8</f>
        <v>-1.9906999999999968</v>
      </c>
    </row>
    <row r="9" spans="1:8">
      <c r="A9" s="66" t="s">
        <v>247</v>
      </c>
      <c r="B9" s="66">
        <f>'M2'!B9-'M1'!B9</f>
        <v>-1.7152999999999992</v>
      </c>
      <c r="C9" s="66">
        <f>'M2'!C9-'M1'!C9</f>
        <v>-1.1200800000000006</v>
      </c>
      <c r="D9" s="66">
        <f>'M2'!D9-'M1'!D9</f>
        <v>-1.3512999999999993</v>
      </c>
      <c r="E9" s="66">
        <f>'M2'!E9-'M1'!E9</f>
        <v>0</v>
      </c>
      <c r="F9" s="66">
        <f>'M2'!F9-'M1'!F9</f>
        <v>-0.44709999999999894</v>
      </c>
      <c r="G9" s="66">
        <f>'M2'!G9-'M1'!G9</f>
        <v>0</v>
      </c>
      <c r="H9" s="66">
        <f>'M2'!H9-'M1'!H9</f>
        <v>-4.1178999999999917</v>
      </c>
    </row>
    <row r="10" spans="1:8">
      <c r="A10" s="66" t="s">
        <v>248</v>
      </c>
      <c r="B10" s="66">
        <f>'M2'!B10-'M1'!B10</f>
        <v>1.7450000000000045</v>
      </c>
      <c r="C10" s="66">
        <f>'M2'!C10-'M1'!C10</f>
        <v>0.66967999999999983</v>
      </c>
      <c r="D10" s="66">
        <f>'M2'!D10-'M1'!D10</f>
        <v>0.82087000000000021</v>
      </c>
      <c r="E10" s="66">
        <f>'M2'!E10-'M1'!E10</f>
        <v>0</v>
      </c>
      <c r="F10" s="66">
        <f>'M2'!F10-'M1'!F10</f>
        <v>0.76510000000000389</v>
      </c>
      <c r="G10" s="66">
        <f>'M2'!G10-'M1'!G10</f>
        <v>0</v>
      </c>
      <c r="H10" s="66">
        <f>'M2'!H10-'M1'!H10</f>
        <v>1.5247000000000099</v>
      </c>
    </row>
    <row r="11" spans="1:8">
      <c r="A11" s="66" t="s">
        <v>249</v>
      </c>
      <c r="B11" s="66">
        <f>'M2'!B11-'M1'!B11</f>
        <v>2.6475000000000009</v>
      </c>
      <c r="C11" s="66">
        <f>'M2'!C11-'M1'!C11</f>
        <v>-3.0358200000000002</v>
      </c>
      <c r="D11" s="66">
        <f>'M2'!D11-'M1'!D11</f>
        <v>-12.691299999999998</v>
      </c>
      <c r="E11" s="66">
        <f>'M2'!E11-'M1'!E11</f>
        <v>0</v>
      </c>
      <c r="F11" s="66">
        <f>'M2'!F11-'M1'!F11</f>
        <v>13.916319999999999</v>
      </c>
      <c r="G11" s="66">
        <f>'M2'!G11-'M1'!G11</f>
        <v>0</v>
      </c>
      <c r="H11" s="66">
        <f>'M2'!H11-'M1'!H11</f>
        <v>1.1723999999999961</v>
      </c>
    </row>
    <row r="12" spans="1:8">
      <c r="A12" s="66" t="s">
        <v>250</v>
      </c>
      <c r="B12" s="66">
        <f>'M2'!B12-'M1'!B12</f>
        <v>-0.57309999999999661</v>
      </c>
      <c r="C12" s="66">
        <f>'M2'!C12-'M1'!C12</f>
        <v>-0.93040000000000012</v>
      </c>
      <c r="D12" s="66">
        <f>'M2'!D12-'M1'!D12</f>
        <v>-1.2240899999999999</v>
      </c>
      <c r="E12" s="66">
        <f>'M2'!E12-'M1'!E12</f>
        <v>0</v>
      </c>
      <c r="F12" s="66">
        <f>'M2'!F12-'M1'!F12</f>
        <v>-0.42279999999999518</v>
      </c>
      <c r="G12" s="66">
        <f>'M2'!G12-'M1'!G12</f>
        <v>0</v>
      </c>
      <c r="H12" s="66">
        <f>'M2'!H12-'M1'!H12</f>
        <v>-1.4311000000000007</v>
      </c>
    </row>
    <row r="13" spans="1:8">
      <c r="A13" s="66" t="s">
        <v>251</v>
      </c>
      <c r="B13" s="66">
        <f>'M2'!B13-'M1'!B13</f>
        <v>2.5017999999999994</v>
      </c>
      <c r="C13" s="66">
        <f>'M2'!C13-'M1'!C13</f>
        <v>2.7345699999999997</v>
      </c>
      <c r="D13" s="66">
        <f>'M2'!D13-'M1'!D13</f>
        <v>8.3001000000000005</v>
      </c>
      <c r="E13" s="66">
        <f>'M2'!E13-'M1'!E13</f>
        <v>0</v>
      </c>
      <c r="F13" s="66">
        <f>'M2'!F13-'M1'!F13</f>
        <v>1.9294000000000011</v>
      </c>
      <c r="G13" s="66">
        <f>'M2'!G13-'M1'!G13</f>
        <v>0</v>
      </c>
      <c r="H13" s="66">
        <f>'M2'!H13-'M1'!H13</f>
        <v>17.5319</v>
      </c>
    </row>
    <row r="14" spans="1:8">
      <c r="A14" s="66" t="s">
        <v>252</v>
      </c>
      <c r="B14" s="66">
        <f>'M2'!B14-'M1'!B14</f>
        <v>27.345600000000005</v>
      </c>
      <c r="C14" s="66">
        <f>'M2'!C14-'M1'!C14</f>
        <v>12.770699999999998</v>
      </c>
      <c r="D14" s="66">
        <f>'M2'!D14-'M1'!D14</f>
        <v>3.3528999999999982</v>
      </c>
      <c r="E14" s="66">
        <f>'M2'!E14-'M1'!E14</f>
        <v>0</v>
      </c>
      <c r="F14" s="66">
        <f>'M2'!F14-'M1'!F14</f>
        <v>1.6301799999999997</v>
      </c>
      <c r="G14" s="66">
        <f>'M2'!G14-'M1'!G14</f>
        <v>0</v>
      </c>
      <c r="H14" s="66">
        <f>'M2'!H14-'M1'!H14</f>
        <v>50.199100000000001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-5.021500000000001E-2</v>
      </c>
      <c r="C18" s="66">
        <f>'M2'!C18-'M1'!C18</f>
        <v>6.2523499999999996E-2</v>
      </c>
      <c r="D18" s="66">
        <f>'M2'!D18-'M1'!D18</f>
        <v>0.103869</v>
      </c>
      <c r="E18" s="66">
        <f>'M2'!E18-'M1'!E18</f>
        <v>0</v>
      </c>
      <c r="F18" s="66">
        <f>'M2'!F18-'M1'!F18</f>
        <v>0.53941899999999998</v>
      </c>
      <c r="G18" s="66">
        <f>'M2'!G18-'M1'!G18</f>
        <v>0</v>
      </c>
      <c r="H18" s="66">
        <f>'M2'!H18-'M1'!H18</f>
        <v>0.664466</v>
      </c>
    </row>
    <row r="19" spans="1:8">
      <c r="A19" s="66" t="s">
        <v>256</v>
      </c>
      <c r="B19" s="66">
        <f>'M2'!B19-'M1'!B19</f>
        <v>4.7634999999999983E-2</v>
      </c>
      <c r="C19" s="66">
        <f>'M2'!C19-'M1'!C19</f>
        <v>1.8203500000000001E-2</v>
      </c>
      <c r="D19" s="66">
        <f>'M2'!D19-'M1'!D19</f>
        <v>3.1662000000000003E-2</v>
      </c>
      <c r="E19" s="66">
        <f>'M2'!E19-'M1'!E19</f>
        <v>0</v>
      </c>
      <c r="F19" s="66">
        <f>'M2'!F19-'M1'!F19</f>
        <v>0.55672999999999995</v>
      </c>
      <c r="G19" s="66">
        <f>'M2'!G19-'M1'!G19</f>
        <v>0</v>
      </c>
      <c r="H19" s="66">
        <f>'M2'!H19-'M1'!H19</f>
        <v>0.59313700000000003</v>
      </c>
    </row>
    <row r="20" spans="1:8">
      <c r="A20" s="66" t="s">
        <v>63</v>
      </c>
      <c r="B20" s="66">
        <f>'M2'!B20-'M1'!B20</f>
        <v>1.6471099999999998E-3</v>
      </c>
      <c r="C20" s="66">
        <f>'M2'!C20-'M1'!C20</f>
        <v>3.8580000000000003E-3</v>
      </c>
      <c r="D20" s="66">
        <f>'M2'!D20-'M1'!D20</f>
        <v>-37.874199999999995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-0.37511499999999998</v>
      </c>
    </row>
    <row r="21" spans="1:8">
      <c r="A21" s="66" t="s">
        <v>64</v>
      </c>
      <c r="B21" s="66">
        <f>'M2'!B21-'M1'!B21</f>
        <v>2.9114999999999974E-2</v>
      </c>
      <c r="C21" s="66">
        <f>'M2'!C21-'M1'!C21</f>
        <v>0.23241599999999984</v>
      </c>
      <c r="D21" s="66">
        <f>'M2'!D21-'M1'!D21</f>
        <v>0.3779300000000001</v>
      </c>
      <c r="E21" s="66">
        <f>'M2'!E21-'M1'!E21</f>
        <v>0</v>
      </c>
      <c r="F21" s="66">
        <f>'M2'!F21-'M1'!F21</f>
        <v>1.5911049999999998E-3</v>
      </c>
      <c r="G21" s="66">
        <f>'M2'!G21-'M1'!G21</f>
        <v>0</v>
      </c>
      <c r="H21" s="66">
        <f>'M2'!H21-'M1'!H21</f>
        <v>1.6089099999999998</v>
      </c>
    </row>
    <row r="22" spans="1:8">
      <c r="A22" s="66" t="s">
        <v>65</v>
      </c>
      <c r="B22" s="66">
        <f>'M2'!B22-'M1'!B22</f>
        <v>3.970799999999997</v>
      </c>
      <c r="C22" s="66">
        <f>'M2'!C22-'M1'!C22</f>
        <v>5.3243000000000009</v>
      </c>
      <c r="D22" s="66">
        <f>'M2'!D22-'M1'!D22</f>
        <v>4.6966000000000063E-2</v>
      </c>
      <c r="E22" s="66">
        <f>'M2'!E22-'M1'!E22</f>
        <v>0</v>
      </c>
      <c r="F22" s="66">
        <f>'M2'!F22-'M1'!F22</f>
        <v>7.9898999999999987</v>
      </c>
      <c r="G22" s="66">
        <f>'M2'!G22-'M1'!G22</f>
        <v>0</v>
      </c>
      <c r="H22" s="66">
        <f>'M2'!H22-'M1'!H22</f>
        <v>-7.179000000000002</v>
      </c>
    </row>
    <row r="23" spans="1:8">
      <c r="A23" s="66" t="s">
        <v>66</v>
      </c>
      <c r="B23" s="66">
        <f>'M2'!B23-'M1'!B23</f>
        <v>5.4719999999999978</v>
      </c>
      <c r="C23" s="66">
        <f>'M2'!C23-'M1'!C23</f>
        <v>-8.4159999999999791E-2</v>
      </c>
      <c r="D23" s="66">
        <f>'M2'!D23-'M1'!D23</f>
        <v>-2.9781000000000002E-2</v>
      </c>
      <c r="E23" s="66">
        <f>'M2'!E23-'M1'!E23</f>
        <v>0</v>
      </c>
      <c r="F23" s="66">
        <f>'M2'!F23-'M1'!F23</f>
        <v>13.754099999999999</v>
      </c>
      <c r="G23" s="66">
        <f>'M2'!G23-'M1'!G23</f>
        <v>0</v>
      </c>
      <c r="H23" s="66">
        <f>'M2'!H23-'M1'!H23</f>
        <v>6.4939999999999998</v>
      </c>
    </row>
    <row r="24" spans="1:8">
      <c r="A24" s="66" t="s">
        <v>67</v>
      </c>
      <c r="B24" s="66">
        <f>'M2'!B24-'M1'!B24</f>
        <v>3.6309200000000002E-3</v>
      </c>
      <c r="C24" s="66">
        <f>'M2'!C24-'M1'!C24</f>
        <v>-1.9942000000000015E-2</v>
      </c>
      <c r="D24" s="66">
        <f>'M2'!D24-'M1'!D24</f>
        <v>-24.609000000000002</v>
      </c>
      <c r="E24" s="66">
        <f>'M2'!E24-'M1'!E24</f>
        <v>0</v>
      </c>
      <c r="F24" s="66">
        <f>'M2'!F24-'M1'!F24</f>
        <v>3.6806300000000007E-5</v>
      </c>
      <c r="G24" s="66">
        <f>'M2'!G24-'M1'!G24</f>
        <v>0</v>
      </c>
      <c r="H24" s="66">
        <f>'M2'!H24-'M1'!H24</f>
        <v>-0.52439100000000005</v>
      </c>
    </row>
    <row r="25" spans="1:8">
      <c r="A25" s="66" t="s">
        <v>68</v>
      </c>
      <c r="B25" s="66">
        <f>'M2'!B25-'M1'!B25</f>
        <v>0.13720300000000002</v>
      </c>
      <c r="C25" s="66">
        <f>'M2'!C25-'M1'!C25</f>
        <v>0.17738200000000004</v>
      </c>
      <c r="D25" s="66">
        <f>'M2'!D25-'M1'!D25</f>
        <v>-0.48954000000000031</v>
      </c>
      <c r="E25" s="66">
        <f>'M2'!E25-'M1'!E25</f>
        <v>0</v>
      </c>
      <c r="F25" s="66">
        <f>'M2'!F25-'M1'!F25</f>
        <v>1.2300399999999998E-2</v>
      </c>
      <c r="G25" s="66">
        <f>'M2'!G25-'M1'!G25</f>
        <v>0</v>
      </c>
      <c r="H25" s="66">
        <f>'M2'!H25-'M1'!H25</f>
        <v>1.16784</v>
      </c>
    </row>
    <row r="26" spans="1:8">
      <c r="A26" s="66" t="s">
        <v>69</v>
      </c>
      <c r="B26" s="66">
        <f>'M2'!B26-'M1'!B26</f>
        <v>4.2344999999999991E-4</v>
      </c>
      <c r="C26" s="66">
        <f>'M2'!C26-'M1'!C26</f>
        <v>1.2107999999999997E-3</v>
      </c>
      <c r="D26" s="66">
        <f>'M2'!D26-'M1'!D26</f>
        <v>-10.0671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-2.5154300000000004E-2</v>
      </c>
    </row>
    <row r="27" spans="1:8">
      <c r="A27" s="66" t="s">
        <v>70</v>
      </c>
      <c r="B27" s="66">
        <f>'M2'!B27-'M1'!B27</f>
        <v>-4.9238899999999997E-6</v>
      </c>
      <c r="C27" s="66">
        <f>'M2'!C27-'M1'!C27</f>
        <v>-1.09282E-3</v>
      </c>
      <c r="D27" s="66">
        <f>'M2'!D27-'M1'!D27</f>
        <v>247.07599999999999</v>
      </c>
      <c r="E27" s="66">
        <f>'M2'!E27-'M1'!E27</f>
        <v>0</v>
      </c>
      <c r="F27" s="66">
        <f>'M2'!F27-'M1'!F27</f>
        <v>2.4904800000000005E-2</v>
      </c>
      <c r="G27" s="66">
        <f>'M2'!G27-'M1'!G27</f>
        <v>0</v>
      </c>
      <c r="H27" s="66">
        <f>'M2'!H27-'M1'!H27</f>
        <v>-2.4126800000000004E-2</v>
      </c>
    </row>
    <row r="28" spans="1:8">
      <c r="A28" s="66" t="s">
        <v>71</v>
      </c>
      <c r="B28" s="66">
        <f>'M2'!B28-'M1'!B28</f>
        <v>4.9479999999999975E-3</v>
      </c>
      <c r="C28" s="66">
        <f>'M2'!C28-'M1'!C28</f>
        <v>5.2503999999999953E-3</v>
      </c>
      <c r="D28" s="66">
        <f>'M2'!D28-'M1'!D28</f>
        <v>-0.25561999999999996</v>
      </c>
      <c r="E28" s="66">
        <f>'M2'!E28-'M1'!E28</f>
        <v>0</v>
      </c>
      <c r="F28" s="66">
        <f>'M2'!F28-'M1'!F28</f>
        <v>4.5898500000000002E-4</v>
      </c>
      <c r="G28" s="66">
        <f>'M2'!G28-'M1'!G28</f>
        <v>0</v>
      </c>
      <c r="H28" s="66">
        <f>'M2'!H28-'M1'!H28</f>
        <v>2.7038000000000006E-2</v>
      </c>
    </row>
    <row r="29" spans="1:8">
      <c r="A29" s="66" t="s">
        <v>72</v>
      </c>
      <c r="B29" s="66">
        <f>'M2'!B29-'M1'!B29</f>
        <v>2.1415999999999968</v>
      </c>
      <c r="C29" s="66">
        <f>'M2'!C29-'M1'!C29</f>
        <v>0.36850000000000094</v>
      </c>
      <c r="D29" s="66">
        <f>'M2'!D29-'M1'!D29</f>
        <v>-2.2619999999999862E-3</v>
      </c>
      <c r="E29" s="66">
        <f>'M2'!E29-'M1'!E29</f>
        <v>0</v>
      </c>
      <c r="F29" s="66">
        <f>'M2'!F29-'M1'!F29</f>
        <v>2.3675999999999959</v>
      </c>
      <c r="G29" s="66">
        <f>'M2'!G29-'M1'!G29</f>
        <v>0</v>
      </c>
      <c r="H29" s="66">
        <f>'M2'!H29-'M1'!H29</f>
        <v>-9.2550000000000097</v>
      </c>
    </row>
    <row r="30" spans="1:8">
      <c r="A30" s="66" t="s">
        <v>73</v>
      </c>
      <c r="B30" s="66">
        <f>'M2'!B30-'M1'!B30</f>
        <v>3.2321000000000026</v>
      </c>
      <c r="C30" s="66">
        <f>'M2'!C30-'M1'!C30</f>
        <v>-2.1315900000000001</v>
      </c>
      <c r="D30" s="66">
        <f>'M2'!D30-'M1'!D30</f>
        <v>-7.6873999999999998E-2</v>
      </c>
      <c r="E30" s="66">
        <f>'M2'!E30-'M1'!E30</f>
        <v>0</v>
      </c>
      <c r="F30" s="66">
        <f>'M2'!F30-'M1'!F30</f>
        <v>18.2593</v>
      </c>
      <c r="G30" s="66">
        <f>'M2'!G30-'M1'!G30</f>
        <v>0</v>
      </c>
      <c r="H30" s="66">
        <f>'M2'!H30-'M1'!H30</f>
        <v>2.2310000000000016</v>
      </c>
    </row>
    <row r="31" spans="1:8">
      <c r="A31" s="66" t="s">
        <v>74</v>
      </c>
      <c r="B31" s="66">
        <f>'M2'!B31-'M1'!B31</f>
        <v>42.228000000000009</v>
      </c>
      <c r="C31" s="66">
        <f>'M2'!C31-'M1'!C31</f>
        <v>-4.9713000000000029</v>
      </c>
      <c r="D31" s="66">
        <f>'M2'!D31-'M1'!D31</f>
        <v>-6.7028999999999991E-2</v>
      </c>
      <c r="E31" s="66">
        <f>'M2'!E31-'M1'!E31</f>
        <v>0</v>
      </c>
      <c r="F31" s="66">
        <f>'M2'!F31-'M1'!F31</f>
        <v>90.062399999999997</v>
      </c>
      <c r="G31" s="66">
        <f>'M2'!G31-'M1'!G31</f>
        <v>0</v>
      </c>
      <c r="H31" s="66">
        <f>'M2'!H31-'M1'!H31</f>
        <v>40.156000000000006</v>
      </c>
    </row>
    <row r="32" spans="1:8">
      <c r="A32" s="66" t="s">
        <v>75</v>
      </c>
      <c r="B32" s="66">
        <f>'M2'!B32-'M1'!B32</f>
        <v>-4.1058000000000011E-2</v>
      </c>
      <c r="C32" s="66">
        <f>'M2'!C32-'M1'!C32</f>
        <v>1.3926099999999997E-2</v>
      </c>
      <c r="D32" s="66">
        <f>'M2'!D32-'M1'!D32</f>
        <v>0.17392600000000003</v>
      </c>
      <c r="E32" s="66">
        <f>'M2'!E32-'M1'!E32</f>
        <v>0</v>
      </c>
      <c r="F32" s="66">
        <f>'M2'!F32-'M1'!F32</f>
        <v>-1.5186400000000003E-2</v>
      </c>
      <c r="G32" s="66">
        <f>'M2'!G32-'M1'!G32</f>
        <v>0</v>
      </c>
      <c r="H32" s="66">
        <f>'M2'!H32-'M1'!H32</f>
        <v>-1.4979999999999993E-2</v>
      </c>
    </row>
    <row r="33" spans="1:8">
      <c r="A33" s="66" t="s">
        <v>76</v>
      </c>
      <c r="B33" s="66">
        <f>'M2'!B33-'M1'!B33</f>
        <v>3.1581999999999999E-2</v>
      </c>
      <c r="C33" s="66">
        <f>'M2'!C33-'M1'!C33</f>
        <v>-1.1523100000000001E-2</v>
      </c>
      <c r="D33" s="66">
        <f>'M2'!D33-'M1'!D33</f>
        <v>-5.7360099999999997E-2</v>
      </c>
      <c r="E33" s="66">
        <f>'M2'!E33-'M1'!E33</f>
        <v>0</v>
      </c>
      <c r="F33" s="66">
        <f>'M2'!F33-'M1'!F33</f>
        <v>7.8141999999999989E-2</v>
      </c>
      <c r="G33" s="66">
        <f>'M2'!G33-'M1'!G33</f>
        <v>0</v>
      </c>
      <c r="H33" s="66">
        <f>'M2'!H33-'M1'!H33</f>
        <v>2.6349999999999985E-3</v>
      </c>
    </row>
    <row r="34" spans="1:8">
      <c r="A34" s="66" t="s">
        <v>77</v>
      </c>
      <c r="B34" s="66">
        <f>'M2'!B34-'M1'!B34</f>
        <v>2.5018000000000012E-2</v>
      </c>
      <c r="C34" s="66">
        <f>'M2'!C34-'M1'!C34</f>
        <v>2.7345599999999998E-2</v>
      </c>
      <c r="D34" s="66">
        <f>'M2'!D34-'M1'!D34</f>
        <v>8.3000999999999991E-2</v>
      </c>
      <c r="E34" s="66">
        <f>'M2'!E34-'M1'!E34</f>
        <v>0</v>
      </c>
      <c r="F34" s="66">
        <f>'M2'!F34-'M1'!F34</f>
        <v>1.9295000000000007E-2</v>
      </c>
      <c r="G34" s="66">
        <f>'M2'!G34-'M1'!G34</f>
        <v>0</v>
      </c>
      <c r="H34" s="66">
        <f>'M2'!H34-'M1'!H34</f>
        <v>0.175319</v>
      </c>
    </row>
    <row r="35" spans="1:8">
      <c r="A35" s="66" t="s">
        <v>78</v>
      </c>
      <c r="B35" s="66">
        <f>'M2'!B35-'M1'!B35</f>
        <v>7.0915000000000006E-3</v>
      </c>
      <c r="C35" s="66">
        <f>'M2'!C35-'M1'!C35</f>
        <v>1.3571300000000001E-2</v>
      </c>
      <c r="D35" s="66">
        <f>'M2'!D35-'M1'!D35</f>
        <v>0.10602599999999995</v>
      </c>
      <c r="E35" s="66">
        <f>'M2'!E35-'M1'!E35</f>
        <v>0</v>
      </c>
      <c r="F35" s="66">
        <f>'M2'!F35-'M1'!F35</f>
        <v>2.1487199999999998E-2</v>
      </c>
      <c r="G35" s="66">
        <f>'M2'!G35-'M1'!G35</f>
        <v>0</v>
      </c>
      <c r="H35" s="66">
        <f>'M2'!H35-'M1'!H35</f>
        <v>0.12211199999999997</v>
      </c>
    </row>
    <row r="36" spans="1:8">
      <c r="A36" s="66" t="s">
        <v>79</v>
      </c>
      <c r="B36" s="66">
        <f>'M2'!B36-'M1'!B36</f>
        <v>2.2404000000000007E-2</v>
      </c>
      <c r="C36" s="66">
        <f>'M2'!C36-'M1'!C36</f>
        <v>3.7631999999999999E-2</v>
      </c>
      <c r="D36" s="66">
        <f>'M2'!D36-'M1'!D36</f>
        <v>0.111429</v>
      </c>
      <c r="E36" s="66">
        <f>'M2'!E36-'M1'!E36</f>
        <v>0</v>
      </c>
      <c r="F36" s="66">
        <f>'M2'!F36-'M1'!F36</f>
        <v>-7.5875999999999999E-3</v>
      </c>
      <c r="G36" s="66">
        <f>'M2'!G36-'M1'!G36</f>
        <v>0</v>
      </c>
      <c r="H36" s="66">
        <f>'M2'!H36-'M1'!H36</f>
        <v>0.22567399999999993</v>
      </c>
    </row>
    <row r="37" spans="1:8">
      <c r="A37" s="66" t="s">
        <v>80</v>
      </c>
      <c r="B37" s="66">
        <f>'M2'!B37-'M1'!B37</f>
        <v>0.27345600000000003</v>
      </c>
      <c r="C37" s="66">
        <f>'M2'!C37-'M1'!C37</f>
        <v>0.12770699999999999</v>
      </c>
      <c r="D37" s="66">
        <f>'M2'!D37-'M1'!D37</f>
        <v>3.3528999999999975E-2</v>
      </c>
      <c r="E37" s="66">
        <f>'M2'!E37-'M1'!E37</f>
        <v>0</v>
      </c>
      <c r="F37" s="66">
        <f>'M2'!F37-'M1'!F37</f>
        <v>1.6301799999999998E-2</v>
      </c>
      <c r="G37" s="66">
        <f>'M2'!G37-'M1'!G37</f>
        <v>0</v>
      </c>
      <c r="H37" s="66">
        <f>'M2'!H37-'M1'!H37</f>
        <v>0.50199099999999985</v>
      </c>
    </row>
    <row r="38" spans="1:8">
      <c r="A38" s="66" t="s">
        <v>81</v>
      </c>
      <c r="B38" s="66">
        <f>'M2'!B38-'M1'!B38</f>
        <v>3.4524999999999935</v>
      </c>
      <c r="C38" s="66">
        <f>'M2'!C38-'M1'!C38</f>
        <v>7.7212000000000032</v>
      </c>
      <c r="D38" s="66">
        <f>'M2'!D38-'M1'!D38</f>
        <v>-0.35143999999999997</v>
      </c>
      <c r="E38" s="66">
        <f>'M2'!E38-'M1'!E38</f>
        <v>0</v>
      </c>
      <c r="F38" s="66">
        <f>'M2'!F38-'M1'!F38</f>
        <v>-9.4519999999999982</v>
      </c>
      <c r="G38" s="66">
        <f>'M2'!G38-'M1'!G38</f>
        <v>0</v>
      </c>
      <c r="H38" s="66">
        <f>'M2'!H38-'M1'!H38</f>
        <v>16.733000000000004</v>
      </c>
    </row>
    <row r="39" spans="1:8">
      <c r="A39" s="66" t="s">
        <v>82</v>
      </c>
      <c r="B39" s="66">
        <f>'M2'!B39-'M1'!B39</f>
        <v>2.3077000000000005</v>
      </c>
      <c r="C39" s="66">
        <f>'M2'!C39-'M1'!C39</f>
        <v>4.7942</v>
      </c>
      <c r="D39" s="66">
        <f>'M2'!D39-'M1'!D39</f>
        <v>-0.48450699999999991</v>
      </c>
      <c r="E39" s="66">
        <f>'M2'!E39-'M1'!E39</f>
        <v>0</v>
      </c>
      <c r="F39" s="66">
        <f>'M2'!F39-'M1'!F39</f>
        <v>-16.192800000000005</v>
      </c>
      <c r="G39" s="66">
        <f>'M2'!G39-'M1'!G39</f>
        <v>0</v>
      </c>
      <c r="H39" s="66">
        <f>'M2'!H39-'M1'!H39</f>
        <v>2.7224219999999999</v>
      </c>
    </row>
    <row r="40" spans="1:8">
      <c r="A40" s="66" t="s">
        <v>83</v>
      </c>
      <c r="B40" s="66">
        <f>'M2'!B40-'M1'!B40</f>
        <v>1.4161999999999999</v>
      </c>
      <c r="C40" s="66">
        <f>'M2'!C40-'M1'!C40</f>
        <v>-0.13084999999999969</v>
      </c>
      <c r="D40" s="66">
        <f>'M2'!D40-'M1'!D40</f>
        <v>-3.823800000000005E-2</v>
      </c>
      <c r="E40" s="66">
        <f>'M2'!E40-'M1'!E40</f>
        <v>0</v>
      </c>
      <c r="F40" s="66">
        <f>'M2'!F40-'M1'!F40</f>
        <v>2.2724999999999991</v>
      </c>
      <c r="G40" s="66">
        <f>'M2'!G40-'M1'!G40</f>
        <v>0</v>
      </c>
      <c r="H40" s="66">
        <f>'M2'!H40-'M1'!H40</f>
        <v>-0.85608999999999957</v>
      </c>
    </row>
    <row r="41" spans="1:8">
      <c r="A41" s="66" t="s">
        <v>84</v>
      </c>
      <c r="B41" s="66">
        <f>'M2'!B41-'M1'!B41</f>
        <v>1.0172999999999988E-2</v>
      </c>
      <c r="C41" s="66">
        <f>'M2'!C41-'M1'!C41</f>
        <v>-4.3213000000000001E-2</v>
      </c>
      <c r="D41" s="66">
        <f>'M2'!D41-'M1'!D41</f>
        <v>0.13741999999999988</v>
      </c>
      <c r="E41" s="66">
        <f>'M2'!E41-'M1'!E41</f>
        <v>0</v>
      </c>
      <c r="F41" s="66">
        <f>'M2'!F41-'M1'!F41</f>
        <v>0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2.4430000000000007E-3</v>
      </c>
      <c r="C42" s="66">
        <f>'M2'!C42-'M1'!C42</f>
        <v>4.1461399999999995E-2</v>
      </c>
      <c r="D42" s="66">
        <f>'M2'!D42-'M1'!D42</f>
        <v>-0.20882399999999995</v>
      </c>
      <c r="E42" s="66">
        <f>'M2'!E42-'M1'!E42</f>
        <v>0</v>
      </c>
      <c r="F42" s="66">
        <f>'M2'!F42-'M1'!F42</f>
        <v>2.3575999999999986E-2</v>
      </c>
      <c r="G42" s="66">
        <f>'M2'!G42-'M1'!G42</f>
        <v>0</v>
      </c>
      <c r="H42" s="66">
        <f>'M2'!H42-'M1'!H42</f>
        <v>0.1293687</v>
      </c>
    </row>
    <row r="43" spans="1:8">
      <c r="A43" s="66" t="s">
        <v>86</v>
      </c>
      <c r="B43" s="66">
        <f>'M2'!B43-'M1'!B43</f>
        <v>7.8352839999999993E-2</v>
      </c>
      <c r="C43" s="66">
        <f>'M2'!C43-'M1'!C43</f>
        <v>2.3211000000000002E-2</v>
      </c>
      <c r="D43" s="66">
        <f>'M2'!D43-'M1'!D43</f>
        <v>19.942451999999999</v>
      </c>
      <c r="E43" s="66">
        <f>'M2'!E43-'M1'!E43</f>
        <v>0</v>
      </c>
      <c r="F43" s="66">
        <f>'M2'!F43-'M1'!F43</f>
        <v>1.8630000000000035E-3</v>
      </c>
      <c r="G43" s="66">
        <f>'M2'!G43-'M1'!G43</f>
        <v>0</v>
      </c>
      <c r="H43" s="66">
        <f>'M2'!H43-'M1'!H43</f>
        <v>7.789660000000001E-2</v>
      </c>
    </row>
    <row r="44" spans="1:8">
      <c r="A44" s="66" t="s">
        <v>87</v>
      </c>
      <c r="B44" s="66">
        <f>'M2'!B44-'M1'!B44</f>
        <v>-3.1103000000000005</v>
      </c>
      <c r="C44" s="66">
        <f>'M2'!C44-'M1'!C44</f>
        <v>4.558799999999998</v>
      </c>
      <c r="D44" s="66">
        <f>'M2'!D44-'M1'!D44</f>
        <v>-9.8435999999999968E-2</v>
      </c>
      <c r="E44" s="66">
        <f>'M2'!E44-'M1'!E44</f>
        <v>0</v>
      </c>
      <c r="F44" s="66">
        <f>'M2'!F44-'M1'!F44</f>
        <v>-21.7637</v>
      </c>
      <c r="G44" s="66">
        <f>'M2'!G44-'M1'!G44</f>
        <v>0</v>
      </c>
      <c r="H44" s="66">
        <f>'M2'!H44-'M1'!H44</f>
        <v>-1.3189199999999999</v>
      </c>
    </row>
    <row r="45" spans="1:8">
      <c r="A45" s="66" t="s">
        <v>88</v>
      </c>
      <c r="B45" s="66">
        <f>'M2'!B45-'M1'!B45</f>
        <v>-1.7857000000000056</v>
      </c>
      <c r="C45" s="66">
        <f>'M2'!C45-'M1'!C45</f>
        <v>-0.38041999999999998</v>
      </c>
      <c r="D45" s="66">
        <f>'M2'!D45-'M1'!D45</f>
        <v>-1.3459999999999861E-3</v>
      </c>
      <c r="E45" s="66">
        <f>'M2'!E45-'M1'!E45</f>
        <v>0</v>
      </c>
      <c r="F45" s="66">
        <f>'M2'!F45-'M1'!F45</f>
        <v>-1.2733999999999988</v>
      </c>
      <c r="G45" s="66">
        <f>'M2'!G45-'M1'!G45</f>
        <v>0</v>
      </c>
      <c r="H45" s="66">
        <f>'M2'!H45-'M1'!H45</f>
        <v>3.3119999999999976</v>
      </c>
    </row>
    <row r="46" spans="1:8">
      <c r="A46" s="66" t="s">
        <v>89</v>
      </c>
      <c r="B46" s="66">
        <f>'M2'!B46-'M1'!B46</f>
        <v>-0.89460000000000051</v>
      </c>
      <c r="C46" s="66">
        <f>'M2'!C46-'M1'!C46</f>
        <v>-3.3679099999999997</v>
      </c>
      <c r="D46" s="66">
        <f>'M2'!D46-'M1'!D46</f>
        <v>-0.12684299999999998</v>
      </c>
      <c r="E46" s="66">
        <f>'M2'!E46-'M1'!E46</f>
        <v>0</v>
      </c>
      <c r="F46" s="66">
        <f>'M2'!F46-'M1'!F46</f>
        <v>12.713989999999999</v>
      </c>
      <c r="G46" s="66">
        <f>'M2'!G46-'M1'!G46</f>
        <v>0</v>
      </c>
      <c r="H46" s="66">
        <f>'M2'!H46-'M1'!H46</f>
        <v>2.9329000000000001</v>
      </c>
    </row>
    <row r="47" spans="1:8">
      <c r="A47" s="66" t="s">
        <v>90</v>
      </c>
      <c r="B47" s="66">
        <f>'M2'!B47-'M1'!B47</f>
        <v>8.2119999999999971E-2</v>
      </c>
      <c r="C47" s="66">
        <f>'M2'!C47-'M1'!C47</f>
        <v>0.45347199999999988</v>
      </c>
      <c r="D47" s="66">
        <f>'M2'!D47-'M1'!D47</f>
        <v>0.25215900000000002</v>
      </c>
      <c r="E47" s="66">
        <f>'M2'!E47-'M1'!E47</f>
        <v>0</v>
      </c>
      <c r="F47" s="66">
        <f>'M2'!F47-'M1'!F47</f>
        <v>2.4556999999999995E-2</v>
      </c>
      <c r="G47" s="66">
        <f>'M2'!G47-'M1'!G47</f>
        <v>0</v>
      </c>
      <c r="H47" s="66">
        <f>'M2'!H47-'M1'!H47</f>
        <v>2.6669200000000002</v>
      </c>
    </row>
    <row r="48" spans="1:8">
      <c r="A48" s="66" t="s">
        <v>91</v>
      </c>
      <c r="B48" s="66">
        <f>'M2'!B48-'M1'!B48</f>
        <v>-0.47169700000000003</v>
      </c>
      <c r="C48" s="66">
        <f>'M2'!C48-'M1'!C48</f>
        <v>-8.7635999999999992E-2</v>
      </c>
      <c r="D48" s="66">
        <f>'M2'!D48-'M1'!D48</f>
        <v>2.0622000000000001E-2</v>
      </c>
      <c r="E48" s="66">
        <f>'M2'!E48-'M1'!E48</f>
        <v>0</v>
      </c>
      <c r="F48" s="66">
        <f>'M2'!F48-'M1'!F48</f>
        <v>-0.26464699999999997</v>
      </c>
      <c r="G48" s="66">
        <f>'M2'!G48-'M1'!G48</f>
        <v>0</v>
      </c>
      <c r="H48" s="66">
        <f>'M2'!H48-'M1'!H48</f>
        <v>-0.56206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35.745899999999999</v>
      </c>
      <c r="C5" s="66">
        <v>9.5343699999999991</v>
      </c>
      <c r="D5" s="66">
        <v>26.672699999999999</v>
      </c>
      <c r="E5" s="66">
        <v>20</v>
      </c>
      <c r="F5" s="66">
        <v>10.509600000000001</v>
      </c>
      <c r="G5" s="66">
        <v>50</v>
      </c>
      <c r="H5" s="66">
        <v>42.758699999999997</v>
      </c>
    </row>
    <row r="6" spans="1:8">
      <c r="A6" s="66" t="s">
        <v>358</v>
      </c>
      <c r="B6" s="66">
        <v>28.8567</v>
      </c>
      <c r="C6" s="66">
        <v>3.0539700000000001</v>
      </c>
      <c r="D6" s="66">
        <v>10.5832</v>
      </c>
      <c r="E6" s="66">
        <v>20</v>
      </c>
      <c r="F6" s="66">
        <v>19.7973</v>
      </c>
      <c r="G6" s="66">
        <v>40</v>
      </c>
      <c r="H6" s="66">
        <v>32.273299999999999</v>
      </c>
    </row>
    <row r="7" spans="1:8">
      <c r="A7" s="66" t="s">
        <v>359</v>
      </c>
      <c r="B7" s="66">
        <v>21.470400000000001</v>
      </c>
      <c r="C7" s="66">
        <v>8.5107300000000006</v>
      </c>
      <c r="D7" s="66">
        <v>39.639299999999999</v>
      </c>
      <c r="E7" s="66">
        <v>15</v>
      </c>
      <c r="F7" s="66">
        <v>4.1956800000000003</v>
      </c>
      <c r="G7" s="66">
        <v>40</v>
      </c>
      <c r="H7" s="66">
        <v>41.509900000000002</v>
      </c>
    </row>
    <row r="8" spans="1:8">
      <c r="A8" s="66" t="s">
        <v>360</v>
      </c>
      <c r="B8" s="66">
        <v>29.146599999999999</v>
      </c>
      <c r="C8" s="66">
        <v>5.9637599999999997</v>
      </c>
      <c r="D8" s="66">
        <v>20.461200000000002</v>
      </c>
      <c r="E8" s="66">
        <v>20</v>
      </c>
      <c r="F8" s="66">
        <v>13.0131</v>
      </c>
      <c r="G8" s="66">
        <v>50</v>
      </c>
      <c r="H8" s="66">
        <v>36.2485</v>
      </c>
    </row>
    <row r="9" spans="1:8">
      <c r="A9" s="66" t="s">
        <v>361</v>
      </c>
      <c r="B9" s="66">
        <v>74.136399999999995</v>
      </c>
      <c r="C9" s="66">
        <v>6.1136600000000003</v>
      </c>
      <c r="D9" s="66">
        <v>8.2464999999999993</v>
      </c>
      <c r="E9" s="66">
        <v>50</v>
      </c>
      <c r="F9" s="66">
        <v>59.983499999999999</v>
      </c>
      <c r="G9" s="66">
        <v>100</v>
      </c>
      <c r="H9" s="66">
        <v>85.961299999999994</v>
      </c>
    </row>
    <row r="10" spans="1:8">
      <c r="A10" s="66" t="s">
        <v>362</v>
      </c>
      <c r="B10" s="66">
        <v>74.6066</v>
      </c>
      <c r="C10" s="66">
        <v>1.83525</v>
      </c>
      <c r="D10" s="66">
        <v>2.4599099999999998</v>
      </c>
      <c r="E10" s="66">
        <v>40</v>
      </c>
      <c r="F10" s="66">
        <v>70.873699999999999</v>
      </c>
      <c r="G10" s="66">
        <v>100</v>
      </c>
      <c r="H10" s="66">
        <v>78.825199999999995</v>
      </c>
    </row>
    <row r="11" spans="1:8">
      <c r="A11" s="66" t="s">
        <v>363</v>
      </c>
      <c r="B11" s="66">
        <v>26.221499999999999</v>
      </c>
      <c r="C11" s="66">
        <v>6.22018</v>
      </c>
      <c r="D11" s="66">
        <v>23.721699999999998</v>
      </c>
      <c r="E11" s="66">
        <v>10</v>
      </c>
      <c r="F11" s="66">
        <v>8.7761800000000001</v>
      </c>
      <c r="G11" s="66">
        <v>50</v>
      </c>
      <c r="H11" s="66">
        <v>33.431600000000003</v>
      </c>
    </row>
    <row r="12" spans="1:8">
      <c r="A12" s="66" t="s">
        <v>364</v>
      </c>
      <c r="B12" s="66">
        <v>74.502499999999998</v>
      </c>
      <c r="C12" s="66">
        <v>3.3066599999999999</v>
      </c>
      <c r="D12" s="66">
        <v>4.43832</v>
      </c>
      <c r="E12" s="66">
        <v>50</v>
      </c>
      <c r="F12" s="66">
        <v>67.931399999999996</v>
      </c>
      <c r="G12" s="66">
        <v>100</v>
      </c>
      <c r="H12" s="66">
        <v>80.558199999999999</v>
      </c>
    </row>
    <row r="13" spans="1:8">
      <c r="A13" s="66" t="s">
        <v>365</v>
      </c>
      <c r="B13" s="66">
        <v>20.122399999999999</v>
      </c>
      <c r="C13" s="66">
        <v>6.8908199999999997</v>
      </c>
      <c r="D13" s="66">
        <v>34.244500000000002</v>
      </c>
      <c r="E13" s="66">
        <v>10</v>
      </c>
      <c r="F13" s="66">
        <v>13.3432</v>
      </c>
      <c r="G13" s="66">
        <v>25</v>
      </c>
      <c r="H13" s="66">
        <v>44.0488</v>
      </c>
    </row>
    <row r="14" spans="1:8">
      <c r="A14" s="66" t="s">
        <v>366</v>
      </c>
      <c r="B14" s="66">
        <v>68.908199999999994</v>
      </c>
      <c r="C14" s="66">
        <v>24.0486</v>
      </c>
      <c r="D14" s="66">
        <v>34.8994</v>
      </c>
      <c r="E14" s="66">
        <v>10</v>
      </c>
      <c r="F14" s="66">
        <v>2.2558400000000001</v>
      </c>
      <c r="G14" s="66">
        <v>50</v>
      </c>
      <c r="H14" s="66">
        <v>76.971900000000005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0.65215800000000002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0.52729899999999996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1.8636E-3</v>
      </c>
      <c r="C20" s="66">
        <v>0.154808</v>
      </c>
      <c r="D20" s="66">
        <v>83.069199999999995</v>
      </c>
      <c r="E20" s="66">
        <v>0</v>
      </c>
      <c r="F20" s="66">
        <v>0</v>
      </c>
      <c r="G20" s="66">
        <v>0</v>
      </c>
      <c r="H20" s="66">
        <v>1.3221499999999999</v>
      </c>
    </row>
    <row r="21" spans="1:8">
      <c r="A21" s="66" t="s">
        <v>373</v>
      </c>
      <c r="B21" s="66">
        <v>0.17413500000000001</v>
      </c>
      <c r="C21" s="66">
        <v>0.93066400000000005</v>
      </c>
      <c r="D21" s="66">
        <v>5.3444799999999999</v>
      </c>
      <c r="E21" s="66">
        <v>0</v>
      </c>
      <c r="F21" s="66">
        <v>4.3281500000000002E-4</v>
      </c>
      <c r="G21" s="66">
        <v>0</v>
      </c>
      <c r="H21" s="66">
        <v>4.5564299999999998</v>
      </c>
    </row>
    <row r="22" spans="1:8">
      <c r="A22" s="66" t="s">
        <v>374</v>
      </c>
      <c r="B22" s="66">
        <v>48.593200000000003</v>
      </c>
      <c r="C22" s="66">
        <v>34.945399999999999</v>
      </c>
      <c r="D22" s="66">
        <v>0.71914199999999995</v>
      </c>
      <c r="E22" s="66">
        <v>0</v>
      </c>
      <c r="F22" s="66">
        <v>19.2225</v>
      </c>
      <c r="G22" s="66">
        <v>0</v>
      </c>
      <c r="H22" s="66">
        <v>188.44800000000001</v>
      </c>
    </row>
    <row r="23" spans="1:8">
      <c r="A23" s="66" t="s">
        <v>375</v>
      </c>
      <c r="B23" s="66">
        <v>31.720400000000001</v>
      </c>
      <c r="C23" s="66">
        <v>5.9328599999999998</v>
      </c>
      <c r="D23" s="66">
        <v>0.18703600000000001</v>
      </c>
      <c r="E23" s="66">
        <v>0</v>
      </c>
      <c r="F23" s="66">
        <v>14.9457</v>
      </c>
      <c r="G23" s="66">
        <v>0</v>
      </c>
      <c r="H23" s="66">
        <v>45.584200000000003</v>
      </c>
    </row>
    <row r="24" spans="1:8">
      <c r="A24" s="66" t="s">
        <v>376</v>
      </c>
      <c r="B24" s="66">
        <v>3.6909400000000002E-3</v>
      </c>
      <c r="C24" s="66">
        <v>0.16288900000000001</v>
      </c>
      <c r="D24" s="66">
        <v>44.132300000000001</v>
      </c>
      <c r="E24" s="66">
        <v>0</v>
      </c>
      <c r="F24" s="196">
        <v>8.3101699999999998E-5</v>
      </c>
      <c r="G24" s="66">
        <v>0</v>
      </c>
      <c r="H24" s="66">
        <v>1.2777000000000001</v>
      </c>
    </row>
    <row r="25" spans="1:8">
      <c r="A25" s="66" t="s">
        <v>377</v>
      </c>
      <c r="B25" s="66">
        <v>0.26273099999999999</v>
      </c>
      <c r="C25" s="66">
        <v>0.71457599999999999</v>
      </c>
      <c r="D25" s="66">
        <v>2.7198000000000002</v>
      </c>
      <c r="E25" s="66">
        <v>0</v>
      </c>
      <c r="F25" s="66">
        <v>1.2459400000000001E-2</v>
      </c>
      <c r="G25" s="66">
        <v>0</v>
      </c>
      <c r="H25" s="66">
        <v>2.4194599999999999</v>
      </c>
    </row>
    <row r="26" spans="1:8">
      <c r="A26" s="66" t="s">
        <v>378</v>
      </c>
      <c r="B26" s="66">
        <v>5.1208000000000004E-4</v>
      </c>
      <c r="C26" s="66">
        <v>1.28536E-2</v>
      </c>
      <c r="D26" s="66">
        <v>25.1007</v>
      </c>
      <c r="E26" s="66">
        <v>0</v>
      </c>
      <c r="F26" s="66">
        <v>0</v>
      </c>
      <c r="G26" s="66">
        <v>0</v>
      </c>
      <c r="H26" s="66">
        <v>9.4958000000000001E-2</v>
      </c>
    </row>
    <row r="27" spans="1:8">
      <c r="A27" s="66" t="s">
        <v>379</v>
      </c>
      <c r="B27" s="196">
        <v>-8.2064100000000006E-6</v>
      </c>
      <c r="C27" s="66">
        <v>3.5856E-3</v>
      </c>
      <c r="D27" s="66">
        <v>-436.92599999999999</v>
      </c>
      <c r="E27" s="66">
        <v>0</v>
      </c>
      <c r="F27" s="66">
        <v>-3.7270200000000003E-2</v>
      </c>
      <c r="G27" s="66">
        <v>0</v>
      </c>
      <c r="H27" s="66">
        <v>4.6812600000000003E-2</v>
      </c>
    </row>
    <row r="28" spans="1:8">
      <c r="A28" s="66" t="s">
        <v>380</v>
      </c>
      <c r="B28" s="66">
        <v>2.0138300000000001E-2</v>
      </c>
      <c r="C28" s="66">
        <v>4.7468900000000001E-2</v>
      </c>
      <c r="D28" s="66">
        <v>2.3571399999999998</v>
      </c>
      <c r="E28" s="66">
        <v>0</v>
      </c>
      <c r="F28" s="66">
        <v>1.17187E-4</v>
      </c>
      <c r="G28" s="66">
        <v>0</v>
      </c>
      <c r="H28" s="66">
        <v>0.18871399999999999</v>
      </c>
    </row>
    <row r="29" spans="1:8">
      <c r="A29" s="66" t="s">
        <v>381</v>
      </c>
      <c r="B29" s="66">
        <v>74.909400000000005</v>
      </c>
      <c r="C29" s="66">
        <v>18.983000000000001</v>
      </c>
      <c r="D29" s="66">
        <v>0.253413</v>
      </c>
      <c r="E29" s="66">
        <v>0</v>
      </c>
      <c r="F29" s="66">
        <v>45.145200000000003</v>
      </c>
      <c r="G29" s="66">
        <v>0</v>
      </c>
      <c r="H29" s="66">
        <v>136.14400000000001</v>
      </c>
    </row>
    <row r="30" spans="1:8">
      <c r="A30" s="66" t="s">
        <v>382</v>
      </c>
      <c r="B30" s="66">
        <v>33.020299999999999</v>
      </c>
      <c r="C30" s="66">
        <v>6.6949199999999998</v>
      </c>
      <c r="D30" s="66">
        <v>0.20275099999999999</v>
      </c>
      <c r="E30" s="66">
        <v>0</v>
      </c>
      <c r="F30" s="66">
        <v>13.2087</v>
      </c>
      <c r="G30" s="66">
        <v>0</v>
      </c>
      <c r="H30" s="66">
        <v>45.258299999999998</v>
      </c>
    </row>
    <row r="31" spans="1:8">
      <c r="A31" s="66" t="s">
        <v>383</v>
      </c>
      <c r="B31" s="66">
        <v>138.417</v>
      </c>
      <c r="C31" s="66">
        <v>23.394200000000001</v>
      </c>
      <c r="D31" s="66">
        <v>0.169013</v>
      </c>
      <c r="E31" s="66">
        <v>0</v>
      </c>
      <c r="F31" s="66">
        <v>61.712600000000002</v>
      </c>
      <c r="G31" s="66">
        <v>0</v>
      </c>
      <c r="H31" s="66">
        <v>181.26900000000001</v>
      </c>
    </row>
    <row r="32" spans="1:8">
      <c r="A32" s="66" t="s">
        <v>384</v>
      </c>
      <c r="B32" s="66">
        <v>0.21470400000000001</v>
      </c>
      <c r="C32" s="66">
        <v>8.5107299999999997E-2</v>
      </c>
      <c r="D32" s="66">
        <v>0.396393</v>
      </c>
      <c r="E32" s="66">
        <v>0.15</v>
      </c>
      <c r="F32" s="66">
        <v>4.1956800000000002E-2</v>
      </c>
      <c r="G32" s="66">
        <v>0.4</v>
      </c>
      <c r="H32" s="66">
        <v>0.415099</v>
      </c>
    </row>
    <row r="33" spans="1:8">
      <c r="A33" s="66" t="s">
        <v>385</v>
      </c>
      <c r="B33" s="66">
        <v>0.23483799999999999</v>
      </c>
      <c r="C33" s="66">
        <v>2.7950300000000001E-2</v>
      </c>
      <c r="D33" s="66">
        <v>0.119019</v>
      </c>
      <c r="E33" s="66">
        <v>0</v>
      </c>
      <c r="F33" s="66">
        <v>0.13624900000000001</v>
      </c>
      <c r="G33" s="66">
        <v>0</v>
      </c>
      <c r="H33" s="66">
        <v>0.31697399999999998</v>
      </c>
    </row>
    <row r="34" spans="1:8">
      <c r="A34" s="66" t="s">
        <v>386</v>
      </c>
      <c r="B34" s="66">
        <v>0.20122399999999999</v>
      </c>
      <c r="C34" s="66">
        <v>6.8908200000000003E-2</v>
      </c>
      <c r="D34" s="66">
        <v>0.342445</v>
      </c>
      <c r="E34" s="66">
        <v>0.1</v>
      </c>
      <c r="F34" s="66">
        <v>0.133432</v>
      </c>
      <c r="G34" s="66">
        <v>0.25</v>
      </c>
      <c r="H34" s="66">
        <v>0.44048799999999999</v>
      </c>
    </row>
    <row r="35" spans="1:8">
      <c r="A35" s="66" t="s">
        <v>387</v>
      </c>
      <c r="B35" s="66">
        <v>8.2475699999999999E-2</v>
      </c>
      <c r="C35" s="66">
        <v>4.73909E-2</v>
      </c>
      <c r="D35" s="66">
        <v>0.57460500000000003</v>
      </c>
      <c r="E35" s="66">
        <v>0</v>
      </c>
      <c r="F35" s="66">
        <v>3.25627E-2</v>
      </c>
      <c r="G35" s="66">
        <v>0</v>
      </c>
      <c r="H35" s="66">
        <v>0.231019</v>
      </c>
    </row>
    <row r="36" spans="1:8">
      <c r="A36" s="66" t="s">
        <v>388</v>
      </c>
      <c r="B36" s="66">
        <v>0.16073999999999999</v>
      </c>
      <c r="C36" s="66">
        <v>0.123588</v>
      </c>
      <c r="D36" s="66">
        <v>0.76886600000000005</v>
      </c>
      <c r="E36" s="66">
        <v>0</v>
      </c>
      <c r="F36" s="66">
        <v>4.5740700000000002E-2</v>
      </c>
      <c r="G36" s="66">
        <v>0</v>
      </c>
      <c r="H36" s="66">
        <v>0.69764400000000004</v>
      </c>
    </row>
    <row r="37" spans="1:8">
      <c r="A37" s="66" t="s">
        <v>389</v>
      </c>
      <c r="B37" s="66">
        <v>0.68908199999999997</v>
      </c>
      <c r="C37" s="66">
        <v>0.24048600000000001</v>
      </c>
      <c r="D37" s="66">
        <v>0.34899400000000003</v>
      </c>
      <c r="E37" s="66">
        <v>0.1</v>
      </c>
      <c r="F37" s="66">
        <v>2.2558399999999999E-2</v>
      </c>
      <c r="G37" s="66">
        <v>0.5</v>
      </c>
      <c r="H37" s="66">
        <v>0.76971900000000004</v>
      </c>
    </row>
    <row r="38" spans="1:8">
      <c r="A38" s="66" t="s">
        <v>390</v>
      </c>
      <c r="B38" s="66">
        <v>-38.069899999999997</v>
      </c>
      <c r="C38" s="66">
        <v>49.010399999999997</v>
      </c>
      <c r="D38" s="66">
        <v>-1.28738</v>
      </c>
      <c r="E38" s="66">
        <v>0</v>
      </c>
      <c r="F38" s="66">
        <v>-179.721</v>
      </c>
      <c r="G38" s="66">
        <v>0</v>
      </c>
      <c r="H38" s="66">
        <v>104.964</v>
      </c>
    </row>
    <row r="39" spans="1:8">
      <c r="A39" s="66" t="s">
        <v>391</v>
      </c>
      <c r="B39" s="66">
        <v>-15.3666</v>
      </c>
      <c r="C39" s="66">
        <v>10.207100000000001</v>
      </c>
      <c r="D39" s="66">
        <v>-0.66424300000000003</v>
      </c>
      <c r="E39" s="66">
        <v>0</v>
      </c>
      <c r="F39" s="66">
        <v>-47.366999999999997</v>
      </c>
      <c r="G39" s="66">
        <v>0</v>
      </c>
      <c r="H39" s="66">
        <v>-0.187222</v>
      </c>
    </row>
    <row r="40" spans="1:8">
      <c r="A40" s="66" t="s">
        <v>392</v>
      </c>
      <c r="B40" s="66">
        <v>-8.9112799999999996</v>
      </c>
      <c r="C40" s="66">
        <v>2.6267399999999999</v>
      </c>
      <c r="D40" s="66">
        <v>-0.29476599999999997</v>
      </c>
      <c r="E40" s="66">
        <v>0</v>
      </c>
      <c r="F40" s="66">
        <v>-16.6815</v>
      </c>
      <c r="G40" s="66">
        <v>0</v>
      </c>
      <c r="H40" s="66">
        <v>-3.23821</v>
      </c>
    </row>
    <row r="41" spans="1:8">
      <c r="A41" s="66" t="s">
        <v>393</v>
      </c>
      <c r="B41" s="66">
        <v>-0.18776699999999999</v>
      </c>
      <c r="C41" s="66">
        <v>0.34714899999999999</v>
      </c>
      <c r="D41" s="66">
        <v>-1.84883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394</v>
      </c>
      <c r="B42" s="66">
        <v>-0.205703</v>
      </c>
      <c r="C42" s="66">
        <v>8.2882600000000001E-2</v>
      </c>
      <c r="D42" s="66">
        <v>-0.402924</v>
      </c>
      <c r="E42" s="66">
        <v>0</v>
      </c>
      <c r="F42" s="66">
        <v>-0.39768700000000001</v>
      </c>
      <c r="G42" s="66">
        <v>0</v>
      </c>
      <c r="H42" s="66">
        <v>-2.6426700000000001E-2</v>
      </c>
    </row>
    <row r="43" spans="1:8">
      <c r="A43" s="66" t="s">
        <v>395</v>
      </c>
      <c r="B43" s="66">
        <v>-7.5791999999999998E-2</v>
      </c>
      <c r="C43" s="66">
        <v>2.6948E-2</v>
      </c>
      <c r="D43" s="66">
        <v>-0.35555199999999998</v>
      </c>
      <c r="E43" s="66">
        <v>0</v>
      </c>
      <c r="F43" s="66">
        <v>-0.13259000000000001</v>
      </c>
      <c r="G43" s="66">
        <v>0</v>
      </c>
      <c r="H43" s="66">
        <v>3.0368999999999999E-3</v>
      </c>
    </row>
    <row r="44" spans="1:8">
      <c r="A44" s="66" t="s">
        <v>396</v>
      </c>
      <c r="B44" s="66">
        <v>-15.5966</v>
      </c>
      <c r="C44" s="66">
        <v>13.626200000000001</v>
      </c>
      <c r="D44" s="66">
        <v>-0.873664</v>
      </c>
      <c r="E44" s="66">
        <v>0</v>
      </c>
      <c r="F44" s="66">
        <v>-48.252200000000002</v>
      </c>
      <c r="G44" s="66">
        <v>0</v>
      </c>
      <c r="H44" s="66">
        <v>4.64886</v>
      </c>
    </row>
    <row r="45" spans="1:8">
      <c r="A45" s="66" t="s">
        <v>397</v>
      </c>
      <c r="B45" s="66">
        <v>43.760800000000003</v>
      </c>
      <c r="C45" s="66">
        <v>7.9378599999999997</v>
      </c>
      <c r="D45" s="66">
        <v>0.181392</v>
      </c>
      <c r="E45" s="66">
        <v>0</v>
      </c>
      <c r="F45" s="66">
        <v>28.8842</v>
      </c>
      <c r="G45" s="66">
        <v>0</v>
      </c>
      <c r="H45" s="66">
        <v>61.794899999999998</v>
      </c>
    </row>
    <row r="46" spans="1:8">
      <c r="A46" s="66" t="s">
        <v>398</v>
      </c>
      <c r="B46" s="66">
        <v>25.655000000000001</v>
      </c>
      <c r="C46" s="66">
        <v>6.5160299999999998</v>
      </c>
      <c r="D46" s="66">
        <v>0.25398599999999999</v>
      </c>
      <c r="E46" s="66">
        <v>0</v>
      </c>
      <c r="F46" s="66">
        <v>7.4326100000000004</v>
      </c>
      <c r="G46" s="66">
        <v>0</v>
      </c>
      <c r="H46" s="66">
        <v>28.066600000000001</v>
      </c>
    </row>
    <row r="47" spans="1:8">
      <c r="A47" s="66" t="s">
        <v>399</v>
      </c>
      <c r="B47" s="66">
        <v>1.5136700000000001</v>
      </c>
      <c r="C47" s="66">
        <v>0.94147800000000004</v>
      </c>
      <c r="D47" s="66">
        <v>0.62198500000000001</v>
      </c>
      <c r="E47" s="66">
        <v>0</v>
      </c>
      <c r="F47" s="66">
        <v>0.24731900000000001</v>
      </c>
      <c r="G47" s="66">
        <v>0</v>
      </c>
      <c r="H47" s="66">
        <v>5.0354799999999997</v>
      </c>
    </row>
    <row r="48" spans="1:8">
      <c r="A48" s="66" t="s">
        <v>400</v>
      </c>
      <c r="B48" s="66">
        <v>1.3440000000000001</v>
      </c>
      <c r="C48" s="66">
        <v>0.300954</v>
      </c>
      <c r="D48" s="66">
        <v>0.22392400000000001</v>
      </c>
      <c r="E48" s="66">
        <v>0</v>
      </c>
      <c r="F48" s="66">
        <v>0.92719799999999997</v>
      </c>
      <c r="G48" s="66">
        <v>0</v>
      </c>
      <c r="H48" s="66">
        <v>2.05118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37.935600000000001</v>
      </c>
      <c r="C5" s="66">
        <v>3.4318900000000001</v>
      </c>
      <c r="D5" s="66">
        <v>9.0466200000000008</v>
      </c>
      <c r="E5" s="66">
        <v>20</v>
      </c>
      <c r="F5" s="66">
        <v>30.0441</v>
      </c>
      <c r="G5" s="66">
        <v>50</v>
      </c>
      <c r="H5" s="66">
        <v>45.387099999999997</v>
      </c>
    </row>
    <row r="6" spans="1:8">
      <c r="A6" s="66" t="s">
        <v>358</v>
      </c>
      <c r="B6" s="66">
        <v>28.1995</v>
      </c>
      <c r="C6" s="66">
        <v>1.75102</v>
      </c>
      <c r="D6" s="66">
        <v>6.20939</v>
      </c>
      <c r="E6" s="66">
        <v>20</v>
      </c>
      <c r="F6" s="66">
        <v>25.1556</v>
      </c>
      <c r="G6" s="66">
        <v>40</v>
      </c>
      <c r="H6" s="66">
        <v>31.838799999999999</v>
      </c>
    </row>
    <row r="7" spans="1:8">
      <c r="A7" s="66" t="s">
        <v>359</v>
      </c>
      <c r="B7" s="66">
        <v>17.364599999999999</v>
      </c>
      <c r="C7" s="66">
        <v>9.90334</v>
      </c>
      <c r="D7" s="66">
        <v>57.0319</v>
      </c>
      <c r="E7" s="66">
        <v>15</v>
      </c>
      <c r="F7" s="66">
        <v>2.6770399999999999</v>
      </c>
      <c r="G7" s="66">
        <v>40</v>
      </c>
      <c r="H7" s="66">
        <v>40.011899999999997</v>
      </c>
    </row>
    <row r="8" spans="1:8">
      <c r="A8" s="66" t="s">
        <v>360</v>
      </c>
      <c r="B8" s="66">
        <v>28.321000000000002</v>
      </c>
      <c r="C8" s="66">
        <v>3.2430599999999998</v>
      </c>
      <c r="D8" s="66">
        <v>11.451000000000001</v>
      </c>
      <c r="E8" s="66">
        <v>20</v>
      </c>
      <c r="F8" s="66">
        <v>23.286899999999999</v>
      </c>
      <c r="G8" s="66">
        <v>50</v>
      </c>
      <c r="H8" s="66">
        <v>34.257800000000003</v>
      </c>
    </row>
    <row r="9" spans="1:8">
      <c r="A9" s="66" t="s">
        <v>361</v>
      </c>
      <c r="B9" s="66">
        <v>72.421099999999996</v>
      </c>
      <c r="C9" s="66">
        <v>4.9935799999999997</v>
      </c>
      <c r="D9" s="66">
        <v>6.8952</v>
      </c>
      <c r="E9" s="66">
        <v>50</v>
      </c>
      <c r="F9" s="66">
        <v>59.5364</v>
      </c>
      <c r="G9" s="66">
        <v>100</v>
      </c>
      <c r="H9" s="66">
        <v>81.843400000000003</v>
      </c>
    </row>
    <row r="10" spans="1:8">
      <c r="A10" s="66" t="s">
        <v>362</v>
      </c>
      <c r="B10" s="66">
        <v>76.351600000000005</v>
      </c>
      <c r="C10" s="66">
        <v>2.5049299999999999</v>
      </c>
      <c r="D10" s="66">
        <v>3.28078</v>
      </c>
      <c r="E10" s="66">
        <v>40</v>
      </c>
      <c r="F10" s="66">
        <v>71.638800000000003</v>
      </c>
      <c r="G10" s="66">
        <v>100</v>
      </c>
      <c r="H10" s="66">
        <v>80.349900000000005</v>
      </c>
    </row>
    <row r="11" spans="1:8">
      <c r="A11" s="66" t="s">
        <v>363</v>
      </c>
      <c r="B11" s="66">
        <v>28.869</v>
      </c>
      <c r="C11" s="66">
        <v>3.1843599999999999</v>
      </c>
      <c r="D11" s="66">
        <v>11.0304</v>
      </c>
      <c r="E11" s="66">
        <v>10</v>
      </c>
      <c r="F11" s="66">
        <v>22.692499999999999</v>
      </c>
      <c r="G11" s="66">
        <v>50</v>
      </c>
      <c r="H11" s="66">
        <v>34.603999999999999</v>
      </c>
    </row>
    <row r="12" spans="1:8">
      <c r="A12" s="66" t="s">
        <v>364</v>
      </c>
      <c r="B12" s="66">
        <v>73.929400000000001</v>
      </c>
      <c r="C12" s="66">
        <v>2.3762599999999998</v>
      </c>
      <c r="D12" s="66">
        <v>3.2142300000000001</v>
      </c>
      <c r="E12" s="66">
        <v>50</v>
      </c>
      <c r="F12" s="66">
        <v>67.508600000000001</v>
      </c>
      <c r="G12" s="66">
        <v>100</v>
      </c>
      <c r="H12" s="66">
        <v>79.127099999999999</v>
      </c>
    </row>
    <row r="13" spans="1:8">
      <c r="A13" s="66" t="s">
        <v>365</v>
      </c>
      <c r="B13" s="66">
        <v>22.624199999999998</v>
      </c>
      <c r="C13" s="66">
        <v>9.6253899999999994</v>
      </c>
      <c r="D13" s="66">
        <v>42.544600000000003</v>
      </c>
      <c r="E13" s="66">
        <v>10</v>
      </c>
      <c r="F13" s="66">
        <v>15.272600000000001</v>
      </c>
      <c r="G13" s="66">
        <v>25</v>
      </c>
      <c r="H13" s="66">
        <v>61.5807</v>
      </c>
    </row>
    <row r="14" spans="1:8">
      <c r="A14" s="66" t="s">
        <v>366</v>
      </c>
      <c r="B14" s="66">
        <v>96.253799999999998</v>
      </c>
      <c r="C14" s="66">
        <v>36.819299999999998</v>
      </c>
      <c r="D14" s="66">
        <v>38.252299999999998</v>
      </c>
      <c r="E14" s="66">
        <v>10</v>
      </c>
      <c r="F14" s="66">
        <v>3.8860199999999998</v>
      </c>
      <c r="G14" s="66">
        <v>50</v>
      </c>
      <c r="H14" s="66">
        <v>127.17100000000001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0.60194300000000001</v>
      </c>
      <c r="C18" s="66">
        <v>6.2523499999999996E-2</v>
      </c>
      <c r="D18" s="66">
        <v>0.103869</v>
      </c>
      <c r="E18" s="66">
        <v>0</v>
      </c>
      <c r="F18" s="66">
        <v>0.53941899999999998</v>
      </c>
      <c r="G18" s="66">
        <v>0</v>
      </c>
      <c r="H18" s="66">
        <v>0.664466</v>
      </c>
    </row>
    <row r="19" spans="1:8">
      <c r="A19" s="66" t="s">
        <v>371</v>
      </c>
      <c r="B19" s="66">
        <v>0.57493399999999995</v>
      </c>
      <c r="C19" s="66">
        <v>1.8203500000000001E-2</v>
      </c>
      <c r="D19" s="66">
        <v>3.1662000000000003E-2</v>
      </c>
      <c r="E19" s="66">
        <v>0</v>
      </c>
      <c r="F19" s="66">
        <v>0.55672999999999995</v>
      </c>
      <c r="G19" s="66">
        <v>0</v>
      </c>
      <c r="H19" s="66">
        <v>0.59313700000000003</v>
      </c>
    </row>
    <row r="20" spans="1:8">
      <c r="A20" s="66" t="s">
        <v>372</v>
      </c>
      <c r="B20" s="66">
        <v>3.5107099999999998E-3</v>
      </c>
      <c r="C20" s="66">
        <v>0.158666</v>
      </c>
      <c r="D20" s="66">
        <v>45.195</v>
      </c>
      <c r="E20" s="66">
        <v>0</v>
      </c>
      <c r="F20" s="66">
        <v>0</v>
      </c>
      <c r="G20" s="66">
        <v>0</v>
      </c>
      <c r="H20" s="66">
        <v>0.94703499999999996</v>
      </c>
    </row>
    <row r="21" spans="1:8">
      <c r="A21" s="66" t="s">
        <v>373</v>
      </c>
      <c r="B21" s="66">
        <v>0.20324999999999999</v>
      </c>
      <c r="C21" s="66">
        <v>1.1630799999999999</v>
      </c>
      <c r="D21" s="66">
        <v>5.72241</v>
      </c>
      <c r="E21" s="66">
        <v>0</v>
      </c>
      <c r="F21" s="66">
        <v>2.0239199999999998E-3</v>
      </c>
      <c r="G21" s="66">
        <v>0</v>
      </c>
      <c r="H21" s="66">
        <v>6.1653399999999996</v>
      </c>
    </row>
    <row r="22" spans="1:8">
      <c r="A22" s="66" t="s">
        <v>374</v>
      </c>
      <c r="B22" s="66">
        <v>52.564</v>
      </c>
      <c r="C22" s="66">
        <v>40.2697</v>
      </c>
      <c r="D22" s="66">
        <v>0.76610800000000001</v>
      </c>
      <c r="E22" s="66">
        <v>0</v>
      </c>
      <c r="F22" s="66">
        <v>27.212399999999999</v>
      </c>
      <c r="G22" s="66">
        <v>0</v>
      </c>
      <c r="H22" s="66">
        <v>181.26900000000001</v>
      </c>
    </row>
    <row r="23" spans="1:8">
      <c r="A23" s="66" t="s">
        <v>375</v>
      </c>
      <c r="B23" s="66">
        <v>37.192399999999999</v>
      </c>
      <c r="C23" s="66">
        <v>5.8487</v>
      </c>
      <c r="D23" s="66">
        <v>0.15725500000000001</v>
      </c>
      <c r="E23" s="66">
        <v>0</v>
      </c>
      <c r="F23" s="66">
        <v>28.6998</v>
      </c>
      <c r="G23" s="66">
        <v>0</v>
      </c>
      <c r="H23" s="66">
        <v>52.078200000000002</v>
      </c>
    </row>
    <row r="24" spans="1:8">
      <c r="A24" s="66" t="s">
        <v>401</v>
      </c>
      <c r="B24" s="66">
        <v>7.3218600000000003E-3</v>
      </c>
      <c r="C24" s="66">
        <v>0.14294699999999999</v>
      </c>
      <c r="D24" s="66">
        <v>19.523299999999999</v>
      </c>
      <c r="E24" s="66">
        <v>0</v>
      </c>
      <c r="F24" s="66">
        <v>1.19908E-4</v>
      </c>
      <c r="G24" s="66">
        <v>0</v>
      </c>
      <c r="H24" s="66">
        <v>0.75330900000000001</v>
      </c>
    </row>
    <row r="25" spans="1:8">
      <c r="A25" s="66" t="s">
        <v>377</v>
      </c>
      <c r="B25" s="66">
        <v>0.39993400000000001</v>
      </c>
      <c r="C25" s="66">
        <v>0.89195800000000003</v>
      </c>
      <c r="D25" s="66">
        <v>2.2302599999999999</v>
      </c>
      <c r="E25" s="66">
        <v>0</v>
      </c>
      <c r="F25" s="66">
        <v>2.4759799999999998E-2</v>
      </c>
      <c r="G25" s="66">
        <v>0</v>
      </c>
      <c r="H25" s="66">
        <v>3.5872999999999999</v>
      </c>
    </row>
    <row r="26" spans="1:8">
      <c r="A26" s="66" t="s">
        <v>378</v>
      </c>
      <c r="B26" s="66">
        <v>9.3552999999999996E-4</v>
      </c>
      <c r="C26" s="66">
        <v>1.4064399999999999E-2</v>
      </c>
      <c r="D26" s="66">
        <v>15.0336</v>
      </c>
      <c r="E26" s="66">
        <v>0</v>
      </c>
      <c r="F26" s="66">
        <v>0</v>
      </c>
      <c r="G26" s="66">
        <v>0</v>
      </c>
      <c r="H26" s="66">
        <v>6.9803699999999996E-2</v>
      </c>
    </row>
    <row r="27" spans="1:8">
      <c r="A27" s="66" t="s">
        <v>379</v>
      </c>
      <c r="B27" s="196">
        <v>-1.31303E-5</v>
      </c>
      <c r="C27" s="66">
        <v>2.49278E-3</v>
      </c>
      <c r="D27" s="66">
        <v>-189.85</v>
      </c>
      <c r="E27" s="66">
        <v>0</v>
      </c>
      <c r="F27" s="66">
        <v>-1.23654E-2</v>
      </c>
      <c r="G27" s="66">
        <v>0</v>
      </c>
      <c r="H27" s="66">
        <v>2.2685799999999999E-2</v>
      </c>
    </row>
    <row r="28" spans="1:8">
      <c r="A28" s="66" t="s">
        <v>380</v>
      </c>
      <c r="B28" s="66">
        <v>2.5086299999999999E-2</v>
      </c>
      <c r="C28" s="66">
        <v>5.2719299999999997E-2</v>
      </c>
      <c r="D28" s="66">
        <v>2.1015199999999998</v>
      </c>
      <c r="E28" s="66">
        <v>0</v>
      </c>
      <c r="F28" s="66">
        <v>5.7617200000000001E-4</v>
      </c>
      <c r="G28" s="66">
        <v>0</v>
      </c>
      <c r="H28" s="66">
        <v>0.215752</v>
      </c>
    </row>
    <row r="29" spans="1:8">
      <c r="A29" s="66" t="s">
        <v>381</v>
      </c>
      <c r="B29" s="66">
        <v>77.051000000000002</v>
      </c>
      <c r="C29" s="66">
        <v>19.351500000000001</v>
      </c>
      <c r="D29" s="66">
        <v>0.25115100000000001</v>
      </c>
      <c r="E29" s="66">
        <v>0</v>
      </c>
      <c r="F29" s="66">
        <v>47.512799999999999</v>
      </c>
      <c r="G29" s="66">
        <v>0</v>
      </c>
      <c r="H29" s="66">
        <v>126.889</v>
      </c>
    </row>
    <row r="30" spans="1:8">
      <c r="A30" s="66" t="s">
        <v>382</v>
      </c>
      <c r="B30" s="66">
        <v>36.252400000000002</v>
      </c>
      <c r="C30" s="66">
        <v>4.5633299999999997</v>
      </c>
      <c r="D30" s="66">
        <v>0.12587699999999999</v>
      </c>
      <c r="E30" s="66">
        <v>0</v>
      </c>
      <c r="F30" s="66">
        <v>31.468</v>
      </c>
      <c r="G30" s="66">
        <v>0</v>
      </c>
      <c r="H30" s="66">
        <v>47.4893</v>
      </c>
    </row>
    <row r="31" spans="1:8">
      <c r="A31" s="66" t="s">
        <v>383</v>
      </c>
      <c r="B31" s="66">
        <v>180.64500000000001</v>
      </c>
      <c r="C31" s="66">
        <v>18.422899999999998</v>
      </c>
      <c r="D31" s="66">
        <v>0.10198400000000001</v>
      </c>
      <c r="E31" s="66">
        <v>0</v>
      </c>
      <c r="F31" s="66">
        <v>151.77500000000001</v>
      </c>
      <c r="G31" s="66">
        <v>0</v>
      </c>
      <c r="H31" s="66">
        <v>221.42500000000001</v>
      </c>
    </row>
    <row r="32" spans="1:8">
      <c r="A32" s="66" t="s">
        <v>384</v>
      </c>
      <c r="B32" s="66">
        <v>0.17364599999999999</v>
      </c>
      <c r="C32" s="66">
        <v>9.9033399999999994E-2</v>
      </c>
      <c r="D32" s="66">
        <v>0.57031900000000002</v>
      </c>
      <c r="E32" s="66">
        <v>0.15</v>
      </c>
      <c r="F32" s="66">
        <v>2.67704E-2</v>
      </c>
      <c r="G32" s="66">
        <v>0.4</v>
      </c>
      <c r="H32" s="66">
        <v>0.400119</v>
      </c>
    </row>
    <row r="33" spans="1:8">
      <c r="A33" s="66" t="s">
        <v>385</v>
      </c>
      <c r="B33" s="66">
        <v>0.26641999999999999</v>
      </c>
      <c r="C33" s="66">
        <v>1.6427199999999999E-2</v>
      </c>
      <c r="D33" s="66">
        <v>6.1658900000000003E-2</v>
      </c>
      <c r="E33" s="66">
        <v>0</v>
      </c>
      <c r="F33" s="66">
        <v>0.214391</v>
      </c>
      <c r="G33" s="66">
        <v>0</v>
      </c>
      <c r="H33" s="66">
        <v>0.31960899999999998</v>
      </c>
    </row>
    <row r="34" spans="1:8">
      <c r="A34" s="66" t="s">
        <v>386</v>
      </c>
      <c r="B34" s="66">
        <v>0.226242</v>
      </c>
      <c r="C34" s="66">
        <v>9.62538E-2</v>
      </c>
      <c r="D34" s="66">
        <v>0.42544599999999999</v>
      </c>
      <c r="E34" s="66">
        <v>0.1</v>
      </c>
      <c r="F34" s="66">
        <v>0.152727</v>
      </c>
      <c r="G34" s="66">
        <v>0.25</v>
      </c>
      <c r="H34" s="66">
        <v>0.61580699999999999</v>
      </c>
    </row>
    <row r="35" spans="1:8">
      <c r="A35" s="66" t="s">
        <v>387</v>
      </c>
      <c r="B35" s="66">
        <v>8.95672E-2</v>
      </c>
      <c r="C35" s="66">
        <v>6.0962200000000001E-2</v>
      </c>
      <c r="D35" s="66">
        <v>0.68063099999999999</v>
      </c>
      <c r="E35" s="66">
        <v>0</v>
      </c>
      <c r="F35" s="66">
        <v>5.4049899999999998E-2</v>
      </c>
      <c r="G35" s="66">
        <v>0</v>
      </c>
      <c r="H35" s="66">
        <v>0.35313099999999997</v>
      </c>
    </row>
    <row r="36" spans="1:8">
      <c r="A36" s="66" t="s">
        <v>388</v>
      </c>
      <c r="B36" s="66">
        <v>0.183144</v>
      </c>
      <c r="C36" s="66">
        <v>0.16122</v>
      </c>
      <c r="D36" s="66">
        <v>0.88029500000000005</v>
      </c>
      <c r="E36" s="66">
        <v>0</v>
      </c>
      <c r="F36" s="66">
        <v>3.8153100000000002E-2</v>
      </c>
      <c r="G36" s="66">
        <v>0</v>
      </c>
      <c r="H36" s="66">
        <v>0.92331799999999997</v>
      </c>
    </row>
    <row r="37" spans="1:8">
      <c r="A37" s="66" t="s">
        <v>389</v>
      </c>
      <c r="B37" s="66">
        <v>0.962538</v>
      </c>
      <c r="C37" s="66">
        <v>0.36819299999999999</v>
      </c>
      <c r="D37" s="66">
        <v>0.382523</v>
      </c>
      <c r="E37" s="66">
        <v>0.1</v>
      </c>
      <c r="F37" s="66">
        <v>3.8860199999999998E-2</v>
      </c>
      <c r="G37" s="66">
        <v>0.5</v>
      </c>
      <c r="H37" s="66">
        <v>1.2717099999999999</v>
      </c>
    </row>
    <row r="38" spans="1:8">
      <c r="A38" s="66" t="s">
        <v>390</v>
      </c>
      <c r="B38" s="66">
        <v>-34.617400000000004</v>
      </c>
      <c r="C38" s="66">
        <v>56.7316</v>
      </c>
      <c r="D38" s="66">
        <v>-1.6388199999999999</v>
      </c>
      <c r="E38" s="66">
        <v>0</v>
      </c>
      <c r="F38" s="66">
        <v>-189.173</v>
      </c>
      <c r="G38" s="66">
        <v>0</v>
      </c>
      <c r="H38" s="66">
        <v>121.697</v>
      </c>
    </row>
    <row r="39" spans="1:8">
      <c r="A39" s="66" t="s">
        <v>391</v>
      </c>
      <c r="B39" s="66">
        <v>-13.0589</v>
      </c>
      <c r="C39" s="66">
        <v>15.001300000000001</v>
      </c>
      <c r="D39" s="66">
        <v>-1.1487499999999999</v>
      </c>
      <c r="E39" s="66">
        <v>0</v>
      </c>
      <c r="F39" s="66">
        <v>-63.559800000000003</v>
      </c>
      <c r="G39" s="66">
        <v>0</v>
      </c>
      <c r="H39" s="66">
        <v>2.5352000000000001</v>
      </c>
    </row>
    <row r="40" spans="1:8">
      <c r="A40" s="66" t="s">
        <v>392</v>
      </c>
      <c r="B40" s="66">
        <v>-7.4950799999999997</v>
      </c>
      <c r="C40" s="66">
        <v>2.4958900000000002</v>
      </c>
      <c r="D40" s="66">
        <v>-0.33300400000000002</v>
      </c>
      <c r="E40" s="66">
        <v>0</v>
      </c>
      <c r="F40" s="66">
        <v>-14.409000000000001</v>
      </c>
      <c r="G40" s="66">
        <v>0</v>
      </c>
      <c r="H40" s="66">
        <v>-4.0942999999999996</v>
      </c>
    </row>
    <row r="41" spans="1:8">
      <c r="A41" s="66" t="s">
        <v>393</v>
      </c>
      <c r="B41" s="66">
        <v>-0.177594</v>
      </c>
      <c r="C41" s="66">
        <v>0.30393599999999998</v>
      </c>
      <c r="D41" s="66">
        <v>-1.7114100000000001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394</v>
      </c>
      <c r="B42" s="66">
        <v>-0.20326</v>
      </c>
      <c r="C42" s="66">
        <v>0.124344</v>
      </c>
      <c r="D42" s="66">
        <v>-0.61174799999999996</v>
      </c>
      <c r="E42" s="66">
        <v>0</v>
      </c>
      <c r="F42" s="66">
        <v>-0.37411100000000003</v>
      </c>
      <c r="G42" s="66">
        <v>0</v>
      </c>
      <c r="H42" s="66">
        <v>0.10294200000000001</v>
      </c>
    </row>
    <row r="43" spans="1:8">
      <c r="A43" s="66" t="s">
        <v>395</v>
      </c>
      <c r="B43" s="66">
        <v>2.56084E-3</v>
      </c>
      <c r="C43" s="66">
        <v>5.0159000000000002E-2</v>
      </c>
      <c r="D43" s="66">
        <v>19.5869</v>
      </c>
      <c r="E43" s="66">
        <v>0</v>
      </c>
      <c r="F43" s="66">
        <v>-0.13072700000000001</v>
      </c>
      <c r="G43" s="66">
        <v>0</v>
      </c>
      <c r="H43" s="66">
        <v>8.0933500000000005E-2</v>
      </c>
    </row>
    <row r="44" spans="1:8">
      <c r="A44" s="66" t="s">
        <v>396</v>
      </c>
      <c r="B44" s="66">
        <v>-18.706900000000001</v>
      </c>
      <c r="C44" s="66">
        <v>18.184999999999999</v>
      </c>
      <c r="D44" s="66">
        <v>-0.97209999999999996</v>
      </c>
      <c r="E44" s="66">
        <v>0</v>
      </c>
      <c r="F44" s="66">
        <v>-70.015900000000002</v>
      </c>
      <c r="G44" s="66">
        <v>0</v>
      </c>
      <c r="H44" s="66">
        <v>3.3299400000000001</v>
      </c>
    </row>
    <row r="45" spans="1:8">
      <c r="A45" s="66" t="s">
        <v>397</v>
      </c>
      <c r="B45" s="66">
        <v>41.975099999999998</v>
      </c>
      <c r="C45" s="66">
        <v>7.5574399999999997</v>
      </c>
      <c r="D45" s="66">
        <v>0.18004600000000001</v>
      </c>
      <c r="E45" s="66">
        <v>0</v>
      </c>
      <c r="F45" s="66">
        <v>27.610800000000001</v>
      </c>
      <c r="G45" s="66">
        <v>0</v>
      </c>
      <c r="H45" s="66">
        <v>65.106899999999996</v>
      </c>
    </row>
    <row r="46" spans="1:8">
      <c r="A46" s="66" t="s">
        <v>398</v>
      </c>
      <c r="B46" s="66">
        <v>24.760400000000001</v>
      </c>
      <c r="C46" s="66">
        <v>3.14812</v>
      </c>
      <c r="D46" s="66">
        <v>0.12714300000000001</v>
      </c>
      <c r="E46" s="66">
        <v>0</v>
      </c>
      <c r="F46" s="66">
        <v>20.146599999999999</v>
      </c>
      <c r="G46" s="66">
        <v>0</v>
      </c>
      <c r="H46" s="66">
        <v>30.999500000000001</v>
      </c>
    </row>
    <row r="47" spans="1:8">
      <c r="A47" s="66" t="s">
        <v>399</v>
      </c>
      <c r="B47" s="66">
        <v>1.59579</v>
      </c>
      <c r="C47" s="66">
        <v>1.3949499999999999</v>
      </c>
      <c r="D47" s="66">
        <v>0.87414400000000003</v>
      </c>
      <c r="E47" s="66">
        <v>0</v>
      </c>
      <c r="F47" s="66">
        <v>0.27187600000000001</v>
      </c>
      <c r="G47" s="66">
        <v>0</v>
      </c>
      <c r="H47" s="66">
        <v>7.7023999999999999</v>
      </c>
    </row>
    <row r="48" spans="1:8">
      <c r="A48" s="66" t="s">
        <v>400</v>
      </c>
      <c r="B48" s="66">
        <v>0.87230300000000005</v>
      </c>
      <c r="C48" s="66">
        <v>0.21331800000000001</v>
      </c>
      <c r="D48" s="66">
        <v>0.24454600000000001</v>
      </c>
      <c r="E48" s="66">
        <v>0</v>
      </c>
      <c r="F48" s="66">
        <v>0.662551</v>
      </c>
      <c r="G48" s="66">
        <v>0</v>
      </c>
      <c r="H48" s="66">
        <v>1.48912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402</v>
      </c>
      <c r="B1" s="60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92.973031342554819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1.7940951168154367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0.53610029067691634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704</v>
      </c>
      <c r="B8" s="66">
        <v>704</v>
      </c>
      <c r="D8">
        <f t="shared" si="0"/>
        <v>2.200859710824541E-3</v>
      </c>
      <c r="E8">
        <f t="shared" si="0"/>
        <v>2.200859710824541E-3</v>
      </c>
      <c r="G8">
        <f t="shared" ca="1" si="1"/>
        <v>6</v>
      </c>
      <c r="H8">
        <f t="shared" ca="1" si="2"/>
        <v>1.3205158264947246E-2</v>
      </c>
      <c r="I8">
        <f t="shared" ca="1" si="3"/>
        <v>16.647981115631946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450</v>
      </c>
      <c r="B10" s="66">
        <v>450</v>
      </c>
      <c r="D10">
        <f t="shared" si="0"/>
        <v>1.4067995310668229E-3</v>
      </c>
      <c r="E10">
        <f t="shared" si="0"/>
        <v>1.4067995310668229E-3</v>
      </c>
      <c r="G10">
        <f t="shared" ca="1" si="1"/>
        <v>8</v>
      </c>
      <c r="H10">
        <f t="shared" ca="1" si="2"/>
        <v>1.1254396248534583E-2</v>
      </c>
      <c r="I10">
        <f t="shared" ca="1" si="3"/>
        <v>10.157677921044975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1211</v>
      </c>
      <c r="B13" s="66">
        <v>1211</v>
      </c>
      <c r="D13">
        <f t="shared" si="0"/>
        <v>3.785853849159828E-3</v>
      </c>
      <c r="E13">
        <f t="shared" si="0"/>
        <v>3.785853849159828E-3</v>
      </c>
      <c r="G13">
        <f t="shared" ca="1" si="1"/>
        <v>11</v>
      </c>
      <c r="H13">
        <f t="shared" ca="1" si="2"/>
        <v>4.1644392340758105E-2</v>
      </c>
      <c r="I13">
        <f t="shared" ca="1" si="3"/>
        <v>25.439339734356643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2463</v>
      </c>
      <c r="B15" s="66">
        <v>2463</v>
      </c>
      <c r="D15">
        <f t="shared" si="0"/>
        <v>7.6998827667057448E-3</v>
      </c>
      <c r="E15">
        <f t="shared" si="0"/>
        <v>7.6998827667057448E-3</v>
      </c>
      <c r="G15">
        <f t="shared" ca="1" si="1"/>
        <v>13</v>
      </c>
      <c r="H15">
        <f t="shared" ca="1" si="2"/>
        <v>0.10009847596717468</v>
      </c>
      <c r="I15">
        <f t="shared" ca="1" si="3"/>
        <v>49.246030426994295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2438</v>
      </c>
      <c r="B18" s="66">
        <v>2438</v>
      </c>
      <c r="D18">
        <f t="shared" si="0"/>
        <v>7.6217272372020323E-3</v>
      </c>
      <c r="E18">
        <f t="shared" si="0"/>
        <v>7.6217272372020323E-3</v>
      </c>
      <c r="G18">
        <f t="shared" ca="1" si="1"/>
        <v>16</v>
      </c>
      <c r="H18">
        <f t="shared" ca="1" si="2"/>
        <v>0.12194763579523252</v>
      </c>
      <c r="I18">
        <f t="shared" ca="1" si="3"/>
        <v>45.157571979063626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8871</v>
      </c>
      <c r="B21" s="66">
        <v>8871</v>
      </c>
      <c r="D21">
        <f t="shared" si="0"/>
        <v>2.7732708089097304E-2</v>
      </c>
      <c r="E21">
        <f t="shared" si="0"/>
        <v>2.7732708089097304E-2</v>
      </c>
      <c r="G21">
        <f t="shared" ca="1" si="1"/>
        <v>19</v>
      </c>
      <c r="H21">
        <f t="shared" ca="1" si="2"/>
        <v>0.52692145369284882</v>
      </c>
      <c r="I21">
        <f t="shared" ca="1" si="3"/>
        <v>151.75363840826739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9644</v>
      </c>
      <c r="B23" s="66">
        <v>9644</v>
      </c>
      <c r="D23">
        <f t="shared" si="0"/>
        <v>3.0149277061352092E-2</v>
      </c>
      <c r="E23">
        <f t="shared" si="0"/>
        <v>3.0149277061352092E-2</v>
      </c>
      <c r="G23">
        <f t="shared" ca="1" si="1"/>
        <v>21</v>
      </c>
      <c r="H23">
        <f t="shared" ca="1" si="2"/>
        <v>0.63313481828839391</v>
      </c>
      <c r="I23">
        <f t="shared" ca="1" si="3"/>
        <v>156.17678989823287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12321</v>
      </c>
      <c r="B26" s="66">
        <v>12321</v>
      </c>
      <c r="D26">
        <f t="shared" si="0"/>
        <v>3.8518171160609613E-2</v>
      </c>
      <c r="E26">
        <f t="shared" si="0"/>
        <v>3.8518171160609613E-2</v>
      </c>
      <c r="G26">
        <f t="shared" ca="1" si="1"/>
        <v>24</v>
      </c>
      <c r="H26">
        <f t="shared" ca="1" si="2"/>
        <v>0.92443610785463071</v>
      </c>
      <c r="I26">
        <f t="shared" ca="1" si="3"/>
        <v>183.2416888060996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17176</v>
      </c>
      <c r="B28" s="66">
        <v>17176</v>
      </c>
      <c r="D28">
        <f t="shared" si="0"/>
        <v>5.3695974990230558E-2</v>
      </c>
      <c r="E28">
        <f t="shared" si="0"/>
        <v>5.3695974990230558E-2</v>
      </c>
      <c r="G28">
        <f t="shared" ca="1" si="1"/>
        <v>26</v>
      </c>
      <c r="H28">
        <f t="shared" ca="1" si="2"/>
        <v>1.3960953497459945</v>
      </c>
      <c r="I28">
        <f t="shared" ca="1" si="3"/>
        <v>240.84722426501983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21087</v>
      </c>
      <c r="B31" s="66">
        <v>21087</v>
      </c>
      <c r="D31">
        <f t="shared" si="0"/>
        <v>6.5922626025791325E-2</v>
      </c>
      <c r="E31">
        <f t="shared" si="0"/>
        <v>6.5922626025791325E-2</v>
      </c>
      <c r="G31">
        <f t="shared" ca="1" si="1"/>
        <v>29</v>
      </c>
      <c r="H31">
        <f t="shared" ca="1" si="2"/>
        <v>1.9117561547479485</v>
      </c>
      <c r="I31">
        <f t="shared" ca="1" si="3"/>
        <v>269.79156002367193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31110</v>
      </c>
      <c r="B33" s="66">
        <v>31110</v>
      </c>
      <c r="D33">
        <f t="shared" si="0"/>
        <v>9.7256740914419701E-2</v>
      </c>
      <c r="E33">
        <f t="shared" si="0"/>
        <v>9.7256740914419701E-2</v>
      </c>
      <c r="G33">
        <f t="shared" ca="1" si="1"/>
        <v>31</v>
      </c>
      <c r="H33">
        <f t="shared" ca="1" si="2"/>
        <v>3.0149589683470106</v>
      </c>
      <c r="I33">
        <f t="shared" ca="1" si="3"/>
        <v>373.52974522816766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40212</v>
      </c>
      <c r="B36" s="66">
        <v>40212</v>
      </c>
      <c r="D36">
        <f t="shared" si="0"/>
        <v>0.1257116060961313</v>
      </c>
      <c r="E36">
        <f t="shared" si="0"/>
        <v>0.1257116060961313</v>
      </c>
      <c r="G36">
        <f t="shared" ca="1" si="1"/>
        <v>34</v>
      </c>
      <c r="H36">
        <f t="shared" ca="1" si="2"/>
        <v>4.2741946072684645</v>
      </c>
      <c r="I36">
        <f t="shared" ca="1" si="3"/>
        <v>437.20214000923136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58638</v>
      </c>
      <c r="B39" s="66">
        <v>58638</v>
      </c>
      <c r="D39">
        <f t="shared" si="0"/>
        <v>0.18331535756154749</v>
      </c>
      <c r="E39">
        <f t="shared" si="0"/>
        <v>0.18331535756154749</v>
      </c>
      <c r="G39">
        <f t="shared" ca="1" si="1"/>
        <v>37</v>
      </c>
      <c r="H39">
        <f t="shared" ca="1" si="2"/>
        <v>6.7826682297772569</v>
      </c>
      <c r="I39">
        <f t="shared" ca="1" si="3"/>
        <v>574.32339250258576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74958</v>
      </c>
      <c r="B41" s="66">
        <v>74958</v>
      </c>
      <c r="D41">
        <f t="shared" si="0"/>
        <v>0.23433528722157093</v>
      </c>
      <c r="E41">
        <f t="shared" si="0"/>
        <v>0.23433528722157093</v>
      </c>
      <c r="G41">
        <f t="shared" ca="1" si="1"/>
        <v>39</v>
      </c>
      <c r="H41">
        <f t="shared" ca="1" si="2"/>
        <v>9.1390762016412666</v>
      </c>
      <c r="I41">
        <f t="shared" ca="1" si="3"/>
        <v>682.63933949859666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86327</v>
      </c>
      <c r="B44" s="66">
        <v>86327</v>
      </c>
      <c r="D44">
        <f t="shared" si="0"/>
        <v>0.2698772958186792</v>
      </c>
      <c r="E44">
        <f t="shared" si="0"/>
        <v>0.2698772958186792</v>
      </c>
      <c r="G44">
        <f t="shared" ca="1" si="1"/>
        <v>42</v>
      </c>
      <c r="H44">
        <f t="shared" ca="1" si="2"/>
        <v>11.334846424384526</v>
      </c>
      <c r="I44">
        <f t="shared" ca="1" si="3"/>
        <v>701.20866341742862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97466</v>
      </c>
      <c r="B46" s="66">
        <v>97466</v>
      </c>
      <c r="D46">
        <f t="shared" si="0"/>
        <v>0.30470027354435325</v>
      </c>
      <c r="E46">
        <f t="shared" si="0"/>
        <v>0.30470027354435325</v>
      </c>
      <c r="G46">
        <f t="shared" ca="1" si="1"/>
        <v>44</v>
      </c>
      <c r="H46">
        <f t="shared" ca="1" si="2"/>
        <v>13.406812035951543</v>
      </c>
      <c r="I46">
        <f t="shared" ca="1" si="3"/>
        <v>730.78027737562059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104739</v>
      </c>
      <c r="B49" s="66">
        <v>104739</v>
      </c>
      <c r="D49">
        <f t="shared" si="0"/>
        <v>0.32743728018757329</v>
      </c>
      <c r="E49">
        <f t="shared" si="0"/>
        <v>0.32743728018757329</v>
      </c>
      <c r="G49">
        <f t="shared" ca="1" si="1"/>
        <v>47</v>
      </c>
      <c r="H49">
        <f t="shared" ca="1" si="2"/>
        <v>15.389552168815944</v>
      </c>
      <c r="I49">
        <f t="shared" ca="1" si="3"/>
        <v>692.04511299115427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104914</v>
      </c>
      <c r="B51" s="66">
        <v>104914</v>
      </c>
      <c r="D51">
        <f t="shared" si="0"/>
        <v>0.32798436889409927</v>
      </c>
      <c r="E51">
        <f t="shared" si="0"/>
        <v>0.32798436889409927</v>
      </c>
      <c r="G51">
        <f t="shared" ca="1" si="1"/>
        <v>49</v>
      </c>
      <c r="H51">
        <f t="shared" ca="1" si="2"/>
        <v>16.071234075810864</v>
      </c>
      <c r="I51">
        <f t="shared" ca="1" si="3"/>
        <v>634.19959049268755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117045</v>
      </c>
      <c r="B54" s="66">
        <v>117045</v>
      </c>
      <c r="D54">
        <f t="shared" si="0"/>
        <v>0.36590855803048067</v>
      </c>
      <c r="E54">
        <f t="shared" si="0"/>
        <v>0.36590855803048067</v>
      </c>
      <c r="G54">
        <f t="shared" ca="1" si="1"/>
        <v>52</v>
      </c>
      <c r="H54">
        <f t="shared" ca="1" si="2"/>
        <v>19.027245017584995</v>
      </c>
      <c r="I54">
        <f t="shared" ca="1" si="3"/>
        <v>614.28337104789841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117603</v>
      </c>
      <c r="B57" s="66">
        <v>117603</v>
      </c>
      <c r="D57">
        <f t="shared" si="0"/>
        <v>0.36765298944900354</v>
      </c>
      <c r="E57">
        <f t="shared" si="0"/>
        <v>0.36765298944900354</v>
      </c>
      <c r="G57">
        <f t="shared" ca="1" si="1"/>
        <v>55</v>
      </c>
      <c r="H57">
        <f t="shared" ca="1" si="2"/>
        <v>20.220914419695195</v>
      </c>
      <c r="I57">
        <f t="shared" ca="1" si="3"/>
        <v>530.13763598913249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135142</v>
      </c>
      <c r="B59" s="66">
        <v>135142</v>
      </c>
      <c r="D59">
        <f t="shared" si="0"/>
        <v>0.42248378272762799</v>
      </c>
      <c r="E59">
        <f t="shared" si="0"/>
        <v>0.42248378272762799</v>
      </c>
      <c r="G59">
        <f t="shared" ca="1" si="1"/>
        <v>57</v>
      </c>
      <c r="H59">
        <f t="shared" ca="1" si="2"/>
        <v>24.081575615474794</v>
      </c>
      <c r="I59">
        <f t="shared" ca="1" si="3"/>
        <v>546.71893462134369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140558</v>
      </c>
      <c r="B62" s="66">
        <v>140558</v>
      </c>
      <c r="D62">
        <f t="shared" si="0"/>
        <v>0.43941539663931223</v>
      </c>
      <c r="E62">
        <f t="shared" si="0"/>
        <v>0.43941539663931223</v>
      </c>
      <c r="G62">
        <f t="shared" ca="1" si="1"/>
        <v>60</v>
      </c>
      <c r="H62">
        <f t="shared" ca="1" si="2"/>
        <v>26.364923798358735</v>
      </c>
      <c r="I62">
        <f t="shared" ca="1" si="3"/>
        <v>477.74155727242226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153700</v>
      </c>
      <c r="B64" s="66">
        <v>153700</v>
      </c>
      <c r="D64">
        <f t="shared" si="0"/>
        <v>0.48050019538882377</v>
      </c>
      <c r="E64">
        <f t="shared" si="0"/>
        <v>0.48050019538882377</v>
      </c>
      <c r="G64">
        <f t="shared" ca="1" si="1"/>
        <v>62</v>
      </c>
      <c r="H64">
        <f t="shared" ca="1" si="2"/>
        <v>29.791012114107073</v>
      </c>
      <c r="I64">
        <f t="shared" ca="1" si="3"/>
        <v>460.95761363987788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163658</v>
      </c>
      <c r="B67" s="66">
        <v>163658</v>
      </c>
      <c r="D67">
        <f t="shared" ref="D67:E130" si="4">IFERROR( A67/MAX(A$2:A$257), 0 )</f>
        <v>0.51163110590074246</v>
      </c>
      <c r="E67">
        <f t="shared" si="4"/>
        <v>0.51163110590074246</v>
      </c>
      <c r="G67">
        <f t="shared" ref="G67:G130" ca="1" si="5">CELL("row",D67)-2</f>
        <v>65</v>
      </c>
      <c r="H67">
        <f t="shared" ref="H67:H130" ca="1" si="6">D67*G67</f>
        <v>33.256021883548257</v>
      </c>
      <c r="I67">
        <f t="shared" ref="I67:I130" ca="1" si="7">D67*((G67-$L$1)^2)</f>
        <v>400.34647091395948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174102</v>
      </c>
      <c r="B69" s="66">
        <v>174102</v>
      </c>
      <c r="D69">
        <f t="shared" si="4"/>
        <v>0.5442813599062134</v>
      </c>
      <c r="E69">
        <f t="shared" si="4"/>
        <v>0.5442813599062134</v>
      </c>
      <c r="G69">
        <f t="shared" ca="1" si="5"/>
        <v>67</v>
      </c>
      <c r="H69">
        <f t="shared" ca="1" si="6"/>
        <v>36.466851113716295</v>
      </c>
      <c r="I69">
        <f t="shared" ca="1" si="7"/>
        <v>367.17131120449761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194888</v>
      </c>
      <c r="B72" s="66">
        <v>194888</v>
      </c>
      <c r="D72">
        <f t="shared" si="4"/>
        <v>0.60926299335678002</v>
      </c>
      <c r="E72">
        <f t="shared" si="4"/>
        <v>0.60926299335678002</v>
      </c>
      <c r="G72">
        <f t="shared" ca="1" si="5"/>
        <v>70</v>
      </c>
      <c r="H72">
        <f t="shared" ca="1" si="6"/>
        <v>42.648409534974604</v>
      </c>
      <c r="I72">
        <f t="shared" ca="1" si="7"/>
        <v>321.54474037963513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228957</v>
      </c>
      <c r="B75" s="66">
        <v>228957</v>
      </c>
      <c r="D75">
        <f t="shared" si="4"/>
        <v>0.71577022274325908</v>
      </c>
      <c r="E75">
        <f t="shared" si="4"/>
        <v>0.71577022274325908</v>
      </c>
      <c r="G75">
        <f t="shared" ca="1" si="5"/>
        <v>73</v>
      </c>
      <c r="H75">
        <f t="shared" ca="1" si="6"/>
        <v>52.251226260257916</v>
      </c>
      <c r="I75">
        <f t="shared" ca="1" si="7"/>
        <v>285.53647520519456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242949</v>
      </c>
      <c r="B77" s="66">
        <v>242949</v>
      </c>
      <c r="D77">
        <f t="shared" si="4"/>
        <v>0.75951230949589688</v>
      </c>
      <c r="E77">
        <f t="shared" si="4"/>
        <v>0.75951230949589688</v>
      </c>
      <c r="G77">
        <f t="shared" ca="1" si="5"/>
        <v>75</v>
      </c>
      <c r="H77">
        <f t="shared" ca="1" si="6"/>
        <v>56.963423212192268</v>
      </c>
      <c r="I77">
        <f t="shared" ca="1" si="7"/>
        <v>245.34515169361032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268684</v>
      </c>
      <c r="B80" s="66">
        <v>268684</v>
      </c>
      <c r="D80">
        <f t="shared" si="4"/>
        <v>0.83996561156701832</v>
      </c>
      <c r="E80">
        <f t="shared" si="4"/>
        <v>0.83996561156701832</v>
      </c>
      <c r="G80">
        <f t="shared" ca="1" si="5"/>
        <v>78</v>
      </c>
      <c r="H80">
        <f t="shared" ca="1" si="6"/>
        <v>65.51731770222743</v>
      </c>
      <c r="I80">
        <f t="shared" ca="1" si="7"/>
        <v>188.31329117137253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290209</v>
      </c>
      <c r="B82" s="66">
        <v>290209</v>
      </c>
      <c r="D82">
        <f t="shared" si="4"/>
        <v>0.90725752246971469</v>
      </c>
      <c r="E82">
        <f t="shared" si="4"/>
        <v>0.90725752246971469</v>
      </c>
      <c r="G82">
        <f t="shared" ca="1" si="5"/>
        <v>80</v>
      </c>
      <c r="H82">
        <f t="shared" ca="1" si="6"/>
        <v>72.580601797577174</v>
      </c>
      <c r="I82">
        <f t="shared" ca="1" si="7"/>
        <v>152.69102570268612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306554</v>
      </c>
      <c r="B85" s="66">
        <v>306554</v>
      </c>
      <c r="D85">
        <f t="shared" si="4"/>
        <v>0.95835560765924188</v>
      </c>
      <c r="E85">
        <f t="shared" si="4"/>
        <v>0.95835560765924188</v>
      </c>
      <c r="G85">
        <f t="shared" ca="1" si="5"/>
        <v>83</v>
      </c>
      <c r="H85">
        <f t="shared" ca="1" si="6"/>
        <v>79.543515435717083</v>
      </c>
      <c r="I85">
        <f t="shared" ca="1" si="7"/>
        <v>95.319346504216099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302885</v>
      </c>
      <c r="B88" s="66">
        <v>302885</v>
      </c>
      <c r="D88">
        <f t="shared" si="4"/>
        <v>0.94688550214927703</v>
      </c>
      <c r="E88">
        <f t="shared" si="4"/>
        <v>0.94688550214927703</v>
      </c>
      <c r="G88">
        <f t="shared" ca="1" si="5"/>
        <v>86</v>
      </c>
      <c r="H88">
        <f t="shared" ca="1" si="6"/>
        <v>81.43215318483783</v>
      </c>
      <c r="I88">
        <f t="shared" ca="1" si="7"/>
        <v>46.040571052712224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306196</v>
      </c>
      <c r="B90" s="66">
        <v>306196</v>
      </c>
      <c r="D90">
        <f t="shared" si="4"/>
        <v>0.95723642047674873</v>
      </c>
      <c r="E90">
        <f t="shared" si="4"/>
        <v>0.95723642047674873</v>
      </c>
      <c r="G90">
        <f t="shared" ca="1" si="5"/>
        <v>88</v>
      </c>
      <c r="H90">
        <f t="shared" ca="1" si="6"/>
        <v>84.236805001953883</v>
      </c>
      <c r="I90">
        <f t="shared" ca="1" si="7"/>
        <v>23.673452906910018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297742</v>
      </c>
      <c r="B93" s="66">
        <v>297742</v>
      </c>
      <c r="D93">
        <f t="shared" si="4"/>
        <v>0.93080734661977338</v>
      </c>
      <c r="E93">
        <f t="shared" si="4"/>
        <v>0.93080734661977338</v>
      </c>
      <c r="G93">
        <f t="shared" ca="1" si="5"/>
        <v>91</v>
      </c>
      <c r="H93">
        <f t="shared" ca="1" si="6"/>
        <v>84.703468542399378</v>
      </c>
      <c r="I93">
        <f t="shared" ca="1" si="7"/>
        <v>3.6234958726458415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306670</v>
      </c>
      <c r="B95" s="66">
        <v>306670</v>
      </c>
      <c r="D95">
        <f t="shared" si="4"/>
        <v>0.95871824931613914</v>
      </c>
      <c r="E95">
        <f t="shared" si="4"/>
        <v>0.95871824931613914</v>
      </c>
      <c r="G95">
        <f t="shared" ca="1" si="5"/>
        <v>93</v>
      </c>
      <c r="H95">
        <f t="shared" ca="1" si="6"/>
        <v>89.160797186400941</v>
      </c>
      <c r="I95">
        <f t="shared" ca="1" si="7"/>
        <v>6.9728391687244747E-4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316256</v>
      </c>
      <c r="B98" s="66">
        <v>316256</v>
      </c>
      <c r="D98">
        <f t="shared" si="4"/>
        <v>0.98868620554904263</v>
      </c>
      <c r="E98">
        <f t="shared" si="4"/>
        <v>0.98868620554904263</v>
      </c>
      <c r="G98">
        <f t="shared" ca="1" si="5"/>
        <v>96</v>
      </c>
      <c r="H98">
        <f t="shared" ca="1" si="6"/>
        <v>94.913875732708092</v>
      </c>
      <c r="I98">
        <f t="shared" ca="1" si="7"/>
        <v>9.058876167396452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319875</v>
      </c>
      <c r="B100" s="66">
        <v>319875</v>
      </c>
      <c r="D100">
        <f t="shared" si="4"/>
        <v>1</v>
      </c>
      <c r="E100">
        <f t="shared" si="4"/>
        <v>1</v>
      </c>
      <c r="G100">
        <f t="shared" ca="1" si="5"/>
        <v>98</v>
      </c>
      <c r="H100">
        <f t="shared" ca="1" si="6"/>
        <v>98</v>
      </c>
      <c r="I100">
        <f t="shared" ca="1" si="7"/>
        <v>25.270413882936207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313028</v>
      </c>
      <c r="B103" s="66">
        <v>313028</v>
      </c>
      <c r="D103">
        <f t="shared" si="4"/>
        <v>0.97859476357952324</v>
      </c>
      <c r="E103">
        <f t="shared" si="4"/>
        <v>0.97859476357952324</v>
      </c>
      <c r="G103">
        <f t="shared" ca="1" si="5"/>
        <v>101</v>
      </c>
      <c r="H103">
        <f t="shared" ca="1" si="6"/>
        <v>98.838071121531854</v>
      </c>
      <c r="I103">
        <f t="shared" ca="1" si="7"/>
        <v>63.053038800669817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310287</v>
      </c>
      <c r="B106" s="66">
        <v>310287</v>
      </c>
      <c r="D106">
        <f t="shared" si="4"/>
        <v>0.97002579132473621</v>
      </c>
      <c r="E106">
        <f t="shared" si="4"/>
        <v>0.97002579132473621</v>
      </c>
      <c r="G106">
        <f t="shared" ca="1" si="5"/>
        <v>104</v>
      </c>
      <c r="H106">
        <f t="shared" ca="1" si="6"/>
        <v>100.88268229777256</v>
      </c>
      <c r="I106">
        <f t="shared" ca="1" si="7"/>
        <v>117.94935271042421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313484</v>
      </c>
      <c r="B108" s="66">
        <v>313484</v>
      </c>
      <c r="D108">
        <f t="shared" si="4"/>
        <v>0.98002032043767096</v>
      </c>
      <c r="E108">
        <f t="shared" si="4"/>
        <v>0.98002032043767096</v>
      </c>
      <c r="G108">
        <f t="shared" ca="1" si="5"/>
        <v>106</v>
      </c>
      <c r="H108">
        <f t="shared" ca="1" si="6"/>
        <v>103.88215396639312</v>
      </c>
      <c r="I108">
        <f t="shared" ca="1" si="7"/>
        <v>166.31132257115152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288757</v>
      </c>
      <c r="B111" s="66">
        <v>288757</v>
      </c>
      <c r="D111">
        <f t="shared" si="4"/>
        <v>0.90271824931613909</v>
      </c>
      <c r="E111">
        <f t="shared" si="4"/>
        <v>0.90271824931613909</v>
      </c>
      <c r="G111">
        <f t="shared" ca="1" si="5"/>
        <v>109</v>
      </c>
      <c r="H111">
        <f t="shared" ca="1" si="6"/>
        <v>98.39628917545916</v>
      </c>
      <c r="I111">
        <f t="shared" ca="1" si="7"/>
        <v>231.87557155510359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273908</v>
      </c>
      <c r="B113" s="66">
        <v>273908</v>
      </c>
      <c r="D113">
        <f t="shared" si="4"/>
        <v>0.85629699101211409</v>
      </c>
      <c r="E113">
        <f t="shared" si="4"/>
        <v>0.85629699101211409</v>
      </c>
      <c r="G113">
        <f t="shared" ca="1" si="5"/>
        <v>111</v>
      </c>
      <c r="H113">
        <f t="shared" ca="1" si="6"/>
        <v>95.04896600234467</v>
      </c>
      <c r="I113">
        <f t="shared" ca="1" si="7"/>
        <v>278.27220236798172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274599</v>
      </c>
      <c r="B116" s="66">
        <v>274599</v>
      </c>
      <c r="D116">
        <f t="shared" si="4"/>
        <v>0.85845720984759677</v>
      </c>
      <c r="E116">
        <f t="shared" si="4"/>
        <v>0.85845720984759677</v>
      </c>
      <c r="G116">
        <f t="shared" ca="1" si="5"/>
        <v>114</v>
      </c>
      <c r="H116">
        <f t="shared" ca="1" si="6"/>
        <v>97.864121922626026</v>
      </c>
      <c r="I116">
        <f t="shared" ca="1" si="7"/>
        <v>379.55261431979886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253491</v>
      </c>
      <c r="B118" s="66">
        <v>253491</v>
      </c>
      <c r="D118">
        <f t="shared" si="4"/>
        <v>0.79246893317702227</v>
      </c>
      <c r="E118">
        <f t="shared" si="4"/>
        <v>0.79246893317702227</v>
      </c>
      <c r="G118">
        <f t="shared" ca="1" si="5"/>
        <v>116</v>
      </c>
      <c r="H118">
        <f t="shared" ca="1" si="6"/>
        <v>91.926396248534587</v>
      </c>
      <c r="I118">
        <f t="shared" ca="1" si="7"/>
        <v>420.19974588698426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222680</v>
      </c>
      <c r="B121" s="66">
        <v>222680</v>
      </c>
      <c r="D121">
        <f t="shared" si="4"/>
        <v>0.69614693239546699</v>
      </c>
      <c r="E121">
        <f t="shared" si="4"/>
        <v>0.69614693239546699</v>
      </c>
      <c r="G121">
        <f t="shared" ca="1" si="5"/>
        <v>119</v>
      </c>
      <c r="H121">
        <f t="shared" ca="1" si="6"/>
        <v>82.841484955060565</v>
      </c>
      <c r="I121">
        <f t="shared" ca="1" si="7"/>
        <v>471.57208831677292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189935</v>
      </c>
      <c r="B124" s="66">
        <v>189935</v>
      </c>
      <c r="D124">
        <f t="shared" si="4"/>
        <v>0.59377881985150449</v>
      </c>
      <c r="E124">
        <f t="shared" si="4"/>
        <v>0.59377881985150449</v>
      </c>
      <c r="G124">
        <f t="shared" ca="1" si="5"/>
        <v>122</v>
      </c>
      <c r="H124">
        <f t="shared" ca="1" si="6"/>
        <v>72.441016021883541</v>
      </c>
      <c r="I124">
        <f t="shared" ca="1" si="7"/>
        <v>500.29719757575396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166426</v>
      </c>
      <c r="B126" s="66">
        <v>166426</v>
      </c>
      <c r="D126">
        <f t="shared" si="4"/>
        <v>0.52028448612739353</v>
      </c>
      <c r="E126">
        <f t="shared" si="4"/>
        <v>0.52028448612739353</v>
      </c>
      <c r="G126">
        <f t="shared" ca="1" si="5"/>
        <v>124</v>
      </c>
      <c r="H126">
        <f t="shared" ca="1" si="6"/>
        <v>64.515276279796794</v>
      </c>
      <c r="I126">
        <f t="shared" ca="1" si="7"/>
        <v>500.86371476873177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141474</v>
      </c>
      <c r="B129" s="66">
        <v>141474</v>
      </c>
      <c r="D129">
        <f t="shared" si="4"/>
        <v>0.44227901524032825</v>
      </c>
      <c r="E129">
        <f t="shared" si="4"/>
        <v>0.44227901524032825</v>
      </c>
      <c r="G129">
        <f t="shared" ca="1" si="5"/>
        <v>127</v>
      </c>
      <c r="H129">
        <f t="shared" ca="1" si="6"/>
        <v>56.169434935521686</v>
      </c>
      <c r="I129">
        <f t="shared" ca="1" si="7"/>
        <v>512.08594493658984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122087</v>
      </c>
      <c r="B131" s="66">
        <v>122087</v>
      </c>
      <c r="D131">
        <f t="shared" ref="D131:E194" si="8">IFERROR( A131/MAX(A$2:A$257), 0 )</f>
        <v>0.38167096522078936</v>
      </c>
      <c r="E131">
        <f t="shared" si="8"/>
        <v>0.38167096522078936</v>
      </c>
      <c r="G131">
        <f t="shared" ref="G131:G194" ca="1" si="9">CELL("row",D131)-2</f>
        <v>129</v>
      </c>
      <c r="H131">
        <f t="shared" ref="H131:H194" ca="1" si="10">D131*G131</f>
        <v>49.23555451348183</v>
      </c>
      <c r="I131">
        <f t="shared" ref="I131:I194" ca="1" si="11">D131*((G131-$L$1)^2)</f>
        <v>495.38695557195666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102552</v>
      </c>
      <c r="B134" s="66">
        <v>102552</v>
      </c>
      <c r="D134">
        <f t="shared" si="8"/>
        <v>0.32060023446658853</v>
      </c>
      <c r="E134">
        <f t="shared" si="8"/>
        <v>0.32060023446658853</v>
      </c>
      <c r="G134">
        <f t="shared" ca="1" si="9"/>
        <v>132</v>
      </c>
      <c r="H134">
        <f t="shared" ca="1" si="10"/>
        <v>42.319230949589688</v>
      </c>
      <c r="I134">
        <f t="shared" ca="1" si="11"/>
        <v>488.30759011516534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98223</v>
      </c>
      <c r="B136" s="66">
        <v>98223</v>
      </c>
      <c r="D136">
        <f t="shared" si="8"/>
        <v>0.3070668229777257</v>
      </c>
      <c r="E136">
        <f t="shared" si="8"/>
        <v>0.3070668229777257</v>
      </c>
      <c r="G136">
        <f t="shared" ca="1" si="9"/>
        <v>134</v>
      </c>
      <c r="H136">
        <f t="shared" ca="1" si="10"/>
        <v>41.14695427901524</v>
      </c>
      <c r="I136">
        <f t="shared" ca="1" si="11"/>
        <v>516.85860951471921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87279</v>
      </c>
      <c r="B139" s="66">
        <v>87279</v>
      </c>
      <c r="D139">
        <f t="shared" si="8"/>
        <v>0.27285345838218056</v>
      </c>
      <c r="E139">
        <f t="shared" si="8"/>
        <v>0.27285345838218056</v>
      </c>
      <c r="G139">
        <f t="shared" ca="1" si="9"/>
        <v>137</v>
      </c>
      <c r="H139">
        <f t="shared" ca="1" si="10"/>
        <v>37.380923798358737</v>
      </c>
      <c r="I139">
        <f t="shared" ca="1" si="11"/>
        <v>528.892041124299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80276</v>
      </c>
      <c r="B142" s="66">
        <v>80276</v>
      </c>
      <c r="D142">
        <f t="shared" si="8"/>
        <v>0.25096053145760061</v>
      </c>
      <c r="E142">
        <f t="shared" si="8"/>
        <v>0.25096053145760061</v>
      </c>
      <c r="G142">
        <f t="shared" ca="1" si="9"/>
        <v>140</v>
      </c>
      <c r="H142">
        <f t="shared" ca="1" si="10"/>
        <v>35.134474404064086</v>
      </c>
      <c r="I142">
        <f t="shared" ca="1" si="11"/>
        <v>555.00819496444672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70662</v>
      </c>
      <c r="B144" s="66">
        <v>70662</v>
      </c>
      <c r="D144">
        <f t="shared" si="8"/>
        <v>0.22090504103165298</v>
      </c>
      <c r="E144">
        <f t="shared" si="8"/>
        <v>0.22090504103165298</v>
      </c>
      <c r="G144">
        <f t="shared" ca="1" si="9"/>
        <v>142</v>
      </c>
      <c r="H144">
        <f t="shared" ca="1" si="10"/>
        <v>31.368515826494722</v>
      </c>
      <c r="I144">
        <f t="shared" ca="1" si="11"/>
        <v>530.97700039630001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61257</v>
      </c>
      <c r="B147" s="66">
        <v>61257</v>
      </c>
      <c r="D147">
        <f t="shared" si="8"/>
        <v>0.19150293083235639</v>
      </c>
      <c r="E147">
        <f t="shared" si="8"/>
        <v>0.19150293083235639</v>
      </c>
      <c r="G147">
        <f t="shared" ca="1" si="9"/>
        <v>145</v>
      </c>
      <c r="H147">
        <f t="shared" ca="1" si="10"/>
        <v>27.767924970691677</v>
      </c>
      <c r="I147">
        <f t="shared" ca="1" si="11"/>
        <v>518.36118025430017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49907</v>
      </c>
      <c r="B149" s="66">
        <v>49907</v>
      </c>
      <c r="D149">
        <f t="shared" si="8"/>
        <v>0.15602032043767097</v>
      </c>
      <c r="E149">
        <f t="shared" si="8"/>
        <v>0.15602032043767097</v>
      </c>
      <c r="G149">
        <f t="shared" ca="1" si="9"/>
        <v>147</v>
      </c>
      <c r="H149">
        <f t="shared" ca="1" si="10"/>
        <v>22.934987104337633</v>
      </c>
      <c r="I149">
        <f t="shared" ca="1" si="11"/>
        <v>455.40979499739944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40967</v>
      </c>
      <c r="B152" s="66">
        <v>40967</v>
      </c>
      <c r="D152">
        <f t="shared" si="8"/>
        <v>0.12807190308714342</v>
      </c>
      <c r="E152">
        <f t="shared" si="8"/>
        <v>0.12807190308714342</v>
      </c>
      <c r="G152">
        <f t="shared" ca="1" si="9"/>
        <v>150</v>
      </c>
      <c r="H152">
        <f t="shared" ca="1" si="10"/>
        <v>19.210785463071513</v>
      </c>
      <c r="I152">
        <f t="shared" ca="1" si="11"/>
        <v>416.49945398813963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39707</v>
      </c>
      <c r="B154" s="66">
        <v>39707</v>
      </c>
      <c r="D154">
        <f t="shared" si="8"/>
        <v>0.12413286440015631</v>
      </c>
      <c r="E154">
        <f t="shared" si="8"/>
        <v>0.12413286440015631</v>
      </c>
      <c r="G154">
        <f t="shared" ca="1" si="9"/>
        <v>152</v>
      </c>
      <c r="H154">
        <f t="shared" ca="1" si="10"/>
        <v>18.868195388823757</v>
      </c>
      <c r="I154">
        <f t="shared" ca="1" si="11"/>
        <v>432.50161947015778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35150</v>
      </c>
      <c r="B157" s="66">
        <v>35150</v>
      </c>
      <c r="D157">
        <f t="shared" si="8"/>
        <v>0.10988667448221962</v>
      </c>
      <c r="E157">
        <f t="shared" si="8"/>
        <v>0.10988667448221962</v>
      </c>
      <c r="G157">
        <f t="shared" ca="1" si="9"/>
        <v>155</v>
      </c>
      <c r="H157">
        <f t="shared" ca="1" si="10"/>
        <v>17.032434544744039</v>
      </c>
      <c r="I157">
        <f t="shared" ca="1" si="11"/>
        <v>422.77193014531861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24645</v>
      </c>
      <c r="B160" s="66">
        <v>24645</v>
      </c>
      <c r="D160">
        <f t="shared" si="8"/>
        <v>7.7045720984759675E-2</v>
      </c>
      <c r="E160">
        <f t="shared" si="8"/>
        <v>7.7045720984759675E-2</v>
      </c>
      <c r="G160">
        <f t="shared" ca="1" si="9"/>
        <v>158</v>
      </c>
      <c r="H160">
        <f t="shared" ca="1" si="10"/>
        <v>12.173223915592029</v>
      </c>
      <c r="I160">
        <f t="shared" ca="1" si="11"/>
        <v>325.78834375200734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18655</v>
      </c>
      <c r="B162" s="66">
        <v>18655</v>
      </c>
      <c r="D162">
        <f t="shared" si="8"/>
        <v>5.8319656115670186E-2</v>
      </c>
      <c r="E162">
        <f t="shared" si="8"/>
        <v>5.8319656115670186E-2</v>
      </c>
      <c r="G162">
        <f t="shared" ca="1" si="9"/>
        <v>160</v>
      </c>
      <c r="H162">
        <f t="shared" ca="1" si="10"/>
        <v>9.3311449785072291</v>
      </c>
      <c r="I162">
        <f t="shared" ca="1" si="11"/>
        <v>262.00773429859009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10507</v>
      </c>
      <c r="B165" s="66">
        <v>10507</v>
      </c>
      <c r="D165">
        <f t="shared" si="8"/>
        <v>3.284720593982024E-2</v>
      </c>
      <c r="E165">
        <f t="shared" si="8"/>
        <v>3.284720593982024E-2</v>
      </c>
      <c r="G165">
        <f t="shared" ca="1" si="9"/>
        <v>163</v>
      </c>
      <c r="H165">
        <f t="shared" ca="1" si="10"/>
        <v>5.3540945681906988</v>
      </c>
      <c r="I165">
        <f t="shared" ca="1" si="11"/>
        <v>161.07535130147386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9653</v>
      </c>
      <c r="B167" s="66">
        <v>9653</v>
      </c>
      <c r="D167">
        <f t="shared" si="8"/>
        <v>3.0177413051973426E-2</v>
      </c>
      <c r="E167">
        <f t="shared" si="8"/>
        <v>3.0177413051973426E-2</v>
      </c>
      <c r="G167">
        <f t="shared" ca="1" si="9"/>
        <v>165</v>
      </c>
      <c r="H167">
        <f t="shared" ca="1" si="10"/>
        <v>4.9792731535756154</v>
      </c>
      <c r="I167">
        <f t="shared" ca="1" si="11"/>
        <v>156.55692479110476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6389</v>
      </c>
      <c r="B170" s="66">
        <v>6389</v>
      </c>
      <c r="D170">
        <f t="shared" si="8"/>
        <v>1.9973427119968738E-2</v>
      </c>
      <c r="E170">
        <f t="shared" si="8"/>
        <v>1.9973427119968738E-2</v>
      </c>
      <c r="G170">
        <f t="shared" ca="1" si="9"/>
        <v>168</v>
      </c>
      <c r="H170">
        <f t="shared" ca="1" si="10"/>
        <v>3.3555357561547479</v>
      </c>
      <c r="I170">
        <f t="shared" ca="1" si="11"/>
        <v>112.43134055376787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3934</v>
      </c>
      <c r="B173" s="66">
        <v>3934</v>
      </c>
      <c r="D173">
        <f t="shared" si="8"/>
        <v>1.2298554122704182E-2</v>
      </c>
      <c r="E173">
        <f t="shared" si="8"/>
        <v>1.2298554122704182E-2</v>
      </c>
      <c r="G173">
        <f t="shared" ca="1" si="9"/>
        <v>171</v>
      </c>
      <c r="H173">
        <f t="shared" ca="1" si="10"/>
        <v>2.1030527549824152</v>
      </c>
      <c r="I173">
        <f t="shared" ca="1" si="11"/>
        <v>74.876153604315164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2416</v>
      </c>
      <c r="B175" s="66">
        <v>2416</v>
      </c>
      <c r="D175">
        <f t="shared" si="8"/>
        <v>7.5529503712387655E-3</v>
      </c>
      <c r="E175">
        <f t="shared" si="8"/>
        <v>7.5529503712387655E-3</v>
      </c>
      <c r="G175">
        <f t="shared" ca="1" si="9"/>
        <v>173</v>
      </c>
      <c r="H175">
        <f t="shared" ca="1" si="10"/>
        <v>1.3066604142243063</v>
      </c>
      <c r="I175">
        <f t="shared" ca="1" si="11"/>
        <v>48.371478738254972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477</v>
      </c>
      <c r="B178" s="66">
        <v>477</v>
      </c>
      <c r="D178">
        <f t="shared" si="8"/>
        <v>1.4912075029308324E-3</v>
      </c>
      <c r="E178">
        <f t="shared" si="8"/>
        <v>1.4912075029308324E-3</v>
      </c>
      <c r="G178">
        <f t="shared" ca="1" si="9"/>
        <v>176</v>
      </c>
      <c r="H178">
        <f t="shared" ca="1" si="10"/>
        <v>0.26245252051582652</v>
      </c>
      <c r="I178">
        <f t="shared" ca="1" si="11"/>
        <v>10.279605405736527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0</v>
      </c>
      <c r="B180" s="66">
        <v>0</v>
      </c>
      <c r="D180">
        <f t="shared" si="8"/>
        <v>0</v>
      </c>
      <c r="E180">
        <f t="shared" si="8"/>
        <v>0</v>
      </c>
      <c r="G180">
        <f t="shared" ca="1" si="9"/>
        <v>178</v>
      </c>
      <c r="H180">
        <f t="shared" ca="1" si="10"/>
        <v>0</v>
      </c>
      <c r="I180">
        <f t="shared" ca="1" si="11"/>
        <v>0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0</v>
      </c>
      <c r="B183" s="66">
        <v>0</v>
      </c>
      <c r="D183">
        <f t="shared" si="8"/>
        <v>0</v>
      </c>
      <c r="E183">
        <f t="shared" si="8"/>
        <v>0</v>
      </c>
      <c r="G183">
        <f t="shared" ca="1" si="9"/>
        <v>181</v>
      </c>
      <c r="H183">
        <f t="shared" ca="1" si="10"/>
        <v>0</v>
      </c>
      <c r="I183">
        <f t="shared" ca="1" si="11"/>
        <v>0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402</v>
      </c>
      <c r="B1" s="66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86.806007617003928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1.6750904227495826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0.559322440700596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612</v>
      </c>
      <c r="B8" s="66">
        <v>612</v>
      </c>
      <c r="D8">
        <f t="shared" si="0"/>
        <v>0.43372879193774716</v>
      </c>
      <c r="E8">
        <f t="shared" si="1"/>
        <v>0.43372879193774716</v>
      </c>
      <c r="G8">
        <f t="shared" ca="1" si="2"/>
        <v>6</v>
      </c>
      <c r="H8">
        <f t="shared" ca="1" si="3"/>
        <v>2.6023727516264827</v>
      </c>
      <c r="I8">
        <f t="shared" ca="1" si="4"/>
        <v>2832.0802331671912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330</v>
      </c>
      <c r="B10" s="66">
        <v>330</v>
      </c>
      <c r="D10">
        <f t="shared" si="0"/>
        <v>0.23387336820172641</v>
      </c>
      <c r="E10">
        <f t="shared" si="1"/>
        <v>0.23387336820172641</v>
      </c>
      <c r="G10">
        <f t="shared" ca="1" si="2"/>
        <v>8</v>
      </c>
      <c r="H10">
        <f t="shared" ca="1" si="3"/>
        <v>1.8709869456138113</v>
      </c>
      <c r="I10">
        <f t="shared" ca="1" si="4"/>
        <v>1452.4440872952352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993</v>
      </c>
      <c r="B13" s="66">
        <v>993</v>
      </c>
      <c r="D13">
        <f t="shared" si="0"/>
        <v>0.70374622613428583</v>
      </c>
      <c r="E13">
        <f t="shared" si="1"/>
        <v>0.70374622613428583</v>
      </c>
      <c r="G13">
        <f t="shared" ca="1" si="2"/>
        <v>11</v>
      </c>
      <c r="H13">
        <f t="shared" ca="1" si="3"/>
        <v>7.7412084874771443</v>
      </c>
      <c r="I13">
        <f t="shared" ca="1" si="4"/>
        <v>4044.1134323350857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2191</v>
      </c>
      <c r="B15" s="66">
        <v>2191</v>
      </c>
      <c r="D15">
        <f t="shared" si="0"/>
        <v>1.5527774234241896</v>
      </c>
      <c r="E15">
        <f t="shared" si="1"/>
        <v>1.5527774234241896</v>
      </c>
      <c r="G15">
        <f t="shared" ca="1" si="2"/>
        <v>13</v>
      </c>
      <c r="H15">
        <f t="shared" ca="1" si="3"/>
        <v>20.186106504514463</v>
      </c>
      <c r="I15">
        <f t="shared" ca="1" si="4"/>
        <v>8458.486011503368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2385</v>
      </c>
      <c r="B18" s="66">
        <v>2385</v>
      </c>
      <c r="D18">
        <f t="shared" si="0"/>
        <v>1.6902666156397499</v>
      </c>
      <c r="E18">
        <f t="shared" si="1"/>
        <v>1.6902666156397499</v>
      </c>
      <c r="G18">
        <f t="shared" ca="1" si="2"/>
        <v>16</v>
      </c>
      <c r="H18">
        <f t="shared" ca="1" si="3"/>
        <v>27.044265850235998</v>
      </c>
      <c r="I18">
        <f t="shared" ca="1" si="4"/>
        <v>8474.1359828083478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8556</v>
      </c>
      <c r="B21" s="66">
        <v>8556</v>
      </c>
      <c r="D21">
        <f t="shared" si="0"/>
        <v>6.0636986010120335</v>
      </c>
      <c r="E21">
        <f t="shared" si="1"/>
        <v>6.0636986010120335</v>
      </c>
      <c r="G21">
        <f t="shared" ca="1" si="2"/>
        <v>19</v>
      </c>
      <c r="H21">
        <f t="shared" ca="1" si="3"/>
        <v>115.21027341922864</v>
      </c>
      <c r="I21">
        <f t="shared" ca="1" si="4"/>
        <v>27878.792184092188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8870</v>
      </c>
      <c r="B23" s="66">
        <v>8870</v>
      </c>
      <c r="D23">
        <f t="shared" si="0"/>
        <v>6.2862326543918581</v>
      </c>
      <c r="E23">
        <f t="shared" si="1"/>
        <v>6.2862326543918581</v>
      </c>
      <c r="G23">
        <f t="shared" ca="1" si="2"/>
        <v>21</v>
      </c>
      <c r="H23">
        <f t="shared" ca="1" si="3"/>
        <v>132.01088574222902</v>
      </c>
      <c r="I23">
        <f t="shared" ca="1" si="4"/>
        <v>27222.094487249658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11292</v>
      </c>
      <c r="B26" s="66">
        <v>11292</v>
      </c>
      <c r="D26">
        <f t="shared" si="0"/>
        <v>8.0027214355572571</v>
      </c>
      <c r="E26">
        <f t="shared" si="1"/>
        <v>8.0027214355572571</v>
      </c>
      <c r="G26">
        <f t="shared" ca="1" si="2"/>
        <v>24</v>
      </c>
      <c r="H26">
        <f t="shared" ca="1" si="3"/>
        <v>192.06531445337419</v>
      </c>
      <c r="I26">
        <f t="shared" ca="1" si="4"/>
        <v>31567.491702281019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14667</v>
      </c>
      <c r="B28" s="66">
        <v>14667</v>
      </c>
      <c r="D28">
        <f t="shared" si="0"/>
        <v>10.394608155802185</v>
      </c>
      <c r="E28">
        <f t="shared" si="1"/>
        <v>10.394608155802185</v>
      </c>
      <c r="G28">
        <f t="shared" ca="1" si="2"/>
        <v>26</v>
      </c>
      <c r="H28">
        <f t="shared" ca="1" si="3"/>
        <v>270.25981205085679</v>
      </c>
      <c r="I28">
        <f t="shared" ca="1" si="4"/>
        <v>38432.718202105447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19686</v>
      </c>
      <c r="B31" s="66">
        <v>19686</v>
      </c>
      <c r="D31">
        <f t="shared" si="0"/>
        <v>13.951609473997534</v>
      </c>
      <c r="E31">
        <f t="shared" si="1"/>
        <v>13.951609473997534</v>
      </c>
      <c r="G31">
        <f t="shared" ca="1" si="2"/>
        <v>29</v>
      </c>
      <c r="H31">
        <f t="shared" ca="1" si="3"/>
        <v>404.59667474592851</v>
      </c>
      <c r="I31">
        <f t="shared" ca="1" si="4"/>
        <v>46619.784619725127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26302</v>
      </c>
      <c r="B33" s="66">
        <v>26302</v>
      </c>
      <c r="D33">
        <f t="shared" si="0"/>
        <v>18.640416152853962</v>
      </c>
      <c r="E33">
        <f t="shared" si="1"/>
        <v>18.640416152853962</v>
      </c>
      <c r="G33">
        <f t="shared" ca="1" si="2"/>
        <v>31</v>
      </c>
      <c r="H33">
        <f t="shared" ca="1" si="3"/>
        <v>577.85290073847284</v>
      </c>
      <c r="I33">
        <f t="shared" ca="1" si="4"/>
        <v>58052.043491016171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33594</v>
      </c>
      <c r="B36" s="66">
        <v>33594</v>
      </c>
      <c r="D36">
        <f t="shared" si="0"/>
        <v>23.808308882935748</v>
      </c>
      <c r="E36">
        <f t="shared" si="1"/>
        <v>23.808308882935748</v>
      </c>
      <c r="G36">
        <f t="shared" ca="1" si="2"/>
        <v>34</v>
      </c>
      <c r="H36">
        <f t="shared" ca="1" si="3"/>
        <v>809.48250201981546</v>
      </c>
      <c r="I36">
        <f t="shared" ca="1" si="4"/>
        <v>66388.860790335428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48358</v>
      </c>
      <c r="B39" s="66">
        <v>48358</v>
      </c>
      <c r="D39">
        <f t="shared" si="0"/>
        <v>34.271661634845714</v>
      </c>
      <c r="E39">
        <f t="shared" si="1"/>
        <v>34.271661634845714</v>
      </c>
      <c r="G39">
        <f t="shared" ca="1" si="2"/>
        <v>37</v>
      </c>
      <c r="H39">
        <f t="shared" ca="1" si="3"/>
        <v>1268.0514804892914</v>
      </c>
      <c r="I39">
        <f t="shared" ca="1" si="4"/>
        <v>85015.599703109299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57257</v>
      </c>
      <c r="B41" s="66">
        <v>57257</v>
      </c>
      <c r="D41">
        <f t="shared" si="0"/>
        <v>40.578446797352271</v>
      </c>
      <c r="E41">
        <f t="shared" si="1"/>
        <v>40.578446797352271</v>
      </c>
      <c r="G41">
        <f t="shared" ca="1" si="2"/>
        <v>39</v>
      </c>
      <c r="H41">
        <f t="shared" ca="1" si="3"/>
        <v>1582.5594250967386</v>
      </c>
      <c r="I41">
        <f t="shared" ca="1" si="4"/>
        <v>92738.565190720445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65455</v>
      </c>
      <c r="B44" s="66">
        <v>65455</v>
      </c>
      <c r="D44">
        <f t="shared" si="0"/>
        <v>46.388428229224246</v>
      </c>
      <c r="E44">
        <f t="shared" si="1"/>
        <v>46.388428229224246</v>
      </c>
      <c r="G44">
        <f t="shared" ca="1" si="2"/>
        <v>42</v>
      </c>
      <c r="H44">
        <f t="shared" ca="1" si="3"/>
        <v>1948.3139856274183</v>
      </c>
      <c r="I44">
        <f t="shared" ca="1" si="4"/>
        <v>93128.402745763728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70735</v>
      </c>
      <c r="B46" s="66">
        <v>70735</v>
      </c>
      <c r="D46">
        <f t="shared" si="0"/>
        <v>50.130402120451869</v>
      </c>
      <c r="E46">
        <f t="shared" si="1"/>
        <v>50.130402120451869</v>
      </c>
      <c r="G46">
        <f t="shared" ca="1" si="2"/>
        <v>44</v>
      </c>
      <c r="H46">
        <f t="shared" ca="1" si="3"/>
        <v>2205.7376932998823</v>
      </c>
      <c r="I46">
        <f t="shared" ca="1" si="4"/>
        <v>91856.657289938143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76428</v>
      </c>
      <c r="B49" s="66">
        <v>76428</v>
      </c>
      <c r="D49">
        <f t="shared" si="0"/>
        <v>54.165072075519838</v>
      </c>
      <c r="E49">
        <f t="shared" si="1"/>
        <v>54.165072075519838</v>
      </c>
      <c r="G49">
        <f t="shared" ca="1" si="2"/>
        <v>47</v>
      </c>
      <c r="H49">
        <f t="shared" ca="1" si="3"/>
        <v>2545.7583875494324</v>
      </c>
      <c r="I49">
        <f t="shared" ca="1" si="4"/>
        <v>85825.544804841469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69832</v>
      </c>
      <c r="B51" s="66">
        <v>69832</v>
      </c>
      <c r="D51">
        <f t="shared" si="0"/>
        <v>49.490439540190785</v>
      </c>
      <c r="E51">
        <f t="shared" si="1"/>
        <v>49.490439540190785</v>
      </c>
      <c r="G51">
        <f t="shared" ca="1" si="2"/>
        <v>49</v>
      </c>
      <c r="H51">
        <f t="shared" ca="1" si="3"/>
        <v>2425.0315374693487</v>
      </c>
      <c r="I51">
        <f t="shared" ca="1" si="4"/>
        <v>70736.398781010706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76579</v>
      </c>
      <c r="B54" s="66">
        <v>76579</v>
      </c>
      <c r="D54">
        <f t="shared" si="0"/>
        <v>54.272086859151536</v>
      </c>
      <c r="E54">
        <f t="shared" si="1"/>
        <v>54.272086859151536</v>
      </c>
      <c r="G54">
        <f t="shared" ca="1" si="2"/>
        <v>52</v>
      </c>
      <c r="H54">
        <f t="shared" ca="1" si="3"/>
        <v>2822.1485166758798</v>
      </c>
      <c r="I54">
        <f t="shared" ca="1" si="4"/>
        <v>65748.362824130862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71535</v>
      </c>
      <c r="B57" s="66">
        <v>71535</v>
      </c>
      <c r="D57">
        <f t="shared" si="0"/>
        <v>50.697367861546965</v>
      </c>
      <c r="E57">
        <f t="shared" si="1"/>
        <v>50.697367861546965</v>
      </c>
      <c r="G57">
        <f t="shared" ca="1" si="2"/>
        <v>55</v>
      </c>
      <c r="H57">
        <f t="shared" ca="1" si="3"/>
        <v>2788.3552323850831</v>
      </c>
      <c r="I57">
        <f t="shared" ca="1" si="4"/>
        <v>51286.578781535238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81162</v>
      </c>
      <c r="B59" s="66">
        <v>81162</v>
      </c>
      <c r="D59">
        <f t="shared" si="0"/>
        <v>57.520091848450058</v>
      </c>
      <c r="E59">
        <f t="shared" si="1"/>
        <v>57.520091848450058</v>
      </c>
      <c r="G59">
        <f t="shared" ca="1" si="2"/>
        <v>57</v>
      </c>
      <c r="H59">
        <f t="shared" ca="1" si="3"/>
        <v>3278.6452353616532</v>
      </c>
      <c r="I59">
        <f t="shared" ca="1" si="4"/>
        <v>51100.739738520439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80772</v>
      </c>
      <c r="B62" s="66">
        <v>80772</v>
      </c>
      <c r="D62">
        <f t="shared" si="0"/>
        <v>57.243696049666198</v>
      </c>
      <c r="E62">
        <f t="shared" si="1"/>
        <v>57.243696049666198</v>
      </c>
      <c r="G62">
        <f t="shared" ca="1" si="2"/>
        <v>60</v>
      </c>
      <c r="H62">
        <f t="shared" ca="1" si="3"/>
        <v>3434.6217629799721</v>
      </c>
      <c r="I62">
        <f t="shared" ca="1" si="4"/>
        <v>41133.147260335041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86785</v>
      </c>
      <c r="B64" s="66">
        <v>86785</v>
      </c>
      <c r="D64">
        <f t="shared" si="0"/>
        <v>61.505152301172203</v>
      </c>
      <c r="E64">
        <f t="shared" si="1"/>
        <v>61.505152301172203</v>
      </c>
      <c r="G64">
        <f t="shared" ca="1" si="2"/>
        <v>62</v>
      </c>
      <c r="H64">
        <f t="shared" ca="1" si="3"/>
        <v>3813.3194426726764</v>
      </c>
      <c r="I64">
        <f t="shared" ca="1" si="4"/>
        <v>37846.458261303989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90916</v>
      </c>
      <c r="B67" s="66">
        <v>90916</v>
      </c>
      <c r="D67">
        <f t="shared" ref="D67:D130" si="5">IFERROR( 100*A67/MAX(A$2:A$257), 0 )</f>
        <v>64.432821646751989</v>
      </c>
      <c r="E67">
        <f t="shared" ref="E67:E130" si="6">IFERROR( 100*B67/MAX(B$2:B$257), 0 )</f>
        <v>64.432821646751989</v>
      </c>
      <c r="G67">
        <f t="shared" ref="G67:G130" ca="1" si="7">CELL("row",D67)-2</f>
        <v>65</v>
      </c>
      <c r="H67">
        <f t="shared" ref="H67:H130" ca="1" si="8">D67*G67</f>
        <v>4188.1334070388793</v>
      </c>
      <c r="I67">
        <f t="shared" ref="I67:I130" ca="1" si="9">D67*((G67-$L$1)^2)</f>
        <v>30637.933509248367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90195</v>
      </c>
      <c r="B69" s="66">
        <v>90195</v>
      </c>
      <c r="D69">
        <f t="shared" si="5"/>
        <v>63.921843772590044</v>
      </c>
      <c r="E69">
        <f t="shared" si="6"/>
        <v>63.921843772590044</v>
      </c>
      <c r="G69">
        <f t="shared" ca="1" si="7"/>
        <v>67</v>
      </c>
      <c r="H69">
        <f t="shared" ca="1" si="8"/>
        <v>4282.7635327635326</v>
      </c>
      <c r="I69">
        <f t="shared" ca="1" si="9"/>
        <v>25075.129050679596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95273</v>
      </c>
      <c r="B72" s="66">
        <v>95273</v>
      </c>
      <c r="D72">
        <f t="shared" si="5"/>
        <v>67.520658814191151</v>
      </c>
      <c r="E72">
        <f t="shared" si="6"/>
        <v>67.520658814191151</v>
      </c>
      <c r="G72">
        <f t="shared" ca="1" si="7"/>
        <v>70</v>
      </c>
      <c r="H72">
        <f t="shared" ca="1" si="8"/>
        <v>4726.4461169933802</v>
      </c>
      <c r="I72">
        <f t="shared" ca="1" si="9"/>
        <v>19070.662626105692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107298</v>
      </c>
      <c r="B75" s="66">
        <v>107298</v>
      </c>
      <c r="D75">
        <f t="shared" si="5"/>
        <v>76.042862610026788</v>
      </c>
      <c r="E75">
        <f t="shared" si="6"/>
        <v>76.042862610026788</v>
      </c>
      <c r="G75">
        <f t="shared" ca="1" si="7"/>
        <v>73</v>
      </c>
      <c r="H75">
        <f t="shared" ca="1" si="8"/>
        <v>5551.1289705319559</v>
      </c>
      <c r="I75">
        <f t="shared" ca="1" si="9"/>
        <v>14494.214184438228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113944</v>
      </c>
      <c r="B77" s="66">
        <v>113944</v>
      </c>
      <c r="D77">
        <f t="shared" si="5"/>
        <v>80.752930504174287</v>
      </c>
      <c r="E77">
        <f t="shared" si="6"/>
        <v>80.752930504174287</v>
      </c>
      <c r="G77">
        <f t="shared" ca="1" si="7"/>
        <v>75</v>
      </c>
      <c r="H77">
        <f t="shared" ca="1" si="8"/>
        <v>6056.4697878130719</v>
      </c>
      <c r="I77">
        <f t="shared" ca="1" si="9"/>
        <v>11255.490089103123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122237</v>
      </c>
      <c r="B80" s="66">
        <v>122237</v>
      </c>
      <c r="D80">
        <f t="shared" si="5"/>
        <v>86.63023911780131</v>
      </c>
      <c r="E80">
        <f t="shared" si="6"/>
        <v>86.63023911780131</v>
      </c>
      <c r="G80">
        <f t="shared" ca="1" si="7"/>
        <v>78</v>
      </c>
      <c r="H80">
        <f t="shared" ca="1" si="8"/>
        <v>6757.1586511885025</v>
      </c>
      <c r="I80">
        <f t="shared" ca="1" si="9"/>
        <v>6717.8086107319032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135281</v>
      </c>
      <c r="B82" s="66">
        <v>135281</v>
      </c>
      <c r="D82">
        <f t="shared" si="5"/>
        <v>95.87461552635682</v>
      </c>
      <c r="E82">
        <f t="shared" si="6"/>
        <v>95.87461552635682</v>
      </c>
      <c r="G82">
        <f t="shared" ca="1" si="7"/>
        <v>80</v>
      </c>
      <c r="H82">
        <f t="shared" ca="1" si="8"/>
        <v>7669.9692421085456</v>
      </c>
      <c r="I82">
        <f t="shared" ca="1" si="9"/>
        <v>4441.078982592333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141102</v>
      </c>
      <c r="B85" s="66">
        <v>141102</v>
      </c>
      <c r="D85">
        <f t="shared" si="5"/>
        <v>100</v>
      </c>
      <c r="E85">
        <f t="shared" si="6"/>
        <v>100</v>
      </c>
      <c r="G85">
        <f t="shared" ca="1" si="7"/>
        <v>83</v>
      </c>
      <c r="H85">
        <f t="shared" ca="1" si="8"/>
        <v>8300</v>
      </c>
      <c r="I85">
        <f t="shared" ca="1" si="9"/>
        <v>1448.5693980691919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128740</v>
      </c>
      <c r="B88" s="66">
        <v>128740</v>
      </c>
      <c r="D88">
        <f t="shared" si="5"/>
        <v>91.23896188572806</v>
      </c>
      <c r="E88">
        <f t="shared" si="6"/>
        <v>91.23896188572806</v>
      </c>
      <c r="G88">
        <f t="shared" ca="1" si="7"/>
        <v>86</v>
      </c>
      <c r="H88">
        <f t="shared" ca="1" si="8"/>
        <v>7846.550722172613</v>
      </c>
      <c r="I88">
        <f t="shared" ca="1" si="9"/>
        <v>59.273234536550504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128786</v>
      </c>
      <c r="B90" s="66">
        <v>128786</v>
      </c>
      <c r="D90">
        <f t="shared" si="5"/>
        <v>91.271562415841018</v>
      </c>
      <c r="E90">
        <f t="shared" si="6"/>
        <v>91.271562415841018</v>
      </c>
      <c r="G90">
        <f t="shared" ca="1" si="7"/>
        <v>88</v>
      </c>
      <c r="H90">
        <f t="shared" ca="1" si="8"/>
        <v>8031.8974925940092</v>
      </c>
      <c r="I90">
        <f t="shared" ca="1" si="9"/>
        <v>130.11836498611692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123754</v>
      </c>
      <c r="B93" s="66">
        <v>123754</v>
      </c>
      <c r="D93">
        <f t="shared" si="5"/>
        <v>87.705347904352877</v>
      </c>
      <c r="E93">
        <f t="shared" si="6"/>
        <v>87.705347904352877</v>
      </c>
      <c r="G93">
        <f t="shared" ca="1" si="7"/>
        <v>91</v>
      </c>
      <c r="H93">
        <f t="shared" ca="1" si="8"/>
        <v>7981.1866592961114</v>
      </c>
      <c r="I93">
        <f t="shared" ca="1" si="9"/>
        <v>1542.6995412760145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119542</v>
      </c>
      <c r="B95" s="66">
        <v>119542</v>
      </c>
      <c r="D95">
        <f t="shared" si="5"/>
        <v>84.720273277487209</v>
      </c>
      <c r="E95">
        <f t="shared" si="6"/>
        <v>84.720273277487209</v>
      </c>
      <c r="G95">
        <f t="shared" ca="1" si="7"/>
        <v>93</v>
      </c>
      <c r="H95">
        <f t="shared" ca="1" si="8"/>
        <v>7878.9854148063105</v>
      </c>
      <c r="I95">
        <f t="shared" ca="1" si="9"/>
        <v>3250.3391722315787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123742</v>
      </c>
      <c r="B98" s="66">
        <v>123742</v>
      </c>
      <c r="D98">
        <f t="shared" si="5"/>
        <v>87.696843418236455</v>
      </c>
      <c r="E98">
        <f t="shared" si="6"/>
        <v>87.696843418236455</v>
      </c>
      <c r="G98">
        <f t="shared" ca="1" si="7"/>
        <v>96</v>
      </c>
      <c r="H98">
        <f t="shared" ca="1" si="8"/>
        <v>8418.8969681507006</v>
      </c>
      <c r="I98">
        <f t="shared" ca="1" si="9"/>
        <v>7412.9699695489635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123541</v>
      </c>
      <c r="B100" s="66">
        <v>123541</v>
      </c>
      <c r="D100">
        <f t="shared" si="5"/>
        <v>87.55439327578631</v>
      </c>
      <c r="E100">
        <f t="shared" si="6"/>
        <v>87.55439327578631</v>
      </c>
      <c r="G100">
        <f t="shared" ca="1" si="7"/>
        <v>98</v>
      </c>
      <c r="H100">
        <f t="shared" ca="1" si="8"/>
        <v>8580.3305410270586</v>
      </c>
      <c r="I100">
        <f t="shared" ca="1" si="9"/>
        <v>10971.044003416104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123665</v>
      </c>
      <c r="B103" s="66">
        <v>123665</v>
      </c>
      <c r="D103">
        <f t="shared" si="5"/>
        <v>87.642272965656048</v>
      </c>
      <c r="E103">
        <f t="shared" si="6"/>
        <v>87.642272965656048</v>
      </c>
      <c r="G103">
        <f t="shared" ca="1" si="7"/>
        <v>101</v>
      </c>
      <c r="H103">
        <f t="shared" ca="1" si="8"/>
        <v>8851.8695695312599</v>
      </c>
      <c r="I103">
        <f t="shared" ca="1" si="9"/>
        <v>17657.237881587644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116368</v>
      </c>
      <c r="B106" s="66">
        <v>116368</v>
      </c>
      <c r="D106">
        <f t="shared" si="5"/>
        <v>82.470836699692427</v>
      </c>
      <c r="E106">
        <f t="shared" si="6"/>
        <v>82.470836699692427</v>
      </c>
      <c r="G106">
        <f t="shared" ca="1" si="7"/>
        <v>104</v>
      </c>
      <c r="H106">
        <f t="shared" ca="1" si="8"/>
        <v>8576.9670167680124</v>
      </c>
      <c r="I106">
        <f t="shared" ca="1" si="9"/>
        <v>24381.131715619627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121828</v>
      </c>
      <c r="B108" s="66">
        <v>121828</v>
      </c>
      <c r="D108">
        <f t="shared" si="5"/>
        <v>86.340377882666445</v>
      </c>
      <c r="E108">
        <f t="shared" si="6"/>
        <v>86.340377882666445</v>
      </c>
      <c r="G108">
        <f t="shared" ca="1" si="7"/>
        <v>106</v>
      </c>
      <c r="H108">
        <f t="shared" ca="1" si="8"/>
        <v>9152.0800555626429</v>
      </c>
      <c r="I108">
        <f t="shared" ca="1" si="9"/>
        <v>31808.60194180056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110851</v>
      </c>
      <c r="B111" s="66">
        <v>110851</v>
      </c>
      <c r="D111">
        <f t="shared" si="5"/>
        <v>78.560899207665372</v>
      </c>
      <c r="E111">
        <f t="shared" si="6"/>
        <v>78.560899207665372</v>
      </c>
      <c r="G111">
        <f t="shared" ca="1" si="7"/>
        <v>109</v>
      </c>
      <c r="H111">
        <f t="shared" ca="1" si="8"/>
        <v>8563.1380136355256</v>
      </c>
      <c r="I111">
        <f t="shared" ca="1" si="9"/>
        <v>38697.001208433292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109981</v>
      </c>
      <c r="B113" s="66">
        <v>109981</v>
      </c>
      <c r="D113">
        <f t="shared" si="5"/>
        <v>77.944323964224466</v>
      </c>
      <c r="E113">
        <f t="shared" si="6"/>
        <v>77.944323964224466</v>
      </c>
      <c r="G113">
        <f t="shared" ca="1" si="7"/>
        <v>111</v>
      </c>
      <c r="H113">
        <f t="shared" ca="1" si="8"/>
        <v>8651.8199600289154</v>
      </c>
      <c r="I113">
        <f t="shared" ca="1" si="9"/>
        <v>45624.652932666286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109969</v>
      </c>
      <c r="B116" s="66">
        <v>109969</v>
      </c>
      <c r="D116">
        <f t="shared" si="5"/>
        <v>77.93581947810803</v>
      </c>
      <c r="E116">
        <f t="shared" si="6"/>
        <v>77.93581947810803</v>
      </c>
      <c r="G116">
        <f t="shared" ca="1" si="7"/>
        <v>114</v>
      </c>
      <c r="H116">
        <f t="shared" ca="1" si="8"/>
        <v>8884.683420504316</v>
      </c>
      <c r="I116">
        <f t="shared" ca="1" si="9"/>
        <v>57634.56895014656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102840</v>
      </c>
      <c r="B118" s="66">
        <v>102840</v>
      </c>
      <c r="D118">
        <f t="shared" si="5"/>
        <v>72.883446017774375</v>
      </c>
      <c r="E118">
        <f t="shared" si="6"/>
        <v>72.883446017774375</v>
      </c>
      <c r="G118">
        <f t="shared" ca="1" si="7"/>
        <v>116</v>
      </c>
      <c r="H118">
        <f t="shared" ca="1" si="8"/>
        <v>8454.4797380618274</v>
      </c>
      <c r="I118">
        <f t="shared" ca="1" si="9"/>
        <v>62117.773262616553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91595</v>
      </c>
      <c r="B121" s="66">
        <v>91595</v>
      </c>
      <c r="D121">
        <f t="shared" si="5"/>
        <v>64.914033819506457</v>
      </c>
      <c r="E121">
        <f t="shared" si="6"/>
        <v>64.914033819506457</v>
      </c>
      <c r="G121">
        <f t="shared" ca="1" si="7"/>
        <v>119</v>
      </c>
      <c r="H121">
        <f t="shared" ca="1" si="8"/>
        <v>7724.7700245212682</v>
      </c>
      <c r="I121">
        <f t="shared" ca="1" si="9"/>
        <v>67280.35454298259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75985</v>
      </c>
      <c r="B124" s="66">
        <v>75985</v>
      </c>
      <c r="D124">
        <f t="shared" si="5"/>
        <v>53.85111479638843</v>
      </c>
      <c r="E124">
        <f t="shared" si="6"/>
        <v>53.85111479638843</v>
      </c>
      <c r="G124">
        <f t="shared" ca="1" si="7"/>
        <v>122</v>
      </c>
      <c r="H124">
        <f t="shared" ca="1" si="8"/>
        <v>6569.8360051593882</v>
      </c>
      <c r="I124">
        <f t="shared" ca="1" si="9"/>
        <v>66700.911633028227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68189</v>
      </c>
      <c r="B126" s="66">
        <v>68189</v>
      </c>
      <c r="D126">
        <f t="shared" si="5"/>
        <v>48.326033649416736</v>
      </c>
      <c r="E126">
        <f t="shared" si="6"/>
        <v>48.326033649416736</v>
      </c>
      <c r="G126">
        <f t="shared" ca="1" si="7"/>
        <v>124</v>
      </c>
      <c r="H126">
        <f t="shared" ca="1" si="8"/>
        <v>5992.4281725276751</v>
      </c>
      <c r="I126">
        <f t="shared" ca="1" si="9"/>
        <v>66853.900021535621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55987</v>
      </c>
      <c r="B129" s="66">
        <v>55987</v>
      </c>
      <c r="D129">
        <f t="shared" si="5"/>
        <v>39.678388683363806</v>
      </c>
      <c r="E129">
        <f t="shared" si="6"/>
        <v>39.678388683363806</v>
      </c>
      <c r="G129">
        <f t="shared" ca="1" si="7"/>
        <v>127</v>
      </c>
      <c r="H129">
        <f t="shared" ca="1" si="8"/>
        <v>5039.1553627872036</v>
      </c>
      <c r="I129">
        <f t="shared" ca="1" si="9"/>
        <v>64102.699525885873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50138</v>
      </c>
      <c r="B131" s="66">
        <v>50138</v>
      </c>
      <c r="D131">
        <f t="shared" ref="D131:D194" si="10">IFERROR( 100*A131/MAX(A$2:A$257), 0 )</f>
        <v>35.533160408782301</v>
      </c>
      <c r="E131">
        <f t="shared" ref="E131:E194" si="11">IFERROR( 100*B131/MAX(B$2:B$257), 0 )</f>
        <v>35.533160408782301</v>
      </c>
      <c r="G131">
        <f t="shared" ref="G131:G194" ca="1" si="12">CELL("row",D131)-2</f>
        <v>129</v>
      </c>
      <c r="H131">
        <f t="shared" ref="H131:H194" ca="1" si="13">D131*G131</f>
        <v>4583.7776927329169</v>
      </c>
      <c r="I131">
        <f t="shared" ref="I131:I194" ca="1" si="14">D131*((G131-$L$1)^2)</f>
        <v>63260.857829003406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42313</v>
      </c>
      <c r="B134" s="66">
        <v>42313</v>
      </c>
      <c r="D134">
        <f t="shared" si="10"/>
        <v>29.987526753695906</v>
      </c>
      <c r="E134">
        <f t="shared" si="11"/>
        <v>29.987526753695906</v>
      </c>
      <c r="G134">
        <f t="shared" ca="1" si="12"/>
        <v>132</v>
      </c>
      <c r="H134">
        <f t="shared" ca="1" si="13"/>
        <v>3958.3535314878595</v>
      </c>
      <c r="I134">
        <f t="shared" ca="1" si="14"/>
        <v>61249.431857927506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40530</v>
      </c>
      <c r="B136" s="66">
        <v>40530</v>
      </c>
      <c r="D136">
        <f t="shared" si="10"/>
        <v>28.723901858230217</v>
      </c>
      <c r="E136">
        <f t="shared" si="11"/>
        <v>28.723901858230217</v>
      </c>
      <c r="G136">
        <f t="shared" ca="1" si="12"/>
        <v>134</v>
      </c>
      <c r="H136">
        <f t="shared" ca="1" si="13"/>
        <v>3849.002849002849</v>
      </c>
      <c r="I136">
        <f t="shared" ca="1" si="14"/>
        <v>63975.968680731799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35658</v>
      </c>
      <c r="B139" s="66">
        <v>35658</v>
      </c>
      <c r="D139">
        <f t="shared" si="10"/>
        <v>25.27108049496109</v>
      </c>
      <c r="E139">
        <f t="shared" si="11"/>
        <v>25.27108049496109</v>
      </c>
      <c r="G139">
        <f t="shared" ca="1" si="12"/>
        <v>137</v>
      </c>
      <c r="H139">
        <f t="shared" ca="1" si="13"/>
        <v>3462.1380278096694</v>
      </c>
      <c r="I139">
        <f t="shared" ca="1" si="14"/>
        <v>63668.891977713916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30217</v>
      </c>
      <c r="B142" s="66">
        <v>30217</v>
      </c>
      <c r="D142">
        <f t="shared" si="10"/>
        <v>21.415004748338081</v>
      </c>
      <c r="E142">
        <f t="shared" si="11"/>
        <v>21.415004748338081</v>
      </c>
      <c r="G142">
        <f t="shared" ca="1" si="12"/>
        <v>140</v>
      </c>
      <c r="H142">
        <f t="shared" ca="1" si="13"/>
        <v>2998.1006647673312</v>
      </c>
      <c r="I142">
        <f t="shared" ca="1" si="14"/>
        <v>60595.915117030017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24284</v>
      </c>
      <c r="B144" s="66">
        <v>24284</v>
      </c>
      <c r="D144">
        <f t="shared" si="10"/>
        <v>17.210245070941589</v>
      </c>
      <c r="E144">
        <f t="shared" si="11"/>
        <v>17.210245070941589</v>
      </c>
      <c r="G144">
        <f t="shared" ca="1" si="12"/>
        <v>142</v>
      </c>
      <c r="H144">
        <f t="shared" ca="1" si="13"/>
        <v>2443.8548000737055</v>
      </c>
      <c r="I144">
        <f t="shared" ca="1" si="14"/>
        <v>52428.891223378101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19963</v>
      </c>
      <c r="B147" s="66">
        <v>19963</v>
      </c>
      <c r="D147">
        <f t="shared" si="10"/>
        <v>14.14792136185171</v>
      </c>
      <c r="E147">
        <f t="shared" si="11"/>
        <v>14.14792136185171</v>
      </c>
      <c r="G147">
        <f t="shared" ca="1" si="12"/>
        <v>145</v>
      </c>
      <c r="H147">
        <f t="shared" ca="1" si="13"/>
        <v>2051.4485974684981</v>
      </c>
      <c r="I147">
        <f t="shared" ca="1" si="14"/>
        <v>47912.512212239104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14551</v>
      </c>
      <c r="B149" s="66">
        <v>14551</v>
      </c>
      <c r="D149">
        <f t="shared" si="10"/>
        <v>10.312398123343398</v>
      </c>
      <c r="E149">
        <f t="shared" si="11"/>
        <v>10.312398123343398</v>
      </c>
      <c r="G149">
        <f t="shared" ca="1" si="12"/>
        <v>147</v>
      </c>
      <c r="H149">
        <f t="shared" ca="1" si="13"/>
        <v>1515.9225241314793</v>
      </c>
      <c r="I149">
        <f t="shared" ca="1" si="14"/>
        <v>37365.084533337555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10675</v>
      </c>
      <c r="B152" s="66">
        <v>10675</v>
      </c>
      <c r="D152">
        <f t="shared" si="10"/>
        <v>7.5654491077376651</v>
      </c>
      <c r="E152">
        <f t="shared" si="11"/>
        <v>7.5654491077376651</v>
      </c>
      <c r="G152">
        <f t="shared" ca="1" si="12"/>
        <v>150</v>
      </c>
      <c r="H152">
        <f t="shared" ca="1" si="13"/>
        <v>1134.8173661606497</v>
      </c>
      <c r="I152">
        <f t="shared" ca="1" si="14"/>
        <v>30212.474796601477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7981</v>
      </c>
      <c r="B154" s="66">
        <v>7981</v>
      </c>
      <c r="D154">
        <f t="shared" si="10"/>
        <v>5.6561919745999347</v>
      </c>
      <c r="E154">
        <f t="shared" si="11"/>
        <v>5.6561919745999347</v>
      </c>
      <c r="G154">
        <f t="shared" ca="1" si="12"/>
        <v>152</v>
      </c>
      <c r="H154">
        <f t="shared" ca="1" si="13"/>
        <v>859.74118013919008</v>
      </c>
      <c r="I154">
        <f t="shared" ca="1" si="14"/>
        <v>24040.267513188577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5578</v>
      </c>
      <c r="B157" s="66">
        <v>5578</v>
      </c>
      <c r="D157">
        <f t="shared" si="10"/>
        <v>3.9531686297855453</v>
      </c>
      <c r="E157">
        <f t="shared" si="11"/>
        <v>3.9531686297855453</v>
      </c>
      <c r="G157">
        <f t="shared" ca="1" si="12"/>
        <v>155</v>
      </c>
      <c r="H157">
        <f t="shared" ca="1" si="13"/>
        <v>612.74113761675949</v>
      </c>
      <c r="I157">
        <f t="shared" ca="1" si="14"/>
        <v>18383.896819891284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5172</v>
      </c>
      <c r="B160" s="66">
        <v>5172</v>
      </c>
      <c r="D160">
        <f t="shared" si="10"/>
        <v>3.6654335161797849</v>
      </c>
      <c r="E160">
        <f t="shared" si="11"/>
        <v>3.6654335161797849</v>
      </c>
      <c r="G160">
        <f t="shared" ca="1" si="12"/>
        <v>158</v>
      </c>
      <c r="H160">
        <f t="shared" ca="1" si="13"/>
        <v>579.13849555640604</v>
      </c>
      <c r="I160">
        <f t="shared" ca="1" si="14"/>
        <v>18578.559694402978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4825</v>
      </c>
      <c r="B162" s="66">
        <v>4825</v>
      </c>
      <c r="D162">
        <f t="shared" si="10"/>
        <v>3.4195121259797876</v>
      </c>
      <c r="E162">
        <f t="shared" si="11"/>
        <v>3.4195121259797876</v>
      </c>
      <c r="G162">
        <f t="shared" ca="1" si="12"/>
        <v>160</v>
      </c>
      <c r="H162">
        <f t="shared" ca="1" si="13"/>
        <v>547.12194015676596</v>
      </c>
      <c r="I162">
        <f t="shared" ca="1" si="14"/>
        <v>18319.559264675248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1869</v>
      </c>
      <c r="B165" s="66">
        <v>1869</v>
      </c>
      <c r="D165">
        <f t="shared" si="10"/>
        <v>1.3245737126334141</v>
      </c>
      <c r="E165">
        <f t="shared" si="11"/>
        <v>1.3245737126334141</v>
      </c>
      <c r="G165">
        <f t="shared" ca="1" si="12"/>
        <v>163</v>
      </c>
      <c r="H165">
        <f t="shared" ca="1" si="13"/>
        <v>215.90551515924651</v>
      </c>
      <c r="I165">
        <f t="shared" ca="1" si="14"/>
        <v>7689.8451079793758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1379</v>
      </c>
      <c r="B167" s="66">
        <v>1379</v>
      </c>
      <c r="D167">
        <f t="shared" si="10"/>
        <v>0.97730719621266882</v>
      </c>
      <c r="E167">
        <f t="shared" si="11"/>
        <v>0.97730719621266882</v>
      </c>
      <c r="G167">
        <f t="shared" ca="1" si="12"/>
        <v>165</v>
      </c>
      <c r="H167">
        <f t="shared" ca="1" si="13"/>
        <v>161.25568737509036</v>
      </c>
      <c r="I167">
        <f t="shared" ca="1" si="14"/>
        <v>5975.5498245015897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1108</v>
      </c>
      <c r="B170" s="66">
        <v>1108</v>
      </c>
      <c r="D170">
        <f t="shared" si="10"/>
        <v>0.78524755141670566</v>
      </c>
      <c r="E170">
        <f t="shared" si="11"/>
        <v>0.78524755141670566</v>
      </c>
      <c r="G170">
        <f t="shared" ca="1" si="12"/>
        <v>168</v>
      </c>
      <c r="H170">
        <f t="shared" ca="1" si="13"/>
        <v>131.92158863800654</v>
      </c>
      <c r="I170">
        <f t="shared" ca="1" si="14"/>
        <v>5176.7165271872454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269</v>
      </c>
      <c r="B173" s="66">
        <v>269</v>
      </c>
      <c r="D173">
        <f t="shared" si="10"/>
        <v>0.19064223044322548</v>
      </c>
      <c r="E173">
        <f t="shared" si="11"/>
        <v>0.19064223044322548</v>
      </c>
      <c r="G173">
        <f t="shared" ca="1" si="12"/>
        <v>171</v>
      </c>
      <c r="H173">
        <f t="shared" ca="1" si="13"/>
        <v>32.599821405791559</v>
      </c>
      <c r="I173">
        <f t="shared" ca="1" si="14"/>
        <v>1351.3919200729772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402</v>
      </c>
      <c r="B1" s="66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98.107584023470537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1.8931762778665566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0.49439159485602374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92</v>
      </c>
      <c r="B8" s="66">
        <v>92</v>
      </c>
      <c r="D8">
        <f t="shared" si="0"/>
        <v>4.6624535655100066E-2</v>
      </c>
      <c r="E8">
        <f t="shared" si="1"/>
        <v>4.6624535655100066E-2</v>
      </c>
      <c r="G8">
        <f t="shared" ca="1" si="2"/>
        <v>6</v>
      </c>
      <c r="H8">
        <f t="shared" ca="1" si="3"/>
        <v>0.27974721393060042</v>
      </c>
      <c r="I8">
        <f t="shared" ca="1" si="4"/>
        <v>395.55356357759342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120</v>
      </c>
      <c r="B10" s="66">
        <v>120</v>
      </c>
      <c r="D10">
        <f t="shared" si="0"/>
        <v>6.0814611724043566E-2</v>
      </c>
      <c r="E10">
        <f t="shared" si="1"/>
        <v>6.0814611724043566E-2</v>
      </c>
      <c r="G10">
        <f t="shared" ca="1" si="2"/>
        <v>8</v>
      </c>
      <c r="H10">
        <f t="shared" ca="1" si="3"/>
        <v>0.48651689379234853</v>
      </c>
      <c r="I10">
        <f t="shared" ca="1" si="4"/>
        <v>493.77674136337055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225</v>
      </c>
      <c r="B13" s="66">
        <v>225</v>
      </c>
      <c r="D13">
        <f t="shared" si="0"/>
        <v>0.11402739698258169</v>
      </c>
      <c r="E13">
        <f t="shared" si="1"/>
        <v>0.11402739698258169</v>
      </c>
      <c r="G13">
        <f t="shared" ca="1" si="2"/>
        <v>11</v>
      </c>
      <c r="H13">
        <f t="shared" ca="1" si="3"/>
        <v>1.2543013668083987</v>
      </c>
      <c r="I13">
        <f t="shared" ca="1" si="4"/>
        <v>865.20923710164925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282</v>
      </c>
      <c r="B15" s="66">
        <v>282</v>
      </c>
      <c r="D15">
        <f t="shared" si="0"/>
        <v>0.14291433755150237</v>
      </c>
      <c r="E15">
        <f t="shared" si="1"/>
        <v>0.14291433755150237</v>
      </c>
      <c r="G15">
        <f t="shared" ca="1" si="2"/>
        <v>13</v>
      </c>
      <c r="H15">
        <f t="shared" ca="1" si="3"/>
        <v>1.8578863881695309</v>
      </c>
      <c r="I15">
        <f t="shared" ca="1" si="4"/>
        <v>1035.171543851902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53</v>
      </c>
      <c r="B18" s="66">
        <v>53</v>
      </c>
      <c r="D18">
        <f t="shared" si="0"/>
        <v>2.6859786844785908E-2</v>
      </c>
      <c r="E18">
        <f t="shared" si="1"/>
        <v>2.6859786844785908E-2</v>
      </c>
      <c r="G18">
        <f t="shared" ca="1" si="2"/>
        <v>16</v>
      </c>
      <c r="H18">
        <f t="shared" ca="1" si="3"/>
        <v>0.42975658951657453</v>
      </c>
      <c r="I18">
        <f t="shared" ca="1" si="4"/>
        <v>181.07942579405005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384</v>
      </c>
      <c r="B21" s="66">
        <v>384</v>
      </c>
      <c r="D21">
        <f t="shared" si="0"/>
        <v>0.1946067575169394</v>
      </c>
      <c r="E21">
        <f t="shared" si="1"/>
        <v>0.1946067575169394</v>
      </c>
      <c r="G21">
        <f t="shared" ca="1" si="2"/>
        <v>19</v>
      </c>
      <c r="H21">
        <f t="shared" ca="1" si="3"/>
        <v>3.6975283928218485</v>
      </c>
      <c r="I21">
        <f t="shared" ca="1" si="4"/>
        <v>1217.8510054234944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803</v>
      </c>
      <c r="B23" s="66">
        <v>803</v>
      </c>
      <c r="D23">
        <f t="shared" si="0"/>
        <v>0.40695111012005819</v>
      </c>
      <c r="E23">
        <f t="shared" si="1"/>
        <v>0.40695111012005819</v>
      </c>
      <c r="G23">
        <f t="shared" ca="1" si="2"/>
        <v>21</v>
      </c>
      <c r="H23">
        <f t="shared" ca="1" si="3"/>
        <v>8.5459733125212214</v>
      </c>
      <c r="I23">
        <f t="shared" ca="1" si="4"/>
        <v>2419.5601835035627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1046</v>
      </c>
      <c r="B26" s="66">
        <v>1046</v>
      </c>
      <c r="D26">
        <f t="shared" si="0"/>
        <v>0.53010069886124644</v>
      </c>
      <c r="E26">
        <f t="shared" si="1"/>
        <v>0.53010069886124644</v>
      </c>
      <c r="G26">
        <f t="shared" ca="1" si="2"/>
        <v>24</v>
      </c>
      <c r="H26">
        <f t="shared" ca="1" si="3"/>
        <v>12.722416772669915</v>
      </c>
      <c r="I26">
        <f t="shared" ca="1" si="4"/>
        <v>2911.2780566925721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2540</v>
      </c>
      <c r="B28" s="66">
        <v>2540</v>
      </c>
      <c r="D28">
        <f t="shared" si="0"/>
        <v>1.2872426148255887</v>
      </c>
      <c r="E28">
        <f t="shared" si="1"/>
        <v>1.2872426148255887</v>
      </c>
      <c r="G28">
        <f t="shared" ca="1" si="2"/>
        <v>26</v>
      </c>
      <c r="H28">
        <f t="shared" ca="1" si="3"/>
        <v>33.468307985465302</v>
      </c>
      <c r="I28">
        <f t="shared" ca="1" si="4"/>
        <v>6693.022704731241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1443</v>
      </c>
      <c r="B31" s="66">
        <v>1443</v>
      </c>
      <c r="D31">
        <f t="shared" si="0"/>
        <v>0.73129570598162386</v>
      </c>
      <c r="E31">
        <f t="shared" si="1"/>
        <v>0.73129570598162386</v>
      </c>
      <c r="G31">
        <f t="shared" ca="1" si="2"/>
        <v>29</v>
      </c>
      <c r="H31">
        <f t="shared" ca="1" si="3"/>
        <v>21.207575473467092</v>
      </c>
      <c r="I31">
        <f t="shared" ca="1" si="4"/>
        <v>3492.5645717772468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4808</v>
      </c>
      <c r="B33" s="66">
        <v>4808</v>
      </c>
      <c r="D33">
        <f t="shared" si="0"/>
        <v>2.4366387764100121</v>
      </c>
      <c r="E33">
        <f t="shared" si="1"/>
        <v>2.4366387764100121</v>
      </c>
      <c r="G33">
        <f t="shared" ca="1" si="2"/>
        <v>31</v>
      </c>
      <c r="H33">
        <f t="shared" ca="1" si="3"/>
        <v>75.535802068710382</v>
      </c>
      <c r="I33">
        <f t="shared" ca="1" si="4"/>
        <v>10973.226885790207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6658</v>
      </c>
      <c r="B36" s="66">
        <v>6658</v>
      </c>
      <c r="D36">
        <f t="shared" si="0"/>
        <v>3.3741973738223505</v>
      </c>
      <c r="E36">
        <f t="shared" si="1"/>
        <v>3.3741973738223505</v>
      </c>
      <c r="G36">
        <f t="shared" ca="1" si="2"/>
        <v>34</v>
      </c>
      <c r="H36">
        <f t="shared" ca="1" si="3"/>
        <v>114.72271070995991</v>
      </c>
      <c r="I36">
        <f t="shared" ca="1" si="4"/>
        <v>13867.216742594421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10310</v>
      </c>
      <c r="B39" s="66">
        <v>10310</v>
      </c>
      <c r="D39">
        <f t="shared" si="0"/>
        <v>5.2249887239574093</v>
      </c>
      <c r="E39">
        <f t="shared" si="1"/>
        <v>5.2249887239574093</v>
      </c>
      <c r="G39">
        <f t="shared" ca="1" si="2"/>
        <v>37</v>
      </c>
      <c r="H39">
        <f t="shared" ca="1" si="3"/>
        <v>193.32458278642414</v>
      </c>
      <c r="I39">
        <f t="shared" ca="1" si="4"/>
        <v>19510.822805308417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17843</v>
      </c>
      <c r="B41" s="66">
        <v>17843</v>
      </c>
      <c r="D41">
        <f t="shared" si="0"/>
        <v>9.0426259749342446</v>
      </c>
      <c r="E41">
        <f t="shared" si="1"/>
        <v>9.0426259749342446</v>
      </c>
      <c r="G41">
        <f t="shared" ca="1" si="2"/>
        <v>39</v>
      </c>
      <c r="H41">
        <f t="shared" ca="1" si="3"/>
        <v>352.66241302243554</v>
      </c>
      <c r="I41">
        <f t="shared" ca="1" si="4"/>
        <v>31592.281047056291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21102</v>
      </c>
      <c r="B44" s="66">
        <v>21102</v>
      </c>
      <c r="D44">
        <f t="shared" si="0"/>
        <v>10.694249471673061</v>
      </c>
      <c r="E44">
        <f t="shared" si="1"/>
        <v>10.694249471673061</v>
      </c>
      <c r="G44">
        <f t="shared" ca="1" si="2"/>
        <v>42</v>
      </c>
      <c r="H44">
        <f t="shared" ca="1" si="3"/>
        <v>449.15847781026855</v>
      </c>
      <c r="I44">
        <f t="shared" ca="1" si="4"/>
        <v>33666.149525104738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26991</v>
      </c>
      <c r="B46" s="66">
        <v>26991</v>
      </c>
      <c r="D46">
        <f t="shared" si="0"/>
        <v>13.678726542030498</v>
      </c>
      <c r="E46">
        <f t="shared" si="1"/>
        <v>13.678726542030498</v>
      </c>
      <c r="G46">
        <f t="shared" ca="1" si="2"/>
        <v>44</v>
      </c>
      <c r="H46">
        <f t="shared" ca="1" si="3"/>
        <v>601.86396784934186</v>
      </c>
      <c r="I46">
        <f t="shared" ca="1" si="4"/>
        <v>40046.259061781173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28559</v>
      </c>
      <c r="B49" s="66">
        <v>28559</v>
      </c>
      <c r="D49">
        <f t="shared" si="0"/>
        <v>14.473370801891335</v>
      </c>
      <c r="E49">
        <f t="shared" si="1"/>
        <v>14.473370801891335</v>
      </c>
      <c r="G49">
        <f t="shared" ca="1" si="2"/>
        <v>47</v>
      </c>
      <c r="H49">
        <f t="shared" ca="1" si="3"/>
        <v>680.24842768889278</v>
      </c>
      <c r="I49">
        <f t="shared" ca="1" si="4"/>
        <v>37804.229528507924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35383</v>
      </c>
      <c r="B51" s="66">
        <v>35383</v>
      </c>
      <c r="D51">
        <f t="shared" si="0"/>
        <v>17.93169505526528</v>
      </c>
      <c r="E51">
        <f t="shared" si="1"/>
        <v>17.93169505526528</v>
      </c>
      <c r="G51">
        <f t="shared" ca="1" si="2"/>
        <v>49</v>
      </c>
      <c r="H51">
        <f t="shared" ca="1" si="3"/>
        <v>878.65305770799876</v>
      </c>
      <c r="I51">
        <f t="shared" ca="1" si="4"/>
        <v>43243.265437272246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40752</v>
      </c>
      <c r="B54" s="66">
        <v>40752</v>
      </c>
      <c r="D54">
        <f t="shared" si="0"/>
        <v>20.652642141485195</v>
      </c>
      <c r="E54">
        <f t="shared" si="1"/>
        <v>20.652642141485195</v>
      </c>
      <c r="G54">
        <f t="shared" ca="1" si="2"/>
        <v>52</v>
      </c>
      <c r="H54">
        <f t="shared" ca="1" si="3"/>
        <v>1073.9373913572301</v>
      </c>
      <c r="I54">
        <f t="shared" ca="1" si="4"/>
        <v>43905.644090707945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46332</v>
      </c>
      <c r="B57" s="66">
        <v>46332</v>
      </c>
      <c r="D57">
        <f t="shared" si="0"/>
        <v>23.480521586653222</v>
      </c>
      <c r="E57">
        <f t="shared" si="1"/>
        <v>23.480521586653222</v>
      </c>
      <c r="G57">
        <f t="shared" ca="1" si="2"/>
        <v>55</v>
      </c>
      <c r="H57">
        <f t="shared" ca="1" si="3"/>
        <v>1291.4286872659272</v>
      </c>
      <c r="I57">
        <f t="shared" ca="1" si="4"/>
        <v>43633.003277593059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54351</v>
      </c>
      <c r="B59" s="66">
        <v>54351</v>
      </c>
      <c r="D59">
        <f t="shared" si="0"/>
        <v>27.544458015112433</v>
      </c>
      <c r="E59">
        <f t="shared" si="1"/>
        <v>27.544458015112433</v>
      </c>
      <c r="G59">
        <f t="shared" ca="1" si="2"/>
        <v>57</v>
      </c>
      <c r="H59">
        <f t="shared" ca="1" si="3"/>
        <v>1570.0341068614086</v>
      </c>
      <c r="I59">
        <f t="shared" ca="1" si="4"/>
        <v>46545.546908474949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60151</v>
      </c>
      <c r="B62" s="66">
        <v>60151</v>
      </c>
      <c r="D62">
        <f t="shared" si="0"/>
        <v>30.48383091510787</v>
      </c>
      <c r="E62">
        <f t="shared" si="1"/>
        <v>30.48383091510787</v>
      </c>
      <c r="G62">
        <f t="shared" ca="1" si="2"/>
        <v>60</v>
      </c>
      <c r="H62">
        <f t="shared" ca="1" si="3"/>
        <v>1829.0298549064721</v>
      </c>
      <c r="I62">
        <f t="shared" ca="1" si="4"/>
        <v>44268.252232822662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67275</v>
      </c>
      <c r="B64" s="66">
        <v>67275</v>
      </c>
      <c r="D64">
        <f t="shared" si="0"/>
        <v>34.094191697791921</v>
      </c>
      <c r="E64">
        <f t="shared" si="1"/>
        <v>34.094191697791921</v>
      </c>
      <c r="G64">
        <f t="shared" ca="1" si="2"/>
        <v>62</v>
      </c>
      <c r="H64">
        <f t="shared" ca="1" si="3"/>
        <v>2113.8398852630989</v>
      </c>
      <c r="I64">
        <f t="shared" ca="1" si="4"/>
        <v>44450.56236052233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73067</v>
      </c>
      <c r="B67" s="66">
        <v>73067</v>
      </c>
      <c r="D67">
        <f t="shared" ref="D67:D130" si="5">IFERROR(100*A67/MAX(A$2:A$257), 0 )</f>
        <v>37.02951029033909</v>
      </c>
      <c r="E67">
        <f t="shared" ref="E67:E130" si="6">IFERROR(100*B67/MAX(B$2:B$257), 0 )</f>
        <v>37.02951029033909</v>
      </c>
      <c r="G67">
        <f t="shared" ref="G67:G130" ca="1" si="7">CELL("row",D67)-2</f>
        <v>65</v>
      </c>
      <c r="H67">
        <f t="shared" ref="H67:H130" ca="1" si="8">D67*G67</f>
        <v>2406.918168872041</v>
      </c>
      <c r="I67">
        <f t="shared" ref="I67:I130" ca="1" si="9">D67*((G67-$L$1)^2)</f>
        <v>40588.495022134564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84216</v>
      </c>
      <c r="B69" s="66">
        <v>84216</v>
      </c>
      <c r="D69">
        <f t="shared" si="5"/>
        <v>42.679694507933775</v>
      </c>
      <c r="E69">
        <f t="shared" si="6"/>
        <v>42.679694507933775</v>
      </c>
      <c r="G69">
        <f t="shared" ca="1" si="7"/>
        <v>67</v>
      </c>
      <c r="H69">
        <f t="shared" ca="1" si="8"/>
        <v>2859.5395320315629</v>
      </c>
      <c r="I69">
        <f t="shared" ca="1" si="9"/>
        <v>41300.362912506709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100116</v>
      </c>
      <c r="B72" s="66">
        <v>100116</v>
      </c>
      <c r="D72">
        <f t="shared" si="5"/>
        <v>50.737630561369542</v>
      </c>
      <c r="E72">
        <f t="shared" si="6"/>
        <v>50.737630561369542</v>
      </c>
      <c r="G72">
        <f t="shared" ca="1" si="7"/>
        <v>70</v>
      </c>
      <c r="H72">
        <f t="shared" ca="1" si="8"/>
        <v>3551.634139295868</v>
      </c>
      <c r="I72">
        <f t="shared" ca="1" si="9"/>
        <v>40084.568886273351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122206</v>
      </c>
      <c r="B75" s="66">
        <v>122206</v>
      </c>
      <c r="D75">
        <f t="shared" si="5"/>
        <v>61.932587002903901</v>
      </c>
      <c r="E75">
        <f t="shared" si="6"/>
        <v>61.932587002903901</v>
      </c>
      <c r="G75">
        <f t="shared" ca="1" si="7"/>
        <v>73</v>
      </c>
      <c r="H75">
        <f t="shared" ca="1" si="8"/>
        <v>4521.0788512119843</v>
      </c>
      <c r="I75">
        <f t="shared" ca="1" si="9"/>
        <v>39041.731549211348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129232</v>
      </c>
      <c r="B77" s="66">
        <v>129232</v>
      </c>
      <c r="D77">
        <f t="shared" si="5"/>
        <v>65.49328251934665</v>
      </c>
      <c r="E77">
        <f t="shared" si="6"/>
        <v>65.49328251934665</v>
      </c>
      <c r="G77">
        <f t="shared" ca="1" si="7"/>
        <v>75</v>
      </c>
      <c r="H77">
        <f t="shared" ca="1" si="8"/>
        <v>4911.9961889509987</v>
      </c>
      <c r="I77">
        <f t="shared" ca="1" si="9"/>
        <v>34970.821911893341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146840</v>
      </c>
      <c r="B80" s="66">
        <v>146840</v>
      </c>
      <c r="D80">
        <f t="shared" si="5"/>
        <v>74.416813212987975</v>
      </c>
      <c r="E80">
        <f t="shared" si="6"/>
        <v>74.416813212987975</v>
      </c>
      <c r="G80">
        <f t="shared" ca="1" si="7"/>
        <v>78</v>
      </c>
      <c r="H80">
        <f t="shared" ca="1" si="8"/>
        <v>5804.5114306130617</v>
      </c>
      <c r="I80">
        <f t="shared" ca="1" si="9"/>
        <v>30087.829016533775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155430</v>
      </c>
      <c r="B82" s="66">
        <v>155430</v>
      </c>
      <c r="D82">
        <f t="shared" si="5"/>
        <v>78.770125835567427</v>
      </c>
      <c r="E82">
        <f t="shared" si="6"/>
        <v>78.770125835567427</v>
      </c>
      <c r="G82">
        <f t="shared" ca="1" si="7"/>
        <v>80</v>
      </c>
      <c r="H82">
        <f t="shared" ca="1" si="8"/>
        <v>6301.6100668453946</v>
      </c>
      <c r="I82">
        <f t="shared" ca="1" si="9"/>
        <v>25827.511135932757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166442</v>
      </c>
      <c r="B85" s="66">
        <v>166442</v>
      </c>
      <c r="D85">
        <f t="shared" si="5"/>
        <v>84.350880038110489</v>
      </c>
      <c r="E85">
        <f t="shared" si="6"/>
        <v>84.350880038110489</v>
      </c>
      <c r="G85">
        <f t="shared" ca="1" si="7"/>
        <v>83</v>
      </c>
      <c r="H85">
        <f t="shared" ca="1" si="8"/>
        <v>7001.1230431631702</v>
      </c>
      <c r="I85">
        <f t="shared" ca="1" si="9"/>
        <v>19252.168524563771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174821</v>
      </c>
      <c r="B88" s="66">
        <v>174821</v>
      </c>
      <c r="D88">
        <f t="shared" si="5"/>
        <v>88.597260301741827</v>
      </c>
      <c r="E88">
        <f t="shared" si="6"/>
        <v>88.597260301741827</v>
      </c>
      <c r="G88">
        <f t="shared" ca="1" si="7"/>
        <v>86</v>
      </c>
      <c r="H88">
        <f t="shared" ca="1" si="8"/>
        <v>7619.364385949797</v>
      </c>
      <c r="I88">
        <f t="shared" ca="1" si="9"/>
        <v>12987.790530240742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178569</v>
      </c>
      <c r="B90" s="66">
        <v>178569</v>
      </c>
      <c r="D90">
        <f t="shared" si="5"/>
        <v>90.496703341256122</v>
      </c>
      <c r="E90">
        <f t="shared" si="6"/>
        <v>90.496703341256122</v>
      </c>
      <c r="G90">
        <f t="shared" ca="1" si="7"/>
        <v>88</v>
      </c>
      <c r="H90">
        <f t="shared" ca="1" si="8"/>
        <v>7963.7098940305386</v>
      </c>
      <c r="I90">
        <f t="shared" ca="1" si="9"/>
        <v>9245.4377612450626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175164</v>
      </c>
      <c r="B93" s="66">
        <v>175164</v>
      </c>
      <c r="D93">
        <f t="shared" si="5"/>
        <v>88.771088733586396</v>
      </c>
      <c r="E93">
        <f t="shared" si="6"/>
        <v>88.771088733586396</v>
      </c>
      <c r="G93">
        <f t="shared" ca="1" si="7"/>
        <v>91</v>
      </c>
      <c r="H93">
        <f t="shared" ca="1" si="8"/>
        <v>8078.1690747563616</v>
      </c>
      <c r="I93">
        <f t="shared" ca="1" si="9"/>
        <v>4484.5157256339153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188136</v>
      </c>
      <c r="B95" s="66">
        <v>188136</v>
      </c>
      <c r="D95">
        <f t="shared" si="5"/>
        <v>95.345148260955497</v>
      </c>
      <c r="E95">
        <f t="shared" si="6"/>
        <v>95.345148260955497</v>
      </c>
      <c r="G95">
        <f t="shared" ca="1" si="7"/>
        <v>93</v>
      </c>
      <c r="H95">
        <f t="shared" ca="1" si="8"/>
        <v>8867.0987882688605</v>
      </c>
      <c r="I95">
        <f t="shared" ca="1" si="9"/>
        <v>2487.3084086641989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194125</v>
      </c>
      <c r="B98" s="66">
        <v>194125</v>
      </c>
      <c r="D98">
        <f t="shared" si="5"/>
        <v>98.38030417441631</v>
      </c>
      <c r="E98">
        <f t="shared" si="6"/>
        <v>98.38030417441631</v>
      </c>
      <c r="G98">
        <f t="shared" ca="1" si="7"/>
        <v>96</v>
      </c>
      <c r="H98">
        <f t="shared" ca="1" si="8"/>
        <v>9444.5092007439653</v>
      </c>
      <c r="I98">
        <f t="shared" ca="1" si="9"/>
        <v>436.99649784043277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197321</v>
      </c>
      <c r="B100" s="66">
        <v>197321</v>
      </c>
      <c r="D100">
        <f t="shared" si="5"/>
        <v>100</v>
      </c>
      <c r="E100">
        <f t="shared" si="6"/>
        <v>100</v>
      </c>
      <c r="G100">
        <f t="shared" ca="1" si="7"/>
        <v>98</v>
      </c>
      <c r="H100">
        <f t="shared" ca="1" si="8"/>
        <v>9800</v>
      </c>
      <c r="I100">
        <f t="shared" ca="1" si="9"/>
        <v>1.1574322106109001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190850</v>
      </c>
      <c r="B103" s="66">
        <v>190850</v>
      </c>
      <c r="D103">
        <f t="shared" si="5"/>
        <v>96.720572062780946</v>
      </c>
      <c r="E103">
        <f t="shared" si="6"/>
        <v>96.720572062780946</v>
      </c>
      <c r="G103">
        <f t="shared" ca="1" si="7"/>
        <v>101</v>
      </c>
      <c r="H103">
        <f t="shared" ca="1" si="8"/>
        <v>9768.7777783408746</v>
      </c>
      <c r="I103">
        <f t="shared" ca="1" si="9"/>
        <v>809.17109385105437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195329</v>
      </c>
      <c r="B106" s="66">
        <v>195329</v>
      </c>
      <c r="D106">
        <f t="shared" si="5"/>
        <v>98.990477445380876</v>
      </c>
      <c r="E106">
        <f t="shared" si="6"/>
        <v>98.990477445380876</v>
      </c>
      <c r="G106">
        <f t="shared" ca="1" si="7"/>
        <v>104</v>
      </c>
      <c r="H106">
        <f t="shared" ca="1" si="8"/>
        <v>10295.00965431961</v>
      </c>
      <c r="I106">
        <f t="shared" ca="1" si="9"/>
        <v>3437.0054095189798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192605</v>
      </c>
      <c r="B108" s="66">
        <v>192605</v>
      </c>
      <c r="D108">
        <f t="shared" si="5"/>
        <v>97.609985759245092</v>
      </c>
      <c r="E108">
        <f t="shared" si="6"/>
        <v>97.609985759245092</v>
      </c>
      <c r="G108">
        <f t="shared" ca="1" si="7"/>
        <v>106</v>
      </c>
      <c r="H108">
        <f t="shared" ca="1" si="8"/>
        <v>10346.65849047998</v>
      </c>
      <c r="I108">
        <f t="shared" ca="1" si="9"/>
        <v>6080.1484580255337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179260</v>
      </c>
      <c r="B111" s="66">
        <v>179260</v>
      </c>
      <c r="D111">
        <f t="shared" si="5"/>
        <v>90.846894147100414</v>
      </c>
      <c r="E111">
        <f t="shared" si="6"/>
        <v>90.846894147100414</v>
      </c>
      <c r="G111">
        <f t="shared" ca="1" si="7"/>
        <v>109</v>
      </c>
      <c r="H111">
        <f t="shared" ca="1" si="8"/>
        <v>9902.3114620339456</v>
      </c>
      <c r="I111">
        <f t="shared" ca="1" si="9"/>
        <v>10778.504846387114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164976</v>
      </c>
      <c r="B113" s="66">
        <v>164976</v>
      </c>
      <c r="D113">
        <f t="shared" si="5"/>
        <v>83.607928198215092</v>
      </c>
      <c r="E113">
        <f t="shared" si="6"/>
        <v>83.607928198215092</v>
      </c>
      <c r="G113">
        <f t="shared" ca="1" si="7"/>
        <v>111</v>
      </c>
      <c r="H113">
        <f t="shared" ca="1" si="8"/>
        <v>9280.480030001876</v>
      </c>
      <c r="I113">
        <f t="shared" ca="1" si="9"/>
        <v>13896.840760540348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165504</v>
      </c>
      <c r="B116" s="66">
        <v>165504</v>
      </c>
      <c r="D116">
        <f t="shared" si="5"/>
        <v>83.875512489800883</v>
      </c>
      <c r="E116">
        <f t="shared" si="6"/>
        <v>83.875512489800883</v>
      </c>
      <c r="G116">
        <f t="shared" ca="1" si="7"/>
        <v>114</v>
      </c>
      <c r="H116">
        <f t="shared" ca="1" si="8"/>
        <v>9561.8084238373012</v>
      </c>
      <c r="I116">
        <f t="shared" ca="1" si="9"/>
        <v>21184.344716249605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151409</v>
      </c>
      <c r="B118" s="66">
        <v>151409</v>
      </c>
      <c r="D118">
        <f t="shared" si="5"/>
        <v>76.732329554380939</v>
      </c>
      <c r="E118">
        <f t="shared" si="6"/>
        <v>76.732329554380939</v>
      </c>
      <c r="G118">
        <f t="shared" ca="1" si="7"/>
        <v>116</v>
      </c>
      <c r="H118">
        <f t="shared" ca="1" si="8"/>
        <v>8900.9502283081893</v>
      </c>
      <c r="I118">
        <f t="shared" ca="1" si="9"/>
        <v>24564.976681543452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132315</v>
      </c>
      <c r="B121" s="66">
        <v>132315</v>
      </c>
      <c r="D121">
        <f t="shared" si="5"/>
        <v>67.055711252223531</v>
      </c>
      <c r="E121">
        <f t="shared" si="6"/>
        <v>67.055711252223531</v>
      </c>
      <c r="G121">
        <f t="shared" ca="1" si="7"/>
        <v>119</v>
      </c>
      <c r="H121">
        <f t="shared" ca="1" si="8"/>
        <v>7979.6296390145999</v>
      </c>
      <c r="I121">
        <f t="shared" ca="1" si="9"/>
        <v>29269.351611677572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114756</v>
      </c>
      <c r="B124" s="66">
        <v>114756</v>
      </c>
      <c r="D124">
        <f t="shared" si="5"/>
        <v>58.157013191702859</v>
      </c>
      <c r="E124">
        <f t="shared" si="6"/>
        <v>58.157013191702859</v>
      </c>
      <c r="G124">
        <f t="shared" ca="1" si="7"/>
        <v>122</v>
      </c>
      <c r="H124">
        <f t="shared" ca="1" si="8"/>
        <v>7095.1556093877489</v>
      </c>
      <c r="I124">
        <f t="shared" ca="1" si="9"/>
        <v>33198.787983759015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99094</v>
      </c>
      <c r="B126" s="66">
        <v>99094</v>
      </c>
      <c r="D126">
        <f t="shared" si="5"/>
        <v>50.219692784853109</v>
      </c>
      <c r="E126">
        <f t="shared" si="6"/>
        <v>50.219692784853109</v>
      </c>
      <c r="G126">
        <f t="shared" ca="1" si="7"/>
        <v>124</v>
      </c>
      <c r="H126">
        <f t="shared" ca="1" si="8"/>
        <v>6227.2419053217855</v>
      </c>
      <c r="I126">
        <f t="shared" ca="1" si="9"/>
        <v>33668.146077884128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85967</v>
      </c>
      <c r="B129" s="66">
        <v>85967</v>
      </c>
      <c r="D129">
        <f t="shared" si="5"/>
        <v>43.567081050673778</v>
      </c>
      <c r="E129">
        <f t="shared" si="6"/>
        <v>43.567081050673778</v>
      </c>
      <c r="G129">
        <f t="shared" ca="1" si="7"/>
        <v>127</v>
      </c>
      <c r="H129">
        <f t="shared" ca="1" si="8"/>
        <v>5533.01929343557</v>
      </c>
      <c r="I129">
        <f t="shared" ca="1" si="9"/>
        <v>36368.56635456864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72389</v>
      </c>
      <c r="B131" s="66">
        <v>72389</v>
      </c>
      <c r="D131">
        <f t="shared" ref="D131:D194" si="10">IFERROR(100*A131/MAX(A$2:A$257), 0 )</f>
        <v>36.685907734098244</v>
      </c>
      <c r="E131">
        <f t="shared" ref="E131:E194" si="11">IFERROR(100*B131/MAX(B$2:B$257), 0 )</f>
        <v>36.685907734098244</v>
      </c>
      <c r="G131">
        <f t="shared" ref="G131:G194" ca="1" si="12">CELL("row",D131)-2</f>
        <v>129</v>
      </c>
      <c r="H131">
        <f t="shared" ref="H131:H194" ca="1" si="13">D131*G131</f>
        <v>4732.4820976986739</v>
      </c>
      <c r="I131">
        <f t="shared" ref="I131:I194" ca="1" si="14">D131*((G131-$L$1)^2)</f>
        <v>35010.879258341687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60718</v>
      </c>
      <c r="B134" s="66">
        <v>60718</v>
      </c>
      <c r="D134">
        <f t="shared" si="10"/>
        <v>30.771179955503975</v>
      </c>
      <c r="E134">
        <f t="shared" si="11"/>
        <v>30.771179955503975</v>
      </c>
      <c r="G134">
        <f t="shared" ca="1" si="12"/>
        <v>132</v>
      </c>
      <c r="H134">
        <f t="shared" ca="1" si="13"/>
        <v>4061.7957541265246</v>
      </c>
      <c r="I134">
        <f t="shared" ca="1" si="14"/>
        <v>35346.727044545652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58011</v>
      </c>
      <c r="B136" s="66">
        <v>58011</v>
      </c>
      <c r="D136">
        <f t="shared" si="10"/>
        <v>29.399303672695758</v>
      </c>
      <c r="E136">
        <f t="shared" si="11"/>
        <v>29.399303672695758</v>
      </c>
      <c r="G136">
        <f t="shared" ca="1" si="12"/>
        <v>134</v>
      </c>
      <c r="H136">
        <f t="shared" ca="1" si="13"/>
        <v>3939.5066921412317</v>
      </c>
      <c r="I136">
        <f t="shared" ca="1" si="14"/>
        <v>37874.109369727572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51757</v>
      </c>
      <c r="B139" s="66">
        <v>51757</v>
      </c>
      <c r="D139">
        <f t="shared" si="10"/>
        <v>26.229848825011022</v>
      </c>
      <c r="E139">
        <f t="shared" si="11"/>
        <v>26.229848825011022</v>
      </c>
      <c r="G139">
        <f t="shared" ca="1" si="12"/>
        <v>137</v>
      </c>
      <c r="H139">
        <f t="shared" ca="1" si="13"/>
        <v>3593.4892890265101</v>
      </c>
      <c r="I139">
        <f t="shared" ca="1" si="14"/>
        <v>39675.794467174608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50171</v>
      </c>
      <c r="B142" s="66">
        <v>50171</v>
      </c>
      <c r="D142">
        <f t="shared" si="10"/>
        <v>25.42608237339158</v>
      </c>
      <c r="E142">
        <f t="shared" si="11"/>
        <v>25.42608237339158</v>
      </c>
      <c r="G142">
        <f t="shared" ca="1" si="12"/>
        <v>140</v>
      </c>
      <c r="H142">
        <f t="shared" ca="1" si="13"/>
        <v>3559.651532274821</v>
      </c>
      <c r="I142">
        <f t="shared" ca="1" si="14"/>
        <v>44622.126615932924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46442</v>
      </c>
      <c r="B144" s="66">
        <v>46442</v>
      </c>
      <c r="D144">
        <f t="shared" si="10"/>
        <v>23.536268314066927</v>
      </c>
      <c r="E144">
        <f t="shared" si="11"/>
        <v>23.536268314066927</v>
      </c>
      <c r="G144">
        <f t="shared" ca="1" si="12"/>
        <v>142</v>
      </c>
      <c r="H144">
        <f t="shared" ca="1" si="13"/>
        <v>3342.1501005975038</v>
      </c>
      <c r="I144">
        <f t="shared" ca="1" si="14"/>
        <v>45343.660745425783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41440</v>
      </c>
      <c r="B147" s="66">
        <v>41440</v>
      </c>
      <c r="D147">
        <f t="shared" si="10"/>
        <v>21.001312582036377</v>
      </c>
      <c r="E147">
        <f t="shared" si="11"/>
        <v>21.001312582036377</v>
      </c>
      <c r="G147">
        <f t="shared" ca="1" si="12"/>
        <v>145</v>
      </c>
      <c r="H147">
        <f t="shared" ca="1" si="13"/>
        <v>3045.1903243952747</v>
      </c>
      <c r="I147">
        <f t="shared" ca="1" si="14"/>
        <v>46179.758433335475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35567</v>
      </c>
      <c r="B149" s="66">
        <v>35567</v>
      </c>
      <c r="D149">
        <f t="shared" si="10"/>
        <v>18.024944126575477</v>
      </c>
      <c r="E149">
        <f t="shared" si="11"/>
        <v>18.024944126575477</v>
      </c>
      <c r="G149">
        <f t="shared" ca="1" si="12"/>
        <v>147</v>
      </c>
      <c r="H149">
        <f t="shared" ca="1" si="13"/>
        <v>2649.666786606595</v>
      </c>
      <c r="I149">
        <f t="shared" ca="1" si="14"/>
        <v>43088.058265244057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30350</v>
      </c>
      <c r="B152" s="66">
        <v>30350</v>
      </c>
      <c r="D152">
        <f t="shared" si="10"/>
        <v>15.381028881872684</v>
      </c>
      <c r="E152">
        <f t="shared" si="11"/>
        <v>15.381028881872684</v>
      </c>
      <c r="G152">
        <f t="shared" ca="1" si="12"/>
        <v>150</v>
      </c>
      <c r="H152">
        <f t="shared" ca="1" si="13"/>
        <v>2307.1543322809025</v>
      </c>
      <c r="I152">
        <f t="shared" ca="1" si="14"/>
        <v>41418.385812454588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31793</v>
      </c>
      <c r="B154" s="66">
        <v>31793</v>
      </c>
      <c r="D154">
        <f t="shared" si="10"/>
        <v>16.11232458785431</v>
      </c>
      <c r="E154">
        <f t="shared" si="11"/>
        <v>16.11232458785431</v>
      </c>
      <c r="G154">
        <f t="shared" ca="1" si="12"/>
        <v>152</v>
      </c>
      <c r="H154">
        <f t="shared" ca="1" si="13"/>
        <v>2449.0733373538551</v>
      </c>
      <c r="I154">
        <f t="shared" ca="1" si="14"/>
        <v>46796.514687102368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29572</v>
      </c>
      <c r="B157" s="66">
        <v>29572</v>
      </c>
      <c r="D157">
        <f t="shared" si="10"/>
        <v>14.986747482528468</v>
      </c>
      <c r="E157">
        <f t="shared" si="11"/>
        <v>14.986747482528468</v>
      </c>
      <c r="G157">
        <f t="shared" ca="1" si="12"/>
        <v>155</v>
      </c>
      <c r="H157">
        <f t="shared" ca="1" si="13"/>
        <v>2322.9458597919124</v>
      </c>
      <c r="I157">
        <f t="shared" ca="1" si="14"/>
        <v>48508.309888586235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19532</v>
      </c>
      <c r="B160" s="66">
        <v>19532</v>
      </c>
      <c r="D160">
        <f t="shared" si="10"/>
        <v>9.8985916349501579</v>
      </c>
      <c r="E160">
        <f t="shared" si="11"/>
        <v>9.8985916349501579</v>
      </c>
      <c r="G160">
        <f t="shared" ca="1" si="12"/>
        <v>158</v>
      </c>
      <c r="H160">
        <f t="shared" ca="1" si="13"/>
        <v>1563.9774783221249</v>
      </c>
      <c r="I160">
        <f t="shared" ca="1" si="14"/>
        <v>35507.25281753498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13830</v>
      </c>
      <c r="B162" s="66">
        <v>13830</v>
      </c>
      <c r="D162">
        <f t="shared" si="10"/>
        <v>7.0088840011960203</v>
      </c>
      <c r="E162">
        <f t="shared" si="11"/>
        <v>7.0088840011960203</v>
      </c>
      <c r="G162">
        <f t="shared" ca="1" si="12"/>
        <v>160</v>
      </c>
      <c r="H162">
        <f t="shared" ca="1" si="13"/>
        <v>1121.4214401913632</v>
      </c>
      <c r="I162">
        <f t="shared" ca="1" si="14"/>
        <v>26848.729775008556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8638</v>
      </c>
      <c r="B165" s="66">
        <v>8638</v>
      </c>
      <c r="D165">
        <f t="shared" si="10"/>
        <v>4.3776384672690689</v>
      </c>
      <c r="E165">
        <f t="shared" si="11"/>
        <v>4.3776384672690689</v>
      </c>
      <c r="G165">
        <f t="shared" ca="1" si="12"/>
        <v>163</v>
      </c>
      <c r="H165">
        <f t="shared" ca="1" si="13"/>
        <v>713.55507016485819</v>
      </c>
      <c r="I165">
        <f t="shared" ca="1" si="14"/>
        <v>18434.347877660435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8274</v>
      </c>
      <c r="B167" s="66">
        <v>8274</v>
      </c>
      <c r="D167">
        <f t="shared" si="10"/>
        <v>4.1931674783728035</v>
      </c>
      <c r="E167">
        <f t="shared" si="11"/>
        <v>4.1931674783728035</v>
      </c>
      <c r="G167">
        <f t="shared" ca="1" si="12"/>
        <v>165</v>
      </c>
      <c r="H167">
        <f t="shared" ca="1" si="13"/>
        <v>691.87263393151261</v>
      </c>
      <c r="I167">
        <f t="shared" ca="1" si="14"/>
        <v>18762.72755447973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5281</v>
      </c>
      <c r="B170" s="66">
        <v>5281</v>
      </c>
      <c r="D170">
        <f t="shared" si="10"/>
        <v>2.6763497042889504</v>
      </c>
      <c r="E170">
        <f t="shared" si="11"/>
        <v>2.6763497042889504</v>
      </c>
      <c r="G170">
        <f t="shared" ca="1" si="12"/>
        <v>168</v>
      </c>
      <c r="H170">
        <f t="shared" ca="1" si="13"/>
        <v>449.62675032054364</v>
      </c>
      <c r="I170">
        <f t="shared" ca="1" si="14"/>
        <v>13073.83398223318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3665</v>
      </c>
      <c r="B173" s="66">
        <v>3665</v>
      </c>
      <c r="D173">
        <f t="shared" si="10"/>
        <v>1.8573795997384972</v>
      </c>
      <c r="E173">
        <f t="shared" si="11"/>
        <v>1.8573795997384972</v>
      </c>
      <c r="G173">
        <f t="shared" ca="1" si="12"/>
        <v>171</v>
      </c>
      <c r="H173">
        <f t="shared" ca="1" si="13"/>
        <v>317.61191155528303</v>
      </c>
      <c r="I173">
        <f t="shared" ca="1" si="14"/>
        <v>9868.823026830225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2416</v>
      </c>
      <c r="B175" s="66">
        <v>2416</v>
      </c>
      <c r="D175">
        <f t="shared" si="10"/>
        <v>1.2244008493774103</v>
      </c>
      <c r="E175">
        <f t="shared" si="11"/>
        <v>1.2244008493774103</v>
      </c>
      <c r="G175">
        <f t="shared" ca="1" si="12"/>
        <v>173</v>
      </c>
      <c r="H175">
        <f t="shared" ca="1" si="13"/>
        <v>211.821346942292</v>
      </c>
      <c r="I175">
        <f t="shared" ca="1" si="14"/>
        <v>6867.510053900236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477</v>
      </c>
      <c r="B178" s="66">
        <v>477</v>
      </c>
      <c r="D178">
        <f t="shared" si="10"/>
        <v>0.24173808160307317</v>
      </c>
      <c r="E178">
        <f t="shared" si="11"/>
        <v>0.24173808160307317</v>
      </c>
      <c r="G178">
        <f t="shared" ca="1" si="12"/>
        <v>176</v>
      </c>
      <c r="H178">
        <f t="shared" ca="1" si="13"/>
        <v>42.545902362140879</v>
      </c>
      <c r="I178">
        <f t="shared" ca="1" si="14"/>
        <v>1466.6801701781133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404</v>
      </c>
      <c r="B1" s="68" t="s">
        <v>405</v>
      </c>
      <c r="C1" s="32" t="s">
        <v>406</v>
      </c>
      <c r="D1" s="32" t="s">
        <v>407</v>
      </c>
      <c r="E1" s="32" t="s">
        <v>408</v>
      </c>
    </row>
    <row r="2" spans="1:5">
      <c r="A2" s="68">
        <v>0.22598599999999999</v>
      </c>
      <c r="B2" s="68">
        <v>0.63871500000000003</v>
      </c>
      <c r="C2" s="68">
        <v>0</v>
      </c>
      <c r="D2" s="68">
        <v>1</v>
      </c>
      <c r="E2" s="68" t="s">
        <v>409</v>
      </c>
    </row>
    <row r="3" spans="1:5">
      <c r="A3" s="68">
        <v>0.23228199999999999</v>
      </c>
      <c r="B3" s="68">
        <v>0.63349200000000006</v>
      </c>
      <c r="C3" s="68">
        <v>0.381606</v>
      </c>
      <c r="D3" s="89">
        <v>1</v>
      </c>
      <c r="E3" s="68" t="s">
        <v>410</v>
      </c>
    </row>
    <row r="4" spans="1:5">
      <c r="A4" s="68">
        <v>0.238478</v>
      </c>
      <c r="B4" s="68">
        <v>0.62910200000000005</v>
      </c>
      <c r="C4" s="68">
        <v>0.78512199999999999</v>
      </c>
      <c r="D4" s="89">
        <v>1</v>
      </c>
      <c r="E4" s="68" t="s">
        <v>411</v>
      </c>
    </row>
    <row r="5" spans="1:5">
      <c r="A5" s="89">
        <v>0.244698</v>
      </c>
      <c r="B5" s="89">
        <v>0.62437200000000004</v>
      </c>
      <c r="C5" s="89">
        <v>1.19347</v>
      </c>
      <c r="D5" s="89">
        <v>1</v>
      </c>
      <c r="E5" s="68" t="s">
        <v>412</v>
      </c>
    </row>
    <row r="6" spans="1:5">
      <c r="A6" s="68">
        <v>0.25077300000000002</v>
      </c>
      <c r="B6" s="68">
        <v>0.61981200000000003</v>
      </c>
      <c r="C6" s="68">
        <v>1.59859</v>
      </c>
      <c r="D6" s="68">
        <v>1</v>
      </c>
      <c r="E6" s="68" t="s">
        <v>413</v>
      </c>
    </row>
    <row r="7" spans="1:5">
      <c r="A7" s="68">
        <v>0.256581</v>
      </c>
      <c r="B7" s="68">
        <v>0.61669799999999997</v>
      </c>
      <c r="C7" s="68">
        <v>2.0063200000000001</v>
      </c>
      <c r="D7" s="68">
        <v>1</v>
      </c>
      <c r="E7" s="68" t="s">
        <v>414</v>
      </c>
    </row>
    <row r="8" spans="1:5">
      <c r="A8" s="68">
        <v>0.26219399999999998</v>
      </c>
      <c r="B8" s="68">
        <v>0.61481300000000005</v>
      </c>
      <c r="C8" s="68">
        <v>2.41039</v>
      </c>
      <c r="D8" s="68">
        <v>1</v>
      </c>
      <c r="E8" s="68" t="s">
        <v>415</v>
      </c>
    </row>
    <row r="9" spans="1:5">
      <c r="A9" s="68">
        <v>0.26788499999999998</v>
      </c>
      <c r="B9" s="68">
        <v>0.61333400000000005</v>
      </c>
      <c r="C9" s="68">
        <v>2.8181699999999998</v>
      </c>
      <c r="D9" s="68">
        <v>1</v>
      </c>
      <c r="E9" s="68" t="s">
        <v>416</v>
      </c>
    </row>
    <row r="10" spans="1:5">
      <c r="A10" s="68">
        <v>0.27368599999999998</v>
      </c>
      <c r="B10" s="68">
        <v>0.61126899999999995</v>
      </c>
      <c r="C10" s="68">
        <v>3.22506</v>
      </c>
      <c r="D10" s="68">
        <v>1</v>
      </c>
      <c r="E10" s="68" t="s">
        <v>417</v>
      </c>
    </row>
    <row r="11" spans="1:5">
      <c r="A11" s="68">
        <v>0.27966299999999999</v>
      </c>
      <c r="B11" s="68">
        <v>0.60852200000000001</v>
      </c>
      <c r="C11" s="68">
        <v>3.6318199999999998</v>
      </c>
      <c r="D11" s="68">
        <v>1</v>
      </c>
      <c r="E11" s="68" t="s">
        <v>418</v>
      </c>
    </row>
    <row r="12" spans="1:5">
      <c r="A12" s="68">
        <v>0.285833</v>
      </c>
      <c r="B12" s="68">
        <v>0.60428400000000004</v>
      </c>
      <c r="C12" s="68">
        <v>4.0388400000000004</v>
      </c>
      <c r="D12" s="68">
        <v>1</v>
      </c>
      <c r="E12" s="68" t="s">
        <v>419</v>
      </c>
    </row>
    <row r="13" spans="1:5">
      <c r="A13" s="68">
        <v>0.292354</v>
      </c>
      <c r="B13" s="68">
        <v>0.59838400000000003</v>
      </c>
      <c r="C13" s="68">
        <v>4.4457199999999997</v>
      </c>
      <c r="D13" s="68">
        <v>1</v>
      </c>
      <c r="E13" s="68" t="s">
        <v>420</v>
      </c>
    </row>
    <row r="14" spans="1:5">
      <c r="A14" s="68">
        <v>0.298952</v>
      </c>
      <c r="B14" s="68">
        <v>0.58984800000000004</v>
      </c>
      <c r="C14" s="68">
        <v>4.8516500000000002</v>
      </c>
      <c r="D14" s="68">
        <v>1</v>
      </c>
      <c r="E14" s="68" t="s">
        <v>421</v>
      </c>
    </row>
    <row r="15" spans="1:5">
      <c r="A15" s="68">
        <v>0.30585099999999998</v>
      </c>
      <c r="B15" s="68">
        <v>0.57996300000000001</v>
      </c>
      <c r="C15" s="68">
        <v>5.2545900000000003</v>
      </c>
      <c r="D15" s="68">
        <v>1</v>
      </c>
      <c r="E15" s="68" t="s">
        <v>422</v>
      </c>
    </row>
    <row r="16" spans="1:5">
      <c r="A16" s="68">
        <v>0.31290099999999998</v>
      </c>
      <c r="B16" s="68">
        <v>0.56921999999999995</v>
      </c>
      <c r="C16" s="68">
        <v>5.6626300000000001</v>
      </c>
      <c r="D16" s="68">
        <v>1</v>
      </c>
      <c r="E16" s="68" t="s">
        <v>423</v>
      </c>
    </row>
    <row r="17" spans="1:5">
      <c r="A17" s="68">
        <v>0.32009300000000002</v>
      </c>
      <c r="B17" s="68">
        <v>0.55887799999999999</v>
      </c>
      <c r="C17" s="68">
        <v>6.0674400000000004</v>
      </c>
      <c r="D17" s="68">
        <v>1</v>
      </c>
      <c r="E17" s="68" t="s">
        <v>424</v>
      </c>
    </row>
    <row r="18" spans="1:5">
      <c r="A18" s="68">
        <v>0.32751200000000003</v>
      </c>
      <c r="B18" s="68">
        <v>0.54788899999999996</v>
      </c>
      <c r="C18" s="68">
        <v>6.4723300000000004</v>
      </c>
      <c r="D18" s="68">
        <v>1</v>
      </c>
      <c r="E18" s="68" t="s">
        <v>425</v>
      </c>
    </row>
    <row r="19" spans="1:5">
      <c r="A19" s="68">
        <v>0.33516499999999999</v>
      </c>
      <c r="B19" s="68">
        <v>0.53696999999999995</v>
      </c>
      <c r="C19" s="68">
        <v>6.8784000000000001</v>
      </c>
      <c r="D19" s="68">
        <v>1</v>
      </c>
      <c r="E19" s="68" t="s">
        <v>426</v>
      </c>
    </row>
    <row r="20" spans="1:5">
      <c r="A20" s="68">
        <v>0.342783</v>
      </c>
      <c r="B20" s="68">
        <v>0.52651099999999995</v>
      </c>
      <c r="C20" s="68">
        <v>7.28918</v>
      </c>
      <c r="D20" s="68">
        <v>1</v>
      </c>
      <c r="E20" s="68" t="s">
        <v>427</v>
      </c>
    </row>
    <row r="21" spans="1:5">
      <c r="A21" s="68">
        <v>0.34998899999999999</v>
      </c>
      <c r="B21" s="68">
        <v>0.51811499999999999</v>
      </c>
      <c r="C21" s="68">
        <v>7.6950900000000004</v>
      </c>
      <c r="D21" s="68">
        <v>1</v>
      </c>
      <c r="E21" s="68" t="s">
        <v>428</v>
      </c>
    </row>
    <row r="22" spans="1:5">
      <c r="A22" s="68">
        <v>0.35674400000000001</v>
      </c>
      <c r="B22" s="68">
        <v>0.51166500000000004</v>
      </c>
      <c r="C22" s="68">
        <v>8.1000599999999991</v>
      </c>
      <c r="D22" s="68">
        <v>1</v>
      </c>
      <c r="E22" s="68" t="s">
        <v>429</v>
      </c>
    </row>
    <row r="23" spans="1:5">
      <c r="A23" s="68">
        <v>0.36264400000000002</v>
      </c>
      <c r="B23" s="68">
        <v>0.50861199999999995</v>
      </c>
      <c r="C23" s="68">
        <v>8.5071200000000005</v>
      </c>
      <c r="D23" s="68">
        <v>1</v>
      </c>
      <c r="E23" s="68" t="s">
        <v>430</v>
      </c>
    </row>
    <row r="24" spans="1:5">
      <c r="A24" s="68">
        <v>0.36745899999999998</v>
      </c>
      <c r="B24" s="68">
        <v>0.50762499999999999</v>
      </c>
      <c r="C24" s="68">
        <v>8.9130099999999999</v>
      </c>
      <c r="D24" s="68">
        <v>1</v>
      </c>
      <c r="E24" s="68" t="s">
        <v>431</v>
      </c>
    </row>
    <row r="25" spans="1:5">
      <c r="A25" s="68">
        <v>0.37182100000000001</v>
      </c>
      <c r="B25" s="68">
        <v>0.50783299999999998</v>
      </c>
      <c r="C25" s="68">
        <v>9.3167399999999994</v>
      </c>
      <c r="D25" s="68">
        <v>1</v>
      </c>
      <c r="E25" s="68" t="s">
        <v>432</v>
      </c>
    </row>
    <row r="26" spans="1:5">
      <c r="A26" s="68">
        <v>0.37589800000000001</v>
      </c>
      <c r="B26" s="68">
        <v>0.50770000000000004</v>
      </c>
      <c r="C26" s="68">
        <v>9.7265999999999995</v>
      </c>
      <c r="D26" s="68">
        <v>1</v>
      </c>
      <c r="E26" s="68" t="s">
        <v>433</v>
      </c>
    </row>
    <row r="27" spans="1:5">
      <c r="A27" s="68">
        <v>0.37953799999999999</v>
      </c>
      <c r="B27" s="68">
        <v>0.50797700000000001</v>
      </c>
      <c r="C27" s="68">
        <v>10.131500000000001</v>
      </c>
      <c r="D27" s="68">
        <v>1</v>
      </c>
      <c r="E27" s="68" t="s">
        <v>434</v>
      </c>
    </row>
    <row r="28" spans="1:5">
      <c r="A28" s="68">
        <v>0.38263200000000003</v>
      </c>
      <c r="B28" s="68">
        <v>0.50906899999999999</v>
      </c>
      <c r="C28" s="68">
        <v>10.5345</v>
      </c>
      <c r="D28" s="68">
        <v>1</v>
      </c>
      <c r="E28" s="68" t="s">
        <v>435</v>
      </c>
    </row>
    <row r="29" spans="1:5">
      <c r="A29" s="68">
        <v>0.385519</v>
      </c>
      <c r="B29" s="68">
        <v>0.51001700000000005</v>
      </c>
      <c r="C29" s="68">
        <v>10.9421</v>
      </c>
      <c r="D29" s="68">
        <v>1</v>
      </c>
      <c r="E29" s="68" t="s">
        <v>436</v>
      </c>
    </row>
    <row r="30" spans="1:5">
      <c r="A30" s="68">
        <v>0.38780300000000001</v>
      </c>
      <c r="B30" s="68">
        <v>0.51103600000000005</v>
      </c>
      <c r="C30" s="68">
        <v>11.3528</v>
      </c>
      <c r="D30" s="68">
        <v>1</v>
      </c>
      <c r="E30" s="68" t="s">
        <v>437</v>
      </c>
    </row>
    <row r="31" spans="1:5">
      <c r="A31" s="68">
        <v>0.38982499999999998</v>
      </c>
      <c r="B31" s="68">
        <v>0.51213799999999998</v>
      </c>
      <c r="C31" s="68">
        <v>11.7582</v>
      </c>
      <c r="D31" s="68">
        <v>1</v>
      </c>
      <c r="E31" s="68" t="s">
        <v>438</v>
      </c>
    </row>
    <row r="32" spans="1:5">
      <c r="A32" s="68">
        <v>0.39192700000000003</v>
      </c>
      <c r="B32" s="68">
        <v>0.51355099999999998</v>
      </c>
      <c r="C32" s="68">
        <v>12.164099999999999</v>
      </c>
      <c r="D32" s="68">
        <v>1</v>
      </c>
      <c r="E32" s="68" t="s">
        <v>439</v>
      </c>
    </row>
    <row r="33" spans="1:5">
      <c r="A33" s="68">
        <v>0.39413999999999999</v>
      </c>
      <c r="B33" s="68">
        <v>0.51509300000000002</v>
      </c>
      <c r="C33" s="68">
        <v>12.5661</v>
      </c>
      <c r="D33" s="68">
        <v>1</v>
      </c>
      <c r="E33" s="68" t="s">
        <v>440</v>
      </c>
    </row>
    <row r="34" spans="1:5">
      <c r="A34" s="68">
        <v>0.39638600000000002</v>
      </c>
      <c r="B34" s="68">
        <v>0.51627400000000001</v>
      </c>
      <c r="C34" s="68">
        <v>12.974500000000001</v>
      </c>
      <c r="D34" s="68">
        <v>1</v>
      </c>
      <c r="E34" s="68" t="s">
        <v>441</v>
      </c>
    </row>
    <row r="35" spans="1:5">
      <c r="A35" s="68">
        <v>0.39835500000000001</v>
      </c>
      <c r="B35" s="68">
        <v>0.51738300000000004</v>
      </c>
      <c r="C35" s="68">
        <v>13.382999999999999</v>
      </c>
      <c r="D35" s="68">
        <v>1</v>
      </c>
      <c r="E35" s="68" t="s">
        <v>442</v>
      </c>
    </row>
    <row r="36" spans="1:5">
      <c r="A36" s="68">
        <v>0.399899</v>
      </c>
      <c r="B36" s="68">
        <v>0.51812400000000003</v>
      </c>
      <c r="C36" s="68">
        <v>13.7897</v>
      </c>
      <c r="D36" s="68">
        <v>1</v>
      </c>
      <c r="E36" s="68" t="s">
        <v>443</v>
      </c>
    </row>
    <row r="37" spans="1:5">
      <c r="A37" s="68">
        <v>0.40084799999999998</v>
      </c>
      <c r="B37" s="68">
        <v>0.51772499999999999</v>
      </c>
      <c r="C37" s="68">
        <v>14.1967</v>
      </c>
      <c r="D37" s="68">
        <v>1</v>
      </c>
      <c r="E37" s="68" t="s">
        <v>444</v>
      </c>
    </row>
    <row r="38" spans="1:5">
      <c r="A38" s="68">
        <v>0.40114899999999998</v>
      </c>
      <c r="B38" s="68">
        <v>0.51624599999999998</v>
      </c>
      <c r="C38" s="68">
        <v>14.601599999999999</v>
      </c>
      <c r="D38" s="68">
        <v>1</v>
      </c>
      <c r="E38" s="68" t="s">
        <v>445</v>
      </c>
    </row>
    <row r="39" spans="1:5">
      <c r="A39" s="68">
        <v>0.40091399999999999</v>
      </c>
      <c r="B39" s="68">
        <v>0.51449400000000001</v>
      </c>
      <c r="C39" s="68">
        <v>15.006600000000001</v>
      </c>
      <c r="D39" s="68">
        <v>1</v>
      </c>
      <c r="E39" s="68" t="s">
        <v>446</v>
      </c>
    </row>
    <row r="40" spans="1:5">
      <c r="A40" s="68">
        <v>0.40044600000000002</v>
      </c>
      <c r="B40" s="68">
        <v>0.51273100000000005</v>
      </c>
      <c r="C40" s="68">
        <v>15.413399999999999</v>
      </c>
      <c r="D40" s="68">
        <v>1</v>
      </c>
      <c r="E40" s="68" t="s">
        <v>447</v>
      </c>
    </row>
    <row r="41" spans="1:5">
      <c r="A41" s="68">
        <v>0.39965299999999998</v>
      </c>
      <c r="B41" s="68">
        <v>0.51072399999999996</v>
      </c>
      <c r="C41" s="68">
        <v>15.8164</v>
      </c>
      <c r="D41" s="68">
        <v>1</v>
      </c>
      <c r="E41" s="68" t="s">
        <v>448</v>
      </c>
    </row>
    <row r="42" spans="1:5">
      <c r="A42" s="68">
        <v>0.398399</v>
      </c>
      <c r="B42" s="68">
        <v>0.50841700000000001</v>
      </c>
      <c r="C42" s="68">
        <v>16.226299999999998</v>
      </c>
      <c r="D42" s="68">
        <v>1</v>
      </c>
      <c r="E42" s="68" t="s">
        <v>449</v>
      </c>
    </row>
    <row r="43" spans="1:5">
      <c r="A43" s="68">
        <v>0.39681100000000002</v>
      </c>
      <c r="B43" s="68">
        <v>0.50682499999999997</v>
      </c>
      <c r="C43" s="68">
        <v>16.635200000000001</v>
      </c>
      <c r="D43" s="68">
        <v>1</v>
      </c>
      <c r="E43" s="68" t="s">
        <v>450</v>
      </c>
    </row>
    <row r="44" spans="1:5">
      <c r="A44" s="68">
        <v>0.39493200000000001</v>
      </c>
      <c r="B44" s="68">
        <v>0.50572300000000003</v>
      </c>
      <c r="C44" s="68">
        <v>17.040099999999999</v>
      </c>
      <c r="D44" s="68">
        <v>1</v>
      </c>
      <c r="E44" s="68" t="s">
        <v>451</v>
      </c>
    </row>
    <row r="45" spans="1:5">
      <c r="A45" s="68">
        <v>0.392378</v>
      </c>
      <c r="B45" s="68">
        <v>0.50517100000000004</v>
      </c>
      <c r="C45" s="68">
        <v>17.443100000000001</v>
      </c>
      <c r="D45" s="68">
        <v>1</v>
      </c>
      <c r="E45" s="68" t="s">
        <v>452</v>
      </c>
    </row>
    <row r="46" spans="1:5">
      <c r="A46" s="68">
        <v>0.38947500000000002</v>
      </c>
      <c r="B46" s="68">
        <v>0.50531700000000002</v>
      </c>
      <c r="C46" s="68">
        <v>17.8489</v>
      </c>
      <c r="D46" s="68">
        <v>1</v>
      </c>
      <c r="E46" s="68" t="s">
        <v>453</v>
      </c>
    </row>
    <row r="47" spans="1:5">
      <c r="A47" s="68">
        <v>0.386542</v>
      </c>
      <c r="B47" s="68">
        <v>0.50624899999999995</v>
      </c>
      <c r="C47" s="68">
        <v>18.256799999999998</v>
      </c>
      <c r="D47" s="68">
        <v>1</v>
      </c>
      <c r="E47" s="68" t="s">
        <v>454</v>
      </c>
    </row>
    <row r="48" spans="1:5">
      <c r="A48" s="68">
        <v>0.38381199999999999</v>
      </c>
      <c r="B48" s="68">
        <v>0.50662600000000002</v>
      </c>
      <c r="C48" s="68">
        <v>18.6647</v>
      </c>
      <c r="D48" s="68">
        <v>1</v>
      </c>
      <c r="E48" s="68" t="s">
        <v>455</v>
      </c>
    </row>
    <row r="49" spans="1:5">
      <c r="A49" s="68">
        <v>0.38165300000000002</v>
      </c>
      <c r="B49" s="68">
        <v>0.50612900000000005</v>
      </c>
      <c r="C49" s="68">
        <v>19.070599999999999</v>
      </c>
      <c r="D49" s="68">
        <v>1</v>
      </c>
      <c r="E49" s="68" t="s">
        <v>456</v>
      </c>
    </row>
    <row r="50" spans="1:5">
      <c r="A50" s="68">
        <v>0.37992799999999999</v>
      </c>
      <c r="B50" s="68">
        <v>0.50593600000000005</v>
      </c>
      <c r="C50" s="68">
        <v>19.476600000000001</v>
      </c>
      <c r="D50" s="68">
        <v>1</v>
      </c>
      <c r="E50" s="68" t="s">
        <v>457</v>
      </c>
    </row>
    <row r="51" spans="1:5">
      <c r="A51" s="68">
        <v>0.37839400000000001</v>
      </c>
      <c r="B51" s="68">
        <v>0.50675700000000001</v>
      </c>
      <c r="C51" s="68">
        <v>19.880500000000001</v>
      </c>
      <c r="D51" s="68">
        <v>1</v>
      </c>
      <c r="E51" s="68" t="s">
        <v>458</v>
      </c>
    </row>
    <row r="52" spans="1:5">
      <c r="A52" s="68">
        <v>0.37713600000000003</v>
      </c>
      <c r="B52" s="68">
        <v>0.50764699999999996</v>
      </c>
      <c r="C52" s="68">
        <v>20.284600000000001</v>
      </c>
      <c r="D52" s="68">
        <v>1</v>
      </c>
      <c r="E52" s="68" t="s">
        <v>459</v>
      </c>
    </row>
    <row r="53" spans="1:5">
      <c r="A53" s="68">
        <v>0.376494</v>
      </c>
      <c r="B53" s="68">
        <v>0.50780899999999995</v>
      </c>
      <c r="C53" s="68">
        <v>20.694299999999998</v>
      </c>
      <c r="D53" s="68">
        <v>1</v>
      </c>
      <c r="E53" s="68" t="s">
        <v>460</v>
      </c>
    </row>
    <row r="54" spans="1:5">
      <c r="A54" s="68">
        <v>0.37626500000000002</v>
      </c>
      <c r="B54" s="68">
        <v>0.50765199999999999</v>
      </c>
      <c r="C54" s="68">
        <v>21.1035</v>
      </c>
      <c r="D54" s="68">
        <v>1</v>
      </c>
      <c r="E54" s="68" t="s">
        <v>461</v>
      </c>
    </row>
    <row r="55" spans="1:5">
      <c r="A55" s="68">
        <v>0.376913</v>
      </c>
      <c r="B55" s="68">
        <v>0.50621099999999997</v>
      </c>
      <c r="C55" s="68">
        <v>21.508099999999999</v>
      </c>
      <c r="D55" s="68">
        <v>1</v>
      </c>
      <c r="E55" s="68" t="s">
        <v>462</v>
      </c>
    </row>
    <row r="56" spans="1:5">
      <c r="A56" s="68">
        <v>0.37840200000000002</v>
      </c>
      <c r="B56" s="68">
        <v>0.50342500000000001</v>
      </c>
      <c r="C56" s="68">
        <v>21.9131</v>
      </c>
      <c r="D56" s="68">
        <v>1</v>
      </c>
      <c r="E56" s="68" t="s">
        <v>463</v>
      </c>
    </row>
    <row r="57" spans="1:5">
      <c r="A57" s="68">
        <v>0.38041599999999998</v>
      </c>
      <c r="B57" s="68">
        <v>0.49902200000000002</v>
      </c>
      <c r="C57" s="68">
        <v>22.318200000000001</v>
      </c>
      <c r="D57" s="68">
        <v>1</v>
      </c>
      <c r="E57" s="68" t="s">
        <v>464</v>
      </c>
    </row>
    <row r="58" spans="1:5">
      <c r="A58" s="68">
        <v>0.38461800000000002</v>
      </c>
      <c r="B58" s="68">
        <v>0.49020200000000003</v>
      </c>
      <c r="C58" s="68">
        <v>22.726900000000001</v>
      </c>
      <c r="D58" s="68">
        <v>1</v>
      </c>
      <c r="E58" s="68" t="s">
        <v>465</v>
      </c>
    </row>
    <row r="59" spans="1:5">
      <c r="A59" s="68">
        <v>0.38727600000000001</v>
      </c>
      <c r="B59" s="68">
        <v>0.48499599999999998</v>
      </c>
      <c r="C59" s="68">
        <v>23.133800000000001</v>
      </c>
      <c r="D59" s="68">
        <v>1</v>
      </c>
      <c r="E59" s="68" t="s">
        <v>466</v>
      </c>
    </row>
    <row r="60" spans="1:5">
      <c r="A60" s="68">
        <v>0.38869700000000001</v>
      </c>
      <c r="B60" s="68">
        <v>0.48155199999999998</v>
      </c>
      <c r="C60" s="68">
        <v>23.537700000000001</v>
      </c>
      <c r="D60" s="68">
        <v>1</v>
      </c>
      <c r="E60" s="68" t="s">
        <v>467</v>
      </c>
    </row>
    <row r="61" spans="1:5">
      <c r="A61" s="68">
        <v>0.39369900000000002</v>
      </c>
      <c r="B61" s="68">
        <v>0.47270400000000001</v>
      </c>
      <c r="C61" s="68">
        <v>23.944600000000001</v>
      </c>
      <c r="D61" s="68">
        <v>1</v>
      </c>
      <c r="E61" s="68" t="s">
        <v>468</v>
      </c>
    </row>
    <row r="62" spans="1:5">
      <c r="A62" s="68">
        <v>0.39570499999999997</v>
      </c>
      <c r="B62" s="68">
        <v>0.46893099999999999</v>
      </c>
      <c r="C62" s="68">
        <v>24.349900000000002</v>
      </c>
      <c r="D62" s="68">
        <v>1</v>
      </c>
      <c r="E62" s="68" t="s">
        <v>469</v>
      </c>
    </row>
    <row r="63" spans="1:5">
      <c r="A63" s="68">
        <v>0.40066800000000002</v>
      </c>
      <c r="B63" s="68">
        <v>0.46146799999999999</v>
      </c>
      <c r="C63" s="68">
        <v>24.758400000000002</v>
      </c>
      <c r="D63" s="68">
        <v>1</v>
      </c>
      <c r="E63" s="68" t="s">
        <v>470</v>
      </c>
    </row>
    <row r="64" spans="1:5">
      <c r="A64" s="68">
        <v>0.40399400000000002</v>
      </c>
      <c r="B64" s="68">
        <v>0.45827600000000002</v>
      </c>
      <c r="C64" s="68">
        <v>25.1614</v>
      </c>
      <c r="D64" s="68">
        <v>1</v>
      </c>
      <c r="E64" s="68" t="s">
        <v>471</v>
      </c>
    </row>
    <row r="65" spans="1:5">
      <c r="A65" s="68">
        <v>0.40619899999999998</v>
      </c>
      <c r="B65" s="68">
        <v>0.45646500000000001</v>
      </c>
      <c r="C65" s="68">
        <v>25.568200000000001</v>
      </c>
      <c r="D65" s="68">
        <v>1</v>
      </c>
      <c r="E65" s="68" t="s">
        <v>472</v>
      </c>
    </row>
    <row r="66" spans="1:5">
      <c r="A66" s="68">
        <v>0.40886800000000001</v>
      </c>
      <c r="B66" s="68">
        <v>0.45537899999999998</v>
      </c>
      <c r="C66" s="68">
        <v>25.975200000000001</v>
      </c>
      <c r="D66" s="68">
        <v>1</v>
      </c>
      <c r="E66" s="68" t="s">
        <v>473</v>
      </c>
    </row>
    <row r="67" spans="1:5">
      <c r="A67" s="68">
        <v>0.41121200000000002</v>
      </c>
      <c r="B67" s="68">
        <v>0.45637100000000003</v>
      </c>
      <c r="C67" s="68">
        <v>26.383500000000002</v>
      </c>
      <c r="D67" s="68">
        <v>1</v>
      </c>
      <c r="E67" s="68" t="s">
        <v>474</v>
      </c>
    </row>
    <row r="68" spans="1:5">
      <c r="A68" s="68">
        <v>0.41270499999999999</v>
      </c>
      <c r="B68" s="68">
        <v>0.45694200000000001</v>
      </c>
      <c r="C68" s="68">
        <v>26.786200000000001</v>
      </c>
      <c r="D68" s="68">
        <v>1</v>
      </c>
      <c r="E68" s="68" t="s">
        <v>475</v>
      </c>
    </row>
    <row r="69" spans="1:5">
      <c r="A69" s="68">
        <v>0.41337600000000002</v>
      </c>
      <c r="B69" s="68">
        <v>0.45783099999999999</v>
      </c>
      <c r="C69" s="68">
        <v>27.1919</v>
      </c>
      <c r="D69" s="68">
        <v>1</v>
      </c>
      <c r="E69" s="68" t="s">
        <v>476</v>
      </c>
    </row>
    <row r="70" spans="1:5">
      <c r="A70" s="68">
        <v>0.41441499999999998</v>
      </c>
      <c r="B70" s="68">
        <v>0.45830599999999999</v>
      </c>
      <c r="C70" s="68">
        <v>27.599799999999998</v>
      </c>
      <c r="D70" s="68">
        <v>1</v>
      </c>
      <c r="E70" s="68" t="s">
        <v>477</v>
      </c>
    </row>
    <row r="71" spans="1:5">
      <c r="A71" s="68">
        <v>0.41508499999999998</v>
      </c>
      <c r="B71" s="68">
        <v>0.45873000000000003</v>
      </c>
      <c r="C71" s="68">
        <v>28.0078</v>
      </c>
      <c r="D71" s="68">
        <v>1</v>
      </c>
      <c r="E71" s="68" t="s">
        <v>478</v>
      </c>
    </row>
    <row r="72" spans="1:5">
      <c r="A72" s="68">
        <v>0.41533900000000001</v>
      </c>
      <c r="B72" s="68">
        <v>0.45900099999999999</v>
      </c>
      <c r="C72" s="68">
        <v>28.412700000000001</v>
      </c>
      <c r="D72" s="68">
        <v>1</v>
      </c>
      <c r="E72" s="68" t="s">
        <v>479</v>
      </c>
    </row>
    <row r="73" spans="1:5">
      <c r="A73" s="68">
        <v>0.415437</v>
      </c>
      <c r="B73" s="68">
        <v>0.45947500000000002</v>
      </c>
      <c r="C73" s="68">
        <v>28.819700000000001</v>
      </c>
      <c r="D73" s="68">
        <v>1</v>
      </c>
      <c r="E73" s="68" t="s">
        <v>480</v>
      </c>
    </row>
    <row r="74" spans="1:5">
      <c r="A74" s="68">
        <v>0.415383</v>
      </c>
      <c r="B74" s="68">
        <v>0.45982000000000001</v>
      </c>
      <c r="C74" s="68">
        <v>29.2226</v>
      </c>
      <c r="D74" s="68">
        <v>1</v>
      </c>
      <c r="E74" s="68" t="s">
        <v>481</v>
      </c>
    </row>
    <row r="75" spans="1:5">
      <c r="A75" s="68">
        <v>0.41479899999999997</v>
      </c>
      <c r="B75" s="68">
        <v>0.45874999999999999</v>
      </c>
      <c r="C75" s="68">
        <v>29.63</v>
      </c>
      <c r="D75" s="68">
        <v>1</v>
      </c>
      <c r="E75" s="68" t="s">
        <v>482</v>
      </c>
    </row>
    <row r="76" spans="1:5">
      <c r="A76" s="68">
        <v>0.41262300000000002</v>
      </c>
      <c r="B76" s="68">
        <v>0.45533600000000002</v>
      </c>
      <c r="C76" s="68">
        <v>30.0426</v>
      </c>
      <c r="D76" s="68">
        <v>2</v>
      </c>
      <c r="E76" s="68" t="s">
        <v>483</v>
      </c>
    </row>
    <row r="77" spans="1:5">
      <c r="A77" s="68">
        <v>0.41119299999999998</v>
      </c>
      <c r="B77" s="68">
        <v>0.45183699999999999</v>
      </c>
      <c r="C77" s="68">
        <v>30.6127</v>
      </c>
      <c r="D77" s="68">
        <v>2</v>
      </c>
      <c r="E77" s="68" t="s">
        <v>484</v>
      </c>
    </row>
    <row r="78" spans="1:5">
      <c r="A78" s="68">
        <v>0.40925800000000001</v>
      </c>
      <c r="B78" s="68">
        <v>0.44745200000000002</v>
      </c>
      <c r="C78" s="68">
        <v>30.989899999999999</v>
      </c>
      <c r="D78" s="68">
        <v>2</v>
      </c>
      <c r="E78" s="68" t="s">
        <v>485</v>
      </c>
    </row>
    <row r="79" spans="1:5">
      <c r="A79" s="68">
        <v>0.40705599999999997</v>
      </c>
      <c r="B79" s="68">
        <v>0.44330900000000001</v>
      </c>
      <c r="C79" s="68">
        <v>31.366800000000001</v>
      </c>
      <c r="D79" s="68">
        <v>2</v>
      </c>
      <c r="E79" s="68" t="s">
        <v>486</v>
      </c>
    </row>
    <row r="80" spans="1:5">
      <c r="A80" s="68">
        <v>0.40447499999999997</v>
      </c>
      <c r="B80" s="68">
        <v>0.43959399999999998</v>
      </c>
      <c r="C80" s="68">
        <v>31.744800000000001</v>
      </c>
      <c r="D80" s="68">
        <v>2</v>
      </c>
      <c r="E80" s="68" t="s">
        <v>487</v>
      </c>
    </row>
    <row r="81" spans="1:5">
      <c r="A81" s="68">
        <v>0.40124700000000002</v>
      </c>
      <c r="B81" s="68">
        <v>0.43659999999999999</v>
      </c>
      <c r="C81" s="68">
        <v>32.114699999999999</v>
      </c>
      <c r="D81" s="68">
        <v>2</v>
      </c>
      <c r="E81" s="68" t="s">
        <v>488</v>
      </c>
    </row>
    <row r="82" spans="1:5">
      <c r="A82" s="68">
        <v>0.39719300000000002</v>
      </c>
      <c r="B82" s="68">
        <v>0.43484800000000001</v>
      </c>
      <c r="C82" s="68">
        <v>32.519799999999996</v>
      </c>
      <c r="D82" s="68">
        <v>2</v>
      </c>
      <c r="E82" s="68" t="s">
        <v>489</v>
      </c>
    </row>
    <row r="83" spans="1:5">
      <c r="A83" s="68">
        <v>0.392295</v>
      </c>
      <c r="B83" s="68">
        <v>0.434583</v>
      </c>
      <c r="C83" s="68">
        <v>32.9268</v>
      </c>
      <c r="D83" s="68">
        <v>2</v>
      </c>
      <c r="E83" s="68" t="s">
        <v>490</v>
      </c>
    </row>
    <row r="84" spans="1:5">
      <c r="A84" s="68">
        <v>0.38705899999999999</v>
      </c>
      <c r="B84" s="68">
        <v>0.43542199999999998</v>
      </c>
      <c r="C84" s="68">
        <v>33.334499999999998</v>
      </c>
      <c r="D84" s="68">
        <v>2</v>
      </c>
      <c r="E84" s="68" t="s">
        <v>491</v>
      </c>
    </row>
    <row r="85" spans="1:5">
      <c r="A85" s="68">
        <v>0.38139600000000001</v>
      </c>
      <c r="B85" s="68">
        <v>0.43906299999999998</v>
      </c>
      <c r="C85" s="68">
        <v>33.7408</v>
      </c>
      <c r="D85" s="68">
        <v>2</v>
      </c>
      <c r="E85" s="68" t="s">
        <v>492</v>
      </c>
    </row>
    <row r="86" spans="1:5">
      <c r="A86" s="68">
        <v>0.37570199999999998</v>
      </c>
      <c r="B86" s="68">
        <v>0.44616400000000001</v>
      </c>
      <c r="C86" s="68">
        <v>34.150399999999998</v>
      </c>
      <c r="D86" s="68">
        <v>2</v>
      </c>
      <c r="E86" s="68" t="s">
        <v>493</v>
      </c>
    </row>
    <row r="87" spans="1:5">
      <c r="A87" s="68">
        <v>0.37014200000000003</v>
      </c>
      <c r="B87" s="68">
        <v>0.45610000000000001</v>
      </c>
      <c r="C87" s="68">
        <v>34.5563</v>
      </c>
      <c r="D87" s="68">
        <v>2</v>
      </c>
      <c r="E87" s="68" t="s">
        <v>494</v>
      </c>
    </row>
    <row r="88" spans="1:5">
      <c r="A88" s="68">
        <v>0.36461399999999999</v>
      </c>
      <c r="B88" s="68">
        <v>0.468804</v>
      </c>
      <c r="C88" s="68">
        <v>34.9602</v>
      </c>
      <c r="D88" s="68">
        <v>2</v>
      </c>
      <c r="E88" s="68" t="s">
        <v>495</v>
      </c>
    </row>
    <row r="89" spans="1:5">
      <c r="A89" s="68">
        <v>0.35969400000000001</v>
      </c>
      <c r="B89" s="68">
        <v>0.48170400000000002</v>
      </c>
      <c r="C89" s="68">
        <v>35.365200000000002</v>
      </c>
      <c r="D89" s="68">
        <v>2</v>
      </c>
      <c r="E89" s="68" t="s">
        <v>496</v>
      </c>
    </row>
    <row r="90" spans="1:5">
      <c r="A90" s="68">
        <v>0.35521399999999997</v>
      </c>
      <c r="B90" s="68">
        <v>0.49595800000000001</v>
      </c>
      <c r="C90" s="68">
        <v>35.771799999999999</v>
      </c>
      <c r="D90" s="68">
        <v>2</v>
      </c>
      <c r="E90" s="68" t="s">
        <v>497</v>
      </c>
    </row>
    <row r="91" spans="1:5">
      <c r="A91" s="68">
        <v>0.35169899999999998</v>
      </c>
      <c r="B91" s="68">
        <v>0.50868899999999995</v>
      </c>
      <c r="C91" s="68">
        <v>36.174900000000001</v>
      </c>
      <c r="D91" s="68">
        <v>2</v>
      </c>
      <c r="E91" s="68" t="s">
        <v>498</v>
      </c>
    </row>
    <row r="92" spans="1:5">
      <c r="A92" s="68">
        <v>0.3493</v>
      </c>
      <c r="B92" s="68">
        <v>0.51944199999999996</v>
      </c>
      <c r="C92" s="68">
        <v>36.584800000000001</v>
      </c>
      <c r="D92" s="68">
        <v>2</v>
      </c>
      <c r="E92" s="68" t="s">
        <v>499</v>
      </c>
    </row>
    <row r="93" spans="1:5">
      <c r="A93" s="68">
        <v>0.34767999999999999</v>
      </c>
      <c r="B93" s="68">
        <v>0.52905400000000002</v>
      </c>
      <c r="C93" s="68">
        <v>36.990699999999997</v>
      </c>
      <c r="D93" s="68">
        <v>2</v>
      </c>
      <c r="E93" s="68" t="s">
        <v>500</v>
      </c>
    </row>
    <row r="94" spans="1:5">
      <c r="A94" s="68">
        <v>0.34694900000000001</v>
      </c>
      <c r="B94" s="68">
        <v>0.53758099999999998</v>
      </c>
      <c r="C94" s="68">
        <v>37.394599999999997</v>
      </c>
      <c r="D94" s="68">
        <v>2</v>
      </c>
      <c r="E94" s="68" t="s">
        <v>501</v>
      </c>
    </row>
    <row r="95" spans="1:5">
      <c r="A95" s="68">
        <v>0.34706799999999999</v>
      </c>
      <c r="B95" s="68">
        <v>0.54386199999999996</v>
      </c>
      <c r="C95" s="68">
        <v>37.801499999999997</v>
      </c>
      <c r="D95" s="68">
        <v>2</v>
      </c>
      <c r="E95" s="68" t="s">
        <v>502</v>
      </c>
    </row>
    <row r="96" spans="1:5">
      <c r="A96" s="68">
        <v>0.34776000000000001</v>
      </c>
      <c r="B96" s="68">
        <v>0.54821900000000001</v>
      </c>
      <c r="C96" s="68">
        <v>38.206200000000003</v>
      </c>
      <c r="D96" s="68">
        <v>2</v>
      </c>
      <c r="E96" s="68" t="s">
        <v>503</v>
      </c>
    </row>
    <row r="97" spans="1:5">
      <c r="A97" s="68">
        <v>0.34877999999999998</v>
      </c>
      <c r="B97" s="68">
        <v>0.55124899999999999</v>
      </c>
      <c r="C97" s="68">
        <v>38.617400000000004</v>
      </c>
      <c r="D97" s="68">
        <v>2</v>
      </c>
      <c r="E97" s="68" t="s">
        <v>504</v>
      </c>
    </row>
    <row r="98" spans="1:5">
      <c r="A98" s="68">
        <v>0.35014299999999998</v>
      </c>
      <c r="B98" s="68">
        <v>0.55282100000000001</v>
      </c>
      <c r="C98" s="68">
        <v>39.024299999999997</v>
      </c>
      <c r="D98" s="68">
        <v>2</v>
      </c>
      <c r="E98" s="68" t="s">
        <v>505</v>
      </c>
    </row>
    <row r="99" spans="1:5">
      <c r="A99" s="68">
        <v>0.35208099999999998</v>
      </c>
      <c r="B99" s="68">
        <v>0.55322899999999997</v>
      </c>
      <c r="C99" s="68">
        <v>39.428199999999997</v>
      </c>
      <c r="D99" s="68">
        <v>2</v>
      </c>
      <c r="E99" s="68" t="s">
        <v>506</v>
      </c>
    </row>
    <row r="100" spans="1:5">
      <c r="A100" s="68">
        <v>0.35467500000000002</v>
      </c>
      <c r="B100" s="68">
        <v>0.55272399999999999</v>
      </c>
      <c r="C100" s="68">
        <v>39.834099999999999</v>
      </c>
      <c r="D100" s="68">
        <v>2</v>
      </c>
      <c r="E100" s="68" t="s">
        <v>507</v>
      </c>
    </row>
    <row r="101" spans="1:5">
      <c r="A101" s="68">
        <v>0.35769600000000001</v>
      </c>
      <c r="B101" s="68">
        <v>0.55196999999999996</v>
      </c>
      <c r="C101" s="68">
        <v>40.241</v>
      </c>
      <c r="D101" s="68">
        <v>2</v>
      </c>
      <c r="E101" s="68" t="s">
        <v>508</v>
      </c>
    </row>
    <row r="102" spans="1:5">
      <c r="A102" s="68">
        <v>0.36080800000000002</v>
      </c>
      <c r="B102" s="68">
        <v>0.55196000000000001</v>
      </c>
      <c r="C102" s="68">
        <v>40.648000000000003</v>
      </c>
      <c r="D102" s="68">
        <v>2</v>
      </c>
      <c r="E102" s="68" t="s">
        <v>509</v>
      </c>
    </row>
    <row r="103" spans="1:5">
      <c r="A103" s="68">
        <v>0.36397699999999999</v>
      </c>
      <c r="B103" s="68">
        <v>0.552396</v>
      </c>
      <c r="C103" s="68">
        <v>41.054900000000004</v>
      </c>
      <c r="D103" s="68">
        <v>2</v>
      </c>
      <c r="E103" s="68" t="s">
        <v>510</v>
      </c>
    </row>
    <row r="104" spans="1:5">
      <c r="A104" s="68">
        <v>0.36706800000000001</v>
      </c>
      <c r="B104" s="68">
        <v>0.55301</v>
      </c>
      <c r="C104" s="68">
        <v>41.459800000000001</v>
      </c>
      <c r="D104" s="68">
        <v>2</v>
      </c>
      <c r="E104" s="68" t="s">
        <v>511</v>
      </c>
    </row>
    <row r="105" spans="1:5">
      <c r="A105" s="68">
        <v>0.36966700000000002</v>
      </c>
      <c r="B105" s="68">
        <v>0.554705</v>
      </c>
      <c r="C105" s="68">
        <v>41.865699999999997</v>
      </c>
      <c r="D105" s="68">
        <v>2</v>
      </c>
      <c r="E105" s="68" t="s">
        <v>512</v>
      </c>
    </row>
    <row r="106" spans="1:5">
      <c r="A106" s="68">
        <v>0.37190400000000001</v>
      </c>
      <c r="B106" s="68">
        <v>0.55739700000000003</v>
      </c>
      <c r="C106" s="68">
        <v>42.271799999999999</v>
      </c>
      <c r="D106" s="68">
        <v>2</v>
      </c>
      <c r="E106" s="68" t="s">
        <v>513</v>
      </c>
    </row>
    <row r="107" spans="1:5">
      <c r="A107" s="68">
        <v>0.373973</v>
      </c>
      <c r="B107" s="68">
        <v>0.56015300000000001</v>
      </c>
      <c r="C107" s="68">
        <v>42.679499999999997</v>
      </c>
      <c r="D107" s="68">
        <v>2</v>
      </c>
      <c r="E107" s="68" t="s">
        <v>514</v>
      </c>
    </row>
    <row r="108" spans="1:5">
      <c r="A108" s="68">
        <v>0.37613400000000002</v>
      </c>
      <c r="B108" s="68">
        <v>0.56292200000000003</v>
      </c>
      <c r="C108" s="68">
        <v>43.086599999999997</v>
      </c>
      <c r="D108" s="68">
        <v>2</v>
      </c>
      <c r="E108" s="68" t="s">
        <v>515</v>
      </c>
    </row>
    <row r="109" spans="1:5">
      <c r="A109" s="68">
        <v>0.37823200000000001</v>
      </c>
      <c r="B109" s="68">
        <v>0.56528299999999998</v>
      </c>
      <c r="C109" s="68">
        <v>43.491999999999997</v>
      </c>
      <c r="D109" s="68">
        <v>2</v>
      </c>
      <c r="E109" s="68" t="s">
        <v>516</v>
      </c>
    </row>
    <row r="110" spans="1:5">
      <c r="A110" s="68">
        <v>0.37991000000000003</v>
      </c>
      <c r="B110" s="68">
        <v>0.56706100000000004</v>
      </c>
      <c r="C110" s="68">
        <v>43.899299999999997</v>
      </c>
      <c r="D110" s="68">
        <v>2</v>
      </c>
      <c r="E110" s="68" t="s">
        <v>517</v>
      </c>
    </row>
    <row r="111" spans="1:5">
      <c r="A111" s="68">
        <v>0.38124000000000002</v>
      </c>
      <c r="B111" s="68">
        <v>0.56798599999999999</v>
      </c>
      <c r="C111" s="68">
        <v>44.305399999999999</v>
      </c>
      <c r="D111" s="68">
        <v>2</v>
      </c>
      <c r="E111" s="68" t="s">
        <v>518</v>
      </c>
    </row>
    <row r="112" spans="1:5">
      <c r="A112" s="68">
        <v>0.38226700000000002</v>
      </c>
      <c r="B112" s="68">
        <v>0.567998</v>
      </c>
      <c r="C112" s="68">
        <v>44.715600000000002</v>
      </c>
      <c r="D112" s="68">
        <v>2</v>
      </c>
      <c r="E112" s="68" t="s">
        <v>519</v>
      </c>
    </row>
    <row r="113" spans="1:5">
      <c r="A113" s="68">
        <v>0.38305600000000001</v>
      </c>
      <c r="B113" s="68">
        <v>0.56711</v>
      </c>
      <c r="C113" s="68">
        <v>45.1205</v>
      </c>
      <c r="D113" s="68">
        <v>2</v>
      </c>
      <c r="E113" s="68" t="s">
        <v>520</v>
      </c>
    </row>
    <row r="114" spans="1:5">
      <c r="A114" s="68">
        <v>0.38372800000000001</v>
      </c>
      <c r="B114" s="68">
        <v>0.56588099999999997</v>
      </c>
      <c r="C114" s="68">
        <v>45.526299999999999</v>
      </c>
      <c r="D114" s="68">
        <v>2</v>
      </c>
      <c r="E114" s="68" t="s">
        <v>521</v>
      </c>
    </row>
    <row r="115" spans="1:5">
      <c r="A115" s="68">
        <v>0.38416099999999997</v>
      </c>
      <c r="B115" s="68">
        <v>0.56437199999999998</v>
      </c>
      <c r="C115" s="68">
        <v>45.931100000000001</v>
      </c>
      <c r="D115" s="68">
        <v>2</v>
      </c>
      <c r="E115" s="68" t="s">
        <v>522</v>
      </c>
    </row>
    <row r="116" spans="1:5">
      <c r="A116" s="68">
        <v>0.38468999999999998</v>
      </c>
      <c r="B116" s="68">
        <v>0.56266300000000002</v>
      </c>
      <c r="C116" s="68">
        <v>46.338799999999999</v>
      </c>
      <c r="D116" s="68">
        <v>2</v>
      </c>
      <c r="E116" s="68" t="s">
        <v>523</v>
      </c>
    </row>
    <row r="117" spans="1:5">
      <c r="A117" s="68">
        <v>0.38494600000000001</v>
      </c>
      <c r="B117" s="68">
        <v>0.56057699999999999</v>
      </c>
      <c r="C117" s="68">
        <v>46.741599999999998</v>
      </c>
      <c r="D117" s="68">
        <v>2</v>
      </c>
      <c r="E117" s="68" t="s">
        <v>524</v>
      </c>
    </row>
    <row r="118" spans="1:5">
      <c r="A118" s="68">
        <v>0.38536700000000002</v>
      </c>
      <c r="B118" s="68">
        <v>0.55751799999999996</v>
      </c>
      <c r="C118" s="68">
        <v>47.144599999999997</v>
      </c>
      <c r="D118" s="68">
        <v>2</v>
      </c>
      <c r="E118" s="68" t="s">
        <v>525</v>
      </c>
    </row>
    <row r="119" spans="1:5">
      <c r="A119" s="68">
        <v>0.38564799999999999</v>
      </c>
      <c r="B119" s="68">
        <v>0.55398700000000001</v>
      </c>
      <c r="C119" s="68">
        <v>47.550699999999999</v>
      </c>
      <c r="D119" s="68">
        <v>2</v>
      </c>
      <c r="E119" s="68" t="s">
        <v>526</v>
      </c>
    </row>
    <row r="120" spans="1:5">
      <c r="A120" s="68">
        <v>0.38569900000000001</v>
      </c>
      <c r="B120" s="68">
        <v>0.55043200000000003</v>
      </c>
      <c r="C120" s="68">
        <v>47.961399999999998</v>
      </c>
      <c r="D120" s="68">
        <v>2</v>
      </c>
      <c r="E120" s="68" t="s">
        <v>527</v>
      </c>
    </row>
    <row r="121" spans="1:5">
      <c r="A121" s="68">
        <v>0.38572499999999998</v>
      </c>
      <c r="B121" s="68">
        <v>0.54679</v>
      </c>
      <c r="C121" s="68">
        <v>48.3626</v>
      </c>
      <c r="D121" s="68">
        <v>2</v>
      </c>
      <c r="E121" s="68" t="s">
        <v>528</v>
      </c>
    </row>
    <row r="122" spans="1:5">
      <c r="A122" s="68">
        <v>0.385658</v>
      </c>
      <c r="B122" s="68">
        <v>0.54325800000000002</v>
      </c>
      <c r="C122" s="68">
        <v>48.772199999999998</v>
      </c>
      <c r="D122" s="68">
        <v>2</v>
      </c>
      <c r="E122" s="68" t="s">
        <v>529</v>
      </c>
    </row>
    <row r="123" spans="1:5">
      <c r="A123" s="68">
        <v>0.38536100000000001</v>
      </c>
      <c r="B123" s="68">
        <v>0.54014200000000001</v>
      </c>
      <c r="C123" s="68">
        <v>49.178100000000001</v>
      </c>
      <c r="D123" s="68">
        <v>2</v>
      </c>
      <c r="E123" s="68" t="s">
        <v>530</v>
      </c>
    </row>
    <row r="124" spans="1:5">
      <c r="A124" s="68">
        <v>0.38472400000000001</v>
      </c>
      <c r="B124" s="68">
        <v>0.53738699999999995</v>
      </c>
      <c r="C124" s="68">
        <v>49.584200000000003</v>
      </c>
      <c r="D124" s="68">
        <v>2</v>
      </c>
      <c r="E124" s="68" t="s">
        <v>531</v>
      </c>
    </row>
    <row r="125" spans="1:5">
      <c r="A125" s="68">
        <v>0.38400800000000002</v>
      </c>
      <c r="B125" s="68">
        <v>0.53477200000000003</v>
      </c>
      <c r="C125" s="68">
        <v>49.991599999999998</v>
      </c>
      <c r="D125" s="68">
        <v>2</v>
      </c>
      <c r="E125" s="68" t="s">
        <v>532</v>
      </c>
    </row>
    <row r="126" spans="1:5">
      <c r="A126" s="68">
        <v>0.38266899999999998</v>
      </c>
      <c r="B126" s="68">
        <v>0.53349000000000002</v>
      </c>
      <c r="C126" s="68">
        <v>50.398899999999998</v>
      </c>
      <c r="D126" s="68">
        <v>2</v>
      </c>
      <c r="E126" s="68" t="s">
        <v>533</v>
      </c>
    </row>
    <row r="127" spans="1:5">
      <c r="A127" s="68">
        <v>0.38122899999999998</v>
      </c>
      <c r="B127" s="68">
        <v>0.53212700000000002</v>
      </c>
      <c r="C127" s="68">
        <v>50.803199999999997</v>
      </c>
      <c r="D127" s="68">
        <v>2</v>
      </c>
      <c r="E127" s="68" t="s">
        <v>534</v>
      </c>
    </row>
    <row r="128" spans="1:5">
      <c r="A128" s="68">
        <v>0.37976500000000002</v>
      </c>
      <c r="B128" s="68">
        <v>0.53104499999999999</v>
      </c>
      <c r="C128" s="68">
        <v>51.2087</v>
      </c>
      <c r="D128" s="68">
        <v>2</v>
      </c>
      <c r="E128" s="68" t="s">
        <v>535</v>
      </c>
    </row>
    <row r="129" spans="1:5">
      <c r="A129" s="68">
        <v>0.37817699999999999</v>
      </c>
      <c r="B129" s="68">
        <v>0.53056499999999995</v>
      </c>
      <c r="C129" s="68">
        <v>51.615699999999997</v>
      </c>
      <c r="D129" s="68">
        <v>2</v>
      </c>
      <c r="E129" s="68" t="s">
        <v>536</v>
      </c>
    </row>
    <row r="130" spans="1:5">
      <c r="A130" s="68">
        <v>0.37697599999999998</v>
      </c>
      <c r="B130" s="68">
        <v>0.52957200000000004</v>
      </c>
      <c r="C130" s="68">
        <v>52.0227</v>
      </c>
      <c r="D130" s="68">
        <v>2</v>
      </c>
      <c r="E130" s="68" t="s">
        <v>537</v>
      </c>
    </row>
    <row r="131" spans="1:5">
      <c r="A131" s="68">
        <v>0.37617</v>
      </c>
      <c r="B131" s="68">
        <v>0.52770399999999995</v>
      </c>
      <c r="C131" s="68">
        <v>52.433599999999998</v>
      </c>
      <c r="D131" s="68">
        <v>2</v>
      </c>
      <c r="E131" s="68" t="s">
        <v>538</v>
      </c>
    </row>
    <row r="132" spans="1:5">
      <c r="A132" s="68">
        <v>0.37580599999999997</v>
      </c>
      <c r="B132" s="68">
        <v>0.52574399999999999</v>
      </c>
      <c r="C132" s="68">
        <v>52.833399999999997</v>
      </c>
      <c r="D132" s="68">
        <v>2</v>
      </c>
      <c r="E132" s="68" t="s">
        <v>539</v>
      </c>
    </row>
    <row r="133" spans="1:5">
      <c r="A133" s="68">
        <v>0.37541400000000003</v>
      </c>
      <c r="B133" s="68">
        <v>0.52401299999999995</v>
      </c>
      <c r="C133" s="68">
        <v>53.241500000000002</v>
      </c>
      <c r="D133" s="68">
        <v>2</v>
      </c>
      <c r="E133" s="68" t="s">
        <v>540</v>
      </c>
    </row>
    <row r="134" spans="1:5">
      <c r="A134" s="68">
        <v>0.37519200000000003</v>
      </c>
      <c r="B134" s="68">
        <v>0.52259199999999995</v>
      </c>
      <c r="C134" s="68">
        <v>53.649500000000003</v>
      </c>
      <c r="D134" s="68">
        <v>2</v>
      </c>
      <c r="E134" s="68" t="s">
        <v>541</v>
      </c>
    </row>
    <row r="135" spans="1:5">
      <c r="A135" s="68">
        <v>0.37549399999999999</v>
      </c>
      <c r="B135" s="68">
        <v>0.52160700000000004</v>
      </c>
      <c r="C135" s="68">
        <v>54.054099999999998</v>
      </c>
      <c r="D135" s="68">
        <v>2</v>
      </c>
      <c r="E135" s="68" t="s">
        <v>542</v>
      </c>
    </row>
    <row r="136" spans="1:5">
      <c r="A136" s="68">
        <v>0.376245</v>
      </c>
      <c r="B136" s="68">
        <v>0.52041899999999996</v>
      </c>
      <c r="C136" s="68">
        <v>54.461399999999998</v>
      </c>
      <c r="D136" s="68">
        <v>2</v>
      </c>
      <c r="E136" s="68" t="s">
        <v>543</v>
      </c>
    </row>
    <row r="137" spans="1:5">
      <c r="A137" s="68">
        <v>0.37754799999999999</v>
      </c>
      <c r="B137" s="68">
        <v>0.51962900000000001</v>
      </c>
      <c r="C137" s="68">
        <v>54.867100000000001</v>
      </c>
      <c r="D137" s="68">
        <v>2</v>
      </c>
      <c r="E137" s="68" t="s">
        <v>544</v>
      </c>
    </row>
    <row r="138" spans="1:5">
      <c r="A138" s="68">
        <v>0.37933699999999998</v>
      </c>
      <c r="B138" s="68">
        <v>0.51998500000000003</v>
      </c>
      <c r="C138" s="68">
        <v>55.293900000000001</v>
      </c>
      <c r="D138" s="68">
        <v>2</v>
      </c>
      <c r="E138" s="68" t="s">
        <v>545</v>
      </c>
    </row>
    <row r="139" spans="1:5">
      <c r="A139" s="68">
        <v>0.38123699999999999</v>
      </c>
      <c r="B139" s="68">
        <v>0.52027900000000005</v>
      </c>
      <c r="C139" s="68">
        <v>55.683700000000002</v>
      </c>
      <c r="D139" s="68">
        <v>2</v>
      </c>
      <c r="E139" s="68" t="s">
        <v>546</v>
      </c>
    </row>
    <row r="140" spans="1:5">
      <c r="A140" s="68">
        <v>0.38367899999999999</v>
      </c>
      <c r="B140" s="68">
        <v>0.51983900000000005</v>
      </c>
      <c r="C140" s="68">
        <v>56.084099999999999</v>
      </c>
      <c r="D140" s="68">
        <v>2</v>
      </c>
      <c r="E140" s="68" t="s">
        <v>547</v>
      </c>
    </row>
    <row r="141" spans="1:5">
      <c r="A141" s="68">
        <v>0.385212</v>
      </c>
      <c r="B141" s="68">
        <v>0.518007</v>
      </c>
      <c r="C141" s="68">
        <v>56.488599999999998</v>
      </c>
      <c r="D141" s="68">
        <v>2</v>
      </c>
      <c r="E141" s="68" t="s">
        <v>548</v>
      </c>
    </row>
    <row r="142" spans="1:5">
      <c r="A142" s="68">
        <v>0.38674700000000001</v>
      </c>
      <c r="B142" s="68">
        <v>0.51561800000000002</v>
      </c>
      <c r="C142" s="68">
        <v>56.897599999999997</v>
      </c>
      <c r="D142" s="68">
        <v>2</v>
      </c>
      <c r="E142" s="68" t="s">
        <v>549</v>
      </c>
    </row>
    <row r="143" spans="1:5">
      <c r="A143" s="68">
        <v>0.38752500000000001</v>
      </c>
      <c r="B143" s="68">
        <v>0.51387300000000002</v>
      </c>
      <c r="C143" s="68">
        <v>57.3035</v>
      </c>
      <c r="D143" s="68">
        <v>2</v>
      </c>
      <c r="E143" s="68" t="s">
        <v>550</v>
      </c>
    </row>
    <row r="144" spans="1:5">
      <c r="A144" s="68">
        <v>0.38805000000000001</v>
      </c>
      <c r="B144" s="68">
        <v>0.51261199999999996</v>
      </c>
      <c r="C144" s="68">
        <v>57.708300000000001</v>
      </c>
      <c r="D144" s="68">
        <v>2</v>
      </c>
      <c r="E144" s="68" t="s">
        <v>551</v>
      </c>
    </row>
    <row r="145" spans="1:5">
      <c r="A145" s="68">
        <v>0.38864700000000002</v>
      </c>
      <c r="B145" s="68">
        <v>0.51147100000000001</v>
      </c>
      <c r="C145" s="68">
        <v>58.116199999999999</v>
      </c>
      <c r="D145" s="68">
        <v>2</v>
      </c>
      <c r="E145" s="68" t="s">
        <v>552</v>
      </c>
    </row>
    <row r="146" spans="1:5">
      <c r="A146" s="68">
        <v>0.38853700000000002</v>
      </c>
      <c r="B146" s="68">
        <v>0.51196399999999997</v>
      </c>
      <c r="C146" s="68">
        <v>58.522399999999998</v>
      </c>
      <c r="D146" s="68">
        <v>2</v>
      </c>
      <c r="E146" s="68" t="s">
        <v>553</v>
      </c>
    </row>
    <row r="147" spans="1:5">
      <c r="A147" s="68">
        <v>0.388351</v>
      </c>
      <c r="B147" s="68">
        <v>0.512706</v>
      </c>
      <c r="C147" s="68">
        <v>58.927700000000002</v>
      </c>
      <c r="D147" s="68">
        <v>2</v>
      </c>
      <c r="E147" s="68" t="s">
        <v>554</v>
      </c>
    </row>
    <row r="148" spans="1:5">
      <c r="A148" s="68">
        <v>0.38967800000000002</v>
      </c>
      <c r="B148" s="68">
        <v>0.51193100000000002</v>
      </c>
      <c r="C148" s="68">
        <v>59.335000000000001</v>
      </c>
      <c r="D148" s="68">
        <v>2</v>
      </c>
      <c r="E148" s="68" t="s">
        <v>555</v>
      </c>
    </row>
    <row r="149" spans="1:5">
      <c r="A149" s="68">
        <v>0.392262</v>
      </c>
      <c r="B149" s="68">
        <v>0.50892999999999999</v>
      </c>
      <c r="C149" s="68">
        <v>59.737099999999998</v>
      </c>
      <c r="D149" s="68">
        <v>2</v>
      </c>
      <c r="E149" s="68" t="s">
        <v>556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406</v>
      </c>
      <c r="B1" s="66" t="s">
        <v>557</v>
      </c>
      <c r="C1" s="66" t="s">
        <v>559</v>
      </c>
      <c r="D1" s="66" t="s">
        <v>560</v>
      </c>
      <c r="E1" s="66" t="s">
        <v>561</v>
      </c>
      <c r="F1" s="66" t="s">
        <v>348</v>
      </c>
      <c r="G1" s="66" t="s">
        <v>349</v>
      </c>
      <c r="H1" s="66" t="s">
        <v>562</v>
      </c>
      <c r="I1" s="66" t="s">
        <v>563</v>
      </c>
      <c r="J1" s="66" t="s">
        <v>564</v>
      </c>
      <c r="K1" s="66" t="s">
        <v>565</v>
      </c>
      <c r="L1" s="66" t="s">
        <v>566</v>
      </c>
      <c r="M1" s="66" t="s">
        <v>567</v>
      </c>
      <c r="N1" s="66"/>
    </row>
    <row r="2" spans="1:14">
      <c r="A2" s="75">
        <v>43605.740682870368</v>
      </c>
      <c r="B2" s="66" t="s">
        <v>558</v>
      </c>
      <c r="C2" s="66"/>
      <c r="D2" s="66"/>
      <c r="E2" s="66">
        <v>4.9207200000000002</v>
      </c>
      <c r="F2" s="66">
        <v>1.8931800000000001</v>
      </c>
      <c r="G2" s="66">
        <v>0.494392</v>
      </c>
      <c r="H2" s="66">
        <v>0</v>
      </c>
      <c r="I2" s="66">
        <v>197321</v>
      </c>
      <c r="J2" s="66">
        <v>98</v>
      </c>
      <c r="K2" s="66">
        <v>98</v>
      </c>
      <c r="L2" s="66">
        <v>0</v>
      </c>
      <c r="M2" s="66" t="s">
        <v>568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2019-05-20T09:48:01Z</cp:lastPrinted>
  <dcterms:created xsi:type="dcterms:W3CDTF">2010-10-29T12:53:05Z</dcterms:created>
  <dcterms:modified xsi:type="dcterms:W3CDTF">2019-05-20T09:48:13Z</dcterms:modified>
</cp:coreProperties>
</file>