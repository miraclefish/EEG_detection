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<sst xmlns="http://schemas.openxmlformats.org/spreadsheetml/2006/main" count="701" uniqueCount="575">
  <si>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</si>
  <si>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</si>
  <si>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</si>
  <si>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</si>
  <si>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</si>
  <si>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</si>
  <si>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</si>
  <si>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</si>
  <si>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</si>
  <si>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</si>
  <si>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</si>
  <si>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</si>
  <si>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</si>
  <si>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</si>
  <si>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</si>
  <si>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</si>
  <si>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</si>
  <si>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</si>
  <si>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</si>
  <si>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</si>
  <si>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</si>
  <si>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</si>
  <si>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</si>
  <si>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</si>
  <si>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</si>
  <si>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</si>
  <si>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</si>
  <si>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</si>
  <si>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</si>
  <si>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</si>
  <si>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</si>
  <si>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</si>
  <si>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</si>
  <si>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</si>
  <si>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</si>
  <si>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</si>
  <si>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</si>
  <si>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</si>
  <si>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</si>
  <si>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</si>
  <si>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</si>
  <si>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</si>
  <si>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</si>
  <si>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</si>
  <si>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</si>
  <si>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</si>
  <si>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</si>
  <si>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</si>
  <si>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</si>
  <si>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</si>
  <si>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</si>
  <si>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</si>
  <si>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</si>
  <si>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</si>
  <si>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</si>
  <si>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</si>
  <si>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</si>
  <si>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</si>
  <si>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</si>
  <si>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</si>
  <si>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</si>
  <si>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</si>
  <si>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</si>
  <si>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</si>
  <si>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</si>
  <si>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</si>
  <si>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</si>
  <si>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</si>
  <si>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</si>
  <si>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</si>
  <si>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</si>
  <si>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</si>
  <si>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</si>
  <si>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</si>
  <si>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</si>
  <si>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</si>
  <si>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</si>
  <si>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</si>
  <si>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</si>
  <si>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</si>
  <si>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</si>
  <si>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</si>
  <si>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</si>
  <si>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</si>
  <si>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</si>
  <si>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</si>
  <si>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</si>
  <si>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</si>
  <si>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</si>
  <si>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</si>
  <si>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</si>
  <si>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</si>
  <si>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</si>
  <si>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</si>
  <si>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</si>
  <si>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</si>
  <si>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</si>
  <si>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</si>
  <si>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</si>
  <si>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</si>
  <si>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</si>
  <si>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</si>
  <si>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</si>
  <si>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</si>
  <si>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</si>
  <si>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</si>
  <si>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</si>
  <si>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</si>
  <si>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</si>
  <si>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</si>
  <si>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</si>
  <si>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</si>
  <si>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</si>
  <si>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</si>
  <si>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</si>
  <si>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</si>
  <si>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</si>
  <si>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</si>
  <si>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</si>
  <si>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</si>
  <si>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</si>
  <si>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</si>
  <si>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</si>
  <si>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</si>
  <si>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</si>
  <si>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</si>
  <si>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</si>
  <si>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</si>
  <si>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</si>
  <si>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</si>
  <si>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</si>
  <si>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</si>
  <si>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</si>
  <si>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</si>
  <si>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</si>
  <si>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</si>
  <si>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</si>
  <si>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</si>
  <si>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</si>
  <si>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</si>
  <si>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</si>
  <si>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</si>
  <si>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</si>
  <si>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</si>
  <si>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</si>
  <si>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</si>
  <si>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</si>
  <si>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</si>
  <si>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</si>
  <si>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</si>
  <si>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</si>
  <si>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</si>
  <si>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</si>
  <si>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</si>
  <si>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</si>
  <si>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</si>
  <si>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</si>
  <si>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</si>
  <si>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</si>
  <si>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</si>
  <si>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</si>
  <si>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</si>
  <si>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</si>
  <si>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</si>
  <si>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</si>
  <si>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</si>
  <si>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</si>
  <si>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</si>
  <si>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</si>
  <si>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</si>
  <si>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</si>
  <si>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</si>
  <si>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</si>
  <si>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</si>
  <si>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</si>
  <si>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</si>
  <si>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</si>
  <si>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</si>
  <si>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</si>
  <si>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</si>
  <si>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</si>
  <si>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</si>
  <si>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</si>
  <si>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</si>
  <si>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</si>
  <si>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</si>
  <si>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</si>
  <si>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</si>
  <si>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</si>
  <si>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</si>
  <si>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</si>
  <si>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</si>
  <si>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</si>
  <si>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</si>
  <si>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</si>
  <si>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</si>
  <si>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</si>
  <si>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</si>
  <si>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</si>
  <si>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</si>
  <si>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</si>
  <si>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</si>
  <si>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</si>
  <si>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</si>
  <si>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</si>
  <si>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</si>
  <si>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</si>
  <si>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</si>
  <si>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</si>
  <si>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</si>
  <si>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</si>
  <si>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</si>
  <si>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</si>
  <si>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</si>
  <si>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</si>
  <si>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</si>
  <si>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</si>
  <si>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</si>
  <si>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</si>
  <si>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</si>
  <si>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</si>
  <si>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</si>
  <si>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</si>
  <si>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</si>
  <si>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</si>
  <si>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</si>
  <si>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</si>
  <si>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</si>
  <si>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</si>
  <si>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</si>
  <si>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</si>
  <si>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</si>
  <si>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</si>
  <si>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</si>
  <si>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</si>
  <si>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</si>
  <si>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</si>
  <si>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</si>
  <si>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</si>
  <si>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</si>
  <si>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</si>
  <si>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</si>
  <si>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</si>
  <si>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</si>
  <si>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</si>
  <si>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</si>
  <si>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</si>
  <si>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</si>
  <si>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</si>
  <si>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</si>
  <si>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</si>
  <si>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</si>
  <si>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</si>
  <si>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</si>
  <si>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</si>
  <si>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</si>
  <si>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</si>
  <si>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</si>
  <si>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</si>
  <si>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</si>
  <si>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</si>
  <si>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</si>
  <si>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</si>
  <si>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</si>
  <si>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</si>
  <si>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</si>
  <si>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</si>
  <si>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</si>
  <si>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</si>
  <si>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</si>
  <si>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</si>
  <si>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</si>
  <si>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</si>
  <si>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</si>
  <si>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</si>
  <si>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</si>
  <si>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</si>
  <si>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</si>
  <si>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</si>
  <si>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</si>
  <si>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</si>
  <si>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</si>
  <si>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</si>
  <si>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</si>
  <si>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</si>
  <si>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</si>
  <si>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</si>
  <si>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</si>
  <si>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</si>
  <si>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</si>
  <si>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</si>
  <si>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</si>
  <si>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</si>
  <si>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</si>
  <si>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</si>
  <si>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</si>
  <si>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</si>
  <si>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</si>
  <si>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</si>
  <si>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</si>
  <si>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</si>
  <si>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</si>
  <si>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</si>
  <si>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</si>
  <si>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</si>
  <si>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</si>
  <si>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</si>
  <si>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</si>
  <si>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</si>
  <si>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</si>
  <si>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</si>
  <si>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</si>
  <si>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</si>
  <si>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</si>
  <si>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</si>
  <si>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</si>
  <si>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</si>
  <si>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</si>
  <si>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</si>
  <si>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</si>
  <si>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</si>
  <si>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</si>
  <si>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</si>
  <si>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</si>
  <si>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</si>
  <si>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</si>
  <si>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</si>
  <si>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</si>
  <si>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</si>
  <si>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</si>
  <si>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</si>
  <si>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</si>
  <si>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</si>
  <si>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</si>
  <si>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</si>
  <si>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</si>
  <si>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</si>
  <si>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</si>
  <si>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</si>
  <si>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</si>
  <si>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</si>
  <si>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</si>
  <si>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</si>
  <si>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</si>
  <si>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</si>
  <si>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</si>
  <si>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</si>
  <si>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</si>
  <si>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</si>
  <si>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</si>
  <si>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</si>
  <si>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</si>
  <si>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</si>
  <si>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</si>
  <si>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</si>
  <si>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</si>
  <si>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</si>
  <si>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</si>
  <si>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</si>
  <si>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</si>
  <si>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</si>
  <si>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</si>
  <si>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</si>
  <si>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</si>
  <si>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</si>
  <si>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</si>
  <si>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</si>
  <si>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</si>
  <si>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</si>
  <si>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</si>
  <si>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</si>
  <si>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</si>
  <si>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</si>
  <si>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</si>
  <si>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</si>
  <si>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</si>
  <si>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</si>
  <si>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</si>
  <si>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</si>
  <si>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</si>
  <si>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</si>
  <si>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</si>
  <si>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</si>
  <si>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</si>
  <si>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</si>
  <si>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</si>
  <si>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</si>
  <si>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</si>
  <si>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</si>
  <si>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</si>
  <si>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</si>
  <si>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</si>
  <si>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</si>
  <si>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</si>
  <si>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</si>
  <si>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</si>
  <si>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</si>
  <si>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</si>
  <si>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</si>
  <si>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</si>
  <si>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</si>
  <si>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S</t>
    <phoneticPr fontId="29" type="noConversion"/>
  </si>
  <si>
    <t>CMin</t>
    <phoneticPr fontId="29" type="noConversion"/>
  </si>
  <si>
    <t>h</t>
    <phoneticPr fontId="29" type="noConversion"/>
  </si>
  <si>
    <t>ha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</si>
  <si>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</si>
  <si>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</si>
  <si>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</si>
  <si>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</si>
  <si>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</si>
  <si>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</si>
  <si>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</si>
  <si>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[0.408229]</t>
  </si>
  <si>
    <t>1 [0.812014]</t>
  </si>
  <si>
    <t>1 [1.220256]</t>
  </si>
  <si>
    <t>1 [1.628311]</t>
  </si>
  <si>
    <t>1 [2.037083]</t>
  </si>
  <si>
    <t>1 [2.440366]</t>
  </si>
  <si>
    <t>1 [2.845287]</t>
  </si>
  <si>
    <t>1 [3.252154]</t>
  </si>
  <si>
    <t>1 [3.661683]</t>
  </si>
  <si>
    <t>1 [4.074931]</t>
  </si>
  <si>
    <t>1 [4.469564]</t>
  </si>
  <si>
    <t>1 [4.877599]</t>
  </si>
  <si>
    <t>1 [5.284118]</t>
  </si>
  <si>
    <t>1 [5.691333]</t>
  </si>
  <si>
    <t>1 [6.098208]</t>
  </si>
  <si>
    <t>1 [6.501293]</t>
  </si>
  <si>
    <t>1 [6.907265]</t>
  </si>
  <si>
    <t>1 [7.312796]</t>
  </si>
  <si>
    <t>1 [7.723544]</t>
  </si>
  <si>
    <t>1 [8.127833]</t>
  </si>
  <si>
    <t>1 [8.534391]</t>
  </si>
  <si>
    <t>1 [8.939646]</t>
  </si>
  <si>
    <t>1 [9.345446]</t>
  </si>
  <si>
    <t>1 [9.754107]</t>
  </si>
  <si>
    <t>1 [10.160575]</t>
  </si>
  <si>
    <t>1 [10.567276]</t>
  </si>
  <si>
    <t>1 [10.969186]</t>
  </si>
  <si>
    <t>1 [11.376346]</t>
  </si>
  <si>
    <t>1 [11.784177]</t>
  </si>
  <si>
    <t>1 [12.189914]</t>
  </si>
  <si>
    <t>1 [12.594890]</t>
  </si>
  <si>
    <t>1 [12.999691]</t>
  </si>
  <si>
    <t>1 [13.409518]</t>
  </si>
  <si>
    <t>1 [13.813312]</t>
  </si>
  <si>
    <t>1 [14.220625]</t>
  </si>
  <si>
    <t>1 [14.627038]</t>
  </si>
  <si>
    <t>1 [15.033621]</t>
  </si>
  <si>
    <t>1 [15.439798]</t>
  </si>
  <si>
    <t>1 [15.848112]</t>
  </si>
  <si>
    <t>1 [16.253718]</t>
  </si>
  <si>
    <t>1 [16.659687]</t>
  </si>
  <si>
    <t>1 [17.064727]</t>
  </si>
  <si>
    <t>1 [17.473078]</t>
  </si>
  <si>
    <t>1 [17.876150]</t>
  </si>
  <si>
    <t>1 [18.285080]</t>
  </si>
  <si>
    <t>1 [18.690810]</t>
  </si>
  <si>
    <t>1 [19.097062]</t>
  </si>
  <si>
    <t>1 [19.501032]</t>
  </si>
  <si>
    <t>1 [19.910674]</t>
  </si>
  <si>
    <t>1 [20.317425]</t>
  </si>
  <si>
    <t>1 [20.722762]</t>
  </si>
  <si>
    <t>1 [21.129914]</t>
  </si>
  <si>
    <t>1 [21.532096]</t>
  </si>
  <si>
    <t>1 [21.939790]</t>
  </si>
  <si>
    <t>1 [22.346189]</t>
  </si>
  <si>
    <t>1 [22.753579]</t>
  </si>
  <si>
    <t>1 [23.157670]</t>
  </si>
  <si>
    <t>1 [23.563928]</t>
  </si>
  <si>
    <t>1 [23.970508]</t>
  </si>
  <si>
    <t>1 [24.375604]</t>
  </si>
  <si>
    <t>1 [24.785959]</t>
  </si>
  <si>
    <t>1 [25.190225]</t>
  </si>
  <si>
    <t>1 [25.596928]</t>
  </si>
  <si>
    <t>1 [26.000732]</t>
  </si>
  <si>
    <t>1 [26.406824]</t>
  </si>
  <si>
    <t>1 [26.812775]</t>
  </si>
  <si>
    <t>1 [27.219678]</t>
  </si>
  <si>
    <t>1 [27.629971]</t>
  </si>
  <si>
    <t>1 [28.034779]</t>
  </si>
  <si>
    <t>1 [28.440510]</t>
  </si>
  <si>
    <t>1 [28.845039]</t>
  </si>
  <si>
    <t>1 [29.249798]</t>
  </si>
  <si>
    <t>1 [29.661603]</t>
  </si>
  <si>
    <t>2 [30.067634]</t>
  </si>
  <si>
    <t>2 [30.553284]</t>
  </si>
  <si>
    <t>2 [30.940134]</t>
  </si>
  <si>
    <t>2 [31.336485]</t>
  </si>
  <si>
    <t>2 [31.736940]</t>
  </si>
  <si>
    <t>2 [32.142943]</t>
  </si>
  <si>
    <t>2 [32.546863]</t>
  </si>
  <si>
    <t>2 [32.958104]</t>
  </si>
  <si>
    <t>2 [33.364318]</t>
  </si>
  <si>
    <t>2 [33.770667]</t>
  </si>
  <si>
    <t>2 [34.173178]</t>
  </si>
  <si>
    <t>2 [34.585324]</t>
  </si>
  <si>
    <t>2 [34.988097]</t>
  </si>
  <si>
    <t>2 [35.392922]</t>
  </si>
  <si>
    <t>2 [35.798772]</t>
  </si>
  <si>
    <t>2 [36.207166]</t>
  </si>
  <si>
    <t>2 [36.614146]</t>
  </si>
  <si>
    <t>2 [37.019998]</t>
  </si>
  <si>
    <t>2 [37.425228]</t>
  </si>
  <si>
    <t>2 [37.831890]</t>
  </si>
  <si>
    <t>2 [38.235520]</t>
  </si>
  <si>
    <t>2 [38.642457]</t>
  </si>
  <si>
    <t>2 [39.049474]</t>
  </si>
  <si>
    <t>2 [39.457754]</t>
  </si>
  <si>
    <t>2 [39.868454]</t>
  </si>
  <si>
    <t>2 [40.267756]</t>
  </si>
  <si>
    <t>2 [40.673634]</t>
  </si>
  <si>
    <t>2 [41.079851]</t>
  </si>
  <si>
    <t>2 [41.491480]</t>
  </si>
  <si>
    <t>2 [41.896766]</t>
  </si>
  <si>
    <t>2 [42.298982]</t>
  </si>
  <si>
    <t>2 [42.704963]</t>
  </si>
  <si>
    <t>2 [43.115956]</t>
  </si>
  <si>
    <t>2 [43.521704]</t>
  </si>
  <si>
    <t>2 [43.928399]</t>
  </si>
  <si>
    <t>2 [44.329689]</t>
  </si>
  <si>
    <t>2 [44.736824]</t>
  </si>
  <si>
    <t>2 [45.141589]</t>
  </si>
  <si>
    <t>2 [45.549363]</t>
  </si>
  <si>
    <t>2 [45.958045]</t>
  </si>
  <si>
    <t>2 [46.360856]</t>
  </si>
  <si>
    <t>2 [46.766075]</t>
  </si>
  <si>
    <t>2 [47.176472]</t>
  </si>
  <si>
    <t>2 [47.583992]</t>
  </si>
  <si>
    <t>2 [47.989318]</t>
  </si>
  <si>
    <t>2 [48.392270]</t>
  </si>
  <si>
    <t>2 [48.798384]</t>
  </si>
  <si>
    <t>2 [49.206597]</t>
  </si>
  <si>
    <t>2 [49.612990]</t>
  </si>
  <si>
    <t>2 [50.018686]</t>
  </si>
  <si>
    <t>2 [50.425510]</t>
  </si>
  <si>
    <t>2 [50.832582]</t>
  </si>
  <si>
    <t>2 [51.241760]</t>
  </si>
  <si>
    <t>2 [51.639635]</t>
  </si>
  <si>
    <t>2 [52.047766]</t>
  </si>
  <si>
    <t>2 [52.458814]</t>
  </si>
  <si>
    <t>2 [52.863906]</t>
  </si>
  <si>
    <t>2 [53.268685]</t>
  </si>
  <si>
    <t>2 [53.675444]</t>
  </si>
  <si>
    <t>2 [54.078161]</t>
  </si>
  <si>
    <t>2 [54.488247]</t>
  </si>
  <si>
    <t>2 [54.893599]</t>
  </si>
  <si>
    <t>2 [55.298864]</t>
  </si>
  <si>
    <t>2 [55.703976]</t>
  </si>
  <si>
    <t>2 [56.109003]</t>
  </si>
  <si>
    <t>2 [56.517317]</t>
  </si>
  <si>
    <t>2 [56.929876]</t>
  </si>
  <si>
    <t>2 [57.333611]</t>
  </si>
  <si>
    <t>2 [57.736989]</t>
  </si>
  <si>
    <t>2 [58.142473]</t>
  </si>
  <si>
    <t>2 [58.554976]</t>
  </si>
  <si>
    <t>2 [58.962845]</t>
  </si>
  <si>
    <t>2 [59.366954]</t>
  </si>
  <si>
    <t>2 [59.768681]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</si>
  <si>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</si>
  <si>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</si>
  <si>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</si>
  <si>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</si>
  <si>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</si>
  <si>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</si>
  <si>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</si>
  <si>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</si>
  <si>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</si>
  <si>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</si>
  <si>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</si>
  <si>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</si>
  <si>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</si>
  <si>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</si>
  <si>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</si>
  <si>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杨金莲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</si>
</sst>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43.801699999999997</c:v>
                </c:pt>
                <c:pt idx="1">
                  <c:v>32.5535</c:v>
                </c:pt>
                <c:pt idx="2">
                  <c:v>29.354399999999998</c:v>
                </c:pt>
                <c:pt idx="3">
                  <c:v>35.598999999999997</c:v>
                </c:pt>
                <c:pt idx="4">
                  <c:v>53.629800000000003</c:v>
                </c:pt>
                <c:pt idx="5">
                  <c:v>73.867999999999995</c:v>
                </c:pt>
                <c:pt idx="6">
                  <c:v>17.249600000000001</c:v>
                </c:pt>
                <c:pt idx="7">
                  <c:v>63.152999999999999</c:v>
                </c:pt>
                <c:pt idx="8">
                  <c:v>22.973400000000002</c:v>
                </c:pt>
                <c:pt idx="9">
                  <c:v>37.823399999999999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0.44158719599254548</c:v>
                </c:pt>
                <c:pt idx="1">
                  <c:v>0.30014405188076698</c:v>
                </c:pt>
                <c:pt idx="2">
                  <c:v>0.25826875212668754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5326</c:v>
                </c:pt>
                <c:pt idx="7">
                  <c:v>0</c:v>
                </c:pt>
                <c:pt idx="8">
                  <c:v>5903</c:v>
                </c:pt>
                <c:pt idx="9">
                  <c:v>0</c:v>
                </c:pt>
                <c:pt idx="10">
                  <c:v>0</c:v>
                </c:pt>
                <c:pt idx="11">
                  <c:v>7936</c:v>
                </c:pt>
                <c:pt idx="12">
                  <c:v>0</c:v>
                </c:pt>
                <c:pt idx="13">
                  <c:v>14305</c:v>
                </c:pt>
                <c:pt idx="14">
                  <c:v>0</c:v>
                </c:pt>
                <c:pt idx="15">
                  <c:v>0</c:v>
                </c:pt>
                <c:pt idx="16">
                  <c:v>19009</c:v>
                </c:pt>
                <c:pt idx="17">
                  <c:v>0</c:v>
                </c:pt>
                <c:pt idx="18">
                  <c:v>0</c:v>
                </c:pt>
                <c:pt idx="19">
                  <c:v>27129</c:v>
                </c:pt>
                <c:pt idx="20">
                  <c:v>0</c:v>
                </c:pt>
                <c:pt idx="21">
                  <c:v>32651</c:v>
                </c:pt>
                <c:pt idx="22">
                  <c:v>0</c:v>
                </c:pt>
                <c:pt idx="23">
                  <c:v>0</c:v>
                </c:pt>
                <c:pt idx="24">
                  <c:v>40297</c:v>
                </c:pt>
                <c:pt idx="25">
                  <c:v>0</c:v>
                </c:pt>
                <c:pt idx="26">
                  <c:v>48756</c:v>
                </c:pt>
                <c:pt idx="27">
                  <c:v>0</c:v>
                </c:pt>
                <c:pt idx="28">
                  <c:v>0</c:v>
                </c:pt>
                <c:pt idx="29">
                  <c:v>63600</c:v>
                </c:pt>
                <c:pt idx="30">
                  <c:v>0</c:v>
                </c:pt>
                <c:pt idx="31">
                  <c:v>82691</c:v>
                </c:pt>
                <c:pt idx="32">
                  <c:v>0</c:v>
                </c:pt>
                <c:pt idx="33">
                  <c:v>0</c:v>
                </c:pt>
                <c:pt idx="34">
                  <c:v>91517</c:v>
                </c:pt>
                <c:pt idx="35">
                  <c:v>0</c:v>
                </c:pt>
                <c:pt idx="36">
                  <c:v>0</c:v>
                </c:pt>
                <c:pt idx="37">
                  <c:v>103592</c:v>
                </c:pt>
                <c:pt idx="38">
                  <c:v>0</c:v>
                </c:pt>
                <c:pt idx="39">
                  <c:v>114168</c:v>
                </c:pt>
                <c:pt idx="40">
                  <c:v>0</c:v>
                </c:pt>
                <c:pt idx="41">
                  <c:v>0</c:v>
                </c:pt>
                <c:pt idx="42">
                  <c:v>125368</c:v>
                </c:pt>
                <c:pt idx="43">
                  <c:v>0</c:v>
                </c:pt>
                <c:pt idx="44">
                  <c:v>125440</c:v>
                </c:pt>
                <c:pt idx="45">
                  <c:v>0</c:v>
                </c:pt>
                <c:pt idx="46">
                  <c:v>0</c:v>
                </c:pt>
                <c:pt idx="47">
                  <c:v>134836</c:v>
                </c:pt>
                <c:pt idx="48">
                  <c:v>0</c:v>
                </c:pt>
                <c:pt idx="49">
                  <c:v>144289</c:v>
                </c:pt>
                <c:pt idx="50">
                  <c:v>0</c:v>
                </c:pt>
                <c:pt idx="51">
                  <c:v>0</c:v>
                </c:pt>
                <c:pt idx="52">
                  <c:v>162078</c:v>
                </c:pt>
                <c:pt idx="53">
                  <c:v>0</c:v>
                </c:pt>
                <c:pt idx="54">
                  <c:v>0</c:v>
                </c:pt>
                <c:pt idx="55">
                  <c:v>174593</c:v>
                </c:pt>
                <c:pt idx="56">
                  <c:v>0</c:v>
                </c:pt>
                <c:pt idx="57">
                  <c:v>168730</c:v>
                </c:pt>
                <c:pt idx="58">
                  <c:v>0</c:v>
                </c:pt>
                <c:pt idx="59">
                  <c:v>0</c:v>
                </c:pt>
                <c:pt idx="60">
                  <c:v>178242</c:v>
                </c:pt>
                <c:pt idx="61">
                  <c:v>0</c:v>
                </c:pt>
                <c:pt idx="62">
                  <c:v>194275</c:v>
                </c:pt>
                <c:pt idx="63">
                  <c:v>0</c:v>
                </c:pt>
                <c:pt idx="64">
                  <c:v>0</c:v>
                </c:pt>
                <c:pt idx="65">
                  <c:v>200872</c:v>
                </c:pt>
                <c:pt idx="66">
                  <c:v>0</c:v>
                </c:pt>
                <c:pt idx="67">
                  <c:v>179987</c:v>
                </c:pt>
                <c:pt idx="68">
                  <c:v>0</c:v>
                </c:pt>
                <c:pt idx="69">
                  <c:v>0</c:v>
                </c:pt>
                <c:pt idx="70">
                  <c:v>199670</c:v>
                </c:pt>
                <c:pt idx="71">
                  <c:v>0</c:v>
                </c:pt>
                <c:pt idx="72">
                  <c:v>0</c:v>
                </c:pt>
                <c:pt idx="73">
                  <c:v>189493</c:v>
                </c:pt>
                <c:pt idx="74">
                  <c:v>0</c:v>
                </c:pt>
                <c:pt idx="75">
                  <c:v>193553</c:v>
                </c:pt>
                <c:pt idx="76">
                  <c:v>0</c:v>
                </c:pt>
                <c:pt idx="77">
                  <c:v>0</c:v>
                </c:pt>
                <c:pt idx="78">
                  <c:v>201823</c:v>
                </c:pt>
                <c:pt idx="79">
                  <c:v>0</c:v>
                </c:pt>
                <c:pt idx="80">
                  <c:v>204552</c:v>
                </c:pt>
                <c:pt idx="81">
                  <c:v>0</c:v>
                </c:pt>
                <c:pt idx="82">
                  <c:v>0</c:v>
                </c:pt>
                <c:pt idx="83">
                  <c:v>197454</c:v>
                </c:pt>
                <c:pt idx="84">
                  <c:v>0</c:v>
                </c:pt>
                <c:pt idx="85">
                  <c:v>0</c:v>
                </c:pt>
                <c:pt idx="86">
                  <c:v>183448</c:v>
                </c:pt>
                <c:pt idx="87">
                  <c:v>0</c:v>
                </c:pt>
                <c:pt idx="88">
                  <c:v>169226</c:v>
                </c:pt>
                <c:pt idx="89">
                  <c:v>0</c:v>
                </c:pt>
                <c:pt idx="90">
                  <c:v>0</c:v>
                </c:pt>
                <c:pt idx="91">
                  <c:v>161094</c:v>
                </c:pt>
                <c:pt idx="92">
                  <c:v>0</c:v>
                </c:pt>
                <c:pt idx="93">
                  <c:v>159643</c:v>
                </c:pt>
                <c:pt idx="94">
                  <c:v>0</c:v>
                </c:pt>
                <c:pt idx="95">
                  <c:v>0</c:v>
                </c:pt>
                <c:pt idx="96">
                  <c:v>153512</c:v>
                </c:pt>
                <c:pt idx="97">
                  <c:v>0</c:v>
                </c:pt>
                <c:pt idx="98">
                  <c:v>141019</c:v>
                </c:pt>
                <c:pt idx="99">
                  <c:v>0</c:v>
                </c:pt>
                <c:pt idx="100">
                  <c:v>0</c:v>
                </c:pt>
                <c:pt idx="101">
                  <c:v>125029</c:v>
                </c:pt>
                <c:pt idx="102">
                  <c:v>0</c:v>
                </c:pt>
                <c:pt idx="103">
                  <c:v>0</c:v>
                </c:pt>
                <c:pt idx="104">
                  <c:v>113252</c:v>
                </c:pt>
                <c:pt idx="105">
                  <c:v>0</c:v>
                </c:pt>
                <c:pt idx="106">
                  <c:v>115108</c:v>
                </c:pt>
                <c:pt idx="107">
                  <c:v>0</c:v>
                </c:pt>
                <c:pt idx="108">
                  <c:v>0</c:v>
                </c:pt>
                <c:pt idx="109">
                  <c:v>104459</c:v>
                </c:pt>
                <c:pt idx="110">
                  <c:v>0</c:v>
                </c:pt>
                <c:pt idx="111">
                  <c:v>101984</c:v>
                </c:pt>
                <c:pt idx="112">
                  <c:v>0</c:v>
                </c:pt>
                <c:pt idx="113">
                  <c:v>0</c:v>
                </c:pt>
                <c:pt idx="114">
                  <c:v>94132</c:v>
                </c:pt>
                <c:pt idx="115">
                  <c:v>0</c:v>
                </c:pt>
                <c:pt idx="116">
                  <c:v>80703</c:v>
                </c:pt>
                <c:pt idx="117">
                  <c:v>0</c:v>
                </c:pt>
                <c:pt idx="118">
                  <c:v>0</c:v>
                </c:pt>
                <c:pt idx="119">
                  <c:v>73950</c:v>
                </c:pt>
                <c:pt idx="120">
                  <c:v>0</c:v>
                </c:pt>
                <c:pt idx="121">
                  <c:v>0</c:v>
                </c:pt>
                <c:pt idx="122">
                  <c:v>69322</c:v>
                </c:pt>
                <c:pt idx="123">
                  <c:v>0</c:v>
                </c:pt>
                <c:pt idx="124">
                  <c:v>60554</c:v>
                </c:pt>
                <c:pt idx="125">
                  <c:v>0</c:v>
                </c:pt>
                <c:pt idx="126">
                  <c:v>0</c:v>
                </c:pt>
                <c:pt idx="127">
                  <c:v>53523</c:v>
                </c:pt>
                <c:pt idx="128">
                  <c:v>0</c:v>
                </c:pt>
                <c:pt idx="129">
                  <c:v>45864</c:v>
                </c:pt>
                <c:pt idx="130">
                  <c:v>0</c:v>
                </c:pt>
                <c:pt idx="131">
                  <c:v>0</c:v>
                </c:pt>
                <c:pt idx="132">
                  <c:v>41565</c:v>
                </c:pt>
                <c:pt idx="133">
                  <c:v>0</c:v>
                </c:pt>
                <c:pt idx="134">
                  <c:v>40849</c:v>
                </c:pt>
                <c:pt idx="135">
                  <c:v>0</c:v>
                </c:pt>
                <c:pt idx="136">
                  <c:v>0</c:v>
                </c:pt>
                <c:pt idx="137">
                  <c:v>42949</c:v>
                </c:pt>
                <c:pt idx="138">
                  <c:v>0</c:v>
                </c:pt>
                <c:pt idx="139">
                  <c:v>0</c:v>
                </c:pt>
                <c:pt idx="140">
                  <c:v>37376</c:v>
                </c:pt>
                <c:pt idx="141">
                  <c:v>0</c:v>
                </c:pt>
                <c:pt idx="142">
                  <c:v>35283</c:v>
                </c:pt>
                <c:pt idx="143">
                  <c:v>0</c:v>
                </c:pt>
                <c:pt idx="144">
                  <c:v>0</c:v>
                </c:pt>
                <c:pt idx="145">
                  <c:v>36261</c:v>
                </c:pt>
                <c:pt idx="146">
                  <c:v>0</c:v>
                </c:pt>
                <c:pt idx="147">
                  <c:v>34708</c:v>
                </c:pt>
                <c:pt idx="148">
                  <c:v>0</c:v>
                </c:pt>
                <c:pt idx="149">
                  <c:v>0</c:v>
                </c:pt>
                <c:pt idx="150">
                  <c:v>35066</c:v>
                </c:pt>
                <c:pt idx="151">
                  <c:v>0</c:v>
                </c:pt>
                <c:pt idx="152">
                  <c:v>36855</c:v>
                </c:pt>
                <c:pt idx="153">
                  <c:v>0</c:v>
                </c:pt>
                <c:pt idx="154">
                  <c:v>0</c:v>
                </c:pt>
                <c:pt idx="155">
                  <c:v>39935</c:v>
                </c:pt>
                <c:pt idx="156">
                  <c:v>0</c:v>
                </c:pt>
                <c:pt idx="157">
                  <c:v>0</c:v>
                </c:pt>
                <c:pt idx="158">
                  <c:v>39038</c:v>
                </c:pt>
                <c:pt idx="159">
                  <c:v>0</c:v>
                </c:pt>
                <c:pt idx="160">
                  <c:v>38280</c:v>
                </c:pt>
                <c:pt idx="161">
                  <c:v>0</c:v>
                </c:pt>
                <c:pt idx="162">
                  <c:v>0</c:v>
                </c:pt>
                <c:pt idx="163">
                  <c:v>36213</c:v>
                </c:pt>
                <c:pt idx="164">
                  <c:v>0</c:v>
                </c:pt>
                <c:pt idx="165">
                  <c:v>35628</c:v>
                </c:pt>
                <c:pt idx="166">
                  <c:v>0</c:v>
                </c:pt>
                <c:pt idx="167">
                  <c:v>0</c:v>
                </c:pt>
                <c:pt idx="168">
                  <c:v>33781</c:v>
                </c:pt>
                <c:pt idx="169">
                  <c:v>0</c:v>
                </c:pt>
                <c:pt idx="170">
                  <c:v>0</c:v>
                </c:pt>
                <c:pt idx="171">
                  <c:v>37640</c:v>
                </c:pt>
                <c:pt idx="172">
                  <c:v>0</c:v>
                </c:pt>
                <c:pt idx="173">
                  <c:v>36426</c:v>
                </c:pt>
                <c:pt idx="174">
                  <c:v>0</c:v>
                </c:pt>
                <c:pt idx="175">
                  <c:v>0</c:v>
                </c:pt>
                <c:pt idx="176">
                  <c:v>34768</c:v>
                </c:pt>
                <c:pt idx="177">
                  <c:v>0</c:v>
                </c:pt>
                <c:pt idx="178">
                  <c:v>33159</c:v>
                </c:pt>
                <c:pt idx="179">
                  <c:v>0</c:v>
                </c:pt>
                <c:pt idx="180">
                  <c:v>0</c:v>
                </c:pt>
                <c:pt idx="181">
                  <c:v>26524</c:v>
                </c:pt>
                <c:pt idx="182">
                  <c:v>0</c:v>
                </c:pt>
                <c:pt idx="183">
                  <c:v>20167</c:v>
                </c:pt>
                <c:pt idx="184">
                  <c:v>0</c:v>
                </c:pt>
                <c:pt idx="185">
                  <c:v>0</c:v>
                </c:pt>
                <c:pt idx="186">
                  <c:v>21774</c:v>
                </c:pt>
                <c:pt idx="187">
                  <c:v>0</c:v>
                </c:pt>
                <c:pt idx="188">
                  <c:v>0</c:v>
                </c:pt>
                <c:pt idx="189">
                  <c:v>17450</c:v>
                </c:pt>
                <c:pt idx="190">
                  <c:v>0</c:v>
                </c:pt>
                <c:pt idx="191">
                  <c:v>12021</c:v>
                </c:pt>
                <c:pt idx="192">
                  <c:v>0</c:v>
                </c:pt>
                <c:pt idx="193">
                  <c:v>0</c:v>
                </c:pt>
                <c:pt idx="194">
                  <c:v>10483</c:v>
                </c:pt>
                <c:pt idx="195">
                  <c:v>0</c:v>
                </c:pt>
                <c:pt idx="196">
                  <c:v>9550</c:v>
                </c:pt>
                <c:pt idx="197">
                  <c:v>0</c:v>
                </c:pt>
                <c:pt idx="198">
                  <c:v>0</c:v>
                </c:pt>
                <c:pt idx="199">
                  <c:v>5550</c:v>
                </c:pt>
                <c:pt idx="200">
                  <c:v>0</c:v>
                </c:pt>
                <c:pt idx="201">
                  <c:v>4020</c:v>
                </c:pt>
                <c:pt idx="202">
                  <c:v>0</c:v>
                </c:pt>
                <c:pt idx="203">
                  <c:v>0</c:v>
                </c:pt>
                <c:pt idx="204">
                  <c:v>2319</c:v>
                </c:pt>
                <c:pt idx="205">
                  <c:v>0</c:v>
                </c:pt>
                <c:pt idx="206">
                  <c:v>0</c:v>
                </c:pt>
                <c:pt idx="207">
                  <c:v>667</c:v>
                </c:pt>
                <c:pt idx="208">
                  <c:v>0</c:v>
                </c:pt>
                <c:pt idx="209">
                  <c:v>167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3.6492000000000004</c:v>
                </c:pt>
                <c:pt idx="1">
                  <c:v>3.6370100000000001</c:v>
                </c:pt>
                <c:pt idx="2">
                  <c:v>3.6229699999999996</c:v>
                </c:pt>
                <c:pt idx="3">
                  <c:v>3.6063400000000003</c:v>
                </c:pt>
                <c:pt idx="4">
                  <c:v>3.5856599999999998</c:v>
                </c:pt>
                <c:pt idx="5">
                  <c:v>3.5634199999999998</c:v>
                </c:pt>
                <c:pt idx="6">
                  <c:v>3.5388299999999999</c:v>
                </c:pt>
                <c:pt idx="7">
                  <c:v>3.5118500000000004</c:v>
                </c:pt>
                <c:pt idx="8">
                  <c:v>3.48325</c:v>
                </c:pt>
                <c:pt idx="9">
                  <c:v>3.4548099999999997</c:v>
                </c:pt>
                <c:pt idx="10">
                  <c:v>3.4243399999999999</c:v>
                </c:pt>
                <c:pt idx="11">
                  <c:v>3.3932500000000001</c:v>
                </c:pt>
                <c:pt idx="12">
                  <c:v>3.3593699999999997</c:v>
                </c:pt>
                <c:pt idx="13">
                  <c:v>3.3239700000000001</c:v>
                </c:pt>
                <c:pt idx="14">
                  <c:v>3.2870700000000004</c:v>
                </c:pt>
                <c:pt idx="15">
                  <c:v>3.2485000000000004</c:v>
                </c:pt>
                <c:pt idx="16">
                  <c:v>3.2101299999999999</c:v>
                </c:pt>
                <c:pt idx="17">
                  <c:v>3.1732100000000001</c:v>
                </c:pt>
                <c:pt idx="18">
                  <c:v>3.1376900000000001</c:v>
                </c:pt>
                <c:pt idx="19">
                  <c:v>3.1041499999999997</c:v>
                </c:pt>
                <c:pt idx="20">
                  <c:v>3.0723799999999999</c:v>
                </c:pt>
                <c:pt idx="21">
                  <c:v>3.0399799999999999</c:v>
                </c:pt>
                <c:pt idx="22">
                  <c:v>3.0086400000000002</c:v>
                </c:pt>
                <c:pt idx="23">
                  <c:v>2.9823699999999995</c:v>
                </c:pt>
                <c:pt idx="24">
                  <c:v>2.9618499999999996</c:v>
                </c:pt>
                <c:pt idx="25">
                  <c:v>2.9496000000000002</c:v>
                </c:pt>
                <c:pt idx="26">
                  <c:v>2.94591</c:v>
                </c:pt>
                <c:pt idx="27">
                  <c:v>2.94835</c:v>
                </c:pt>
                <c:pt idx="28">
                  <c:v>2.95573</c:v>
                </c:pt>
                <c:pt idx="29">
                  <c:v>2.96549</c:v>
                </c:pt>
                <c:pt idx="30">
                  <c:v>2.9744100000000002</c:v>
                </c:pt>
                <c:pt idx="31">
                  <c:v>2.9794100000000001</c:v>
                </c:pt>
                <c:pt idx="32">
                  <c:v>2.9852400000000001</c:v>
                </c:pt>
                <c:pt idx="33">
                  <c:v>2.99485</c:v>
                </c:pt>
                <c:pt idx="34">
                  <c:v>3.0103900000000001</c:v>
                </c:pt>
                <c:pt idx="35">
                  <c:v>3.0283600000000002</c:v>
                </c:pt>
                <c:pt idx="36">
                  <c:v>3.0445000000000002</c:v>
                </c:pt>
                <c:pt idx="37">
                  <c:v>3.05985</c:v>
                </c:pt>
                <c:pt idx="38">
                  <c:v>3.0742799999999999</c:v>
                </c:pt>
                <c:pt idx="39">
                  <c:v>3.0875699999999999</c:v>
                </c:pt>
                <c:pt idx="40">
                  <c:v>3.1009599999999997</c:v>
                </c:pt>
                <c:pt idx="41">
                  <c:v>3.1126800000000001</c:v>
                </c:pt>
                <c:pt idx="42">
                  <c:v>3.1235600000000003</c:v>
                </c:pt>
                <c:pt idx="43">
                  <c:v>3.1352000000000002</c:v>
                </c:pt>
                <c:pt idx="44">
                  <c:v>3.1471300000000002</c:v>
                </c:pt>
                <c:pt idx="45">
                  <c:v>3.1585400000000003</c:v>
                </c:pt>
                <c:pt idx="46">
                  <c:v>3.1657899999999999</c:v>
                </c:pt>
                <c:pt idx="47">
                  <c:v>3.1720999999999999</c:v>
                </c:pt>
                <c:pt idx="48">
                  <c:v>3.1763000000000003</c:v>
                </c:pt>
                <c:pt idx="49">
                  <c:v>3.1779700000000002</c:v>
                </c:pt>
                <c:pt idx="50">
                  <c:v>3.1783299999999999</c:v>
                </c:pt>
                <c:pt idx="51">
                  <c:v>3.1730700000000001</c:v>
                </c:pt>
                <c:pt idx="52">
                  <c:v>3.16527</c:v>
                </c:pt>
                <c:pt idx="53">
                  <c:v>3.1580399999999997</c:v>
                </c:pt>
                <c:pt idx="54">
                  <c:v>3.1527899999999995</c:v>
                </c:pt>
                <c:pt idx="55">
                  <c:v>3.1510400000000001</c:v>
                </c:pt>
                <c:pt idx="56">
                  <c:v>3.1533299999999995</c:v>
                </c:pt>
                <c:pt idx="57">
                  <c:v>3.1587800000000001</c:v>
                </c:pt>
                <c:pt idx="58">
                  <c:v>3.1630599999999998</c:v>
                </c:pt>
                <c:pt idx="59">
                  <c:v>3.1635999999999997</c:v>
                </c:pt>
                <c:pt idx="60">
                  <c:v>3.1630399999999996</c:v>
                </c:pt>
                <c:pt idx="61">
                  <c:v>3.1650099999999997</c:v>
                </c:pt>
                <c:pt idx="62">
                  <c:v>3.1656400000000002</c:v>
                </c:pt>
                <c:pt idx="63">
                  <c:v>3.1753399999999998</c:v>
                </c:pt>
                <c:pt idx="64">
                  <c:v>3.1791100000000001</c:v>
                </c:pt>
                <c:pt idx="65">
                  <c:v>3.1844099999999997</c:v>
                </c:pt>
                <c:pt idx="66">
                  <c:v>3.1867299999999998</c:v>
                </c:pt>
                <c:pt idx="67">
                  <c:v>3.1925500000000002</c:v>
                </c:pt>
                <c:pt idx="68">
                  <c:v>3.2023700000000002</c:v>
                </c:pt>
                <c:pt idx="69">
                  <c:v>3.2119</c:v>
                </c:pt>
                <c:pt idx="70">
                  <c:v>3.2229400000000004</c:v>
                </c:pt>
                <c:pt idx="71">
                  <c:v>3.2422299999999997</c:v>
                </c:pt>
                <c:pt idx="72">
                  <c:v>3.2552300000000001</c:v>
                </c:pt>
                <c:pt idx="73">
                  <c:v>3.27901</c:v>
                </c:pt>
                <c:pt idx="74">
                  <c:v>3.2973400000000002</c:v>
                </c:pt>
                <c:pt idx="75">
                  <c:v>3.3202400000000001</c:v>
                </c:pt>
                <c:pt idx="76">
                  <c:v>3.3426899999999997</c:v>
                </c:pt>
                <c:pt idx="77">
                  <c:v>3.3637800000000002</c:v>
                </c:pt>
                <c:pt idx="78">
                  <c:v>3.3869600000000002</c:v>
                </c:pt>
                <c:pt idx="79">
                  <c:v>3.4114499999999999</c:v>
                </c:pt>
                <c:pt idx="80">
                  <c:v>3.4361100000000002</c:v>
                </c:pt>
                <c:pt idx="81">
                  <c:v>3.4604400000000002</c:v>
                </c:pt>
                <c:pt idx="82">
                  <c:v>3.4822100000000002</c:v>
                </c:pt>
                <c:pt idx="83">
                  <c:v>3.5044900000000001</c:v>
                </c:pt>
                <c:pt idx="84">
                  <c:v>3.5272600000000001</c:v>
                </c:pt>
                <c:pt idx="85">
                  <c:v>3.5513299999999997</c:v>
                </c:pt>
                <c:pt idx="86">
                  <c:v>3.5810300000000002</c:v>
                </c:pt>
                <c:pt idx="87">
                  <c:v>3.6126399999999999</c:v>
                </c:pt>
                <c:pt idx="88">
                  <c:v>3.6410199999999997</c:v>
                </c:pt>
                <c:pt idx="89">
                  <c:v>3.6668699999999999</c:v>
                </c:pt>
                <c:pt idx="90">
                  <c:v>3.6867800000000002</c:v>
                </c:pt>
                <c:pt idx="91">
                  <c:v>3.7059100000000003</c:v>
                </c:pt>
                <c:pt idx="92">
                  <c:v>3.7213800000000004</c:v>
                </c:pt>
                <c:pt idx="93">
                  <c:v>3.7334299999999998</c:v>
                </c:pt>
                <c:pt idx="94">
                  <c:v>3.7404100000000002</c:v>
                </c:pt>
                <c:pt idx="95">
                  <c:v>3.7461000000000002</c:v>
                </c:pt>
                <c:pt idx="96">
                  <c:v>3.7458100000000001</c:v>
                </c:pt>
                <c:pt idx="97">
                  <c:v>3.7449300000000001</c:v>
                </c:pt>
                <c:pt idx="98">
                  <c:v>3.74098</c:v>
                </c:pt>
                <c:pt idx="99">
                  <c:v>3.7359499999999999</c:v>
                </c:pt>
                <c:pt idx="100">
                  <c:v>3.7248900000000003</c:v>
                </c:pt>
                <c:pt idx="101">
                  <c:v>3.7141800000000003</c:v>
                </c:pt>
                <c:pt idx="102">
                  <c:v>3.7008799999999997</c:v>
                </c:pt>
                <c:pt idx="103">
                  <c:v>3.6830099999999999</c:v>
                </c:pt>
                <c:pt idx="104">
                  <c:v>3.6584299999999996</c:v>
                </c:pt>
                <c:pt idx="105">
                  <c:v>3.6291600000000002</c:v>
                </c:pt>
                <c:pt idx="106">
                  <c:v>3.5949</c:v>
                </c:pt>
                <c:pt idx="107">
                  <c:v>3.5596800000000002</c:v>
                </c:pt>
                <c:pt idx="108">
                  <c:v>3.5224000000000002</c:v>
                </c:pt>
                <c:pt idx="109">
                  <c:v>3.4853899999999998</c:v>
                </c:pt>
                <c:pt idx="110">
                  <c:v>3.4468900000000002</c:v>
                </c:pt>
                <c:pt idx="111">
                  <c:v>3.4005600000000005</c:v>
                </c:pt>
                <c:pt idx="112">
                  <c:v>3.3444500000000001</c:v>
                </c:pt>
                <c:pt idx="113">
                  <c:v>3.2905600000000002</c:v>
                </c:pt>
                <c:pt idx="114">
                  <c:v>3.24085</c:v>
                </c:pt>
                <c:pt idx="115">
                  <c:v>3.1957100000000001</c:v>
                </c:pt>
                <c:pt idx="116">
                  <c:v>3.1538599999999999</c:v>
                </c:pt>
                <c:pt idx="117">
                  <c:v>3.1180500000000002</c:v>
                </c:pt>
                <c:pt idx="118">
                  <c:v>3.0904700000000003</c:v>
                </c:pt>
                <c:pt idx="119">
                  <c:v>3.07037</c:v>
                </c:pt>
                <c:pt idx="120">
                  <c:v>3.0531000000000001</c:v>
                </c:pt>
                <c:pt idx="121">
                  <c:v>3.0389300000000001</c:v>
                </c:pt>
                <c:pt idx="122">
                  <c:v>3.0284399999999998</c:v>
                </c:pt>
                <c:pt idx="123">
                  <c:v>3.0242499999999999</c:v>
                </c:pt>
                <c:pt idx="124">
                  <c:v>3.0074800000000002</c:v>
                </c:pt>
                <c:pt idx="125">
                  <c:v>2.9926399999999997</c:v>
                </c:pt>
                <c:pt idx="126">
                  <c:v>2.97634</c:v>
                </c:pt>
                <c:pt idx="127">
                  <c:v>2.9635699999999998</c:v>
                </c:pt>
                <c:pt idx="128">
                  <c:v>2.9525000000000001</c:v>
                </c:pt>
                <c:pt idx="129">
                  <c:v>2.9480899999999997</c:v>
                </c:pt>
                <c:pt idx="130">
                  <c:v>2.9470299999999998</c:v>
                </c:pt>
                <c:pt idx="131">
                  <c:v>2.9520499999999998</c:v>
                </c:pt>
                <c:pt idx="132">
                  <c:v>2.9610300000000001</c:v>
                </c:pt>
                <c:pt idx="133">
                  <c:v>2.9736699999999998</c:v>
                </c:pt>
                <c:pt idx="134">
                  <c:v>2.9857200000000002</c:v>
                </c:pt>
                <c:pt idx="135">
                  <c:v>2.99777</c:v>
                </c:pt>
                <c:pt idx="136">
                  <c:v>3.0130600000000003</c:v>
                </c:pt>
                <c:pt idx="137">
                  <c:v>3.03721</c:v>
                </c:pt>
                <c:pt idx="138">
                  <c:v>3.0635499999999998</c:v>
                </c:pt>
                <c:pt idx="139">
                  <c:v>3.0928499999999999</c:v>
                </c:pt>
                <c:pt idx="140">
                  <c:v>3.1275399999999998</c:v>
                </c:pt>
                <c:pt idx="141">
                  <c:v>3.1623000000000001</c:v>
                </c:pt>
                <c:pt idx="142">
                  <c:v>3.1966800000000002</c:v>
                </c:pt>
                <c:pt idx="143">
                  <c:v>3.2249499999999998</c:v>
                </c:pt>
                <c:pt idx="144">
                  <c:v>3.2488600000000001</c:v>
                </c:pt>
                <c:pt idx="145">
                  <c:v>3.2662000000000004</c:v>
                </c:pt>
                <c:pt idx="146">
                  <c:v>3.28762</c:v>
                </c:pt>
                <c:pt idx="147">
                  <c:v>3.3102999999999998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37.9009</c:v>
                </c:pt>
                <c:pt idx="1">
                  <c:v>37.236399999999996</c:v>
                </c:pt>
                <c:pt idx="2">
                  <c:v>36.492200000000004</c:v>
                </c:pt>
                <c:pt idx="3">
                  <c:v>35.697099999999999</c:v>
                </c:pt>
                <c:pt idx="4">
                  <c:v>34.862099999999998</c:v>
                </c:pt>
                <c:pt idx="5">
                  <c:v>33.986899999999999</c:v>
                </c:pt>
                <c:pt idx="6">
                  <c:v>33.133200000000002</c:v>
                </c:pt>
                <c:pt idx="7">
                  <c:v>32.297199999999997</c:v>
                </c:pt>
                <c:pt idx="8">
                  <c:v>31.482100000000003</c:v>
                </c:pt>
                <c:pt idx="9">
                  <c:v>30.617899999999999</c:v>
                </c:pt>
                <c:pt idx="10">
                  <c:v>29.782399999999999</c:v>
                </c:pt>
                <c:pt idx="11">
                  <c:v>28.943400000000004</c:v>
                </c:pt>
                <c:pt idx="12">
                  <c:v>28.202899999999996</c:v>
                </c:pt>
                <c:pt idx="13">
                  <c:v>27.536899999999996</c:v>
                </c:pt>
                <c:pt idx="14">
                  <c:v>26.973500000000001</c:v>
                </c:pt>
                <c:pt idx="15">
                  <c:v>26.471499999999999</c:v>
                </c:pt>
                <c:pt idx="16">
                  <c:v>26.015700000000002</c:v>
                </c:pt>
                <c:pt idx="17">
                  <c:v>25.566299999999998</c:v>
                </c:pt>
                <c:pt idx="18">
                  <c:v>25.078299999999999</c:v>
                </c:pt>
                <c:pt idx="19">
                  <c:v>24.589199999999998</c:v>
                </c:pt>
                <c:pt idx="20">
                  <c:v>24.085999999999999</c:v>
                </c:pt>
                <c:pt idx="21">
                  <c:v>23.622599999999998</c:v>
                </c:pt>
                <c:pt idx="22">
                  <c:v>23.120899999999999</c:v>
                </c:pt>
                <c:pt idx="23">
                  <c:v>22.525300000000001</c:v>
                </c:pt>
                <c:pt idx="24">
                  <c:v>21.845100000000002</c:v>
                </c:pt>
                <c:pt idx="25">
                  <c:v>21.039099999999998</c:v>
                </c:pt>
                <c:pt idx="26">
                  <c:v>20.172799999999999</c:v>
                </c:pt>
                <c:pt idx="27">
                  <c:v>19.2303</c:v>
                </c:pt>
                <c:pt idx="28">
                  <c:v>18.1983</c:v>
                </c:pt>
                <c:pt idx="29">
                  <c:v>17.2346</c:v>
                </c:pt>
                <c:pt idx="30">
                  <c:v>16.3127</c:v>
                </c:pt>
                <c:pt idx="31">
                  <c:v>15.559999999999999</c:v>
                </c:pt>
                <c:pt idx="32">
                  <c:v>14.9091</c:v>
                </c:pt>
                <c:pt idx="33">
                  <c:v>14.357700000000001</c:v>
                </c:pt>
                <c:pt idx="34">
                  <c:v>13.936699999999998</c:v>
                </c:pt>
                <c:pt idx="35">
                  <c:v>13.621500000000001</c:v>
                </c:pt>
                <c:pt idx="36">
                  <c:v>13.4232</c:v>
                </c:pt>
                <c:pt idx="37">
                  <c:v>13.261400000000002</c:v>
                </c:pt>
                <c:pt idx="38">
                  <c:v>13.209999999999999</c:v>
                </c:pt>
                <c:pt idx="39">
                  <c:v>13.209599999999998</c:v>
                </c:pt>
                <c:pt idx="40">
                  <c:v>13.230400000000001</c:v>
                </c:pt>
                <c:pt idx="41">
                  <c:v>13.344000000000001</c:v>
                </c:pt>
                <c:pt idx="42">
                  <c:v>13.453399999999998</c:v>
                </c:pt>
                <c:pt idx="43">
                  <c:v>13.627000000000001</c:v>
                </c:pt>
                <c:pt idx="44">
                  <c:v>13.8598</c:v>
                </c:pt>
                <c:pt idx="45">
                  <c:v>14.150099999999998</c:v>
                </c:pt>
                <c:pt idx="46">
                  <c:v>14.427000000000001</c:v>
                </c:pt>
                <c:pt idx="47">
                  <c:v>14.736099999999999</c:v>
                </c:pt>
                <c:pt idx="48">
                  <c:v>15.0939</c:v>
                </c:pt>
                <c:pt idx="49">
                  <c:v>15.478200000000001</c:v>
                </c:pt>
                <c:pt idx="50">
                  <c:v>15.8306</c:v>
                </c:pt>
                <c:pt idx="51">
                  <c:v>16.4663</c:v>
                </c:pt>
                <c:pt idx="52">
                  <c:v>17.123799999999999</c:v>
                </c:pt>
                <c:pt idx="53">
                  <c:v>17.823499999999999</c:v>
                </c:pt>
                <c:pt idx="54">
                  <c:v>18.493499999999997</c:v>
                </c:pt>
                <c:pt idx="55">
                  <c:v>19.170000000000002</c:v>
                </c:pt>
                <c:pt idx="56">
                  <c:v>19.714100000000002</c:v>
                </c:pt>
                <c:pt idx="57">
                  <c:v>20.282299999999999</c:v>
                </c:pt>
                <c:pt idx="58">
                  <c:v>20.797599999999999</c:v>
                </c:pt>
                <c:pt idx="59">
                  <c:v>21.2803</c:v>
                </c:pt>
                <c:pt idx="60">
                  <c:v>21.668900000000001</c:v>
                </c:pt>
                <c:pt idx="61">
                  <c:v>22.121700000000001</c:v>
                </c:pt>
                <c:pt idx="62">
                  <c:v>22.378799999999998</c:v>
                </c:pt>
                <c:pt idx="63">
                  <c:v>22.613199999999999</c:v>
                </c:pt>
                <c:pt idx="64">
                  <c:v>22.822500000000002</c:v>
                </c:pt>
                <c:pt idx="65">
                  <c:v>23.040700000000001</c:v>
                </c:pt>
                <c:pt idx="66">
                  <c:v>23.189499999999999</c:v>
                </c:pt>
                <c:pt idx="67">
                  <c:v>23.403399999999998</c:v>
                </c:pt>
                <c:pt idx="68">
                  <c:v>23.5991</c:v>
                </c:pt>
                <c:pt idx="69">
                  <c:v>23.716000000000001</c:v>
                </c:pt>
                <c:pt idx="70">
                  <c:v>23.869299999999999</c:v>
                </c:pt>
                <c:pt idx="71">
                  <c:v>24.019099999999998</c:v>
                </c:pt>
                <c:pt idx="72">
                  <c:v>24.188000000000002</c:v>
                </c:pt>
                <c:pt idx="73">
                  <c:v>24.496499999999997</c:v>
                </c:pt>
                <c:pt idx="74">
                  <c:v>24.705400000000001</c:v>
                </c:pt>
                <c:pt idx="75">
                  <c:v>24.789899999999999</c:v>
                </c:pt>
                <c:pt idx="76">
                  <c:v>24.932299999999998</c:v>
                </c:pt>
                <c:pt idx="77">
                  <c:v>25.1936</c:v>
                </c:pt>
                <c:pt idx="78">
                  <c:v>25.437700000000003</c:v>
                </c:pt>
                <c:pt idx="79">
                  <c:v>25.607999999999997</c:v>
                </c:pt>
                <c:pt idx="80">
                  <c:v>25.793199999999999</c:v>
                </c:pt>
                <c:pt idx="81">
                  <c:v>25.9923</c:v>
                </c:pt>
                <c:pt idx="82">
                  <c:v>26.166099999999997</c:v>
                </c:pt>
                <c:pt idx="83">
                  <c:v>26.308500000000002</c:v>
                </c:pt>
                <c:pt idx="84">
                  <c:v>26.442900000000002</c:v>
                </c:pt>
                <c:pt idx="85">
                  <c:v>26.5656</c:v>
                </c:pt>
                <c:pt idx="86">
                  <c:v>26.629000000000001</c:v>
                </c:pt>
                <c:pt idx="87">
                  <c:v>26.601000000000003</c:v>
                </c:pt>
                <c:pt idx="88">
                  <c:v>26.685100000000002</c:v>
                </c:pt>
                <c:pt idx="89">
                  <c:v>26.915400000000002</c:v>
                </c:pt>
                <c:pt idx="90">
                  <c:v>27.1797</c:v>
                </c:pt>
                <c:pt idx="91">
                  <c:v>27.422499999999999</c:v>
                </c:pt>
                <c:pt idx="92">
                  <c:v>27.669799999999999</c:v>
                </c:pt>
                <c:pt idx="93">
                  <c:v>27.9405</c:v>
                </c:pt>
                <c:pt idx="94">
                  <c:v>28.171499999999998</c:v>
                </c:pt>
                <c:pt idx="95">
                  <c:v>28.307399999999998</c:v>
                </c:pt>
                <c:pt idx="96">
                  <c:v>28.396900000000002</c:v>
                </c:pt>
                <c:pt idx="97">
                  <c:v>28.446999999999999</c:v>
                </c:pt>
                <c:pt idx="98">
                  <c:v>28.537299999999998</c:v>
                </c:pt>
                <c:pt idx="99">
                  <c:v>28.648099999999999</c:v>
                </c:pt>
                <c:pt idx="100">
                  <c:v>28.701000000000001</c:v>
                </c:pt>
                <c:pt idx="101">
                  <c:v>28.736099999999997</c:v>
                </c:pt>
                <c:pt idx="102">
                  <c:v>28.684799999999999</c:v>
                </c:pt>
                <c:pt idx="103">
                  <c:v>28.587699999999998</c:v>
                </c:pt>
                <c:pt idx="104">
                  <c:v>28.452499999999997</c:v>
                </c:pt>
                <c:pt idx="105">
                  <c:v>28.306799999999999</c:v>
                </c:pt>
                <c:pt idx="106">
                  <c:v>28.072500000000002</c:v>
                </c:pt>
                <c:pt idx="107">
                  <c:v>27.797599999999999</c:v>
                </c:pt>
                <c:pt idx="108">
                  <c:v>27.557700000000001</c:v>
                </c:pt>
                <c:pt idx="109">
                  <c:v>27.380399999999998</c:v>
                </c:pt>
                <c:pt idx="110">
                  <c:v>27.236799999999999</c:v>
                </c:pt>
                <c:pt idx="111">
                  <c:v>27.215600000000002</c:v>
                </c:pt>
                <c:pt idx="112">
                  <c:v>27.446999999999999</c:v>
                </c:pt>
                <c:pt idx="113">
                  <c:v>27.669</c:v>
                </c:pt>
                <c:pt idx="114">
                  <c:v>27.767999999999997</c:v>
                </c:pt>
                <c:pt idx="115">
                  <c:v>27.779300000000003</c:v>
                </c:pt>
                <c:pt idx="116">
                  <c:v>27.871000000000002</c:v>
                </c:pt>
                <c:pt idx="117">
                  <c:v>27.905999999999999</c:v>
                </c:pt>
                <c:pt idx="118">
                  <c:v>27.85</c:v>
                </c:pt>
                <c:pt idx="119">
                  <c:v>27.758300000000002</c:v>
                </c:pt>
                <c:pt idx="120">
                  <c:v>27.723300000000002</c:v>
                </c:pt>
                <c:pt idx="121">
                  <c:v>27.523999999999997</c:v>
                </c:pt>
                <c:pt idx="122">
                  <c:v>27.227499999999999</c:v>
                </c:pt>
                <c:pt idx="123">
                  <c:v>26.858999999999998</c:v>
                </c:pt>
                <c:pt idx="124">
                  <c:v>26.7393</c:v>
                </c:pt>
                <c:pt idx="125">
                  <c:v>26.606000000000002</c:v>
                </c:pt>
                <c:pt idx="126">
                  <c:v>26.4283</c:v>
                </c:pt>
                <c:pt idx="127">
                  <c:v>26.178699999999999</c:v>
                </c:pt>
                <c:pt idx="128">
                  <c:v>25.9451</c:v>
                </c:pt>
                <c:pt idx="129">
                  <c:v>25.685099999999998</c:v>
                </c:pt>
                <c:pt idx="130">
                  <c:v>25.391300000000001</c:v>
                </c:pt>
                <c:pt idx="131">
                  <c:v>25.119799999999998</c:v>
                </c:pt>
                <c:pt idx="132">
                  <c:v>24.8916</c:v>
                </c:pt>
                <c:pt idx="133">
                  <c:v>24.627800000000001</c:v>
                </c:pt>
                <c:pt idx="134">
                  <c:v>24.360100000000003</c:v>
                </c:pt>
                <c:pt idx="135">
                  <c:v>24.1541</c:v>
                </c:pt>
                <c:pt idx="136">
                  <c:v>23.972099999999998</c:v>
                </c:pt>
                <c:pt idx="137">
                  <c:v>23.722799999999999</c:v>
                </c:pt>
                <c:pt idx="138">
                  <c:v>23.508100000000002</c:v>
                </c:pt>
                <c:pt idx="139">
                  <c:v>23.351099999999999</c:v>
                </c:pt>
                <c:pt idx="140">
                  <c:v>23.242599999999999</c:v>
                </c:pt>
                <c:pt idx="141">
                  <c:v>23.059100000000001</c:v>
                </c:pt>
                <c:pt idx="142">
                  <c:v>23.0425</c:v>
                </c:pt>
                <c:pt idx="143">
                  <c:v>22.958400000000001</c:v>
                </c:pt>
                <c:pt idx="144">
                  <c:v>22.767499999999998</c:v>
                </c:pt>
                <c:pt idx="145">
                  <c:v>22.2361</c:v>
                </c:pt>
                <c:pt idx="146">
                  <c:v>22.262799999999999</c:v>
                </c:pt>
                <c:pt idx="147">
                  <c:v>22.915600000000001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3.6492000000000004</c:v>
                </c:pt>
                <c:pt idx="1">
                  <c:v>3.6370100000000001</c:v>
                </c:pt>
                <c:pt idx="2">
                  <c:v>3.6229699999999996</c:v>
                </c:pt>
                <c:pt idx="3">
                  <c:v>3.6063400000000003</c:v>
                </c:pt>
                <c:pt idx="4">
                  <c:v>3.5856599999999998</c:v>
                </c:pt>
                <c:pt idx="5">
                  <c:v>3.5634199999999998</c:v>
                </c:pt>
                <c:pt idx="6">
                  <c:v>3.5388299999999999</c:v>
                </c:pt>
                <c:pt idx="7">
                  <c:v>3.5118500000000004</c:v>
                </c:pt>
                <c:pt idx="8">
                  <c:v>3.48325</c:v>
                </c:pt>
                <c:pt idx="9">
                  <c:v>3.4548099999999997</c:v>
                </c:pt>
                <c:pt idx="10">
                  <c:v>3.4243399999999999</c:v>
                </c:pt>
                <c:pt idx="11">
                  <c:v>3.3932500000000001</c:v>
                </c:pt>
                <c:pt idx="12">
                  <c:v>3.3593699999999997</c:v>
                </c:pt>
                <c:pt idx="13">
                  <c:v>3.3239700000000001</c:v>
                </c:pt>
                <c:pt idx="14">
                  <c:v>3.2870700000000004</c:v>
                </c:pt>
                <c:pt idx="15">
                  <c:v>3.2485000000000004</c:v>
                </c:pt>
                <c:pt idx="16">
                  <c:v>3.2101299999999999</c:v>
                </c:pt>
                <c:pt idx="17">
                  <c:v>3.1732100000000001</c:v>
                </c:pt>
                <c:pt idx="18">
                  <c:v>3.1376900000000001</c:v>
                </c:pt>
                <c:pt idx="19">
                  <c:v>3.1041499999999997</c:v>
                </c:pt>
                <c:pt idx="20">
                  <c:v>3.0723799999999999</c:v>
                </c:pt>
                <c:pt idx="21">
                  <c:v>3.0399799999999999</c:v>
                </c:pt>
                <c:pt idx="22">
                  <c:v>3.0086400000000002</c:v>
                </c:pt>
                <c:pt idx="23">
                  <c:v>2.9823699999999995</c:v>
                </c:pt>
                <c:pt idx="24">
                  <c:v>2.9618499999999996</c:v>
                </c:pt>
                <c:pt idx="25">
                  <c:v>2.9496000000000002</c:v>
                </c:pt>
                <c:pt idx="26">
                  <c:v>2.94591</c:v>
                </c:pt>
                <c:pt idx="27">
                  <c:v>2.94835</c:v>
                </c:pt>
                <c:pt idx="28">
                  <c:v>2.95573</c:v>
                </c:pt>
                <c:pt idx="29">
                  <c:v>2.96549</c:v>
                </c:pt>
                <c:pt idx="30">
                  <c:v>2.9744100000000002</c:v>
                </c:pt>
                <c:pt idx="31">
                  <c:v>2.9794100000000001</c:v>
                </c:pt>
                <c:pt idx="32">
                  <c:v>2.9852400000000001</c:v>
                </c:pt>
                <c:pt idx="33">
                  <c:v>2.99485</c:v>
                </c:pt>
                <c:pt idx="34">
                  <c:v>3.0103900000000001</c:v>
                </c:pt>
                <c:pt idx="35">
                  <c:v>3.0283600000000002</c:v>
                </c:pt>
                <c:pt idx="36">
                  <c:v>3.0445000000000002</c:v>
                </c:pt>
                <c:pt idx="37">
                  <c:v>3.05985</c:v>
                </c:pt>
                <c:pt idx="38">
                  <c:v>3.0742799999999999</c:v>
                </c:pt>
                <c:pt idx="39">
                  <c:v>3.0875699999999999</c:v>
                </c:pt>
                <c:pt idx="40">
                  <c:v>3.1009599999999997</c:v>
                </c:pt>
                <c:pt idx="41">
                  <c:v>3.1126800000000001</c:v>
                </c:pt>
                <c:pt idx="42">
                  <c:v>3.1235600000000003</c:v>
                </c:pt>
                <c:pt idx="43">
                  <c:v>3.1352000000000002</c:v>
                </c:pt>
                <c:pt idx="44">
                  <c:v>3.1471300000000002</c:v>
                </c:pt>
                <c:pt idx="45">
                  <c:v>3.1585400000000003</c:v>
                </c:pt>
                <c:pt idx="46">
                  <c:v>3.1657899999999999</c:v>
                </c:pt>
                <c:pt idx="47">
                  <c:v>3.1720999999999999</c:v>
                </c:pt>
                <c:pt idx="48">
                  <c:v>3.1763000000000003</c:v>
                </c:pt>
                <c:pt idx="49">
                  <c:v>3.1779700000000002</c:v>
                </c:pt>
                <c:pt idx="50">
                  <c:v>3.1783299999999999</c:v>
                </c:pt>
                <c:pt idx="51">
                  <c:v>3.1730700000000001</c:v>
                </c:pt>
                <c:pt idx="52">
                  <c:v>3.16527</c:v>
                </c:pt>
                <c:pt idx="53">
                  <c:v>3.1580399999999997</c:v>
                </c:pt>
                <c:pt idx="54">
                  <c:v>3.1527899999999995</c:v>
                </c:pt>
                <c:pt idx="55">
                  <c:v>3.1510400000000001</c:v>
                </c:pt>
                <c:pt idx="56">
                  <c:v>3.1533299999999995</c:v>
                </c:pt>
                <c:pt idx="57">
                  <c:v>3.1587800000000001</c:v>
                </c:pt>
                <c:pt idx="58">
                  <c:v>3.1630599999999998</c:v>
                </c:pt>
                <c:pt idx="59">
                  <c:v>3.1635999999999997</c:v>
                </c:pt>
                <c:pt idx="60">
                  <c:v>3.1630399999999996</c:v>
                </c:pt>
                <c:pt idx="61">
                  <c:v>3.1650099999999997</c:v>
                </c:pt>
                <c:pt idx="62">
                  <c:v>3.1656400000000002</c:v>
                </c:pt>
                <c:pt idx="63">
                  <c:v>3.1753399999999998</c:v>
                </c:pt>
                <c:pt idx="64">
                  <c:v>3.1791100000000001</c:v>
                </c:pt>
                <c:pt idx="65">
                  <c:v>3.1844099999999997</c:v>
                </c:pt>
                <c:pt idx="66">
                  <c:v>3.1867299999999998</c:v>
                </c:pt>
                <c:pt idx="67">
                  <c:v>3.1925500000000002</c:v>
                </c:pt>
                <c:pt idx="68">
                  <c:v>3.2023700000000002</c:v>
                </c:pt>
                <c:pt idx="69">
                  <c:v>3.2119</c:v>
                </c:pt>
                <c:pt idx="70">
                  <c:v>3.2229400000000004</c:v>
                </c:pt>
                <c:pt idx="71">
                  <c:v>3.2422299999999997</c:v>
                </c:pt>
                <c:pt idx="72">
                  <c:v>3.2552300000000001</c:v>
                </c:pt>
                <c:pt idx="73">
                  <c:v>3.27901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37.9009</c:v>
                </c:pt>
                <c:pt idx="1">
                  <c:v>37.236399999999996</c:v>
                </c:pt>
                <c:pt idx="2">
                  <c:v>36.492200000000004</c:v>
                </c:pt>
                <c:pt idx="3">
                  <c:v>35.697099999999999</c:v>
                </c:pt>
                <c:pt idx="4">
                  <c:v>34.862099999999998</c:v>
                </c:pt>
                <c:pt idx="5">
                  <c:v>33.986899999999999</c:v>
                </c:pt>
                <c:pt idx="6">
                  <c:v>33.133200000000002</c:v>
                </c:pt>
                <c:pt idx="7">
                  <c:v>32.297199999999997</c:v>
                </c:pt>
                <c:pt idx="8">
                  <c:v>31.482100000000003</c:v>
                </c:pt>
                <c:pt idx="9">
                  <c:v>30.617899999999999</c:v>
                </c:pt>
                <c:pt idx="10">
                  <c:v>29.782399999999999</c:v>
                </c:pt>
                <c:pt idx="11">
                  <c:v>28.943400000000004</c:v>
                </c:pt>
                <c:pt idx="12">
                  <c:v>28.202899999999996</c:v>
                </c:pt>
                <c:pt idx="13">
                  <c:v>27.536899999999996</c:v>
                </c:pt>
                <c:pt idx="14">
                  <c:v>26.973500000000001</c:v>
                </c:pt>
                <c:pt idx="15">
                  <c:v>26.471499999999999</c:v>
                </c:pt>
                <c:pt idx="16">
                  <c:v>26.015700000000002</c:v>
                </c:pt>
                <c:pt idx="17">
                  <c:v>25.566299999999998</c:v>
                </c:pt>
                <c:pt idx="18">
                  <c:v>25.078299999999999</c:v>
                </c:pt>
                <c:pt idx="19">
                  <c:v>24.589199999999998</c:v>
                </c:pt>
                <c:pt idx="20">
                  <c:v>24.085999999999999</c:v>
                </c:pt>
                <c:pt idx="21">
                  <c:v>23.622599999999998</c:v>
                </c:pt>
                <c:pt idx="22">
                  <c:v>23.120899999999999</c:v>
                </c:pt>
                <c:pt idx="23">
                  <c:v>22.525300000000001</c:v>
                </c:pt>
                <c:pt idx="24">
                  <c:v>21.845100000000002</c:v>
                </c:pt>
                <c:pt idx="25">
                  <c:v>21.039099999999998</c:v>
                </c:pt>
                <c:pt idx="26">
                  <c:v>20.172799999999999</c:v>
                </c:pt>
                <c:pt idx="27">
                  <c:v>19.2303</c:v>
                </c:pt>
                <c:pt idx="28">
                  <c:v>18.1983</c:v>
                </c:pt>
                <c:pt idx="29">
                  <c:v>17.2346</c:v>
                </c:pt>
                <c:pt idx="30">
                  <c:v>16.3127</c:v>
                </c:pt>
                <c:pt idx="31">
                  <c:v>15.559999999999999</c:v>
                </c:pt>
                <c:pt idx="32">
                  <c:v>14.9091</c:v>
                </c:pt>
                <c:pt idx="33">
                  <c:v>14.357700000000001</c:v>
                </c:pt>
                <c:pt idx="34">
                  <c:v>13.936699999999998</c:v>
                </c:pt>
                <c:pt idx="35">
                  <c:v>13.621500000000001</c:v>
                </c:pt>
                <c:pt idx="36">
                  <c:v>13.4232</c:v>
                </c:pt>
                <c:pt idx="37">
                  <c:v>13.261400000000002</c:v>
                </c:pt>
                <c:pt idx="38">
                  <c:v>13.209999999999999</c:v>
                </c:pt>
                <c:pt idx="39">
                  <c:v>13.209599999999998</c:v>
                </c:pt>
                <c:pt idx="40">
                  <c:v>13.230400000000001</c:v>
                </c:pt>
                <c:pt idx="41">
                  <c:v>13.344000000000001</c:v>
                </c:pt>
                <c:pt idx="42">
                  <c:v>13.453399999999998</c:v>
                </c:pt>
                <c:pt idx="43">
                  <c:v>13.627000000000001</c:v>
                </c:pt>
                <c:pt idx="44">
                  <c:v>13.8598</c:v>
                </c:pt>
                <c:pt idx="45">
                  <c:v>14.150099999999998</c:v>
                </c:pt>
                <c:pt idx="46">
                  <c:v>14.427000000000001</c:v>
                </c:pt>
                <c:pt idx="47">
                  <c:v>14.736099999999999</c:v>
                </c:pt>
                <c:pt idx="48">
                  <c:v>15.0939</c:v>
                </c:pt>
                <c:pt idx="49">
                  <c:v>15.478200000000001</c:v>
                </c:pt>
                <c:pt idx="50">
                  <c:v>15.8306</c:v>
                </c:pt>
                <c:pt idx="51">
                  <c:v>16.4663</c:v>
                </c:pt>
                <c:pt idx="52">
                  <c:v>17.123799999999999</c:v>
                </c:pt>
                <c:pt idx="53">
                  <c:v>17.823499999999999</c:v>
                </c:pt>
                <c:pt idx="54">
                  <c:v>18.493499999999997</c:v>
                </c:pt>
                <c:pt idx="55">
                  <c:v>19.170000000000002</c:v>
                </c:pt>
                <c:pt idx="56">
                  <c:v>19.714100000000002</c:v>
                </c:pt>
                <c:pt idx="57">
                  <c:v>20.282299999999999</c:v>
                </c:pt>
                <c:pt idx="58">
                  <c:v>20.797599999999999</c:v>
                </c:pt>
                <c:pt idx="59">
                  <c:v>21.2803</c:v>
                </c:pt>
                <c:pt idx="60">
                  <c:v>21.668900000000001</c:v>
                </c:pt>
                <c:pt idx="61">
                  <c:v>22.121700000000001</c:v>
                </c:pt>
                <c:pt idx="62">
                  <c:v>22.378799999999998</c:v>
                </c:pt>
                <c:pt idx="63">
                  <c:v>22.613199999999999</c:v>
                </c:pt>
                <c:pt idx="64">
                  <c:v>22.822500000000002</c:v>
                </c:pt>
                <c:pt idx="65">
                  <c:v>23.040700000000001</c:v>
                </c:pt>
                <c:pt idx="66">
                  <c:v>23.189499999999999</c:v>
                </c:pt>
                <c:pt idx="67">
                  <c:v>23.403399999999998</c:v>
                </c:pt>
                <c:pt idx="68">
                  <c:v>23.5991</c:v>
                </c:pt>
                <c:pt idx="69">
                  <c:v>23.716000000000001</c:v>
                </c:pt>
                <c:pt idx="70">
                  <c:v>23.869299999999999</c:v>
                </c:pt>
                <c:pt idx="71">
                  <c:v>24.019099999999998</c:v>
                </c:pt>
                <c:pt idx="72">
                  <c:v>24.188000000000002</c:v>
                </c:pt>
                <c:pt idx="73">
                  <c:v>24.496499999999997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3.27901</c:v>
                </c:pt>
                <c:pt idx="1">
                  <c:v>3.2973400000000002</c:v>
                </c:pt>
                <c:pt idx="2">
                  <c:v>3.3202400000000001</c:v>
                </c:pt>
                <c:pt idx="3">
                  <c:v>3.3426899999999997</c:v>
                </c:pt>
                <c:pt idx="4">
                  <c:v>3.3637800000000002</c:v>
                </c:pt>
                <c:pt idx="5">
                  <c:v>3.3869600000000002</c:v>
                </c:pt>
                <c:pt idx="6">
                  <c:v>3.4114499999999999</c:v>
                </c:pt>
                <c:pt idx="7">
                  <c:v>3.4361100000000002</c:v>
                </c:pt>
                <c:pt idx="8">
                  <c:v>3.4604400000000002</c:v>
                </c:pt>
                <c:pt idx="9">
                  <c:v>3.4822100000000002</c:v>
                </c:pt>
                <c:pt idx="10">
                  <c:v>3.5044900000000001</c:v>
                </c:pt>
                <c:pt idx="11">
                  <c:v>3.5272600000000001</c:v>
                </c:pt>
                <c:pt idx="12">
                  <c:v>3.5513299999999997</c:v>
                </c:pt>
                <c:pt idx="13">
                  <c:v>3.5810300000000002</c:v>
                </c:pt>
                <c:pt idx="14">
                  <c:v>3.6126399999999999</c:v>
                </c:pt>
                <c:pt idx="15">
                  <c:v>3.6410199999999997</c:v>
                </c:pt>
                <c:pt idx="16">
                  <c:v>3.6668699999999999</c:v>
                </c:pt>
                <c:pt idx="17">
                  <c:v>3.6867800000000002</c:v>
                </c:pt>
                <c:pt idx="18">
                  <c:v>3.7059100000000003</c:v>
                </c:pt>
                <c:pt idx="19">
                  <c:v>3.7213800000000004</c:v>
                </c:pt>
                <c:pt idx="20">
                  <c:v>3.7334299999999998</c:v>
                </c:pt>
                <c:pt idx="21">
                  <c:v>3.7404100000000002</c:v>
                </c:pt>
                <c:pt idx="22">
                  <c:v>3.7461000000000002</c:v>
                </c:pt>
                <c:pt idx="23">
                  <c:v>3.7458100000000001</c:v>
                </c:pt>
                <c:pt idx="24">
                  <c:v>3.7449300000000001</c:v>
                </c:pt>
                <c:pt idx="25">
                  <c:v>3.74098</c:v>
                </c:pt>
                <c:pt idx="26">
                  <c:v>3.7359499999999999</c:v>
                </c:pt>
                <c:pt idx="27">
                  <c:v>3.7248900000000003</c:v>
                </c:pt>
                <c:pt idx="28">
                  <c:v>3.7141800000000003</c:v>
                </c:pt>
                <c:pt idx="29">
                  <c:v>3.7008799999999997</c:v>
                </c:pt>
                <c:pt idx="30">
                  <c:v>3.6830099999999999</c:v>
                </c:pt>
                <c:pt idx="31">
                  <c:v>3.6584299999999996</c:v>
                </c:pt>
                <c:pt idx="32">
                  <c:v>3.6291600000000002</c:v>
                </c:pt>
                <c:pt idx="33">
                  <c:v>3.5949</c:v>
                </c:pt>
                <c:pt idx="34">
                  <c:v>3.5596800000000002</c:v>
                </c:pt>
                <c:pt idx="35">
                  <c:v>3.5224000000000002</c:v>
                </c:pt>
                <c:pt idx="36">
                  <c:v>3.4853899999999998</c:v>
                </c:pt>
                <c:pt idx="37">
                  <c:v>3.4468900000000002</c:v>
                </c:pt>
                <c:pt idx="38">
                  <c:v>3.4005600000000005</c:v>
                </c:pt>
                <c:pt idx="39">
                  <c:v>3.3444500000000001</c:v>
                </c:pt>
                <c:pt idx="40">
                  <c:v>3.2905600000000002</c:v>
                </c:pt>
                <c:pt idx="41">
                  <c:v>3.24085</c:v>
                </c:pt>
                <c:pt idx="42">
                  <c:v>3.1957100000000001</c:v>
                </c:pt>
                <c:pt idx="43">
                  <c:v>3.1538599999999999</c:v>
                </c:pt>
                <c:pt idx="44">
                  <c:v>3.1180500000000002</c:v>
                </c:pt>
                <c:pt idx="45">
                  <c:v>3.0904700000000003</c:v>
                </c:pt>
                <c:pt idx="46">
                  <c:v>3.07037</c:v>
                </c:pt>
                <c:pt idx="47">
                  <c:v>3.0531000000000001</c:v>
                </c:pt>
                <c:pt idx="48">
                  <c:v>3.0389300000000001</c:v>
                </c:pt>
                <c:pt idx="49">
                  <c:v>3.0284399999999998</c:v>
                </c:pt>
                <c:pt idx="50">
                  <c:v>3.0242499999999999</c:v>
                </c:pt>
                <c:pt idx="51">
                  <c:v>3.0074800000000002</c:v>
                </c:pt>
                <c:pt idx="52">
                  <c:v>2.9926399999999997</c:v>
                </c:pt>
                <c:pt idx="53">
                  <c:v>2.97634</c:v>
                </c:pt>
                <c:pt idx="54">
                  <c:v>2.9635699999999998</c:v>
                </c:pt>
                <c:pt idx="55">
                  <c:v>2.9525000000000001</c:v>
                </c:pt>
                <c:pt idx="56">
                  <c:v>2.9480899999999997</c:v>
                </c:pt>
                <c:pt idx="57">
                  <c:v>2.9470299999999998</c:v>
                </c:pt>
                <c:pt idx="58">
                  <c:v>2.9520499999999998</c:v>
                </c:pt>
                <c:pt idx="59">
                  <c:v>2.9610300000000001</c:v>
                </c:pt>
                <c:pt idx="60">
                  <c:v>2.9736699999999998</c:v>
                </c:pt>
                <c:pt idx="61">
                  <c:v>2.9857200000000002</c:v>
                </c:pt>
                <c:pt idx="62">
                  <c:v>2.99777</c:v>
                </c:pt>
                <c:pt idx="63">
                  <c:v>3.0130600000000003</c:v>
                </c:pt>
                <c:pt idx="64">
                  <c:v>3.03721</c:v>
                </c:pt>
                <c:pt idx="65">
                  <c:v>3.0635499999999998</c:v>
                </c:pt>
                <c:pt idx="66">
                  <c:v>3.0928499999999999</c:v>
                </c:pt>
                <c:pt idx="67">
                  <c:v>3.1275399999999998</c:v>
                </c:pt>
                <c:pt idx="68">
                  <c:v>3.1623000000000001</c:v>
                </c:pt>
                <c:pt idx="69">
                  <c:v>3.1966800000000002</c:v>
                </c:pt>
                <c:pt idx="70">
                  <c:v>3.2249499999999998</c:v>
                </c:pt>
                <c:pt idx="71">
                  <c:v>3.2488600000000001</c:v>
                </c:pt>
                <c:pt idx="72">
                  <c:v>3.2662000000000004</c:v>
                </c:pt>
                <c:pt idx="73">
                  <c:v>3.28762</c:v>
                </c:pt>
                <c:pt idx="74">
                  <c:v>3.3102999999999998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24.496499999999997</c:v>
                </c:pt>
                <c:pt idx="1">
                  <c:v>24.705400000000001</c:v>
                </c:pt>
                <c:pt idx="2">
                  <c:v>24.789899999999999</c:v>
                </c:pt>
                <c:pt idx="3">
                  <c:v>24.932299999999998</c:v>
                </c:pt>
                <c:pt idx="4">
                  <c:v>25.1936</c:v>
                </c:pt>
                <c:pt idx="5">
                  <c:v>25.437700000000003</c:v>
                </c:pt>
                <c:pt idx="6">
                  <c:v>25.607999999999997</c:v>
                </c:pt>
                <c:pt idx="7">
                  <c:v>25.793199999999999</c:v>
                </c:pt>
                <c:pt idx="8">
                  <c:v>25.9923</c:v>
                </c:pt>
                <c:pt idx="9">
                  <c:v>26.166099999999997</c:v>
                </c:pt>
                <c:pt idx="10">
                  <c:v>26.308500000000002</c:v>
                </c:pt>
                <c:pt idx="11">
                  <c:v>26.442900000000002</c:v>
                </c:pt>
                <c:pt idx="12">
                  <c:v>26.5656</c:v>
                </c:pt>
                <c:pt idx="13">
                  <c:v>26.629000000000001</c:v>
                </c:pt>
                <c:pt idx="14">
                  <c:v>26.601000000000003</c:v>
                </c:pt>
                <c:pt idx="15">
                  <c:v>26.685100000000002</c:v>
                </c:pt>
                <c:pt idx="16">
                  <c:v>26.915400000000002</c:v>
                </c:pt>
                <c:pt idx="17">
                  <c:v>27.1797</c:v>
                </c:pt>
                <c:pt idx="18">
                  <c:v>27.422499999999999</c:v>
                </c:pt>
                <c:pt idx="19">
                  <c:v>27.669799999999999</c:v>
                </c:pt>
                <c:pt idx="20">
                  <c:v>27.9405</c:v>
                </c:pt>
                <c:pt idx="21">
                  <c:v>28.171499999999998</c:v>
                </c:pt>
                <c:pt idx="22">
                  <c:v>28.307399999999998</c:v>
                </c:pt>
                <c:pt idx="23">
                  <c:v>28.396900000000002</c:v>
                </c:pt>
                <c:pt idx="24">
                  <c:v>28.446999999999999</c:v>
                </c:pt>
                <c:pt idx="25">
                  <c:v>28.537299999999998</c:v>
                </c:pt>
                <c:pt idx="26">
                  <c:v>28.648099999999999</c:v>
                </c:pt>
                <c:pt idx="27">
                  <c:v>28.701000000000001</c:v>
                </c:pt>
                <c:pt idx="28">
                  <c:v>28.736099999999997</c:v>
                </c:pt>
                <c:pt idx="29">
                  <c:v>28.684799999999999</c:v>
                </c:pt>
                <c:pt idx="30">
                  <c:v>28.587699999999998</c:v>
                </c:pt>
                <c:pt idx="31">
                  <c:v>28.452499999999997</c:v>
                </c:pt>
                <c:pt idx="32">
                  <c:v>28.306799999999999</c:v>
                </c:pt>
                <c:pt idx="33">
                  <c:v>28.072500000000002</c:v>
                </c:pt>
                <c:pt idx="34">
                  <c:v>27.797599999999999</c:v>
                </c:pt>
                <c:pt idx="35">
                  <c:v>27.557700000000001</c:v>
                </c:pt>
                <c:pt idx="36">
                  <c:v>27.380399999999998</c:v>
                </c:pt>
                <c:pt idx="37">
                  <c:v>27.236799999999999</c:v>
                </c:pt>
                <c:pt idx="38">
                  <c:v>27.215600000000002</c:v>
                </c:pt>
                <c:pt idx="39">
                  <c:v>27.446999999999999</c:v>
                </c:pt>
                <c:pt idx="40">
                  <c:v>27.669</c:v>
                </c:pt>
                <c:pt idx="41">
                  <c:v>27.767999999999997</c:v>
                </c:pt>
                <c:pt idx="42">
                  <c:v>27.779300000000003</c:v>
                </c:pt>
                <c:pt idx="43">
                  <c:v>27.871000000000002</c:v>
                </c:pt>
                <c:pt idx="44">
                  <c:v>27.905999999999999</c:v>
                </c:pt>
                <c:pt idx="45">
                  <c:v>27.85</c:v>
                </c:pt>
                <c:pt idx="46">
                  <c:v>27.758300000000002</c:v>
                </c:pt>
                <c:pt idx="47">
                  <c:v>27.723300000000002</c:v>
                </c:pt>
                <c:pt idx="48">
                  <c:v>27.523999999999997</c:v>
                </c:pt>
                <c:pt idx="49">
                  <c:v>27.227499999999999</c:v>
                </c:pt>
                <c:pt idx="50">
                  <c:v>26.858999999999998</c:v>
                </c:pt>
                <c:pt idx="51">
                  <c:v>26.7393</c:v>
                </c:pt>
                <c:pt idx="52">
                  <c:v>26.606000000000002</c:v>
                </c:pt>
                <c:pt idx="53">
                  <c:v>26.4283</c:v>
                </c:pt>
                <c:pt idx="54">
                  <c:v>26.178699999999999</c:v>
                </c:pt>
                <c:pt idx="55">
                  <c:v>25.9451</c:v>
                </c:pt>
                <c:pt idx="56">
                  <c:v>25.685099999999998</c:v>
                </c:pt>
                <c:pt idx="57">
                  <c:v>25.391300000000001</c:v>
                </c:pt>
                <c:pt idx="58">
                  <c:v>25.119799999999998</c:v>
                </c:pt>
                <c:pt idx="59">
                  <c:v>24.8916</c:v>
                </c:pt>
                <c:pt idx="60">
                  <c:v>24.627800000000001</c:v>
                </c:pt>
                <c:pt idx="61">
                  <c:v>24.360100000000003</c:v>
                </c:pt>
                <c:pt idx="62">
                  <c:v>24.1541</c:v>
                </c:pt>
                <c:pt idx="63">
                  <c:v>23.972099999999998</c:v>
                </c:pt>
                <c:pt idx="64">
                  <c:v>23.722799999999999</c:v>
                </c:pt>
                <c:pt idx="65">
                  <c:v>23.508100000000002</c:v>
                </c:pt>
                <c:pt idx="66">
                  <c:v>23.351099999999999</c:v>
                </c:pt>
                <c:pt idx="67">
                  <c:v>23.242599999999999</c:v>
                </c:pt>
                <c:pt idx="68">
                  <c:v>23.059100000000001</c:v>
                </c:pt>
                <c:pt idx="69">
                  <c:v>23.0425</c:v>
                </c:pt>
                <c:pt idx="70">
                  <c:v>22.958400000000001</c:v>
                </c:pt>
                <c:pt idx="71">
                  <c:v>22.767499999999998</c:v>
                </c:pt>
                <c:pt idx="72">
                  <c:v>22.2361</c:v>
                </c:pt>
                <c:pt idx="73">
                  <c:v>22.262799999999999</c:v>
                </c:pt>
                <c:pt idx="74">
                  <c:v>22.915600000000001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3.1932058108108095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21.881778378378382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3.3425129729729717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26.307628378378396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3.3425129729729717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26.307628378378396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0.30136490346185574</c:v>
                </c:pt>
                <c:pt idx="1">
                  <c:v>0.20070095753700518</c:v>
                </c:pt>
                <c:pt idx="2">
                  <c:v>0.49793413900113914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0.40822900000000001</c:v>
                </c:pt>
                <c:pt idx="2">
                  <c:v>0.81201400000000001</c:v>
                </c:pt>
                <c:pt idx="3">
                  <c:v>1.2202599999999999</c:v>
                </c:pt>
                <c:pt idx="4">
                  <c:v>1.6283099999999999</c:v>
                </c:pt>
                <c:pt idx="5">
                  <c:v>2.03708</c:v>
                </c:pt>
                <c:pt idx="6">
                  <c:v>2.4403700000000002</c:v>
                </c:pt>
                <c:pt idx="7">
                  <c:v>2.8452899999999999</c:v>
                </c:pt>
                <c:pt idx="8">
                  <c:v>3.2521499999999999</c:v>
                </c:pt>
                <c:pt idx="9">
                  <c:v>3.66168</c:v>
                </c:pt>
                <c:pt idx="10">
                  <c:v>4.0749300000000002</c:v>
                </c:pt>
                <c:pt idx="11">
                  <c:v>4.4695600000000004</c:v>
                </c:pt>
                <c:pt idx="12">
                  <c:v>4.8776000000000002</c:v>
                </c:pt>
                <c:pt idx="13">
                  <c:v>5.2841199999999997</c:v>
                </c:pt>
                <c:pt idx="14">
                  <c:v>5.6913299999999998</c:v>
                </c:pt>
                <c:pt idx="15">
                  <c:v>6.0982099999999999</c:v>
                </c:pt>
                <c:pt idx="16">
                  <c:v>6.50129</c:v>
                </c:pt>
                <c:pt idx="17">
                  <c:v>6.90726</c:v>
                </c:pt>
                <c:pt idx="18">
                  <c:v>7.3128000000000002</c:v>
                </c:pt>
                <c:pt idx="19">
                  <c:v>7.7235399999999998</c:v>
                </c:pt>
                <c:pt idx="20">
                  <c:v>8.1278299999999994</c:v>
                </c:pt>
                <c:pt idx="21">
                  <c:v>8.5343900000000001</c:v>
                </c:pt>
                <c:pt idx="22">
                  <c:v>8.9396500000000003</c:v>
                </c:pt>
                <c:pt idx="23">
                  <c:v>9.3454499999999996</c:v>
                </c:pt>
                <c:pt idx="24">
                  <c:v>9.7541100000000007</c:v>
                </c:pt>
                <c:pt idx="25">
                  <c:v>10.160600000000001</c:v>
                </c:pt>
                <c:pt idx="26">
                  <c:v>10.567299999999999</c:v>
                </c:pt>
                <c:pt idx="27">
                  <c:v>10.969200000000001</c:v>
                </c:pt>
                <c:pt idx="28">
                  <c:v>11.376300000000001</c:v>
                </c:pt>
                <c:pt idx="29">
                  <c:v>11.7842</c:v>
                </c:pt>
                <c:pt idx="30">
                  <c:v>12.1899</c:v>
                </c:pt>
                <c:pt idx="31">
                  <c:v>12.594900000000001</c:v>
                </c:pt>
                <c:pt idx="32">
                  <c:v>12.999700000000001</c:v>
                </c:pt>
                <c:pt idx="33">
                  <c:v>13.4095</c:v>
                </c:pt>
                <c:pt idx="34">
                  <c:v>13.8133</c:v>
                </c:pt>
                <c:pt idx="35">
                  <c:v>14.220599999999999</c:v>
                </c:pt>
                <c:pt idx="36">
                  <c:v>14.627000000000001</c:v>
                </c:pt>
                <c:pt idx="37">
                  <c:v>15.0336</c:v>
                </c:pt>
                <c:pt idx="38">
                  <c:v>15.4398</c:v>
                </c:pt>
                <c:pt idx="39">
                  <c:v>15.848100000000001</c:v>
                </c:pt>
                <c:pt idx="40">
                  <c:v>16.253699999999998</c:v>
                </c:pt>
                <c:pt idx="41">
                  <c:v>16.659700000000001</c:v>
                </c:pt>
                <c:pt idx="42">
                  <c:v>17.064699999999998</c:v>
                </c:pt>
                <c:pt idx="43">
                  <c:v>17.473099999999999</c:v>
                </c:pt>
                <c:pt idx="44">
                  <c:v>17.876200000000001</c:v>
                </c:pt>
                <c:pt idx="45">
                  <c:v>18.2851</c:v>
                </c:pt>
                <c:pt idx="46">
                  <c:v>18.690799999999999</c:v>
                </c:pt>
                <c:pt idx="47">
                  <c:v>19.097100000000001</c:v>
                </c:pt>
                <c:pt idx="48">
                  <c:v>19.501000000000001</c:v>
                </c:pt>
                <c:pt idx="49">
                  <c:v>19.910699999999999</c:v>
                </c:pt>
                <c:pt idx="50">
                  <c:v>20.317399999999999</c:v>
                </c:pt>
                <c:pt idx="51">
                  <c:v>20.722799999999999</c:v>
                </c:pt>
                <c:pt idx="52">
                  <c:v>21.129899999999999</c:v>
                </c:pt>
                <c:pt idx="53">
                  <c:v>21.5321</c:v>
                </c:pt>
                <c:pt idx="54">
                  <c:v>21.939800000000002</c:v>
                </c:pt>
                <c:pt idx="55">
                  <c:v>22.3462</c:v>
                </c:pt>
                <c:pt idx="56">
                  <c:v>22.753599999999999</c:v>
                </c:pt>
                <c:pt idx="57">
                  <c:v>23.157699999999998</c:v>
                </c:pt>
                <c:pt idx="58">
                  <c:v>23.5639</c:v>
                </c:pt>
                <c:pt idx="59">
                  <c:v>23.970500000000001</c:v>
                </c:pt>
                <c:pt idx="60">
                  <c:v>24.375599999999999</c:v>
                </c:pt>
                <c:pt idx="61">
                  <c:v>24.786000000000001</c:v>
                </c:pt>
                <c:pt idx="62">
                  <c:v>25.190200000000001</c:v>
                </c:pt>
                <c:pt idx="63">
                  <c:v>25.596900000000002</c:v>
                </c:pt>
                <c:pt idx="64">
                  <c:v>26.000699999999998</c:v>
                </c:pt>
                <c:pt idx="65">
                  <c:v>26.4068</c:v>
                </c:pt>
                <c:pt idx="66">
                  <c:v>26.812799999999999</c:v>
                </c:pt>
                <c:pt idx="67">
                  <c:v>27.2197</c:v>
                </c:pt>
                <c:pt idx="68">
                  <c:v>27.63</c:v>
                </c:pt>
                <c:pt idx="69">
                  <c:v>28.034800000000001</c:v>
                </c:pt>
                <c:pt idx="70">
                  <c:v>28.4405</c:v>
                </c:pt>
                <c:pt idx="71">
                  <c:v>28.844999999999999</c:v>
                </c:pt>
                <c:pt idx="72">
                  <c:v>29.2498</c:v>
                </c:pt>
                <c:pt idx="73">
                  <c:v>29.6616</c:v>
                </c:pt>
                <c:pt idx="74">
                  <c:v>30.067599999999999</c:v>
                </c:pt>
                <c:pt idx="75">
                  <c:v>30.5533</c:v>
                </c:pt>
                <c:pt idx="76">
                  <c:v>30.940100000000001</c:v>
                </c:pt>
                <c:pt idx="77">
                  <c:v>31.336500000000001</c:v>
                </c:pt>
                <c:pt idx="78">
                  <c:v>31.736899999999999</c:v>
                </c:pt>
                <c:pt idx="79">
                  <c:v>32.142899999999997</c:v>
                </c:pt>
                <c:pt idx="80">
                  <c:v>32.546900000000001</c:v>
                </c:pt>
                <c:pt idx="81">
                  <c:v>32.958100000000002</c:v>
                </c:pt>
                <c:pt idx="82">
                  <c:v>33.3643</c:v>
                </c:pt>
                <c:pt idx="83">
                  <c:v>33.770699999999998</c:v>
                </c:pt>
                <c:pt idx="84">
                  <c:v>34.173200000000001</c:v>
                </c:pt>
                <c:pt idx="85">
                  <c:v>34.585299999999997</c:v>
                </c:pt>
                <c:pt idx="86">
                  <c:v>34.988100000000003</c:v>
                </c:pt>
                <c:pt idx="87">
                  <c:v>35.392899999999997</c:v>
                </c:pt>
                <c:pt idx="88">
                  <c:v>35.7988</c:v>
                </c:pt>
                <c:pt idx="89">
                  <c:v>36.2072</c:v>
                </c:pt>
                <c:pt idx="90">
                  <c:v>36.614100000000001</c:v>
                </c:pt>
                <c:pt idx="91">
                  <c:v>37.020000000000003</c:v>
                </c:pt>
                <c:pt idx="92">
                  <c:v>37.425199999999997</c:v>
                </c:pt>
                <c:pt idx="93">
                  <c:v>37.831899999999997</c:v>
                </c:pt>
                <c:pt idx="94">
                  <c:v>38.235500000000002</c:v>
                </c:pt>
                <c:pt idx="95">
                  <c:v>38.642499999999998</c:v>
                </c:pt>
                <c:pt idx="96">
                  <c:v>39.049500000000002</c:v>
                </c:pt>
                <c:pt idx="97">
                  <c:v>39.457799999999999</c:v>
                </c:pt>
                <c:pt idx="98">
                  <c:v>39.868499999999997</c:v>
                </c:pt>
                <c:pt idx="99">
                  <c:v>40.267800000000001</c:v>
                </c:pt>
                <c:pt idx="100">
                  <c:v>40.6736</c:v>
                </c:pt>
                <c:pt idx="101">
                  <c:v>41.079900000000002</c:v>
                </c:pt>
                <c:pt idx="102">
                  <c:v>41.491500000000002</c:v>
                </c:pt>
                <c:pt idx="103">
                  <c:v>41.896799999999999</c:v>
                </c:pt>
                <c:pt idx="104">
                  <c:v>42.298999999999999</c:v>
                </c:pt>
                <c:pt idx="105">
                  <c:v>42.704999999999998</c:v>
                </c:pt>
                <c:pt idx="106">
                  <c:v>43.116</c:v>
                </c:pt>
                <c:pt idx="107">
                  <c:v>43.521700000000003</c:v>
                </c:pt>
                <c:pt idx="108">
                  <c:v>43.928400000000003</c:v>
                </c:pt>
                <c:pt idx="109">
                  <c:v>44.329700000000003</c:v>
                </c:pt>
                <c:pt idx="110">
                  <c:v>44.736800000000002</c:v>
                </c:pt>
                <c:pt idx="111">
                  <c:v>45.141599999999997</c:v>
                </c:pt>
                <c:pt idx="112">
                  <c:v>45.549399999999999</c:v>
                </c:pt>
                <c:pt idx="113">
                  <c:v>45.957999999999998</c:v>
                </c:pt>
                <c:pt idx="114">
                  <c:v>46.360900000000001</c:v>
                </c:pt>
                <c:pt idx="115">
                  <c:v>46.766100000000002</c:v>
                </c:pt>
                <c:pt idx="116">
                  <c:v>47.176499999999997</c:v>
                </c:pt>
                <c:pt idx="117">
                  <c:v>47.584000000000003</c:v>
                </c:pt>
                <c:pt idx="118">
                  <c:v>47.9893</c:v>
                </c:pt>
                <c:pt idx="119">
                  <c:v>48.392299999999999</c:v>
                </c:pt>
                <c:pt idx="120">
                  <c:v>48.798400000000001</c:v>
                </c:pt>
                <c:pt idx="121">
                  <c:v>49.206600000000002</c:v>
                </c:pt>
                <c:pt idx="122">
                  <c:v>49.613</c:v>
                </c:pt>
                <c:pt idx="123">
                  <c:v>50.018700000000003</c:v>
                </c:pt>
                <c:pt idx="124">
                  <c:v>50.4255</c:v>
                </c:pt>
                <c:pt idx="125">
                  <c:v>50.832599999999999</c:v>
                </c:pt>
                <c:pt idx="126">
                  <c:v>51.241799999999998</c:v>
                </c:pt>
                <c:pt idx="127">
                  <c:v>51.639600000000002</c:v>
                </c:pt>
                <c:pt idx="128">
                  <c:v>52.047800000000002</c:v>
                </c:pt>
                <c:pt idx="129">
                  <c:v>52.458799999999997</c:v>
                </c:pt>
                <c:pt idx="130">
                  <c:v>52.863900000000001</c:v>
                </c:pt>
                <c:pt idx="131">
                  <c:v>53.268700000000003</c:v>
                </c:pt>
                <c:pt idx="132">
                  <c:v>53.675400000000003</c:v>
                </c:pt>
                <c:pt idx="133">
                  <c:v>54.078200000000002</c:v>
                </c:pt>
                <c:pt idx="134">
                  <c:v>54.488199999999999</c:v>
                </c:pt>
                <c:pt idx="135">
                  <c:v>54.893599999999999</c:v>
                </c:pt>
                <c:pt idx="136">
                  <c:v>55.298900000000003</c:v>
                </c:pt>
                <c:pt idx="137">
                  <c:v>55.704000000000001</c:v>
                </c:pt>
                <c:pt idx="138">
                  <c:v>56.109000000000002</c:v>
                </c:pt>
                <c:pt idx="139">
                  <c:v>56.517299999999999</c:v>
                </c:pt>
                <c:pt idx="140">
                  <c:v>56.929900000000004</c:v>
                </c:pt>
                <c:pt idx="141">
                  <c:v>57.333599999999997</c:v>
                </c:pt>
                <c:pt idx="142">
                  <c:v>57.737000000000002</c:v>
                </c:pt>
                <c:pt idx="143">
                  <c:v>58.142499999999998</c:v>
                </c:pt>
                <c:pt idx="144">
                  <c:v>58.555</c:v>
                </c:pt>
                <c:pt idx="145">
                  <c:v>58.962800000000001</c:v>
                </c:pt>
                <c:pt idx="146">
                  <c:v>59.366999999999997</c:v>
                </c:pt>
                <c:pt idx="147">
                  <c:v>59.768700000000003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3.6492000000000004</c:v>
                </c:pt>
                <c:pt idx="1">
                  <c:v>3.6370100000000001</c:v>
                </c:pt>
                <c:pt idx="2">
                  <c:v>3.6229699999999996</c:v>
                </c:pt>
                <c:pt idx="3">
                  <c:v>3.6063400000000003</c:v>
                </c:pt>
                <c:pt idx="4">
                  <c:v>3.5856599999999998</c:v>
                </c:pt>
                <c:pt idx="5">
                  <c:v>3.5634199999999998</c:v>
                </c:pt>
                <c:pt idx="6">
                  <c:v>3.5388299999999999</c:v>
                </c:pt>
                <c:pt idx="7">
                  <c:v>3.5118500000000004</c:v>
                </c:pt>
                <c:pt idx="8">
                  <c:v>3.48325</c:v>
                </c:pt>
                <c:pt idx="9">
                  <c:v>3.4548099999999997</c:v>
                </c:pt>
                <c:pt idx="10">
                  <c:v>3.4243399999999999</c:v>
                </c:pt>
                <c:pt idx="11">
                  <c:v>3.3932500000000001</c:v>
                </c:pt>
                <c:pt idx="12">
                  <c:v>3.3593699999999997</c:v>
                </c:pt>
                <c:pt idx="13">
                  <c:v>3.3239700000000001</c:v>
                </c:pt>
                <c:pt idx="14">
                  <c:v>3.2870700000000004</c:v>
                </c:pt>
                <c:pt idx="15">
                  <c:v>3.2485000000000004</c:v>
                </c:pt>
                <c:pt idx="16">
                  <c:v>3.2101299999999999</c:v>
                </c:pt>
                <c:pt idx="17">
                  <c:v>3.1732100000000001</c:v>
                </c:pt>
                <c:pt idx="18">
                  <c:v>3.1376900000000001</c:v>
                </c:pt>
                <c:pt idx="19">
                  <c:v>3.1041499999999997</c:v>
                </c:pt>
                <c:pt idx="20">
                  <c:v>3.0723799999999999</c:v>
                </c:pt>
                <c:pt idx="21">
                  <c:v>3.0399799999999999</c:v>
                </c:pt>
                <c:pt idx="22">
                  <c:v>3.0086400000000002</c:v>
                </c:pt>
                <c:pt idx="23">
                  <c:v>2.9823699999999995</c:v>
                </c:pt>
                <c:pt idx="24">
                  <c:v>2.9618499999999996</c:v>
                </c:pt>
                <c:pt idx="25">
                  <c:v>2.9496000000000002</c:v>
                </c:pt>
                <c:pt idx="26">
                  <c:v>2.94591</c:v>
                </c:pt>
                <c:pt idx="27">
                  <c:v>2.94835</c:v>
                </c:pt>
                <c:pt idx="28">
                  <c:v>2.95573</c:v>
                </c:pt>
                <c:pt idx="29">
                  <c:v>2.96549</c:v>
                </c:pt>
                <c:pt idx="30">
                  <c:v>2.9744100000000002</c:v>
                </c:pt>
                <c:pt idx="31">
                  <c:v>2.9794100000000001</c:v>
                </c:pt>
                <c:pt idx="32">
                  <c:v>2.9852400000000001</c:v>
                </c:pt>
                <c:pt idx="33">
                  <c:v>2.99485</c:v>
                </c:pt>
                <c:pt idx="34">
                  <c:v>3.0103900000000001</c:v>
                </c:pt>
                <c:pt idx="35">
                  <c:v>3.0283600000000002</c:v>
                </c:pt>
                <c:pt idx="36">
                  <c:v>3.0445000000000002</c:v>
                </c:pt>
                <c:pt idx="37">
                  <c:v>3.05985</c:v>
                </c:pt>
                <c:pt idx="38">
                  <c:v>3.0742799999999999</c:v>
                </c:pt>
                <c:pt idx="39">
                  <c:v>3.0875699999999999</c:v>
                </c:pt>
                <c:pt idx="40">
                  <c:v>3.1009599999999997</c:v>
                </c:pt>
                <c:pt idx="41">
                  <c:v>3.1126800000000001</c:v>
                </c:pt>
                <c:pt idx="42">
                  <c:v>3.1235600000000003</c:v>
                </c:pt>
                <c:pt idx="43">
                  <c:v>3.1352000000000002</c:v>
                </c:pt>
                <c:pt idx="44">
                  <c:v>3.1471300000000002</c:v>
                </c:pt>
                <c:pt idx="45">
                  <c:v>3.1585400000000003</c:v>
                </c:pt>
                <c:pt idx="46">
                  <c:v>3.1657899999999999</c:v>
                </c:pt>
                <c:pt idx="47">
                  <c:v>3.1720999999999999</c:v>
                </c:pt>
                <c:pt idx="48">
                  <c:v>3.1763000000000003</c:v>
                </c:pt>
                <c:pt idx="49">
                  <c:v>3.1779700000000002</c:v>
                </c:pt>
                <c:pt idx="50">
                  <c:v>3.1783299999999999</c:v>
                </c:pt>
                <c:pt idx="51">
                  <c:v>3.1730700000000001</c:v>
                </c:pt>
                <c:pt idx="52">
                  <c:v>3.16527</c:v>
                </c:pt>
                <c:pt idx="53">
                  <c:v>3.1580399999999997</c:v>
                </c:pt>
                <c:pt idx="54">
                  <c:v>3.1527899999999995</c:v>
                </c:pt>
                <c:pt idx="55">
                  <c:v>3.1510400000000001</c:v>
                </c:pt>
                <c:pt idx="56">
                  <c:v>3.1533299999999995</c:v>
                </c:pt>
                <c:pt idx="57">
                  <c:v>3.1587800000000001</c:v>
                </c:pt>
                <c:pt idx="58">
                  <c:v>3.1630599999999998</c:v>
                </c:pt>
                <c:pt idx="59">
                  <c:v>3.1635999999999997</c:v>
                </c:pt>
                <c:pt idx="60">
                  <c:v>3.1630399999999996</c:v>
                </c:pt>
                <c:pt idx="61">
                  <c:v>3.1650099999999997</c:v>
                </c:pt>
                <c:pt idx="62">
                  <c:v>3.1656400000000002</c:v>
                </c:pt>
                <c:pt idx="63">
                  <c:v>3.1753399999999998</c:v>
                </c:pt>
                <c:pt idx="64">
                  <c:v>3.1791100000000001</c:v>
                </c:pt>
                <c:pt idx="65">
                  <c:v>3.1844099999999997</c:v>
                </c:pt>
                <c:pt idx="66">
                  <c:v>3.1867299999999998</c:v>
                </c:pt>
                <c:pt idx="67">
                  <c:v>3.1925500000000002</c:v>
                </c:pt>
                <c:pt idx="68">
                  <c:v>3.2023700000000002</c:v>
                </c:pt>
                <c:pt idx="69">
                  <c:v>3.2119</c:v>
                </c:pt>
                <c:pt idx="70">
                  <c:v>3.2229400000000004</c:v>
                </c:pt>
                <c:pt idx="71">
                  <c:v>3.2422299999999997</c:v>
                </c:pt>
                <c:pt idx="72">
                  <c:v>3.2552300000000001</c:v>
                </c:pt>
                <c:pt idx="73">
                  <c:v>3.27901</c:v>
                </c:pt>
                <c:pt idx="74">
                  <c:v>3.2973400000000002</c:v>
                </c:pt>
                <c:pt idx="75">
                  <c:v>3.3202400000000001</c:v>
                </c:pt>
                <c:pt idx="76">
                  <c:v>3.3426899999999997</c:v>
                </c:pt>
                <c:pt idx="77">
                  <c:v>3.3637800000000002</c:v>
                </c:pt>
                <c:pt idx="78">
                  <c:v>3.3869600000000002</c:v>
                </c:pt>
                <c:pt idx="79">
                  <c:v>3.4114499999999999</c:v>
                </c:pt>
                <c:pt idx="80">
                  <c:v>3.4361100000000002</c:v>
                </c:pt>
                <c:pt idx="81">
                  <c:v>3.4604400000000002</c:v>
                </c:pt>
                <c:pt idx="82">
                  <c:v>3.4822100000000002</c:v>
                </c:pt>
                <c:pt idx="83">
                  <c:v>3.5044900000000001</c:v>
                </c:pt>
                <c:pt idx="84">
                  <c:v>3.5272600000000001</c:v>
                </c:pt>
                <c:pt idx="85">
                  <c:v>3.5513299999999997</c:v>
                </c:pt>
                <c:pt idx="86">
                  <c:v>3.5810300000000002</c:v>
                </c:pt>
                <c:pt idx="87">
                  <c:v>3.6126399999999999</c:v>
                </c:pt>
                <c:pt idx="88">
                  <c:v>3.6410199999999997</c:v>
                </c:pt>
                <c:pt idx="89">
                  <c:v>3.6668699999999999</c:v>
                </c:pt>
                <c:pt idx="90">
                  <c:v>3.6867800000000002</c:v>
                </c:pt>
                <c:pt idx="91">
                  <c:v>3.7059100000000003</c:v>
                </c:pt>
                <c:pt idx="92">
                  <c:v>3.7213800000000004</c:v>
                </c:pt>
                <c:pt idx="93">
                  <c:v>3.7334299999999998</c:v>
                </c:pt>
                <c:pt idx="94">
                  <c:v>3.7404100000000002</c:v>
                </c:pt>
                <c:pt idx="95">
                  <c:v>3.7461000000000002</c:v>
                </c:pt>
                <c:pt idx="96">
                  <c:v>3.7458100000000001</c:v>
                </c:pt>
                <c:pt idx="97">
                  <c:v>3.7449300000000001</c:v>
                </c:pt>
                <c:pt idx="98">
                  <c:v>3.74098</c:v>
                </c:pt>
                <c:pt idx="99">
                  <c:v>3.7359499999999999</c:v>
                </c:pt>
                <c:pt idx="100">
                  <c:v>3.7248900000000003</c:v>
                </c:pt>
                <c:pt idx="101">
                  <c:v>3.7141800000000003</c:v>
                </c:pt>
                <c:pt idx="102">
                  <c:v>3.7008799999999997</c:v>
                </c:pt>
                <c:pt idx="103">
                  <c:v>3.6830099999999999</c:v>
                </c:pt>
                <c:pt idx="104">
                  <c:v>3.6584299999999996</c:v>
                </c:pt>
                <c:pt idx="105">
                  <c:v>3.6291600000000002</c:v>
                </c:pt>
                <c:pt idx="106">
                  <c:v>3.5949</c:v>
                </c:pt>
                <c:pt idx="107">
                  <c:v>3.5596800000000002</c:v>
                </c:pt>
                <c:pt idx="108">
                  <c:v>3.5224000000000002</c:v>
                </c:pt>
                <c:pt idx="109">
                  <c:v>3.4853899999999998</c:v>
                </c:pt>
                <c:pt idx="110">
                  <c:v>3.4468900000000002</c:v>
                </c:pt>
                <c:pt idx="111">
                  <c:v>3.4005600000000005</c:v>
                </c:pt>
                <c:pt idx="112">
                  <c:v>3.3444500000000001</c:v>
                </c:pt>
                <c:pt idx="113">
                  <c:v>3.2905600000000002</c:v>
                </c:pt>
                <c:pt idx="114">
                  <c:v>3.24085</c:v>
                </c:pt>
                <c:pt idx="115">
                  <c:v>3.1957100000000001</c:v>
                </c:pt>
                <c:pt idx="116">
                  <c:v>3.1538599999999999</c:v>
                </c:pt>
                <c:pt idx="117">
                  <c:v>3.1180500000000002</c:v>
                </c:pt>
                <c:pt idx="118">
                  <c:v>3.0904700000000003</c:v>
                </c:pt>
                <c:pt idx="119">
                  <c:v>3.07037</c:v>
                </c:pt>
                <c:pt idx="120">
                  <c:v>3.0531000000000001</c:v>
                </c:pt>
                <c:pt idx="121">
                  <c:v>3.0389300000000001</c:v>
                </c:pt>
                <c:pt idx="122">
                  <c:v>3.0284399999999998</c:v>
                </c:pt>
                <c:pt idx="123">
                  <c:v>3.0242499999999999</c:v>
                </c:pt>
                <c:pt idx="124">
                  <c:v>3.0074800000000002</c:v>
                </c:pt>
                <c:pt idx="125">
                  <c:v>2.9926399999999997</c:v>
                </c:pt>
                <c:pt idx="126">
                  <c:v>2.97634</c:v>
                </c:pt>
                <c:pt idx="127">
                  <c:v>2.9635699999999998</c:v>
                </c:pt>
                <c:pt idx="128">
                  <c:v>2.9525000000000001</c:v>
                </c:pt>
                <c:pt idx="129">
                  <c:v>2.9480899999999997</c:v>
                </c:pt>
                <c:pt idx="130">
                  <c:v>2.9470299999999998</c:v>
                </c:pt>
                <c:pt idx="131">
                  <c:v>2.9520499999999998</c:v>
                </c:pt>
                <c:pt idx="132">
                  <c:v>2.9610300000000001</c:v>
                </c:pt>
                <c:pt idx="133">
                  <c:v>2.9736699999999998</c:v>
                </c:pt>
                <c:pt idx="134">
                  <c:v>2.9857200000000002</c:v>
                </c:pt>
                <c:pt idx="135">
                  <c:v>2.99777</c:v>
                </c:pt>
                <c:pt idx="136">
                  <c:v>3.0130600000000003</c:v>
                </c:pt>
                <c:pt idx="137">
                  <c:v>3.03721</c:v>
                </c:pt>
                <c:pt idx="138">
                  <c:v>3.0635499999999998</c:v>
                </c:pt>
                <c:pt idx="139">
                  <c:v>3.0928499999999999</c:v>
                </c:pt>
                <c:pt idx="140">
                  <c:v>3.1275399999999998</c:v>
                </c:pt>
                <c:pt idx="141">
                  <c:v>3.1623000000000001</c:v>
                </c:pt>
                <c:pt idx="142">
                  <c:v>3.1966800000000002</c:v>
                </c:pt>
                <c:pt idx="143">
                  <c:v>3.2249499999999998</c:v>
                </c:pt>
                <c:pt idx="144">
                  <c:v>3.2488600000000001</c:v>
                </c:pt>
                <c:pt idx="145">
                  <c:v>3.2662000000000004</c:v>
                </c:pt>
                <c:pt idx="146">
                  <c:v>3.28762</c:v>
                </c:pt>
                <c:pt idx="147">
                  <c:v>3.3102999999999998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0.40822900000000001</c:v>
                </c:pt>
                <c:pt idx="2">
                  <c:v>0.81201400000000001</c:v>
                </c:pt>
                <c:pt idx="3">
                  <c:v>1.2202599999999999</c:v>
                </c:pt>
                <c:pt idx="4">
                  <c:v>1.6283099999999999</c:v>
                </c:pt>
                <c:pt idx="5">
                  <c:v>2.03708</c:v>
                </c:pt>
                <c:pt idx="6">
                  <c:v>2.4403700000000002</c:v>
                </c:pt>
                <c:pt idx="7">
                  <c:v>2.8452899999999999</c:v>
                </c:pt>
                <c:pt idx="8">
                  <c:v>3.2521499999999999</c:v>
                </c:pt>
                <c:pt idx="9">
                  <c:v>3.66168</c:v>
                </c:pt>
                <c:pt idx="10">
                  <c:v>4.0749300000000002</c:v>
                </c:pt>
                <c:pt idx="11">
                  <c:v>4.4695600000000004</c:v>
                </c:pt>
                <c:pt idx="12">
                  <c:v>4.8776000000000002</c:v>
                </c:pt>
                <c:pt idx="13">
                  <c:v>5.2841199999999997</c:v>
                </c:pt>
                <c:pt idx="14">
                  <c:v>5.6913299999999998</c:v>
                </c:pt>
                <c:pt idx="15">
                  <c:v>6.0982099999999999</c:v>
                </c:pt>
                <c:pt idx="16">
                  <c:v>6.50129</c:v>
                </c:pt>
                <c:pt idx="17">
                  <c:v>6.90726</c:v>
                </c:pt>
                <c:pt idx="18">
                  <c:v>7.3128000000000002</c:v>
                </c:pt>
                <c:pt idx="19">
                  <c:v>7.7235399999999998</c:v>
                </c:pt>
                <c:pt idx="20">
                  <c:v>8.1278299999999994</c:v>
                </c:pt>
                <c:pt idx="21">
                  <c:v>8.5343900000000001</c:v>
                </c:pt>
                <c:pt idx="22">
                  <c:v>8.9396500000000003</c:v>
                </c:pt>
                <c:pt idx="23">
                  <c:v>9.3454499999999996</c:v>
                </c:pt>
                <c:pt idx="24">
                  <c:v>9.7541100000000007</c:v>
                </c:pt>
                <c:pt idx="25">
                  <c:v>10.160600000000001</c:v>
                </c:pt>
                <c:pt idx="26">
                  <c:v>10.567299999999999</c:v>
                </c:pt>
                <c:pt idx="27">
                  <c:v>10.969200000000001</c:v>
                </c:pt>
                <c:pt idx="28">
                  <c:v>11.376300000000001</c:v>
                </c:pt>
                <c:pt idx="29">
                  <c:v>11.7842</c:v>
                </c:pt>
                <c:pt idx="30">
                  <c:v>12.1899</c:v>
                </c:pt>
                <c:pt idx="31">
                  <c:v>12.594900000000001</c:v>
                </c:pt>
                <c:pt idx="32">
                  <c:v>12.999700000000001</c:v>
                </c:pt>
                <c:pt idx="33">
                  <c:v>13.4095</c:v>
                </c:pt>
                <c:pt idx="34">
                  <c:v>13.8133</c:v>
                </c:pt>
                <c:pt idx="35">
                  <c:v>14.220599999999999</c:v>
                </c:pt>
                <c:pt idx="36">
                  <c:v>14.627000000000001</c:v>
                </c:pt>
                <c:pt idx="37">
                  <c:v>15.0336</c:v>
                </c:pt>
                <c:pt idx="38">
                  <c:v>15.4398</c:v>
                </c:pt>
                <c:pt idx="39">
                  <c:v>15.848100000000001</c:v>
                </c:pt>
                <c:pt idx="40">
                  <c:v>16.253699999999998</c:v>
                </c:pt>
                <c:pt idx="41">
                  <c:v>16.659700000000001</c:v>
                </c:pt>
                <c:pt idx="42">
                  <c:v>17.064699999999998</c:v>
                </c:pt>
                <c:pt idx="43">
                  <c:v>17.473099999999999</c:v>
                </c:pt>
                <c:pt idx="44">
                  <c:v>17.876200000000001</c:v>
                </c:pt>
                <c:pt idx="45">
                  <c:v>18.2851</c:v>
                </c:pt>
                <c:pt idx="46">
                  <c:v>18.690799999999999</c:v>
                </c:pt>
                <c:pt idx="47">
                  <c:v>19.097100000000001</c:v>
                </c:pt>
                <c:pt idx="48">
                  <c:v>19.501000000000001</c:v>
                </c:pt>
                <c:pt idx="49">
                  <c:v>19.910699999999999</c:v>
                </c:pt>
                <c:pt idx="50">
                  <c:v>20.317399999999999</c:v>
                </c:pt>
                <c:pt idx="51">
                  <c:v>20.722799999999999</c:v>
                </c:pt>
                <c:pt idx="52">
                  <c:v>21.129899999999999</c:v>
                </c:pt>
                <c:pt idx="53">
                  <c:v>21.5321</c:v>
                </c:pt>
                <c:pt idx="54">
                  <c:v>21.939800000000002</c:v>
                </c:pt>
                <c:pt idx="55">
                  <c:v>22.3462</c:v>
                </c:pt>
                <c:pt idx="56">
                  <c:v>22.753599999999999</c:v>
                </c:pt>
                <c:pt idx="57">
                  <c:v>23.157699999999998</c:v>
                </c:pt>
                <c:pt idx="58">
                  <c:v>23.5639</c:v>
                </c:pt>
                <c:pt idx="59">
                  <c:v>23.970500000000001</c:v>
                </c:pt>
                <c:pt idx="60">
                  <c:v>24.375599999999999</c:v>
                </c:pt>
                <c:pt idx="61">
                  <c:v>24.786000000000001</c:v>
                </c:pt>
                <c:pt idx="62">
                  <c:v>25.190200000000001</c:v>
                </c:pt>
                <c:pt idx="63">
                  <c:v>25.596900000000002</c:v>
                </c:pt>
                <c:pt idx="64">
                  <c:v>26.000699999999998</c:v>
                </c:pt>
                <c:pt idx="65">
                  <c:v>26.4068</c:v>
                </c:pt>
                <c:pt idx="66">
                  <c:v>26.812799999999999</c:v>
                </c:pt>
                <c:pt idx="67">
                  <c:v>27.2197</c:v>
                </c:pt>
                <c:pt idx="68">
                  <c:v>27.63</c:v>
                </c:pt>
                <c:pt idx="69">
                  <c:v>28.034800000000001</c:v>
                </c:pt>
                <c:pt idx="70">
                  <c:v>28.4405</c:v>
                </c:pt>
                <c:pt idx="71">
                  <c:v>28.844999999999999</c:v>
                </c:pt>
                <c:pt idx="72">
                  <c:v>29.2498</c:v>
                </c:pt>
                <c:pt idx="73">
                  <c:v>29.6616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3.6492000000000004</c:v>
                </c:pt>
                <c:pt idx="1">
                  <c:v>3.6370100000000001</c:v>
                </c:pt>
                <c:pt idx="2">
                  <c:v>3.6229699999999996</c:v>
                </c:pt>
                <c:pt idx="3">
                  <c:v>3.6063400000000003</c:v>
                </c:pt>
                <c:pt idx="4">
                  <c:v>3.5856599999999998</c:v>
                </c:pt>
                <c:pt idx="5">
                  <c:v>3.5634199999999998</c:v>
                </c:pt>
                <c:pt idx="6">
                  <c:v>3.5388299999999999</c:v>
                </c:pt>
                <c:pt idx="7">
                  <c:v>3.5118500000000004</c:v>
                </c:pt>
                <c:pt idx="8">
                  <c:v>3.48325</c:v>
                </c:pt>
                <c:pt idx="9">
                  <c:v>3.4548099999999997</c:v>
                </c:pt>
                <c:pt idx="10">
                  <c:v>3.4243399999999999</c:v>
                </c:pt>
                <c:pt idx="11">
                  <c:v>3.3932500000000001</c:v>
                </c:pt>
                <c:pt idx="12">
                  <c:v>3.3593699999999997</c:v>
                </c:pt>
                <c:pt idx="13">
                  <c:v>3.3239700000000001</c:v>
                </c:pt>
                <c:pt idx="14">
                  <c:v>3.2870700000000004</c:v>
                </c:pt>
                <c:pt idx="15">
                  <c:v>3.2485000000000004</c:v>
                </c:pt>
                <c:pt idx="16">
                  <c:v>3.2101299999999999</c:v>
                </c:pt>
                <c:pt idx="17">
                  <c:v>3.1732100000000001</c:v>
                </c:pt>
                <c:pt idx="18">
                  <c:v>3.1376900000000001</c:v>
                </c:pt>
                <c:pt idx="19">
                  <c:v>3.1041499999999997</c:v>
                </c:pt>
                <c:pt idx="20">
                  <c:v>3.0723799999999999</c:v>
                </c:pt>
                <c:pt idx="21">
                  <c:v>3.0399799999999999</c:v>
                </c:pt>
                <c:pt idx="22">
                  <c:v>3.0086400000000002</c:v>
                </c:pt>
                <c:pt idx="23">
                  <c:v>2.9823699999999995</c:v>
                </c:pt>
                <c:pt idx="24">
                  <c:v>2.9618499999999996</c:v>
                </c:pt>
                <c:pt idx="25">
                  <c:v>2.9496000000000002</c:v>
                </c:pt>
                <c:pt idx="26">
                  <c:v>2.94591</c:v>
                </c:pt>
                <c:pt idx="27">
                  <c:v>2.94835</c:v>
                </c:pt>
                <c:pt idx="28">
                  <c:v>2.95573</c:v>
                </c:pt>
                <c:pt idx="29">
                  <c:v>2.96549</c:v>
                </c:pt>
                <c:pt idx="30">
                  <c:v>2.9744100000000002</c:v>
                </c:pt>
                <c:pt idx="31">
                  <c:v>2.9794100000000001</c:v>
                </c:pt>
                <c:pt idx="32">
                  <c:v>2.9852400000000001</c:v>
                </c:pt>
                <c:pt idx="33">
                  <c:v>2.99485</c:v>
                </c:pt>
                <c:pt idx="34">
                  <c:v>3.0103900000000001</c:v>
                </c:pt>
                <c:pt idx="35">
                  <c:v>3.0283600000000002</c:v>
                </c:pt>
                <c:pt idx="36">
                  <c:v>3.0445000000000002</c:v>
                </c:pt>
                <c:pt idx="37">
                  <c:v>3.05985</c:v>
                </c:pt>
                <c:pt idx="38">
                  <c:v>3.0742799999999999</c:v>
                </c:pt>
                <c:pt idx="39">
                  <c:v>3.0875699999999999</c:v>
                </c:pt>
                <c:pt idx="40">
                  <c:v>3.1009599999999997</c:v>
                </c:pt>
                <c:pt idx="41">
                  <c:v>3.1126800000000001</c:v>
                </c:pt>
                <c:pt idx="42">
                  <c:v>3.1235600000000003</c:v>
                </c:pt>
                <c:pt idx="43">
                  <c:v>3.1352000000000002</c:v>
                </c:pt>
                <c:pt idx="44">
                  <c:v>3.1471300000000002</c:v>
                </c:pt>
                <c:pt idx="45">
                  <c:v>3.1585400000000003</c:v>
                </c:pt>
                <c:pt idx="46">
                  <c:v>3.1657899999999999</c:v>
                </c:pt>
                <c:pt idx="47">
                  <c:v>3.1720999999999999</c:v>
                </c:pt>
                <c:pt idx="48">
                  <c:v>3.1763000000000003</c:v>
                </c:pt>
                <c:pt idx="49">
                  <c:v>3.1779700000000002</c:v>
                </c:pt>
                <c:pt idx="50">
                  <c:v>3.1783299999999999</c:v>
                </c:pt>
                <c:pt idx="51">
                  <c:v>3.1730700000000001</c:v>
                </c:pt>
                <c:pt idx="52">
                  <c:v>3.16527</c:v>
                </c:pt>
                <c:pt idx="53">
                  <c:v>3.1580399999999997</c:v>
                </c:pt>
                <c:pt idx="54">
                  <c:v>3.1527899999999995</c:v>
                </c:pt>
                <c:pt idx="55">
                  <c:v>3.1510400000000001</c:v>
                </c:pt>
                <c:pt idx="56">
                  <c:v>3.1533299999999995</c:v>
                </c:pt>
                <c:pt idx="57">
                  <c:v>3.1587800000000001</c:v>
                </c:pt>
                <c:pt idx="58">
                  <c:v>3.1630599999999998</c:v>
                </c:pt>
                <c:pt idx="59">
                  <c:v>3.1635999999999997</c:v>
                </c:pt>
                <c:pt idx="60">
                  <c:v>3.1630399999999996</c:v>
                </c:pt>
                <c:pt idx="61">
                  <c:v>3.1650099999999997</c:v>
                </c:pt>
                <c:pt idx="62">
                  <c:v>3.1656400000000002</c:v>
                </c:pt>
                <c:pt idx="63">
                  <c:v>3.1753399999999998</c:v>
                </c:pt>
                <c:pt idx="64">
                  <c:v>3.1791100000000001</c:v>
                </c:pt>
                <c:pt idx="65">
                  <c:v>3.1844099999999997</c:v>
                </c:pt>
                <c:pt idx="66">
                  <c:v>3.1867299999999998</c:v>
                </c:pt>
                <c:pt idx="67">
                  <c:v>3.1925500000000002</c:v>
                </c:pt>
                <c:pt idx="68">
                  <c:v>3.2023700000000002</c:v>
                </c:pt>
                <c:pt idx="69">
                  <c:v>3.2119</c:v>
                </c:pt>
                <c:pt idx="70">
                  <c:v>3.2229400000000004</c:v>
                </c:pt>
                <c:pt idx="71">
                  <c:v>3.2422299999999997</c:v>
                </c:pt>
                <c:pt idx="72">
                  <c:v>3.2552300000000001</c:v>
                </c:pt>
                <c:pt idx="73">
                  <c:v>3.27901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29.6616</c:v>
                </c:pt>
                <c:pt idx="1">
                  <c:v>30.067599999999999</c:v>
                </c:pt>
                <c:pt idx="2">
                  <c:v>30.5533</c:v>
                </c:pt>
                <c:pt idx="3">
                  <c:v>30.940100000000001</c:v>
                </c:pt>
                <c:pt idx="4">
                  <c:v>31.336500000000001</c:v>
                </c:pt>
                <c:pt idx="5">
                  <c:v>31.736899999999999</c:v>
                </c:pt>
                <c:pt idx="6">
                  <c:v>32.142899999999997</c:v>
                </c:pt>
                <c:pt idx="7">
                  <c:v>32.546900000000001</c:v>
                </c:pt>
                <c:pt idx="8">
                  <c:v>32.958100000000002</c:v>
                </c:pt>
                <c:pt idx="9">
                  <c:v>33.3643</c:v>
                </c:pt>
                <c:pt idx="10">
                  <c:v>33.770699999999998</c:v>
                </c:pt>
                <c:pt idx="11">
                  <c:v>34.173200000000001</c:v>
                </c:pt>
                <c:pt idx="12">
                  <c:v>34.585299999999997</c:v>
                </c:pt>
                <c:pt idx="13">
                  <c:v>34.988100000000003</c:v>
                </c:pt>
                <c:pt idx="14">
                  <c:v>35.392899999999997</c:v>
                </c:pt>
                <c:pt idx="15">
                  <c:v>35.7988</c:v>
                </c:pt>
                <c:pt idx="16">
                  <c:v>36.2072</c:v>
                </c:pt>
                <c:pt idx="17">
                  <c:v>36.614100000000001</c:v>
                </c:pt>
                <c:pt idx="18">
                  <c:v>37.020000000000003</c:v>
                </c:pt>
                <c:pt idx="19">
                  <c:v>37.425199999999997</c:v>
                </c:pt>
                <c:pt idx="20">
                  <c:v>37.831899999999997</c:v>
                </c:pt>
                <c:pt idx="21">
                  <c:v>38.235500000000002</c:v>
                </c:pt>
                <c:pt idx="22">
                  <c:v>38.642499999999998</c:v>
                </c:pt>
                <c:pt idx="23">
                  <c:v>39.049500000000002</c:v>
                </c:pt>
                <c:pt idx="24">
                  <c:v>39.457799999999999</c:v>
                </c:pt>
                <c:pt idx="25">
                  <c:v>39.868499999999997</c:v>
                </c:pt>
                <c:pt idx="26">
                  <c:v>40.267800000000001</c:v>
                </c:pt>
                <c:pt idx="27">
                  <c:v>40.6736</c:v>
                </c:pt>
                <c:pt idx="28">
                  <c:v>41.079900000000002</c:v>
                </c:pt>
                <c:pt idx="29">
                  <c:v>41.491500000000002</c:v>
                </c:pt>
                <c:pt idx="30">
                  <c:v>41.896799999999999</c:v>
                </c:pt>
                <c:pt idx="31">
                  <c:v>42.298999999999999</c:v>
                </c:pt>
                <c:pt idx="32">
                  <c:v>42.704999999999998</c:v>
                </c:pt>
                <c:pt idx="33">
                  <c:v>43.116</c:v>
                </c:pt>
                <c:pt idx="34">
                  <c:v>43.521700000000003</c:v>
                </c:pt>
                <c:pt idx="35">
                  <c:v>43.928400000000003</c:v>
                </c:pt>
                <c:pt idx="36">
                  <c:v>44.329700000000003</c:v>
                </c:pt>
                <c:pt idx="37">
                  <c:v>44.736800000000002</c:v>
                </c:pt>
                <c:pt idx="38">
                  <c:v>45.141599999999997</c:v>
                </c:pt>
                <c:pt idx="39">
                  <c:v>45.549399999999999</c:v>
                </c:pt>
                <c:pt idx="40">
                  <c:v>45.957999999999998</c:v>
                </c:pt>
                <c:pt idx="41">
                  <c:v>46.360900000000001</c:v>
                </c:pt>
                <c:pt idx="42">
                  <c:v>46.766100000000002</c:v>
                </c:pt>
                <c:pt idx="43">
                  <c:v>47.176499999999997</c:v>
                </c:pt>
                <c:pt idx="44">
                  <c:v>47.584000000000003</c:v>
                </c:pt>
                <c:pt idx="45">
                  <c:v>47.9893</c:v>
                </c:pt>
                <c:pt idx="46">
                  <c:v>48.392299999999999</c:v>
                </c:pt>
                <c:pt idx="47">
                  <c:v>48.798400000000001</c:v>
                </c:pt>
                <c:pt idx="48">
                  <c:v>49.206600000000002</c:v>
                </c:pt>
                <c:pt idx="49">
                  <c:v>49.613</c:v>
                </c:pt>
                <c:pt idx="50">
                  <c:v>50.018700000000003</c:v>
                </c:pt>
                <c:pt idx="51">
                  <c:v>50.4255</c:v>
                </c:pt>
                <c:pt idx="52">
                  <c:v>50.832599999999999</c:v>
                </c:pt>
                <c:pt idx="53">
                  <c:v>51.241799999999998</c:v>
                </c:pt>
                <c:pt idx="54">
                  <c:v>51.639600000000002</c:v>
                </c:pt>
                <c:pt idx="55">
                  <c:v>52.047800000000002</c:v>
                </c:pt>
                <c:pt idx="56">
                  <c:v>52.458799999999997</c:v>
                </c:pt>
                <c:pt idx="57">
                  <c:v>52.863900000000001</c:v>
                </c:pt>
                <c:pt idx="58">
                  <c:v>53.268700000000003</c:v>
                </c:pt>
                <c:pt idx="59">
                  <c:v>53.675400000000003</c:v>
                </c:pt>
                <c:pt idx="60">
                  <c:v>54.078200000000002</c:v>
                </c:pt>
                <c:pt idx="61">
                  <c:v>54.488199999999999</c:v>
                </c:pt>
                <c:pt idx="62">
                  <c:v>54.893599999999999</c:v>
                </c:pt>
                <c:pt idx="63">
                  <c:v>55.298900000000003</c:v>
                </c:pt>
                <c:pt idx="64">
                  <c:v>55.704000000000001</c:v>
                </c:pt>
                <c:pt idx="65">
                  <c:v>56.109000000000002</c:v>
                </c:pt>
                <c:pt idx="66">
                  <c:v>56.517299999999999</c:v>
                </c:pt>
                <c:pt idx="67">
                  <c:v>56.929900000000004</c:v>
                </c:pt>
                <c:pt idx="68">
                  <c:v>57.333599999999997</c:v>
                </c:pt>
                <c:pt idx="69">
                  <c:v>57.737000000000002</c:v>
                </c:pt>
                <c:pt idx="70">
                  <c:v>58.142499999999998</c:v>
                </c:pt>
                <c:pt idx="71">
                  <c:v>58.555</c:v>
                </c:pt>
                <c:pt idx="72">
                  <c:v>58.962800000000001</c:v>
                </c:pt>
                <c:pt idx="73">
                  <c:v>59.366999999999997</c:v>
                </c:pt>
                <c:pt idx="74">
                  <c:v>59.768700000000003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3.27901</c:v>
                </c:pt>
                <c:pt idx="1">
                  <c:v>3.2973400000000002</c:v>
                </c:pt>
                <c:pt idx="2">
                  <c:v>3.3202400000000001</c:v>
                </c:pt>
                <c:pt idx="3">
                  <c:v>3.3426899999999997</c:v>
                </c:pt>
                <c:pt idx="4">
                  <c:v>3.3637800000000002</c:v>
                </c:pt>
                <c:pt idx="5">
                  <c:v>3.3869600000000002</c:v>
                </c:pt>
                <c:pt idx="6">
                  <c:v>3.4114499999999999</c:v>
                </c:pt>
                <c:pt idx="7">
                  <c:v>3.4361100000000002</c:v>
                </c:pt>
                <c:pt idx="8">
                  <c:v>3.4604400000000002</c:v>
                </c:pt>
                <c:pt idx="9">
                  <c:v>3.4822100000000002</c:v>
                </c:pt>
                <c:pt idx="10">
                  <c:v>3.5044900000000001</c:v>
                </c:pt>
                <c:pt idx="11">
                  <c:v>3.5272600000000001</c:v>
                </c:pt>
                <c:pt idx="12">
                  <c:v>3.5513299999999997</c:v>
                </c:pt>
                <c:pt idx="13">
                  <c:v>3.5810300000000002</c:v>
                </c:pt>
                <c:pt idx="14">
                  <c:v>3.6126399999999999</c:v>
                </c:pt>
                <c:pt idx="15">
                  <c:v>3.6410199999999997</c:v>
                </c:pt>
                <c:pt idx="16">
                  <c:v>3.6668699999999999</c:v>
                </c:pt>
                <c:pt idx="17">
                  <c:v>3.6867800000000002</c:v>
                </c:pt>
                <c:pt idx="18">
                  <c:v>3.7059100000000003</c:v>
                </c:pt>
                <c:pt idx="19">
                  <c:v>3.7213800000000004</c:v>
                </c:pt>
                <c:pt idx="20">
                  <c:v>3.7334299999999998</c:v>
                </c:pt>
                <c:pt idx="21">
                  <c:v>3.7404100000000002</c:v>
                </c:pt>
                <c:pt idx="22">
                  <c:v>3.7461000000000002</c:v>
                </c:pt>
                <c:pt idx="23">
                  <c:v>3.7458100000000001</c:v>
                </c:pt>
                <c:pt idx="24">
                  <c:v>3.7449300000000001</c:v>
                </c:pt>
                <c:pt idx="25">
                  <c:v>3.74098</c:v>
                </c:pt>
                <c:pt idx="26">
                  <c:v>3.7359499999999999</c:v>
                </c:pt>
                <c:pt idx="27">
                  <c:v>3.7248900000000003</c:v>
                </c:pt>
                <c:pt idx="28">
                  <c:v>3.7141800000000003</c:v>
                </c:pt>
                <c:pt idx="29">
                  <c:v>3.7008799999999997</c:v>
                </c:pt>
                <c:pt idx="30">
                  <c:v>3.6830099999999999</c:v>
                </c:pt>
                <c:pt idx="31">
                  <c:v>3.6584299999999996</c:v>
                </c:pt>
                <c:pt idx="32">
                  <c:v>3.6291600000000002</c:v>
                </c:pt>
                <c:pt idx="33">
                  <c:v>3.5949</c:v>
                </c:pt>
                <c:pt idx="34">
                  <c:v>3.5596800000000002</c:v>
                </c:pt>
                <c:pt idx="35">
                  <c:v>3.5224000000000002</c:v>
                </c:pt>
                <c:pt idx="36">
                  <c:v>3.4853899999999998</c:v>
                </c:pt>
                <c:pt idx="37">
                  <c:v>3.4468900000000002</c:v>
                </c:pt>
                <c:pt idx="38">
                  <c:v>3.4005600000000005</c:v>
                </c:pt>
                <c:pt idx="39">
                  <c:v>3.3444500000000001</c:v>
                </c:pt>
                <c:pt idx="40">
                  <c:v>3.2905600000000002</c:v>
                </c:pt>
                <c:pt idx="41">
                  <c:v>3.24085</c:v>
                </c:pt>
                <c:pt idx="42">
                  <c:v>3.1957100000000001</c:v>
                </c:pt>
                <c:pt idx="43">
                  <c:v>3.1538599999999999</c:v>
                </c:pt>
                <c:pt idx="44">
                  <c:v>3.1180500000000002</c:v>
                </c:pt>
                <c:pt idx="45">
                  <c:v>3.0904700000000003</c:v>
                </c:pt>
                <c:pt idx="46">
                  <c:v>3.07037</c:v>
                </c:pt>
                <c:pt idx="47">
                  <c:v>3.0531000000000001</c:v>
                </c:pt>
                <c:pt idx="48">
                  <c:v>3.0389300000000001</c:v>
                </c:pt>
                <c:pt idx="49">
                  <c:v>3.0284399999999998</c:v>
                </c:pt>
                <c:pt idx="50">
                  <c:v>3.0242499999999999</c:v>
                </c:pt>
                <c:pt idx="51">
                  <c:v>3.0074800000000002</c:v>
                </c:pt>
                <c:pt idx="52">
                  <c:v>2.9926399999999997</c:v>
                </c:pt>
                <c:pt idx="53">
                  <c:v>2.97634</c:v>
                </c:pt>
                <c:pt idx="54">
                  <c:v>2.9635699999999998</c:v>
                </c:pt>
                <c:pt idx="55">
                  <c:v>2.9525000000000001</c:v>
                </c:pt>
                <c:pt idx="56">
                  <c:v>2.9480899999999997</c:v>
                </c:pt>
                <c:pt idx="57">
                  <c:v>2.9470299999999998</c:v>
                </c:pt>
                <c:pt idx="58">
                  <c:v>2.9520499999999998</c:v>
                </c:pt>
                <c:pt idx="59">
                  <c:v>2.9610300000000001</c:v>
                </c:pt>
                <c:pt idx="60">
                  <c:v>2.9736699999999998</c:v>
                </c:pt>
                <c:pt idx="61">
                  <c:v>2.9857200000000002</c:v>
                </c:pt>
                <c:pt idx="62">
                  <c:v>2.99777</c:v>
                </c:pt>
                <c:pt idx="63">
                  <c:v>3.0130600000000003</c:v>
                </c:pt>
                <c:pt idx="64">
                  <c:v>3.03721</c:v>
                </c:pt>
                <c:pt idx="65">
                  <c:v>3.0635499999999998</c:v>
                </c:pt>
                <c:pt idx="66">
                  <c:v>3.0928499999999999</c:v>
                </c:pt>
                <c:pt idx="67">
                  <c:v>3.1275399999999998</c:v>
                </c:pt>
                <c:pt idx="68">
                  <c:v>3.1623000000000001</c:v>
                </c:pt>
                <c:pt idx="69">
                  <c:v>3.1966800000000002</c:v>
                </c:pt>
                <c:pt idx="70">
                  <c:v>3.2249499999999998</c:v>
                </c:pt>
                <c:pt idx="71">
                  <c:v>3.2488600000000001</c:v>
                </c:pt>
                <c:pt idx="72">
                  <c:v>3.2662000000000004</c:v>
                </c:pt>
                <c:pt idx="73">
                  <c:v>3.28762</c:v>
                </c:pt>
                <c:pt idx="74">
                  <c:v>3.3102999999999998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14.942175000000001</c:v>
                </c:pt>
                <c:pt idx="1">
                  <c:v>44.826525000000004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3.1932058108108095</c:v>
                </c:pt>
                <c:pt idx="1">
                  <c:v>3.3425129729729717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0.40822900000000001</c:v>
                </c:pt>
                <c:pt idx="2">
                  <c:v>0.81201400000000001</c:v>
                </c:pt>
                <c:pt idx="3">
                  <c:v>1.2202599999999999</c:v>
                </c:pt>
                <c:pt idx="4">
                  <c:v>1.6283099999999999</c:v>
                </c:pt>
                <c:pt idx="5">
                  <c:v>2.03708</c:v>
                </c:pt>
                <c:pt idx="6">
                  <c:v>2.4403700000000002</c:v>
                </c:pt>
                <c:pt idx="7">
                  <c:v>2.8452899999999999</c:v>
                </c:pt>
                <c:pt idx="8">
                  <c:v>3.2521499999999999</c:v>
                </c:pt>
                <c:pt idx="9">
                  <c:v>3.66168</c:v>
                </c:pt>
                <c:pt idx="10">
                  <c:v>4.0749300000000002</c:v>
                </c:pt>
                <c:pt idx="11">
                  <c:v>4.4695600000000004</c:v>
                </c:pt>
                <c:pt idx="12">
                  <c:v>4.8776000000000002</c:v>
                </c:pt>
                <c:pt idx="13">
                  <c:v>5.2841199999999997</c:v>
                </c:pt>
                <c:pt idx="14">
                  <c:v>5.6913299999999998</c:v>
                </c:pt>
                <c:pt idx="15">
                  <c:v>6.0982099999999999</c:v>
                </c:pt>
                <c:pt idx="16">
                  <c:v>6.50129</c:v>
                </c:pt>
                <c:pt idx="17">
                  <c:v>6.90726</c:v>
                </c:pt>
                <c:pt idx="18">
                  <c:v>7.3128000000000002</c:v>
                </c:pt>
                <c:pt idx="19">
                  <c:v>7.7235399999999998</c:v>
                </c:pt>
                <c:pt idx="20">
                  <c:v>8.1278299999999994</c:v>
                </c:pt>
                <c:pt idx="21">
                  <c:v>8.5343900000000001</c:v>
                </c:pt>
                <c:pt idx="22">
                  <c:v>8.9396500000000003</c:v>
                </c:pt>
                <c:pt idx="23">
                  <c:v>9.3454499999999996</c:v>
                </c:pt>
                <c:pt idx="24">
                  <c:v>9.7541100000000007</c:v>
                </c:pt>
                <c:pt idx="25">
                  <c:v>10.160600000000001</c:v>
                </c:pt>
                <c:pt idx="26">
                  <c:v>10.567299999999999</c:v>
                </c:pt>
                <c:pt idx="27">
                  <c:v>10.969200000000001</c:v>
                </c:pt>
                <c:pt idx="28">
                  <c:v>11.376300000000001</c:v>
                </c:pt>
                <c:pt idx="29">
                  <c:v>11.7842</c:v>
                </c:pt>
                <c:pt idx="30">
                  <c:v>12.1899</c:v>
                </c:pt>
                <c:pt idx="31">
                  <c:v>12.594900000000001</c:v>
                </c:pt>
                <c:pt idx="32">
                  <c:v>12.999700000000001</c:v>
                </c:pt>
                <c:pt idx="33">
                  <c:v>13.4095</c:v>
                </c:pt>
                <c:pt idx="34">
                  <c:v>13.8133</c:v>
                </c:pt>
                <c:pt idx="35">
                  <c:v>14.220599999999999</c:v>
                </c:pt>
                <c:pt idx="36">
                  <c:v>14.627000000000001</c:v>
                </c:pt>
                <c:pt idx="37">
                  <c:v>15.0336</c:v>
                </c:pt>
                <c:pt idx="38">
                  <c:v>15.4398</c:v>
                </c:pt>
                <c:pt idx="39">
                  <c:v>15.848100000000001</c:v>
                </c:pt>
                <c:pt idx="40">
                  <c:v>16.253699999999998</c:v>
                </c:pt>
                <c:pt idx="41">
                  <c:v>16.659700000000001</c:v>
                </c:pt>
                <c:pt idx="42">
                  <c:v>17.064699999999998</c:v>
                </c:pt>
                <c:pt idx="43">
                  <c:v>17.473099999999999</c:v>
                </c:pt>
                <c:pt idx="44">
                  <c:v>17.876200000000001</c:v>
                </c:pt>
                <c:pt idx="45">
                  <c:v>18.2851</c:v>
                </c:pt>
                <c:pt idx="46">
                  <c:v>18.690799999999999</c:v>
                </c:pt>
                <c:pt idx="47">
                  <c:v>19.097100000000001</c:v>
                </c:pt>
                <c:pt idx="48">
                  <c:v>19.501000000000001</c:v>
                </c:pt>
                <c:pt idx="49">
                  <c:v>19.910699999999999</c:v>
                </c:pt>
                <c:pt idx="50">
                  <c:v>20.317399999999999</c:v>
                </c:pt>
                <c:pt idx="51">
                  <c:v>20.722799999999999</c:v>
                </c:pt>
                <c:pt idx="52">
                  <c:v>21.129899999999999</c:v>
                </c:pt>
                <c:pt idx="53">
                  <c:v>21.5321</c:v>
                </c:pt>
                <c:pt idx="54">
                  <c:v>21.939800000000002</c:v>
                </c:pt>
                <c:pt idx="55">
                  <c:v>22.3462</c:v>
                </c:pt>
                <c:pt idx="56">
                  <c:v>22.753599999999999</c:v>
                </c:pt>
                <c:pt idx="57">
                  <c:v>23.157699999999998</c:v>
                </c:pt>
                <c:pt idx="58">
                  <c:v>23.5639</c:v>
                </c:pt>
                <c:pt idx="59">
                  <c:v>23.970500000000001</c:v>
                </c:pt>
                <c:pt idx="60">
                  <c:v>24.375599999999999</c:v>
                </c:pt>
                <c:pt idx="61">
                  <c:v>24.786000000000001</c:v>
                </c:pt>
                <c:pt idx="62">
                  <c:v>25.190200000000001</c:v>
                </c:pt>
                <c:pt idx="63">
                  <c:v>25.596900000000002</c:v>
                </c:pt>
                <c:pt idx="64">
                  <c:v>26.000699999999998</c:v>
                </c:pt>
                <c:pt idx="65">
                  <c:v>26.4068</c:v>
                </c:pt>
                <c:pt idx="66">
                  <c:v>26.812799999999999</c:v>
                </c:pt>
                <c:pt idx="67">
                  <c:v>27.2197</c:v>
                </c:pt>
                <c:pt idx="68">
                  <c:v>27.63</c:v>
                </c:pt>
                <c:pt idx="69">
                  <c:v>28.034800000000001</c:v>
                </c:pt>
                <c:pt idx="70">
                  <c:v>28.4405</c:v>
                </c:pt>
                <c:pt idx="71">
                  <c:v>28.844999999999999</c:v>
                </c:pt>
                <c:pt idx="72">
                  <c:v>29.2498</c:v>
                </c:pt>
                <c:pt idx="73">
                  <c:v>29.6616</c:v>
                </c:pt>
                <c:pt idx="74">
                  <c:v>30.067599999999999</c:v>
                </c:pt>
                <c:pt idx="75">
                  <c:v>30.5533</c:v>
                </c:pt>
                <c:pt idx="76">
                  <c:v>30.940100000000001</c:v>
                </c:pt>
                <c:pt idx="77">
                  <c:v>31.336500000000001</c:v>
                </c:pt>
                <c:pt idx="78">
                  <c:v>31.736899999999999</c:v>
                </c:pt>
                <c:pt idx="79">
                  <c:v>32.142899999999997</c:v>
                </c:pt>
                <c:pt idx="80">
                  <c:v>32.546900000000001</c:v>
                </c:pt>
                <c:pt idx="81">
                  <c:v>32.958100000000002</c:v>
                </c:pt>
                <c:pt idx="82">
                  <c:v>33.3643</c:v>
                </c:pt>
                <c:pt idx="83">
                  <c:v>33.770699999999998</c:v>
                </c:pt>
                <c:pt idx="84">
                  <c:v>34.173200000000001</c:v>
                </c:pt>
                <c:pt idx="85">
                  <c:v>34.585299999999997</c:v>
                </c:pt>
                <c:pt idx="86">
                  <c:v>34.988100000000003</c:v>
                </c:pt>
                <c:pt idx="87">
                  <c:v>35.392899999999997</c:v>
                </c:pt>
                <c:pt idx="88">
                  <c:v>35.7988</c:v>
                </c:pt>
                <c:pt idx="89">
                  <c:v>36.2072</c:v>
                </c:pt>
                <c:pt idx="90">
                  <c:v>36.614100000000001</c:v>
                </c:pt>
                <c:pt idx="91">
                  <c:v>37.020000000000003</c:v>
                </c:pt>
                <c:pt idx="92">
                  <c:v>37.425199999999997</c:v>
                </c:pt>
                <c:pt idx="93">
                  <c:v>37.831899999999997</c:v>
                </c:pt>
                <c:pt idx="94">
                  <c:v>38.235500000000002</c:v>
                </c:pt>
                <c:pt idx="95">
                  <c:v>38.642499999999998</c:v>
                </c:pt>
                <c:pt idx="96">
                  <c:v>39.049500000000002</c:v>
                </c:pt>
                <c:pt idx="97">
                  <c:v>39.457799999999999</c:v>
                </c:pt>
                <c:pt idx="98">
                  <c:v>39.868499999999997</c:v>
                </c:pt>
                <c:pt idx="99">
                  <c:v>40.267800000000001</c:v>
                </c:pt>
                <c:pt idx="100">
                  <c:v>40.6736</c:v>
                </c:pt>
                <c:pt idx="101">
                  <c:v>41.079900000000002</c:v>
                </c:pt>
                <c:pt idx="102">
                  <c:v>41.491500000000002</c:v>
                </c:pt>
                <c:pt idx="103">
                  <c:v>41.896799999999999</c:v>
                </c:pt>
                <c:pt idx="104">
                  <c:v>42.298999999999999</c:v>
                </c:pt>
                <c:pt idx="105">
                  <c:v>42.704999999999998</c:v>
                </c:pt>
                <c:pt idx="106">
                  <c:v>43.116</c:v>
                </c:pt>
                <c:pt idx="107">
                  <c:v>43.521700000000003</c:v>
                </c:pt>
                <c:pt idx="108">
                  <c:v>43.928400000000003</c:v>
                </c:pt>
                <c:pt idx="109">
                  <c:v>44.329700000000003</c:v>
                </c:pt>
                <c:pt idx="110">
                  <c:v>44.736800000000002</c:v>
                </c:pt>
                <c:pt idx="111">
                  <c:v>45.141599999999997</c:v>
                </c:pt>
                <c:pt idx="112">
                  <c:v>45.549399999999999</c:v>
                </c:pt>
                <c:pt idx="113">
                  <c:v>45.957999999999998</c:v>
                </c:pt>
                <c:pt idx="114">
                  <c:v>46.360900000000001</c:v>
                </c:pt>
                <c:pt idx="115">
                  <c:v>46.766100000000002</c:v>
                </c:pt>
                <c:pt idx="116">
                  <c:v>47.176499999999997</c:v>
                </c:pt>
                <c:pt idx="117">
                  <c:v>47.584000000000003</c:v>
                </c:pt>
                <c:pt idx="118">
                  <c:v>47.9893</c:v>
                </c:pt>
                <c:pt idx="119">
                  <c:v>48.392299999999999</c:v>
                </c:pt>
                <c:pt idx="120">
                  <c:v>48.798400000000001</c:v>
                </c:pt>
                <c:pt idx="121">
                  <c:v>49.206600000000002</c:v>
                </c:pt>
                <c:pt idx="122">
                  <c:v>49.613</c:v>
                </c:pt>
                <c:pt idx="123">
                  <c:v>50.018700000000003</c:v>
                </c:pt>
                <c:pt idx="124">
                  <c:v>50.4255</c:v>
                </c:pt>
                <c:pt idx="125">
                  <c:v>50.832599999999999</c:v>
                </c:pt>
                <c:pt idx="126">
                  <c:v>51.241799999999998</c:v>
                </c:pt>
                <c:pt idx="127">
                  <c:v>51.639600000000002</c:v>
                </c:pt>
                <c:pt idx="128">
                  <c:v>52.047800000000002</c:v>
                </c:pt>
                <c:pt idx="129">
                  <c:v>52.458799999999997</c:v>
                </c:pt>
                <c:pt idx="130">
                  <c:v>52.863900000000001</c:v>
                </c:pt>
                <c:pt idx="131">
                  <c:v>53.268700000000003</c:v>
                </c:pt>
                <c:pt idx="132">
                  <c:v>53.675400000000003</c:v>
                </c:pt>
                <c:pt idx="133">
                  <c:v>54.078200000000002</c:v>
                </c:pt>
                <c:pt idx="134">
                  <c:v>54.488199999999999</c:v>
                </c:pt>
                <c:pt idx="135">
                  <c:v>54.893599999999999</c:v>
                </c:pt>
                <c:pt idx="136">
                  <c:v>55.298900000000003</c:v>
                </c:pt>
                <c:pt idx="137">
                  <c:v>55.704000000000001</c:v>
                </c:pt>
                <c:pt idx="138">
                  <c:v>56.109000000000002</c:v>
                </c:pt>
                <c:pt idx="139">
                  <c:v>56.517299999999999</c:v>
                </c:pt>
                <c:pt idx="140">
                  <c:v>56.929900000000004</c:v>
                </c:pt>
                <c:pt idx="141">
                  <c:v>57.333599999999997</c:v>
                </c:pt>
                <c:pt idx="142">
                  <c:v>57.737000000000002</c:v>
                </c:pt>
                <c:pt idx="143">
                  <c:v>58.142499999999998</c:v>
                </c:pt>
                <c:pt idx="144">
                  <c:v>58.555</c:v>
                </c:pt>
                <c:pt idx="145">
                  <c:v>58.962800000000001</c:v>
                </c:pt>
                <c:pt idx="146">
                  <c:v>59.366999999999997</c:v>
                </c:pt>
                <c:pt idx="147">
                  <c:v>59.768700000000003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37.9009</c:v>
                </c:pt>
                <c:pt idx="1">
                  <c:v>37.236399999999996</c:v>
                </c:pt>
                <c:pt idx="2">
                  <c:v>36.492200000000004</c:v>
                </c:pt>
                <c:pt idx="3">
                  <c:v>35.697099999999999</c:v>
                </c:pt>
                <c:pt idx="4">
                  <c:v>34.862099999999998</c:v>
                </c:pt>
                <c:pt idx="5">
                  <c:v>33.986899999999999</c:v>
                </c:pt>
                <c:pt idx="6">
                  <c:v>33.133200000000002</c:v>
                </c:pt>
                <c:pt idx="7">
                  <c:v>32.297199999999997</c:v>
                </c:pt>
                <c:pt idx="8">
                  <c:v>31.482100000000003</c:v>
                </c:pt>
                <c:pt idx="9">
                  <c:v>30.617899999999999</c:v>
                </c:pt>
                <c:pt idx="10">
                  <c:v>29.782399999999999</c:v>
                </c:pt>
                <c:pt idx="11">
                  <c:v>28.943400000000004</c:v>
                </c:pt>
                <c:pt idx="12">
                  <c:v>28.202899999999996</c:v>
                </c:pt>
                <c:pt idx="13">
                  <c:v>27.536899999999996</c:v>
                </c:pt>
                <c:pt idx="14">
                  <c:v>26.973500000000001</c:v>
                </c:pt>
                <c:pt idx="15">
                  <c:v>26.471499999999999</c:v>
                </c:pt>
                <c:pt idx="16">
                  <c:v>26.015700000000002</c:v>
                </c:pt>
                <c:pt idx="17">
                  <c:v>25.566299999999998</c:v>
                </c:pt>
                <c:pt idx="18">
                  <c:v>25.078299999999999</c:v>
                </c:pt>
                <c:pt idx="19">
                  <c:v>24.589199999999998</c:v>
                </c:pt>
                <c:pt idx="20">
                  <c:v>24.085999999999999</c:v>
                </c:pt>
                <c:pt idx="21">
                  <c:v>23.622599999999998</c:v>
                </c:pt>
                <c:pt idx="22">
                  <c:v>23.120899999999999</c:v>
                </c:pt>
                <c:pt idx="23">
                  <c:v>22.525300000000001</c:v>
                </c:pt>
                <c:pt idx="24">
                  <c:v>21.845100000000002</c:v>
                </c:pt>
                <c:pt idx="25">
                  <c:v>21.039099999999998</c:v>
                </c:pt>
                <c:pt idx="26">
                  <c:v>20.172799999999999</c:v>
                </c:pt>
                <c:pt idx="27">
                  <c:v>19.2303</c:v>
                </c:pt>
                <c:pt idx="28">
                  <c:v>18.1983</c:v>
                </c:pt>
                <c:pt idx="29">
                  <c:v>17.2346</c:v>
                </c:pt>
                <c:pt idx="30">
                  <c:v>16.3127</c:v>
                </c:pt>
                <c:pt idx="31">
                  <c:v>15.559999999999999</c:v>
                </c:pt>
                <c:pt idx="32">
                  <c:v>14.9091</c:v>
                </c:pt>
                <c:pt idx="33">
                  <c:v>14.357700000000001</c:v>
                </c:pt>
                <c:pt idx="34">
                  <c:v>13.936699999999998</c:v>
                </c:pt>
                <c:pt idx="35">
                  <c:v>13.621500000000001</c:v>
                </c:pt>
                <c:pt idx="36">
                  <c:v>13.4232</c:v>
                </c:pt>
                <c:pt idx="37">
                  <c:v>13.261400000000002</c:v>
                </c:pt>
                <c:pt idx="38">
                  <c:v>13.209999999999999</c:v>
                </c:pt>
                <c:pt idx="39">
                  <c:v>13.209599999999998</c:v>
                </c:pt>
                <c:pt idx="40">
                  <c:v>13.230400000000001</c:v>
                </c:pt>
                <c:pt idx="41">
                  <c:v>13.344000000000001</c:v>
                </c:pt>
                <c:pt idx="42">
                  <c:v>13.453399999999998</c:v>
                </c:pt>
                <c:pt idx="43">
                  <c:v>13.627000000000001</c:v>
                </c:pt>
                <c:pt idx="44">
                  <c:v>13.8598</c:v>
                </c:pt>
                <c:pt idx="45">
                  <c:v>14.150099999999998</c:v>
                </c:pt>
                <c:pt idx="46">
                  <c:v>14.427000000000001</c:v>
                </c:pt>
                <c:pt idx="47">
                  <c:v>14.736099999999999</c:v>
                </c:pt>
                <c:pt idx="48">
                  <c:v>15.0939</c:v>
                </c:pt>
                <c:pt idx="49">
                  <c:v>15.478200000000001</c:v>
                </c:pt>
                <c:pt idx="50">
                  <c:v>15.8306</c:v>
                </c:pt>
                <c:pt idx="51">
                  <c:v>16.4663</c:v>
                </c:pt>
                <c:pt idx="52">
                  <c:v>17.123799999999999</c:v>
                </c:pt>
                <c:pt idx="53">
                  <c:v>17.823499999999999</c:v>
                </c:pt>
                <c:pt idx="54">
                  <c:v>18.493499999999997</c:v>
                </c:pt>
                <c:pt idx="55">
                  <c:v>19.170000000000002</c:v>
                </c:pt>
                <c:pt idx="56">
                  <c:v>19.714100000000002</c:v>
                </c:pt>
                <c:pt idx="57">
                  <c:v>20.282299999999999</c:v>
                </c:pt>
                <c:pt idx="58">
                  <c:v>20.797599999999999</c:v>
                </c:pt>
                <c:pt idx="59">
                  <c:v>21.2803</c:v>
                </c:pt>
                <c:pt idx="60">
                  <c:v>21.668900000000001</c:v>
                </c:pt>
                <c:pt idx="61">
                  <c:v>22.121700000000001</c:v>
                </c:pt>
                <c:pt idx="62">
                  <c:v>22.378799999999998</c:v>
                </c:pt>
                <c:pt idx="63">
                  <c:v>22.613199999999999</c:v>
                </c:pt>
                <c:pt idx="64">
                  <c:v>22.822500000000002</c:v>
                </c:pt>
                <c:pt idx="65">
                  <c:v>23.040700000000001</c:v>
                </c:pt>
                <c:pt idx="66">
                  <c:v>23.189499999999999</c:v>
                </c:pt>
                <c:pt idx="67">
                  <c:v>23.403399999999998</c:v>
                </c:pt>
                <c:pt idx="68">
                  <c:v>23.5991</c:v>
                </c:pt>
                <c:pt idx="69">
                  <c:v>23.716000000000001</c:v>
                </c:pt>
                <c:pt idx="70">
                  <c:v>23.869299999999999</c:v>
                </c:pt>
                <c:pt idx="71">
                  <c:v>24.019099999999998</c:v>
                </c:pt>
                <c:pt idx="72">
                  <c:v>24.188000000000002</c:v>
                </c:pt>
                <c:pt idx="73">
                  <c:v>24.496499999999997</c:v>
                </c:pt>
                <c:pt idx="74">
                  <c:v>24.705400000000001</c:v>
                </c:pt>
                <c:pt idx="75">
                  <c:v>24.789899999999999</c:v>
                </c:pt>
                <c:pt idx="76">
                  <c:v>24.932299999999998</c:v>
                </c:pt>
                <c:pt idx="77">
                  <c:v>25.1936</c:v>
                </c:pt>
                <c:pt idx="78">
                  <c:v>25.437700000000003</c:v>
                </c:pt>
                <c:pt idx="79">
                  <c:v>25.607999999999997</c:v>
                </c:pt>
                <c:pt idx="80">
                  <c:v>25.793199999999999</c:v>
                </c:pt>
                <c:pt idx="81">
                  <c:v>25.9923</c:v>
                </c:pt>
                <c:pt idx="82">
                  <c:v>26.166099999999997</c:v>
                </c:pt>
                <c:pt idx="83">
                  <c:v>26.308500000000002</c:v>
                </c:pt>
                <c:pt idx="84">
                  <c:v>26.442900000000002</c:v>
                </c:pt>
                <c:pt idx="85">
                  <c:v>26.5656</c:v>
                </c:pt>
                <c:pt idx="86">
                  <c:v>26.629000000000001</c:v>
                </c:pt>
                <c:pt idx="87">
                  <c:v>26.601000000000003</c:v>
                </c:pt>
                <c:pt idx="88">
                  <c:v>26.685100000000002</c:v>
                </c:pt>
                <c:pt idx="89">
                  <c:v>26.915400000000002</c:v>
                </c:pt>
                <c:pt idx="90">
                  <c:v>27.1797</c:v>
                </c:pt>
                <c:pt idx="91">
                  <c:v>27.422499999999999</c:v>
                </c:pt>
                <c:pt idx="92">
                  <c:v>27.669799999999999</c:v>
                </c:pt>
                <c:pt idx="93">
                  <c:v>27.9405</c:v>
                </c:pt>
                <c:pt idx="94">
                  <c:v>28.171499999999998</c:v>
                </c:pt>
                <c:pt idx="95">
                  <c:v>28.307399999999998</c:v>
                </c:pt>
                <c:pt idx="96">
                  <c:v>28.396900000000002</c:v>
                </c:pt>
                <c:pt idx="97">
                  <c:v>28.446999999999999</c:v>
                </c:pt>
                <c:pt idx="98">
                  <c:v>28.537299999999998</c:v>
                </c:pt>
                <c:pt idx="99">
                  <c:v>28.648099999999999</c:v>
                </c:pt>
                <c:pt idx="100">
                  <c:v>28.701000000000001</c:v>
                </c:pt>
                <c:pt idx="101">
                  <c:v>28.736099999999997</c:v>
                </c:pt>
                <c:pt idx="102">
                  <c:v>28.684799999999999</c:v>
                </c:pt>
                <c:pt idx="103">
                  <c:v>28.587699999999998</c:v>
                </c:pt>
                <c:pt idx="104">
                  <c:v>28.452499999999997</c:v>
                </c:pt>
                <c:pt idx="105">
                  <c:v>28.306799999999999</c:v>
                </c:pt>
                <c:pt idx="106">
                  <c:v>28.072500000000002</c:v>
                </c:pt>
                <c:pt idx="107">
                  <c:v>27.797599999999999</c:v>
                </c:pt>
                <c:pt idx="108">
                  <c:v>27.557700000000001</c:v>
                </c:pt>
                <c:pt idx="109">
                  <c:v>27.380399999999998</c:v>
                </c:pt>
                <c:pt idx="110">
                  <c:v>27.236799999999999</c:v>
                </c:pt>
                <c:pt idx="111">
                  <c:v>27.215600000000002</c:v>
                </c:pt>
                <c:pt idx="112">
                  <c:v>27.446999999999999</c:v>
                </c:pt>
                <c:pt idx="113">
                  <c:v>27.669</c:v>
                </c:pt>
                <c:pt idx="114">
                  <c:v>27.767999999999997</c:v>
                </c:pt>
                <c:pt idx="115">
                  <c:v>27.779300000000003</c:v>
                </c:pt>
                <c:pt idx="116">
                  <c:v>27.871000000000002</c:v>
                </c:pt>
                <c:pt idx="117">
                  <c:v>27.905999999999999</c:v>
                </c:pt>
                <c:pt idx="118">
                  <c:v>27.85</c:v>
                </c:pt>
                <c:pt idx="119">
                  <c:v>27.758300000000002</c:v>
                </c:pt>
                <c:pt idx="120">
                  <c:v>27.723300000000002</c:v>
                </c:pt>
                <c:pt idx="121">
                  <c:v>27.523999999999997</c:v>
                </c:pt>
                <c:pt idx="122">
                  <c:v>27.227499999999999</c:v>
                </c:pt>
                <c:pt idx="123">
                  <c:v>26.858999999999998</c:v>
                </c:pt>
                <c:pt idx="124">
                  <c:v>26.7393</c:v>
                </c:pt>
                <c:pt idx="125">
                  <c:v>26.606000000000002</c:v>
                </c:pt>
                <c:pt idx="126">
                  <c:v>26.4283</c:v>
                </c:pt>
                <c:pt idx="127">
                  <c:v>26.178699999999999</c:v>
                </c:pt>
                <c:pt idx="128">
                  <c:v>25.9451</c:v>
                </c:pt>
                <c:pt idx="129">
                  <c:v>25.685099999999998</c:v>
                </c:pt>
                <c:pt idx="130">
                  <c:v>25.391300000000001</c:v>
                </c:pt>
                <c:pt idx="131">
                  <c:v>25.119799999999998</c:v>
                </c:pt>
                <c:pt idx="132">
                  <c:v>24.8916</c:v>
                </c:pt>
                <c:pt idx="133">
                  <c:v>24.627800000000001</c:v>
                </c:pt>
                <c:pt idx="134">
                  <c:v>24.360100000000003</c:v>
                </c:pt>
                <c:pt idx="135">
                  <c:v>24.1541</c:v>
                </c:pt>
                <c:pt idx="136">
                  <c:v>23.972099999999998</c:v>
                </c:pt>
                <c:pt idx="137">
                  <c:v>23.722799999999999</c:v>
                </c:pt>
                <c:pt idx="138">
                  <c:v>23.508100000000002</c:v>
                </c:pt>
                <c:pt idx="139">
                  <c:v>23.351099999999999</c:v>
                </c:pt>
                <c:pt idx="140">
                  <c:v>23.242599999999999</c:v>
                </c:pt>
                <c:pt idx="141">
                  <c:v>23.059100000000001</c:v>
                </c:pt>
                <c:pt idx="142">
                  <c:v>23.0425</c:v>
                </c:pt>
                <c:pt idx="143">
                  <c:v>22.958400000000001</c:v>
                </c:pt>
                <c:pt idx="144">
                  <c:v>22.767499999999998</c:v>
                </c:pt>
                <c:pt idx="145">
                  <c:v>22.2361</c:v>
                </c:pt>
                <c:pt idx="146">
                  <c:v>22.262799999999999</c:v>
                </c:pt>
                <c:pt idx="147">
                  <c:v>22.915600000000001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0.40822900000000001</c:v>
                </c:pt>
                <c:pt idx="2">
                  <c:v>0.81201400000000001</c:v>
                </c:pt>
                <c:pt idx="3">
                  <c:v>1.2202599999999999</c:v>
                </c:pt>
                <c:pt idx="4">
                  <c:v>1.6283099999999999</c:v>
                </c:pt>
                <c:pt idx="5">
                  <c:v>2.03708</c:v>
                </c:pt>
                <c:pt idx="6">
                  <c:v>2.4403700000000002</c:v>
                </c:pt>
                <c:pt idx="7">
                  <c:v>2.8452899999999999</c:v>
                </c:pt>
                <c:pt idx="8">
                  <c:v>3.2521499999999999</c:v>
                </c:pt>
                <c:pt idx="9">
                  <c:v>3.66168</c:v>
                </c:pt>
                <c:pt idx="10">
                  <c:v>4.0749300000000002</c:v>
                </c:pt>
                <c:pt idx="11">
                  <c:v>4.4695600000000004</c:v>
                </c:pt>
                <c:pt idx="12">
                  <c:v>4.8776000000000002</c:v>
                </c:pt>
                <c:pt idx="13">
                  <c:v>5.2841199999999997</c:v>
                </c:pt>
                <c:pt idx="14">
                  <c:v>5.6913299999999998</c:v>
                </c:pt>
                <c:pt idx="15">
                  <c:v>6.0982099999999999</c:v>
                </c:pt>
                <c:pt idx="16">
                  <c:v>6.50129</c:v>
                </c:pt>
                <c:pt idx="17">
                  <c:v>6.90726</c:v>
                </c:pt>
                <c:pt idx="18">
                  <c:v>7.3128000000000002</c:v>
                </c:pt>
                <c:pt idx="19">
                  <c:v>7.7235399999999998</c:v>
                </c:pt>
                <c:pt idx="20">
                  <c:v>8.1278299999999994</c:v>
                </c:pt>
                <c:pt idx="21">
                  <c:v>8.5343900000000001</c:v>
                </c:pt>
                <c:pt idx="22">
                  <c:v>8.9396500000000003</c:v>
                </c:pt>
                <c:pt idx="23">
                  <c:v>9.3454499999999996</c:v>
                </c:pt>
                <c:pt idx="24">
                  <c:v>9.7541100000000007</c:v>
                </c:pt>
                <c:pt idx="25">
                  <c:v>10.160600000000001</c:v>
                </c:pt>
                <c:pt idx="26">
                  <c:v>10.567299999999999</c:v>
                </c:pt>
                <c:pt idx="27">
                  <c:v>10.969200000000001</c:v>
                </c:pt>
                <c:pt idx="28">
                  <c:v>11.376300000000001</c:v>
                </c:pt>
                <c:pt idx="29">
                  <c:v>11.7842</c:v>
                </c:pt>
                <c:pt idx="30">
                  <c:v>12.1899</c:v>
                </c:pt>
                <c:pt idx="31">
                  <c:v>12.594900000000001</c:v>
                </c:pt>
                <c:pt idx="32">
                  <c:v>12.999700000000001</c:v>
                </c:pt>
                <c:pt idx="33">
                  <c:v>13.4095</c:v>
                </c:pt>
                <c:pt idx="34">
                  <c:v>13.8133</c:v>
                </c:pt>
                <c:pt idx="35">
                  <c:v>14.220599999999999</c:v>
                </c:pt>
                <c:pt idx="36">
                  <c:v>14.627000000000001</c:v>
                </c:pt>
                <c:pt idx="37">
                  <c:v>15.0336</c:v>
                </c:pt>
                <c:pt idx="38">
                  <c:v>15.4398</c:v>
                </c:pt>
                <c:pt idx="39">
                  <c:v>15.848100000000001</c:v>
                </c:pt>
                <c:pt idx="40">
                  <c:v>16.253699999999998</c:v>
                </c:pt>
                <c:pt idx="41">
                  <c:v>16.659700000000001</c:v>
                </c:pt>
                <c:pt idx="42">
                  <c:v>17.064699999999998</c:v>
                </c:pt>
                <c:pt idx="43">
                  <c:v>17.473099999999999</c:v>
                </c:pt>
                <c:pt idx="44">
                  <c:v>17.876200000000001</c:v>
                </c:pt>
                <c:pt idx="45">
                  <c:v>18.2851</c:v>
                </c:pt>
                <c:pt idx="46">
                  <c:v>18.690799999999999</c:v>
                </c:pt>
                <c:pt idx="47">
                  <c:v>19.097100000000001</c:v>
                </c:pt>
                <c:pt idx="48">
                  <c:v>19.501000000000001</c:v>
                </c:pt>
                <c:pt idx="49">
                  <c:v>19.910699999999999</c:v>
                </c:pt>
                <c:pt idx="50">
                  <c:v>20.317399999999999</c:v>
                </c:pt>
                <c:pt idx="51">
                  <c:v>20.722799999999999</c:v>
                </c:pt>
                <c:pt idx="52">
                  <c:v>21.129899999999999</c:v>
                </c:pt>
                <c:pt idx="53">
                  <c:v>21.5321</c:v>
                </c:pt>
                <c:pt idx="54">
                  <c:v>21.939800000000002</c:v>
                </c:pt>
                <c:pt idx="55">
                  <c:v>22.3462</c:v>
                </c:pt>
                <c:pt idx="56">
                  <c:v>22.753599999999999</c:v>
                </c:pt>
                <c:pt idx="57">
                  <c:v>23.157699999999998</c:v>
                </c:pt>
                <c:pt idx="58">
                  <c:v>23.5639</c:v>
                </c:pt>
                <c:pt idx="59">
                  <c:v>23.970500000000001</c:v>
                </c:pt>
                <c:pt idx="60">
                  <c:v>24.375599999999999</c:v>
                </c:pt>
                <c:pt idx="61">
                  <c:v>24.786000000000001</c:v>
                </c:pt>
                <c:pt idx="62">
                  <c:v>25.190200000000001</c:v>
                </c:pt>
                <c:pt idx="63">
                  <c:v>25.596900000000002</c:v>
                </c:pt>
                <c:pt idx="64">
                  <c:v>26.000699999999998</c:v>
                </c:pt>
                <c:pt idx="65">
                  <c:v>26.4068</c:v>
                </c:pt>
                <c:pt idx="66">
                  <c:v>26.812799999999999</c:v>
                </c:pt>
                <c:pt idx="67">
                  <c:v>27.2197</c:v>
                </c:pt>
                <c:pt idx="68">
                  <c:v>27.63</c:v>
                </c:pt>
                <c:pt idx="69">
                  <c:v>28.034800000000001</c:v>
                </c:pt>
                <c:pt idx="70">
                  <c:v>28.4405</c:v>
                </c:pt>
                <c:pt idx="71">
                  <c:v>28.844999999999999</c:v>
                </c:pt>
                <c:pt idx="72">
                  <c:v>29.2498</c:v>
                </c:pt>
                <c:pt idx="73">
                  <c:v>29.6616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37.9009</c:v>
                </c:pt>
                <c:pt idx="1">
                  <c:v>37.236399999999996</c:v>
                </c:pt>
                <c:pt idx="2">
                  <c:v>36.492200000000004</c:v>
                </c:pt>
                <c:pt idx="3">
                  <c:v>35.697099999999999</c:v>
                </c:pt>
                <c:pt idx="4">
                  <c:v>34.862099999999998</c:v>
                </c:pt>
                <c:pt idx="5">
                  <c:v>33.986899999999999</c:v>
                </c:pt>
                <c:pt idx="6">
                  <c:v>33.133200000000002</c:v>
                </c:pt>
                <c:pt idx="7">
                  <c:v>32.297199999999997</c:v>
                </c:pt>
                <c:pt idx="8">
                  <c:v>31.482100000000003</c:v>
                </c:pt>
                <c:pt idx="9">
                  <c:v>30.617899999999999</c:v>
                </c:pt>
                <c:pt idx="10">
                  <c:v>29.782399999999999</c:v>
                </c:pt>
                <c:pt idx="11">
                  <c:v>28.943400000000004</c:v>
                </c:pt>
                <c:pt idx="12">
                  <c:v>28.202899999999996</c:v>
                </c:pt>
                <c:pt idx="13">
                  <c:v>27.536899999999996</c:v>
                </c:pt>
                <c:pt idx="14">
                  <c:v>26.973500000000001</c:v>
                </c:pt>
                <c:pt idx="15">
                  <c:v>26.471499999999999</c:v>
                </c:pt>
                <c:pt idx="16">
                  <c:v>26.015700000000002</c:v>
                </c:pt>
                <c:pt idx="17">
                  <c:v>25.566299999999998</c:v>
                </c:pt>
                <c:pt idx="18">
                  <c:v>25.078299999999999</c:v>
                </c:pt>
                <c:pt idx="19">
                  <c:v>24.589199999999998</c:v>
                </c:pt>
                <c:pt idx="20">
                  <c:v>24.085999999999999</c:v>
                </c:pt>
                <c:pt idx="21">
                  <c:v>23.622599999999998</c:v>
                </c:pt>
                <c:pt idx="22">
                  <c:v>23.120899999999999</c:v>
                </c:pt>
                <c:pt idx="23">
                  <c:v>22.525300000000001</c:v>
                </c:pt>
                <c:pt idx="24">
                  <c:v>21.845100000000002</c:v>
                </c:pt>
                <c:pt idx="25">
                  <c:v>21.039099999999998</c:v>
                </c:pt>
                <c:pt idx="26">
                  <c:v>20.172799999999999</c:v>
                </c:pt>
                <c:pt idx="27">
                  <c:v>19.2303</c:v>
                </c:pt>
                <c:pt idx="28">
                  <c:v>18.1983</c:v>
                </c:pt>
                <c:pt idx="29">
                  <c:v>17.2346</c:v>
                </c:pt>
                <c:pt idx="30">
                  <c:v>16.3127</c:v>
                </c:pt>
                <c:pt idx="31">
                  <c:v>15.559999999999999</c:v>
                </c:pt>
                <c:pt idx="32">
                  <c:v>14.9091</c:v>
                </c:pt>
                <c:pt idx="33">
                  <c:v>14.357700000000001</c:v>
                </c:pt>
                <c:pt idx="34">
                  <c:v>13.936699999999998</c:v>
                </c:pt>
                <c:pt idx="35">
                  <c:v>13.621500000000001</c:v>
                </c:pt>
                <c:pt idx="36">
                  <c:v>13.4232</c:v>
                </c:pt>
                <c:pt idx="37">
                  <c:v>13.261400000000002</c:v>
                </c:pt>
                <c:pt idx="38">
                  <c:v>13.209999999999999</c:v>
                </c:pt>
                <c:pt idx="39">
                  <c:v>13.209599999999998</c:v>
                </c:pt>
                <c:pt idx="40">
                  <c:v>13.230400000000001</c:v>
                </c:pt>
                <c:pt idx="41">
                  <c:v>13.344000000000001</c:v>
                </c:pt>
                <c:pt idx="42">
                  <c:v>13.453399999999998</c:v>
                </c:pt>
                <c:pt idx="43">
                  <c:v>13.627000000000001</c:v>
                </c:pt>
                <c:pt idx="44">
                  <c:v>13.8598</c:v>
                </c:pt>
                <c:pt idx="45">
                  <c:v>14.150099999999998</c:v>
                </c:pt>
                <c:pt idx="46">
                  <c:v>14.427000000000001</c:v>
                </c:pt>
                <c:pt idx="47">
                  <c:v>14.736099999999999</c:v>
                </c:pt>
                <c:pt idx="48">
                  <c:v>15.0939</c:v>
                </c:pt>
                <c:pt idx="49">
                  <c:v>15.478200000000001</c:v>
                </c:pt>
                <c:pt idx="50">
                  <c:v>15.8306</c:v>
                </c:pt>
                <c:pt idx="51">
                  <c:v>16.4663</c:v>
                </c:pt>
                <c:pt idx="52">
                  <c:v>17.123799999999999</c:v>
                </c:pt>
                <c:pt idx="53">
                  <c:v>17.823499999999999</c:v>
                </c:pt>
                <c:pt idx="54">
                  <c:v>18.493499999999997</c:v>
                </c:pt>
                <c:pt idx="55">
                  <c:v>19.170000000000002</c:v>
                </c:pt>
                <c:pt idx="56">
                  <c:v>19.714100000000002</c:v>
                </c:pt>
                <c:pt idx="57">
                  <c:v>20.282299999999999</c:v>
                </c:pt>
                <c:pt idx="58">
                  <c:v>20.797599999999999</c:v>
                </c:pt>
                <c:pt idx="59">
                  <c:v>21.2803</c:v>
                </c:pt>
                <c:pt idx="60">
                  <c:v>21.668900000000001</c:v>
                </c:pt>
                <c:pt idx="61">
                  <c:v>22.121700000000001</c:v>
                </c:pt>
                <c:pt idx="62">
                  <c:v>22.378799999999998</c:v>
                </c:pt>
                <c:pt idx="63">
                  <c:v>22.613199999999999</c:v>
                </c:pt>
                <c:pt idx="64">
                  <c:v>22.822500000000002</c:v>
                </c:pt>
                <c:pt idx="65">
                  <c:v>23.040700000000001</c:v>
                </c:pt>
                <c:pt idx="66">
                  <c:v>23.189499999999999</c:v>
                </c:pt>
                <c:pt idx="67">
                  <c:v>23.403399999999998</c:v>
                </c:pt>
                <c:pt idx="68">
                  <c:v>23.5991</c:v>
                </c:pt>
                <c:pt idx="69">
                  <c:v>23.716000000000001</c:v>
                </c:pt>
                <c:pt idx="70">
                  <c:v>23.869299999999999</c:v>
                </c:pt>
                <c:pt idx="71">
                  <c:v>24.019099999999998</c:v>
                </c:pt>
                <c:pt idx="72">
                  <c:v>24.188000000000002</c:v>
                </c:pt>
                <c:pt idx="73">
                  <c:v>24.496499999999997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29.6616</c:v>
                </c:pt>
                <c:pt idx="1">
                  <c:v>30.067599999999999</c:v>
                </c:pt>
                <c:pt idx="2">
                  <c:v>30.5533</c:v>
                </c:pt>
                <c:pt idx="3">
                  <c:v>30.940100000000001</c:v>
                </c:pt>
                <c:pt idx="4">
                  <c:v>31.336500000000001</c:v>
                </c:pt>
                <c:pt idx="5">
                  <c:v>31.736899999999999</c:v>
                </c:pt>
                <c:pt idx="6">
                  <c:v>32.142899999999997</c:v>
                </c:pt>
                <c:pt idx="7">
                  <c:v>32.546900000000001</c:v>
                </c:pt>
                <c:pt idx="8">
                  <c:v>32.958100000000002</c:v>
                </c:pt>
                <c:pt idx="9">
                  <c:v>33.3643</c:v>
                </c:pt>
                <c:pt idx="10">
                  <c:v>33.770699999999998</c:v>
                </c:pt>
                <c:pt idx="11">
                  <c:v>34.173200000000001</c:v>
                </c:pt>
                <c:pt idx="12">
                  <c:v>34.585299999999997</c:v>
                </c:pt>
                <c:pt idx="13">
                  <c:v>34.988100000000003</c:v>
                </c:pt>
                <c:pt idx="14">
                  <c:v>35.392899999999997</c:v>
                </c:pt>
                <c:pt idx="15">
                  <c:v>35.7988</c:v>
                </c:pt>
                <c:pt idx="16">
                  <c:v>36.2072</c:v>
                </c:pt>
                <c:pt idx="17">
                  <c:v>36.614100000000001</c:v>
                </c:pt>
                <c:pt idx="18">
                  <c:v>37.020000000000003</c:v>
                </c:pt>
                <c:pt idx="19">
                  <c:v>37.425199999999997</c:v>
                </c:pt>
                <c:pt idx="20">
                  <c:v>37.831899999999997</c:v>
                </c:pt>
                <c:pt idx="21">
                  <c:v>38.235500000000002</c:v>
                </c:pt>
                <c:pt idx="22">
                  <c:v>38.642499999999998</c:v>
                </c:pt>
                <c:pt idx="23">
                  <c:v>39.049500000000002</c:v>
                </c:pt>
                <c:pt idx="24">
                  <c:v>39.457799999999999</c:v>
                </c:pt>
                <c:pt idx="25">
                  <c:v>39.868499999999997</c:v>
                </c:pt>
                <c:pt idx="26">
                  <c:v>40.267800000000001</c:v>
                </c:pt>
                <c:pt idx="27">
                  <c:v>40.6736</c:v>
                </c:pt>
                <c:pt idx="28">
                  <c:v>41.079900000000002</c:v>
                </c:pt>
                <c:pt idx="29">
                  <c:v>41.491500000000002</c:v>
                </c:pt>
                <c:pt idx="30">
                  <c:v>41.896799999999999</c:v>
                </c:pt>
                <c:pt idx="31">
                  <c:v>42.298999999999999</c:v>
                </c:pt>
                <c:pt idx="32">
                  <c:v>42.704999999999998</c:v>
                </c:pt>
                <c:pt idx="33">
                  <c:v>43.116</c:v>
                </c:pt>
                <c:pt idx="34">
                  <c:v>43.521700000000003</c:v>
                </c:pt>
                <c:pt idx="35">
                  <c:v>43.928400000000003</c:v>
                </c:pt>
                <c:pt idx="36">
                  <c:v>44.329700000000003</c:v>
                </c:pt>
                <c:pt idx="37">
                  <c:v>44.736800000000002</c:v>
                </c:pt>
                <c:pt idx="38">
                  <c:v>45.141599999999997</c:v>
                </c:pt>
                <c:pt idx="39">
                  <c:v>45.549399999999999</c:v>
                </c:pt>
                <c:pt idx="40">
                  <c:v>45.957999999999998</c:v>
                </c:pt>
                <c:pt idx="41">
                  <c:v>46.360900000000001</c:v>
                </c:pt>
                <c:pt idx="42">
                  <c:v>46.766100000000002</c:v>
                </c:pt>
                <c:pt idx="43">
                  <c:v>47.176499999999997</c:v>
                </c:pt>
                <c:pt idx="44">
                  <c:v>47.584000000000003</c:v>
                </c:pt>
                <c:pt idx="45">
                  <c:v>47.9893</c:v>
                </c:pt>
                <c:pt idx="46">
                  <c:v>48.392299999999999</c:v>
                </c:pt>
                <c:pt idx="47">
                  <c:v>48.798400000000001</c:v>
                </c:pt>
                <c:pt idx="48">
                  <c:v>49.206600000000002</c:v>
                </c:pt>
                <c:pt idx="49">
                  <c:v>49.613</c:v>
                </c:pt>
                <c:pt idx="50">
                  <c:v>50.018700000000003</c:v>
                </c:pt>
                <c:pt idx="51">
                  <c:v>50.4255</c:v>
                </c:pt>
                <c:pt idx="52">
                  <c:v>50.832599999999999</c:v>
                </c:pt>
                <c:pt idx="53">
                  <c:v>51.241799999999998</c:v>
                </c:pt>
                <c:pt idx="54">
                  <c:v>51.639600000000002</c:v>
                </c:pt>
                <c:pt idx="55">
                  <c:v>52.047800000000002</c:v>
                </c:pt>
                <c:pt idx="56">
                  <c:v>52.458799999999997</c:v>
                </c:pt>
                <c:pt idx="57">
                  <c:v>52.863900000000001</c:v>
                </c:pt>
                <c:pt idx="58">
                  <c:v>53.268700000000003</c:v>
                </c:pt>
                <c:pt idx="59">
                  <c:v>53.675400000000003</c:v>
                </c:pt>
                <c:pt idx="60">
                  <c:v>54.078200000000002</c:v>
                </c:pt>
                <c:pt idx="61">
                  <c:v>54.488199999999999</c:v>
                </c:pt>
                <c:pt idx="62">
                  <c:v>54.893599999999999</c:v>
                </c:pt>
                <c:pt idx="63">
                  <c:v>55.298900000000003</c:v>
                </c:pt>
                <c:pt idx="64">
                  <c:v>55.704000000000001</c:v>
                </c:pt>
                <c:pt idx="65">
                  <c:v>56.109000000000002</c:v>
                </c:pt>
                <c:pt idx="66">
                  <c:v>56.517299999999999</c:v>
                </c:pt>
                <c:pt idx="67">
                  <c:v>56.929900000000004</c:v>
                </c:pt>
                <c:pt idx="68">
                  <c:v>57.333599999999997</c:v>
                </c:pt>
                <c:pt idx="69">
                  <c:v>57.737000000000002</c:v>
                </c:pt>
                <c:pt idx="70">
                  <c:v>58.142499999999998</c:v>
                </c:pt>
                <c:pt idx="71">
                  <c:v>58.555</c:v>
                </c:pt>
                <c:pt idx="72">
                  <c:v>58.962800000000001</c:v>
                </c:pt>
                <c:pt idx="73">
                  <c:v>59.366999999999997</c:v>
                </c:pt>
                <c:pt idx="74">
                  <c:v>59.768700000000003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24.496499999999997</c:v>
                </c:pt>
                <c:pt idx="1">
                  <c:v>24.705400000000001</c:v>
                </c:pt>
                <c:pt idx="2">
                  <c:v>24.789899999999999</c:v>
                </c:pt>
                <c:pt idx="3">
                  <c:v>24.932299999999998</c:v>
                </c:pt>
                <c:pt idx="4">
                  <c:v>25.1936</c:v>
                </c:pt>
                <c:pt idx="5">
                  <c:v>25.437700000000003</c:v>
                </c:pt>
                <c:pt idx="6">
                  <c:v>25.607999999999997</c:v>
                </c:pt>
                <c:pt idx="7">
                  <c:v>25.793199999999999</c:v>
                </c:pt>
                <c:pt idx="8">
                  <c:v>25.9923</c:v>
                </c:pt>
                <c:pt idx="9">
                  <c:v>26.166099999999997</c:v>
                </c:pt>
                <c:pt idx="10">
                  <c:v>26.308500000000002</c:v>
                </c:pt>
                <c:pt idx="11">
                  <c:v>26.442900000000002</c:v>
                </c:pt>
                <c:pt idx="12">
                  <c:v>26.5656</c:v>
                </c:pt>
                <c:pt idx="13">
                  <c:v>26.629000000000001</c:v>
                </c:pt>
                <c:pt idx="14">
                  <c:v>26.601000000000003</c:v>
                </c:pt>
                <c:pt idx="15">
                  <c:v>26.685100000000002</c:v>
                </c:pt>
                <c:pt idx="16">
                  <c:v>26.915400000000002</c:v>
                </c:pt>
                <c:pt idx="17">
                  <c:v>27.1797</c:v>
                </c:pt>
                <c:pt idx="18">
                  <c:v>27.422499999999999</c:v>
                </c:pt>
                <c:pt idx="19">
                  <c:v>27.669799999999999</c:v>
                </c:pt>
                <c:pt idx="20">
                  <c:v>27.9405</c:v>
                </c:pt>
                <c:pt idx="21">
                  <c:v>28.171499999999998</c:v>
                </c:pt>
                <c:pt idx="22">
                  <c:v>28.307399999999998</c:v>
                </c:pt>
                <c:pt idx="23">
                  <c:v>28.396900000000002</c:v>
                </c:pt>
                <c:pt idx="24">
                  <c:v>28.446999999999999</c:v>
                </c:pt>
                <c:pt idx="25">
                  <c:v>28.537299999999998</c:v>
                </c:pt>
                <c:pt idx="26">
                  <c:v>28.648099999999999</c:v>
                </c:pt>
                <c:pt idx="27">
                  <c:v>28.701000000000001</c:v>
                </c:pt>
                <c:pt idx="28">
                  <c:v>28.736099999999997</c:v>
                </c:pt>
                <c:pt idx="29">
                  <c:v>28.684799999999999</c:v>
                </c:pt>
                <c:pt idx="30">
                  <c:v>28.587699999999998</c:v>
                </c:pt>
                <c:pt idx="31">
                  <c:v>28.452499999999997</c:v>
                </c:pt>
                <c:pt idx="32">
                  <c:v>28.306799999999999</c:v>
                </c:pt>
                <c:pt idx="33">
                  <c:v>28.072500000000002</c:v>
                </c:pt>
                <c:pt idx="34">
                  <c:v>27.797599999999999</c:v>
                </c:pt>
                <c:pt idx="35">
                  <c:v>27.557700000000001</c:v>
                </c:pt>
                <c:pt idx="36">
                  <c:v>27.380399999999998</c:v>
                </c:pt>
                <c:pt idx="37">
                  <c:v>27.236799999999999</c:v>
                </c:pt>
                <c:pt idx="38">
                  <c:v>27.215600000000002</c:v>
                </c:pt>
                <c:pt idx="39">
                  <c:v>27.446999999999999</c:v>
                </c:pt>
                <c:pt idx="40">
                  <c:v>27.669</c:v>
                </c:pt>
                <c:pt idx="41">
                  <c:v>27.767999999999997</c:v>
                </c:pt>
                <c:pt idx="42">
                  <c:v>27.779300000000003</c:v>
                </c:pt>
                <c:pt idx="43">
                  <c:v>27.871000000000002</c:v>
                </c:pt>
                <c:pt idx="44">
                  <c:v>27.905999999999999</c:v>
                </c:pt>
                <c:pt idx="45">
                  <c:v>27.85</c:v>
                </c:pt>
                <c:pt idx="46">
                  <c:v>27.758300000000002</c:v>
                </c:pt>
                <c:pt idx="47">
                  <c:v>27.723300000000002</c:v>
                </c:pt>
                <c:pt idx="48">
                  <c:v>27.523999999999997</c:v>
                </c:pt>
                <c:pt idx="49">
                  <c:v>27.227499999999999</c:v>
                </c:pt>
                <c:pt idx="50">
                  <c:v>26.858999999999998</c:v>
                </c:pt>
                <c:pt idx="51">
                  <c:v>26.7393</c:v>
                </c:pt>
                <c:pt idx="52">
                  <c:v>26.606000000000002</c:v>
                </c:pt>
                <c:pt idx="53">
                  <c:v>26.4283</c:v>
                </c:pt>
                <c:pt idx="54">
                  <c:v>26.178699999999999</c:v>
                </c:pt>
                <c:pt idx="55">
                  <c:v>25.9451</c:v>
                </c:pt>
                <c:pt idx="56">
                  <c:v>25.685099999999998</c:v>
                </c:pt>
                <c:pt idx="57">
                  <c:v>25.391300000000001</c:v>
                </c:pt>
                <c:pt idx="58">
                  <c:v>25.119799999999998</c:v>
                </c:pt>
                <c:pt idx="59">
                  <c:v>24.8916</c:v>
                </c:pt>
                <c:pt idx="60">
                  <c:v>24.627800000000001</c:v>
                </c:pt>
                <c:pt idx="61">
                  <c:v>24.360100000000003</c:v>
                </c:pt>
                <c:pt idx="62">
                  <c:v>24.1541</c:v>
                </c:pt>
                <c:pt idx="63">
                  <c:v>23.972099999999998</c:v>
                </c:pt>
                <c:pt idx="64">
                  <c:v>23.722799999999999</c:v>
                </c:pt>
                <c:pt idx="65">
                  <c:v>23.508100000000002</c:v>
                </c:pt>
                <c:pt idx="66">
                  <c:v>23.351099999999999</c:v>
                </c:pt>
                <c:pt idx="67">
                  <c:v>23.242599999999999</c:v>
                </c:pt>
                <c:pt idx="68">
                  <c:v>23.059100000000001</c:v>
                </c:pt>
                <c:pt idx="69">
                  <c:v>23.0425</c:v>
                </c:pt>
                <c:pt idx="70">
                  <c:v>22.958400000000001</c:v>
                </c:pt>
                <c:pt idx="71">
                  <c:v>22.767499999999998</c:v>
                </c:pt>
                <c:pt idx="72">
                  <c:v>22.2361</c:v>
                </c:pt>
                <c:pt idx="73">
                  <c:v>22.262799999999999</c:v>
                </c:pt>
                <c:pt idx="74">
                  <c:v>22.915600000000001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14.942175000000001</c:v>
                </c:pt>
                <c:pt idx="1">
                  <c:v>44.826525000000004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21.881778378378382</c:v>
                </c:pt>
                <c:pt idx="1">
                  <c:v>26.307628378378396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42.444800000000001</c:v>
                </c:pt>
                <c:pt idx="1">
                  <c:v>31.744499999999999</c:v>
                </c:pt>
                <c:pt idx="2">
                  <c:v>28.539300000000001</c:v>
                </c:pt>
                <c:pt idx="3">
                  <c:v>34.416200000000003</c:v>
                </c:pt>
                <c:pt idx="4">
                  <c:v>41.938800000000001</c:v>
                </c:pt>
                <c:pt idx="5">
                  <c:v>75.664699999999996</c:v>
                </c:pt>
                <c:pt idx="6">
                  <c:v>15.715</c:v>
                </c:pt>
                <c:pt idx="7">
                  <c:v>57.689399999999999</c:v>
                </c:pt>
                <c:pt idx="8">
                  <c:v>22.954999999999998</c:v>
                </c:pt>
                <c:pt idx="9">
                  <c:v>42.092300000000002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45.718499999999999</c:v>
                </c:pt>
                <c:pt idx="1">
                  <c:v>34.483199999999997</c:v>
                </c:pt>
                <c:pt idx="2">
                  <c:v>29.552900000000001</c:v>
                </c:pt>
                <c:pt idx="3">
                  <c:v>36.323599999999999</c:v>
                </c:pt>
                <c:pt idx="4">
                  <c:v>61.611699999999999</c:v>
                </c:pt>
                <c:pt idx="5">
                  <c:v>70.520399999999995</c:v>
                </c:pt>
                <c:pt idx="6">
                  <c:v>18.232399999999998</c:v>
                </c:pt>
                <c:pt idx="7">
                  <c:v>66.331900000000005</c:v>
                </c:pt>
                <c:pt idx="8">
                  <c:v>23.075399999999998</c:v>
                </c:pt>
                <c:pt idx="9">
                  <c:v>32.877099999999999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0.41682275051047768</c:v>
                </c:pt>
                <c:pt idx="1">
                  <c:v>0.29928119598304237</c:v>
                </c:pt>
                <c:pt idx="2">
                  <c:v>0.28389605350648006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1699</c:v>
                </c:pt>
                <c:pt idx="7">
                  <c:v>0</c:v>
                </c:pt>
                <c:pt idx="8">
                  <c:v>1194</c:v>
                </c:pt>
                <c:pt idx="9">
                  <c:v>0</c:v>
                </c:pt>
                <c:pt idx="10">
                  <c:v>0</c:v>
                </c:pt>
                <c:pt idx="11">
                  <c:v>2776</c:v>
                </c:pt>
                <c:pt idx="12">
                  <c:v>0</c:v>
                </c:pt>
                <c:pt idx="13">
                  <c:v>5337</c:v>
                </c:pt>
                <c:pt idx="14">
                  <c:v>0</c:v>
                </c:pt>
                <c:pt idx="15">
                  <c:v>0</c:v>
                </c:pt>
                <c:pt idx="16">
                  <c:v>6588</c:v>
                </c:pt>
                <c:pt idx="17">
                  <c:v>0</c:v>
                </c:pt>
                <c:pt idx="18">
                  <c:v>0</c:v>
                </c:pt>
                <c:pt idx="19">
                  <c:v>10271</c:v>
                </c:pt>
                <c:pt idx="20">
                  <c:v>0</c:v>
                </c:pt>
                <c:pt idx="21">
                  <c:v>12817</c:v>
                </c:pt>
                <c:pt idx="22">
                  <c:v>0</c:v>
                </c:pt>
                <c:pt idx="23">
                  <c:v>0</c:v>
                </c:pt>
                <c:pt idx="24">
                  <c:v>17091</c:v>
                </c:pt>
                <c:pt idx="25">
                  <c:v>0</c:v>
                </c:pt>
                <c:pt idx="26">
                  <c:v>24033</c:v>
                </c:pt>
                <c:pt idx="27">
                  <c:v>0</c:v>
                </c:pt>
                <c:pt idx="28">
                  <c:v>0</c:v>
                </c:pt>
                <c:pt idx="29">
                  <c:v>32572</c:v>
                </c:pt>
                <c:pt idx="30">
                  <c:v>0</c:v>
                </c:pt>
                <c:pt idx="31">
                  <c:v>45199</c:v>
                </c:pt>
                <c:pt idx="32">
                  <c:v>0</c:v>
                </c:pt>
                <c:pt idx="33">
                  <c:v>0</c:v>
                </c:pt>
                <c:pt idx="34">
                  <c:v>49419</c:v>
                </c:pt>
                <c:pt idx="35">
                  <c:v>0</c:v>
                </c:pt>
                <c:pt idx="36">
                  <c:v>0</c:v>
                </c:pt>
                <c:pt idx="37">
                  <c:v>53493</c:v>
                </c:pt>
                <c:pt idx="38">
                  <c:v>0</c:v>
                </c:pt>
                <c:pt idx="39">
                  <c:v>60693</c:v>
                </c:pt>
                <c:pt idx="40">
                  <c:v>0</c:v>
                </c:pt>
                <c:pt idx="41">
                  <c:v>0</c:v>
                </c:pt>
                <c:pt idx="42">
                  <c:v>67247</c:v>
                </c:pt>
                <c:pt idx="43">
                  <c:v>0</c:v>
                </c:pt>
                <c:pt idx="44">
                  <c:v>63924</c:v>
                </c:pt>
                <c:pt idx="45">
                  <c:v>0</c:v>
                </c:pt>
                <c:pt idx="46">
                  <c:v>0</c:v>
                </c:pt>
                <c:pt idx="47">
                  <c:v>74610</c:v>
                </c:pt>
                <c:pt idx="48">
                  <c:v>0</c:v>
                </c:pt>
                <c:pt idx="49">
                  <c:v>76604</c:v>
                </c:pt>
                <c:pt idx="50">
                  <c:v>0</c:v>
                </c:pt>
                <c:pt idx="51">
                  <c:v>0</c:v>
                </c:pt>
                <c:pt idx="52">
                  <c:v>93634</c:v>
                </c:pt>
                <c:pt idx="53">
                  <c:v>0</c:v>
                </c:pt>
                <c:pt idx="54">
                  <c:v>0</c:v>
                </c:pt>
                <c:pt idx="55">
                  <c:v>100497</c:v>
                </c:pt>
                <c:pt idx="56">
                  <c:v>0</c:v>
                </c:pt>
                <c:pt idx="57">
                  <c:v>95694</c:v>
                </c:pt>
                <c:pt idx="58">
                  <c:v>0</c:v>
                </c:pt>
                <c:pt idx="59">
                  <c:v>0</c:v>
                </c:pt>
                <c:pt idx="60">
                  <c:v>96798</c:v>
                </c:pt>
                <c:pt idx="61">
                  <c:v>0</c:v>
                </c:pt>
                <c:pt idx="62">
                  <c:v>99024</c:v>
                </c:pt>
                <c:pt idx="63">
                  <c:v>0</c:v>
                </c:pt>
                <c:pt idx="64">
                  <c:v>0</c:v>
                </c:pt>
                <c:pt idx="65">
                  <c:v>105846</c:v>
                </c:pt>
                <c:pt idx="66">
                  <c:v>0</c:v>
                </c:pt>
                <c:pt idx="67">
                  <c:v>94396</c:v>
                </c:pt>
                <c:pt idx="68">
                  <c:v>0</c:v>
                </c:pt>
                <c:pt idx="69">
                  <c:v>0</c:v>
                </c:pt>
                <c:pt idx="70">
                  <c:v>105053</c:v>
                </c:pt>
                <c:pt idx="71">
                  <c:v>0</c:v>
                </c:pt>
                <c:pt idx="72">
                  <c:v>0</c:v>
                </c:pt>
                <c:pt idx="73">
                  <c:v>94399</c:v>
                </c:pt>
                <c:pt idx="74">
                  <c:v>0</c:v>
                </c:pt>
                <c:pt idx="75">
                  <c:v>99160</c:v>
                </c:pt>
                <c:pt idx="76">
                  <c:v>0</c:v>
                </c:pt>
                <c:pt idx="77">
                  <c:v>0</c:v>
                </c:pt>
                <c:pt idx="78">
                  <c:v>106318</c:v>
                </c:pt>
                <c:pt idx="79">
                  <c:v>0</c:v>
                </c:pt>
                <c:pt idx="80">
                  <c:v>110334</c:v>
                </c:pt>
                <c:pt idx="81">
                  <c:v>0</c:v>
                </c:pt>
                <c:pt idx="82">
                  <c:v>0</c:v>
                </c:pt>
                <c:pt idx="83">
                  <c:v>102906</c:v>
                </c:pt>
                <c:pt idx="84">
                  <c:v>0</c:v>
                </c:pt>
                <c:pt idx="85">
                  <c:v>0</c:v>
                </c:pt>
                <c:pt idx="86">
                  <c:v>90081</c:v>
                </c:pt>
                <c:pt idx="87">
                  <c:v>0</c:v>
                </c:pt>
                <c:pt idx="88">
                  <c:v>81597</c:v>
                </c:pt>
                <c:pt idx="89">
                  <c:v>0</c:v>
                </c:pt>
                <c:pt idx="90">
                  <c:v>0</c:v>
                </c:pt>
                <c:pt idx="91">
                  <c:v>76269</c:v>
                </c:pt>
                <c:pt idx="92">
                  <c:v>0</c:v>
                </c:pt>
                <c:pt idx="93">
                  <c:v>75021</c:v>
                </c:pt>
                <c:pt idx="94">
                  <c:v>0</c:v>
                </c:pt>
                <c:pt idx="95">
                  <c:v>0</c:v>
                </c:pt>
                <c:pt idx="96">
                  <c:v>69458</c:v>
                </c:pt>
                <c:pt idx="97">
                  <c:v>0</c:v>
                </c:pt>
                <c:pt idx="98">
                  <c:v>60288</c:v>
                </c:pt>
                <c:pt idx="99">
                  <c:v>0</c:v>
                </c:pt>
                <c:pt idx="100">
                  <c:v>0</c:v>
                </c:pt>
                <c:pt idx="101">
                  <c:v>54526</c:v>
                </c:pt>
                <c:pt idx="102">
                  <c:v>0</c:v>
                </c:pt>
                <c:pt idx="103">
                  <c:v>0</c:v>
                </c:pt>
                <c:pt idx="104">
                  <c:v>47754</c:v>
                </c:pt>
                <c:pt idx="105">
                  <c:v>0</c:v>
                </c:pt>
                <c:pt idx="106">
                  <c:v>48468</c:v>
                </c:pt>
                <c:pt idx="107">
                  <c:v>0</c:v>
                </c:pt>
                <c:pt idx="108">
                  <c:v>0</c:v>
                </c:pt>
                <c:pt idx="109">
                  <c:v>44162</c:v>
                </c:pt>
                <c:pt idx="110">
                  <c:v>0</c:v>
                </c:pt>
                <c:pt idx="111">
                  <c:v>43282</c:v>
                </c:pt>
                <c:pt idx="112">
                  <c:v>0</c:v>
                </c:pt>
                <c:pt idx="113">
                  <c:v>0</c:v>
                </c:pt>
                <c:pt idx="114">
                  <c:v>40411</c:v>
                </c:pt>
                <c:pt idx="115">
                  <c:v>0</c:v>
                </c:pt>
                <c:pt idx="116">
                  <c:v>31524</c:v>
                </c:pt>
                <c:pt idx="117">
                  <c:v>0</c:v>
                </c:pt>
                <c:pt idx="118">
                  <c:v>0</c:v>
                </c:pt>
                <c:pt idx="119">
                  <c:v>29778</c:v>
                </c:pt>
                <c:pt idx="120">
                  <c:v>0</c:v>
                </c:pt>
                <c:pt idx="121">
                  <c:v>0</c:v>
                </c:pt>
                <c:pt idx="122">
                  <c:v>28249</c:v>
                </c:pt>
                <c:pt idx="123">
                  <c:v>0</c:v>
                </c:pt>
                <c:pt idx="124">
                  <c:v>23180</c:v>
                </c:pt>
                <c:pt idx="125">
                  <c:v>0</c:v>
                </c:pt>
                <c:pt idx="126">
                  <c:v>0</c:v>
                </c:pt>
                <c:pt idx="127">
                  <c:v>17530</c:v>
                </c:pt>
                <c:pt idx="128">
                  <c:v>0</c:v>
                </c:pt>
                <c:pt idx="129">
                  <c:v>13008</c:v>
                </c:pt>
                <c:pt idx="130">
                  <c:v>0</c:v>
                </c:pt>
                <c:pt idx="131">
                  <c:v>0</c:v>
                </c:pt>
                <c:pt idx="132">
                  <c:v>12117</c:v>
                </c:pt>
                <c:pt idx="133">
                  <c:v>0</c:v>
                </c:pt>
                <c:pt idx="134">
                  <c:v>14644</c:v>
                </c:pt>
                <c:pt idx="135">
                  <c:v>0</c:v>
                </c:pt>
                <c:pt idx="136">
                  <c:v>0</c:v>
                </c:pt>
                <c:pt idx="137">
                  <c:v>17313</c:v>
                </c:pt>
                <c:pt idx="138">
                  <c:v>0</c:v>
                </c:pt>
                <c:pt idx="139">
                  <c:v>0</c:v>
                </c:pt>
                <c:pt idx="140">
                  <c:v>17605</c:v>
                </c:pt>
                <c:pt idx="141">
                  <c:v>0</c:v>
                </c:pt>
                <c:pt idx="142">
                  <c:v>17026</c:v>
                </c:pt>
                <c:pt idx="143">
                  <c:v>0</c:v>
                </c:pt>
                <c:pt idx="144">
                  <c:v>0</c:v>
                </c:pt>
                <c:pt idx="145">
                  <c:v>17215</c:v>
                </c:pt>
                <c:pt idx="146">
                  <c:v>0</c:v>
                </c:pt>
                <c:pt idx="147">
                  <c:v>16429</c:v>
                </c:pt>
                <c:pt idx="148">
                  <c:v>0</c:v>
                </c:pt>
                <c:pt idx="149">
                  <c:v>0</c:v>
                </c:pt>
                <c:pt idx="150">
                  <c:v>17602</c:v>
                </c:pt>
                <c:pt idx="151">
                  <c:v>0</c:v>
                </c:pt>
                <c:pt idx="152">
                  <c:v>21887</c:v>
                </c:pt>
                <c:pt idx="153">
                  <c:v>0</c:v>
                </c:pt>
                <c:pt idx="154">
                  <c:v>0</c:v>
                </c:pt>
                <c:pt idx="155">
                  <c:v>23477</c:v>
                </c:pt>
                <c:pt idx="156">
                  <c:v>0</c:v>
                </c:pt>
                <c:pt idx="157">
                  <c:v>0</c:v>
                </c:pt>
                <c:pt idx="158">
                  <c:v>23147</c:v>
                </c:pt>
                <c:pt idx="159">
                  <c:v>0</c:v>
                </c:pt>
                <c:pt idx="160">
                  <c:v>22528</c:v>
                </c:pt>
                <c:pt idx="161">
                  <c:v>0</c:v>
                </c:pt>
                <c:pt idx="162">
                  <c:v>0</c:v>
                </c:pt>
                <c:pt idx="163">
                  <c:v>19636</c:v>
                </c:pt>
                <c:pt idx="164">
                  <c:v>0</c:v>
                </c:pt>
                <c:pt idx="165">
                  <c:v>18684</c:v>
                </c:pt>
                <c:pt idx="166">
                  <c:v>0</c:v>
                </c:pt>
                <c:pt idx="167">
                  <c:v>0</c:v>
                </c:pt>
                <c:pt idx="168">
                  <c:v>17776</c:v>
                </c:pt>
                <c:pt idx="169">
                  <c:v>0</c:v>
                </c:pt>
                <c:pt idx="170">
                  <c:v>0</c:v>
                </c:pt>
                <c:pt idx="171">
                  <c:v>18939</c:v>
                </c:pt>
                <c:pt idx="172">
                  <c:v>0</c:v>
                </c:pt>
                <c:pt idx="173">
                  <c:v>18889</c:v>
                </c:pt>
                <c:pt idx="174">
                  <c:v>0</c:v>
                </c:pt>
                <c:pt idx="175">
                  <c:v>0</c:v>
                </c:pt>
                <c:pt idx="176">
                  <c:v>17735</c:v>
                </c:pt>
                <c:pt idx="177">
                  <c:v>0</c:v>
                </c:pt>
                <c:pt idx="178">
                  <c:v>17509</c:v>
                </c:pt>
                <c:pt idx="179">
                  <c:v>0</c:v>
                </c:pt>
                <c:pt idx="180">
                  <c:v>0</c:v>
                </c:pt>
                <c:pt idx="181">
                  <c:v>13431</c:v>
                </c:pt>
                <c:pt idx="182">
                  <c:v>0</c:v>
                </c:pt>
                <c:pt idx="183">
                  <c:v>9867</c:v>
                </c:pt>
                <c:pt idx="184">
                  <c:v>0</c:v>
                </c:pt>
                <c:pt idx="185">
                  <c:v>0</c:v>
                </c:pt>
                <c:pt idx="186">
                  <c:v>10979</c:v>
                </c:pt>
                <c:pt idx="187">
                  <c:v>0</c:v>
                </c:pt>
                <c:pt idx="188">
                  <c:v>0</c:v>
                </c:pt>
                <c:pt idx="189">
                  <c:v>8635</c:v>
                </c:pt>
                <c:pt idx="190">
                  <c:v>0</c:v>
                </c:pt>
                <c:pt idx="191">
                  <c:v>7493</c:v>
                </c:pt>
                <c:pt idx="192">
                  <c:v>0</c:v>
                </c:pt>
                <c:pt idx="193">
                  <c:v>0</c:v>
                </c:pt>
                <c:pt idx="194">
                  <c:v>7519</c:v>
                </c:pt>
                <c:pt idx="195">
                  <c:v>0</c:v>
                </c:pt>
                <c:pt idx="196">
                  <c:v>6648</c:v>
                </c:pt>
                <c:pt idx="197">
                  <c:v>0</c:v>
                </c:pt>
                <c:pt idx="198">
                  <c:v>0</c:v>
                </c:pt>
                <c:pt idx="199">
                  <c:v>3467</c:v>
                </c:pt>
                <c:pt idx="200">
                  <c:v>0</c:v>
                </c:pt>
                <c:pt idx="201">
                  <c:v>2858</c:v>
                </c:pt>
                <c:pt idx="202">
                  <c:v>0</c:v>
                </c:pt>
                <c:pt idx="203">
                  <c:v>0</c:v>
                </c:pt>
                <c:pt idx="204">
                  <c:v>1396</c:v>
                </c:pt>
                <c:pt idx="205">
                  <c:v>0</c:v>
                </c:pt>
                <c:pt idx="206">
                  <c:v>0</c:v>
                </c:pt>
                <c:pt idx="207">
                  <c:v>667</c:v>
                </c:pt>
                <c:pt idx="208">
                  <c:v>0</c:v>
                </c:pt>
                <c:pt idx="209">
                  <c:v>167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3762</c:v>
                </c:pt>
                <c:pt idx="7">
                  <c:v>0</c:v>
                </c:pt>
                <c:pt idx="8">
                  <c:v>4840</c:v>
                </c:pt>
                <c:pt idx="9">
                  <c:v>0</c:v>
                </c:pt>
                <c:pt idx="10">
                  <c:v>0</c:v>
                </c:pt>
                <c:pt idx="11">
                  <c:v>5313</c:v>
                </c:pt>
                <c:pt idx="12">
                  <c:v>0</c:v>
                </c:pt>
                <c:pt idx="13">
                  <c:v>9220</c:v>
                </c:pt>
                <c:pt idx="14">
                  <c:v>0</c:v>
                </c:pt>
                <c:pt idx="15">
                  <c:v>0</c:v>
                </c:pt>
                <c:pt idx="16">
                  <c:v>12676</c:v>
                </c:pt>
                <c:pt idx="17">
                  <c:v>0</c:v>
                </c:pt>
                <c:pt idx="18">
                  <c:v>0</c:v>
                </c:pt>
                <c:pt idx="19">
                  <c:v>17321</c:v>
                </c:pt>
                <c:pt idx="20">
                  <c:v>0</c:v>
                </c:pt>
                <c:pt idx="21">
                  <c:v>20120</c:v>
                </c:pt>
                <c:pt idx="22">
                  <c:v>0</c:v>
                </c:pt>
                <c:pt idx="23">
                  <c:v>0</c:v>
                </c:pt>
                <c:pt idx="24">
                  <c:v>23895</c:v>
                </c:pt>
                <c:pt idx="25">
                  <c:v>0</c:v>
                </c:pt>
                <c:pt idx="26">
                  <c:v>25419</c:v>
                </c:pt>
                <c:pt idx="27">
                  <c:v>0</c:v>
                </c:pt>
                <c:pt idx="28">
                  <c:v>0</c:v>
                </c:pt>
                <c:pt idx="29">
                  <c:v>32044</c:v>
                </c:pt>
                <c:pt idx="30">
                  <c:v>0</c:v>
                </c:pt>
                <c:pt idx="31">
                  <c:v>38896</c:v>
                </c:pt>
                <c:pt idx="32">
                  <c:v>0</c:v>
                </c:pt>
                <c:pt idx="33">
                  <c:v>0</c:v>
                </c:pt>
                <c:pt idx="34">
                  <c:v>43868</c:v>
                </c:pt>
                <c:pt idx="35">
                  <c:v>0</c:v>
                </c:pt>
                <c:pt idx="36">
                  <c:v>0</c:v>
                </c:pt>
                <c:pt idx="37">
                  <c:v>52488</c:v>
                </c:pt>
                <c:pt idx="38">
                  <c:v>0</c:v>
                </c:pt>
                <c:pt idx="39">
                  <c:v>56395</c:v>
                </c:pt>
                <c:pt idx="40">
                  <c:v>0</c:v>
                </c:pt>
                <c:pt idx="41">
                  <c:v>0</c:v>
                </c:pt>
                <c:pt idx="42">
                  <c:v>60927</c:v>
                </c:pt>
                <c:pt idx="43">
                  <c:v>0</c:v>
                </c:pt>
                <c:pt idx="44">
                  <c:v>63981</c:v>
                </c:pt>
                <c:pt idx="45">
                  <c:v>0</c:v>
                </c:pt>
                <c:pt idx="46">
                  <c:v>0</c:v>
                </c:pt>
                <c:pt idx="47">
                  <c:v>62475</c:v>
                </c:pt>
                <c:pt idx="48">
                  <c:v>0</c:v>
                </c:pt>
                <c:pt idx="49">
                  <c:v>70290</c:v>
                </c:pt>
                <c:pt idx="50">
                  <c:v>0</c:v>
                </c:pt>
                <c:pt idx="51">
                  <c:v>0</c:v>
                </c:pt>
                <c:pt idx="52">
                  <c:v>72052</c:v>
                </c:pt>
                <c:pt idx="53">
                  <c:v>0</c:v>
                </c:pt>
                <c:pt idx="54">
                  <c:v>0</c:v>
                </c:pt>
                <c:pt idx="55">
                  <c:v>76750</c:v>
                </c:pt>
                <c:pt idx="56">
                  <c:v>0</c:v>
                </c:pt>
                <c:pt idx="57">
                  <c:v>77209</c:v>
                </c:pt>
                <c:pt idx="58">
                  <c:v>0</c:v>
                </c:pt>
                <c:pt idx="59">
                  <c:v>0</c:v>
                </c:pt>
                <c:pt idx="60">
                  <c:v>87144</c:v>
                </c:pt>
                <c:pt idx="61">
                  <c:v>0</c:v>
                </c:pt>
                <c:pt idx="62">
                  <c:v>102045</c:v>
                </c:pt>
                <c:pt idx="63">
                  <c:v>0</c:v>
                </c:pt>
                <c:pt idx="64">
                  <c:v>0</c:v>
                </c:pt>
                <c:pt idx="65">
                  <c:v>100650</c:v>
                </c:pt>
                <c:pt idx="66">
                  <c:v>0</c:v>
                </c:pt>
                <c:pt idx="67">
                  <c:v>89867</c:v>
                </c:pt>
                <c:pt idx="68">
                  <c:v>0</c:v>
                </c:pt>
                <c:pt idx="69">
                  <c:v>0</c:v>
                </c:pt>
                <c:pt idx="70">
                  <c:v>100118</c:v>
                </c:pt>
                <c:pt idx="71">
                  <c:v>0</c:v>
                </c:pt>
                <c:pt idx="72">
                  <c:v>0</c:v>
                </c:pt>
                <c:pt idx="73">
                  <c:v>100608</c:v>
                </c:pt>
                <c:pt idx="74">
                  <c:v>0</c:v>
                </c:pt>
                <c:pt idx="75">
                  <c:v>98347</c:v>
                </c:pt>
                <c:pt idx="76">
                  <c:v>0</c:v>
                </c:pt>
                <c:pt idx="77">
                  <c:v>0</c:v>
                </c:pt>
                <c:pt idx="78">
                  <c:v>98977</c:v>
                </c:pt>
                <c:pt idx="79">
                  <c:v>0</c:v>
                </c:pt>
                <c:pt idx="80">
                  <c:v>99901</c:v>
                </c:pt>
                <c:pt idx="81">
                  <c:v>0</c:v>
                </c:pt>
                <c:pt idx="82">
                  <c:v>0</c:v>
                </c:pt>
                <c:pt idx="83">
                  <c:v>98778</c:v>
                </c:pt>
                <c:pt idx="84">
                  <c:v>0</c:v>
                </c:pt>
                <c:pt idx="85">
                  <c:v>0</c:v>
                </c:pt>
                <c:pt idx="86">
                  <c:v>95450</c:v>
                </c:pt>
                <c:pt idx="87">
                  <c:v>0</c:v>
                </c:pt>
                <c:pt idx="88">
                  <c:v>88942</c:v>
                </c:pt>
                <c:pt idx="89">
                  <c:v>0</c:v>
                </c:pt>
                <c:pt idx="90">
                  <c:v>0</c:v>
                </c:pt>
                <c:pt idx="91">
                  <c:v>86241</c:v>
                </c:pt>
                <c:pt idx="92">
                  <c:v>0</c:v>
                </c:pt>
                <c:pt idx="93">
                  <c:v>85910</c:v>
                </c:pt>
                <c:pt idx="94">
                  <c:v>0</c:v>
                </c:pt>
                <c:pt idx="95">
                  <c:v>0</c:v>
                </c:pt>
                <c:pt idx="96">
                  <c:v>85032</c:v>
                </c:pt>
                <c:pt idx="97">
                  <c:v>0</c:v>
                </c:pt>
                <c:pt idx="98">
                  <c:v>82185</c:v>
                </c:pt>
                <c:pt idx="99">
                  <c:v>0</c:v>
                </c:pt>
                <c:pt idx="100">
                  <c:v>0</c:v>
                </c:pt>
                <c:pt idx="101">
                  <c:v>71844</c:v>
                </c:pt>
                <c:pt idx="102">
                  <c:v>0</c:v>
                </c:pt>
                <c:pt idx="103">
                  <c:v>0</c:v>
                </c:pt>
                <c:pt idx="104">
                  <c:v>66629</c:v>
                </c:pt>
                <c:pt idx="105">
                  <c:v>0</c:v>
                </c:pt>
                <c:pt idx="106">
                  <c:v>67368</c:v>
                </c:pt>
                <c:pt idx="107">
                  <c:v>0</c:v>
                </c:pt>
                <c:pt idx="108">
                  <c:v>0</c:v>
                </c:pt>
                <c:pt idx="109">
                  <c:v>60772</c:v>
                </c:pt>
                <c:pt idx="110">
                  <c:v>0</c:v>
                </c:pt>
                <c:pt idx="111">
                  <c:v>58881</c:v>
                </c:pt>
                <c:pt idx="112">
                  <c:v>0</c:v>
                </c:pt>
                <c:pt idx="113">
                  <c:v>0</c:v>
                </c:pt>
                <c:pt idx="114">
                  <c:v>54110</c:v>
                </c:pt>
                <c:pt idx="115">
                  <c:v>0</c:v>
                </c:pt>
                <c:pt idx="116">
                  <c:v>49561</c:v>
                </c:pt>
                <c:pt idx="117">
                  <c:v>0</c:v>
                </c:pt>
                <c:pt idx="118">
                  <c:v>0</c:v>
                </c:pt>
                <c:pt idx="119">
                  <c:v>44612</c:v>
                </c:pt>
                <c:pt idx="120">
                  <c:v>0</c:v>
                </c:pt>
                <c:pt idx="121">
                  <c:v>0</c:v>
                </c:pt>
                <c:pt idx="122">
                  <c:v>41415</c:v>
                </c:pt>
                <c:pt idx="123">
                  <c:v>0</c:v>
                </c:pt>
                <c:pt idx="124">
                  <c:v>37571</c:v>
                </c:pt>
                <c:pt idx="125">
                  <c:v>0</c:v>
                </c:pt>
                <c:pt idx="126">
                  <c:v>0</c:v>
                </c:pt>
                <c:pt idx="127">
                  <c:v>36137</c:v>
                </c:pt>
                <c:pt idx="128">
                  <c:v>0</c:v>
                </c:pt>
                <c:pt idx="129">
                  <c:v>33344</c:v>
                </c:pt>
                <c:pt idx="130">
                  <c:v>0</c:v>
                </c:pt>
                <c:pt idx="131">
                  <c:v>0</c:v>
                </c:pt>
                <c:pt idx="132">
                  <c:v>29732</c:v>
                </c:pt>
                <c:pt idx="133">
                  <c:v>0</c:v>
                </c:pt>
                <c:pt idx="134">
                  <c:v>26688</c:v>
                </c:pt>
                <c:pt idx="135">
                  <c:v>0</c:v>
                </c:pt>
                <c:pt idx="136">
                  <c:v>0</c:v>
                </c:pt>
                <c:pt idx="137">
                  <c:v>26155</c:v>
                </c:pt>
                <c:pt idx="138">
                  <c:v>0</c:v>
                </c:pt>
                <c:pt idx="139">
                  <c:v>0</c:v>
                </c:pt>
                <c:pt idx="140">
                  <c:v>20092</c:v>
                </c:pt>
                <c:pt idx="141">
                  <c:v>0</c:v>
                </c:pt>
                <c:pt idx="142">
                  <c:v>18369</c:v>
                </c:pt>
                <c:pt idx="143">
                  <c:v>0</c:v>
                </c:pt>
                <c:pt idx="144">
                  <c:v>0</c:v>
                </c:pt>
                <c:pt idx="145">
                  <c:v>19314</c:v>
                </c:pt>
                <c:pt idx="146">
                  <c:v>0</c:v>
                </c:pt>
                <c:pt idx="147">
                  <c:v>18673</c:v>
                </c:pt>
                <c:pt idx="148">
                  <c:v>0</c:v>
                </c:pt>
                <c:pt idx="149">
                  <c:v>0</c:v>
                </c:pt>
                <c:pt idx="150">
                  <c:v>17831</c:v>
                </c:pt>
                <c:pt idx="151">
                  <c:v>0</c:v>
                </c:pt>
                <c:pt idx="152">
                  <c:v>15374</c:v>
                </c:pt>
                <c:pt idx="153">
                  <c:v>0</c:v>
                </c:pt>
                <c:pt idx="154">
                  <c:v>0</c:v>
                </c:pt>
                <c:pt idx="155">
                  <c:v>16902</c:v>
                </c:pt>
                <c:pt idx="156">
                  <c:v>0</c:v>
                </c:pt>
                <c:pt idx="157">
                  <c:v>0</c:v>
                </c:pt>
                <c:pt idx="158">
                  <c:v>16402</c:v>
                </c:pt>
                <c:pt idx="159">
                  <c:v>0</c:v>
                </c:pt>
                <c:pt idx="160">
                  <c:v>16229</c:v>
                </c:pt>
                <c:pt idx="161">
                  <c:v>0</c:v>
                </c:pt>
                <c:pt idx="162">
                  <c:v>0</c:v>
                </c:pt>
                <c:pt idx="163">
                  <c:v>16701</c:v>
                </c:pt>
                <c:pt idx="164">
                  <c:v>0</c:v>
                </c:pt>
                <c:pt idx="165">
                  <c:v>17170</c:v>
                </c:pt>
                <c:pt idx="166">
                  <c:v>0</c:v>
                </c:pt>
                <c:pt idx="167">
                  <c:v>0</c:v>
                </c:pt>
                <c:pt idx="168">
                  <c:v>16463</c:v>
                </c:pt>
                <c:pt idx="169">
                  <c:v>0</c:v>
                </c:pt>
                <c:pt idx="170">
                  <c:v>0</c:v>
                </c:pt>
                <c:pt idx="171">
                  <c:v>19721</c:v>
                </c:pt>
                <c:pt idx="172">
                  <c:v>0</c:v>
                </c:pt>
                <c:pt idx="173">
                  <c:v>18302</c:v>
                </c:pt>
                <c:pt idx="174">
                  <c:v>0</c:v>
                </c:pt>
                <c:pt idx="175">
                  <c:v>0</c:v>
                </c:pt>
                <c:pt idx="176">
                  <c:v>17428</c:v>
                </c:pt>
                <c:pt idx="177">
                  <c:v>0</c:v>
                </c:pt>
                <c:pt idx="178">
                  <c:v>16786</c:v>
                </c:pt>
                <c:pt idx="179">
                  <c:v>0</c:v>
                </c:pt>
                <c:pt idx="180">
                  <c:v>0</c:v>
                </c:pt>
                <c:pt idx="181">
                  <c:v>14577</c:v>
                </c:pt>
                <c:pt idx="182">
                  <c:v>0</c:v>
                </c:pt>
                <c:pt idx="183">
                  <c:v>10974</c:v>
                </c:pt>
                <c:pt idx="184">
                  <c:v>0</c:v>
                </c:pt>
                <c:pt idx="185">
                  <c:v>0</c:v>
                </c:pt>
                <c:pt idx="186">
                  <c:v>11442</c:v>
                </c:pt>
                <c:pt idx="187">
                  <c:v>0</c:v>
                </c:pt>
                <c:pt idx="188">
                  <c:v>0</c:v>
                </c:pt>
                <c:pt idx="189">
                  <c:v>9110</c:v>
                </c:pt>
                <c:pt idx="190">
                  <c:v>0</c:v>
                </c:pt>
                <c:pt idx="191">
                  <c:v>4691</c:v>
                </c:pt>
                <c:pt idx="192">
                  <c:v>0</c:v>
                </c:pt>
                <c:pt idx="193">
                  <c:v>0</c:v>
                </c:pt>
                <c:pt idx="194">
                  <c:v>3209</c:v>
                </c:pt>
                <c:pt idx="195">
                  <c:v>0</c:v>
                </c:pt>
                <c:pt idx="196">
                  <c:v>3712</c:v>
                </c:pt>
                <c:pt idx="197">
                  <c:v>0</c:v>
                </c:pt>
                <c:pt idx="198">
                  <c:v>0</c:v>
                </c:pt>
                <c:pt idx="199">
                  <c:v>2487</c:v>
                </c:pt>
                <c:pt idx="200">
                  <c:v>0</c:v>
                </c:pt>
                <c:pt idx="201">
                  <c:v>1162</c:v>
                </c:pt>
                <c:pt idx="202">
                  <c:v>0</c:v>
                </c:pt>
                <c:pt idx="203">
                  <c:v>0</c:v>
                </c:pt>
                <c:pt idx="204">
                  <c:v>923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0.35750412520257197</c:v>
                </c:pt>
                <c:pt idx="1">
                  <c:v>0.20118310514711685</c:v>
                </c:pt>
                <c:pt idx="2">
                  <c:v>0.44131276965031119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0.4565108759677054</c:v>
                </c:pt>
                <c:pt idx="1">
                  <c:v>0.3077406317861564</c:v>
                </c:pt>
                <c:pt idx="2">
                  <c:v>0.23574849224613828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11.5263575</c:v>
                </c:pt>
                <c:pt idx="1">
                  <c:v>7.8126274999999996</c:v>
                </c:pt>
                <c:pt idx="2">
                  <c:v>28.98075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0.40822900000000001</c:v>
                </c:pt>
                <c:pt idx="2">
                  <c:v>0.81201400000000001</c:v>
                </c:pt>
                <c:pt idx="3">
                  <c:v>1.2202599999999999</c:v>
                </c:pt>
                <c:pt idx="4">
                  <c:v>1.6283099999999999</c:v>
                </c:pt>
                <c:pt idx="5">
                  <c:v>2.03708</c:v>
                </c:pt>
                <c:pt idx="6">
                  <c:v>2.4403700000000002</c:v>
                </c:pt>
                <c:pt idx="7">
                  <c:v>2.8452899999999999</c:v>
                </c:pt>
                <c:pt idx="8">
                  <c:v>3.2521499999999999</c:v>
                </c:pt>
                <c:pt idx="9">
                  <c:v>3.66168</c:v>
                </c:pt>
                <c:pt idx="10">
                  <c:v>4.0749300000000002</c:v>
                </c:pt>
                <c:pt idx="11">
                  <c:v>4.4695600000000004</c:v>
                </c:pt>
                <c:pt idx="12">
                  <c:v>4.8776000000000002</c:v>
                </c:pt>
                <c:pt idx="13">
                  <c:v>5.2841199999999997</c:v>
                </c:pt>
                <c:pt idx="14">
                  <c:v>5.6913299999999998</c:v>
                </c:pt>
                <c:pt idx="15">
                  <c:v>6.0982099999999999</c:v>
                </c:pt>
                <c:pt idx="16">
                  <c:v>6.50129</c:v>
                </c:pt>
                <c:pt idx="17">
                  <c:v>6.90726</c:v>
                </c:pt>
                <c:pt idx="18">
                  <c:v>7.3128000000000002</c:v>
                </c:pt>
                <c:pt idx="19">
                  <c:v>7.7235399999999998</c:v>
                </c:pt>
                <c:pt idx="20">
                  <c:v>8.1278299999999994</c:v>
                </c:pt>
                <c:pt idx="21">
                  <c:v>8.5343900000000001</c:v>
                </c:pt>
                <c:pt idx="22">
                  <c:v>8.9396500000000003</c:v>
                </c:pt>
                <c:pt idx="23">
                  <c:v>9.3454499999999996</c:v>
                </c:pt>
                <c:pt idx="24">
                  <c:v>9.7541100000000007</c:v>
                </c:pt>
                <c:pt idx="25">
                  <c:v>10.160600000000001</c:v>
                </c:pt>
                <c:pt idx="26">
                  <c:v>10.567299999999999</c:v>
                </c:pt>
                <c:pt idx="27">
                  <c:v>10.969200000000001</c:v>
                </c:pt>
                <c:pt idx="28">
                  <c:v>11.376300000000001</c:v>
                </c:pt>
                <c:pt idx="29">
                  <c:v>11.7842</c:v>
                </c:pt>
                <c:pt idx="30">
                  <c:v>12.1899</c:v>
                </c:pt>
                <c:pt idx="31">
                  <c:v>12.594900000000001</c:v>
                </c:pt>
                <c:pt idx="32">
                  <c:v>12.999700000000001</c:v>
                </c:pt>
                <c:pt idx="33">
                  <c:v>13.4095</c:v>
                </c:pt>
                <c:pt idx="34">
                  <c:v>13.8133</c:v>
                </c:pt>
                <c:pt idx="35">
                  <c:v>14.220599999999999</c:v>
                </c:pt>
                <c:pt idx="36">
                  <c:v>14.627000000000001</c:v>
                </c:pt>
                <c:pt idx="37">
                  <c:v>15.0336</c:v>
                </c:pt>
                <c:pt idx="38">
                  <c:v>15.4398</c:v>
                </c:pt>
                <c:pt idx="39">
                  <c:v>15.848100000000001</c:v>
                </c:pt>
                <c:pt idx="40">
                  <c:v>16.253699999999998</c:v>
                </c:pt>
                <c:pt idx="41">
                  <c:v>16.659700000000001</c:v>
                </c:pt>
                <c:pt idx="42">
                  <c:v>17.064699999999998</c:v>
                </c:pt>
                <c:pt idx="43">
                  <c:v>17.473099999999999</c:v>
                </c:pt>
                <c:pt idx="44">
                  <c:v>17.876200000000001</c:v>
                </c:pt>
                <c:pt idx="45">
                  <c:v>18.2851</c:v>
                </c:pt>
                <c:pt idx="46">
                  <c:v>18.690799999999999</c:v>
                </c:pt>
                <c:pt idx="47">
                  <c:v>19.097100000000001</c:v>
                </c:pt>
                <c:pt idx="48">
                  <c:v>19.501000000000001</c:v>
                </c:pt>
                <c:pt idx="49">
                  <c:v>19.910699999999999</c:v>
                </c:pt>
                <c:pt idx="50">
                  <c:v>20.317399999999999</c:v>
                </c:pt>
                <c:pt idx="51">
                  <c:v>20.722799999999999</c:v>
                </c:pt>
                <c:pt idx="52">
                  <c:v>21.129899999999999</c:v>
                </c:pt>
                <c:pt idx="53">
                  <c:v>21.5321</c:v>
                </c:pt>
                <c:pt idx="54">
                  <c:v>21.939800000000002</c:v>
                </c:pt>
                <c:pt idx="55">
                  <c:v>22.3462</c:v>
                </c:pt>
                <c:pt idx="56">
                  <c:v>22.753599999999999</c:v>
                </c:pt>
                <c:pt idx="57">
                  <c:v>23.157699999999998</c:v>
                </c:pt>
                <c:pt idx="58">
                  <c:v>23.5639</c:v>
                </c:pt>
                <c:pt idx="59">
                  <c:v>23.970500000000001</c:v>
                </c:pt>
                <c:pt idx="60">
                  <c:v>24.375599999999999</c:v>
                </c:pt>
                <c:pt idx="61">
                  <c:v>24.786000000000001</c:v>
                </c:pt>
                <c:pt idx="62">
                  <c:v>25.190200000000001</c:v>
                </c:pt>
                <c:pt idx="63">
                  <c:v>25.596900000000002</c:v>
                </c:pt>
                <c:pt idx="64">
                  <c:v>26.000699999999998</c:v>
                </c:pt>
                <c:pt idx="65">
                  <c:v>26.4068</c:v>
                </c:pt>
                <c:pt idx="66">
                  <c:v>26.812799999999999</c:v>
                </c:pt>
                <c:pt idx="67">
                  <c:v>27.2197</c:v>
                </c:pt>
                <c:pt idx="68">
                  <c:v>27.63</c:v>
                </c:pt>
                <c:pt idx="69">
                  <c:v>28.034800000000001</c:v>
                </c:pt>
                <c:pt idx="70">
                  <c:v>28.4405</c:v>
                </c:pt>
                <c:pt idx="71">
                  <c:v>28.844999999999999</c:v>
                </c:pt>
                <c:pt idx="72">
                  <c:v>29.2498</c:v>
                </c:pt>
                <c:pt idx="73">
                  <c:v>29.6616</c:v>
                </c:pt>
                <c:pt idx="74">
                  <c:v>30.067599999999999</c:v>
                </c:pt>
                <c:pt idx="75">
                  <c:v>30.5533</c:v>
                </c:pt>
                <c:pt idx="76">
                  <c:v>30.940100000000001</c:v>
                </c:pt>
                <c:pt idx="77">
                  <c:v>31.336500000000001</c:v>
                </c:pt>
                <c:pt idx="78">
                  <c:v>31.736899999999999</c:v>
                </c:pt>
                <c:pt idx="79">
                  <c:v>32.142899999999997</c:v>
                </c:pt>
                <c:pt idx="80">
                  <c:v>32.546900000000001</c:v>
                </c:pt>
                <c:pt idx="81">
                  <c:v>32.958100000000002</c:v>
                </c:pt>
                <c:pt idx="82">
                  <c:v>33.3643</c:v>
                </c:pt>
                <c:pt idx="83">
                  <c:v>33.770699999999998</c:v>
                </c:pt>
                <c:pt idx="84">
                  <c:v>34.173200000000001</c:v>
                </c:pt>
                <c:pt idx="85">
                  <c:v>34.585299999999997</c:v>
                </c:pt>
                <c:pt idx="86">
                  <c:v>34.988100000000003</c:v>
                </c:pt>
                <c:pt idx="87">
                  <c:v>35.392899999999997</c:v>
                </c:pt>
                <c:pt idx="88">
                  <c:v>35.7988</c:v>
                </c:pt>
                <c:pt idx="89">
                  <c:v>36.2072</c:v>
                </c:pt>
                <c:pt idx="90">
                  <c:v>36.614100000000001</c:v>
                </c:pt>
                <c:pt idx="91">
                  <c:v>37.020000000000003</c:v>
                </c:pt>
                <c:pt idx="92">
                  <c:v>37.425199999999997</c:v>
                </c:pt>
                <c:pt idx="93">
                  <c:v>37.831899999999997</c:v>
                </c:pt>
                <c:pt idx="94">
                  <c:v>38.235500000000002</c:v>
                </c:pt>
                <c:pt idx="95">
                  <c:v>38.642499999999998</c:v>
                </c:pt>
                <c:pt idx="96">
                  <c:v>39.049500000000002</c:v>
                </c:pt>
                <c:pt idx="97">
                  <c:v>39.457799999999999</c:v>
                </c:pt>
                <c:pt idx="98">
                  <c:v>39.868499999999997</c:v>
                </c:pt>
                <c:pt idx="99">
                  <c:v>40.267800000000001</c:v>
                </c:pt>
                <c:pt idx="100">
                  <c:v>40.6736</c:v>
                </c:pt>
                <c:pt idx="101">
                  <c:v>41.079900000000002</c:v>
                </c:pt>
                <c:pt idx="102">
                  <c:v>41.491500000000002</c:v>
                </c:pt>
                <c:pt idx="103">
                  <c:v>41.896799999999999</c:v>
                </c:pt>
                <c:pt idx="104">
                  <c:v>42.298999999999999</c:v>
                </c:pt>
                <c:pt idx="105">
                  <c:v>42.704999999999998</c:v>
                </c:pt>
                <c:pt idx="106">
                  <c:v>43.116</c:v>
                </c:pt>
                <c:pt idx="107">
                  <c:v>43.521700000000003</c:v>
                </c:pt>
                <c:pt idx="108">
                  <c:v>43.928400000000003</c:v>
                </c:pt>
                <c:pt idx="109">
                  <c:v>44.329700000000003</c:v>
                </c:pt>
                <c:pt idx="110">
                  <c:v>44.736800000000002</c:v>
                </c:pt>
                <c:pt idx="111">
                  <c:v>45.141599999999997</c:v>
                </c:pt>
                <c:pt idx="112">
                  <c:v>45.549399999999999</c:v>
                </c:pt>
                <c:pt idx="113">
                  <c:v>45.957999999999998</c:v>
                </c:pt>
                <c:pt idx="114">
                  <c:v>46.360900000000001</c:v>
                </c:pt>
                <c:pt idx="115">
                  <c:v>46.766100000000002</c:v>
                </c:pt>
                <c:pt idx="116">
                  <c:v>47.176499999999997</c:v>
                </c:pt>
                <c:pt idx="117">
                  <c:v>47.584000000000003</c:v>
                </c:pt>
                <c:pt idx="118">
                  <c:v>47.9893</c:v>
                </c:pt>
                <c:pt idx="119">
                  <c:v>48.392299999999999</c:v>
                </c:pt>
                <c:pt idx="120">
                  <c:v>48.798400000000001</c:v>
                </c:pt>
                <c:pt idx="121">
                  <c:v>49.206600000000002</c:v>
                </c:pt>
                <c:pt idx="122">
                  <c:v>49.613</c:v>
                </c:pt>
                <c:pt idx="123">
                  <c:v>50.018700000000003</c:v>
                </c:pt>
                <c:pt idx="124">
                  <c:v>50.4255</c:v>
                </c:pt>
                <c:pt idx="125">
                  <c:v>50.832599999999999</c:v>
                </c:pt>
                <c:pt idx="126">
                  <c:v>51.241799999999998</c:v>
                </c:pt>
                <c:pt idx="127">
                  <c:v>51.639600000000002</c:v>
                </c:pt>
                <c:pt idx="128">
                  <c:v>52.047800000000002</c:v>
                </c:pt>
                <c:pt idx="129">
                  <c:v>52.458799999999997</c:v>
                </c:pt>
                <c:pt idx="130">
                  <c:v>52.863900000000001</c:v>
                </c:pt>
                <c:pt idx="131">
                  <c:v>53.268700000000003</c:v>
                </c:pt>
                <c:pt idx="132">
                  <c:v>53.675400000000003</c:v>
                </c:pt>
                <c:pt idx="133">
                  <c:v>54.078200000000002</c:v>
                </c:pt>
                <c:pt idx="134">
                  <c:v>54.488199999999999</c:v>
                </c:pt>
                <c:pt idx="135">
                  <c:v>54.893599999999999</c:v>
                </c:pt>
                <c:pt idx="136">
                  <c:v>55.298900000000003</c:v>
                </c:pt>
                <c:pt idx="137">
                  <c:v>55.704000000000001</c:v>
                </c:pt>
                <c:pt idx="138">
                  <c:v>56.109000000000002</c:v>
                </c:pt>
                <c:pt idx="139">
                  <c:v>56.517299999999999</c:v>
                </c:pt>
                <c:pt idx="140">
                  <c:v>56.929900000000004</c:v>
                </c:pt>
                <c:pt idx="141">
                  <c:v>57.333599999999997</c:v>
                </c:pt>
                <c:pt idx="142">
                  <c:v>57.737000000000002</c:v>
                </c:pt>
                <c:pt idx="143">
                  <c:v>58.142499999999998</c:v>
                </c:pt>
                <c:pt idx="144">
                  <c:v>58.555</c:v>
                </c:pt>
                <c:pt idx="145">
                  <c:v>58.962800000000001</c:v>
                </c:pt>
                <c:pt idx="146">
                  <c:v>59.366999999999997</c:v>
                </c:pt>
                <c:pt idx="147">
                  <c:v>59.768700000000003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3.6492000000000004</c:v>
                </c:pt>
                <c:pt idx="1">
                  <c:v>3.6370100000000001</c:v>
                </c:pt>
                <c:pt idx="2">
                  <c:v>3.6229699999999996</c:v>
                </c:pt>
                <c:pt idx="3">
                  <c:v>3.6063400000000003</c:v>
                </c:pt>
                <c:pt idx="4">
                  <c:v>3.5856599999999998</c:v>
                </c:pt>
                <c:pt idx="5">
                  <c:v>3.5634199999999998</c:v>
                </c:pt>
                <c:pt idx="6">
                  <c:v>3.5388299999999999</c:v>
                </c:pt>
                <c:pt idx="7">
                  <c:v>3.5118500000000004</c:v>
                </c:pt>
                <c:pt idx="8">
                  <c:v>3.48325</c:v>
                </c:pt>
                <c:pt idx="9">
                  <c:v>3.4548099999999997</c:v>
                </c:pt>
                <c:pt idx="10">
                  <c:v>3.4243399999999999</c:v>
                </c:pt>
                <c:pt idx="11">
                  <c:v>3.3932500000000001</c:v>
                </c:pt>
                <c:pt idx="12">
                  <c:v>3.3593699999999997</c:v>
                </c:pt>
                <c:pt idx="13">
                  <c:v>3.3239700000000001</c:v>
                </c:pt>
                <c:pt idx="14">
                  <c:v>3.2870700000000004</c:v>
                </c:pt>
                <c:pt idx="15">
                  <c:v>3.2485000000000004</c:v>
                </c:pt>
                <c:pt idx="16">
                  <c:v>3.2101299999999999</c:v>
                </c:pt>
                <c:pt idx="17">
                  <c:v>3.1732100000000001</c:v>
                </c:pt>
                <c:pt idx="18">
                  <c:v>3.1376900000000001</c:v>
                </c:pt>
                <c:pt idx="19">
                  <c:v>3.1041499999999997</c:v>
                </c:pt>
                <c:pt idx="20">
                  <c:v>3.0723799999999999</c:v>
                </c:pt>
                <c:pt idx="21">
                  <c:v>3.0399799999999999</c:v>
                </c:pt>
                <c:pt idx="22">
                  <c:v>3.0086400000000002</c:v>
                </c:pt>
                <c:pt idx="23">
                  <c:v>2.9823699999999995</c:v>
                </c:pt>
                <c:pt idx="24">
                  <c:v>2.9618499999999996</c:v>
                </c:pt>
                <c:pt idx="25">
                  <c:v>2.9496000000000002</c:v>
                </c:pt>
                <c:pt idx="26">
                  <c:v>2.94591</c:v>
                </c:pt>
                <c:pt idx="27">
                  <c:v>2.94835</c:v>
                </c:pt>
                <c:pt idx="28">
                  <c:v>2.95573</c:v>
                </c:pt>
                <c:pt idx="29">
                  <c:v>2.96549</c:v>
                </c:pt>
                <c:pt idx="30">
                  <c:v>2.9744100000000002</c:v>
                </c:pt>
                <c:pt idx="31">
                  <c:v>2.9794100000000001</c:v>
                </c:pt>
                <c:pt idx="32">
                  <c:v>2.9852400000000001</c:v>
                </c:pt>
                <c:pt idx="33">
                  <c:v>2.99485</c:v>
                </c:pt>
                <c:pt idx="34">
                  <c:v>3.0103900000000001</c:v>
                </c:pt>
                <c:pt idx="35">
                  <c:v>3.0283600000000002</c:v>
                </c:pt>
                <c:pt idx="36">
                  <c:v>3.0445000000000002</c:v>
                </c:pt>
                <c:pt idx="37">
                  <c:v>3.05985</c:v>
                </c:pt>
                <c:pt idx="38">
                  <c:v>3.0742799999999999</c:v>
                </c:pt>
                <c:pt idx="39">
                  <c:v>3.0875699999999999</c:v>
                </c:pt>
                <c:pt idx="40">
                  <c:v>3.1009599999999997</c:v>
                </c:pt>
                <c:pt idx="41">
                  <c:v>3.1126800000000001</c:v>
                </c:pt>
                <c:pt idx="42">
                  <c:v>3.1235600000000003</c:v>
                </c:pt>
                <c:pt idx="43">
                  <c:v>3.1352000000000002</c:v>
                </c:pt>
                <c:pt idx="44">
                  <c:v>3.1471300000000002</c:v>
                </c:pt>
                <c:pt idx="45">
                  <c:v>3.1585400000000003</c:v>
                </c:pt>
                <c:pt idx="46">
                  <c:v>3.1657899999999999</c:v>
                </c:pt>
                <c:pt idx="47">
                  <c:v>3.1720999999999999</c:v>
                </c:pt>
                <c:pt idx="48">
                  <c:v>3.1763000000000003</c:v>
                </c:pt>
                <c:pt idx="49">
                  <c:v>3.1779700000000002</c:v>
                </c:pt>
                <c:pt idx="50">
                  <c:v>3.1783299999999999</c:v>
                </c:pt>
                <c:pt idx="51">
                  <c:v>3.1730700000000001</c:v>
                </c:pt>
                <c:pt idx="52">
                  <c:v>3.16527</c:v>
                </c:pt>
                <c:pt idx="53">
                  <c:v>3.1580399999999997</c:v>
                </c:pt>
                <c:pt idx="54">
                  <c:v>3.1527899999999995</c:v>
                </c:pt>
                <c:pt idx="55">
                  <c:v>3.1510400000000001</c:v>
                </c:pt>
                <c:pt idx="56">
                  <c:v>3.1533299999999995</c:v>
                </c:pt>
                <c:pt idx="57">
                  <c:v>3.1587800000000001</c:v>
                </c:pt>
                <c:pt idx="58">
                  <c:v>3.1630599999999998</c:v>
                </c:pt>
                <c:pt idx="59">
                  <c:v>3.1635999999999997</c:v>
                </c:pt>
                <c:pt idx="60">
                  <c:v>3.1630399999999996</c:v>
                </c:pt>
                <c:pt idx="61">
                  <c:v>3.1650099999999997</c:v>
                </c:pt>
                <c:pt idx="62">
                  <c:v>3.1656400000000002</c:v>
                </c:pt>
                <c:pt idx="63">
                  <c:v>3.1753399999999998</c:v>
                </c:pt>
                <c:pt idx="64">
                  <c:v>3.1791100000000001</c:v>
                </c:pt>
                <c:pt idx="65">
                  <c:v>3.1844099999999997</c:v>
                </c:pt>
                <c:pt idx="66">
                  <c:v>3.1867299999999998</c:v>
                </c:pt>
                <c:pt idx="67">
                  <c:v>3.1925500000000002</c:v>
                </c:pt>
                <c:pt idx="68">
                  <c:v>3.2023700000000002</c:v>
                </c:pt>
                <c:pt idx="69">
                  <c:v>3.2119</c:v>
                </c:pt>
                <c:pt idx="70">
                  <c:v>3.2229400000000004</c:v>
                </c:pt>
                <c:pt idx="71">
                  <c:v>3.2422299999999997</c:v>
                </c:pt>
                <c:pt idx="72">
                  <c:v>3.2552300000000001</c:v>
                </c:pt>
                <c:pt idx="73">
                  <c:v>3.27901</c:v>
                </c:pt>
                <c:pt idx="74">
                  <c:v>3.2973400000000002</c:v>
                </c:pt>
                <c:pt idx="75">
                  <c:v>3.3202400000000001</c:v>
                </c:pt>
                <c:pt idx="76">
                  <c:v>3.3426899999999997</c:v>
                </c:pt>
                <c:pt idx="77">
                  <c:v>3.3637800000000002</c:v>
                </c:pt>
                <c:pt idx="78">
                  <c:v>3.3869600000000002</c:v>
                </c:pt>
                <c:pt idx="79">
                  <c:v>3.4114499999999999</c:v>
                </c:pt>
                <c:pt idx="80">
                  <c:v>3.4361100000000002</c:v>
                </c:pt>
                <c:pt idx="81">
                  <c:v>3.4604400000000002</c:v>
                </c:pt>
                <c:pt idx="82">
                  <c:v>3.4822100000000002</c:v>
                </c:pt>
                <c:pt idx="83">
                  <c:v>3.5044900000000001</c:v>
                </c:pt>
                <c:pt idx="84">
                  <c:v>3.5272600000000001</c:v>
                </c:pt>
                <c:pt idx="85">
                  <c:v>3.5513299999999997</c:v>
                </c:pt>
                <c:pt idx="86">
                  <c:v>3.5810300000000002</c:v>
                </c:pt>
                <c:pt idx="87">
                  <c:v>3.6126399999999999</c:v>
                </c:pt>
                <c:pt idx="88">
                  <c:v>3.6410199999999997</c:v>
                </c:pt>
                <c:pt idx="89">
                  <c:v>3.6668699999999999</c:v>
                </c:pt>
                <c:pt idx="90">
                  <c:v>3.6867800000000002</c:v>
                </c:pt>
                <c:pt idx="91">
                  <c:v>3.7059100000000003</c:v>
                </c:pt>
                <c:pt idx="92">
                  <c:v>3.7213800000000004</c:v>
                </c:pt>
                <c:pt idx="93">
                  <c:v>3.7334299999999998</c:v>
                </c:pt>
                <c:pt idx="94">
                  <c:v>3.7404100000000002</c:v>
                </c:pt>
                <c:pt idx="95">
                  <c:v>3.7461000000000002</c:v>
                </c:pt>
                <c:pt idx="96">
                  <c:v>3.7458100000000001</c:v>
                </c:pt>
                <c:pt idx="97">
                  <c:v>3.7449300000000001</c:v>
                </c:pt>
                <c:pt idx="98">
                  <c:v>3.74098</c:v>
                </c:pt>
                <c:pt idx="99">
                  <c:v>3.7359499999999999</c:v>
                </c:pt>
                <c:pt idx="100">
                  <c:v>3.7248900000000003</c:v>
                </c:pt>
                <c:pt idx="101">
                  <c:v>3.7141800000000003</c:v>
                </c:pt>
                <c:pt idx="102">
                  <c:v>3.7008799999999997</c:v>
                </c:pt>
                <c:pt idx="103">
                  <c:v>3.6830099999999999</c:v>
                </c:pt>
                <c:pt idx="104">
                  <c:v>3.6584299999999996</c:v>
                </c:pt>
                <c:pt idx="105">
                  <c:v>3.6291600000000002</c:v>
                </c:pt>
                <c:pt idx="106">
                  <c:v>3.5949</c:v>
                </c:pt>
                <c:pt idx="107">
                  <c:v>3.5596800000000002</c:v>
                </c:pt>
                <c:pt idx="108">
                  <c:v>3.5224000000000002</c:v>
                </c:pt>
                <c:pt idx="109">
                  <c:v>3.4853899999999998</c:v>
                </c:pt>
                <c:pt idx="110">
                  <c:v>3.4468900000000002</c:v>
                </c:pt>
                <c:pt idx="111">
                  <c:v>3.4005600000000005</c:v>
                </c:pt>
                <c:pt idx="112">
                  <c:v>3.3444500000000001</c:v>
                </c:pt>
                <c:pt idx="113">
                  <c:v>3.2905600000000002</c:v>
                </c:pt>
                <c:pt idx="114">
                  <c:v>3.24085</c:v>
                </c:pt>
                <c:pt idx="115">
                  <c:v>3.1957100000000001</c:v>
                </c:pt>
                <c:pt idx="116">
                  <c:v>3.1538599999999999</c:v>
                </c:pt>
                <c:pt idx="117">
                  <c:v>3.1180500000000002</c:v>
                </c:pt>
                <c:pt idx="118">
                  <c:v>3.0904700000000003</c:v>
                </c:pt>
                <c:pt idx="119">
                  <c:v>3.07037</c:v>
                </c:pt>
                <c:pt idx="120">
                  <c:v>3.0531000000000001</c:v>
                </c:pt>
                <c:pt idx="121">
                  <c:v>3.0389300000000001</c:v>
                </c:pt>
                <c:pt idx="122">
                  <c:v>3.0284399999999998</c:v>
                </c:pt>
                <c:pt idx="123">
                  <c:v>3.0242499999999999</c:v>
                </c:pt>
                <c:pt idx="124">
                  <c:v>3.0074800000000002</c:v>
                </c:pt>
                <c:pt idx="125">
                  <c:v>2.9926399999999997</c:v>
                </c:pt>
                <c:pt idx="126">
                  <c:v>2.97634</c:v>
                </c:pt>
                <c:pt idx="127">
                  <c:v>2.9635699999999998</c:v>
                </c:pt>
                <c:pt idx="128">
                  <c:v>2.9525000000000001</c:v>
                </c:pt>
                <c:pt idx="129">
                  <c:v>2.9480899999999997</c:v>
                </c:pt>
                <c:pt idx="130">
                  <c:v>2.9470299999999998</c:v>
                </c:pt>
                <c:pt idx="131">
                  <c:v>2.9520499999999998</c:v>
                </c:pt>
                <c:pt idx="132">
                  <c:v>2.9610300000000001</c:v>
                </c:pt>
                <c:pt idx="133">
                  <c:v>2.9736699999999998</c:v>
                </c:pt>
                <c:pt idx="134">
                  <c:v>2.9857200000000002</c:v>
                </c:pt>
                <c:pt idx="135">
                  <c:v>2.99777</c:v>
                </c:pt>
                <c:pt idx="136">
                  <c:v>3.0130600000000003</c:v>
                </c:pt>
                <c:pt idx="137">
                  <c:v>3.03721</c:v>
                </c:pt>
                <c:pt idx="138">
                  <c:v>3.0635499999999998</c:v>
                </c:pt>
                <c:pt idx="139">
                  <c:v>3.0928499999999999</c:v>
                </c:pt>
                <c:pt idx="140">
                  <c:v>3.1275399999999998</c:v>
                </c:pt>
                <c:pt idx="141">
                  <c:v>3.1623000000000001</c:v>
                </c:pt>
                <c:pt idx="142">
                  <c:v>3.1966800000000002</c:v>
                </c:pt>
                <c:pt idx="143">
                  <c:v>3.2249499999999998</c:v>
                </c:pt>
                <c:pt idx="144">
                  <c:v>3.2488600000000001</c:v>
                </c:pt>
                <c:pt idx="145">
                  <c:v>3.2662000000000004</c:v>
                </c:pt>
                <c:pt idx="146">
                  <c:v>3.28762</c:v>
                </c:pt>
                <c:pt idx="147">
                  <c:v>3.3102999999999998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0.40822900000000001</c:v>
                </c:pt>
                <c:pt idx="2">
                  <c:v>0.81201400000000001</c:v>
                </c:pt>
                <c:pt idx="3">
                  <c:v>1.2202599999999999</c:v>
                </c:pt>
                <c:pt idx="4">
                  <c:v>1.6283099999999999</c:v>
                </c:pt>
                <c:pt idx="5">
                  <c:v>2.03708</c:v>
                </c:pt>
                <c:pt idx="6">
                  <c:v>2.4403700000000002</c:v>
                </c:pt>
                <c:pt idx="7">
                  <c:v>2.8452899999999999</c:v>
                </c:pt>
                <c:pt idx="8">
                  <c:v>3.2521499999999999</c:v>
                </c:pt>
                <c:pt idx="9">
                  <c:v>3.66168</c:v>
                </c:pt>
                <c:pt idx="10">
                  <c:v>4.0749300000000002</c:v>
                </c:pt>
                <c:pt idx="11">
                  <c:v>4.4695600000000004</c:v>
                </c:pt>
                <c:pt idx="12">
                  <c:v>4.8776000000000002</c:v>
                </c:pt>
                <c:pt idx="13">
                  <c:v>5.2841199999999997</c:v>
                </c:pt>
                <c:pt idx="14">
                  <c:v>5.6913299999999998</c:v>
                </c:pt>
                <c:pt idx="15">
                  <c:v>6.0982099999999999</c:v>
                </c:pt>
                <c:pt idx="16">
                  <c:v>6.50129</c:v>
                </c:pt>
                <c:pt idx="17">
                  <c:v>6.90726</c:v>
                </c:pt>
                <c:pt idx="18">
                  <c:v>7.3128000000000002</c:v>
                </c:pt>
                <c:pt idx="19">
                  <c:v>7.7235399999999998</c:v>
                </c:pt>
                <c:pt idx="20">
                  <c:v>8.1278299999999994</c:v>
                </c:pt>
                <c:pt idx="21">
                  <c:v>8.5343900000000001</c:v>
                </c:pt>
                <c:pt idx="22">
                  <c:v>8.9396500000000003</c:v>
                </c:pt>
                <c:pt idx="23">
                  <c:v>9.3454499999999996</c:v>
                </c:pt>
                <c:pt idx="24">
                  <c:v>9.7541100000000007</c:v>
                </c:pt>
                <c:pt idx="25">
                  <c:v>10.160600000000001</c:v>
                </c:pt>
                <c:pt idx="26">
                  <c:v>10.567299999999999</c:v>
                </c:pt>
                <c:pt idx="27">
                  <c:v>10.969200000000001</c:v>
                </c:pt>
                <c:pt idx="28">
                  <c:v>11.376300000000001</c:v>
                </c:pt>
                <c:pt idx="29">
                  <c:v>11.7842</c:v>
                </c:pt>
                <c:pt idx="30">
                  <c:v>12.1899</c:v>
                </c:pt>
                <c:pt idx="31">
                  <c:v>12.594900000000001</c:v>
                </c:pt>
                <c:pt idx="32">
                  <c:v>12.999700000000001</c:v>
                </c:pt>
                <c:pt idx="33">
                  <c:v>13.4095</c:v>
                </c:pt>
                <c:pt idx="34">
                  <c:v>13.8133</c:v>
                </c:pt>
                <c:pt idx="35">
                  <c:v>14.220599999999999</c:v>
                </c:pt>
                <c:pt idx="36">
                  <c:v>14.627000000000001</c:v>
                </c:pt>
                <c:pt idx="37">
                  <c:v>15.0336</c:v>
                </c:pt>
                <c:pt idx="38">
                  <c:v>15.4398</c:v>
                </c:pt>
                <c:pt idx="39">
                  <c:v>15.848100000000001</c:v>
                </c:pt>
                <c:pt idx="40">
                  <c:v>16.253699999999998</c:v>
                </c:pt>
                <c:pt idx="41">
                  <c:v>16.659700000000001</c:v>
                </c:pt>
                <c:pt idx="42">
                  <c:v>17.064699999999998</c:v>
                </c:pt>
                <c:pt idx="43">
                  <c:v>17.473099999999999</c:v>
                </c:pt>
                <c:pt idx="44">
                  <c:v>17.876200000000001</c:v>
                </c:pt>
                <c:pt idx="45">
                  <c:v>18.2851</c:v>
                </c:pt>
                <c:pt idx="46">
                  <c:v>18.690799999999999</c:v>
                </c:pt>
                <c:pt idx="47">
                  <c:v>19.097100000000001</c:v>
                </c:pt>
                <c:pt idx="48">
                  <c:v>19.501000000000001</c:v>
                </c:pt>
                <c:pt idx="49">
                  <c:v>19.910699999999999</c:v>
                </c:pt>
                <c:pt idx="50">
                  <c:v>20.317399999999999</c:v>
                </c:pt>
                <c:pt idx="51">
                  <c:v>20.722799999999999</c:v>
                </c:pt>
                <c:pt idx="52">
                  <c:v>21.129899999999999</c:v>
                </c:pt>
                <c:pt idx="53">
                  <c:v>21.5321</c:v>
                </c:pt>
                <c:pt idx="54">
                  <c:v>21.939800000000002</c:v>
                </c:pt>
                <c:pt idx="55">
                  <c:v>22.3462</c:v>
                </c:pt>
                <c:pt idx="56">
                  <c:v>22.753599999999999</c:v>
                </c:pt>
                <c:pt idx="57">
                  <c:v>23.157699999999998</c:v>
                </c:pt>
                <c:pt idx="58">
                  <c:v>23.5639</c:v>
                </c:pt>
                <c:pt idx="59">
                  <c:v>23.970500000000001</c:v>
                </c:pt>
                <c:pt idx="60">
                  <c:v>24.375599999999999</c:v>
                </c:pt>
                <c:pt idx="61">
                  <c:v>24.786000000000001</c:v>
                </c:pt>
                <c:pt idx="62">
                  <c:v>25.190200000000001</c:v>
                </c:pt>
                <c:pt idx="63">
                  <c:v>25.596900000000002</c:v>
                </c:pt>
                <c:pt idx="64">
                  <c:v>26.000699999999998</c:v>
                </c:pt>
                <c:pt idx="65">
                  <c:v>26.4068</c:v>
                </c:pt>
                <c:pt idx="66">
                  <c:v>26.812799999999999</c:v>
                </c:pt>
                <c:pt idx="67">
                  <c:v>27.2197</c:v>
                </c:pt>
                <c:pt idx="68">
                  <c:v>27.63</c:v>
                </c:pt>
                <c:pt idx="69">
                  <c:v>28.034800000000001</c:v>
                </c:pt>
                <c:pt idx="70">
                  <c:v>28.4405</c:v>
                </c:pt>
                <c:pt idx="71">
                  <c:v>28.844999999999999</c:v>
                </c:pt>
                <c:pt idx="72">
                  <c:v>29.2498</c:v>
                </c:pt>
                <c:pt idx="73">
                  <c:v>29.6616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3.6492000000000004</c:v>
                </c:pt>
                <c:pt idx="1">
                  <c:v>3.6370100000000001</c:v>
                </c:pt>
                <c:pt idx="2">
                  <c:v>3.6229699999999996</c:v>
                </c:pt>
                <c:pt idx="3">
                  <c:v>3.6063400000000003</c:v>
                </c:pt>
                <c:pt idx="4">
                  <c:v>3.5856599999999998</c:v>
                </c:pt>
                <c:pt idx="5">
                  <c:v>3.5634199999999998</c:v>
                </c:pt>
                <c:pt idx="6">
                  <c:v>3.5388299999999999</c:v>
                </c:pt>
                <c:pt idx="7">
                  <c:v>3.5118500000000004</c:v>
                </c:pt>
                <c:pt idx="8">
                  <c:v>3.48325</c:v>
                </c:pt>
                <c:pt idx="9">
                  <c:v>3.4548099999999997</c:v>
                </c:pt>
                <c:pt idx="10">
                  <c:v>3.4243399999999999</c:v>
                </c:pt>
                <c:pt idx="11">
                  <c:v>3.3932500000000001</c:v>
                </c:pt>
                <c:pt idx="12">
                  <c:v>3.3593699999999997</c:v>
                </c:pt>
                <c:pt idx="13">
                  <c:v>3.3239700000000001</c:v>
                </c:pt>
                <c:pt idx="14">
                  <c:v>3.2870700000000004</c:v>
                </c:pt>
                <c:pt idx="15">
                  <c:v>3.2485000000000004</c:v>
                </c:pt>
                <c:pt idx="16">
                  <c:v>3.2101299999999999</c:v>
                </c:pt>
                <c:pt idx="17">
                  <c:v>3.1732100000000001</c:v>
                </c:pt>
                <c:pt idx="18">
                  <c:v>3.1376900000000001</c:v>
                </c:pt>
                <c:pt idx="19">
                  <c:v>3.1041499999999997</c:v>
                </c:pt>
                <c:pt idx="20">
                  <c:v>3.0723799999999999</c:v>
                </c:pt>
                <c:pt idx="21">
                  <c:v>3.0399799999999999</c:v>
                </c:pt>
                <c:pt idx="22">
                  <c:v>3.0086400000000002</c:v>
                </c:pt>
                <c:pt idx="23">
                  <c:v>2.9823699999999995</c:v>
                </c:pt>
                <c:pt idx="24">
                  <c:v>2.9618499999999996</c:v>
                </c:pt>
                <c:pt idx="25">
                  <c:v>2.9496000000000002</c:v>
                </c:pt>
                <c:pt idx="26">
                  <c:v>2.94591</c:v>
                </c:pt>
                <c:pt idx="27">
                  <c:v>2.94835</c:v>
                </c:pt>
                <c:pt idx="28">
                  <c:v>2.95573</c:v>
                </c:pt>
                <c:pt idx="29">
                  <c:v>2.96549</c:v>
                </c:pt>
                <c:pt idx="30">
                  <c:v>2.9744100000000002</c:v>
                </c:pt>
                <c:pt idx="31">
                  <c:v>2.9794100000000001</c:v>
                </c:pt>
                <c:pt idx="32">
                  <c:v>2.9852400000000001</c:v>
                </c:pt>
                <c:pt idx="33">
                  <c:v>2.99485</c:v>
                </c:pt>
                <c:pt idx="34">
                  <c:v>3.0103900000000001</c:v>
                </c:pt>
                <c:pt idx="35">
                  <c:v>3.0283600000000002</c:v>
                </c:pt>
                <c:pt idx="36">
                  <c:v>3.0445000000000002</c:v>
                </c:pt>
                <c:pt idx="37">
                  <c:v>3.05985</c:v>
                </c:pt>
                <c:pt idx="38">
                  <c:v>3.0742799999999999</c:v>
                </c:pt>
                <c:pt idx="39">
                  <c:v>3.0875699999999999</c:v>
                </c:pt>
                <c:pt idx="40">
                  <c:v>3.1009599999999997</c:v>
                </c:pt>
                <c:pt idx="41">
                  <c:v>3.1126800000000001</c:v>
                </c:pt>
                <c:pt idx="42">
                  <c:v>3.1235600000000003</c:v>
                </c:pt>
                <c:pt idx="43">
                  <c:v>3.1352000000000002</c:v>
                </c:pt>
                <c:pt idx="44">
                  <c:v>3.1471300000000002</c:v>
                </c:pt>
                <c:pt idx="45">
                  <c:v>3.1585400000000003</c:v>
                </c:pt>
                <c:pt idx="46">
                  <c:v>3.1657899999999999</c:v>
                </c:pt>
                <c:pt idx="47">
                  <c:v>3.1720999999999999</c:v>
                </c:pt>
                <c:pt idx="48">
                  <c:v>3.1763000000000003</c:v>
                </c:pt>
                <c:pt idx="49">
                  <c:v>3.1779700000000002</c:v>
                </c:pt>
                <c:pt idx="50">
                  <c:v>3.1783299999999999</c:v>
                </c:pt>
                <c:pt idx="51">
                  <c:v>3.1730700000000001</c:v>
                </c:pt>
                <c:pt idx="52">
                  <c:v>3.16527</c:v>
                </c:pt>
                <c:pt idx="53">
                  <c:v>3.1580399999999997</c:v>
                </c:pt>
                <c:pt idx="54">
                  <c:v>3.1527899999999995</c:v>
                </c:pt>
                <c:pt idx="55">
                  <c:v>3.1510400000000001</c:v>
                </c:pt>
                <c:pt idx="56">
                  <c:v>3.1533299999999995</c:v>
                </c:pt>
                <c:pt idx="57">
                  <c:v>3.1587800000000001</c:v>
                </c:pt>
                <c:pt idx="58">
                  <c:v>3.1630599999999998</c:v>
                </c:pt>
                <c:pt idx="59">
                  <c:v>3.1635999999999997</c:v>
                </c:pt>
                <c:pt idx="60">
                  <c:v>3.1630399999999996</c:v>
                </c:pt>
                <c:pt idx="61">
                  <c:v>3.1650099999999997</c:v>
                </c:pt>
                <c:pt idx="62">
                  <c:v>3.1656400000000002</c:v>
                </c:pt>
                <c:pt idx="63">
                  <c:v>3.1753399999999998</c:v>
                </c:pt>
                <c:pt idx="64">
                  <c:v>3.1791100000000001</c:v>
                </c:pt>
                <c:pt idx="65">
                  <c:v>3.1844099999999997</c:v>
                </c:pt>
                <c:pt idx="66">
                  <c:v>3.1867299999999998</c:v>
                </c:pt>
                <c:pt idx="67">
                  <c:v>3.1925500000000002</c:v>
                </c:pt>
                <c:pt idx="68">
                  <c:v>3.2023700000000002</c:v>
                </c:pt>
                <c:pt idx="69">
                  <c:v>3.2119</c:v>
                </c:pt>
                <c:pt idx="70">
                  <c:v>3.2229400000000004</c:v>
                </c:pt>
                <c:pt idx="71">
                  <c:v>3.2422299999999997</c:v>
                </c:pt>
                <c:pt idx="72">
                  <c:v>3.2552300000000001</c:v>
                </c:pt>
                <c:pt idx="73">
                  <c:v>3.27901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29.6616</c:v>
                </c:pt>
                <c:pt idx="1">
                  <c:v>30.067599999999999</c:v>
                </c:pt>
                <c:pt idx="2">
                  <c:v>30.5533</c:v>
                </c:pt>
                <c:pt idx="3">
                  <c:v>30.940100000000001</c:v>
                </c:pt>
                <c:pt idx="4">
                  <c:v>31.336500000000001</c:v>
                </c:pt>
                <c:pt idx="5">
                  <c:v>31.736899999999999</c:v>
                </c:pt>
                <c:pt idx="6">
                  <c:v>32.142899999999997</c:v>
                </c:pt>
                <c:pt idx="7">
                  <c:v>32.546900000000001</c:v>
                </c:pt>
                <c:pt idx="8">
                  <c:v>32.958100000000002</c:v>
                </c:pt>
                <c:pt idx="9">
                  <c:v>33.3643</c:v>
                </c:pt>
                <c:pt idx="10">
                  <c:v>33.770699999999998</c:v>
                </c:pt>
                <c:pt idx="11">
                  <c:v>34.173200000000001</c:v>
                </c:pt>
                <c:pt idx="12">
                  <c:v>34.585299999999997</c:v>
                </c:pt>
                <c:pt idx="13">
                  <c:v>34.988100000000003</c:v>
                </c:pt>
                <c:pt idx="14">
                  <c:v>35.392899999999997</c:v>
                </c:pt>
                <c:pt idx="15">
                  <c:v>35.7988</c:v>
                </c:pt>
                <c:pt idx="16">
                  <c:v>36.2072</c:v>
                </c:pt>
                <c:pt idx="17">
                  <c:v>36.614100000000001</c:v>
                </c:pt>
                <c:pt idx="18">
                  <c:v>37.020000000000003</c:v>
                </c:pt>
                <c:pt idx="19">
                  <c:v>37.425199999999997</c:v>
                </c:pt>
                <c:pt idx="20">
                  <c:v>37.831899999999997</c:v>
                </c:pt>
                <c:pt idx="21">
                  <c:v>38.235500000000002</c:v>
                </c:pt>
                <c:pt idx="22">
                  <c:v>38.642499999999998</c:v>
                </c:pt>
                <c:pt idx="23">
                  <c:v>39.049500000000002</c:v>
                </c:pt>
                <c:pt idx="24">
                  <c:v>39.457799999999999</c:v>
                </c:pt>
                <c:pt idx="25">
                  <c:v>39.868499999999997</c:v>
                </c:pt>
                <c:pt idx="26">
                  <c:v>40.267800000000001</c:v>
                </c:pt>
                <c:pt idx="27">
                  <c:v>40.6736</c:v>
                </c:pt>
                <c:pt idx="28">
                  <c:v>41.079900000000002</c:v>
                </c:pt>
                <c:pt idx="29">
                  <c:v>41.491500000000002</c:v>
                </c:pt>
                <c:pt idx="30">
                  <c:v>41.896799999999999</c:v>
                </c:pt>
                <c:pt idx="31">
                  <c:v>42.298999999999999</c:v>
                </c:pt>
                <c:pt idx="32">
                  <c:v>42.704999999999998</c:v>
                </c:pt>
                <c:pt idx="33">
                  <c:v>43.116</c:v>
                </c:pt>
                <c:pt idx="34">
                  <c:v>43.521700000000003</c:v>
                </c:pt>
                <c:pt idx="35">
                  <c:v>43.928400000000003</c:v>
                </c:pt>
                <c:pt idx="36">
                  <c:v>44.329700000000003</c:v>
                </c:pt>
                <c:pt idx="37">
                  <c:v>44.736800000000002</c:v>
                </c:pt>
                <c:pt idx="38">
                  <c:v>45.141599999999997</c:v>
                </c:pt>
                <c:pt idx="39">
                  <c:v>45.549399999999999</c:v>
                </c:pt>
                <c:pt idx="40">
                  <c:v>45.957999999999998</c:v>
                </c:pt>
                <c:pt idx="41">
                  <c:v>46.360900000000001</c:v>
                </c:pt>
                <c:pt idx="42">
                  <c:v>46.766100000000002</c:v>
                </c:pt>
                <c:pt idx="43">
                  <c:v>47.176499999999997</c:v>
                </c:pt>
                <c:pt idx="44">
                  <c:v>47.584000000000003</c:v>
                </c:pt>
                <c:pt idx="45">
                  <c:v>47.9893</c:v>
                </c:pt>
                <c:pt idx="46">
                  <c:v>48.392299999999999</c:v>
                </c:pt>
                <c:pt idx="47">
                  <c:v>48.798400000000001</c:v>
                </c:pt>
                <c:pt idx="48">
                  <c:v>49.206600000000002</c:v>
                </c:pt>
                <c:pt idx="49">
                  <c:v>49.613</c:v>
                </c:pt>
                <c:pt idx="50">
                  <c:v>50.018700000000003</c:v>
                </c:pt>
                <c:pt idx="51">
                  <c:v>50.4255</c:v>
                </c:pt>
                <c:pt idx="52">
                  <c:v>50.832599999999999</c:v>
                </c:pt>
                <c:pt idx="53">
                  <c:v>51.241799999999998</c:v>
                </c:pt>
                <c:pt idx="54">
                  <c:v>51.639600000000002</c:v>
                </c:pt>
                <c:pt idx="55">
                  <c:v>52.047800000000002</c:v>
                </c:pt>
                <c:pt idx="56">
                  <c:v>52.458799999999997</c:v>
                </c:pt>
                <c:pt idx="57">
                  <c:v>52.863900000000001</c:v>
                </c:pt>
                <c:pt idx="58">
                  <c:v>53.268700000000003</c:v>
                </c:pt>
                <c:pt idx="59">
                  <c:v>53.675400000000003</c:v>
                </c:pt>
                <c:pt idx="60">
                  <c:v>54.078200000000002</c:v>
                </c:pt>
                <c:pt idx="61">
                  <c:v>54.488199999999999</c:v>
                </c:pt>
                <c:pt idx="62">
                  <c:v>54.893599999999999</c:v>
                </c:pt>
                <c:pt idx="63">
                  <c:v>55.298900000000003</c:v>
                </c:pt>
                <c:pt idx="64">
                  <c:v>55.704000000000001</c:v>
                </c:pt>
                <c:pt idx="65">
                  <c:v>56.109000000000002</c:v>
                </c:pt>
                <c:pt idx="66">
                  <c:v>56.517299999999999</c:v>
                </c:pt>
                <c:pt idx="67">
                  <c:v>56.929900000000004</c:v>
                </c:pt>
                <c:pt idx="68">
                  <c:v>57.333599999999997</c:v>
                </c:pt>
                <c:pt idx="69">
                  <c:v>57.737000000000002</c:v>
                </c:pt>
                <c:pt idx="70">
                  <c:v>58.142499999999998</c:v>
                </c:pt>
                <c:pt idx="71">
                  <c:v>58.555</c:v>
                </c:pt>
                <c:pt idx="72">
                  <c:v>58.962800000000001</c:v>
                </c:pt>
                <c:pt idx="73">
                  <c:v>59.366999999999997</c:v>
                </c:pt>
                <c:pt idx="74">
                  <c:v>59.768700000000003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3.27901</c:v>
                </c:pt>
                <c:pt idx="1">
                  <c:v>3.2973400000000002</c:v>
                </c:pt>
                <c:pt idx="2">
                  <c:v>3.3202400000000001</c:v>
                </c:pt>
                <c:pt idx="3">
                  <c:v>3.3426899999999997</c:v>
                </c:pt>
                <c:pt idx="4">
                  <c:v>3.3637800000000002</c:v>
                </c:pt>
                <c:pt idx="5">
                  <c:v>3.3869600000000002</c:v>
                </c:pt>
                <c:pt idx="6">
                  <c:v>3.4114499999999999</c:v>
                </c:pt>
                <c:pt idx="7">
                  <c:v>3.4361100000000002</c:v>
                </c:pt>
                <c:pt idx="8">
                  <c:v>3.4604400000000002</c:v>
                </c:pt>
                <c:pt idx="9">
                  <c:v>3.4822100000000002</c:v>
                </c:pt>
                <c:pt idx="10">
                  <c:v>3.5044900000000001</c:v>
                </c:pt>
                <c:pt idx="11">
                  <c:v>3.5272600000000001</c:v>
                </c:pt>
                <c:pt idx="12">
                  <c:v>3.5513299999999997</c:v>
                </c:pt>
                <c:pt idx="13">
                  <c:v>3.5810300000000002</c:v>
                </c:pt>
                <c:pt idx="14">
                  <c:v>3.6126399999999999</c:v>
                </c:pt>
                <c:pt idx="15">
                  <c:v>3.6410199999999997</c:v>
                </c:pt>
                <c:pt idx="16">
                  <c:v>3.6668699999999999</c:v>
                </c:pt>
                <c:pt idx="17">
                  <c:v>3.6867800000000002</c:v>
                </c:pt>
                <c:pt idx="18">
                  <c:v>3.7059100000000003</c:v>
                </c:pt>
                <c:pt idx="19">
                  <c:v>3.7213800000000004</c:v>
                </c:pt>
                <c:pt idx="20">
                  <c:v>3.7334299999999998</c:v>
                </c:pt>
                <c:pt idx="21">
                  <c:v>3.7404100000000002</c:v>
                </c:pt>
                <c:pt idx="22">
                  <c:v>3.7461000000000002</c:v>
                </c:pt>
                <c:pt idx="23">
                  <c:v>3.7458100000000001</c:v>
                </c:pt>
                <c:pt idx="24">
                  <c:v>3.7449300000000001</c:v>
                </c:pt>
                <c:pt idx="25">
                  <c:v>3.74098</c:v>
                </c:pt>
                <c:pt idx="26">
                  <c:v>3.7359499999999999</c:v>
                </c:pt>
                <c:pt idx="27">
                  <c:v>3.7248900000000003</c:v>
                </c:pt>
                <c:pt idx="28">
                  <c:v>3.7141800000000003</c:v>
                </c:pt>
                <c:pt idx="29">
                  <c:v>3.7008799999999997</c:v>
                </c:pt>
                <c:pt idx="30">
                  <c:v>3.6830099999999999</c:v>
                </c:pt>
                <c:pt idx="31">
                  <c:v>3.6584299999999996</c:v>
                </c:pt>
                <c:pt idx="32">
                  <c:v>3.6291600000000002</c:v>
                </c:pt>
                <c:pt idx="33">
                  <c:v>3.5949</c:v>
                </c:pt>
                <c:pt idx="34">
                  <c:v>3.5596800000000002</c:v>
                </c:pt>
                <c:pt idx="35">
                  <c:v>3.5224000000000002</c:v>
                </c:pt>
                <c:pt idx="36">
                  <c:v>3.4853899999999998</c:v>
                </c:pt>
                <c:pt idx="37">
                  <c:v>3.4468900000000002</c:v>
                </c:pt>
                <c:pt idx="38">
                  <c:v>3.4005600000000005</c:v>
                </c:pt>
                <c:pt idx="39">
                  <c:v>3.3444500000000001</c:v>
                </c:pt>
                <c:pt idx="40">
                  <c:v>3.2905600000000002</c:v>
                </c:pt>
                <c:pt idx="41">
                  <c:v>3.24085</c:v>
                </c:pt>
                <c:pt idx="42">
                  <c:v>3.1957100000000001</c:v>
                </c:pt>
                <c:pt idx="43">
                  <c:v>3.1538599999999999</c:v>
                </c:pt>
                <c:pt idx="44">
                  <c:v>3.1180500000000002</c:v>
                </c:pt>
                <c:pt idx="45">
                  <c:v>3.0904700000000003</c:v>
                </c:pt>
                <c:pt idx="46">
                  <c:v>3.07037</c:v>
                </c:pt>
                <c:pt idx="47">
                  <c:v>3.0531000000000001</c:v>
                </c:pt>
                <c:pt idx="48">
                  <c:v>3.0389300000000001</c:v>
                </c:pt>
                <c:pt idx="49">
                  <c:v>3.0284399999999998</c:v>
                </c:pt>
                <c:pt idx="50">
                  <c:v>3.0242499999999999</c:v>
                </c:pt>
                <c:pt idx="51">
                  <c:v>3.0074800000000002</c:v>
                </c:pt>
                <c:pt idx="52">
                  <c:v>2.9926399999999997</c:v>
                </c:pt>
                <c:pt idx="53">
                  <c:v>2.97634</c:v>
                </c:pt>
                <c:pt idx="54">
                  <c:v>2.9635699999999998</c:v>
                </c:pt>
                <c:pt idx="55">
                  <c:v>2.9525000000000001</c:v>
                </c:pt>
                <c:pt idx="56">
                  <c:v>2.9480899999999997</c:v>
                </c:pt>
                <c:pt idx="57">
                  <c:v>2.9470299999999998</c:v>
                </c:pt>
                <c:pt idx="58">
                  <c:v>2.9520499999999998</c:v>
                </c:pt>
                <c:pt idx="59">
                  <c:v>2.9610300000000001</c:v>
                </c:pt>
                <c:pt idx="60">
                  <c:v>2.9736699999999998</c:v>
                </c:pt>
                <c:pt idx="61">
                  <c:v>2.9857200000000002</c:v>
                </c:pt>
                <c:pt idx="62">
                  <c:v>2.99777</c:v>
                </c:pt>
                <c:pt idx="63">
                  <c:v>3.0130600000000003</c:v>
                </c:pt>
                <c:pt idx="64">
                  <c:v>3.03721</c:v>
                </c:pt>
                <c:pt idx="65">
                  <c:v>3.0635499999999998</c:v>
                </c:pt>
                <c:pt idx="66">
                  <c:v>3.0928499999999999</c:v>
                </c:pt>
                <c:pt idx="67">
                  <c:v>3.1275399999999998</c:v>
                </c:pt>
                <c:pt idx="68">
                  <c:v>3.1623000000000001</c:v>
                </c:pt>
                <c:pt idx="69">
                  <c:v>3.1966800000000002</c:v>
                </c:pt>
                <c:pt idx="70">
                  <c:v>3.2249499999999998</c:v>
                </c:pt>
                <c:pt idx="71">
                  <c:v>3.2488600000000001</c:v>
                </c:pt>
                <c:pt idx="72">
                  <c:v>3.2662000000000004</c:v>
                </c:pt>
                <c:pt idx="73">
                  <c:v>3.28762</c:v>
                </c:pt>
                <c:pt idx="74">
                  <c:v>3.3102999999999998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14.942175000000001</c:v>
                </c:pt>
                <c:pt idx="1">
                  <c:v>44.826525000000004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3.1932058108108095</c:v>
                </c:pt>
                <c:pt idx="1">
                  <c:v>3.3425129729729717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0.40822900000000001</c:v>
                </c:pt>
                <c:pt idx="2">
                  <c:v>0.81201400000000001</c:v>
                </c:pt>
                <c:pt idx="3">
                  <c:v>1.2202599999999999</c:v>
                </c:pt>
                <c:pt idx="4">
                  <c:v>1.6283099999999999</c:v>
                </c:pt>
                <c:pt idx="5">
                  <c:v>2.03708</c:v>
                </c:pt>
                <c:pt idx="6">
                  <c:v>2.4403700000000002</c:v>
                </c:pt>
                <c:pt idx="7">
                  <c:v>2.8452899999999999</c:v>
                </c:pt>
                <c:pt idx="8">
                  <c:v>3.2521499999999999</c:v>
                </c:pt>
                <c:pt idx="9">
                  <c:v>3.66168</c:v>
                </c:pt>
                <c:pt idx="10">
                  <c:v>4.0749300000000002</c:v>
                </c:pt>
                <c:pt idx="11">
                  <c:v>4.4695600000000004</c:v>
                </c:pt>
                <c:pt idx="12">
                  <c:v>4.8776000000000002</c:v>
                </c:pt>
                <c:pt idx="13">
                  <c:v>5.2841199999999997</c:v>
                </c:pt>
                <c:pt idx="14">
                  <c:v>5.6913299999999998</c:v>
                </c:pt>
                <c:pt idx="15">
                  <c:v>6.0982099999999999</c:v>
                </c:pt>
                <c:pt idx="16">
                  <c:v>6.50129</c:v>
                </c:pt>
                <c:pt idx="17">
                  <c:v>6.90726</c:v>
                </c:pt>
                <c:pt idx="18">
                  <c:v>7.3128000000000002</c:v>
                </c:pt>
                <c:pt idx="19">
                  <c:v>7.7235399999999998</c:v>
                </c:pt>
                <c:pt idx="20">
                  <c:v>8.1278299999999994</c:v>
                </c:pt>
                <c:pt idx="21">
                  <c:v>8.5343900000000001</c:v>
                </c:pt>
                <c:pt idx="22">
                  <c:v>8.9396500000000003</c:v>
                </c:pt>
                <c:pt idx="23">
                  <c:v>9.3454499999999996</c:v>
                </c:pt>
                <c:pt idx="24">
                  <c:v>9.7541100000000007</c:v>
                </c:pt>
                <c:pt idx="25">
                  <c:v>10.160600000000001</c:v>
                </c:pt>
                <c:pt idx="26">
                  <c:v>10.567299999999999</c:v>
                </c:pt>
                <c:pt idx="27">
                  <c:v>10.969200000000001</c:v>
                </c:pt>
                <c:pt idx="28">
                  <c:v>11.376300000000001</c:v>
                </c:pt>
                <c:pt idx="29">
                  <c:v>11.7842</c:v>
                </c:pt>
                <c:pt idx="30">
                  <c:v>12.1899</c:v>
                </c:pt>
                <c:pt idx="31">
                  <c:v>12.594900000000001</c:v>
                </c:pt>
                <c:pt idx="32">
                  <c:v>12.999700000000001</c:v>
                </c:pt>
                <c:pt idx="33">
                  <c:v>13.4095</c:v>
                </c:pt>
                <c:pt idx="34">
                  <c:v>13.8133</c:v>
                </c:pt>
                <c:pt idx="35">
                  <c:v>14.220599999999999</c:v>
                </c:pt>
                <c:pt idx="36">
                  <c:v>14.627000000000001</c:v>
                </c:pt>
                <c:pt idx="37">
                  <c:v>15.0336</c:v>
                </c:pt>
                <c:pt idx="38">
                  <c:v>15.4398</c:v>
                </c:pt>
                <c:pt idx="39">
                  <c:v>15.848100000000001</c:v>
                </c:pt>
                <c:pt idx="40">
                  <c:v>16.253699999999998</c:v>
                </c:pt>
                <c:pt idx="41">
                  <c:v>16.659700000000001</c:v>
                </c:pt>
                <c:pt idx="42">
                  <c:v>17.064699999999998</c:v>
                </c:pt>
                <c:pt idx="43">
                  <c:v>17.473099999999999</c:v>
                </c:pt>
                <c:pt idx="44">
                  <c:v>17.876200000000001</c:v>
                </c:pt>
                <c:pt idx="45">
                  <c:v>18.2851</c:v>
                </c:pt>
                <c:pt idx="46">
                  <c:v>18.690799999999999</c:v>
                </c:pt>
                <c:pt idx="47">
                  <c:v>19.097100000000001</c:v>
                </c:pt>
                <c:pt idx="48">
                  <c:v>19.501000000000001</c:v>
                </c:pt>
                <c:pt idx="49">
                  <c:v>19.910699999999999</c:v>
                </c:pt>
                <c:pt idx="50">
                  <c:v>20.317399999999999</c:v>
                </c:pt>
                <c:pt idx="51">
                  <c:v>20.722799999999999</c:v>
                </c:pt>
                <c:pt idx="52">
                  <c:v>21.129899999999999</c:v>
                </c:pt>
                <c:pt idx="53">
                  <c:v>21.5321</c:v>
                </c:pt>
                <c:pt idx="54">
                  <c:v>21.939800000000002</c:v>
                </c:pt>
                <c:pt idx="55">
                  <c:v>22.3462</c:v>
                </c:pt>
                <c:pt idx="56">
                  <c:v>22.753599999999999</c:v>
                </c:pt>
                <c:pt idx="57">
                  <c:v>23.157699999999998</c:v>
                </c:pt>
                <c:pt idx="58">
                  <c:v>23.5639</c:v>
                </c:pt>
                <c:pt idx="59">
                  <c:v>23.970500000000001</c:v>
                </c:pt>
                <c:pt idx="60">
                  <c:v>24.375599999999999</c:v>
                </c:pt>
                <c:pt idx="61">
                  <c:v>24.786000000000001</c:v>
                </c:pt>
                <c:pt idx="62">
                  <c:v>25.190200000000001</c:v>
                </c:pt>
                <c:pt idx="63">
                  <c:v>25.596900000000002</c:v>
                </c:pt>
                <c:pt idx="64">
                  <c:v>26.000699999999998</c:v>
                </c:pt>
                <c:pt idx="65">
                  <c:v>26.4068</c:v>
                </c:pt>
                <c:pt idx="66">
                  <c:v>26.812799999999999</c:v>
                </c:pt>
                <c:pt idx="67">
                  <c:v>27.2197</c:v>
                </c:pt>
                <c:pt idx="68">
                  <c:v>27.63</c:v>
                </c:pt>
                <c:pt idx="69">
                  <c:v>28.034800000000001</c:v>
                </c:pt>
                <c:pt idx="70">
                  <c:v>28.4405</c:v>
                </c:pt>
                <c:pt idx="71">
                  <c:v>28.844999999999999</c:v>
                </c:pt>
                <c:pt idx="72">
                  <c:v>29.2498</c:v>
                </c:pt>
                <c:pt idx="73">
                  <c:v>29.6616</c:v>
                </c:pt>
                <c:pt idx="74">
                  <c:v>30.067599999999999</c:v>
                </c:pt>
                <c:pt idx="75">
                  <c:v>30.5533</c:v>
                </c:pt>
                <c:pt idx="76">
                  <c:v>30.940100000000001</c:v>
                </c:pt>
                <c:pt idx="77">
                  <c:v>31.336500000000001</c:v>
                </c:pt>
                <c:pt idx="78">
                  <c:v>31.736899999999999</c:v>
                </c:pt>
                <c:pt idx="79">
                  <c:v>32.142899999999997</c:v>
                </c:pt>
                <c:pt idx="80">
                  <c:v>32.546900000000001</c:v>
                </c:pt>
                <c:pt idx="81">
                  <c:v>32.958100000000002</c:v>
                </c:pt>
                <c:pt idx="82">
                  <c:v>33.3643</c:v>
                </c:pt>
                <c:pt idx="83">
                  <c:v>33.770699999999998</c:v>
                </c:pt>
                <c:pt idx="84">
                  <c:v>34.173200000000001</c:v>
                </c:pt>
                <c:pt idx="85">
                  <c:v>34.585299999999997</c:v>
                </c:pt>
                <c:pt idx="86">
                  <c:v>34.988100000000003</c:v>
                </c:pt>
                <c:pt idx="87">
                  <c:v>35.392899999999997</c:v>
                </c:pt>
                <c:pt idx="88">
                  <c:v>35.7988</c:v>
                </c:pt>
                <c:pt idx="89">
                  <c:v>36.2072</c:v>
                </c:pt>
                <c:pt idx="90">
                  <c:v>36.614100000000001</c:v>
                </c:pt>
                <c:pt idx="91">
                  <c:v>37.020000000000003</c:v>
                </c:pt>
                <c:pt idx="92">
                  <c:v>37.425199999999997</c:v>
                </c:pt>
                <c:pt idx="93">
                  <c:v>37.831899999999997</c:v>
                </c:pt>
                <c:pt idx="94">
                  <c:v>38.235500000000002</c:v>
                </c:pt>
                <c:pt idx="95">
                  <c:v>38.642499999999998</c:v>
                </c:pt>
                <c:pt idx="96">
                  <c:v>39.049500000000002</c:v>
                </c:pt>
                <c:pt idx="97">
                  <c:v>39.457799999999999</c:v>
                </c:pt>
                <c:pt idx="98">
                  <c:v>39.868499999999997</c:v>
                </c:pt>
                <c:pt idx="99">
                  <c:v>40.267800000000001</c:v>
                </c:pt>
                <c:pt idx="100">
                  <c:v>40.6736</c:v>
                </c:pt>
                <c:pt idx="101">
                  <c:v>41.079900000000002</c:v>
                </c:pt>
                <c:pt idx="102">
                  <c:v>41.491500000000002</c:v>
                </c:pt>
                <c:pt idx="103">
                  <c:v>41.896799999999999</c:v>
                </c:pt>
                <c:pt idx="104">
                  <c:v>42.298999999999999</c:v>
                </c:pt>
                <c:pt idx="105">
                  <c:v>42.704999999999998</c:v>
                </c:pt>
                <c:pt idx="106">
                  <c:v>43.116</c:v>
                </c:pt>
                <c:pt idx="107">
                  <c:v>43.521700000000003</c:v>
                </c:pt>
                <c:pt idx="108">
                  <c:v>43.928400000000003</c:v>
                </c:pt>
                <c:pt idx="109">
                  <c:v>44.329700000000003</c:v>
                </c:pt>
                <c:pt idx="110">
                  <c:v>44.736800000000002</c:v>
                </c:pt>
                <c:pt idx="111">
                  <c:v>45.141599999999997</c:v>
                </c:pt>
                <c:pt idx="112">
                  <c:v>45.549399999999999</c:v>
                </c:pt>
                <c:pt idx="113">
                  <c:v>45.957999999999998</c:v>
                </c:pt>
                <c:pt idx="114">
                  <c:v>46.360900000000001</c:v>
                </c:pt>
                <c:pt idx="115">
                  <c:v>46.766100000000002</c:v>
                </c:pt>
                <c:pt idx="116">
                  <c:v>47.176499999999997</c:v>
                </c:pt>
                <c:pt idx="117">
                  <c:v>47.584000000000003</c:v>
                </c:pt>
                <c:pt idx="118">
                  <c:v>47.9893</c:v>
                </c:pt>
                <c:pt idx="119">
                  <c:v>48.392299999999999</c:v>
                </c:pt>
                <c:pt idx="120">
                  <c:v>48.798400000000001</c:v>
                </c:pt>
                <c:pt idx="121">
                  <c:v>49.206600000000002</c:v>
                </c:pt>
                <c:pt idx="122">
                  <c:v>49.613</c:v>
                </c:pt>
                <c:pt idx="123">
                  <c:v>50.018700000000003</c:v>
                </c:pt>
                <c:pt idx="124">
                  <c:v>50.4255</c:v>
                </c:pt>
                <c:pt idx="125">
                  <c:v>50.832599999999999</c:v>
                </c:pt>
                <c:pt idx="126">
                  <c:v>51.241799999999998</c:v>
                </c:pt>
                <c:pt idx="127">
                  <c:v>51.639600000000002</c:v>
                </c:pt>
                <c:pt idx="128">
                  <c:v>52.047800000000002</c:v>
                </c:pt>
                <c:pt idx="129">
                  <c:v>52.458799999999997</c:v>
                </c:pt>
                <c:pt idx="130">
                  <c:v>52.863900000000001</c:v>
                </c:pt>
                <c:pt idx="131">
                  <c:v>53.268700000000003</c:v>
                </c:pt>
                <c:pt idx="132">
                  <c:v>53.675400000000003</c:v>
                </c:pt>
                <c:pt idx="133">
                  <c:v>54.078200000000002</c:v>
                </c:pt>
                <c:pt idx="134">
                  <c:v>54.488199999999999</c:v>
                </c:pt>
                <c:pt idx="135">
                  <c:v>54.893599999999999</c:v>
                </c:pt>
                <c:pt idx="136">
                  <c:v>55.298900000000003</c:v>
                </c:pt>
                <c:pt idx="137">
                  <c:v>55.704000000000001</c:v>
                </c:pt>
                <c:pt idx="138">
                  <c:v>56.109000000000002</c:v>
                </c:pt>
                <c:pt idx="139">
                  <c:v>56.517299999999999</c:v>
                </c:pt>
                <c:pt idx="140">
                  <c:v>56.929900000000004</c:v>
                </c:pt>
                <c:pt idx="141">
                  <c:v>57.333599999999997</c:v>
                </c:pt>
                <c:pt idx="142">
                  <c:v>57.737000000000002</c:v>
                </c:pt>
                <c:pt idx="143">
                  <c:v>58.142499999999998</c:v>
                </c:pt>
                <c:pt idx="144">
                  <c:v>58.555</c:v>
                </c:pt>
                <c:pt idx="145">
                  <c:v>58.962800000000001</c:v>
                </c:pt>
                <c:pt idx="146">
                  <c:v>59.366999999999997</c:v>
                </c:pt>
                <c:pt idx="147">
                  <c:v>59.768700000000003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37.9009</c:v>
                </c:pt>
                <c:pt idx="1">
                  <c:v>37.236399999999996</c:v>
                </c:pt>
                <c:pt idx="2">
                  <c:v>36.492200000000004</c:v>
                </c:pt>
                <c:pt idx="3">
                  <c:v>35.697099999999999</c:v>
                </c:pt>
                <c:pt idx="4">
                  <c:v>34.862099999999998</c:v>
                </c:pt>
                <c:pt idx="5">
                  <c:v>33.986899999999999</c:v>
                </c:pt>
                <c:pt idx="6">
                  <c:v>33.133200000000002</c:v>
                </c:pt>
                <c:pt idx="7">
                  <c:v>32.297199999999997</c:v>
                </c:pt>
                <c:pt idx="8">
                  <c:v>31.482100000000003</c:v>
                </c:pt>
                <c:pt idx="9">
                  <c:v>30.617899999999999</c:v>
                </c:pt>
                <c:pt idx="10">
                  <c:v>29.782399999999999</c:v>
                </c:pt>
                <c:pt idx="11">
                  <c:v>28.943400000000004</c:v>
                </c:pt>
                <c:pt idx="12">
                  <c:v>28.202899999999996</c:v>
                </c:pt>
                <c:pt idx="13">
                  <c:v>27.536899999999996</c:v>
                </c:pt>
                <c:pt idx="14">
                  <c:v>26.973500000000001</c:v>
                </c:pt>
                <c:pt idx="15">
                  <c:v>26.471499999999999</c:v>
                </c:pt>
                <c:pt idx="16">
                  <c:v>26.015700000000002</c:v>
                </c:pt>
                <c:pt idx="17">
                  <c:v>25.566299999999998</c:v>
                </c:pt>
                <c:pt idx="18">
                  <c:v>25.078299999999999</c:v>
                </c:pt>
                <c:pt idx="19">
                  <c:v>24.589199999999998</c:v>
                </c:pt>
                <c:pt idx="20">
                  <c:v>24.085999999999999</c:v>
                </c:pt>
                <c:pt idx="21">
                  <c:v>23.622599999999998</c:v>
                </c:pt>
                <c:pt idx="22">
                  <c:v>23.120899999999999</c:v>
                </c:pt>
                <c:pt idx="23">
                  <c:v>22.525300000000001</c:v>
                </c:pt>
                <c:pt idx="24">
                  <c:v>21.845100000000002</c:v>
                </c:pt>
                <c:pt idx="25">
                  <c:v>21.039099999999998</c:v>
                </c:pt>
                <c:pt idx="26">
                  <c:v>20.172799999999999</c:v>
                </c:pt>
                <c:pt idx="27">
                  <c:v>19.2303</c:v>
                </c:pt>
                <c:pt idx="28">
                  <c:v>18.1983</c:v>
                </c:pt>
                <c:pt idx="29">
                  <c:v>17.2346</c:v>
                </c:pt>
                <c:pt idx="30">
                  <c:v>16.3127</c:v>
                </c:pt>
                <c:pt idx="31">
                  <c:v>15.559999999999999</c:v>
                </c:pt>
                <c:pt idx="32">
                  <c:v>14.9091</c:v>
                </c:pt>
                <c:pt idx="33">
                  <c:v>14.357700000000001</c:v>
                </c:pt>
                <c:pt idx="34">
                  <c:v>13.936699999999998</c:v>
                </c:pt>
                <c:pt idx="35">
                  <c:v>13.621500000000001</c:v>
                </c:pt>
                <c:pt idx="36">
                  <c:v>13.4232</c:v>
                </c:pt>
                <c:pt idx="37">
                  <c:v>13.261400000000002</c:v>
                </c:pt>
                <c:pt idx="38">
                  <c:v>13.209999999999999</c:v>
                </c:pt>
                <c:pt idx="39">
                  <c:v>13.209599999999998</c:v>
                </c:pt>
                <c:pt idx="40">
                  <c:v>13.230400000000001</c:v>
                </c:pt>
                <c:pt idx="41">
                  <c:v>13.344000000000001</c:v>
                </c:pt>
                <c:pt idx="42">
                  <c:v>13.453399999999998</c:v>
                </c:pt>
                <c:pt idx="43">
                  <c:v>13.627000000000001</c:v>
                </c:pt>
                <c:pt idx="44">
                  <c:v>13.8598</c:v>
                </c:pt>
                <c:pt idx="45">
                  <c:v>14.150099999999998</c:v>
                </c:pt>
                <c:pt idx="46">
                  <c:v>14.427000000000001</c:v>
                </c:pt>
                <c:pt idx="47">
                  <c:v>14.736099999999999</c:v>
                </c:pt>
                <c:pt idx="48">
                  <c:v>15.0939</c:v>
                </c:pt>
                <c:pt idx="49">
                  <c:v>15.478200000000001</c:v>
                </c:pt>
                <c:pt idx="50">
                  <c:v>15.8306</c:v>
                </c:pt>
                <c:pt idx="51">
                  <c:v>16.4663</c:v>
                </c:pt>
                <c:pt idx="52">
                  <c:v>17.123799999999999</c:v>
                </c:pt>
                <c:pt idx="53">
                  <c:v>17.823499999999999</c:v>
                </c:pt>
                <c:pt idx="54">
                  <c:v>18.493499999999997</c:v>
                </c:pt>
                <c:pt idx="55">
                  <c:v>19.170000000000002</c:v>
                </c:pt>
                <c:pt idx="56">
                  <c:v>19.714100000000002</c:v>
                </c:pt>
                <c:pt idx="57">
                  <c:v>20.282299999999999</c:v>
                </c:pt>
                <c:pt idx="58">
                  <c:v>20.797599999999999</c:v>
                </c:pt>
                <c:pt idx="59">
                  <c:v>21.2803</c:v>
                </c:pt>
                <c:pt idx="60">
                  <c:v>21.668900000000001</c:v>
                </c:pt>
                <c:pt idx="61">
                  <c:v>22.121700000000001</c:v>
                </c:pt>
                <c:pt idx="62">
                  <c:v>22.378799999999998</c:v>
                </c:pt>
                <c:pt idx="63">
                  <c:v>22.613199999999999</c:v>
                </c:pt>
                <c:pt idx="64">
                  <c:v>22.822500000000002</c:v>
                </c:pt>
                <c:pt idx="65">
                  <c:v>23.040700000000001</c:v>
                </c:pt>
                <c:pt idx="66">
                  <c:v>23.189499999999999</c:v>
                </c:pt>
                <c:pt idx="67">
                  <c:v>23.403399999999998</c:v>
                </c:pt>
                <c:pt idx="68">
                  <c:v>23.5991</c:v>
                </c:pt>
                <c:pt idx="69">
                  <c:v>23.716000000000001</c:v>
                </c:pt>
                <c:pt idx="70">
                  <c:v>23.869299999999999</c:v>
                </c:pt>
                <c:pt idx="71">
                  <c:v>24.019099999999998</c:v>
                </c:pt>
                <c:pt idx="72">
                  <c:v>24.188000000000002</c:v>
                </c:pt>
                <c:pt idx="73">
                  <c:v>24.496499999999997</c:v>
                </c:pt>
                <c:pt idx="74">
                  <c:v>24.705400000000001</c:v>
                </c:pt>
                <c:pt idx="75">
                  <c:v>24.789899999999999</c:v>
                </c:pt>
                <c:pt idx="76">
                  <c:v>24.932299999999998</c:v>
                </c:pt>
                <c:pt idx="77">
                  <c:v>25.1936</c:v>
                </c:pt>
                <c:pt idx="78">
                  <c:v>25.437700000000003</c:v>
                </c:pt>
                <c:pt idx="79">
                  <c:v>25.607999999999997</c:v>
                </c:pt>
                <c:pt idx="80">
                  <c:v>25.793199999999999</c:v>
                </c:pt>
                <c:pt idx="81">
                  <c:v>25.9923</c:v>
                </c:pt>
                <c:pt idx="82">
                  <c:v>26.166099999999997</c:v>
                </c:pt>
                <c:pt idx="83">
                  <c:v>26.308500000000002</c:v>
                </c:pt>
                <c:pt idx="84">
                  <c:v>26.442900000000002</c:v>
                </c:pt>
                <c:pt idx="85">
                  <c:v>26.5656</c:v>
                </c:pt>
                <c:pt idx="86">
                  <c:v>26.629000000000001</c:v>
                </c:pt>
                <c:pt idx="87">
                  <c:v>26.601000000000003</c:v>
                </c:pt>
                <c:pt idx="88">
                  <c:v>26.685100000000002</c:v>
                </c:pt>
                <c:pt idx="89">
                  <c:v>26.915400000000002</c:v>
                </c:pt>
                <c:pt idx="90">
                  <c:v>27.1797</c:v>
                </c:pt>
                <c:pt idx="91">
                  <c:v>27.422499999999999</c:v>
                </c:pt>
                <c:pt idx="92">
                  <c:v>27.669799999999999</c:v>
                </c:pt>
                <c:pt idx="93">
                  <c:v>27.9405</c:v>
                </c:pt>
                <c:pt idx="94">
                  <c:v>28.171499999999998</c:v>
                </c:pt>
                <c:pt idx="95">
                  <c:v>28.307399999999998</c:v>
                </c:pt>
                <c:pt idx="96">
                  <c:v>28.396900000000002</c:v>
                </c:pt>
                <c:pt idx="97">
                  <c:v>28.446999999999999</c:v>
                </c:pt>
                <c:pt idx="98">
                  <c:v>28.537299999999998</c:v>
                </c:pt>
                <c:pt idx="99">
                  <c:v>28.648099999999999</c:v>
                </c:pt>
                <c:pt idx="100">
                  <c:v>28.701000000000001</c:v>
                </c:pt>
                <c:pt idx="101">
                  <c:v>28.736099999999997</c:v>
                </c:pt>
                <c:pt idx="102">
                  <c:v>28.684799999999999</c:v>
                </c:pt>
                <c:pt idx="103">
                  <c:v>28.587699999999998</c:v>
                </c:pt>
                <c:pt idx="104">
                  <c:v>28.452499999999997</c:v>
                </c:pt>
                <c:pt idx="105">
                  <c:v>28.306799999999999</c:v>
                </c:pt>
                <c:pt idx="106">
                  <c:v>28.072500000000002</c:v>
                </c:pt>
                <c:pt idx="107">
                  <c:v>27.797599999999999</c:v>
                </c:pt>
                <c:pt idx="108">
                  <c:v>27.557700000000001</c:v>
                </c:pt>
                <c:pt idx="109">
                  <c:v>27.380399999999998</c:v>
                </c:pt>
                <c:pt idx="110">
                  <c:v>27.236799999999999</c:v>
                </c:pt>
                <c:pt idx="111">
                  <c:v>27.215600000000002</c:v>
                </c:pt>
                <c:pt idx="112">
                  <c:v>27.446999999999999</c:v>
                </c:pt>
                <c:pt idx="113">
                  <c:v>27.669</c:v>
                </c:pt>
                <c:pt idx="114">
                  <c:v>27.767999999999997</c:v>
                </c:pt>
                <c:pt idx="115">
                  <c:v>27.779300000000003</c:v>
                </c:pt>
                <c:pt idx="116">
                  <c:v>27.871000000000002</c:v>
                </c:pt>
                <c:pt idx="117">
                  <c:v>27.905999999999999</c:v>
                </c:pt>
                <c:pt idx="118">
                  <c:v>27.85</c:v>
                </c:pt>
                <c:pt idx="119">
                  <c:v>27.758300000000002</c:v>
                </c:pt>
                <c:pt idx="120">
                  <c:v>27.723300000000002</c:v>
                </c:pt>
                <c:pt idx="121">
                  <c:v>27.523999999999997</c:v>
                </c:pt>
                <c:pt idx="122">
                  <c:v>27.227499999999999</c:v>
                </c:pt>
                <c:pt idx="123">
                  <c:v>26.858999999999998</c:v>
                </c:pt>
                <c:pt idx="124">
                  <c:v>26.7393</c:v>
                </c:pt>
                <c:pt idx="125">
                  <c:v>26.606000000000002</c:v>
                </c:pt>
                <c:pt idx="126">
                  <c:v>26.4283</c:v>
                </c:pt>
                <c:pt idx="127">
                  <c:v>26.178699999999999</c:v>
                </c:pt>
                <c:pt idx="128">
                  <c:v>25.9451</c:v>
                </c:pt>
                <c:pt idx="129">
                  <c:v>25.685099999999998</c:v>
                </c:pt>
                <c:pt idx="130">
                  <c:v>25.391300000000001</c:v>
                </c:pt>
                <c:pt idx="131">
                  <c:v>25.119799999999998</c:v>
                </c:pt>
                <c:pt idx="132">
                  <c:v>24.8916</c:v>
                </c:pt>
                <c:pt idx="133">
                  <c:v>24.627800000000001</c:v>
                </c:pt>
                <c:pt idx="134">
                  <c:v>24.360100000000003</c:v>
                </c:pt>
                <c:pt idx="135">
                  <c:v>24.1541</c:v>
                </c:pt>
                <c:pt idx="136">
                  <c:v>23.972099999999998</c:v>
                </c:pt>
                <c:pt idx="137">
                  <c:v>23.722799999999999</c:v>
                </c:pt>
                <c:pt idx="138">
                  <c:v>23.508100000000002</c:v>
                </c:pt>
                <c:pt idx="139">
                  <c:v>23.351099999999999</c:v>
                </c:pt>
                <c:pt idx="140">
                  <c:v>23.242599999999999</c:v>
                </c:pt>
                <c:pt idx="141">
                  <c:v>23.059100000000001</c:v>
                </c:pt>
                <c:pt idx="142">
                  <c:v>23.0425</c:v>
                </c:pt>
                <c:pt idx="143">
                  <c:v>22.958400000000001</c:v>
                </c:pt>
                <c:pt idx="144">
                  <c:v>22.767499999999998</c:v>
                </c:pt>
                <c:pt idx="145">
                  <c:v>22.2361</c:v>
                </c:pt>
                <c:pt idx="146">
                  <c:v>22.262799999999999</c:v>
                </c:pt>
                <c:pt idx="147">
                  <c:v>22.915600000000001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0.40822900000000001</c:v>
                </c:pt>
                <c:pt idx="2">
                  <c:v>0.81201400000000001</c:v>
                </c:pt>
                <c:pt idx="3">
                  <c:v>1.2202599999999999</c:v>
                </c:pt>
                <c:pt idx="4">
                  <c:v>1.6283099999999999</c:v>
                </c:pt>
                <c:pt idx="5">
                  <c:v>2.03708</c:v>
                </c:pt>
                <c:pt idx="6">
                  <c:v>2.4403700000000002</c:v>
                </c:pt>
                <c:pt idx="7">
                  <c:v>2.8452899999999999</c:v>
                </c:pt>
                <c:pt idx="8">
                  <c:v>3.2521499999999999</c:v>
                </c:pt>
                <c:pt idx="9">
                  <c:v>3.66168</c:v>
                </c:pt>
                <c:pt idx="10">
                  <c:v>4.0749300000000002</c:v>
                </c:pt>
                <c:pt idx="11">
                  <c:v>4.4695600000000004</c:v>
                </c:pt>
                <c:pt idx="12">
                  <c:v>4.8776000000000002</c:v>
                </c:pt>
                <c:pt idx="13">
                  <c:v>5.2841199999999997</c:v>
                </c:pt>
                <c:pt idx="14">
                  <c:v>5.6913299999999998</c:v>
                </c:pt>
                <c:pt idx="15">
                  <c:v>6.0982099999999999</c:v>
                </c:pt>
                <c:pt idx="16">
                  <c:v>6.50129</c:v>
                </c:pt>
                <c:pt idx="17">
                  <c:v>6.90726</c:v>
                </c:pt>
                <c:pt idx="18">
                  <c:v>7.3128000000000002</c:v>
                </c:pt>
                <c:pt idx="19">
                  <c:v>7.7235399999999998</c:v>
                </c:pt>
                <c:pt idx="20">
                  <c:v>8.1278299999999994</c:v>
                </c:pt>
                <c:pt idx="21">
                  <c:v>8.5343900000000001</c:v>
                </c:pt>
                <c:pt idx="22">
                  <c:v>8.9396500000000003</c:v>
                </c:pt>
                <c:pt idx="23">
                  <c:v>9.3454499999999996</c:v>
                </c:pt>
                <c:pt idx="24">
                  <c:v>9.7541100000000007</c:v>
                </c:pt>
                <c:pt idx="25">
                  <c:v>10.160600000000001</c:v>
                </c:pt>
                <c:pt idx="26">
                  <c:v>10.567299999999999</c:v>
                </c:pt>
                <c:pt idx="27">
                  <c:v>10.969200000000001</c:v>
                </c:pt>
                <c:pt idx="28">
                  <c:v>11.376300000000001</c:v>
                </c:pt>
                <c:pt idx="29">
                  <c:v>11.7842</c:v>
                </c:pt>
                <c:pt idx="30">
                  <c:v>12.1899</c:v>
                </c:pt>
                <c:pt idx="31">
                  <c:v>12.594900000000001</c:v>
                </c:pt>
                <c:pt idx="32">
                  <c:v>12.999700000000001</c:v>
                </c:pt>
                <c:pt idx="33">
                  <c:v>13.4095</c:v>
                </c:pt>
                <c:pt idx="34">
                  <c:v>13.8133</c:v>
                </c:pt>
                <c:pt idx="35">
                  <c:v>14.220599999999999</c:v>
                </c:pt>
                <c:pt idx="36">
                  <c:v>14.627000000000001</c:v>
                </c:pt>
                <c:pt idx="37">
                  <c:v>15.0336</c:v>
                </c:pt>
                <c:pt idx="38">
                  <c:v>15.4398</c:v>
                </c:pt>
                <c:pt idx="39">
                  <c:v>15.848100000000001</c:v>
                </c:pt>
                <c:pt idx="40">
                  <c:v>16.253699999999998</c:v>
                </c:pt>
                <c:pt idx="41">
                  <c:v>16.659700000000001</c:v>
                </c:pt>
                <c:pt idx="42">
                  <c:v>17.064699999999998</c:v>
                </c:pt>
                <c:pt idx="43">
                  <c:v>17.473099999999999</c:v>
                </c:pt>
                <c:pt idx="44">
                  <c:v>17.876200000000001</c:v>
                </c:pt>
                <c:pt idx="45">
                  <c:v>18.2851</c:v>
                </c:pt>
                <c:pt idx="46">
                  <c:v>18.690799999999999</c:v>
                </c:pt>
                <c:pt idx="47">
                  <c:v>19.097100000000001</c:v>
                </c:pt>
                <c:pt idx="48">
                  <c:v>19.501000000000001</c:v>
                </c:pt>
                <c:pt idx="49">
                  <c:v>19.910699999999999</c:v>
                </c:pt>
                <c:pt idx="50">
                  <c:v>20.317399999999999</c:v>
                </c:pt>
                <c:pt idx="51">
                  <c:v>20.722799999999999</c:v>
                </c:pt>
                <c:pt idx="52">
                  <c:v>21.129899999999999</c:v>
                </c:pt>
                <c:pt idx="53">
                  <c:v>21.5321</c:v>
                </c:pt>
                <c:pt idx="54">
                  <c:v>21.939800000000002</c:v>
                </c:pt>
                <c:pt idx="55">
                  <c:v>22.3462</c:v>
                </c:pt>
                <c:pt idx="56">
                  <c:v>22.753599999999999</c:v>
                </c:pt>
                <c:pt idx="57">
                  <c:v>23.157699999999998</c:v>
                </c:pt>
                <c:pt idx="58">
                  <c:v>23.5639</c:v>
                </c:pt>
                <c:pt idx="59">
                  <c:v>23.970500000000001</c:v>
                </c:pt>
                <c:pt idx="60">
                  <c:v>24.375599999999999</c:v>
                </c:pt>
                <c:pt idx="61">
                  <c:v>24.786000000000001</c:v>
                </c:pt>
                <c:pt idx="62">
                  <c:v>25.190200000000001</c:v>
                </c:pt>
                <c:pt idx="63">
                  <c:v>25.596900000000002</c:v>
                </c:pt>
                <c:pt idx="64">
                  <c:v>26.000699999999998</c:v>
                </c:pt>
                <c:pt idx="65">
                  <c:v>26.4068</c:v>
                </c:pt>
                <c:pt idx="66">
                  <c:v>26.812799999999999</c:v>
                </c:pt>
                <c:pt idx="67">
                  <c:v>27.2197</c:v>
                </c:pt>
                <c:pt idx="68">
                  <c:v>27.63</c:v>
                </c:pt>
                <c:pt idx="69">
                  <c:v>28.034800000000001</c:v>
                </c:pt>
                <c:pt idx="70">
                  <c:v>28.4405</c:v>
                </c:pt>
                <c:pt idx="71">
                  <c:v>28.844999999999999</c:v>
                </c:pt>
                <c:pt idx="72">
                  <c:v>29.2498</c:v>
                </c:pt>
                <c:pt idx="73">
                  <c:v>29.6616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37.9009</c:v>
                </c:pt>
                <c:pt idx="1">
                  <c:v>37.236399999999996</c:v>
                </c:pt>
                <c:pt idx="2">
                  <c:v>36.492200000000004</c:v>
                </c:pt>
                <c:pt idx="3">
                  <c:v>35.697099999999999</c:v>
                </c:pt>
                <c:pt idx="4">
                  <c:v>34.862099999999998</c:v>
                </c:pt>
                <c:pt idx="5">
                  <c:v>33.986899999999999</c:v>
                </c:pt>
                <c:pt idx="6">
                  <c:v>33.133200000000002</c:v>
                </c:pt>
                <c:pt idx="7">
                  <c:v>32.297199999999997</c:v>
                </c:pt>
                <c:pt idx="8">
                  <c:v>31.482100000000003</c:v>
                </c:pt>
                <c:pt idx="9">
                  <c:v>30.617899999999999</c:v>
                </c:pt>
                <c:pt idx="10">
                  <c:v>29.782399999999999</c:v>
                </c:pt>
                <c:pt idx="11">
                  <c:v>28.943400000000004</c:v>
                </c:pt>
                <c:pt idx="12">
                  <c:v>28.202899999999996</c:v>
                </c:pt>
                <c:pt idx="13">
                  <c:v>27.536899999999996</c:v>
                </c:pt>
                <c:pt idx="14">
                  <c:v>26.973500000000001</c:v>
                </c:pt>
                <c:pt idx="15">
                  <c:v>26.471499999999999</c:v>
                </c:pt>
                <c:pt idx="16">
                  <c:v>26.015700000000002</c:v>
                </c:pt>
                <c:pt idx="17">
                  <c:v>25.566299999999998</c:v>
                </c:pt>
                <c:pt idx="18">
                  <c:v>25.078299999999999</c:v>
                </c:pt>
                <c:pt idx="19">
                  <c:v>24.589199999999998</c:v>
                </c:pt>
                <c:pt idx="20">
                  <c:v>24.085999999999999</c:v>
                </c:pt>
                <c:pt idx="21">
                  <c:v>23.622599999999998</c:v>
                </c:pt>
                <c:pt idx="22">
                  <c:v>23.120899999999999</c:v>
                </c:pt>
                <c:pt idx="23">
                  <c:v>22.525300000000001</c:v>
                </c:pt>
                <c:pt idx="24">
                  <c:v>21.845100000000002</c:v>
                </c:pt>
                <c:pt idx="25">
                  <c:v>21.039099999999998</c:v>
                </c:pt>
                <c:pt idx="26">
                  <c:v>20.172799999999999</c:v>
                </c:pt>
                <c:pt idx="27">
                  <c:v>19.2303</c:v>
                </c:pt>
                <c:pt idx="28">
                  <c:v>18.1983</c:v>
                </c:pt>
                <c:pt idx="29">
                  <c:v>17.2346</c:v>
                </c:pt>
                <c:pt idx="30">
                  <c:v>16.3127</c:v>
                </c:pt>
                <c:pt idx="31">
                  <c:v>15.559999999999999</c:v>
                </c:pt>
                <c:pt idx="32">
                  <c:v>14.9091</c:v>
                </c:pt>
                <c:pt idx="33">
                  <c:v>14.357700000000001</c:v>
                </c:pt>
                <c:pt idx="34">
                  <c:v>13.936699999999998</c:v>
                </c:pt>
                <c:pt idx="35">
                  <c:v>13.621500000000001</c:v>
                </c:pt>
                <c:pt idx="36">
                  <c:v>13.4232</c:v>
                </c:pt>
                <c:pt idx="37">
                  <c:v>13.261400000000002</c:v>
                </c:pt>
                <c:pt idx="38">
                  <c:v>13.209999999999999</c:v>
                </c:pt>
                <c:pt idx="39">
                  <c:v>13.209599999999998</c:v>
                </c:pt>
                <c:pt idx="40">
                  <c:v>13.230400000000001</c:v>
                </c:pt>
                <c:pt idx="41">
                  <c:v>13.344000000000001</c:v>
                </c:pt>
                <c:pt idx="42">
                  <c:v>13.453399999999998</c:v>
                </c:pt>
                <c:pt idx="43">
                  <c:v>13.627000000000001</c:v>
                </c:pt>
                <c:pt idx="44">
                  <c:v>13.8598</c:v>
                </c:pt>
                <c:pt idx="45">
                  <c:v>14.150099999999998</c:v>
                </c:pt>
                <c:pt idx="46">
                  <c:v>14.427000000000001</c:v>
                </c:pt>
                <c:pt idx="47">
                  <c:v>14.736099999999999</c:v>
                </c:pt>
                <c:pt idx="48">
                  <c:v>15.0939</c:v>
                </c:pt>
                <c:pt idx="49">
                  <c:v>15.478200000000001</c:v>
                </c:pt>
                <c:pt idx="50">
                  <c:v>15.8306</c:v>
                </c:pt>
                <c:pt idx="51">
                  <c:v>16.4663</c:v>
                </c:pt>
                <c:pt idx="52">
                  <c:v>17.123799999999999</c:v>
                </c:pt>
                <c:pt idx="53">
                  <c:v>17.823499999999999</c:v>
                </c:pt>
                <c:pt idx="54">
                  <c:v>18.493499999999997</c:v>
                </c:pt>
                <c:pt idx="55">
                  <c:v>19.170000000000002</c:v>
                </c:pt>
                <c:pt idx="56">
                  <c:v>19.714100000000002</c:v>
                </c:pt>
                <c:pt idx="57">
                  <c:v>20.282299999999999</c:v>
                </c:pt>
                <c:pt idx="58">
                  <c:v>20.797599999999999</c:v>
                </c:pt>
                <c:pt idx="59">
                  <c:v>21.2803</c:v>
                </c:pt>
                <c:pt idx="60">
                  <c:v>21.668900000000001</c:v>
                </c:pt>
                <c:pt idx="61">
                  <c:v>22.121700000000001</c:v>
                </c:pt>
                <c:pt idx="62">
                  <c:v>22.378799999999998</c:v>
                </c:pt>
                <c:pt idx="63">
                  <c:v>22.613199999999999</c:v>
                </c:pt>
                <c:pt idx="64">
                  <c:v>22.822500000000002</c:v>
                </c:pt>
                <c:pt idx="65">
                  <c:v>23.040700000000001</c:v>
                </c:pt>
                <c:pt idx="66">
                  <c:v>23.189499999999999</c:v>
                </c:pt>
                <c:pt idx="67">
                  <c:v>23.403399999999998</c:v>
                </c:pt>
                <c:pt idx="68">
                  <c:v>23.5991</c:v>
                </c:pt>
                <c:pt idx="69">
                  <c:v>23.716000000000001</c:v>
                </c:pt>
                <c:pt idx="70">
                  <c:v>23.869299999999999</c:v>
                </c:pt>
                <c:pt idx="71">
                  <c:v>24.019099999999998</c:v>
                </c:pt>
                <c:pt idx="72">
                  <c:v>24.188000000000002</c:v>
                </c:pt>
                <c:pt idx="73">
                  <c:v>24.496499999999997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29.6616</c:v>
                </c:pt>
                <c:pt idx="1">
                  <c:v>30.067599999999999</c:v>
                </c:pt>
                <c:pt idx="2">
                  <c:v>30.5533</c:v>
                </c:pt>
                <c:pt idx="3">
                  <c:v>30.940100000000001</c:v>
                </c:pt>
                <c:pt idx="4">
                  <c:v>31.336500000000001</c:v>
                </c:pt>
                <c:pt idx="5">
                  <c:v>31.736899999999999</c:v>
                </c:pt>
                <c:pt idx="6">
                  <c:v>32.142899999999997</c:v>
                </c:pt>
                <c:pt idx="7">
                  <c:v>32.546900000000001</c:v>
                </c:pt>
                <c:pt idx="8">
                  <c:v>32.958100000000002</c:v>
                </c:pt>
                <c:pt idx="9">
                  <c:v>33.3643</c:v>
                </c:pt>
                <c:pt idx="10">
                  <c:v>33.770699999999998</c:v>
                </c:pt>
                <c:pt idx="11">
                  <c:v>34.173200000000001</c:v>
                </c:pt>
                <c:pt idx="12">
                  <c:v>34.585299999999997</c:v>
                </c:pt>
                <c:pt idx="13">
                  <c:v>34.988100000000003</c:v>
                </c:pt>
                <c:pt idx="14">
                  <c:v>35.392899999999997</c:v>
                </c:pt>
                <c:pt idx="15">
                  <c:v>35.7988</c:v>
                </c:pt>
                <c:pt idx="16">
                  <c:v>36.2072</c:v>
                </c:pt>
                <c:pt idx="17">
                  <c:v>36.614100000000001</c:v>
                </c:pt>
                <c:pt idx="18">
                  <c:v>37.020000000000003</c:v>
                </c:pt>
                <c:pt idx="19">
                  <c:v>37.425199999999997</c:v>
                </c:pt>
                <c:pt idx="20">
                  <c:v>37.831899999999997</c:v>
                </c:pt>
                <c:pt idx="21">
                  <c:v>38.235500000000002</c:v>
                </c:pt>
                <c:pt idx="22">
                  <c:v>38.642499999999998</c:v>
                </c:pt>
                <c:pt idx="23">
                  <c:v>39.049500000000002</c:v>
                </c:pt>
                <c:pt idx="24">
                  <c:v>39.457799999999999</c:v>
                </c:pt>
                <c:pt idx="25">
                  <c:v>39.868499999999997</c:v>
                </c:pt>
                <c:pt idx="26">
                  <c:v>40.267800000000001</c:v>
                </c:pt>
                <c:pt idx="27">
                  <c:v>40.6736</c:v>
                </c:pt>
                <c:pt idx="28">
                  <c:v>41.079900000000002</c:v>
                </c:pt>
                <c:pt idx="29">
                  <c:v>41.491500000000002</c:v>
                </c:pt>
                <c:pt idx="30">
                  <c:v>41.896799999999999</c:v>
                </c:pt>
                <c:pt idx="31">
                  <c:v>42.298999999999999</c:v>
                </c:pt>
                <c:pt idx="32">
                  <c:v>42.704999999999998</c:v>
                </c:pt>
                <c:pt idx="33">
                  <c:v>43.116</c:v>
                </c:pt>
                <c:pt idx="34">
                  <c:v>43.521700000000003</c:v>
                </c:pt>
                <c:pt idx="35">
                  <c:v>43.928400000000003</c:v>
                </c:pt>
                <c:pt idx="36">
                  <c:v>44.329700000000003</c:v>
                </c:pt>
                <c:pt idx="37">
                  <c:v>44.736800000000002</c:v>
                </c:pt>
                <c:pt idx="38">
                  <c:v>45.141599999999997</c:v>
                </c:pt>
                <c:pt idx="39">
                  <c:v>45.549399999999999</c:v>
                </c:pt>
                <c:pt idx="40">
                  <c:v>45.957999999999998</c:v>
                </c:pt>
                <c:pt idx="41">
                  <c:v>46.360900000000001</c:v>
                </c:pt>
                <c:pt idx="42">
                  <c:v>46.766100000000002</c:v>
                </c:pt>
                <c:pt idx="43">
                  <c:v>47.176499999999997</c:v>
                </c:pt>
                <c:pt idx="44">
                  <c:v>47.584000000000003</c:v>
                </c:pt>
                <c:pt idx="45">
                  <c:v>47.9893</c:v>
                </c:pt>
                <c:pt idx="46">
                  <c:v>48.392299999999999</c:v>
                </c:pt>
                <c:pt idx="47">
                  <c:v>48.798400000000001</c:v>
                </c:pt>
                <c:pt idx="48">
                  <c:v>49.206600000000002</c:v>
                </c:pt>
                <c:pt idx="49">
                  <c:v>49.613</c:v>
                </c:pt>
                <c:pt idx="50">
                  <c:v>50.018700000000003</c:v>
                </c:pt>
                <c:pt idx="51">
                  <c:v>50.4255</c:v>
                </c:pt>
                <c:pt idx="52">
                  <c:v>50.832599999999999</c:v>
                </c:pt>
                <c:pt idx="53">
                  <c:v>51.241799999999998</c:v>
                </c:pt>
                <c:pt idx="54">
                  <c:v>51.639600000000002</c:v>
                </c:pt>
                <c:pt idx="55">
                  <c:v>52.047800000000002</c:v>
                </c:pt>
                <c:pt idx="56">
                  <c:v>52.458799999999997</c:v>
                </c:pt>
                <c:pt idx="57">
                  <c:v>52.863900000000001</c:v>
                </c:pt>
                <c:pt idx="58">
                  <c:v>53.268700000000003</c:v>
                </c:pt>
                <c:pt idx="59">
                  <c:v>53.675400000000003</c:v>
                </c:pt>
                <c:pt idx="60">
                  <c:v>54.078200000000002</c:v>
                </c:pt>
                <c:pt idx="61">
                  <c:v>54.488199999999999</c:v>
                </c:pt>
                <c:pt idx="62">
                  <c:v>54.893599999999999</c:v>
                </c:pt>
                <c:pt idx="63">
                  <c:v>55.298900000000003</c:v>
                </c:pt>
                <c:pt idx="64">
                  <c:v>55.704000000000001</c:v>
                </c:pt>
                <c:pt idx="65">
                  <c:v>56.109000000000002</c:v>
                </c:pt>
                <c:pt idx="66">
                  <c:v>56.517299999999999</c:v>
                </c:pt>
                <c:pt idx="67">
                  <c:v>56.929900000000004</c:v>
                </c:pt>
                <c:pt idx="68">
                  <c:v>57.333599999999997</c:v>
                </c:pt>
                <c:pt idx="69">
                  <c:v>57.737000000000002</c:v>
                </c:pt>
                <c:pt idx="70">
                  <c:v>58.142499999999998</c:v>
                </c:pt>
                <c:pt idx="71">
                  <c:v>58.555</c:v>
                </c:pt>
                <c:pt idx="72">
                  <c:v>58.962800000000001</c:v>
                </c:pt>
                <c:pt idx="73">
                  <c:v>59.366999999999997</c:v>
                </c:pt>
                <c:pt idx="74">
                  <c:v>59.768700000000003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24.496499999999997</c:v>
                </c:pt>
                <c:pt idx="1">
                  <c:v>24.705400000000001</c:v>
                </c:pt>
                <c:pt idx="2">
                  <c:v>24.789899999999999</c:v>
                </c:pt>
                <c:pt idx="3">
                  <c:v>24.932299999999998</c:v>
                </c:pt>
                <c:pt idx="4">
                  <c:v>25.1936</c:v>
                </c:pt>
                <c:pt idx="5">
                  <c:v>25.437700000000003</c:v>
                </c:pt>
                <c:pt idx="6">
                  <c:v>25.607999999999997</c:v>
                </c:pt>
                <c:pt idx="7">
                  <c:v>25.793199999999999</c:v>
                </c:pt>
                <c:pt idx="8">
                  <c:v>25.9923</c:v>
                </c:pt>
                <c:pt idx="9">
                  <c:v>26.166099999999997</c:v>
                </c:pt>
                <c:pt idx="10">
                  <c:v>26.308500000000002</c:v>
                </c:pt>
                <c:pt idx="11">
                  <c:v>26.442900000000002</c:v>
                </c:pt>
                <c:pt idx="12">
                  <c:v>26.5656</c:v>
                </c:pt>
                <c:pt idx="13">
                  <c:v>26.629000000000001</c:v>
                </c:pt>
                <c:pt idx="14">
                  <c:v>26.601000000000003</c:v>
                </c:pt>
                <c:pt idx="15">
                  <c:v>26.685100000000002</c:v>
                </c:pt>
                <c:pt idx="16">
                  <c:v>26.915400000000002</c:v>
                </c:pt>
                <c:pt idx="17">
                  <c:v>27.1797</c:v>
                </c:pt>
                <c:pt idx="18">
                  <c:v>27.422499999999999</c:v>
                </c:pt>
                <c:pt idx="19">
                  <c:v>27.669799999999999</c:v>
                </c:pt>
                <c:pt idx="20">
                  <c:v>27.9405</c:v>
                </c:pt>
                <c:pt idx="21">
                  <c:v>28.171499999999998</c:v>
                </c:pt>
                <c:pt idx="22">
                  <c:v>28.307399999999998</c:v>
                </c:pt>
                <c:pt idx="23">
                  <c:v>28.396900000000002</c:v>
                </c:pt>
                <c:pt idx="24">
                  <c:v>28.446999999999999</c:v>
                </c:pt>
                <c:pt idx="25">
                  <c:v>28.537299999999998</c:v>
                </c:pt>
                <c:pt idx="26">
                  <c:v>28.648099999999999</c:v>
                </c:pt>
                <c:pt idx="27">
                  <c:v>28.701000000000001</c:v>
                </c:pt>
                <c:pt idx="28">
                  <c:v>28.736099999999997</c:v>
                </c:pt>
                <c:pt idx="29">
                  <c:v>28.684799999999999</c:v>
                </c:pt>
                <c:pt idx="30">
                  <c:v>28.587699999999998</c:v>
                </c:pt>
                <c:pt idx="31">
                  <c:v>28.452499999999997</c:v>
                </c:pt>
                <c:pt idx="32">
                  <c:v>28.306799999999999</c:v>
                </c:pt>
                <c:pt idx="33">
                  <c:v>28.072500000000002</c:v>
                </c:pt>
                <c:pt idx="34">
                  <c:v>27.797599999999999</c:v>
                </c:pt>
                <c:pt idx="35">
                  <c:v>27.557700000000001</c:v>
                </c:pt>
                <c:pt idx="36">
                  <c:v>27.380399999999998</c:v>
                </c:pt>
                <c:pt idx="37">
                  <c:v>27.236799999999999</c:v>
                </c:pt>
                <c:pt idx="38">
                  <c:v>27.215600000000002</c:v>
                </c:pt>
                <c:pt idx="39">
                  <c:v>27.446999999999999</c:v>
                </c:pt>
                <c:pt idx="40">
                  <c:v>27.669</c:v>
                </c:pt>
                <c:pt idx="41">
                  <c:v>27.767999999999997</c:v>
                </c:pt>
                <c:pt idx="42">
                  <c:v>27.779300000000003</c:v>
                </c:pt>
                <c:pt idx="43">
                  <c:v>27.871000000000002</c:v>
                </c:pt>
                <c:pt idx="44">
                  <c:v>27.905999999999999</c:v>
                </c:pt>
                <c:pt idx="45">
                  <c:v>27.85</c:v>
                </c:pt>
                <c:pt idx="46">
                  <c:v>27.758300000000002</c:v>
                </c:pt>
                <c:pt idx="47">
                  <c:v>27.723300000000002</c:v>
                </c:pt>
                <c:pt idx="48">
                  <c:v>27.523999999999997</c:v>
                </c:pt>
                <c:pt idx="49">
                  <c:v>27.227499999999999</c:v>
                </c:pt>
                <c:pt idx="50">
                  <c:v>26.858999999999998</c:v>
                </c:pt>
                <c:pt idx="51">
                  <c:v>26.7393</c:v>
                </c:pt>
                <c:pt idx="52">
                  <c:v>26.606000000000002</c:v>
                </c:pt>
                <c:pt idx="53">
                  <c:v>26.4283</c:v>
                </c:pt>
                <c:pt idx="54">
                  <c:v>26.178699999999999</c:v>
                </c:pt>
                <c:pt idx="55">
                  <c:v>25.9451</c:v>
                </c:pt>
                <c:pt idx="56">
                  <c:v>25.685099999999998</c:v>
                </c:pt>
                <c:pt idx="57">
                  <c:v>25.391300000000001</c:v>
                </c:pt>
                <c:pt idx="58">
                  <c:v>25.119799999999998</c:v>
                </c:pt>
                <c:pt idx="59">
                  <c:v>24.8916</c:v>
                </c:pt>
                <c:pt idx="60">
                  <c:v>24.627800000000001</c:v>
                </c:pt>
                <c:pt idx="61">
                  <c:v>24.360100000000003</c:v>
                </c:pt>
                <c:pt idx="62">
                  <c:v>24.1541</c:v>
                </c:pt>
                <c:pt idx="63">
                  <c:v>23.972099999999998</c:v>
                </c:pt>
                <c:pt idx="64">
                  <c:v>23.722799999999999</c:v>
                </c:pt>
                <c:pt idx="65">
                  <c:v>23.508100000000002</c:v>
                </c:pt>
                <c:pt idx="66">
                  <c:v>23.351099999999999</c:v>
                </c:pt>
                <c:pt idx="67">
                  <c:v>23.242599999999999</c:v>
                </c:pt>
                <c:pt idx="68">
                  <c:v>23.059100000000001</c:v>
                </c:pt>
                <c:pt idx="69">
                  <c:v>23.0425</c:v>
                </c:pt>
                <c:pt idx="70">
                  <c:v>22.958400000000001</c:v>
                </c:pt>
                <c:pt idx="71">
                  <c:v>22.767499999999998</c:v>
                </c:pt>
                <c:pt idx="72">
                  <c:v>22.2361</c:v>
                </c:pt>
                <c:pt idx="73">
                  <c:v>22.262799999999999</c:v>
                </c:pt>
                <c:pt idx="74">
                  <c:v>22.915600000000001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14.942175000000001</c:v>
                </c:pt>
                <c:pt idx="1">
                  <c:v>44.826525000000004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21.881778378378382</c:v>
                </c:pt>
                <c:pt idx="1">
                  <c:v>26.307628378378396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3.6492000000000004</c:v>
                </c:pt>
                <c:pt idx="1">
                  <c:v>3.6370100000000001</c:v>
                </c:pt>
                <c:pt idx="2">
                  <c:v>3.6229699999999996</c:v>
                </c:pt>
                <c:pt idx="3">
                  <c:v>3.6063400000000003</c:v>
                </c:pt>
                <c:pt idx="4">
                  <c:v>3.5856599999999998</c:v>
                </c:pt>
                <c:pt idx="5">
                  <c:v>3.5634199999999998</c:v>
                </c:pt>
                <c:pt idx="6">
                  <c:v>3.5388299999999999</c:v>
                </c:pt>
                <c:pt idx="7">
                  <c:v>3.5118500000000004</c:v>
                </c:pt>
                <c:pt idx="8">
                  <c:v>3.48325</c:v>
                </c:pt>
                <c:pt idx="9">
                  <c:v>3.4548099999999997</c:v>
                </c:pt>
                <c:pt idx="10">
                  <c:v>3.4243399999999999</c:v>
                </c:pt>
                <c:pt idx="11">
                  <c:v>3.3932500000000001</c:v>
                </c:pt>
                <c:pt idx="12">
                  <c:v>3.3593699999999997</c:v>
                </c:pt>
                <c:pt idx="13">
                  <c:v>3.3239700000000001</c:v>
                </c:pt>
                <c:pt idx="14">
                  <c:v>3.2870700000000004</c:v>
                </c:pt>
                <c:pt idx="15">
                  <c:v>3.2485000000000004</c:v>
                </c:pt>
                <c:pt idx="16">
                  <c:v>3.2101299999999999</c:v>
                </c:pt>
                <c:pt idx="17">
                  <c:v>3.1732100000000001</c:v>
                </c:pt>
                <c:pt idx="18">
                  <c:v>3.1376900000000001</c:v>
                </c:pt>
                <c:pt idx="19">
                  <c:v>3.1041499999999997</c:v>
                </c:pt>
                <c:pt idx="20">
                  <c:v>3.0723799999999999</c:v>
                </c:pt>
                <c:pt idx="21">
                  <c:v>3.0399799999999999</c:v>
                </c:pt>
                <c:pt idx="22">
                  <c:v>3.0086400000000002</c:v>
                </c:pt>
                <c:pt idx="23">
                  <c:v>2.9823699999999995</c:v>
                </c:pt>
                <c:pt idx="24">
                  <c:v>2.9618499999999996</c:v>
                </c:pt>
                <c:pt idx="25">
                  <c:v>2.9496000000000002</c:v>
                </c:pt>
                <c:pt idx="26">
                  <c:v>2.94591</c:v>
                </c:pt>
                <c:pt idx="27">
                  <c:v>2.94835</c:v>
                </c:pt>
                <c:pt idx="28">
                  <c:v>2.95573</c:v>
                </c:pt>
                <c:pt idx="29">
                  <c:v>2.96549</c:v>
                </c:pt>
                <c:pt idx="30">
                  <c:v>2.9744100000000002</c:v>
                </c:pt>
                <c:pt idx="31">
                  <c:v>2.9794100000000001</c:v>
                </c:pt>
                <c:pt idx="32">
                  <c:v>2.9852400000000001</c:v>
                </c:pt>
                <c:pt idx="33">
                  <c:v>2.99485</c:v>
                </c:pt>
                <c:pt idx="34">
                  <c:v>3.0103900000000001</c:v>
                </c:pt>
                <c:pt idx="35">
                  <c:v>3.0283600000000002</c:v>
                </c:pt>
                <c:pt idx="36">
                  <c:v>3.0445000000000002</c:v>
                </c:pt>
                <c:pt idx="37">
                  <c:v>3.05985</c:v>
                </c:pt>
                <c:pt idx="38">
                  <c:v>3.0742799999999999</c:v>
                </c:pt>
                <c:pt idx="39">
                  <c:v>3.0875699999999999</c:v>
                </c:pt>
                <c:pt idx="40">
                  <c:v>3.1009599999999997</c:v>
                </c:pt>
                <c:pt idx="41">
                  <c:v>3.1126800000000001</c:v>
                </c:pt>
                <c:pt idx="42">
                  <c:v>3.1235600000000003</c:v>
                </c:pt>
                <c:pt idx="43">
                  <c:v>3.1352000000000002</c:v>
                </c:pt>
                <c:pt idx="44">
                  <c:v>3.1471300000000002</c:v>
                </c:pt>
                <c:pt idx="45">
                  <c:v>3.1585400000000003</c:v>
                </c:pt>
                <c:pt idx="46">
                  <c:v>3.1657899999999999</c:v>
                </c:pt>
                <c:pt idx="47">
                  <c:v>3.1720999999999999</c:v>
                </c:pt>
                <c:pt idx="48">
                  <c:v>3.1763000000000003</c:v>
                </c:pt>
                <c:pt idx="49">
                  <c:v>3.1779700000000002</c:v>
                </c:pt>
                <c:pt idx="50">
                  <c:v>3.1783299999999999</c:v>
                </c:pt>
                <c:pt idx="51">
                  <c:v>3.1730700000000001</c:v>
                </c:pt>
                <c:pt idx="52">
                  <c:v>3.16527</c:v>
                </c:pt>
                <c:pt idx="53">
                  <c:v>3.1580399999999997</c:v>
                </c:pt>
                <c:pt idx="54">
                  <c:v>3.1527899999999995</c:v>
                </c:pt>
                <c:pt idx="55">
                  <c:v>3.1510400000000001</c:v>
                </c:pt>
                <c:pt idx="56">
                  <c:v>3.1533299999999995</c:v>
                </c:pt>
                <c:pt idx="57">
                  <c:v>3.1587800000000001</c:v>
                </c:pt>
                <c:pt idx="58">
                  <c:v>3.1630599999999998</c:v>
                </c:pt>
                <c:pt idx="59">
                  <c:v>3.1635999999999997</c:v>
                </c:pt>
                <c:pt idx="60">
                  <c:v>3.1630399999999996</c:v>
                </c:pt>
                <c:pt idx="61">
                  <c:v>3.1650099999999997</c:v>
                </c:pt>
                <c:pt idx="62">
                  <c:v>3.1656400000000002</c:v>
                </c:pt>
                <c:pt idx="63">
                  <c:v>3.1753399999999998</c:v>
                </c:pt>
                <c:pt idx="64">
                  <c:v>3.1791100000000001</c:v>
                </c:pt>
                <c:pt idx="65">
                  <c:v>3.1844099999999997</c:v>
                </c:pt>
                <c:pt idx="66">
                  <c:v>3.1867299999999998</c:v>
                </c:pt>
                <c:pt idx="67">
                  <c:v>3.1925500000000002</c:v>
                </c:pt>
                <c:pt idx="68">
                  <c:v>3.2023700000000002</c:v>
                </c:pt>
                <c:pt idx="69">
                  <c:v>3.2119</c:v>
                </c:pt>
                <c:pt idx="70">
                  <c:v>3.2229400000000004</c:v>
                </c:pt>
                <c:pt idx="71">
                  <c:v>3.2422299999999997</c:v>
                </c:pt>
                <c:pt idx="72">
                  <c:v>3.2552300000000001</c:v>
                </c:pt>
                <c:pt idx="73">
                  <c:v>3.27901</c:v>
                </c:pt>
                <c:pt idx="74">
                  <c:v>3.2973400000000002</c:v>
                </c:pt>
                <c:pt idx="75">
                  <c:v>3.3202400000000001</c:v>
                </c:pt>
                <c:pt idx="76">
                  <c:v>3.3426899999999997</c:v>
                </c:pt>
                <c:pt idx="77">
                  <c:v>3.3637800000000002</c:v>
                </c:pt>
                <c:pt idx="78">
                  <c:v>3.3869600000000002</c:v>
                </c:pt>
                <c:pt idx="79">
                  <c:v>3.4114499999999999</c:v>
                </c:pt>
                <c:pt idx="80">
                  <c:v>3.4361100000000002</c:v>
                </c:pt>
                <c:pt idx="81">
                  <c:v>3.4604400000000002</c:v>
                </c:pt>
                <c:pt idx="82">
                  <c:v>3.4822100000000002</c:v>
                </c:pt>
                <c:pt idx="83">
                  <c:v>3.5044900000000001</c:v>
                </c:pt>
                <c:pt idx="84">
                  <c:v>3.5272600000000001</c:v>
                </c:pt>
                <c:pt idx="85">
                  <c:v>3.5513299999999997</c:v>
                </c:pt>
                <c:pt idx="86">
                  <c:v>3.5810300000000002</c:v>
                </c:pt>
                <c:pt idx="87">
                  <c:v>3.6126399999999999</c:v>
                </c:pt>
                <c:pt idx="88">
                  <c:v>3.6410199999999997</c:v>
                </c:pt>
                <c:pt idx="89">
                  <c:v>3.6668699999999999</c:v>
                </c:pt>
                <c:pt idx="90">
                  <c:v>3.6867800000000002</c:v>
                </c:pt>
                <c:pt idx="91">
                  <c:v>3.7059100000000003</c:v>
                </c:pt>
                <c:pt idx="92">
                  <c:v>3.7213800000000004</c:v>
                </c:pt>
                <c:pt idx="93">
                  <c:v>3.7334299999999998</c:v>
                </c:pt>
                <c:pt idx="94">
                  <c:v>3.7404100000000002</c:v>
                </c:pt>
                <c:pt idx="95">
                  <c:v>3.7461000000000002</c:v>
                </c:pt>
                <c:pt idx="96">
                  <c:v>3.7458100000000001</c:v>
                </c:pt>
                <c:pt idx="97">
                  <c:v>3.7449300000000001</c:v>
                </c:pt>
                <c:pt idx="98">
                  <c:v>3.74098</c:v>
                </c:pt>
                <c:pt idx="99">
                  <c:v>3.7359499999999999</c:v>
                </c:pt>
                <c:pt idx="100">
                  <c:v>3.7248900000000003</c:v>
                </c:pt>
                <c:pt idx="101">
                  <c:v>3.7141800000000003</c:v>
                </c:pt>
                <c:pt idx="102">
                  <c:v>3.7008799999999997</c:v>
                </c:pt>
                <c:pt idx="103">
                  <c:v>3.6830099999999999</c:v>
                </c:pt>
                <c:pt idx="104">
                  <c:v>3.6584299999999996</c:v>
                </c:pt>
                <c:pt idx="105">
                  <c:v>3.6291600000000002</c:v>
                </c:pt>
                <c:pt idx="106">
                  <c:v>3.5949</c:v>
                </c:pt>
                <c:pt idx="107">
                  <c:v>3.5596800000000002</c:v>
                </c:pt>
                <c:pt idx="108">
                  <c:v>3.5224000000000002</c:v>
                </c:pt>
                <c:pt idx="109">
                  <c:v>3.4853899999999998</c:v>
                </c:pt>
                <c:pt idx="110">
                  <c:v>3.4468900000000002</c:v>
                </c:pt>
                <c:pt idx="111">
                  <c:v>3.4005600000000005</c:v>
                </c:pt>
                <c:pt idx="112">
                  <c:v>3.3444500000000001</c:v>
                </c:pt>
                <c:pt idx="113">
                  <c:v>3.2905600000000002</c:v>
                </c:pt>
                <c:pt idx="114">
                  <c:v>3.24085</c:v>
                </c:pt>
                <c:pt idx="115">
                  <c:v>3.1957100000000001</c:v>
                </c:pt>
                <c:pt idx="116">
                  <c:v>3.1538599999999999</c:v>
                </c:pt>
                <c:pt idx="117">
                  <c:v>3.1180500000000002</c:v>
                </c:pt>
                <c:pt idx="118">
                  <c:v>3.0904700000000003</c:v>
                </c:pt>
                <c:pt idx="119">
                  <c:v>3.07037</c:v>
                </c:pt>
                <c:pt idx="120">
                  <c:v>3.0531000000000001</c:v>
                </c:pt>
                <c:pt idx="121">
                  <c:v>3.0389300000000001</c:v>
                </c:pt>
                <c:pt idx="122">
                  <c:v>3.0284399999999998</c:v>
                </c:pt>
                <c:pt idx="123">
                  <c:v>3.0242499999999999</c:v>
                </c:pt>
                <c:pt idx="124">
                  <c:v>3.0074800000000002</c:v>
                </c:pt>
                <c:pt idx="125">
                  <c:v>2.9926399999999997</c:v>
                </c:pt>
                <c:pt idx="126">
                  <c:v>2.97634</c:v>
                </c:pt>
                <c:pt idx="127">
                  <c:v>2.9635699999999998</c:v>
                </c:pt>
                <c:pt idx="128">
                  <c:v>2.9525000000000001</c:v>
                </c:pt>
                <c:pt idx="129">
                  <c:v>2.9480899999999997</c:v>
                </c:pt>
                <c:pt idx="130">
                  <c:v>2.9470299999999998</c:v>
                </c:pt>
                <c:pt idx="131">
                  <c:v>2.9520499999999998</c:v>
                </c:pt>
                <c:pt idx="132">
                  <c:v>2.9610300000000001</c:v>
                </c:pt>
                <c:pt idx="133">
                  <c:v>2.9736699999999998</c:v>
                </c:pt>
                <c:pt idx="134">
                  <c:v>2.9857200000000002</c:v>
                </c:pt>
                <c:pt idx="135">
                  <c:v>2.99777</c:v>
                </c:pt>
                <c:pt idx="136">
                  <c:v>3.0130600000000003</c:v>
                </c:pt>
                <c:pt idx="137">
                  <c:v>3.03721</c:v>
                </c:pt>
                <c:pt idx="138">
                  <c:v>3.0635499999999998</c:v>
                </c:pt>
                <c:pt idx="139">
                  <c:v>3.0928499999999999</c:v>
                </c:pt>
                <c:pt idx="140">
                  <c:v>3.1275399999999998</c:v>
                </c:pt>
                <c:pt idx="141">
                  <c:v>3.1623000000000001</c:v>
                </c:pt>
                <c:pt idx="142">
                  <c:v>3.1966800000000002</c:v>
                </c:pt>
                <c:pt idx="143">
                  <c:v>3.2249499999999998</c:v>
                </c:pt>
                <c:pt idx="144">
                  <c:v>3.2488600000000001</c:v>
                </c:pt>
                <c:pt idx="145">
                  <c:v>3.2662000000000004</c:v>
                </c:pt>
                <c:pt idx="146">
                  <c:v>3.28762</c:v>
                </c:pt>
                <c:pt idx="147">
                  <c:v>3.3102999999999998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37.9009</c:v>
                </c:pt>
                <c:pt idx="1">
                  <c:v>37.236399999999996</c:v>
                </c:pt>
                <c:pt idx="2">
                  <c:v>36.492200000000004</c:v>
                </c:pt>
                <c:pt idx="3">
                  <c:v>35.697099999999999</c:v>
                </c:pt>
                <c:pt idx="4">
                  <c:v>34.862099999999998</c:v>
                </c:pt>
                <c:pt idx="5">
                  <c:v>33.986899999999999</c:v>
                </c:pt>
                <c:pt idx="6">
                  <c:v>33.133200000000002</c:v>
                </c:pt>
                <c:pt idx="7">
                  <c:v>32.297199999999997</c:v>
                </c:pt>
                <c:pt idx="8">
                  <c:v>31.482100000000003</c:v>
                </c:pt>
                <c:pt idx="9">
                  <c:v>30.617899999999999</c:v>
                </c:pt>
                <c:pt idx="10">
                  <c:v>29.782399999999999</c:v>
                </c:pt>
                <c:pt idx="11">
                  <c:v>28.943400000000004</c:v>
                </c:pt>
                <c:pt idx="12">
                  <c:v>28.202899999999996</c:v>
                </c:pt>
                <c:pt idx="13">
                  <c:v>27.536899999999996</c:v>
                </c:pt>
                <c:pt idx="14">
                  <c:v>26.973500000000001</c:v>
                </c:pt>
                <c:pt idx="15">
                  <c:v>26.471499999999999</c:v>
                </c:pt>
                <c:pt idx="16">
                  <c:v>26.015700000000002</c:v>
                </c:pt>
                <c:pt idx="17">
                  <c:v>25.566299999999998</c:v>
                </c:pt>
                <c:pt idx="18">
                  <c:v>25.078299999999999</c:v>
                </c:pt>
                <c:pt idx="19">
                  <c:v>24.589199999999998</c:v>
                </c:pt>
                <c:pt idx="20">
                  <c:v>24.085999999999999</c:v>
                </c:pt>
                <c:pt idx="21">
                  <c:v>23.622599999999998</c:v>
                </c:pt>
                <c:pt idx="22">
                  <c:v>23.120899999999999</c:v>
                </c:pt>
                <c:pt idx="23">
                  <c:v>22.525300000000001</c:v>
                </c:pt>
                <c:pt idx="24">
                  <c:v>21.845100000000002</c:v>
                </c:pt>
                <c:pt idx="25">
                  <c:v>21.039099999999998</c:v>
                </c:pt>
                <c:pt idx="26">
                  <c:v>20.172799999999999</c:v>
                </c:pt>
                <c:pt idx="27">
                  <c:v>19.2303</c:v>
                </c:pt>
                <c:pt idx="28">
                  <c:v>18.1983</c:v>
                </c:pt>
                <c:pt idx="29">
                  <c:v>17.2346</c:v>
                </c:pt>
                <c:pt idx="30">
                  <c:v>16.3127</c:v>
                </c:pt>
                <c:pt idx="31">
                  <c:v>15.559999999999999</c:v>
                </c:pt>
                <c:pt idx="32">
                  <c:v>14.9091</c:v>
                </c:pt>
                <c:pt idx="33">
                  <c:v>14.357700000000001</c:v>
                </c:pt>
                <c:pt idx="34">
                  <c:v>13.936699999999998</c:v>
                </c:pt>
                <c:pt idx="35">
                  <c:v>13.621500000000001</c:v>
                </c:pt>
                <c:pt idx="36">
                  <c:v>13.4232</c:v>
                </c:pt>
                <c:pt idx="37">
                  <c:v>13.261400000000002</c:v>
                </c:pt>
                <c:pt idx="38">
                  <c:v>13.209999999999999</c:v>
                </c:pt>
                <c:pt idx="39">
                  <c:v>13.209599999999998</c:v>
                </c:pt>
                <c:pt idx="40">
                  <c:v>13.230400000000001</c:v>
                </c:pt>
                <c:pt idx="41">
                  <c:v>13.344000000000001</c:v>
                </c:pt>
                <c:pt idx="42">
                  <c:v>13.453399999999998</c:v>
                </c:pt>
                <c:pt idx="43">
                  <c:v>13.627000000000001</c:v>
                </c:pt>
                <c:pt idx="44">
                  <c:v>13.8598</c:v>
                </c:pt>
                <c:pt idx="45">
                  <c:v>14.150099999999998</c:v>
                </c:pt>
                <c:pt idx="46">
                  <c:v>14.427000000000001</c:v>
                </c:pt>
                <c:pt idx="47">
                  <c:v>14.736099999999999</c:v>
                </c:pt>
                <c:pt idx="48">
                  <c:v>15.0939</c:v>
                </c:pt>
                <c:pt idx="49">
                  <c:v>15.478200000000001</c:v>
                </c:pt>
                <c:pt idx="50">
                  <c:v>15.8306</c:v>
                </c:pt>
                <c:pt idx="51">
                  <c:v>16.4663</c:v>
                </c:pt>
                <c:pt idx="52">
                  <c:v>17.123799999999999</c:v>
                </c:pt>
                <c:pt idx="53">
                  <c:v>17.823499999999999</c:v>
                </c:pt>
                <c:pt idx="54">
                  <c:v>18.493499999999997</c:v>
                </c:pt>
                <c:pt idx="55">
                  <c:v>19.170000000000002</c:v>
                </c:pt>
                <c:pt idx="56">
                  <c:v>19.714100000000002</c:v>
                </c:pt>
                <c:pt idx="57">
                  <c:v>20.282299999999999</c:v>
                </c:pt>
                <c:pt idx="58">
                  <c:v>20.797599999999999</c:v>
                </c:pt>
                <c:pt idx="59">
                  <c:v>21.2803</c:v>
                </c:pt>
                <c:pt idx="60">
                  <c:v>21.668900000000001</c:v>
                </c:pt>
                <c:pt idx="61">
                  <c:v>22.121700000000001</c:v>
                </c:pt>
                <c:pt idx="62">
                  <c:v>22.378799999999998</c:v>
                </c:pt>
                <c:pt idx="63">
                  <c:v>22.613199999999999</c:v>
                </c:pt>
                <c:pt idx="64">
                  <c:v>22.822500000000002</c:v>
                </c:pt>
                <c:pt idx="65">
                  <c:v>23.040700000000001</c:v>
                </c:pt>
                <c:pt idx="66">
                  <c:v>23.189499999999999</c:v>
                </c:pt>
                <c:pt idx="67">
                  <c:v>23.403399999999998</c:v>
                </c:pt>
                <c:pt idx="68">
                  <c:v>23.5991</c:v>
                </c:pt>
                <c:pt idx="69">
                  <c:v>23.716000000000001</c:v>
                </c:pt>
                <c:pt idx="70">
                  <c:v>23.869299999999999</c:v>
                </c:pt>
                <c:pt idx="71">
                  <c:v>24.019099999999998</c:v>
                </c:pt>
                <c:pt idx="72">
                  <c:v>24.188000000000002</c:v>
                </c:pt>
                <c:pt idx="73">
                  <c:v>24.496499999999997</c:v>
                </c:pt>
                <c:pt idx="74">
                  <c:v>24.705400000000001</c:v>
                </c:pt>
                <c:pt idx="75">
                  <c:v>24.789899999999999</c:v>
                </c:pt>
                <c:pt idx="76">
                  <c:v>24.932299999999998</c:v>
                </c:pt>
                <c:pt idx="77">
                  <c:v>25.1936</c:v>
                </c:pt>
                <c:pt idx="78">
                  <c:v>25.437700000000003</c:v>
                </c:pt>
                <c:pt idx="79">
                  <c:v>25.607999999999997</c:v>
                </c:pt>
                <c:pt idx="80">
                  <c:v>25.793199999999999</c:v>
                </c:pt>
                <c:pt idx="81">
                  <c:v>25.9923</c:v>
                </c:pt>
                <c:pt idx="82">
                  <c:v>26.166099999999997</c:v>
                </c:pt>
                <c:pt idx="83">
                  <c:v>26.308500000000002</c:v>
                </c:pt>
                <c:pt idx="84">
                  <c:v>26.442900000000002</c:v>
                </c:pt>
                <c:pt idx="85">
                  <c:v>26.5656</c:v>
                </c:pt>
                <c:pt idx="86">
                  <c:v>26.629000000000001</c:v>
                </c:pt>
                <c:pt idx="87">
                  <c:v>26.601000000000003</c:v>
                </c:pt>
                <c:pt idx="88">
                  <c:v>26.685100000000002</c:v>
                </c:pt>
                <c:pt idx="89">
                  <c:v>26.915400000000002</c:v>
                </c:pt>
                <c:pt idx="90">
                  <c:v>27.1797</c:v>
                </c:pt>
                <c:pt idx="91">
                  <c:v>27.422499999999999</c:v>
                </c:pt>
                <c:pt idx="92">
                  <c:v>27.669799999999999</c:v>
                </c:pt>
                <c:pt idx="93">
                  <c:v>27.9405</c:v>
                </c:pt>
                <c:pt idx="94">
                  <c:v>28.171499999999998</c:v>
                </c:pt>
                <c:pt idx="95">
                  <c:v>28.307399999999998</c:v>
                </c:pt>
                <c:pt idx="96">
                  <c:v>28.396900000000002</c:v>
                </c:pt>
                <c:pt idx="97">
                  <c:v>28.446999999999999</c:v>
                </c:pt>
                <c:pt idx="98">
                  <c:v>28.537299999999998</c:v>
                </c:pt>
                <c:pt idx="99">
                  <c:v>28.648099999999999</c:v>
                </c:pt>
                <c:pt idx="100">
                  <c:v>28.701000000000001</c:v>
                </c:pt>
                <c:pt idx="101">
                  <c:v>28.736099999999997</c:v>
                </c:pt>
                <c:pt idx="102">
                  <c:v>28.684799999999999</c:v>
                </c:pt>
                <c:pt idx="103">
                  <c:v>28.587699999999998</c:v>
                </c:pt>
                <c:pt idx="104">
                  <c:v>28.452499999999997</c:v>
                </c:pt>
                <c:pt idx="105">
                  <c:v>28.306799999999999</c:v>
                </c:pt>
                <c:pt idx="106">
                  <c:v>28.072500000000002</c:v>
                </c:pt>
                <c:pt idx="107">
                  <c:v>27.797599999999999</c:v>
                </c:pt>
                <c:pt idx="108">
                  <c:v>27.557700000000001</c:v>
                </c:pt>
                <c:pt idx="109">
                  <c:v>27.380399999999998</c:v>
                </c:pt>
                <c:pt idx="110">
                  <c:v>27.236799999999999</c:v>
                </c:pt>
                <c:pt idx="111">
                  <c:v>27.215600000000002</c:v>
                </c:pt>
                <c:pt idx="112">
                  <c:v>27.446999999999999</c:v>
                </c:pt>
                <c:pt idx="113">
                  <c:v>27.669</c:v>
                </c:pt>
                <c:pt idx="114">
                  <c:v>27.767999999999997</c:v>
                </c:pt>
                <c:pt idx="115">
                  <c:v>27.779300000000003</c:v>
                </c:pt>
                <c:pt idx="116">
                  <c:v>27.871000000000002</c:v>
                </c:pt>
                <c:pt idx="117">
                  <c:v>27.905999999999999</c:v>
                </c:pt>
                <c:pt idx="118">
                  <c:v>27.85</c:v>
                </c:pt>
                <c:pt idx="119">
                  <c:v>27.758300000000002</c:v>
                </c:pt>
                <c:pt idx="120">
                  <c:v>27.723300000000002</c:v>
                </c:pt>
                <c:pt idx="121">
                  <c:v>27.523999999999997</c:v>
                </c:pt>
                <c:pt idx="122">
                  <c:v>27.227499999999999</c:v>
                </c:pt>
                <c:pt idx="123">
                  <c:v>26.858999999999998</c:v>
                </c:pt>
                <c:pt idx="124">
                  <c:v>26.7393</c:v>
                </c:pt>
                <c:pt idx="125">
                  <c:v>26.606000000000002</c:v>
                </c:pt>
                <c:pt idx="126">
                  <c:v>26.4283</c:v>
                </c:pt>
                <c:pt idx="127">
                  <c:v>26.178699999999999</c:v>
                </c:pt>
                <c:pt idx="128">
                  <c:v>25.9451</c:v>
                </c:pt>
                <c:pt idx="129">
                  <c:v>25.685099999999998</c:v>
                </c:pt>
                <c:pt idx="130">
                  <c:v>25.391300000000001</c:v>
                </c:pt>
                <c:pt idx="131">
                  <c:v>25.119799999999998</c:v>
                </c:pt>
                <c:pt idx="132">
                  <c:v>24.8916</c:v>
                </c:pt>
                <c:pt idx="133">
                  <c:v>24.627800000000001</c:v>
                </c:pt>
                <c:pt idx="134">
                  <c:v>24.360100000000003</c:v>
                </c:pt>
                <c:pt idx="135">
                  <c:v>24.1541</c:v>
                </c:pt>
                <c:pt idx="136">
                  <c:v>23.972099999999998</c:v>
                </c:pt>
                <c:pt idx="137">
                  <c:v>23.722799999999999</c:v>
                </c:pt>
                <c:pt idx="138">
                  <c:v>23.508100000000002</c:v>
                </c:pt>
                <c:pt idx="139">
                  <c:v>23.351099999999999</c:v>
                </c:pt>
                <c:pt idx="140">
                  <c:v>23.242599999999999</c:v>
                </c:pt>
                <c:pt idx="141">
                  <c:v>23.059100000000001</c:v>
                </c:pt>
                <c:pt idx="142">
                  <c:v>23.0425</c:v>
                </c:pt>
                <c:pt idx="143">
                  <c:v>22.958400000000001</c:v>
                </c:pt>
                <c:pt idx="144">
                  <c:v>22.767499999999998</c:v>
                </c:pt>
                <c:pt idx="145">
                  <c:v>22.2361</c:v>
                </c:pt>
                <c:pt idx="146">
                  <c:v>22.262799999999999</c:v>
                </c:pt>
                <c:pt idx="147">
                  <c:v>22.915600000000001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3.6492000000000004</c:v>
                </c:pt>
                <c:pt idx="1">
                  <c:v>3.6370100000000001</c:v>
                </c:pt>
                <c:pt idx="2">
                  <c:v>3.6229699999999996</c:v>
                </c:pt>
                <c:pt idx="3">
                  <c:v>3.6063400000000003</c:v>
                </c:pt>
                <c:pt idx="4">
                  <c:v>3.5856599999999998</c:v>
                </c:pt>
                <c:pt idx="5">
                  <c:v>3.5634199999999998</c:v>
                </c:pt>
                <c:pt idx="6">
                  <c:v>3.5388299999999999</c:v>
                </c:pt>
                <c:pt idx="7">
                  <c:v>3.5118500000000004</c:v>
                </c:pt>
                <c:pt idx="8">
                  <c:v>3.48325</c:v>
                </c:pt>
                <c:pt idx="9">
                  <c:v>3.4548099999999997</c:v>
                </c:pt>
                <c:pt idx="10">
                  <c:v>3.4243399999999999</c:v>
                </c:pt>
                <c:pt idx="11">
                  <c:v>3.3932500000000001</c:v>
                </c:pt>
                <c:pt idx="12">
                  <c:v>3.3593699999999997</c:v>
                </c:pt>
                <c:pt idx="13">
                  <c:v>3.3239700000000001</c:v>
                </c:pt>
                <c:pt idx="14">
                  <c:v>3.2870700000000004</c:v>
                </c:pt>
                <c:pt idx="15">
                  <c:v>3.2485000000000004</c:v>
                </c:pt>
                <c:pt idx="16">
                  <c:v>3.2101299999999999</c:v>
                </c:pt>
                <c:pt idx="17">
                  <c:v>3.1732100000000001</c:v>
                </c:pt>
                <c:pt idx="18">
                  <c:v>3.1376900000000001</c:v>
                </c:pt>
                <c:pt idx="19">
                  <c:v>3.1041499999999997</c:v>
                </c:pt>
                <c:pt idx="20">
                  <c:v>3.0723799999999999</c:v>
                </c:pt>
                <c:pt idx="21">
                  <c:v>3.0399799999999999</c:v>
                </c:pt>
                <c:pt idx="22">
                  <c:v>3.0086400000000002</c:v>
                </c:pt>
                <c:pt idx="23">
                  <c:v>2.9823699999999995</c:v>
                </c:pt>
                <c:pt idx="24">
                  <c:v>2.9618499999999996</c:v>
                </c:pt>
                <c:pt idx="25">
                  <c:v>2.9496000000000002</c:v>
                </c:pt>
                <c:pt idx="26">
                  <c:v>2.94591</c:v>
                </c:pt>
                <c:pt idx="27">
                  <c:v>2.94835</c:v>
                </c:pt>
                <c:pt idx="28">
                  <c:v>2.95573</c:v>
                </c:pt>
                <c:pt idx="29">
                  <c:v>2.96549</c:v>
                </c:pt>
                <c:pt idx="30">
                  <c:v>2.9744100000000002</c:v>
                </c:pt>
                <c:pt idx="31">
                  <c:v>2.9794100000000001</c:v>
                </c:pt>
                <c:pt idx="32">
                  <c:v>2.9852400000000001</c:v>
                </c:pt>
                <c:pt idx="33">
                  <c:v>2.99485</c:v>
                </c:pt>
                <c:pt idx="34">
                  <c:v>3.0103900000000001</c:v>
                </c:pt>
                <c:pt idx="35">
                  <c:v>3.0283600000000002</c:v>
                </c:pt>
                <c:pt idx="36">
                  <c:v>3.0445000000000002</c:v>
                </c:pt>
                <c:pt idx="37">
                  <c:v>3.05985</c:v>
                </c:pt>
                <c:pt idx="38">
                  <c:v>3.0742799999999999</c:v>
                </c:pt>
                <c:pt idx="39">
                  <c:v>3.0875699999999999</c:v>
                </c:pt>
                <c:pt idx="40">
                  <c:v>3.1009599999999997</c:v>
                </c:pt>
                <c:pt idx="41">
                  <c:v>3.1126800000000001</c:v>
                </c:pt>
                <c:pt idx="42">
                  <c:v>3.1235600000000003</c:v>
                </c:pt>
                <c:pt idx="43">
                  <c:v>3.1352000000000002</c:v>
                </c:pt>
                <c:pt idx="44">
                  <c:v>3.1471300000000002</c:v>
                </c:pt>
                <c:pt idx="45">
                  <c:v>3.1585400000000003</c:v>
                </c:pt>
                <c:pt idx="46">
                  <c:v>3.1657899999999999</c:v>
                </c:pt>
                <c:pt idx="47">
                  <c:v>3.1720999999999999</c:v>
                </c:pt>
                <c:pt idx="48">
                  <c:v>3.1763000000000003</c:v>
                </c:pt>
                <c:pt idx="49">
                  <c:v>3.1779700000000002</c:v>
                </c:pt>
                <c:pt idx="50">
                  <c:v>3.1783299999999999</c:v>
                </c:pt>
                <c:pt idx="51">
                  <c:v>3.1730700000000001</c:v>
                </c:pt>
                <c:pt idx="52">
                  <c:v>3.16527</c:v>
                </c:pt>
                <c:pt idx="53">
                  <c:v>3.1580399999999997</c:v>
                </c:pt>
                <c:pt idx="54">
                  <c:v>3.1527899999999995</c:v>
                </c:pt>
                <c:pt idx="55">
                  <c:v>3.1510400000000001</c:v>
                </c:pt>
                <c:pt idx="56">
                  <c:v>3.1533299999999995</c:v>
                </c:pt>
                <c:pt idx="57">
                  <c:v>3.1587800000000001</c:v>
                </c:pt>
                <c:pt idx="58">
                  <c:v>3.1630599999999998</c:v>
                </c:pt>
                <c:pt idx="59">
                  <c:v>3.1635999999999997</c:v>
                </c:pt>
                <c:pt idx="60">
                  <c:v>3.1630399999999996</c:v>
                </c:pt>
                <c:pt idx="61">
                  <c:v>3.1650099999999997</c:v>
                </c:pt>
                <c:pt idx="62">
                  <c:v>3.1656400000000002</c:v>
                </c:pt>
                <c:pt idx="63">
                  <c:v>3.1753399999999998</c:v>
                </c:pt>
                <c:pt idx="64">
                  <c:v>3.1791100000000001</c:v>
                </c:pt>
                <c:pt idx="65">
                  <c:v>3.1844099999999997</c:v>
                </c:pt>
                <c:pt idx="66">
                  <c:v>3.1867299999999998</c:v>
                </c:pt>
                <c:pt idx="67">
                  <c:v>3.1925500000000002</c:v>
                </c:pt>
                <c:pt idx="68">
                  <c:v>3.2023700000000002</c:v>
                </c:pt>
                <c:pt idx="69">
                  <c:v>3.2119</c:v>
                </c:pt>
                <c:pt idx="70">
                  <c:v>3.2229400000000004</c:v>
                </c:pt>
                <c:pt idx="71">
                  <c:v>3.2422299999999997</c:v>
                </c:pt>
                <c:pt idx="72">
                  <c:v>3.2552300000000001</c:v>
                </c:pt>
                <c:pt idx="73">
                  <c:v>3.27901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37.9009</c:v>
                </c:pt>
                <c:pt idx="1">
                  <c:v>37.236399999999996</c:v>
                </c:pt>
                <c:pt idx="2">
                  <c:v>36.492200000000004</c:v>
                </c:pt>
                <c:pt idx="3">
                  <c:v>35.697099999999999</c:v>
                </c:pt>
                <c:pt idx="4">
                  <c:v>34.862099999999998</c:v>
                </c:pt>
                <c:pt idx="5">
                  <c:v>33.986899999999999</c:v>
                </c:pt>
                <c:pt idx="6">
                  <c:v>33.133200000000002</c:v>
                </c:pt>
                <c:pt idx="7">
                  <c:v>32.297199999999997</c:v>
                </c:pt>
                <c:pt idx="8">
                  <c:v>31.482100000000003</c:v>
                </c:pt>
                <c:pt idx="9">
                  <c:v>30.617899999999999</c:v>
                </c:pt>
                <c:pt idx="10">
                  <c:v>29.782399999999999</c:v>
                </c:pt>
                <c:pt idx="11">
                  <c:v>28.943400000000004</c:v>
                </c:pt>
                <c:pt idx="12">
                  <c:v>28.202899999999996</c:v>
                </c:pt>
                <c:pt idx="13">
                  <c:v>27.536899999999996</c:v>
                </c:pt>
                <c:pt idx="14">
                  <c:v>26.973500000000001</c:v>
                </c:pt>
                <c:pt idx="15">
                  <c:v>26.471499999999999</c:v>
                </c:pt>
                <c:pt idx="16">
                  <c:v>26.015700000000002</c:v>
                </c:pt>
                <c:pt idx="17">
                  <c:v>25.566299999999998</c:v>
                </c:pt>
                <c:pt idx="18">
                  <c:v>25.078299999999999</c:v>
                </c:pt>
                <c:pt idx="19">
                  <c:v>24.589199999999998</c:v>
                </c:pt>
                <c:pt idx="20">
                  <c:v>24.085999999999999</c:v>
                </c:pt>
                <c:pt idx="21">
                  <c:v>23.622599999999998</c:v>
                </c:pt>
                <c:pt idx="22">
                  <c:v>23.120899999999999</c:v>
                </c:pt>
                <c:pt idx="23">
                  <c:v>22.525300000000001</c:v>
                </c:pt>
                <c:pt idx="24">
                  <c:v>21.845100000000002</c:v>
                </c:pt>
                <c:pt idx="25">
                  <c:v>21.039099999999998</c:v>
                </c:pt>
                <c:pt idx="26">
                  <c:v>20.172799999999999</c:v>
                </c:pt>
                <c:pt idx="27">
                  <c:v>19.2303</c:v>
                </c:pt>
                <c:pt idx="28">
                  <c:v>18.1983</c:v>
                </c:pt>
                <c:pt idx="29">
                  <c:v>17.2346</c:v>
                </c:pt>
                <c:pt idx="30">
                  <c:v>16.3127</c:v>
                </c:pt>
                <c:pt idx="31">
                  <c:v>15.559999999999999</c:v>
                </c:pt>
                <c:pt idx="32">
                  <c:v>14.9091</c:v>
                </c:pt>
                <c:pt idx="33">
                  <c:v>14.357700000000001</c:v>
                </c:pt>
                <c:pt idx="34">
                  <c:v>13.936699999999998</c:v>
                </c:pt>
                <c:pt idx="35">
                  <c:v>13.621500000000001</c:v>
                </c:pt>
                <c:pt idx="36">
                  <c:v>13.4232</c:v>
                </c:pt>
                <c:pt idx="37">
                  <c:v>13.261400000000002</c:v>
                </c:pt>
                <c:pt idx="38">
                  <c:v>13.209999999999999</c:v>
                </c:pt>
                <c:pt idx="39">
                  <c:v>13.209599999999998</c:v>
                </c:pt>
                <c:pt idx="40">
                  <c:v>13.230400000000001</c:v>
                </c:pt>
                <c:pt idx="41">
                  <c:v>13.344000000000001</c:v>
                </c:pt>
                <c:pt idx="42">
                  <c:v>13.453399999999998</c:v>
                </c:pt>
                <c:pt idx="43">
                  <c:v>13.627000000000001</c:v>
                </c:pt>
                <c:pt idx="44">
                  <c:v>13.8598</c:v>
                </c:pt>
                <c:pt idx="45">
                  <c:v>14.150099999999998</c:v>
                </c:pt>
                <c:pt idx="46">
                  <c:v>14.427000000000001</c:v>
                </c:pt>
                <c:pt idx="47">
                  <c:v>14.736099999999999</c:v>
                </c:pt>
                <c:pt idx="48">
                  <c:v>15.0939</c:v>
                </c:pt>
                <c:pt idx="49">
                  <c:v>15.478200000000001</c:v>
                </c:pt>
                <c:pt idx="50">
                  <c:v>15.8306</c:v>
                </c:pt>
                <c:pt idx="51">
                  <c:v>16.4663</c:v>
                </c:pt>
                <c:pt idx="52">
                  <c:v>17.123799999999999</c:v>
                </c:pt>
                <c:pt idx="53">
                  <c:v>17.823499999999999</c:v>
                </c:pt>
                <c:pt idx="54">
                  <c:v>18.493499999999997</c:v>
                </c:pt>
                <c:pt idx="55">
                  <c:v>19.170000000000002</c:v>
                </c:pt>
                <c:pt idx="56">
                  <c:v>19.714100000000002</c:v>
                </c:pt>
                <c:pt idx="57">
                  <c:v>20.282299999999999</c:v>
                </c:pt>
                <c:pt idx="58">
                  <c:v>20.797599999999999</c:v>
                </c:pt>
                <c:pt idx="59">
                  <c:v>21.2803</c:v>
                </c:pt>
                <c:pt idx="60">
                  <c:v>21.668900000000001</c:v>
                </c:pt>
                <c:pt idx="61">
                  <c:v>22.121700000000001</c:v>
                </c:pt>
                <c:pt idx="62">
                  <c:v>22.378799999999998</c:v>
                </c:pt>
                <c:pt idx="63">
                  <c:v>22.613199999999999</c:v>
                </c:pt>
                <c:pt idx="64">
                  <c:v>22.822500000000002</c:v>
                </c:pt>
                <c:pt idx="65">
                  <c:v>23.040700000000001</c:v>
                </c:pt>
                <c:pt idx="66">
                  <c:v>23.189499999999999</c:v>
                </c:pt>
                <c:pt idx="67">
                  <c:v>23.403399999999998</c:v>
                </c:pt>
                <c:pt idx="68">
                  <c:v>23.5991</c:v>
                </c:pt>
                <c:pt idx="69">
                  <c:v>23.716000000000001</c:v>
                </c:pt>
                <c:pt idx="70">
                  <c:v>23.869299999999999</c:v>
                </c:pt>
                <c:pt idx="71">
                  <c:v>24.019099999999998</c:v>
                </c:pt>
                <c:pt idx="72">
                  <c:v>24.188000000000002</c:v>
                </c:pt>
                <c:pt idx="73">
                  <c:v>24.496499999999997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3.27901</c:v>
                </c:pt>
                <c:pt idx="1">
                  <c:v>3.2973400000000002</c:v>
                </c:pt>
                <c:pt idx="2">
                  <c:v>3.3202400000000001</c:v>
                </c:pt>
                <c:pt idx="3">
                  <c:v>3.3426899999999997</c:v>
                </c:pt>
                <c:pt idx="4">
                  <c:v>3.3637800000000002</c:v>
                </c:pt>
                <c:pt idx="5">
                  <c:v>3.3869600000000002</c:v>
                </c:pt>
                <c:pt idx="6">
                  <c:v>3.4114499999999999</c:v>
                </c:pt>
                <c:pt idx="7">
                  <c:v>3.4361100000000002</c:v>
                </c:pt>
                <c:pt idx="8">
                  <c:v>3.4604400000000002</c:v>
                </c:pt>
                <c:pt idx="9">
                  <c:v>3.4822100000000002</c:v>
                </c:pt>
                <c:pt idx="10">
                  <c:v>3.5044900000000001</c:v>
                </c:pt>
                <c:pt idx="11">
                  <c:v>3.5272600000000001</c:v>
                </c:pt>
                <c:pt idx="12">
                  <c:v>3.5513299999999997</c:v>
                </c:pt>
                <c:pt idx="13">
                  <c:v>3.5810300000000002</c:v>
                </c:pt>
                <c:pt idx="14">
                  <c:v>3.6126399999999999</c:v>
                </c:pt>
                <c:pt idx="15">
                  <c:v>3.6410199999999997</c:v>
                </c:pt>
                <c:pt idx="16">
                  <c:v>3.6668699999999999</c:v>
                </c:pt>
                <c:pt idx="17">
                  <c:v>3.6867800000000002</c:v>
                </c:pt>
                <c:pt idx="18">
                  <c:v>3.7059100000000003</c:v>
                </c:pt>
                <c:pt idx="19">
                  <c:v>3.7213800000000004</c:v>
                </c:pt>
                <c:pt idx="20">
                  <c:v>3.7334299999999998</c:v>
                </c:pt>
                <c:pt idx="21">
                  <c:v>3.7404100000000002</c:v>
                </c:pt>
                <c:pt idx="22">
                  <c:v>3.7461000000000002</c:v>
                </c:pt>
                <c:pt idx="23">
                  <c:v>3.7458100000000001</c:v>
                </c:pt>
                <c:pt idx="24">
                  <c:v>3.7449300000000001</c:v>
                </c:pt>
                <c:pt idx="25">
                  <c:v>3.74098</c:v>
                </c:pt>
                <c:pt idx="26">
                  <c:v>3.7359499999999999</c:v>
                </c:pt>
                <c:pt idx="27">
                  <c:v>3.7248900000000003</c:v>
                </c:pt>
                <c:pt idx="28">
                  <c:v>3.7141800000000003</c:v>
                </c:pt>
                <c:pt idx="29">
                  <c:v>3.7008799999999997</c:v>
                </c:pt>
                <c:pt idx="30">
                  <c:v>3.6830099999999999</c:v>
                </c:pt>
                <c:pt idx="31">
                  <c:v>3.6584299999999996</c:v>
                </c:pt>
                <c:pt idx="32">
                  <c:v>3.6291600000000002</c:v>
                </c:pt>
                <c:pt idx="33">
                  <c:v>3.5949</c:v>
                </c:pt>
                <c:pt idx="34">
                  <c:v>3.5596800000000002</c:v>
                </c:pt>
                <c:pt idx="35">
                  <c:v>3.5224000000000002</c:v>
                </c:pt>
                <c:pt idx="36">
                  <c:v>3.4853899999999998</c:v>
                </c:pt>
                <c:pt idx="37">
                  <c:v>3.4468900000000002</c:v>
                </c:pt>
                <c:pt idx="38">
                  <c:v>3.4005600000000005</c:v>
                </c:pt>
                <c:pt idx="39">
                  <c:v>3.3444500000000001</c:v>
                </c:pt>
                <c:pt idx="40">
                  <c:v>3.2905600000000002</c:v>
                </c:pt>
                <c:pt idx="41">
                  <c:v>3.24085</c:v>
                </c:pt>
                <c:pt idx="42">
                  <c:v>3.1957100000000001</c:v>
                </c:pt>
                <c:pt idx="43">
                  <c:v>3.1538599999999999</c:v>
                </c:pt>
                <c:pt idx="44">
                  <c:v>3.1180500000000002</c:v>
                </c:pt>
                <c:pt idx="45">
                  <c:v>3.0904700000000003</c:v>
                </c:pt>
                <c:pt idx="46">
                  <c:v>3.07037</c:v>
                </c:pt>
                <c:pt idx="47">
                  <c:v>3.0531000000000001</c:v>
                </c:pt>
                <c:pt idx="48">
                  <c:v>3.0389300000000001</c:v>
                </c:pt>
                <c:pt idx="49">
                  <c:v>3.0284399999999998</c:v>
                </c:pt>
                <c:pt idx="50">
                  <c:v>3.0242499999999999</c:v>
                </c:pt>
                <c:pt idx="51">
                  <c:v>3.0074800000000002</c:v>
                </c:pt>
                <c:pt idx="52">
                  <c:v>2.9926399999999997</c:v>
                </c:pt>
                <c:pt idx="53">
                  <c:v>2.97634</c:v>
                </c:pt>
                <c:pt idx="54">
                  <c:v>2.9635699999999998</c:v>
                </c:pt>
                <c:pt idx="55">
                  <c:v>2.9525000000000001</c:v>
                </c:pt>
                <c:pt idx="56">
                  <c:v>2.9480899999999997</c:v>
                </c:pt>
                <c:pt idx="57">
                  <c:v>2.9470299999999998</c:v>
                </c:pt>
                <c:pt idx="58">
                  <c:v>2.9520499999999998</c:v>
                </c:pt>
                <c:pt idx="59">
                  <c:v>2.9610300000000001</c:v>
                </c:pt>
                <c:pt idx="60">
                  <c:v>2.9736699999999998</c:v>
                </c:pt>
                <c:pt idx="61">
                  <c:v>2.9857200000000002</c:v>
                </c:pt>
                <c:pt idx="62">
                  <c:v>2.99777</c:v>
                </c:pt>
                <c:pt idx="63">
                  <c:v>3.0130600000000003</c:v>
                </c:pt>
                <c:pt idx="64">
                  <c:v>3.03721</c:v>
                </c:pt>
                <c:pt idx="65">
                  <c:v>3.0635499999999998</c:v>
                </c:pt>
                <c:pt idx="66">
                  <c:v>3.0928499999999999</c:v>
                </c:pt>
                <c:pt idx="67">
                  <c:v>3.1275399999999998</c:v>
                </c:pt>
                <c:pt idx="68">
                  <c:v>3.1623000000000001</c:v>
                </c:pt>
                <c:pt idx="69">
                  <c:v>3.1966800000000002</c:v>
                </c:pt>
                <c:pt idx="70">
                  <c:v>3.2249499999999998</c:v>
                </c:pt>
                <c:pt idx="71">
                  <c:v>3.2488600000000001</c:v>
                </c:pt>
                <c:pt idx="72">
                  <c:v>3.2662000000000004</c:v>
                </c:pt>
                <c:pt idx="73">
                  <c:v>3.28762</c:v>
                </c:pt>
                <c:pt idx="74">
                  <c:v>3.3102999999999998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24.496499999999997</c:v>
                </c:pt>
                <c:pt idx="1">
                  <c:v>24.705400000000001</c:v>
                </c:pt>
                <c:pt idx="2">
                  <c:v>24.789899999999999</c:v>
                </c:pt>
                <c:pt idx="3">
                  <c:v>24.932299999999998</c:v>
                </c:pt>
                <c:pt idx="4">
                  <c:v>25.1936</c:v>
                </c:pt>
                <c:pt idx="5">
                  <c:v>25.437700000000003</c:v>
                </c:pt>
                <c:pt idx="6">
                  <c:v>25.607999999999997</c:v>
                </c:pt>
                <c:pt idx="7">
                  <c:v>25.793199999999999</c:v>
                </c:pt>
                <c:pt idx="8">
                  <c:v>25.9923</c:v>
                </c:pt>
                <c:pt idx="9">
                  <c:v>26.166099999999997</c:v>
                </c:pt>
                <c:pt idx="10">
                  <c:v>26.308500000000002</c:v>
                </c:pt>
                <c:pt idx="11">
                  <c:v>26.442900000000002</c:v>
                </c:pt>
                <c:pt idx="12">
                  <c:v>26.5656</c:v>
                </c:pt>
                <c:pt idx="13">
                  <c:v>26.629000000000001</c:v>
                </c:pt>
                <c:pt idx="14">
                  <c:v>26.601000000000003</c:v>
                </c:pt>
                <c:pt idx="15">
                  <c:v>26.685100000000002</c:v>
                </c:pt>
                <c:pt idx="16">
                  <c:v>26.915400000000002</c:v>
                </c:pt>
                <c:pt idx="17">
                  <c:v>27.1797</c:v>
                </c:pt>
                <c:pt idx="18">
                  <c:v>27.422499999999999</c:v>
                </c:pt>
                <c:pt idx="19">
                  <c:v>27.669799999999999</c:v>
                </c:pt>
                <c:pt idx="20">
                  <c:v>27.9405</c:v>
                </c:pt>
                <c:pt idx="21">
                  <c:v>28.171499999999998</c:v>
                </c:pt>
                <c:pt idx="22">
                  <c:v>28.307399999999998</c:v>
                </c:pt>
                <c:pt idx="23">
                  <c:v>28.396900000000002</c:v>
                </c:pt>
                <c:pt idx="24">
                  <c:v>28.446999999999999</c:v>
                </c:pt>
                <c:pt idx="25">
                  <c:v>28.537299999999998</c:v>
                </c:pt>
                <c:pt idx="26">
                  <c:v>28.648099999999999</c:v>
                </c:pt>
                <c:pt idx="27">
                  <c:v>28.701000000000001</c:v>
                </c:pt>
                <c:pt idx="28">
                  <c:v>28.736099999999997</c:v>
                </c:pt>
                <c:pt idx="29">
                  <c:v>28.684799999999999</c:v>
                </c:pt>
                <c:pt idx="30">
                  <c:v>28.587699999999998</c:v>
                </c:pt>
                <c:pt idx="31">
                  <c:v>28.452499999999997</c:v>
                </c:pt>
                <c:pt idx="32">
                  <c:v>28.306799999999999</c:v>
                </c:pt>
                <c:pt idx="33">
                  <c:v>28.072500000000002</c:v>
                </c:pt>
                <c:pt idx="34">
                  <c:v>27.797599999999999</c:v>
                </c:pt>
                <c:pt idx="35">
                  <c:v>27.557700000000001</c:v>
                </c:pt>
                <c:pt idx="36">
                  <c:v>27.380399999999998</c:v>
                </c:pt>
                <c:pt idx="37">
                  <c:v>27.236799999999999</c:v>
                </c:pt>
                <c:pt idx="38">
                  <c:v>27.215600000000002</c:v>
                </c:pt>
                <c:pt idx="39">
                  <c:v>27.446999999999999</c:v>
                </c:pt>
                <c:pt idx="40">
                  <c:v>27.669</c:v>
                </c:pt>
                <c:pt idx="41">
                  <c:v>27.767999999999997</c:v>
                </c:pt>
                <c:pt idx="42">
                  <c:v>27.779300000000003</c:v>
                </c:pt>
                <c:pt idx="43">
                  <c:v>27.871000000000002</c:v>
                </c:pt>
                <c:pt idx="44">
                  <c:v>27.905999999999999</c:v>
                </c:pt>
                <c:pt idx="45">
                  <c:v>27.85</c:v>
                </c:pt>
                <c:pt idx="46">
                  <c:v>27.758300000000002</c:v>
                </c:pt>
                <c:pt idx="47">
                  <c:v>27.723300000000002</c:v>
                </c:pt>
                <c:pt idx="48">
                  <c:v>27.523999999999997</c:v>
                </c:pt>
                <c:pt idx="49">
                  <c:v>27.227499999999999</c:v>
                </c:pt>
                <c:pt idx="50">
                  <c:v>26.858999999999998</c:v>
                </c:pt>
                <c:pt idx="51">
                  <c:v>26.7393</c:v>
                </c:pt>
                <c:pt idx="52">
                  <c:v>26.606000000000002</c:v>
                </c:pt>
                <c:pt idx="53">
                  <c:v>26.4283</c:v>
                </c:pt>
                <c:pt idx="54">
                  <c:v>26.178699999999999</c:v>
                </c:pt>
                <c:pt idx="55">
                  <c:v>25.9451</c:v>
                </c:pt>
                <c:pt idx="56">
                  <c:v>25.685099999999998</c:v>
                </c:pt>
                <c:pt idx="57">
                  <c:v>25.391300000000001</c:v>
                </c:pt>
                <c:pt idx="58">
                  <c:v>25.119799999999998</c:v>
                </c:pt>
                <c:pt idx="59">
                  <c:v>24.8916</c:v>
                </c:pt>
                <c:pt idx="60">
                  <c:v>24.627800000000001</c:v>
                </c:pt>
                <c:pt idx="61">
                  <c:v>24.360100000000003</c:v>
                </c:pt>
                <c:pt idx="62">
                  <c:v>24.1541</c:v>
                </c:pt>
                <c:pt idx="63">
                  <c:v>23.972099999999998</c:v>
                </c:pt>
                <c:pt idx="64">
                  <c:v>23.722799999999999</c:v>
                </c:pt>
                <c:pt idx="65">
                  <c:v>23.508100000000002</c:v>
                </c:pt>
                <c:pt idx="66">
                  <c:v>23.351099999999999</c:v>
                </c:pt>
                <c:pt idx="67">
                  <c:v>23.242599999999999</c:v>
                </c:pt>
                <c:pt idx="68">
                  <c:v>23.059100000000001</c:v>
                </c:pt>
                <c:pt idx="69">
                  <c:v>23.0425</c:v>
                </c:pt>
                <c:pt idx="70">
                  <c:v>22.958400000000001</c:v>
                </c:pt>
                <c:pt idx="71">
                  <c:v>22.767499999999998</c:v>
                </c:pt>
                <c:pt idx="72">
                  <c:v>22.2361</c:v>
                </c:pt>
                <c:pt idx="73">
                  <c:v>22.262799999999999</c:v>
                </c:pt>
                <c:pt idx="74">
                  <c:v>22.915600000000001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3.6492000000000004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37.9009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3.1932058108108095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21.881778378378382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3.3425129729729717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26.307628378378396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3.3425129729729717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26.307628378378396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574</v>
      </c>
      <c r="D5" s="151"/>
      <c r="E5" s="151"/>
      <c r="F5" s="152"/>
      <c r="G5" s="48" t="str">
        <f>lang!B27</f>
        <v>编号</v>
      </c>
      <c r="H5" s="150">
        <v>7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573</v>
      </c>
      <c r="D6" s="188"/>
      <c r="E6" s="188"/>
      <c r="F6" s="189"/>
      <c r="G6" s="49" t="str">
        <f>lang!B28</f>
        <v xml:space="preserve"> 日期</v>
      </c>
      <c r="H6" s="172">
        <f>FH_info!A2</f>
        <v>43621.392395833333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49</v>
      </c>
      <c r="D7" s="191"/>
      <c r="E7" s="191"/>
      <c r="F7" s="192"/>
      <c r="G7" s="50" t="str">
        <f>lang!B29</f>
        <v>误差率（%）</v>
      </c>
      <c r="H7" s="175">
        <f>M!B17*1</f>
        <v>15.7302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43.801699999999997</v>
      </c>
      <c r="O8" s="59">
        <f>M!C5*1</f>
        <v>3.57802</v>
      </c>
      <c r="P8" s="59">
        <f>M!D5*1</f>
        <v>8.1686700000000005</v>
      </c>
      <c r="Q8" s="59">
        <f>M!E5*1</f>
        <v>20</v>
      </c>
      <c r="R8" s="59">
        <f>M!F5*1</f>
        <v>37.758499999999998</v>
      </c>
      <c r="S8" s="59">
        <f>M!G5*1</f>
        <v>50</v>
      </c>
      <c r="T8" s="59">
        <f>M!H5*1</f>
        <v>53.755200000000002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32.5535</v>
      </c>
      <c r="O9" s="59">
        <f>M!C6*1</f>
        <v>2.5251299999999999</v>
      </c>
      <c r="P9" s="59">
        <f>M!D6*1</f>
        <v>7.75685</v>
      </c>
      <c r="Q9" s="59">
        <f>M!E6*1</f>
        <v>20</v>
      </c>
      <c r="R9" s="59">
        <f>M!F6*1</f>
        <v>26.8535</v>
      </c>
      <c r="S9" s="59">
        <f>M!G6*1</f>
        <v>40</v>
      </c>
      <c r="T9" s="59">
        <f>M!H6*1</f>
        <v>37.853000000000002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37.758499999999998</v>
      </c>
      <c r="D10" s="99">
        <f>N8</f>
        <v>43.801699999999997</v>
      </c>
      <c r="E10" s="100">
        <f>T8</f>
        <v>53.755200000000002</v>
      </c>
      <c r="F10" s="91">
        <f>P8</f>
        <v>8.1686700000000005</v>
      </c>
      <c r="G10" s="81" t="str">
        <f>CONCATENATE(M9,"
(20 ~ 40)")</f>
        <v>压力
(20 ~ 40)</v>
      </c>
      <c r="H10" s="98">
        <f>R9</f>
        <v>26.8535</v>
      </c>
      <c r="I10" s="108">
        <f>N9</f>
        <v>32.5535</v>
      </c>
      <c r="J10" s="98">
        <f>T9</f>
        <v>37.853000000000002</v>
      </c>
      <c r="K10" s="92">
        <f>P9</f>
        <v>7.75685</v>
      </c>
      <c r="L10" s="6"/>
      <c r="M10" s="27" t="str">
        <f>lang!B16</f>
        <v>焦虑</v>
      </c>
      <c r="N10" s="59">
        <f>M!B7*1</f>
        <v>29.354399999999998</v>
      </c>
      <c r="O10" s="59">
        <f>M!C7*1</f>
        <v>5.5444500000000003</v>
      </c>
      <c r="P10" s="59">
        <f>M!D7*1</f>
        <v>18.887899999999998</v>
      </c>
      <c r="Q10" s="59">
        <f>M!E7*1</f>
        <v>15</v>
      </c>
      <c r="R10" s="59">
        <f>M!F7*1</f>
        <v>12.968400000000001</v>
      </c>
      <c r="S10" s="59">
        <f>M!G7*1</f>
        <v>40</v>
      </c>
      <c r="T10" s="59">
        <f>M!H7*1</f>
        <v>41.066499999999998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12.968400000000001</v>
      </c>
      <c r="D11" s="102">
        <f>N10</f>
        <v>29.354399999999998</v>
      </c>
      <c r="E11" s="103">
        <f>T10</f>
        <v>41.066499999999998</v>
      </c>
      <c r="F11" s="94">
        <f>P10</f>
        <v>18.887899999999998</v>
      </c>
      <c r="G11" s="52" t="str">
        <f>CONCATENATE(M11,"
(20 ~ 50)")</f>
        <v>可疑
(20 ~ 50)</v>
      </c>
      <c r="H11" s="101">
        <f>R11</f>
        <v>27.175899999999999</v>
      </c>
      <c r="I11" s="104">
        <f>N11</f>
        <v>35.598999999999997</v>
      </c>
      <c r="J11" s="101">
        <f>T11</f>
        <v>39.337499999999999</v>
      </c>
      <c r="K11" s="95">
        <f>P11</f>
        <v>7.22295</v>
      </c>
      <c r="L11" s="4"/>
      <c r="M11" s="27" t="str">
        <f>lang!B17</f>
        <v>可疑</v>
      </c>
      <c r="N11" s="59">
        <f>M!B8*1</f>
        <v>35.598999999999997</v>
      </c>
      <c r="O11" s="59">
        <f>M!C8*1</f>
        <v>2.5712999999999999</v>
      </c>
      <c r="P11" s="59">
        <f>M!D8*1</f>
        <v>7.22295</v>
      </c>
      <c r="Q11" s="59">
        <f>M!E8*1</f>
        <v>20</v>
      </c>
      <c r="R11" s="59">
        <f>M!F8*1</f>
        <v>27.175899999999999</v>
      </c>
      <c r="S11" s="59">
        <f>M!G8*1</f>
        <v>50</v>
      </c>
      <c r="T11" s="59">
        <f>M!H8*1</f>
        <v>39.337499999999999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31.276599999999998</v>
      </c>
      <c r="D12" s="104">
        <f>N12</f>
        <v>53.629800000000003</v>
      </c>
      <c r="E12" s="101">
        <f>T12</f>
        <v>73.670100000000005</v>
      </c>
      <c r="F12" s="93">
        <f>P12</f>
        <v>22.971399999999999</v>
      </c>
      <c r="G12" s="52" t="str">
        <f>CONCATENATE(M13,"
(40 ~ 100)")</f>
        <v>自信
(40 ~ 100)</v>
      </c>
      <c r="H12" s="101">
        <f>R13</f>
        <v>65.722399999999993</v>
      </c>
      <c r="I12" s="104">
        <f>N13</f>
        <v>73.867999999999995</v>
      </c>
      <c r="J12" s="101">
        <f>T13</f>
        <v>81.239900000000006</v>
      </c>
      <c r="K12" s="95">
        <f>P13</f>
        <v>5.0855800000000002</v>
      </c>
      <c r="L12" s="4"/>
      <c r="M12" s="27" t="str">
        <f>lang!B18</f>
        <v>平衡</v>
      </c>
      <c r="N12" s="59">
        <f>M!B9*1</f>
        <v>53.629800000000003</v>
      </c>
      <c r="O12" s="59">
        <f>M!C9*1</f>
        <v>12.3195</v>
      </c>
      <c r="P12" s="59">
        <f>M!D9*1</f>
        <v>22.971399999999999</v>
      </c>
      <c r="Q12" s="59">
        <f>M!E9*1</f>
        <v>50</v>
      </c>
      <c r="R12" s="59">
        <f>M!F9*1</f>
        <v>31.276599999999998</v>
      </c>
      <c r="S12" s="59">
        <f>M!G9*1</f>
        <v>100</v>
      </c>
      <c r="T12" s="59">
        <f>M!H9*1</f>
        <v>73.670100000000005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11.5443</v>
      </c>
      <c r="D13" s="102">
        <f>N14</f>
        <v>17.249600000000001</v>
      </c>
      <c r="E13" s="103">
        <f>T14</f>
        <v>25.6632</v>
      </c>
      <c r="F13" s="94">
        <f>P14</f>
        <v>25.284400000000002</v>
      </c>
      <c r="G13" s="52" t="str">
        <f>CONCATENATE(M15,"
(50 ~ 100)")</f>
        <v>自我调节
(50 ~ 100)</v>
      </c>
      <c r="H13" s="101">
        <f>R15</f>
        <v>53.486499999999999</v>
      </c>
      <c r="I13" s="104">
        <f>N15</f>
        <v>63.152999999999999</v>
      </c>
      <c r="J13" s="101">
        <f>T15</f>
        <v>77.368899999999996</v>
      </c>
      <c r="K13" s="95">
        <f>P15</f>
        <v>9.7788299999999992</v>
      </c>
      <c r="L13" s="4"/>
      <c r="M13" s="27" t="str">
        <f>lang!B19</f>
        <v>自信</v>
      </c>
      <c r="N13" s="59">
        <f>M!B10*1</f>
        <v>73.867999999999995</v>
      </c>
      <c r="O13" s="59">
        <f>M!C10*1</f>
        <v>3.7566199999999998</v>
      </c>
      <c r="P13" s="59">
        <f>M!D10*1</f>
        <v>5.0855800000000002</v>
      </c>
      <c r="Q13" s="59">
        <f>M!E10*1</f>
        <v>40</v>
      </c>
      <c r="R13" s="59">
        <f>M!F10*1</f>
        <v>65.722399999999993</v>
      </c>
      <c r="S13" s="59">
        <f>M!G10*1</f>
        <v>100</v>
      </c>
      <c r="T13" s="59">
        <f>M!H10*1</f>
        <v>81.239900000000006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15.837199999999999</v>
      </c>
      <c r="D14" s="106">
        <f>N16</f>
        <v>22.973400000000002</v>
      </c>
      <c r="E14" s="107">
        <f>T16</f>
        <v>33.5411</v>
      </c>
      <c r="F14" s="96">
        <f>P16</f>
        <v>16.463999999999999</v>
      </c>
      <c r="G14" s="112" t="str">
        <f>CONCATENATE(M17,"
(10 ~ 50)")</f>
        <v>神经质
(10 ~ 50)</v>
      </c>
      <c r="H14" s="105">
        <f>R17</f>
        <v>2.1640799999999998</v>
      </c>
      <c r="I14" s="106">
        <f>N17</f>
        <v>37.823399999999999</v>
      </c>
      <c r="J14" s="107">
        <f>T17</f>
        <v>45.023099999999999</v>
      </c>
      <c r="K14" s="97">
        <f>P17</f>
        <v>35.681600000000003</v>
      </c>
      <c r="M14" s="27" t="str">
        <f>lang!B20</f>
        <v>活力</v>
      </c>
      <c r="N14" s="59">
        <f>M!B11*1</f>
        <v>17.249600000000001</v>
      </c>
      <c r="O14" s="59">
        <f>M!C11*1</f>
        <v>4.3614600000000001</v>
      </c>
      <c r="P14" s="59">
        <f>M!D11*1</f>
        <v>25.284400000000002</v>
      </c>
      <c r="Q14" s="59">
        <f>M!E11*1</f>
        <v>10</v>
      </c>
      <c r="R14" s="59">
        <f>M!F11*1</f>
        <v>11.5443</v>
      </c>
      <c r="S14" s="59">
        <f>M!G11*1</f>
        <v>50</v>
      </c>
      <c r="T14" s="59">
        <f>M!H11*1</f>
        <v>25.6632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63.152999999999999</v>
      </c>
      <c r="O15" s="59">
        <f>M!C12*1</f>
        <v>6.17563</v>
      </c>
      <c r="P15" s="59">
        <f>M!D12*1</f>
        <v>9.7788299999999992</v>
      </c>
      <c r="Q15" s="59">
        <f>M!E12*1</f>
        <v>50</v>
      </c>
      <c r="R15" s="59">
        <f>M!F12*1</f>
        <v>53.486499999999999</v>
      </c>
      <c r="S15" s="59">
        <f>M!G12*1</f>
        <v>100</v>
      </c>
      <c r="T15" s="59">
        <f>M!H12*1</f>
        <v>77.368899999999996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22.973400000000002</v>
      </c>
      <c r="O16" s="59">
        <f>M!C13*1</f>
        <v>3.78234</v>
      </c>
      <c r="P16" s="59">
        <f>M!D13*1</f>
        <v>16.463999999999999</v>
      </c>
      <c r="Q16" s="59">
        <f>M!E13*1</f>
        <v>10</v>
      </c>
      <c r="R16" s="59">
        <f>M!F13*1</f>
        <v>15.837199999999999</v>
      </c>
      <c r="S16" s="59">
        <f>M!G13*1</f>
        <v>25</v>
      </c>
      <c r="T16" s="59">
        <f>M!H13*1</f>
        <v>33.5411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37.823399999999999</v>
      </c>
      <c r="O17" s="59">
        <f>M!C14*1</f>
        <v>13.496</v>
      </c>
      <c r="P17" s="59">
        <f>M!D14*1</f>
        <v>35.681600000000003</v>
      </c>
      <c r="Q17" s="59">
        <f>M!E14*1</f>
        <v>10</v>
      </c>
      <c r="R17" s="59">
        <f>M!F14*1</f>
        <v>2.1640799999999998</v>
      </c>
      <c r="S17" s="59">
        <f>M!G14*1</f>
        <v>50</v>
      </c>
      <c r="T17" s="59">
        <f>M!H14*1</f>
        <v>45.023099999999999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51.975099999999998</v>
      </c>
      <c r="O18" s="22">
        <f>N18/(N18+N19+N20)</f>
        <v>0.44158719599254548</v>
      </c>
      <c r="P18" s="65">
        <f>SUM(P12:P15)/4</f>
        <v>15.7800525</v>
      </c>
      <c r="Q18" s="22">
        <f>P18/(P18+P19+P20)</f>
        <v>0.30136490346185574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35.327149999999996</v>
      </c>
      <c r="O19" s="22">
        <f>N19/(N18+N19+N20)</f>
        <v>0.30014405188076698</v>
      </c>
      <c r="P19" s="18">
        <f>SUM(P8:P11)/4</f>
        <v>10.5090925</v>
      </c>
      <c r="Q19" s="22">
        <f>P19/(P18+P19+P20)</f>
        <v>0.20070095753700518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30.398400000000002</v>
      </c>
      <c r="O20" s="22">
        <f>N20/(N18+N19+N20)</f>
        <v>0.25826875212668754</v>
      </c>
      <c r="P20" s="18">
        <f>(P16+P17)/2</f>
        <v>26.072800000000001</v>
      </c>
      <c r="Q20" s="22">
        <f>P20/(P18+P19+P20)</f>
        <v>0.49793413900113914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2.9327783783783923E-2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1.6390898504607985</v>
      </c>
      <c r="D25" s="44" t="str">
        <f>lang!B11</f>
        <v>频率方差</v>
      </c>
      <c r="E25" s="142">
        <f ca="1">FH!L3</f>
        <v>0.74450632864141941</v>
      </c>
      <c r="F25" s="143"/>
      <c r="G25" s="134" t="str">
        <f>lang!B12</f>
        <v>生理变化率</v>
      </c>
      <c r="H25" s="135"/>
      <c r="I25" s="62" t="str">
        <f ca="1">CONCATENATE(info!M7,"-",info!M8)</f>
        <v>13.2-37.9</v>
      </c>
      <c r="J25" s="42" t="str">
        <f>lang!B13</f>
        <v>千卡l/分钟</v>
      </c>
      <c r="K25" s="41" t="str">
        <f ca="1">CONCATENATE(info!M5,"-",info!M6)</f>
        <v>2.9-3.7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28.150100000000002</v>
      </c>
      <c r="F28" s="164"/>
      <c r="G28" s="178" t="str">
        <f>lang!B33</f>
        <v>稳定性</v>
      </c>
      <c r="H28" s="179"/>
      <c r="I28" s="180"/>
      <c r="J28" s="181">
        <f>M!B19*100</f>
        <v>60.553999999999995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43621.392395833333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3.2736999999999981</v>
      </c>
      <c r="O7" s="59">
        <f t="shared" ref="O7:T7" si="2">AG7-X7</f>
        <v>0.45618000000000025</v>
      </c>
      <c r="P7" s="59">
        <f t="shared" si="2"/>
        <v>0.47806000000000015</v>
      </c>
      <c r="Q7" s="59">
        <f t="shared" si="2"/>
        <v>0</v>
      </c>
      <c r="R7" s="59">
        <f t="shared" si="2"/>
        <v>1.2612000000000023</v>
      </c>
      <c r="S7" s="59">
        <f t="shared" si="2"/>
        <v>0</v>
      </c>
      <c r="T7" s="59">
        <f t="shared" si="2"/>
        <v>3.7401000000000053</v>
      </c>
      <c r="U7" s="14"/>
      <c r="V7" s="27" t="str">
        <f>M7</f>
        <v>攻击性</v>
      </c>
      <c r="W7" s="59">
        <f>'M1'!B5*1</f>
        <v>42.444800000000001</v>
      </c>
      <c r="X7" s="59">
        <f>'M1'!C5*1</f>
        <v>3.0809199999999999</v>
      </c>
      <c r="Y7" s="59">
        <f>'M1'!D5*1</f>
        <v>7.2586500000000003</v>
      </c>
      <c r="Z7" s="59">
        <f>'M1'!E5*1</f>
        <v>20</v>
      </c>
      <c r="AA7" s="59">
        <f>'M1'!F5*1</f>
        <v>37.758499999999998</v>
      </c>
      <c r="AB7" s="59">
        <f>'M1'!G5*1</f>
        <v>50</v>
      </c>
      <c r="AC7" s="59">
        <f>'M1'!H5*1</f>
        <v>50.015099999999997</v>
      </c>
      <c r="AE7" s="27" t="str">
        <f>V7</f>
        <v>攻击性</v>
      </c>
      <c r="AF7" s="59">
        <f>'M2'!B5*1</f>
        <v>45.718499999999999</v>
      </c>
      <c r="AG7" s="59">
        <f>'M2'!C5*1</f>
        <v>3.5371000000000001</v>
      </c>
      <c r="AH7" s="59">
        <f>'M2'!D5*1</f>
        <v>7.7367100000000004</v>
      </c>
      <c r="AI7" s="59">
        <f>'M2'!E5*1</f>
        <v>20</v>
      </c>
      <c r="AJ7" s="59">
        <f>'M2'!F5*1</f>
        <v>39.0197</v>
      </c>
      <c r="AK7" s="59">
        <f>'M2'!G5*1</f>
        <v>50</v>
      </c>
      <c r="AL7" s="59">
        <f>'M2'!H5*1</f>
        <v>53.755200000000002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2.7386999999999979</v>
      </c>
      <c r="O8" s="59">
        <f t="shared" ref="O8:O16" si="5">AG8-X8</f>
        <v>-0.50990000000000024</v>
      </c>
      <c r="P8" s="59">
        <f t="shared" ref="P8:P16" si="6">AH8-Y8</f>
        <v>-2.0194500000000009</v>
      </c>
      <c r="Q8" s="59">
        <f t="shared" ref="Q8:Q16" si="7">AI8-Z8</f>
        <v>0</v>
      </c>
      <c r="R8" s="59">
        <f t="shared" ref="R8:R16" si="8">AJ8-AA8</f>
        <v>4.665499999999998</v>
      </c>
      <c r="S8" s="59">
        <f t="shared" ref="S8:S16" si="9">AK8-AB8</f>
        <v>0</v>
      </c>
      <c r="T8" s="59">
        <f t="shared" ref="T8:T16" si="10">AL8-AC8</f>
        <v>3.2435000000000045</v>
      </c>
      <c r="U8" s="15"/>
      <c r="V8" s="27" t="str">
        <f t="shared" ref="V8:V16" si="11">M8</f>
        <v>压力</v>
      </c>
      <c r="W8" s="59">
        <f>'M1'!B6*1</f>
        <v>31.744499999999999</v>
      </c>
      <c r="X8" s="59">
        <f>'M1'!C6*1</f>
        <v>2.1615000000000002</v>
      </c>
      <c r="Y8" s="59">
        <f>'M1'!D6*1</f>
        <v>6.8090400000000004</v>
      </c>
      <c r="Z8" s="59">
        <f>'M1'!E6*1</f>
        <v>20</v>
      </c>
      <c r="AA8" s="59">
        <f>'M1'!F6*1</f>
        <v>26.8535</v>
      </c>
      <c r="AB8" s="59">
        <f>'M1'!G6*1</f>
        <v>40</v>
      </c>
      <c r="AC8" s="59">
        <f>'M1'!H6*1</f>
        <v>34.609499999999997</v>
      </c>
      <c r="AE8" s="27" t="str">
        <f t="shared" ref="AE8:AE16" si="12">V8</f>
        <v>压力</v>
      </c>
      <c r="AF8" s="59">
        <f>'M2'!B6*1</f>
        <v>34.483199999999997</v>
      </c>
      <c r="AG8" s="59">
        <f>'M2'!C6*1</f>
        <v>1.6516</v>
      </c>
      <c r="AH8" s="59">
        <f>'M2'!D6*1</f>
        <v>4.7895899999999996</v>
      </c>
      <c r="AI8" s="59">
        <f>'M2'!E6*1</f>
        <v>20</v>
      </c>
      <c r="AJ8" s="59">
        <f>'M2'!F6*1</f>
        <v>31.518999999999998</v>
      </c>
      <c r="AK8" s="59">
        <f>'M2'!G6*1</f>
        <v>40</v>
      </c>
      <c r="AL8" s="59">
        <f>'M2'!H6*1</f>
        <v>37.853000000000002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1.2612000000000023</v>
      </c>
      <c r="D9" s="78">
        <f>N7</f>
        <v>3.2736999999999981</v>
      </c>
      <c r="E9" s="79">
        <f>T7</f>
        <v>3.7401000000000053</v>
      </c>
      <c r="F9" s="79">
        <f>P7</f>
        <v>0.47806000000000015</v>
      </c>
      <c r="G9" s="80" t="str">
        <f>CONCATENATE(M8,"
(20 ~ 40)")</f>
        <v>压力
(20 ~ 40)</v>
      </c>
      <c r="H9" s="77">
        <f>R8</f>
        <v>4.665499999999998</v>
      </c>
      <c r="I9" s="81">
        <f>N8</f>
        <v>2.7386999999999979</v>
      </c>
      <c r="J9" s="77">
        <f>T8</f>
        <v>3.2435000000000045</v>
      </c>
      <c r="K9" s="82">
        <f>P8</f>
        <v>-2.0194500000000009</v>
      </c>
      <c r="L9" s="6"/>
      <c r="M9" s="27" t="str">
        <f>lang!B16</f>
        <v>焦虑</v>
      </c>
      <c r="N9" s="59">
        <f t="shared" si="4"/>
        <v>1.0136000000000003</v>
      </c>
      <c r="O9" s="59">
        <f t="shared" si="5"/>
        <v>-1.7400600000000006</v>
      </c>
      <c r="P9" s="59">
        <f t="shared" si="6"/>
        <v>-6.6311999999999998</v>
      </c>
      <c r="Q9" s="59">
        <f t="shared" si="7"/>
        <v>0</v>
      </c>
      <c r="R9" s="59">
        <f t="shared" si="8"/>
        <v>6.2294</v>
      </c>
      <c r="S9" s="59">
        <f t="shared" si="9"/>
        <v>0</v>
      </c>
      <c r="T9" s="59">
        <f t="shared" si="10"/>
        <v>3.2958999999999961</v>
      </c>
      <c r="U9" s="14"/>
      <c r="V9" s="27" t="str">
        <f t="shared" si="11"/>
        <v>焦虑</v>
      </c>
      <c r="W9" s="59">
        <f>'M1'!B7*1</f>
        <v>28.539300000000001</v>
      </c>
      <c r="X9" s="59">
        <f>'M1'!C7*1</f>
        <v>6.1842100000000002</v>
      </c>
      <c r="Y9" s="59">
        <f>'M1'!D7*1</f>
        <v>21.6691</v>
      </c>
      <c r="Z9" s="59">
        <f>'M1'!E7*1</f>
        <v>15</v>
      </c>
      <c r="AA9" s="59">
        <f>'M1'!F7*1</f>
        <v>12.968400000000001</v>
      </c>
      <c r="AB9" s="59">
        <f>'M1'!G7*1</f>
        <v>40</v>
      </c>
      <c r="AC9" s="59">
        <f>'M1'!H7*1</f>
        <v>37.770600000000002</v>
      </c>
      <c r="AE9" s="27" t="str">
        <f t="shared" si="12"/>
        <v>焦虑</v>
      </c>
      <c r="AF9" s="59">
        <f>'M2'!B7*1</f>
        <v>29.552900000000001</v>
      </c>
      <c r="AG9" s="59">
        <f>'M2'!C7*1</f>
        <v>4.4441499999999996</v>
      </c>
      <c r="AH9" s="59">
        <f>'M2'!D7*1</f>
        <v>15.0379</v>
      </c>
      <c r="AI9" s="59">
        <f>'M2'!E7*1</f>
        <v>15</v>
      </c>
      <c r="AJ9" s="59">
        <f>'M2'!F7*1</f>
        <v>19.197800000000001</v>
      </c>
      <c r="AK9" s="59">
        <f>'M2'!G7*1</f>
        <v>40</v>
      </c>
      <c r="AL9" s="59">
        <f>'M2'!H7*1</f>
        <v>41.066499999999998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6.2294</v>
      </c>
      <c r="D10" s="51">
        <f>N9</f>
        <v>1.0136000000000003</v>
      </c>
      <c r="E10" s="53">
        <f>T9</f>
        <v>3.2958999999999961</v>
      </c>
      <c r="F10" s="53">
        <f>P9</f>
        <v>-6.6311999999999998</v>
      </c>
      <c r="G10" s="73" t="str">
        <f>CONCATENATE(M10,"
(20 ~ 50)")</f>
        <v>可疑
(20 ~ 50)</v>
      </c>
      <c r="H10" s="24">
        <f>R10</f>
        <v>6.9607000000000028</v>
      </c>
      <c r="I10" s="52">
        <f>N10</f>
        <v>1.9073999999999955</v>
      </c>
      <c r="J10" s="24">
        <f>T10</f>
        <v>1.402000000000001</v>
      </c>
      <c r="K10" s="25">
        <f>P10</f>
        <v>-4.2156400000000005</v>
      </c>
      <c r="L10" s="4"/>
      <c r="M10" s="27" t="str">
        <f>lang!B17</f>
        <v>可疑</v>
      </c>
      <c r="N10" s="59">
        <f t="shared" si="4"/>
        <v>1.9073999999999955</v>
      </c>
      <c r="O10" s="59">
        <f t="shared" si="5"/>
        <v>-1.3805499999999999</v>
      </c>
      <c r="P10" s="59">
        <f t="shared" si="6"/>
        <v>-4.2156400000000005</v>
      </c>
      <c r="Q10" s="59">
        <f t="shared" si="7"/>
        <v>0</v>
      </c>
      <c r="R10" s="59">
        <f t="shared" si="8"/>
        <v>6.9607000000000028</v>
      </c>
      <c r="S10" s="59">
        <f t="shared" si="9"/>
        <v>0</v>
      </c>
      <c r="T10" s="59">
        <f t="shared" si="10"/>
        <v>1.402000000000001</v>
      </c>
      <c r="U10" s="14"/>
      <c r="V10" s="27" t="str">
        <f t="shared" si="11"/>
        <v>可疑</v>
      </c>
      <c r="W10" s="59">
        <f>'M1'!B8*1</f>
        <v>34.416200000000003</v>
      </c>
      <c r="X10" s="59">
        <f>'M1'!C8*1</f>
        <v>2.7195499999999999</v>
      </c>
      <c r="Y10" s="59">
        <f>'M1'!D8*1</f>
        <v>7.9019500000000003</v>
      </c>
      <c r="Z10" s="59">
        <f>'M1'!E8*1</f>
        <v>20</v>
      </c>
      <c r="AA10" s="59">
        <f>'M1'!F8*1</f>
        <v>27.175899999999999</v>
      </c>
      <c r="AB10" s="59">
        <f>'M1'!G8*1</f>
        <v>50</v>
      </c>
      <c r="AC10" s="59">
        <f>'M1'!H8*1</f>
        <v>37.935499999999998</v>
      </c>
      <c r="AE10" s="27" t="str">
        <f t="shared" si="12"/>
        <v>可疑</v>
      </c>
      <c r="AF10" s="59">
        <f>'M2'!B8*1</f>
        <v>36.323599999999999</v>
      </c>
      <c r="AG10" s="59">
        <f>'M2'!C8*1</f>
        <v>1.339</v>
      </c>
      <c r="AH10" s="59">
        <f>'M2'!D8*1</f>
        <v>3.6863100000000002</v>
      </c>
      <c r="AI10" s="59">
        <f>'M2'!E8*1</f>
        <v>20</v>
      </c>
      <c r="AJ10" s="59">
        <f>'M2'!F8*1</f>
        <v>34.136600000000001</v>
      </c>
      <c r="AK10" s="59">
        <f>'M2'!G8*1</f>
        <v>50</v>
      </c>
      <c r="AL10" s="59">
        <f>'M2'!H8*1</f>
        <v>39.337499999999999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4.7574000000000005</v>
      </c>
      <c r="D11" s="52">
        <f>N11</f>
        <v>19.672899999999998</v>
      </c>
      <c r="E11" s="24">
        <f>T11</f>
        <v>-1.1174000000000035</v>
      </c>
      <c r="F11" s="24">
        <f>P11</f>
        <v>-13.990199999999998</v>
      </c>
      <c r="G11" s="73" t="str">
        <f>CONCATENATE(M12,"
(40 ~ 100)")</f>
        <v>自信
(40 ~ 100)</v>
      </c>
      <c r="H11" s="24">
        <f>R12</f>
        <v>-4.1534000000000049</v>
      </c>
      <c r="I11" s="52">
        <f>N12</f>
        <v>-5.1443000000000012</v>
      </c>
      <c r="J11" s="24">
        <f>T12</f>
        <v>-5.0330000000000013</v>
      </c>
      <c r="K11" s="25">
        <f>P12</f>
        <v>0.34191999999999956</v>
      </c>
      <c r="L11" s="4"/>
      <c r="M11" s="27" t="str">
        <f>lang!B18</f>
        <v>平衡</v>
      </c>
      <c r="N11" s="59">
        <f t="shared" si="4"/>
        <v>19.672899999999998</v>
      </c>
      <c r="O11" s="59">
        <f t="shared" si="5"/>
        <v>-2.7721599999999995</v>
      </c>
      <c r="P11" s="59">
        <f t="shared" si="6"/>
        <v>-13.990199999999998</v>
      </c>
      <c r="Q11" s="59">
        <f t="shared" si="7"/>
        <v>0</v>
      </c>
      <c r="R11" s="59">
        <f t="shared" si="8"/>
        <v>4.7574000000000005</v>
      </c>
      <c r="S11" s="59">
        <f t="shared" si="9"/>
        <v>0</v>
      </c>
      <c r="T11" s="59">
        <f t="shared" si="10"/>
        <v>-1.1174000000000035</v>
      </c>
      <c r="U11" s="14"/>
      <c r="V11" s="27" t="str">
        <f t="shared" si="11"/>
        <v>平衡</v>
      </c>
      <c r="W11" s="59">
        <f>'M1'!B9*1</f>
        <v>41.938800000000001</v>
      </c>
      <c r="X11" s="59">
        <f>'M1'!C9*1</f>
        <v>12.4656</v>
      </c>
      <c r="Y11" s="59">
        <f>'M1'!D9*1</f>
        <v>29.723299999999998</v>
      </c>
      <c r="Z11" s="59">
        <f>'M1'!E9*1</f>
        <v>50</v>
      </c>
      <c r="AA11" s="59">
        <f>'M1'!F9*1</f>
        <v>31.276599999999998</v>
      </c>
      <c r="AB11" s="59">
        <f>'M1'!G9*1</f>
        <v>100</v>
      </c>
      <c r="AC11" s="59">
        <f>'M1'!H9*1</f>
        <v>73.670100000000005</v>
      </c>
      <c r="AE11" s="27" t="str">
        <f t="shared" si="12"/>
        <v>平衡</v>
      </c>
      <c r="AF11" s="59">
        <f>'M2'!B9*1</f>
        <v>61.611699999999999</v>
      </c>
      <c r="AG11" s="59">
        <f>'M2'!C9*1</f>
        <v>9.6934400000000007</v>
      </c>
      <c r="AH11" s="59">
        <f>'M2'!D9*1</f>
        <v>15.7331</v>
      </c>
      <c r="AI11" s="59">
        <f>'M2'!E9*1</f>
        <v>50</v>
      </c>
      <c r="AJ11" s="59">
        <f>'M2'!F9*1</f>
        <v>36.033999999999999</v>
      </c>
      <c r="AK11" s="59">
        <f>'M2'!G9*1</f>
        <v>100</v>
      </c>
      <c r="AL11" s="59">
        <f>'M2'!H9*1</f>
        <v>72.552700000000002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1.2508999999999997</v>
      </c>
      <c r="D12" s="51">
        <f>N13</f>
        <v>2.5173999999999985</v>
      </c>
      <c r="E12" s="53">
        <f>T13</f>
        <v>0.1142000000000003</v>
      </c>
      <c r="F12" s="53">
        <f>P13</f>
        <v>-11.248699999999999</v>
      </c>
      <c r="G12" s="73" t="str">
        <f>CONCATENATE(M14,"
(50 ~ 100)")</f>
        <v>自我调节
(50 ~ 100)</v>
      </c>
      <c r="H12" s="24">
        <f>R14</f>
        <v>1.764800000000001</v>
      </c>
      <c r="I12" s="52">
        <f>N14</f>
        <v>8.6425000000000054</v>
      </c>
      <c r="J12" s="24">
        <f>T14</f>
        <v>-5.9594000000000023</v>
      </c>
      <c r="K12" s="25">
        <f>P14</f>
        <v>-6.5440100000000001</v>
      </c>
      <c r="L12" s="4"/>
      <c r="M12" s="27" t="str">
        <f>lang!B19</f>
        <v>自信</v>
      </c>
      <c r="N12" s="59">
        <f t="shared" si="4"/>
        <v>-5.1443000000000012</v>
      </c>
      <c r="O12" s="59">
        <f t="shared" si="5"/>
        <v>4.7439999999999927E-2</v>
      </c>
      <c r="P12" s="59">
        <f t="shared" si="6"/>
        <v>0.34191999999999956</v>
      </c>
      <c r="Q12" s="59">
        <f t="shared" si="7"/>
        <v>0</v>
      </c>
      <c r="R12" s="59">
        <f t="shared" si="8"/>
        <v>-4.1534000000000049</v>
      </c>
      <c r="S12" s="59">
        <f t="shared" si="9"/>
        <v>0</v>
      </c>
      <c r="T12" s="59">
        <f t="shared" si="10"/>
        <v>-5.0330000000000013</v>
      </c>
      <c r="U12" s="15"/>
      <c r="V12" s="27" t="str">
        <f t="shared" si="11"/>
        <v>自信</v>
      </c>
      <c r="W12" s="59">
        <f>'M1'!B10*1</f>
        <v>75.664699999999996</v>
      </c>
      <c r="X12" s="59">
        <f>'M1'!C10*1</f>
        <v>2.8488600000000002</v>
      </c>
      <c r="Y12" s="59">
        <f>'M1'!D10*1</f>
        <v>3.76512</v>
      </c>
      <c r="Z12" s="59">
        <f>'M1'!E10*1</f>
        <v>40</v>
      </c>
      <c r="AA12" s="59">
        <f>'M1'!F10*1</f>
        <v>69.875799999999998</v>
      </c>
      <c r="AB12" s="59">
        <f>'M1'!G10*1</f>
        <v>100</v>
      </c>
      <c r="AC12" s="59">
        <f>'M1'!H10*1</f>
        <v>81.239900000000006</v>
      </c>
      <c r="AE12" s="27" t="str">
        <f t="shared" si="12"/>
        <v>自信</v>
      </c>
      <c r="AF12" s="59">
        <f>'M2'!B10*1</f>
        <v>70.520399999999995</v>
      </c>
      <c r="AG12" s="59">
        <f>'M2'!C10*1</f>
        <v>2.8963000000000001</v>
      </c>
      <c r="AH12" s="59">
        <f>'M2'!D10*1</f>
        <v>4.1070399999999996</v>
      </c>
      <c r="AI12" s="59">
        <f>'M2'!E10*1</f>
        <v>40</v>
      </c>
      <c r="AJ12" s="59">
        <f>'M2'!F10*1</f>
        <v>65.722399999999993</v>
      </c>
      <c r="AK12" s="59">
        <f>'M2'!G10*1</f>
        <v>100</v>
      </c>
      <c r="AL12" s="59">
        <f>'M2'!H10*1</f>
        <v>76.206900000000005</v>
      </c>
    </row>
    <row r="13" spans="2:38" ht="25.5" customHeight="1" thickBot="1">
      <c r="B13" s="72" t="str">
        <f>CONCATENATE(M15,"
(10 ~ 25)")</f>
        <v>抑郁
(10 ~ 25)</v>
      </c>
      <c r="C13" s="54">
        <f>R15</f>
        <v>0.21519999999999939</v>
      </c>
      <c r="D13" s="55">
        <f>N15</f>
        <v>0.12040000000000006</v>
      </c>
      <c r="E13" s="56">
        <f>T15</f>
        <v>-1.2678000000000011</v>
      </c>
      <c r="F13" s="56">
        <f>P15</f>
        <v>-4.0891999999999999</v>
      </c>
      <c r="G13" s="74" t="str">
        <f>CONCATENATE(M16,"
(10 ~ 50)")</f>
        <v>神经质
(10 ~ 50)</v>
      </c>
      <c r="H13" s="54">
        <f>R16</f>
        <v>0.36927000000000021</v>
      </c>
      <c r="I13" s="55">
        <f>N16</f>
        <v>-9.2152000000000029</v>
      </c>
      <c r="J13" s="56">
        <f>T16</f>
        <v>-1.6058999999999983</v>
      </c>
      <c r="K13" s="57">
        <f>P16</f>
        <v>14.187999999999999</v>
      </c>
      <c r="M13" s="27" t="str">
        <f>lang!B20</f>
        <v>活力</v>
      </c>
      <c r="N13" s="59">
        <f t="shared" si="4"/>
        <v>2.5173999999999985</v>
      </c>
      <c r="O13" s="59">
        <f t="shared" si="5"/>
        <v>-1.2652200000000002</v>
      </c>
      <c r="P13" s="59">
        <f t="shared" si="6"/>
        <v>-11.248699999999999</v>
      </c>
      <c r="Q13" s="59">
        <f t="shared" si="7"/>
        <v>0</v>
      </c>
      <c r="R13" s="59">
        <f t="shared" si="8"/>
        <v>1.2508999999999997</v>
      </c>
      <c r="S13" s="59">
        <f t="shared" si="9"/>
        <v>0</v>
      </c>
      <c r="T13" s="59">
        <f t="shared" si="10"/>
        <v>0.1142000000000003</v>
      </c>
      <c r="U13" s="14"/>
      <c r="V13" s="27" t="str">
        <f t="shared" si="11"/>
        <v>活力</v>
      </c>
      <c r="W13" s="59">
        <f>'M1'!B11*1</f>
        <v>15.715</v>
      </c>
      <c r="X13" s="59">
        <f>'M1'!C11*1</f>
        <v>4.9046200000000004</v>
      </c>
      <c r="Y13" s="59">
        <f>'M1'!D11*1</f>
        <v>31.209900000000001</v>
      </c>
      <c r="Z13" s="59">
        <f>'M1'!E11*1</f>
        <v>10</v>
      </c>
      <c r="AA13" s="59">
        <f>'M1'!F11*1</f>
        <v>11.5443</v>
      </c>
      <c r="AB13" s="59">
        <f>'M1'!G11*1</f>
        <v>50</v>
      </c>
      <c r="AC13" s="59">
        <f>'M1'!H11*1</f>
        <v>25.548999999999999</v>
      </c>
      <c r="AE13" s="27" t="str">
        <f t="shared" si="12"/>
        <v>活力</v>
      </c>
      <c r="AF13" s="59">
        <f>'M2'!B11*1</f>
        <v>18.232399999999998</v>
      </c>
      <c r="AG13" s="59">
        <f>'M2'!C11*1</f>
        <v>3.6394000000000002</v>
      </c>
      <c r="AH13" s="59">
        <f>'M2'!D11*1</f>
        <v>19.961200000000002</v>
      </c>
      <c r="AI13" s="59">
        <f>'M2'!E11*1</f>
        <v>10</v>
      </c>
      <c r="AJ13" s="59">
        <f>'M2'!F11*1</f>
        <v>12.795199999999999</v>
      </c>
      <c r="AK13" s="59">
        <f>'M2'!G11*1</f>
        <v>50</v>
      </c>
      <c r="AL13" s="59">
        <f>'M2'!H11*1</f>
        <v>25.6632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8.6425000000000054</v>
      </c>
      <c r="O14" s="59">
        <f t="shared" si="5"/>
        <v>-3.2303600000000001</v>
      </c>
      <c r="P14" s="59">
        <f t="shared" si="6"/>
        <v>-6.5440100000000001</v>
      </c>
      <c r="Q14" s="59">
        <f t="shared" si="7"/>
        <v>0</v>
      </c>
      <c r="R14" s="59">
        <f t="shared" si="8"/>
        <v>1.764800000000001</v>
      </c>
      <c r="S14" s="59">
        <f t="shared" si="9"/>
        <v>0</v>
      </c>
      <c r="T14" s="59">
        <f t="shared" si="10"/>
        <v>-5.9594000000000023</v>
      </c>
      <c r="U14" s="14"/>
      <c r="V14" s="27" t="str">
        <f t="shared" si="11"/>
        <v>自我调节</v>
      </c>
      <c r="W14" s="59">
        <f>'M1'!B12*1</f>
        <v>57.689399999999999</v>
      </c>
      <c r="X14" s="59">
        <f>'M1'!C12*1</f>
        <v>7.4119799999999998</v>
      </c>
      <c r="Y14" s="59">
        <f>'M1'!D12*1</f>
        <v>12.848100000000001</v>
      </c>
      <c r="Z14" s="59">
        <f>'M1'!E12*1</f>
        <v>50</v>
      </c>
      <c r="AA14" s="59">
        <f>'M1'!F12*1</f>
        <v>53.486499999999999</v>
      </c>
      <c r="AB14" s="59">
        <f>'M1'!G12*1</f>
        <v>100</v>
      </c>
      <c r="AC14" s="59">
        <f>'M1'!H12*1</f>
        <v>77.368899999999996</v>
      </c>
      <c r="AE14" s="27" t="str">
        <f t="shared" si="12"/>
        <v>自我调节</v>
      </c>
      <c r="AF14" s="59">
        <f>'M2'!B12*1</f>
        <v>66.331900000000005</v>
      </c>
      <c r="AG14" s="59">
        <f>'M2'!C12*1</f>
        <v>4.1816199999999997</v>
      </c>
      <c r="AH14" s="59">
        <f>'M2'!D12*1</f>
        <v>6.3040900000000004</v>
      </c>
      <c r="AI14" s="59">
        <f>'M2'!E12*1</f>
        <v>50</v>
      </c>
      <c r="AJ14" s="59">
        <f>'M2'!F12*1</f>
        <v>55.251300000000001</v>
      </c>
      <c r="AK14" s="59">
        <f>'M2'!G12*1</f>
        <v>100</v>
      </c>
      <c r="AL14" s="59">
        <f>'M2'!H12*1</f>
        <v>71.409499999999994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0.12040000000000006</v>
      </c>
      <c r="O15" s="59">
        <f t="shared" si="5"/>
        <v>-0.92151999999999967</v>
      </c>
      <c r="P15" s="59">
        <f t="shared" si="6"/>
        <v>-4.0891999999999999</v>
      </c>
      <c r="Q15" s="59">
        <f t="shared" si="7"/>
        <v>0</v>
      </c>
      <c r="R15" s="59">
        <f t="shared" si="8"/>
        <v>0.21519999999999939</v>
      </c>
      <c r="S15" s="59">
        <f t="shared" si="9"/>
        <v>0</v>
      </c>
      <c r="T15" s="59">
        <f t="shared" si="10"/>
        <v>-1.2678000000000011</v>
      </c>
      <c r="U15" s="14"/>
      <c r="V15" s="27" t="str">
        <f t="shared" si="11"/>
        <v>抑郁</v>
      </c>
      <c r="W15" s="59">
        <f>'M1'!B13*1</f>
        <v>22.954999999999998</v>
      </c>
      <c r="X15" s="59">
        <f>'M1'!C13*1</f>
        <v>4.2092299999999998</v>
      </c>
      <c r="Y15" s="59">
        <f>'M1'!D13*1</f>
        <v>18.3369</v>
      </c>
      <c r="Z15" s="59">
        <f>'M1'!E13*1</f>
        <v>10</v>
      </c>
      <c r="AA15" s="59">
        <f>'M1'!F13*1</f>
        <v>15.837199999999999</v>
      </c>
      <c r="AB15" s="59">
        <f>'M1'!G13*1</f>
        <v>25</v>
      </c>
      <c r="AC15" s="59">
        <f>'M1'!H13*1</f>
        <v>33.5411</v>
      </c>
      <c r="AE15" s="27" t="str">
        <f t="shared" si="12"/>
        <v>抑郁</v>
      </c>
      <c r="AF15" s="59">
        <f>'M2'!B13*1</f>
        <v>23.075399999999998</v>
      </c>
      <c r="AG15" s="59">
        <f>'M2'!C13*1</f>
        <v>3.2877100000000001</v>
      </c>
      <c r="AH15" s="59">
        <f>'M2'!D13*1</f>
        <v>14.2477</v>
      </c>
      <c r="AI15" s="59">
        <f>'M2'!E13*1</f>
        <v>10</v>
      </c>
      <c r="AJ15" s="59">
        <f>'M2'!F13*1</f>
        <v>16.052399999999999</v>
      </c>
      <c r="AK15" s="59">
        <f>'M2'!G13*1</f>
        <v>25</v>
      </c>
      <c r="AL15" s="59">
        <f>'M2'!H13*1</f>
        <v>32.273299999999999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-9.2152000000000029</v>
      </c>
      <c r="O16" s="59">
        <f t="shared" si="5"/>
        <v>1.9436999999999998</v>
      </c>
      <c r="P16" s="59">
        <f t="shared" si="6"/>
        <v>14.187999999999999</v>
      </c>
      <c r="Q16" s="59">
        <f t="shared" si="7"/>
        <v>0</v>
      </c>
      <c r="R16" s="59">
        <f t="shared" si="8"/>
        <v>0.36927000000000021</v>
      </c>
      <c r="S16" s="59">
        <f t="shared" si="9"/>
        <v>0</v>
      </c>
      <c r="T16" s="59">
        <f t="shared" si="10"/>
        <v>-1.6058999999999983</v>
      </c>
      <c r="U16" s="15"/>
      <c r="V16" s="27" t="str">
        <f t="shared" si="11"/>
        <v>神经质</v>
      </c>
      <c r="W16" s="59">
        <f>'M1'!B14*1</f>
        <v>42.092300000000002</v>
      </c>
      <c r="X16" s="59">
        <f>'M1'!C14*1</f>
        <v>12.428100000000001</v>
      </c>
      <c r="Y16" s="59">
        <f>'M1'!D14*1</f>
        <v>29.5258</v>
      </c>
      <c r="Z16" s="59">
        <f>'M1'!E14*1</f>
        <v>10</v>
      </c>
      <c r="AA16" s="59">
        <f>'M1'!F14*1</f>
        <v>2.1640799999999998</v>
      </c>
      <c r="AB16" s="59">
        <f>'M1'!G14*1</f>
        <v>50</v>
      </c>
      <c r="AC16" s="59">
        <f>'M1'!H14*1</f>
        <v>45.023099999999999</v>
      </c>
      <c r="AE16" s="27" t="str">
        <f t="shared" si="12"/>
        <v>神经质</v>
      </c>
      <c r="AF16" s="59">
        <f>'M2'!B14*1</f>
        <v>32.877099999999999</v>
      </c>
      <c r="AG16" s="59">
        <f>'M2'!C14*1</f>
        <v>14.3718</v>
      </c>
      <c r="AH16" s="59">
        <f>'M2'!D14*1</f>
        <v>43.713799999999999</v>
      </c>
      <c r="AI16" s="59">
        <f>'M2'!E14*1</f>
        <v>10</v>
      </c>
      <c r="AJ16" s="59">
        <f>'M2'!F14*1</f>
        <v>2.53335</v>
      </c>
      <c r="AK16" s="59">
        <f>'M2'!G14*1</f>
        <v>50</v>
      </c>
      <c r="AL16" s="59">
        <f>'M2'!H14*1</f>
        <v>43.417200000000001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6.4221250000000003</v>
      </c>
      <c r="O17" s="22">
        <f>N17/(N17+N18+N19)</f>
        <v>1.5632930265391951</v>
      </c>
      <c r="P17" s="65">
        <f>SUM(P11:P14)/4</f>
        <v>-7.8602474999999998</v>
      </c>
      <c r="Q17" s="22">
        <f>P17/(P17+P18+P19)</f>
        <v>1.3304627444077044</v>
      </c>
      <c r="R17" s="14"/>
      <c r="S17" s="14"/>
      <c r="T17" s="14"/>
      <c r="U17" s="14"/>
      <c r="V17" s="21" t="str">
        <f>M17</f>
        <v>Positive</v>
      </c>
      <c r="W17" s="65">
        <f>SUM(W11:W14)/4</f>
        <v>47.751975000000002</v>
      </c>
      <c r="X17" s="22">
        <f>W17/(W17+W18+W19)</f>
        <v>0.41682275051047768</v>
      </c>
      <c r="Y17" s="65">
        <f>SUM(Y11:Y14)/4</f>
        <v>19.386604999999999</v>
      </c>
      <c r="Z17" s="22">
        <f>Y17/(Y17+Y18+Y19)</f>
        <v>0.35750412520257197</v>
      </c>
      <c r="AA17" s="14"/>
      <c r="AB17" s="14"/>
      <c r="AC17" s="14"/>
      <c r="AE17" s="21" t="str">
        <f>V17</f>
        <v>Positive</v>
      </c>
      <c r="AF17" s="65">
        <f>SUM(AF11:AF14)/4</f>
        <v>54.174099999999996</v>
      </c>
      <c r="AG17" s="22">
        <f>AF17/(AF17+AF18+AF19)</f>
        <v>0.4565108759677054</v>
      </c>
      <c r="AH17" s="65">
        <f>SUM(AH11:AH14)/4</f>
        <v>11.5263575</v>
      </c>
      <c r="AI17" s="22">
        <f>AH17/(AH17+AH18+AH19)</f>
        <v>0.23854347504182297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2.2333499999999979</v>
      </c>
      <c r="O18" s="22">
        <f>N18/(N17+N18+N19)</f>
        <v>0.54364878927478177</v>
      </c>
      <c r="P18" s="18">
        <f>SUM(P7:P10)/4</f>
        <v>-3.0970575</v>
      </c>
      <c r="Q18" s="22">
        <f>P18/(P17+P18+P19)</f>
        <v>0.52422263052638796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34.286200000000001</v>
      </c>
      <c r="X18" s="22">
        <f>W18/(W17+W18+W19)</f>
        <v>0.29928119598304237</v>
      </c>
      <c r="Y18" s="18">
        <f>SUM(Y7:Y10)/4</f>
        <v>10.909685</v>
      </c>
      <c r="Z18" s="22">
        <f>Y18/(Y17+Y18+Y19)</f>
        <v>0.20118310514711685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36.519549999999995</v>
      </c>
      <c r="AG18" s="22">
        <f>AF18/(AF17+AF18+AF19)</f>
        <v>0.3077406317861564</v>
      </c>
      <c r="AH18" s="18">
        <f>SUM(AH7:AH10)/4</f>
        <v>7.8126274999999996</v>
      </c>
      <c r="AI18" s="22">
        <f>AH18/(AH17+AH18+AH19)</f>
        <v>0.16168605850176951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-4.5474000000000014</v>
      </c>
      <c r="O19" s="22">
        <f>N19/(N17+N18+N19)</f>
        <v>-1.106941815813977</v>
      </c>
      <c r="P19" s="18">
        <f>(P15+P16)/2</f>
        <v>5.0493999999999994</v>
      </c>
      <c r="Q19" s="22">
        <f>P19/(P17+P18+P19)</f>
        <v>-0.85468537493409236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32.523650000000004</v>
      </c>
      <c r="X19" s="22">
        <f>W19/(W17+W18+W19)</f>
        <v>0.28389605350648006</v>
      </c>
      <c r="Y19" s="18">
        <f>(Y15+Y16)/2</f>
        <v>23.931350000000002</v>
      </c>
      <c r="Z19" s="22">
        <f>Y19/(Y17+Y18+Y19)</f>
        <v>0.44131276965031119</v>
      </c>
      <c r="AA19" s="14"/>
      <c r="AB19" s="14"/>
      <c r="AC19" s="14"/>
      <c r="AE19" s="21" t="str">
        <f t="shared" si="14"/>
        <v>Physiological</v>
      </c>
      <c r="AF19" s="18">
        <f>(AF15+AF16)/2</f>
        <v>27.97625</v>
      </c>
      <c r="AG19" s="22">
        <f>AF19/(AF17+AF18+AF19)</f>
        <v>0.23574849224613828</v>
      </c>
      <c r="AH19" s="18">
        <f>(AH15+AH16)/2</f>
        <v>28.98075</v>
      </c>
      <c r="AI19" s="22">
        <f>AH19/(AH17+AH18+AH19)</f>
        <v>0.59977046645640752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1.62/1.66</v>
      </c>
      <c r="D24" s="44" t="str">
        <f>lang!B11</f>
        <v>频率方差</v>
      </c>
      <c r="E24" s="142" t="str">
        <f ca="1">CONCATENATE(ROUND('FH1'!L3,2),"/",ROUND('FH2'!L3,2))</f>
        <v>0.75/0.74</v>
      </c>
      <c r="F24" s="143"/>
      <c r="G24" s="134" t="str">
        <f>lang!B12</f>
        <v>生理变化率</v>
      </c>
      <c r="H24" s="135"/>
      <c r="I24" s="62" t="str">
        <f ca="1">CONCATENATE(info!M7,"-",info!M8)</f>
        <v>13.2-37.9</v>
      </c>
      <c r="J24" s="42" t="str">
        <f>lang!B13</f>
        <v>千卡l/分钟</v>
      </c>
      <c r="K24" s="41" t="str">
        <f ca="1">CONCATENATE(info!M5,"-",info!M6)</f>
        <v>2.9-3.7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-4.6698000000000022</v>
      </c>
      <c r="F27" s="164"/>
      <c r="G27" s="178" t="str">
        <f>lang!B33</f>
        <v>稳定性</v>
      </c>
      <c r="H27" s="179"/>
      <c r="I27" s="180"/>
      <c r="J27" s="181">
        <f>dM!B19*100</f>
        <v>2.310599999999996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0.82189781043981969</v>
      </c>
      <c r="C2">
        <f t="array" aca="1" ref="C2" ca="1">CORREL(FT_E02,FT_PH02)</f>
        <v>0.53113323991780415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3.6492000000000004</v>
      </c>
      <c r="G2" s="61">
        <f>IF(FT!B2&lt;&gt;"",FT!B2*100,"")</f>
        <v>37.9009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3.6370100000000001</v>
      </c>
      <c r="G3" s="61">
        <f>IF(FT!B3&lt;&gt;"",FT!B3*100,"")</f>
        <v>37.236399999999996</v>
      </c>
      <c r="H3" s="61">
        <f t="shared" ref="H3:H66" si="1">(IF(F3&lt;&gt;"",1,""))</f>
        <v>1</v>
      </c>
      <c r="I3" t="str">
        <f>IF(FT!B3&lt;&gt;"",FT!E3,"")</f>
        <v>1 [0.408229]</v>
      </c>
      <c r="J3">
        <f>IF(FT!B3&lt;&gt;"",FT!C3,"")</f>
        <v>0.40822900000000001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0.2188177837837838</v>
      </c>
      <c r="V3">
        <f ca="1">AVERAGE(OFFSET(FT!B2,info!$L$3/2,0,info!$L$3/2,1))</f>
        <v>0.26307628378378395</v>
      </c>
      <c r="W3">
        <f ca="1">AVERAGE(OFFSET(FT!A2,0,0,info!$L$3/2,1))</f>
        <v>0.31932058108108097</v>
      </c>
      <c r="X3">
        <f ca="1">AVERAGE(OFFSET(FT!A2,info!$L$3/2,0,info!$L$3/2,1))</f>
        <v>0.33425129729729719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3.6229699999999996</v>
      </c>
      <c r="G4" s="61">
        <f>IF(FT!B4&lt;&gt;"",FT!B4*100,"")</f>
        <v>36.492200000000004</v>
      </c>
      <c r="H4" s="61">
        <f t="shared" si="1"/>
        <v>1</v>
      </c>
      <c r="I4" t="str">
        <f>IF(FT!B4&lt;&gt;"",FT!E4,"")</f>
        <v>1 [0.812014]</v>
      </c>
      <c r="J4">
        <f>IF(FT!B4&lt;&gt;"",FT!C4,"")</f>
        <v>0.81201400000000001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14.942175000000001</v>
      </c>
      <c r="V4">
        <f>U4*3</f>
        <v>44.826525000000004</v>
      </c>
      <c r="W4">
        <f>U4</f>
        <v>14.942175000000001</v>
      </c>
      <c r="X4">
        <f>V4</f>
        <v>44.826525000000004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3.6063400000000003</v>
      </c>
      <c r="G5" s="61">
        <f>IF(FT!B5&lt;&gt;"",FT!B5*100,"")</f>
        <v>35.697099999999999</v>
      </c>
      <c r="H5" s="61">
        <f t="shared" si="1"/>
        <v>1</v>
      </c>
      <c r="I5" t="str">
        <f>IF(FT!B5&lt;&gt;"",FT!E5,"")</f>
        <v>1 [1.220256]</v>
      </c>
      <c r="J5">
        <f>IF(FT!B5&lt;&gt;"",FT!C5,"")</f>
        <v>1.2202599999999999</v>
      </c>
      <c r="K5" t="s">
        <v>53</v>
      </c>
      <c r="L5" s="63">
        <f ca="1">MIN(FT_E)</f>
        <v>2.94591</v>
      </c>
      <c r="M5" s="63">
        <f ca="1">ROUND(L5,1)</f>
        <v>2.9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21.881778378378382</v>
      </c>
      <c r="V5">
        <f ca="1">V3*100</f>
        <v>26.307628378378396</v>
      </c>
      <c r="W5">
        <f ca="1">W3*10</f>
        <v>3.1932058108108095</v>
      </c>
      <c r="X5">
        <f ca="1">X3*10</f>
        <v>3.3425129729729717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3.5856599999999998</v>
      </c>
      <c r="G6" s="61">
        <f>IF(FT!B6&lt;&gt;"",FT!B6*100,"")</f>
        <v>34.862099999999998</v>
      </c>
      <c r="H6" s="61">
        <f t="shared" si="1"/>
        <v>1</v>
      </c>
      <c r="I6" t="str">
        <f>IF(FT!B6&lt;&gt;"",FT!E6,"")</f>
        <v>1 [1.628311]</v>
      </c>
      <c r="J6">
        <f>IF(FT!B6&lt;&gt;"",FT!C6,"")</f>
        <v>1.6283099999999999</v>
      </c>
      <c r="K6" t="s">
        <v>54</v>
      </c>
      <c r="L6" s="63">
        <f ca="1">MAX(FT_E)</f>
        <v>3.7461000000000002</v>
      </c>
      <c r="M6" s="63">
        <f ca="1">ROUND(L6,1)</f>
        <v>3.7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3.5634199999999998</v>
      </c>
      <c r="G7" s="61">
        <f>IF(FT!B7&lt;&gt;"",FT!B7*100,"")</f>
        <v>33.986899999999999</v>
      </c>
      <c r="H7" s="61">
        <f t="shared" si="1"/>
        <v>1</v>
      </c>
      <c r="I7" t="str">
        <f>IF(FT!B7&lt;&gt;"",FT!E7,"")</f>
        <v>1 [2.037083]</v>
      </c>
      <c r="J7">
        <f>IF(FT!B7&lt;&gt;"",FT!C7,"")</f>
        <v>2.03708</v>
      </c>
      <c r="K7" t="s">
        <v>55</v>
      </c>
      <c r="L7" s="63">
        <f ca="1">MIN(FT_PH)</f>
        <v>13.209599999999998</v>
      </c>
      <c r="M7" s="63">
        <f ca="1">ROUND(L7,1)</f>
        <v>13.2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5326</v>
      </c>
      <c r="D8" s="61">
        <f>FH!B8*1</f>
        <v>5326</v>
      </c>
      <c r="E8">
        <f t="shared" si="3"/>
        <v>6</v>
      </c>
      <c r="F8" s="61">
        <f>IF(FT!A8&lt;&gt;"",FT!A8*10,"")</f>
        <v>3.5388299999999999</v>
      </c>
      <c r="G8" s="61">
        <f>IF(FT!B8&lt;&gt;"",FT!B8*100,"")</f>
        <v>33.133200000000002</v>
      </c>
      <c r="H8" s="61">
        <f t="shared" si="1"/>
        <v>1</v>
      </c>
      <c r="I8" t="str">
        <f>IF(FT!B8&lt;&gt;"",FT!E8,"")</f>
        <v>1 [2.440366]</v>
      </c>
      <c r="J8">
        <f>IF(FT!B8&lt;&gt;"",FT!C8,"")</f>
        <v>2.4403700000000002</v>
      </c>
      <c r="K8" t="s">
        <v>56</v>
      </c>
      <c r="L8" s="63">
        <f ca="1">MAX(FT_PH)</f>
        <v>37.9009</v>
      </c>
      <c r="M8" s="63">
        <f ca="1">ROUND(L8,1)</f>
        <v>37.9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3.5118500000000004</v>
      </c>
      <c r="G9" s="61">
        <f>IF(FT!B9&lt;&gt;"",FT!B9*100,"")</f>
        <v>32.297199999999997</v>
      </c>
      <c r="H9" s="61">
        <f t="shared" si="1"/>
        <v>1</v>
      </c>
      <c r="I9" t="str">
        <f>IF(FT!B9&lt;&gt;"",FT!E9,"")</f>
        <v>1 [2.845287]</v>
      </c>
      <c r="J9">
        <f>IF(FT!B9&lt;&gt;"",FT!C9,"")</f>
        <v>2.8452899999999999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5903</v>
      </c>
      <c r="D10" s="61">
        <f>FH!B10*1</f>
        <v>5903</v>
      </c>
      <c r="E10">
        <f t="shared" si="3"/>
        <v>8</v>
      </c>
      <c r="F10" s="61">
        <f>IF(FT!A10&lt;&gt;"",FT!A10*10,"")</f>
        <v>3.48325</v>
      </c>
      <c r="G10" s="61">
        <f>IF(FT!B10&lt;&gt;"",FT!B10*100,"")</f>
        <v>31.482100000000003</v>
      </c>
      <c r="H10" s="61">
        <f t="shared" si="1"/>
        <v>1</v>
      </c>
      <c r="I10" t="str">
        <f>IF(FT!B10&lt;&gt;"",FT!E10,"")</f>
        <v>1 [3.252154]</v>
      </c>
      <c r="J10">
        <f>IF(FT!B10&lt;&gt;"",FT!C10,"")</f>
        <v>3.2521499999999999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3.4548099999999997</v>
      </c>
      <c r="G11" s="61">
        <f>IF(FT!B11&lt;&gt;"",FT!B11*100,"")</f>
        <v>30.617899999999999</v>
      </c>
      <c r="H11" s="61">
        <f t="shared" si="1"/>
        <v>1</v>
      </c>
      <c r="I11" t="str">
        <f>IF(FT!B11&lt;&gt;"",FT!E11,"")</f>
        <v>1 [3.661683]</v>
      </c>
      <c r="J11">
        <f>IF(FT!B11&lt;&gt;"",FT!C11,"")</f>
        <v>3.66168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3.4243399999999999</v>
      </c>
      <c r="G12" s="61">
        <f>IF(FT!B12&lt;&gt;"",FT!B12*100,"")</f>
        <v>29.782399999999999</v>
      </c>
      <c r="H12" s="61">
        <f t="shared" si="1"/>
        <v>1</v>
      </c>
      <c r="I12" t="str">
        <f>IF(FT!B12&lt;&gt;"",FT!E12,"")</f>
        <v>1 [4.074931]</v>
      </c>
      <c r="J12">
        <f>IF(FT!B12&lt;&gt;"",FT!C12,"")</f>
        <v>4.0749300000000002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7936</v>
      </c>
      <c r="D13" s="61">
        <f>FH!B13*1</f>
        <v>7936</v>
      </c>
      <c r="E13">
        <f t="shared" si="3"/>
        <v>11</v>
      </c>
      <c r="F13" s="61">
        <f>IF(FT!A13&lt;&gt;"",FT!A13*10,"")</f>
        <v>3.3932500000000001</v>
      </c>
      <c r="G13" s="61">
        <f>IF(FT!B13&lt;&gt;"",FT!B13*100,"")</f>
        <v>28.943400000000004</v>
      </c>
      <c r="H13" s="61">
        <f t="shared" si="1"/>
        <v>1</v>
      </c>
      <c r="I13" t="str">
        <f>IF(FT!B13&lt;&gt;"",FT!E13,"")</f>
        <v>1 [4.469564]</v>
      </c>
      <c r="J13">
        <f>IF(FT!B13&lt;&gt;"",FT!C13,"")</f>
        <v>4.4695600000000004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3.3593699999999997</v>
      </c>
      <c r="G14" s="61">
        <f>IF(FT!B14&lt;&gt;"",FT!B14*100,"")</f>
        <v>28.202899999999996</v>
      </c>
      <c r="H14" s="61">
        <f t="shared" si="1"/>
        <v>1</v>
      </c>
      <c r="I14" t="str">
        <f>IF(FT!B14&lt;&gt;"",FT!E14,"")</f>
        <v>1 [4.877599]</v>
      </c>
      <c r="J14">
        <f>IF(FT!B14&lt;&gt;"",FT!C14,"")</f>
        <v>4.8776000000000002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14305</v>
      </c>
      <c r="D15" s="61">
        <f>FH!B15*1</f>
        <v>14305</v>
      </c>
      <c r="E15">
        <f t="shared" si="3"/>
        <v>13</v>
      </c>
      <c r="F15" s="61">
        <f>IF(FT!A15&lt;&gt;"",FT!A15*10,"")</f>
        <v>3.3239700000000001</v>
      </c>
      <c r="G15" s="61">
        <f>IF(FT!B15&lt;&gt;"",FT!B15*100,"")</f>
        <v>27.536899999999996</v>
      </c>
      <c r="H15" s="61">
        <f t="shared" si="1"/>
        <v>1</v>
      </c>
      <c r="I15" t="str">
        <f>IF(FT!B15&lt;&gt;"",FT!E15,"")</f>
        <v>1 [5.284118]</v>
      </c>
      <c r="J15">
        <f>IF(FT!B15&lt;&gt;"",FT!C15,"")</f>
        <v>5.2841199999999997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3.2870700000000004</v>
      </c>
      <c r="G16" s="61">
        <f>IF(FT!B16&lt;&gt;"",FT!B16*100,"")</f>
        <v>26.973500000000001</v>
      </c>
      <c r="H16" s="61">
        <f t="shared" si="1"/>
        <v>1</v>
      </c>
      <c r="I16" t="str">
        <f>IF(FT!B16&lt;&gt;"",FT!E16,"")</f>
        <v>1 [5.691333]</v>
      </c>
      <c r="J16">
        <f>IF(FT!B16&lt;&gt;"",FT!C16,"")</f>
        <v>5.6913299999999998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3.2485000000000004</v>
      </c>
      <c r="G17" s="61">
        <f>IF(FT!B17&lt;&gt;"",FT!B17*100,"")</f>
        <v>26.471499999999999</v>
      </c>
      <c r="H17" s="61">
        <f t="shared" si="1"/>
        <v>1</v>
      </c>
      <c r="I17" t="str">
        <f>IF(FT!B17&lt;&gt;"",FT!E17,"")</f>
        <v>1 [6.098208]</v>
      </c>
      <c r="J17">
        <f>IF(FT!B17&lt;&gt;"",FT!C17,"")</f>
        <v>6.0982099999999999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19009</v>
      </c>
      <c r="D18" s="61">
        <f>FH!B18*1</f>
        <v>19009</v>
      </c>
      <c r="E18">
        <f t="shared" si="3"/>
        <v>16</v>
      </c>
      <c r="F18" s="61">
        <f>IF(FT!A18&lt;&gt;"",FT!A18*10,"")</f>
        <v>3.2101299999999999</v>
      </c>
      <c r="G18" s="61">
        <f>IF(FT!B18&lt;&gt;"",FT!B18*100,"")</f>
        <v>26.015700000000002</v>
      </c>
      <c r="H18" s="61">
        <f t="shared" si="1"/>
        <v>1</v>
      </c>
      <c r="I18" t="str">
        <f>IF(FT!B18&lt;&gt;"",FT!E18,"")</f>
        <v>1 [6.501293]</v>
      </c>
      <c r="J18">
        <f>IF(FT!B18&lt;&gt;"",FT!C18,"")</f>
        <v>6.50129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3.1732100000000001</v>
      </c>
      <c r="G19" s="61">
        <f>IF(FT!B19&lt;&gt;"",FT!B19*100,"")</f>
        <v>25.566299999999998</v>
      </c>
      <c r="H19" s="61">
        <f t="shared" si="1"/>
        <v>1</v>
      </c>
      <c r="I19" t="str">
        <f>IF(FT!B19&lt;&gt;"",FT!E19,"")</f>
        <v>1 [6.907265]</v>
      </c>
      <c r="J19">
        <f>IF(FT!B19&lt;&gt;"",FT!C19,"")</f>
        <v>6.90726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3.1376900000000001</v>
      </c>
      <c r="G20" s="61">
        <f>IF(FT!B20&lt;&gt;"",FT!B20*100,"")</f>
        <v>25.078299999999999</v>
      </c>
      <c r="H20" s="61">
        <f t="shared" si="1"/>
        <v>1</v>
      </c>
      <c r="I20" t="str">
        <f>IF(FT!B20&lt;&gt;"",FT!E20,"")</f>
        <v>1 [7.312796]</v>
      </c>
      <c r="J20">
        <f>IF(FT!B20&lt;&gt;"",FT!C20,"")</f>
        <v>7.3128000000000002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27129</v>
      </c>
      <c r="D21" s="61">
        <f>FH!B21*1</f>
        <v>27129</v>
      </c>
      <c r="E21">
        <f t="shared" si="3"/>
        <v>19</v>
      </c>
      <c r="F21" s="61">
        <f>IF(FT!A21&lt;&gt;"",FT!A21*10,"")</f>
        <v>3.1041499999999997</v>
      </c>
      <c r="G21" s="61">
        <f>IF(FT!B21&lt;&gt;"",FT!B21*100,"")</f>
        <v>24.589199999999998</v>
      </c>
      <c r="H21" s="61">
        <f t="shared" si="1"/>
        <v>1</v>
      </c>
      <c r="I21" t="str">
        <f>IF(FT!B21&lt;&gt;"",FT!E21,"")</f>
        <v>1 [7.723544]</v>
      </c>
      <c r="J21">
        <f>IF(FT!B21&lt;&gt;"",FT!C21,"")</f>
        <v>7.7235399999999998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3.0723799999999999</v>
      </c>
      <c r="G22" s="61">
        <f>IF(FT!B22&lt;&gt;"",FT!B22*100,"")</f>
        <v>24.085999999999999</v>
      </c>
      <c r="H22" s="61">
        <f t="shared" si="1"/>
        <v>1</v>
      </c>
      <c r="I22" t="str">
        <f>IF(FT!B22&lt;&gt;"",FT!E22,"")</f>
        <v>1 [8.127833]</v>
      </c>
      <c r="J22">
        <f>IF(FT!B22&lt;&gt;"",FT!C22,"")</f>
        <v>8.1278299999999994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32651</v>
      </c>
      <c r="D23" s="61">
        <f>FH!B23*1</f>
        <v>32651</v>
      </c>
      <c r="E23">
        <f t="shared" si="3"/>
        <v>21</v>
      </c>
      <c r="F23" s="61">
        <f>IF(FT!A23&lt;&gt;"",FT!A23*10,"")</f>
        <v>3.0399799999999999</v>
      </c>
      <c r="G23" s="61">
        <f>IF(FT!B23&lt;&gt;"",FT!B23*100,"")</f>
        <v>23.622599999999998</v>
      </c>
      <c r="H23" s="61">
        <f t="shared" si="1"/>
        <v>1</v>
      </c>
      <c r="I23" t="str">
        <f>IF(FT!B23&lt;&gt;"",FT!E23,"")</f>
        <v>1 [8.534391]</v>
      </c>
      <c r="J23">
        <f>IF(FT!B23&lt;&gt;"",FT!C23,"")</f>
        <v>8.5343900000000001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3.0086400000000002</v>
      </c>
      <c r="G24" s="61">
        <f>IF(FT!B24&lt;&gt;"",FT!B24*100,"")</f>
        <v>23.120899999999999</v>
      </c>
      <c r="H24" s="61">
        <f t="shared" si="1"/>
        <v>1</v>
      </c>
      <c r="I24" t="str">
        <f>IF(FT!B24&lt;&gt;"",FT!E24,"")</f>
        <v>1 [8.939646]</v>
      </c>
      <c r="J24">
        <f>IF(FT!B24&lt;&gt;"",FT!C24,"")</f>
        <v>8.9396500000000003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2.9823699999999995</v>
      </c>
      <c r="G25" s="61">
        <f>IF(FT!B25&lt;&gt;"",FT!B25*100,"")</f>
        <v>22.525300000000001</v>
      </c>
      <c r="H25" s="61">
        <f t="shared" si="1"/>
        <v>1</v>
      </c>
      <c r="I25" t="str">
        <f>IF(FT!B25&lt;&gt;"",FT!E25,"")</f>
        <v>1 [9.345446]</v>
      </c>
      <c r="J25">
        <f>IF(FT!B25&lt;&gt;"",FT!C25,"")</f>
        <v>9.3454499999999996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40297</v>
      </c>
      <c r="D26" s="61">
        <f>FH!B26*1</f>
        <v>40297</v>
      </c>
      <c r="E26">
        <f t="shared" si="3"/>
        <v>24</v>
      </c>
      <c r="F26" s="61">
        <f>IF(FT!A26&lt;&gt;"",FT!A26*10,"")</f>
        <v>2.9618499999999996</v>
      </c>
      <c r="G26" s="61">
        <f>IF(FT!B26&lt;&gt;"",FT!B26*100,"")</f>
        <v>21.845100000000002</v>
      </c>
      <c r="H26" s="61">
        <f t="shared" si="1"/>
        <v>1</v>
      </c>
      <c r="I26" t="str">
        <f>IF(FT!B26&lt;&gt;"",FT!E26,"")</f>
        <v>1 [9.754107]</v>
      </c>
      <c r="J26">
        <f>IF(FT!B26&lt;&gt;"",FT!C26,"")</f>
        <v>9.7541100000000007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2.9496000000000002</v>
      </c>
      <c r="G27" s="61">
        <f>IF(FT!B27&lt;&gt;"",FT!B27*100,"")</f>
        <v>21.039099999999998</v>
      </c>
      <c r="H27" s="61">
        <f t="shared" si="1"/>
        <v>1</v>
      </c>
      <c r="I27" t="str">
        <f>IF(FT!B27&lt;&gt;"",FT!E27,"")</f>
        <v>1 [10.160575]</v>
      </c>
      <c r="J27">
        <f>IF(FT!B27&lt;&gt;"",FT!C27,"")</f>
        <v>10.160600000000001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48756</v>
      </c>
      <c r="D28" s="61">
        <f>FH!B28*1</f>
        <v>48756</v>
      </c>
      <c r="E28">
        <f t="shared" si="3"/>
        <v>26</v>
      </c>
      <c r="F28" s="61">
        <f>IF(FT!A28&lt;&gt;"",FT!A28*10,"")</f>
        <v>2.94591</v>
      </c>
      <c r="G28" s="61">
        <f>IF(FT!B28&lt;&gt;"",FT!B28*100,"")</f>
        <v>20.172799999999999</v>
      </c>
      <c r="H28" s="61">
        <f t="shared" si="1"/>
        <v>1</v>
      </c>
      <c r="I28" t="str">
        <f>IF(FT!B28&lt;&gt;"",FT!E28,"")</f>
        <v>1 [10.567276]</v>
      </c>
      <c r="J28">
        <f>IF(FT!B28&lt;&gt;"",FT!C28,"")</f>
        <v>10.567299999999999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2.94835</v>
      </c>
      <c r="G29" s="61">
        <f>IF(FT!B29&lt;&gt;"",FT!B29*100,"")</f>
        <v>19.2303</v>
      </c>
      <c r="H29" s="61">
        <f t="shared" si="1"/>
        <v>1</v>
      </c>
      <c r="I29" t="str">
        <f>IF(FT!B29&lt;&gt;"",FT!E29,"")</f>
        <v>1 [10.969186]</v>
      </c>
      <c r="J29">
        <f>IF(FT!B29&lt;&gt;"",FT!C29,"")</f>
        <v>10.969200000000001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2.95573</v>
      </c>
      <c r="G30" s="61">
        <f>IF(FT!B30&lt;&gt;"",FT!B30*100,"")</f>
        <v>18.1983</v>
      </c>
      <c r="H30" s="61">
        <f t="shared" si="1"/>
        <v>1</v>
      </c>
      <c r="I30" t="str">
        <f>IF(FT!B30&lt;&gt;"",FT!E30,"")</f>
        <v>1 [11.376346]</v>
      </c>
      <c r="J30">
        <f>IF(FT!B30&lt;&gt;"",FT!C30,"")</f>
        <v>11.376300000000001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63600</v>
      </c>
      <c r="D31" s="61">
        <f>FH!B31*1</f>
        <v>63600</v>
      </c>
      <c r="E31">
        <f t="shared" si="3"/>
        <v>29</v>
      </c>
      <c r="F31" s="61">
        <f>IF(FT!A31&lt;&gt;"",FT!A31*10,"")</f>
        <v>2.96549</v>
      </c>
      <c r="G31" s="61">
        <f>IF(FT!B31&lt;&gt;"",FT!B31*100,"")</f>
        <v>17.2346</v>
      </c>
      <c r="H31" s="61">
        <f t="shared" si="1"/>
        <v>1</v>
      </c>
      <c r="I31" t="str">
        <f>IF(FT!B31&lt;&gt;"",FT!E31,"")</f>
        <v>1 [11.784177]</v>
      </c>
      <c r="J31">
        <f>IF(FT!B31&lt;&gt;"",FT!C31,"")</f>
        <v>11.7842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2.9744100000000002</v>
      </c>
      <c r="G32" s="61">
        <f>IF(FT!B32&lt;&gt;"",FT!B32*100,"")</f>
        <v>16.3127</v>
      </c>
      <c r="H32" s="61">
        <f t="shared" si="1"/>
        <v>1</v>
      </c>
      <c r="I32" t="str">
        <f>IF(FT!B32&lt;&gt;"",FT!E32,"")</f>
        <v>1 [12.189914]</v>
      </c>
      <c r="J32">
        <f>IF(FT!B32&lt;&gt;"",FT!C32,"")</f>
        <v>12.1899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82691</v>
      </c>
      <c r="D33" s="61">
        <f>FH!B33*1</f>
        <v>82691</v>
      </c>
      <c r="E33">
        <f t="shared" si="3"/>
        <v>31</v>
      </c>
      <c r="F33" s="61">
        <f>IF(FT!A33&lt;&gt;"",FT!A33*10,"")</f>
        <v>2.9794100000000001</v>
      </c>
      <c r="G33" s="61">
        <f>IF(FT!B33&lt;&gt;"",FT!B33*100,"")</f>
        <v>15.559999999999999</v>
      </c>
      <c r="H33" s="61">
        <f t="shared" si="1"/>
        <v>1</v>
      </c>
      <c r="I33" t="str">
        <f>IF(FT!B33&lt;&gt;"",FT!E33,"")</f>
        <v>1 [12.594890]</v>
      </c>
      <c r="J33">
        <f>IF(FT!B33&lt;&gt;"",FT!C33,"")</f>
        <v>12.594900000000001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2.9852400000000001</v>
      </c>
      <c r="G34" s="61">
        <f>IF(FT!B34&lt;&gt;"",FT!B34*100,"")</f>
        <v>14.9091</v>
      </c>
      <c r="H34" s="61">
        <f t="shared" si="1"/>
        <v>1</v>
      </c>
      <c r="I34" t="str">
        <f>IF(FT!B34&lt;&gt;"",FT!E34,"")</f>
        <v>1 [12.999691]</v>
      </c>
      <c r="J34">
        <f>IF(FT!B34&lt;&gt;"",FT!C34,"")</f>
        <v>12.999700000000001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2.99485</v>
      </c>
      <c r="G35" s="61">
        <f>IF(FT!B35&lt;&gt;"",FT!B35*100,"")</f>
        <v>14.357700000000001</v>
      </c>
      <c r="H35" s="61">
        <f t="shared" si="1"/>
        <v>1</v>
      </c>
      <c r="I35" t="str">
        <f>IF(FT!B35&lt;&gt;"",FT!E35,"")</f>
        <v>1 [13.409518]</v>
      </c>
      <c r="J35">
        <f>IF(FT!B35&lt;&gt;"",FT!C35,"")</f>
        <v>13.4095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91517</v>
      </c>
      <c r="D36" s="61">
        <f>FH!B36*1</f>
        <v>91517</v>
      </c>
      <c r="E36">
        <f t="shared" si="3"/>
        <v>34</v>
      </c>
      <c r="F36" s="61">
        <f>IF(FT!A36&lt;&gt;"",FT!A36*10,"")</f>
        <v>3.0103900000000001</v>
      </c>
      <c r="G36" s="61">
        <f>IF(FT!B36&lt;&gt;"",FT!B36*100,"")</f>
        <v>13.936699999999998</v>
      </c>
      <c r="H36" s="61">
        <f t="shared" si="1"/>
        <v>1</v>
      </c>
      <c r="I36" t="str">
        <f>IF(FT!B36&lt;&gt;"",FT!E36,"")</f>
        <v>1 [13.813312]</v>
      </c>
      <c r="J36">
        <f>IF(FT!B36&lt;&gt;"",FT!C36,"")</f>
        <v>13.8133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3.0283600000000002</v>
      </c>
      <c r="G37" s="61">
        <f>IF(FT!B37&lt;&gt;"",FT!B37*100,"")</f>
        <v>13.621500000000001</v>
      </c>
      <c r="H37" s="61">
        <f t="shared" si="1"/>
        <v>1</v>
      </c>
      <c r="I37" t="str">
        <f>IF(FT!B37&lt;&gt;"",FT!E37,"")</f>
        <v>1 [14.220625]</v>
      </c>
      <c r="J37">
        <f>IF(FT!B37&lt;&gt;"",FT!C37,"")</f>
        <v>14.220599999999999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3.0445000000000002</v>
      </c>
      <c r="G38" s="61">
        <f>IF(FT!B38&lt;&gt;"",FT!B38*100,"")</f>
        <v>13.4232</v>
      </c>
      <c r="H38" s="61">
        <f t="shared" si="1"/>
        <v>1</v>
      </c>
      <c r="I38" t="str">
        <f>IF(FT!B38&lt;&gt;"",FT!E38,"")</f>
        <v>1 [14.627038]</v>
      </c>
      <c r="J38">
        <f>IF(FT!B38&lt;&gt;"",FT!C38,"")</f>
        <v>14.627000000000001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103592</v>
      </c>
      <c r="D39" s="61">
        <f>FH!B39*1</f>
        <v>103592</v>
      </c>
      <c r="E39">
        <f t="shared" si="3"/>
        <v>37</v>
      </c>
      <c r="F39" s="61">
        <f>IF(FT!A39&lt;&gt;"",FT!A39*10,"")</f>
        <v>3.05985</v>
      </c>
      <c r="G39" s="61">
        <f>IF(FT!B39&lt;&gt;"",FT!B39*100,"")</f>
        <v>13.261400000000002</v>
      </c>
      <c r="H39" s="61">
        <f t="shared" si="1"/>
        <v>1</v>
      </c>
      <c r="I39" t="str">
        <f>IF(FT!B39&lt;&gt;"",FT!E39,"")</f>
        <v>1 [15.033621]</v>
      </c>
      <c r="J39">
        <f>IF(FT!B39&lt;&gt;"",FT!C39,"")</f>
        <v>15.0336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3.0742799999999999</v>
      </c>
      <c r="G40" s="61">
        <f>IF(FT!B40&lt;&gt;"",FT!B40*100,"")</f>
        <v>13.209999999999999</v>
      </c>
      <c r="H40" s="61">
        <f t="shared" si="1"/>
        <v>1</v>
      </c>
      <c r="I40" t="str">
        <f>IF(FT!B40&lt;&gt;"",FT!E40,"")</f>
        <v>1 [15.439798]</v>
      </c>
      <c r="J40">
        <f>IF(FT!B40&lt;&gt;"",FT!C40,"")</f>
        <v>15.4398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114168</v>
      </c>
      <c r="D41" s="61">
        <f>FH!B41*1</f>
        <v>114168</v>
      </c>
      <c r="E41">
        <f t="shared" si="3"/>
        <v>39</v>
      </c>
      <c r="F41" s="61">
        <f>IF(FT!A41&lt;&gt;"",FT!A41*10,"")</f>
        <v>3.0875699999999999</v>
      </c>
      <c r="G41" s="61">
        <f>IF(FT!B41&lt;&gt;"",FT!B41*100,"")</f>
        <v>13.209599999999998</v>
      </c>
      <c r="H41" s="61">
        <f t="shared" si="1"/>
        <v>1</v>
      </c>
      <c r="I41" t="str">
        <f>IF(FT!B41&lt;&gt;"",FT!E41,"")</f>
        <v>1 [15.848112]</v>
      </c>
      <c r="J41">
        <f>IF(FT!B41&lt;&gt;"",FT!C41,"")</f>
        <v>15.848100000000001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3.1009599999999997</v>
      </c>
      <c r="G42" s="61">
        <f>IF(FT!B42&lt;&gt;"",FT!B42*100,"")</f>
        <v>13.230400000000001</v>
      </c>
      <c r="H42" s="61">
        <f t="shared" si="1"/>
        <v>1</v>
      </c>
      <c r="I42" t="str">
        <f>IF(FT!B42&lt;&gt;"",FT!E42,"")</f>
        <v>1 [16.253718]</v>
      </c>
      <c r="J42">
        <f>IF(FT!B42&lt;&gt;"",FT!C42,"")</f>
        <v>16.253699999999998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3.1126800000000001</v>
      </c>
      <c r="G43" s="61">
        <f>IF(FT!B43&lt;&gt;"",FT!B43*100,"")</f>
        <v>13.344000000000001</v>
      </c>
      <c r="H43" s="61">
        <f t="shared" si="1"/>
        <v>1</v>
      </c>
      <c r="I43" t="str">
        <f>IF(FT!B43&lt;&gt;"",FT!E43,"")</f>
        <v>1 [16.659687]</v>
      </c>
      <c r="J43">
        <f>IF(FT!B43&lt;&gt;"",FT!C43,"")</f>
        <v>16.659700000000001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125368</v>
      </c>
      <c r="D44" s="61">
        <f>FH!B44*1</f>
        <v>125368</v>
      </c>
      <c r="E44">
        <f t="shared" si="3"/>
        <v>42</v>
      </c>
      <c r="F44" s="61">
        <f>IF(FT!A44&lt;&gt;"",FT!A44*10,"")</f>
        <v>3.1235600000000003</v>
      </c>
      <c r="G44" s="61">
        <f>IF(FT!B44&lt;&gt;"",FT!B44*100,"")</f>
        <v>13.453399999999998</v>
      </c>
      <c r="H44" s="61">
        <f t="shared" si="1"/>
        <v>1</v>
      </c>
      <c r="I44" t="str">
        <f>IF(FT!B44&lt;&gt;"",FT!E44,"")</f>
        <v>1 [17.064727]</v>
      </c>
      <c r="J44">
        <f>IF(FT!B44&lt;&gt;"",FT!C44,"")</f>
        <v>17.064699999999998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3.1352000000000002</v>
      </c>
      <c r="G45" s="61">
        <f>IF(FT!B45&lt;&gt;"",FT!B45*100,"")</f>
        <v>13.627000000000001</v>
      </c>
      <c r="H45" s="61">
        <f t="shared" si="1"/>
        <v>1</v>
      </c>
      <c r="I45" t="str">
        <f>IF(FT!B45&lt;&gt;"",FT!E45,"")</f>
        <v>1 [17.473078]</v>
      </c>
      <c r="J45">
        <f>IF(FT!B45&lt;&gt;"",FT!C45,"")</f>
        <v>17.473099999999999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125440</v>
      </c>
      <c r="D46" s="61">
        <f>FH!B46*1</f>
        <v>125440</v>
      </c>
      <c r="E46">
        <f t="shared" si="3"/>
        <v>44</v>
      </c>
      <c r="F46" s="61">
        <f>IF(FT!A46&lt;&gt;"",FT!A46*10,"")</f>
        <v>3.1471300000000002</v>
      </c>
      <c r="G46" s="61">
        <f>IF(FT!B46&lt;&gt;"",FT!B46*100,"")</f>
        <v>13.8598</v>
      </c>
      <c r="H46" s="61">
        <f t="shared" si="1"/>
        <v>1</v>
      </c>
      <c r="I46" t="str">
        <f>IF(FT!B46&lt;&gt;"",FT!E46,"")</f>
        <v>1 [17.876150]</v>
      </c>
      <c r="J46">
        <f>IF(FT!B46&lt;&gt;"",FT!C46,"")</f>
        <v>17.876200000000001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3.1585400000000003</v>
      </c>
      <c r="G47" s="61">
        <f>IF(FT!B47&lt;&gt;"",FT!B47*100,"")</f>
        <v>14.150099999999998</v>
      </c>
      <c r="H47" s="61">
        <f t="shared" si="1"/>
        <v>1</v>
      </c>
      <c r="I47" t="str">
        <f>IF(FT!B47&lt;&gt;"",FT!E47,"")</f>
        <v>1 [18.285080]</v>
      </c>
      <c r="J47">
        <f>IF(FT!B47&lt;&gt;"",FT!C47,"")</f>
        <v>18.2851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3.1657899999999999</v>
      </c>
      <c r="G48" s="61">
        <f>IF(FT!B48&lt;&gt;"",FT!B48*100,"")</f>
        <v>14.427000000000001</v>
      </c>
      <c r="H48" s="61">
        <f t="shared" si="1"/>
        <v>1</v>
      </c>
      <c r="I48" t="str">
        <f>IF(FT!B48&lt;&gt;"",FT!E48,"")</f>
        <v>1 [18.690810]</v>
      </c>
      <c r="J48">
        <f>IF(FT!B48&lt;&gt;"",FT!C48,"")</f>
        <v>18.690799999999999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134836</v>
      </c>
      <c r="D49" s="61">
        <f>FH!B49*1</f>
        <v>134836</v>
      </c>
      <c r="E49">
        <f t="shared" si="3"/>
        <v>47</v>
      </c>
      <c r="F49" s="61">
        <f>IF(FT!A49&lt;&gt;"",FT!A49*10,"")</f>
        <v>3.1720999999999999</v>
      </c>
      <c r="G49" s="61">
        <f>IF(FT!B49&lt;&gt;"",FT!B49*100,"")</f>
        <v>14.736099999999999</v>
      </c>
      <c r="H49" s="61">
        <f t="shared" si="1"/>
        <v>1</v>
      </c>
      <c r="I49" t="str">
        <f>IF(FT!B49&lt;&gt;"",FT!E49,"")</f>
        <v>1 [19.097062]</v>
      </c>
      <c r="J49">
        <f>IF(FT!B49&lt;&gt;"",FT!C49,"")</f>
        <v>19.097100000000001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3.1763000000000003</v>
      </c>
      <c r="G50" s="61">
        <f>IF(FT!B50&lt;&gt;"",FT!B50*100,"")</f>
        <v>15.0939</v>
      </c>
      <c r="H50" s="61">
        <f t="shared" si="1"/>
        <v>1</v>
      </c>
      <c r="I50" t="str">
        <f>IF(FT!B50&lt;&gt;"",FT!E50,"")</f>
        <v>1 [19.501032]</v>
      </c>
      <c r="J50">
        <f>IF(FT!B50&lt;&gt;"",FT!C50,"")</f>
        <v>19.501000000000001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144289</v>
      </c>
      <c r="D51" s="61">
        <f>FH!B51*1</f>
        <v>144289</v>
      </c>
      <c r="E51">
        <f t="shared" si="3"/>
        <v>49</v>
      </c>
      <c r="F51" s="61">
        <f>IF(FT!A51&lt;&gt;"",FT!A51*10,"")</f>
        <v>3.1779700000000002</v>
      </c>
      <c r="G51" s="61">
        <f>IF(FT!B51&lt;&gt;"",FT!B51*100,"")</f>
        <v>15.478200000000001</v>
      </c>
      <c r="H51" s="61">
        <f t="shared" si="1"/>
        <v>1</v>
      </c>
      <c r="I51" t="str">
        <f>IF(FT!B51&lt;&gt;"",FT!E51,"")</f>
        <v>1 [19.910674]</v>
      </c>
      <c r="J51">
        <f>IF(FT!B51&lt;&gt;"",FT!C51,"")</f>
        <v>19.910699999999999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3.1783299999999999</v>
      </c>
      <c r="G52" s="61">
        <f>IF(FT!B52&lt;&gt;"",FT!B52*100,"")</f>
        <v>15.8306</v>
      </c>
      <c r="H52" s="61">
        <f t="shared" si="1"/>
        <v>1</v>
      </c>
      <c r="I52" t="str">
        <f>IF(FT!B52&lt;&gt;"",FT!E52,"")</f>
        <v>1 [20.317425]</v>
      </c>
      <c r="J52">
        <f>IF(FT!B52&lt;&gt;"",FT!C52,"")</f>
        <v>20.317399999999999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3.1730700000000001</v>
      </c>
      <c r="G53" s="61">
        <f>IF(FT!B53&lt;&gt;"",FT!B53*100,"")</f>
        <v>16.4663</v>
      </c>
      <c r="H53" s="61">
        <f t="shared" si="1"/>
        <v>1</v>
      </c>
      <c r="I53" t="str">
        <f>IF(FT!B53&lt;&gt;"",FT!E53,"")</f>
        <v>1 [20.722762]</v>
      </c>
      <c r="J53">
        <f>IF(FT!B53&lt;&gt;"",FT!C53,"")</f>
        <v>20.722799999999999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162078</v>
      </c>
      <c r="D54" s="61">
        <f>FH!B54*1</f>
        <v>162078</v>
      </c>
      <c r="E54">
        <f t="shared" si="3"/>
        <v>52</v>
      </c>
      <c r="F54" s="61">
        <f>IF(FT!A54&lt;&gt;"",FT!A54*10,"")</f>
        <v>3.16527</v>
      </c>
      <c r="G54" s="61">
        <f>IF(FT!B54&lt;&gt;"",FT!B54*100,"")</f>
        <v>17.123799999999999</v>
      </c>
      <c r="H54" s="61">
        <f t="shared" si="1"/>
        <v>1</v>
      </c>
      <c r="I54" t="str">
        <f>IF(FT!B54&lt;&gt;"",FT!E54,"")</f>
        <v>1 [21.129914]</v>
      </c>
      <c r="J54">
        <f>IF(FT!B54&lt;&gt;"",FT!C54,"")</f>
        <v>21.129899999999999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3.1580399999999997</v>
      </c>
      <c r="G55" s="61">
        <f>IF(FT!B55&lt;&gt;"",FT!B55*100,"")</f>
        <v>17.823499999999999</v>
      </c>
      <c r="H55" s="61">
        <f t="shared" si="1"/>
        <v>1</v>
      </c>
      <c r="I55" t="str">
        <f>IF(FT!B55&lt;&gt;"",FT!E55,"")</f>
        <v>1 [21.532096]</v>
      </c>
      <c r="J55">
        <f>IF(FT!B55&lt;&gt;"",FT!C55,"")</f>
        <v>21.5321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3.1527899999999995</v>
      </c>
      <c r="G56" s="61">
        <f>IF(FT!B56&lt;&gt;"",FT!B56*100,"")</f>
        <v>18.493499999999997</v>
      </c>
      <c r="H56" s="61">
        <f t="shared" si="1"/>
        <v>1</v>
      </c>
      <c r="I56" t="str">
        <f>IF(FT!B56&lt;&gt;"",FT!E56,"")</f>
        <v>1 [21.939790]</v>
      </c>
      <c r="J56">
        <f>IF(FT!B56&lt;&gt;"",FT!C56,"")</f>
        <v>21.939800000000002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174593</v>
      </c>
      <c r="D57" s="61">
        <f>FH!B57*1</f>
        <v>174593</v>
      </c>
      <c r="E57">
        <f t="shared" si="3"/>
        <v>55</v>
      </c>
      <c r="F57" s="61">
        <f>IF(FT!A57&lt;&gt;"",FT!A57*10,"")</f>
        <v>3.1510400000000001</v>
      </c>
      <c r="G57" s="61">
        <f>IF(FT!B57&lt;&gt;"",FT!B57*100,"")</f>
        <v>19.170000000000002</v>
      </c>
      <c r="H57" s="61">
        <f t="shared" si="1"/>
        <v>1</v>
      </c>
      <c r="I57" t="str">
        <f>IF(FT!B57&lt;&gt;"",FT!E57,"")</f>
        <v>1 [22.346189]</v>
      </c>
      <c r="J57">
        <f>IF(FT!B57&lt;&gt;"",FT!C57,"")</f>
        <v>22.3462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3.1533299999999995</v>
      </c>
      <c r="G58" s="61">
        <f>IF(FT!B58&lt;&gt;"",FT!B58*100,"")</f>
        <v>19.714100000000002</v>
      </c>
      <c r="H58" s="61">
        <f t="shared" si="1"/>
        <v>1</v>
      </c>
      <c r="I58" t="str">
        <f>IF(FT!B58&lt;&gt;"",FT!E58,"")</f>
        <v>1 [22.753579]</v>
      </c>
      <c r="J58">
        <f>IF(FT!B58&lt;&gt;"",FT!C58,"")</f>
        <v>22.753599999999999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168730</v>
      </c>
      <c r="D59" s="61">
        <f>FH!B59*1</f>
        <v>168730</v>
      </c>
      <c r="E59">
        <f t="shared" si="3"/>
        <v>57</v>
      </c>
      <c r="F59" s="61">
        <f>IF(FT!A59&lt;&gt;"",FT!A59*10,"")</f>
        <v>3.1587800000000001</v>
      </c>
      <c r="G59" s="61">
        <f>IF(FT!B59&lt;&gt;"",FT!B59*100,"")</f>
        <v>20.282299999999999</v>
      </c>
      <c r="H59" s="61">
        <f t="shared" si="1"/>
        <v>1</v>
      </c>
      <c r="I59" t="str">
        <f>IF(FT!B59&lt;&gt;"",FT!E59,"")</f>
        <v>1 [23.157670]</v>
      </c>
      <c r="J59">
        <f>IF(FT!B59&lt;&gt;"",FT!C59,"")</f>
        <v>23.157699999999998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3.1630599999999998</v>
      </c>
      <c r="G60" s="61">
        <f>IF(FT!B60&lt;&gt;"",FT!B60*100,"")</f>
        <v>20.797599999999999</v>
      </c>
      <c r="H60" s="61">
        <f t="shared" si="1"/>
        <v>1</v>
      </c>
      <c r="I60" t="str">
        <f>IF(FT!B60&lt;&gt;"",FT!E60,"")</f>
        <v>1 [23.563928]</v>
      </c>
      <c r="J60">
        <f>IF(FT!B60&lt;&gt;"",FT!C60,"")</f>
        <v>23.5639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3.1635999999999997</v>
      </c>
      <c r="G61" s="61">
        <f>IF(FT!B61&lt;&gt;"",FT!B61*100,"")</f>
        <v>21.2803</v>
      </c>
      <c r="H61" s="61">
        <f t="shared" si="1"/>
        <v>1</v>
      </c>
      <c r="I61" t="str">
        <f>IF(FT!B61&lt;&gt;"",FT!E61,"")</f>
        <v>1 [23.970508]</v>
      </c>
      <c r="J61">
        <f>IF(FT!B61&lt;&gt;"",FT!C61,"")</f>
        <v>23.970500000000001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178242</v>
      </c>
      <c r="D62" s="61">
        <f>FH!B62*1</f>
        <v>178242</v>
      </c>
      <c r="E62">
        <f t="shared" si="3"/>
        <v>60</v>
      </c>
      <c r="F62" s="61">
        <f>IF(FT!A62&lt;&gt;"",FT!A62*10,"")</f>
        <v>3.1630399999999996</v>
      </c>
      <c r="G62" s="61">
        <f>IF(FT!B62&lt;&gt;"",FT!B62*100,"")</f>
        <v>21.668900000000001</v>
      </c>
      <c r="H62" s="61">
        <f t="shared" si="1"/>
        <v>1</v>
      </c>
      <c r="I62" t="str">
        <f>IF(FT!B62&lt;&gt;"",FT!E62,"")</f>
        <v>1 [24.375604]</v>
      </c>
      <c r="J62">
        <f>IF(FT!B62&lt;&gt;"",FT!C62,"")</f>
        <v>24.375599999999999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3.1650099999999997</v>
      </c>
      <c r="G63" s="61">
        <f>IF(FT!B63&lt;&gt;"",FT!B63*100,"")</f>
        <v>22.121700000000001</v>
      </c>
      <c r="H63" s="61">
        <f t="shared" si="1"/>
        <v>1</v>
      </c>
      <c r="I63" t="str">
        <f>IF(FT!B63&lt;&gt;"",FT!E63,"")</f>
        <v>1 [24.785959]</v>
      </c>
      <c r="J63">
        <f>IF(FT!B63&lt;&gt;"",FT!C63,"")</f>
        <v>24.786000000000001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194275</v>
      </c>
      <c r="D64" s="61">
        <f>FH!B64*1</f>
        <v>194275</v>
      </c>
      <c r="E64">
        <f t="shared" si="3"/>
        <v>62</v>
      </c>
      <c r="F64" s="61">
        <f>IF(FT!A64&lt;&gt;"",FT!A64*10,"")</f>
        <v>3.1656400000000002</v>
      </c>
      <c r="G64" s="61">
        <f>IF(FT!B64&lt;&gt;"",FT!B64*100,"")</f>
        <v>22.378799999999998</v>
      </c>
      <c r="H64" s="61">
        <f t="shared" si="1"/>
        <v>1</v>
      </c>
      <c r="I64" t="str">
        <f>IF(FT!B64&lt;&gt;"",FT!E64,"")</f>
        <v>1 [25.190225]</v>
      </c>
      <c r="J64">
        <f>IF(FT!B64&lt;&gt;"",FT!C64,"")</f>
        <v>25.190200000000001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3.1753399999999998</v>
      </c>
      <c r="G65" s="61">
        <f>IF(FT!B65&lt;&gt;"",FT!B65*100,"")</f>
        <v>22.613199999999999</v>
      </c>
      <c r="H65" s="61">
        <f t="shared" si="1"/>
        <v>1</v>
      </c>
      <c r="I65" t="str">
        <f>IF(FT!B65&lt;&gt;"",FT!E65,"")</f>
        <v>1 [25.596928]</v>
      </c>
      <c r="J65">
        <f>IF(FT!B65&lt;&gt;"",FT!C65,"")</f>
        <v>25.596900000000002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3.1791100000000001</v>
      </c>
      <c r="G66" s="61">
        <f>IF(FT!B66&lt;&gt;"",FT!B66*100,"")</f>
        <v>22.822500000000002</v>
      </c>
      <c r="H66" s="61">
        <f t="shared" si="1"/>
        <v>1</v>
      </c>
      <c r="I66" t="str">
        <f>IF(FT!B66&lt;&gt;"",FT!E66,"")</f>
        <v>1 [26.000732]</v>
      </c>
      <c r="J66">
        <f>IF(FT!B66&lt;&gt;"",FT!C66,"")</f>
        <v>26.000699999999998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200872</v>
      </c>
      <c r="D67" s="61">
        <f>FH!B67*1</f>
        <v>200872</v>
      </c>
      <c r="E67">
        <f t="shared" si="3"/>
        <v>65</v>
      </c>
      <c r="F67" s="61">
        <f>IF(FT!A67&lt;&gt;"",FT!A67*10,"")</f>
        <v>3.1844099999999997</v>
      </c>
      <c r="G67" s="61">
        <f>IF(FT!B67&lt;&gt;"",FT!B67*100,"")</f>
        <v>23.040700000000001</v>
      </c>
      <c r="H67" s="61">
        <f t="shared" ref="H67:H130" si="9">(IF(F67&lt;&gt;"",1,""))</f>
        <v>1</v>
      </c>
      <c r="I67" t="str">
        <f>IF(FT!B67&lt;&gt;"",FT!E67,"")</f>
        <v>1 [26.406824]</v>
      </c>
      <c r="J67">
        <f>IF(FT!B67&lt;&gt;"",FT!C67,"")</f>
        <v>26.4068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3.1867299999999998</v>
      </c>
      <c r="G68" s="61">
        <f>IF(FT!B68&lt;&gt;"",FT!B68*100,"")</f>
        <v>23.189499999999999</v>
      </c>
      <c r="H68" s="61">
        <f t="shared" si="9"/>
        <v>1</v>
      </c>
      <c r="I68" t="str">
        <f>IF(FT!B68&lt;&gt;"",FT!E68,"")</f>
        <v>1 [26.812775]</v>
      </c>
      <c r="J68">
        <f>IF(FT!B68&lt;&gt;"",FT!C68,"")</f>
        <v>26.812799999999999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179987</v>
      </c>
      <c r="D69" s="61">
        <f>FH!B69*1</f>
        <v>179987</v>
      </c>
      <c r="E69">
        <f t="shared" si="11"/>
        <v>67</v>
      </c>
      <c r="F69" s="61">
        <f>IF(FT!A69&lt;&gt;"",FT!A69*10,"")</f>
        <v>3.1925500000000002</v>
      </c>
      <c r="G69" s="61">
        <f>IF(FT!B69&lt;&gt;"",FT!B69*100,"")</f>
        <v>23.403399999999998</v>
      </c>
      <c r="H69" s="61">
        <f t="shared" si="9"/>
        <v>1</v>
      </c>
      <c r="I69" t="str">
        <f>IF(FT!B69&lt;&gt;"",FT!E69,"")</f>
        <v>1 [27.219678]</v>
      </c>
      <c r="J69">
        <f>IF(FT!B69&lt;&gt;"",FT!C69,"")</f>
        <v>27.2197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3.2023700000000002</v>
      </c>
      <c r="G70" s="61">
        <f>IF(FT!B70&lt;&gt;"",FT!B70*100,"")</f>
        <v>23.5991</v>
      </c>
      <c r="H70" s="61">
        <f t="shared" si="9"/>
        <v>1</v>
      </c>
      <c r="I70" t="str">
        <f>IF(FT!B70&lt;&gt;"",FT!E70,"")</f>
        <v>1 [27.629971]</v>
      </c>
      <c r="J70">
        <f>IF(FT!B70&lt;&gt;"",FT!C70,"")</f>
        <v>27.63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3.2119</v>
      </c>
      <c r="G71" s="61">
        <f>IF(FT!B71&lt;&gt;"",FT!B71*100,"")</f>
        <v>23.716000000000001</v>
      </c>
      <c r="H71" s="61">
        <f t="shared" si="9"/>
        <v>1</v>
      </c>
      <c r="I71" t="str">
        <f>IF(FT!B71&lt;&gt;"",FT!E71,"")</f>
        <v>1 [28.034779]</v>
      </c>
      <c r="J71">
        <f>IF(FT!B71&lt;&gt;"",FT!C71,"")</f>
        <v>28.034800000000001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199670</v>
      </c>
      <c r="D72" s="61">
        <f>FH!B72*1</f>
        <v>199670</v>
      </c>
      <c r="E72">
        <f t="shared" si="11"/>
        <v>70</v>
      </c>
      <c r="F72" s="61">
        <f>IF(FT!A72&lt;&gt;"",FT!A72*10,"")</f>
        <v>3.2229400000000004</v>
      </c>
      <c r="G72" s="61">
        <f>IF(FT!B72&lt;&gt;"",FT!B72*100,"")</f>
        <v>23.869299999999999</v>
      </c>
      <c r="H72" s="61">
        <f t="shared" si="9"/>
        <v>1</v>
      </c>
      <c r="I72" t="str">
        <f>IF(FT!B72&lt;&gt;"",FT!E72,"")</f>
        <v>1 [28.440510]</v>
      </c>
      <c r="J72">
        <f>IF(FT!B72&lt;&gt;"",FT!C72,"")</f>
        <v>28.4405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3.2422299999999997</v>
      </c>
      <c r="G73" s="61">
        <f>IF(FT!B73&lt;&gt;"",FT!B73*100,"")</f>
        <v>24.019099999999998</v>
      </c>
      <c r="H73" s="61">
        <f t="shared" si="9"/>
        <v>1</v>
      </c>
      <c r="I73" t="str">
        <f>IF(FT!B73&lt;&gt;"",FT!E73,"")</f>
        <v>1 [28.845039]</v>
      </c>
      <c r="J73">
        <f>IF(FT!B73&lt;&gt;"",FT!C73,"")</f>
        <v>28.844999999999999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3.2552300000000001</v>
      </c>
      <c r="G74" s="61">
        <f>IF(FT!B74&lt;&gt;"",FT!B74*100,"")</f>
        <v>24.188000000000002</v>
      </c>
      <c r="H74" s="61">
        <f t="shared" si="9"/>
        <v>1</v>
      </c>
      <c r="I74" t="str">
        <f>IF(FT!B74&lt;&gt;"",FT!E74,"")</f>
        <v>1 [29.249798]</v>
      </c>
      <c r="J74">
        <f>IF(FT!B74&lt;&gt;"",FT!C74,"")</f>
        <v>29.2498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189493</v>
      </c>
      <c r="D75" s="61">
        <f>FH!B75*1</f>
        <v>189493</v>
      </c>
      <c r="E75">
        <f t="shared" si="11"/>
        <v>73</v>
      </c>
      <c r="F75" s="61">
        <f>IF(FT!A75&lt;&gt;"",FT!A75*10,"")</f>
        <v>3.27901</v>
      </c>
      <c r="G75" s="61">
        <f>IF(FT!B75&lt;&gt;"",FT!B75*100,"")</f>
        <v>24.496499999999997</v>
      </c>
      <c r="H75" s="61">
        <f t="shared" si="9"/>
        <v>1</v>
      </c>
      <c r="I75" t="str">
        <f>IF(FT!B75&lt;&gt;"",FT!E75,"")</f>
        <v>1 [29.661603]</v>
      </c>
      <c r="J75">
        <f>IF(FT!B75&lt;&gt;"",FT!C75,"")</f>
        <v>29.6616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3.2973400000000002</v>
      </c>
      <c r="G76" s="61">
        <f>IF(FT!B76&lt;&gt;"",FT!B76*100,"")</f>
        <v>24.705400000000001</v>
      </c>
      <c r="H76" s="61">
        <f t="shared" si="9"/>
        <v>1</v>
      </c>
      <c r="I76" t="str">
        <f>IF(FT!B76&lt;&gt;"",FT!E76,"")</f>
        <v>2 [30.067634]</v>
      </c>
      <c r="J76">
        <f>IF(FT!B76&lt;&gt;"",FT!C76,"")</f>
        <v>30.067599999999999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193553</v>
      </c>
      <c r="D77" s="61">
        <f>FH!B77*1</f>
        <v>193553</v>
      </c>
      <c r="E77">
        <f t="shared" si="11"/>
        <v>75</v>
      </c>
      <c r="F77" s="61">
        <f>IF(FT!A77&lt;&gt;"",FT!A77*10,"")</f>
        <v>3.3202400000000001</v>
      </c>
      <c r="G77" s="61">
        <f>IF(FT!B77&lt;&gt;"",FT!B77*100,"")</f>
        <v>24.789899999999999</v>
      </c>
      <c r="H77" s="61">
        <f t="shared" si="9"/>
        <v>1</v>
      </c>
      <c r="I77" t="str">
        <f>IF(FT!B77&lt;&gt;"",FT!E77,"")</f>
        <v>2 [30.553284]</v>
      </c>
      <c r="J77">
        <f>IF(FT!B77&lt;&gt;"",FT!C77,"")</f>
        <v>30.5533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3.3426899999999997</v>
      </c>
      <c r="G78" s="61">
        <f>IF(FT!B78&lt;&gt;"",FT!B78*100,"")</f>
        <v>24.932299999999998</v>
      </c>
      <c r="H78" s="61">
        <f t="shared" si="9"/>
        <v>1</v>
      </c>
      <c r="I78" t="str">
        <f>IF(FT!B78&lt;&gt;"",FT!E78,"")</f>
        <v>2 [30.940134]</v>
      </c>
      <c r="J78">
        <f>IF(FT!B78&lt;&gt;"",FT!C78,"")</f>
        <v>30.940100000000001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3.3637800000000002</v>
      </c>
      <c r="G79" s="61">
        <f>IF(FT!B79&lt;&gt;"",FT!B79*100,"")</f>
        <v>25.1936</v>
      </c>
      <c r="H79" s="61">
        <f t="shared" si="9"/>
        <v>1</v>
      </c>
      <c r="I79" t="str">
        <f>IF(FT!B79&lt;&gt;"",FT!E79,"")</f>
        <v>2 [31.336485]</v>
      </c>
      <c r="J79">
        <f>IF(FT!B79&lt;&gt;"",FT!C79,"")</f>
        <v>31.336500000000001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201823</v>
      </c>
      <c r="D80" s="61">
        <f>FH!B80*1</f>
        <v>201823</v>
      </c>
      <c r="E80">
        <f t="shared" si="11"/>
        <v>78</v>
      </c>
      <c r="F80" s="61">
        <f>IF(FT!A80&lt;&gt;"",FT!A80*10,"")</f>
        <v>3.3869600000000002</v>
      </c>
      <c r="G80" s="61">
        <f>IF(FT!B80&lt;&gt;"",FT!B80*100,"")</f>
        <v>25.437700000000003</v>
      </c>
      <c r="H80" s="61">
        <f t="shared" si="9"/>
        <v>1</v>
      </c>
      <c r="I80" t="str">
        <f>IF(FT!B80&lt;&gt;"",FT!E80,"")</f>
        <v>2 [31.736940]</v>
      </c>
      <c r="J80">
        <f>IF(FT!B80&lt;&gt;"",FT!C80,"")</f>
        <v>31.736899999999999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3.4114499999999999</v>
      </c>
      <c r="G81" s="61">
        <f>IF(FT!B81&lt;&gt;"",FT!B81*100,"")</f>
        <v>25.607999999999997</v>
      </c>
      <c r="H81" s="61">
        <f t="shared" si="9"/>
        <v>1</v>
      </c>
      <c r="I81" t="str">
        <f>IF(FT!B81&lt;&gt;"",FT!E81,"")</f>
        <v>2 [32.142943]</v>
      </c>
      <c r="J81">
        <f>IF(FT!B81&lt;&gt;"",FT!C81,"")</f>
        <v>32.142899999999997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204552</v>
      </c>
      <c r="D82" s="61">
        <f>FH!B82*1</f>
        <v>204552</v>
      </c>
      <c r="E82">
        <f t="shared" si="11"/>
        <v>80</v>
      </c>
      <c r="F82" s="61">
        <f>IF(FT!A82&lt;&gt;"",FT!A82*10,"")</f>
        <v>3.4361100000000002</v>
      </c>
      <c r="G82" s="61">
        <f>IF(FT!B82&lt;&gt;"",FT!B82*100,"")</f>
        <v>25.793199999999999</v>
      </c>
      <c r="H82" s="61">
        <f t="shared" si="9"/>
        <v>1</v>
      </c>
      <c r="I82" t="str">
        <f>IF(FT!B82&lt;&gt;"",FT!E82,"")</f>
        <v>2 [32.546863]</v>
      </c>
      <c r="J82">
        <f>IF(FT!B82&lt;&gt;"",FT!C82,"")</f>
        <v>32.546900000000001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3.4604400000000002</v>
      </c>
      <c r="G83" s="61">
        <f>IF(FT!B83&lt;&gt;"",FT!B83*100,"")</f>
        <v>25.9923</v>
      </c>
      <c r="H83" s="61">
        <f t="shared" si="9"/>
        <v>1</v>
      </c>
      <c r="I83" t="str">
        <f>IF(FT!B83&lt;&gt;"",FT!E83,"")</f>
        <v>2 [32.958104]</v>
      </c>
      <c r="J83">
        <f>IF(FT!B83&lt;&gt;"",FT!C83,"")</f>
        <v>32.958100000000002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3.4822100000000002</v>
      </c>
      <c r="G84" s="61">
        <f>IF(FT!B84&lt;&gt;"",FT!B84*100,"")</f>
        <v>26.166099999999997</v>
      </c>
      <c r="H84" s="61">
        <f t="shared" si="9"/>
        <v>1</v>
      </c>
      <c r="I84" t="str">
        <f>IF(FT!B84&lt;&gt;"",FT!E84,"")</f>
        <v>2 [33.364318]</v>
      </c>
      <c r="J84">
        <f>IF(FT!B84&lt;&gt;"",FT!C84,"")</f>
        <v>33.3643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197454</v>
      </c>
      <c r="D85" s="61">
        <f>FH!B85*1</f>
        <v>197454</v>
      </c>
      <c r="E85">
        <f t="shared" si="11"/>
        <v>83</v>
      </c>
      <c r="F85" s="61">
        <f>IF(FT!A85&lt;&gt;"",FT!A85*10,"")</f>
        <v>3.5044900000000001</v>
      </c>
      <c r="G85" s="61">
        <f>IF(FT!B85&lt;&gt;"",FT!B85*100,"")</f>
        <v>26.308500000000002</v>
      </c>
      <c r="H85" s="61">
        <f t="shared" si="9"/>
        <v>1</v>
      </c>
      <c r="I85" t="str">
        <f>IF(FT!B85&lt;&gt;"",FT!E85,"")</f>
        <v>2 [33.770667]</v>
      </c>
      <c r="J85">
        <f>IF(FT!B85&lt;&gt;"",FT!C85,"")</f>
        <v>33.770699999999998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3.5272600000000001</v>
      </c>
      <c r="G86" s="61">
        <f>IF(FT!B86&lt;&gt;"",FT!B86*100,"")</f>
        <v>26.442900000000002</v>
      </c>
      <c r="H86" s="61">
        <f t="shared" si="9"/>
        <v>1</v>
      </c>
      <c r="I86" t="str">
        <f>IF(FT!B86&lt;&gt;"",FT!E86,"")</f>
        <v>2 [34.173178]</v>
      </c>
      <c r="J86">
        <f>IF(FT!B86&lt;&gt;"",FT!C86,"")</f>
        <v>34.173200000000001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3.5513299999999997</v>
      </c>
      <c r="G87" s="61">
        <f>IF(FT!B87&lt;&gt;"",FT!B87*100,"")</f>
        <v>26.5656</v>
      </c>
      <c r="H87" s="61">
        <f t="shared" si="9"/>
        <v>1</v>
      </c>
      <c r="I87" t="str">
        <f>IF(FT!B87&lt;&gt;"",FT!E87,"")</f>
        <v>2 [34.585324]</v>
      </c>
      <c r="J87">
        <f>IF(FT!B87&lt;&gt;"",FT!C87,"")</f>
        <v>34.585299999999997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183448</v>
      </c>
      <c r="D88" s="61">
        <f>FH!B88*1</f>
        <v>183448</v>
      </c>
      <c r="E88">
        <f t="shared" si="11"/>
        <v>86</v>
      </c>
      <c r="F88" s="61">
        <f>IF(FT!A88&lt;&gt;"",FT!A88*10,"")</f>
        <v>3.5810300000000002</v>
      </c>
      <c r="G88" s="61">
        <f>IF(FT!B88&lt;&gt;"",FT!B88*100,"")</f>
        <v>26.629000000000001</v>
      </c>
      <c r="H88" s="61">
        <f t="shared" si="9"/>
        <v>1</v>
      </c>
      <c r="I88" t="str">
        <f>IF(FT!B88&lt;&gt;"",FT!E88,"")</f>
        <v>2 [34.988097]</v>
      </c>
      <c r="J88">
        <f>IF(FT!B88&lt;&gt;"",FT!C88,"")</f>
        <v>34.988100000000003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3.6126399999999999</v>
      </c>
      <c r="G89" s="61">
        <f>IF(FT!B89&lt;&gt;"",FT!B89*100,"")</f>
        <v>26.601000000000003</v>
      </c>
      <c r="H89" s="61">
        <f t="shared" si="9"/>
        <v>1</v>
      </c>
      <c r="I89" t="str">
        <f>IF(FT!B89&lt;&gt;"",FT!E89,"")</f>
        <v>2 [35.392922]</v>
      </c>
      <c r="J89">
        <f>IF(FT!B89&lt;&gt;"",FT!C89,"")</f>
        <v>35.392899999999997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169226</v>
      </c>
      <c r="D90" s="61">
        <f>FH!B90*1</f>
        <v>169226</v>
      </c>
      <c r="E90">
        <f t="shared" si="11"/>
        <v>88</v>
      </c>
      <c r="F90" s="61">
        <f>IF(FT!A90&lt;&gt;"",FT!A90*10,"")</f>
        <v>3.6410199999999997</v>
      </c>
      <c r="G90" s="61">
        <f>IF(FT!B90&lt;&gt;"",FT!B90*100,"")</f>
        <v>26.685100000000002</v>
      </c>
      <c r="H90" s="61">
        <f t="shared" si="9"/>
        <v>1</v>
      </c>
      <c r="I90" t="str">
        <f>IF(FT!B90&lt;&gt;"",FT!E90,"")</f>
        <v>2 [35.798772]</v>
      </c>
      <c r="J90">
        <f>IF(FT!B90&lt;&gt;"",FT!C90,"")</f>
        <v>35.7988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3.6668699999999999</v>
      </c>
      <c r="G91" s="61">
        <f>IF(FT!B91&lt;&gt;"",FT!B91*100,"")</f>
        <v>26.915400000000002</v>
      </c>
      <c r="H91" s="61">
        <f t="shared" si="9"/>
        <v>1</v>
      </c>
      <c r="I91" t="str">
        <f>IF(FT!B91&lt;&gt;"",FT!E91,"")</f>
        <v>2 [36.207166]</v>
      </c>
      <c r="J91">
        <f>IF(FT!B91&lt;&gt;"",FT!C91,"")</f>
        <v>36.2072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3.6867800000000002</v>
      </c>
      <c r="G92" s="61">
        <f>IF(FT!B92&lt;&gt;"",FT!B92*100,"")</f>
        <v>27.1797</v>
      </c>
      <c r="H92" s="61">
        <f t="shared" si="9"/>
        <v>1</v>
      </c>
      <c r="I92" t="str">
        <f>IF(FT!B92&lt;&gt;"",FT!E92,"")</f>
        <v>2 [36.614146]</v>
      </c>
      <c r="J92">
        <f>IF(FT!B92&lt;&gt;"",FT!C92,"")</f>
        <v>36.614100000000001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161094</v>
      </c>
      <c r="D93" s="61">
        <f>FH!B93*1</f>
        <v>161094</v>
      </c>
      <c r="E93">
        <f t="shared" si="11"/>
        <v>91</v>
      </c>
      <c r="F93" s="61">
        <f>IF(FT!A93&lt;&gt;"",FT!A93*10,"")</f>
        <v>3.7059100000000003</v>
      </c>
      <c r="G93" s="61">
        <f>IF(FT!B93&lt;&gt;"",FT!B93*100,"")</f>
        <v>27.422499999999999</v>
      </c>
      <c r="H93" s="61">
        <f t="shared" si="9"/>
        <v>1</v>
      </c>
      <c r="I93" t="str">
        <f>IF(FT!B93&lt;&gt;"",FT!E93,"")</f>
        <v>2 [37.019998]</v>
      </c>
      <c r="J93">
        <f>IF(FT!B93&lt;&gt;"",FT!C93,"")</f>
        <v>37.020000000000003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3.7213800000000004</v>
      </c>
      <c r="G94" s="61">
        <f>IF(FT!B94&lt;&gt;"",FT!B94*100,"")</f>
        <v>27.669799999999999</v>
      </c>
      <c r="H94" s="61">
        <f t="shared" si="9"/>
        <v>1</v>
      </c>
      <c r="I94" t="str">
        <f>IF(FT!B94&lt;&gt;"",FT!E94,"")</f>
        <v>2 [37.425228]</v>
      </c>
      <c r="J94">
        <f>IF(FT!B94&lt;&gt;"",FT!C94,"")</f>
        <v>37.425199999999997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159643</v>
      </c>
      <c r="D95" s="61">
        <f>FH!B95*1</f>
        <v>159643</v>
      </c>
      <c r="E95">
        <f t="shared" si="11"/>
        <v>93</v>
      </c>
      <c r="F95" s="61">
        <f>IF(FT!A95&lt;&gt;"",FT!A95*10,"")</f>
        <v>3.7334299999999998</v>
      </c>
      <c r="G95" s="61">
        <f>IF(FT!B95&lt;&gt;"",FT!B95*100,"")</f>
        <v>27.9405</v>
      </c>
      <c r="H95" s="61">
        <f t="shared" si="9"/>
        <v>1</v>
      </c>
      <c r="I95" t="str">
        <f>IF(FT!B95&lt;&gt;"",FT!E95,"")</f>
        <v>2 [37.831890]</v>
      </c>
      <c r="J95">
        <f>IF(FT!B95&lt;&gt;"",FT!C95,"")</f>
        <v>37.831899999999997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3.7404100000000002</v>
      </c>
      <c r="G96" s="61">
        <f>IF(FT!B96&lt;&gt;"",FT!B96*100,"")</f>
        <v>28.171499999999998</v>
      </c>
      <c r="H96" s="61">
        <f t="shared" si="9"/>
        <v>1</v>
      </c>
      <c r="I96" t="str">
        <f>IF(FT!B96&lt;&gt;"",FT!E96,"")</f>
        <v>2 [38.235520]</v>
      </c>
      <c r="J96">
        <f>IF(FT!B96&lt;&gt;"",FT!C96,"")</f>
        <v>38.235500000000002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3.7461000000000002</v>
      </c>
      <c r="G97" s="61">
        <f>IF(FT!B97&lt;&gt;"",FT!B97*100,"")</f>
        <v>28.307399999999998</v>
      </c>
      <c r="H97" s="61">
        <f t="shared" si="9"/>
        <v>1</v>
      </c>
      <c r="I97" t="str">
        <f>IF(FT!B97&lt;&gt;"",FT!E97,"")</f>
        <v>2 [38.642457]</v>
      </c>
      <c r="J97">
        <f>IF(FT!B97&lt;&gt;"",FT!C97,"")</f>
        <v>38.642499999999998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153512</v>
      </c>
      <c r="D98" s="61">
        <f>FH!B98*1</f>
        <v>153512</v>
      </c>
      <c r="E98">
        <f t="shared" si="11"/>
        <v>96</v>
      </c>
      <c r="F98" s="61">
        <f>IF(FT!A98&lt;&gt;"",FT!A98*10,"")</f>
        <v>3.7458100000000001</v>
      </c>
      <c r="G98" s="61">
        <f>IF(FT!B98&lt;&gt;"",FT!B98*100,"")</f>
        <v>28.396900000000002</v>
      </c>
      <c r="H98" s="61">
        <f t="shared" si="9"/>
        <v>1</v>
      </c>
      <c r="I98" t="str">
        <f>IF(FT!B98&lt;&gt;"",FT!E98,"")</f>
        <v>2 [39.049474]</v>
      </c>
      <c r="J98">
        <f>IF(FT!B98&lt;&gt;"",FT!C98,"")</f>
        <v>39.049500000000002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3.7449300000000001</v>
      </c>
      <c r="G99" s="61">
        <f>IF(FT!B99&lt;&gt;"",FT!B99*100,"")</f>
        <v>28.446999999999999</v>
      </c>
      <c r="H99" s="61">
        <f t="shared" si="9"/>
        <v>1</v>
      </c>
      <c r="I99" t="str">
        <f>IF(FT!B99&lt;&gt;"",FT!E99,"")</f>
        <v>2 [39.457754]</v>
      </c>
      <c r="J99">
        <f>IF(FT!B99&lt;&gt;"",FT!C99,"")</f>
        <v>39.457799999999999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141019</v>
      </c>
      <c r="D100" s="61">
        <f>FH!B100*1</f>
        <v>141019</v>
      </c>
      <c r="E100">
        <f t="shared" si="11"/>
        <v>98</v>
      </c>
      <c r="F100" s="61">
        <f>IF(FT!A100&lt;&gt;"",FT!A100*10,"")</f>
        <v>3.74098</v>
      </c>
      <c r="G100" s="61">
        <f>IF(FT!B100&lt;&gt;"",FT!B100*100,"")</f>
        <v>28.537299999999998</v>
      </c>
      <c r="H100" s="61">
        <f t="shared" si="9"/>
        <v>1</v>
      </c>
      <c r="I100" t="str">
        <f>IF(FT!B100&lt;&gt;"",FT!E100,"")</f>
        <v>2 [39.868454]</v>
      </c>
      <c r="J100">
        <f>IF(FT!B100&lt;&gt;"",FT!C100,"")</f>
        <v>39.868499999999997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3.7359499999999999</v>
      </c>
      <c r="G101" s="61">
        <f>IF(FT!B101&lt;&gt;"",FT!B101*100,"")</f>
        <v>28.648099999999999</v>
      </c>
      <c r="H101" s="61">
        <f t="shared" si="9"/>
        <v>1</v>
      </c>
      <c r="I101" t="str">
        <f>IF(FT!B101&lt;&gt;"",FT!E101,"")</f>
        <v>2 [40.267756]</v>
      </c>
      <c r="J101">
        <f>IF(FT!B101&lt;&gt;"",FT!C101,"")</f>
        <v>40.267800000000001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3.7248900000000003</v>
      </c>
      <c r="G102" s="61">
        <f>IF(FT!B102&lt;&gt;"",FT!B102*100,"")</f>
        <v>28.701000000000001</v>
      </c>
      <c r="H102" s="61">
        <f t="shared" si="9"/>
        <v>1</v>
      </c>
      <c r="I102" t="str">
        <f>IF(FT!B102&lt;&gt;"",FT!E102,"")</f>
        <v>2 [40.673634]</v>
      </c>
      <c r="J102">
        <f>IF(FT!B102&lt;&gt;"",FT!C102,"")</f>
        <v>40.6736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125029</v>
      </c>
      <c r="D103" s="61">
        <f>FH!B103*1</f>
        <v>125029</v>
      </c>
      <c r="E103">
        <f t="shared" si="11"/>
        <v>101</v>
      </c>
      <c r="F103" s="61">
        <f>IF(FT!A103&lt;&gt;"",FT!A103*10,"")</f>
        <v>3.7141800000000003</v>
      </c>
      <c r="G103" s="61">
        <f>IF(FT!B103&lt;&gt;"",FT!B103*100,"")</f>
        <v>28.736099999999997</v>
      </c>
      <c r="H103" s="61">
        <f t="shared" si="9"/>
        <v>1</v>
      </c>
      <c r="I103" t="str">
        <f>IF(FT!B103&lt;&gt;"",FT!E103,"")</f>
        <v>2 [41.079851]</v>
      </c>
      <c r="J103">
        <f>IF(FT!B103&lt;&gt;"",FT!C103,"")</f>
        <v>41.079900000000002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3.7008799999999997</v>
      </c>
      <c r="G104" s="61">
        <f>IF(FT!B104&lt;&gt;"",FT!B104*100,"")</f>
        <v>28.684799999999999</v>
      </c>
      <c r="H104" s="61">
        <f t="shared" si="9"/>
        <v>1</v>
      </c>
      <c r="I104" t="str">
        <f>IF(FT!B104&lt;&gt;"",FT!E104,"")</f>
        <v>2 [41.491480]</v>
      </c>
      <c r="J104">
        <f>IF(FT!B104&lt;&gt;"",FT!C104,"")</f>
        <v>41.491500000000002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3.6830099999999999</v>
      </c>
      <c r="G105" s="61">
        <f>IF(FT!B105&lt;&gt;"",FT!B105*100,"")</f>
        <v>28.587699999999998</v>
      </c>
      <c r="H105" s="61">
        <f t="shared" si="9"/>
        <v>1</v>
      </c>
      <c r="I105" t="str">
        <f>IF(FT!B105&lt;&gt;"",FT!E105,"")</f>
        <v>2 [41.896766]</v>
      </c>
      <c r="J105">
        <f>IF(FT!B105&lt;&gt;"",FT!C105,"")</f>
        <v>41.896799999999999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113252</v>
      </c>
      <c r="D106" s="61">
        <f>FH!B106*1</f>
        <v>113252</v>
      </c>
      <c r="E106">
        <f t="shared" si="11"/>
        <v>104</v>
      </c>
      <c r="F106" s="61">
        <f>IF(FT!A106&lt;&gt;"",FT!A106*10,"")</f>
        <v>3.6584299999999996</v>
      </c>
      <c r="G106" s="61">
        <f>IF(FT!B106&lt;&gt;"",FT!B106*100,"")</f>
        <v>28.452499999999997</v>
      </c>
      <c r="H106" s="61">
        <f t="shared" si="9"/>
        <v>1</v>
      </c>
      <c r="I106" t="str">
        <f>IF(FT!B106&lt;&gt;"",FT!E106,"")</f>
        <v>2 [42.298982]</v>
      </c>
      <c r="J106">
        <f>IF(FT!B106&lt;&gt;"",FT!C106,"")</f>
        <v>42.298999999999999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3.6291600000000002</v>
      </c>
      <c r="G107" s="61">
        <f>IF(FT!B107&lt;&gt;"",FT!B107*100,"")</f>
        <v>28.306799999999999</v>
      </c>
      <c r="H107" s="61">
        <f t="shared" si="9"/>
        <v>1</v>
      </c>
      <c r="I107" t="str">
        <f>IF(FT!B107&lt;&gt;"",FT!E107,"")</f>
        <v>2 [42.704963]</v>
      </c>
      <c r="J107">
        <f>IF(FT!B107&lt;&gt;"",FT!C107,"")</f>
        <v>42.704999999999998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115108</v>
      </c>
      <c r="D108" s="61">
        <f>FH!B108*1</f>
        <v>115108</v>
      </c>
      <c r="E108">
        <f t="shared" si="11"/>
        <v>106</v>
      </c>
      <c r="F108" s="61">
        <f>IF(FT!A108&lt;&gt;"",FT!A108*10,"")</f>
        <v>3.5949</v>
      </c>
      <c r="G108" s="61">
        <f>IF(FT!B108&lt;&gt;"",FT!B108*100,"")</f>
        <v>28.072500000000002</v>
      </c>
      <c r="H108" s="61">
        <f t="shared" si="9"/>
        <v>1</v>
      </c>
      <c r="I108" t="str">
        <f>IF(FT!B108&lt;&gt;"",FT!E108,"")</f>
        <v>2 [43.115956]</v>
      </c>
      <c r="J108">
        <f>IF(FT!B108&lt;&gt;"",FT!C108,"")</f>
        <v>43.116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3.5596800000000002</v>
      </c>
      <c r="G109" s="61">
        <f>IF(FT!B109&lt;&gt;"",FT!B109*100,"")</f>
        <v>27.797599999999999</v>
      </c>
      <c r="H109" s="61">
        <f t="shared" si="9"/>
        <v>1</v>
      </c>
      <c r="I109" t="str">
        <f>IF(FT!B109&lt;&gt;"",FT!E109,"")</f>
        <v>2 [43.521704]</v>
      </c>
      <c r="J109">
        <f>IF(FT!B109&lt;&gt;"",FT!C109,"")</f>
        <v>43.521700000000003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3.5224000000000002</v>
      </c>
      <c r="G110" s="61">
        <f>IF(FT!B110&lt;&gt;"",FT!B110*100,"")</f>
        <v>27.557700000000001</v>
      </c>
      <c r="H110" s="61">
        <f t="shared" si="9"/>
        <v>1</v>
      </c>
      <c r="I110" t="str">
        <f>IF(FT!B110&lt;&gt;"",FT!E110,"")</f>
        <v>2 [43.928399]</v>
      </c>
      <c r="J110">
        <f>IF(FT!B110&lt;&gt;"",FT!C110,"")</f>
        <v>43.928400000000003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104459</v>
      </c>
      <c r="D111" s="61">
        <f>FH!B111*1</f>
        <v>104459</v>
      </c>
      <c r="E111">
        <f t="shared" si="11"/>
        <v>109</v>
      </c>
      <c r="F111" s="61">
        <f>IF(FT!A111&lt;&gt;"",FT!A111*10,"")</f>
        <v>3.4853899999999998</v>
      </c>
      <c r="G111" s="61">
        <f>IF(FT!B111&lt;&gt;"",FT!B111*100,"")</f>
        <v>27.380399999999998</v>
      </c>
      <c r="H111" s="61">
        <f t="shared" si="9"/>
        <v>1</v>
      </c>
      <c r="I111" t="str">
        <f>IF(FT!B111&lt;&gt;"",FT!E111,"")</f>
        <v>2 [44.329689]</v>
      </c>
      <c r="J111">
        <f>IF(FT!B111&lt;&gt;"",FT!C111,"")</f>
        <v>44.329700000000003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3.4468900000000002</v>
      </c>
      <c r="G112" s="61">
        <f>IF(FT!B112&lt;&gt;"",FT!B112*100,"")</f>
        <v>27.236799999999999</v>
      </c>
      <c r="H112" s="61">
        <f t="shared" si="9"/>
        <v>1</v>
      </c>
      <c r="I112" t="str">
        <f>IF(FT!B112&lt;&gt;"",FT!E112,"")</f>
        <v>2 [44.736824]</v>
      </c>
      <c r="J112">
        <f>IF(FT!B112&lt;&gt;"",FT!C112,"")</f>
        <v>44.736800000000002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101984</v>
      </c>
      <c r="D113" s="61">
        <f>FH!B113*1</f>
        <v>101984</v>
      </c>
      <c r="E113">
        <f t="shared" si="11"/>
        <v>111</v>
      </c>
      <c r="F113" s="61">
        <f>IF(FT!A113&lt;&gt;"",FT!A113*10,"")</f>
        <v>3.4005600000000005</v>
      </c>
      <c r="G113" s="61">
        <f>IF(FT!B113&lt;&gt;"",FT!B113*100,"")</f>
        <v>27.215600000000002</v>
      </c>
      <c r="H113" s="61">
        <f t="shared" si="9"/>
        <v>1</v>
      </c>
      <c r="I113" t="str">
        <f>IF(FT!B113&lt;&gt;"",FT!E113,"")</f>
        <v>2 [45.141589]</v>
      </c>
      <c r="J113">
        <f>IF(FT!B113&lt;&gt;"",FT!C113,"")</f>
        <v>45.141599999999997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3.3444500000000001</v>
      </c>
      <c r="G114" s="61">
        <f>IF(FT!B114&lt;&gt;"",FT!B114*100,"")</f>
        <v>27.446999999999999</v>
      </c>
      <c r="H114" s="61">
        <f t="shared" si="9"/>
        <v>1</v>
      </c>
      <c r="I114" t="str">
        <f>IF(FT!B114&lt;&gt;"",FT!E114,"")</f>
        <v>2 [45.549363]</v>
      </c>
      <c r="J114">
        <f>IF(FT!B114&lt;&gt;"",FT!C114,"")</f>
        <v>45.549399999999999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3.2905600000000002</v>
      </c>
      <c r="G115" s="61">
        <f>IF(FT!B115&lt;&gt;"",FT!B115*100,"")</f>
        <v>27.669</v>
      </c>
      <c r="H115" s="61">
        <f t="shared" si="9"/>
        <v>1</v>
      </c>
      <c r="I115" t="str">
        <f>IF(FT!B115&lt;&gt;"",FT!E115,"")</f>
        <v>2 [45.958045]</v>
      </c>
      <c r="J115">
        <f>IF(FT!B115&lt;&gt;"",FT!C115,"")</f>
        <v>45.957999999999998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94132</v>
      </c>
      <c r="D116" s="61">
        <f>FH!B116*1</f>
        <v>94132</v>
      </c>
      <c r="E116">
        <f t="shared" si="11"/>
        <v>114</v>
      </c>
      <c r="F116" s="61">
        <f>IF(FT!A116&lt;&gt;"",FT!A116*10,"")</f>
        <v>3.24085</v>
      </c>
      <c r="G116" s="61">
        <f>IF(FT!B116&lt;&gt;"",FT!B116*100,"")</f>
        <v>27.767999999999997</v>
      </c>
      <c r="H116" s="61">
        <f t="shared" si="9"/>
        <v>1</v>
      </c>
      <c r="I116" t="str">
        <f>IF(FT!B116&lt;&gt;"",FT!E116,"")</f>
        <v>2 [46.360856]</v>
      </c>
      <c r="J116">
        <f>IF(FT!B116&lt;&gt;"",FT!C116,"")</f>
        <v>46.360900000000001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3.1957100000000001</v>
      </c>
      <c r="G117" s="61">
        <f>IF(FT!B117&lt;&gt;"",FT!B117*100,"")</f>
        <v>27.779300000000003</v>
      </c>
      <c r="H117" s="61">
        <f t="shared" si="9"/>
        <v>1</v>
      </c>
      <c r="I117" t="str">
        <f>IF(FT!B117&lt;&gt;"",FT!E117,"")</f>
        <v>2 [46.766075]</v>
      </c>
      <c r="J117">
        <f>IF(FT!B117&lt;&gt;"",FT!C117,"")</f>
        <v>46.766100000000002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80703</v>
      </c>
      <c r="D118" s="61">
        <f>FH!B118*1</f>
        <v>80703</v>
      </c>
      <c r="E118">
        <f t="shared" si="11"/>
        <v>116</v>
      </c>
      <c r="F118" s="61">
        <f>IF(FT!A118&lt;&gt;"",FT!A118*10,"")</f>
        <v>3.1538599999999999</v>
      </c>
      <c r="G118" s="61">
        <f>IF(FT!B118&lt;&gt;"",FT!B118*100,"")</f>
        <v>27.871000000000002</v>
      </c>
      <c r="H118" s="61">
        <f t="shared" si="9"/>
        <v>1</v>
      </c>
      <c r="I118" t="str">
        <f>IF(FT!B118&lt;&gt;"",FT!E118,"")</f>
        <v>2 [47.176472]</v>
      </c>
      <c r="J118">
        <f>IF(FT!B118&lt;&gt;"",FT!C118,"")</f>
        <v>47.176499999999997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3.1180500000000002</v>
      </c>
      <c r="G119" s="61">
        <f>IF(FT!B119&lt;&gt;"",FT!B119*100,"")</f>
        <v>27.905999999999999</v>
      </c>
      <c r="H119" s="61">
        <f t="shared" si="9"/>
        <v>1</v>
      </c>
      <c r="I119" t="str">
        <f>IF(FT!B119&lt;&gt;"",FT!E119,"")</f>
        <v>2 [47.583992]</v>
      </c>
      <c r="J119">
        <f>IF(FT!B119&lt;&gt;"",FT!C119,"")</f>
        <v>47.584000000000003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3.0904700000000003</v>
      </c>
      <c r="G120" s="61">
        <f>IF(FT!B120&lt;&gt;"",FT!B120*100,"")</f>
        <v>27.85</v>
      </c>
      <c r="H120" s="61">
        <f t="shared" si="9"/>
        <v>1</v>
      </c>
      <c r="I120" t="str">
        <f>IF(FT!B120&lt;&gt;"",FT!E120,"")</f>
        <v>2 [47.989318]</v>
      </c>
      <c r="J120">
        <f>IF(FT!B120&lt;&gt;"",FT!C120,"")</f>
        <v>47.9893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73950</v>
      </c>
      <c r="D121" s="61">
        <f>FH!B121*1</f>
        <v>73950</v>
      </c>
      <c r="E121">
        <f t="shared" si="11"/>
        <v>119</v>
      </c>
      <c r="F121" s="61">
        <f>IF(FT!A121&lt;&gt;"",FT!A121*10,"")</f>
        <v>3.07037</v>
      </c>
      <c r="G121" s="61">
        <f>IF(FT!B121&lt;&gt;"",FT!B121*100,"")</f>
        <v>27.758300000000002</v>
      </c>
      <c r="H121" s="61">
        <f t="shared" si="9"/>
        <v>1</v>
      </c>
      <c r="I121" t="str">
        <f>IF(FT!B121&lt;&gt;"",FT!E121,"")</f>
        <v>2 [48.392270]</v>
      </c>
      <c r="J121">
        <f>IF(FT!B121&lt;&gt;"",FT!C121,"")</f>
        <v>48.392299999999999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3.0531000000000001</v>
      </c>
      <c r="G122" s="61">
        <f>IF(FT!B122&lt;&gt;"",FT!B122*100,"")</f>
        <v>27.723300000000002</v>
      </c>
      <c r="H122" s="61">
        <f t="shared" si="9"/>
        <v>1</v>
      </c>
      <c r="I122" t="str">
        <f>IF(FT!B122&lt;&gt;"",FT!E122,"")</f>
        <v>2 [48.798384]</v>
      </c>
      <c r="J122">
        <f>IF(FT!B122&lt;&gt;"",FT!C122,"")</f>
        <v>48.798400000000001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3.0389300000000001</v>
      </c>
      <c r="G123" s="61">
        <f>IF(FT!B123&lt;&gt;"",FT!B123*100,"")</f>
        <v>27.523999999999997</v>
      </c>
      <c r="H123" s="61">
        <f t="shared" si="9"/>
        <v>1</v>
      </c>
      <c r="I123" t="str">
        <f>IF(FT!B123&lt;&gt;"",FT!E123,"")</f>
        <v>2 [49.206597]</v>
      </c>
      <c r="J123">
        <f>IF(FT!B123&lt;&gt;"",FT!C123,"")</f>
        <v>49.206600000000002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69322</v>
      </c>
      <c r="D124" s="61">
        <f>FH!B124*1</f>
        <v>69322</v>
      </c>
      <c r="E124">
        <f t="shared" si="11"/>
        <v>122</v>
      </c>
      <c r="F124" s="61">
        <f>IF(FT!A124&lt;&gt;"",FT!A124*10,"")</f>
        <v>3.0284399999999998</v>
      </c>
      <c r="G124" s="61">
        <f>IF(FT!B124&lt;&gt;"",FT!B124*100,"")</f>
        <v>27.227499999999999</v>
      </c>
      <c r="H124" s="61">
        <f t="shared" si="9"/>
        <v>1</v>
      </c>
      <c r="I124" t="str">
        <f>IF(FT!B124&lt;&gt;"",FT!E124,"")</f>
        <v>2 [49.612990]</v>
      </c>
      <c r="J124">
        <f>IF(FT!B124&lt;&gt;"",FT!C124,"")</f>
        <v>49.613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3.0242499999999999</v>
      </c>
      <c r="G125" s="61">
        <f>IF(FT!B125&lt;&gt;"",FT!B125*100,"")</f>
        <v>26.858999999999998</v>
      </c>
      <c r="H125" s="61">
        <f t="shared" si="9"/>
        <v>1</v>
      </c>
      <c r="I125" t="str">
        <f>IF(FT!B125&lt;&gt;"",FT!E125,"")</f>
        <v>2 [50.018686]</v>
      </c>
      <c r="J125">
        <f>IF(FT!B125&lt;&gt;"",FT!C125,"")</f>
        <v>50.018700000000003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60554</v>
      </c>
      <c r="D126" s="61">
        <f>FH!B126*1</f>
        <v>60554</v>
      </c>
      <c r="E126">
        <f t="shared" si="11"/>
        <v>124</v>
      </c>
      <c r="F126" s="61">
        <f>IF(FT!A126&lt;&gt;"",FT!A126*10,"")</f>
        <v>3.0074800000000002</v>
      </c>
      <c r="G126" s="61">
        <f>IF(FT!B126&lt;&gt;"",FT!B126*100,"")</f>
        <v>26.7393</v>
      </c>
      <c r="H126" s="61">
        <f t="shared" si="9"/>
        <v>1</v>
      </c>
      <c r="I126" t="str">
        <f>IF(FT!B126&lt;&gt;"",FT!E126,"")</f>
        <v>2 [50.425510]</v>
      </c>
      <c r="J126">
        <f>IF(FT!B126&lt;&gt;"",FT!C126,"")</f>
        <v>50.4255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2.9926399999999997</v>
      </c>
      <c r="G127" s="61">
        <f>IF(FT!B127&lt;&gt;"",FT!B127*100,"")</f>
        <v>26.606000000000002</v>
      </c>
      <c r="H127" s="61">
        <f t="shared" si="9"/>
        <v>1</v>
      </c>
      <c r="I127" t="str">
        <f>IF(FT!B127&lt;&gt;"",FT!E127,"")</f>
        <v>2 [50.832582]</v>
      </c>
      <c r="J127">
        <f>IF(FT!B127&lt;&gt;"",FT!C127,"")</f>
        <v>50.832599999999999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2.97634</v>
      </c>
      <c r="G128" s="61">
        <f>IF(FT!B128&lt;&gt;"",FT!B128*100,"")</f>
        <v>26.4283</v>
      </c>
      <c r="H128" s="61">
        <f t="shared" si="9"/>
        <v>1</v>
      </c>
      <c r="I128" t="str">
        <f>IF(FT!B128&lt;&gt;"",FT!E128,"")</f>
        <v>2 [51.241760]</v>
      </c>
      <c r="J128">
        <f>IF(FT!B128&lt;&gt;"",FT!C128,"")</f>
        <v>51.241799999999998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53523</v>
      </c>
      <c r="D129" s="61">
        <f>FH!B129*1</f>
        <v>53523</v>
      </c>
      <c r="E129">
        <f t="shared" si="11"/>
        <v>127</v>
      </c>
      <c r="F129" s="61">
        <f>IF(FT!A129&lt;&gt;"",FT!A129*10,"")</f>
        <v>2.9635699999999998</v>
      </c>
      <c r="G129" s="61">
        <f>IF(FT!B129&lt;&gt;"",FT!B129*100,"")</f>
        <v>26.178699999999999</v>
      </c>
      <c r="H129" s="61">
        <f t="shared" si="9"/>
        <v>1</v>
      </c>
      <c r="I129" t="str">
        <f>IF(FT!B129&lt;&gt;"",FT!E129,"")</f>
        <v>2 [51.639635]</v>
      </c>
      <c r="J129">
        <f>IF(FT!B129&lt;&gt;"",FT!C129,"")</f>
        <v>51.639600000000002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2.9525000000000001</v>
      </c>
      <c r="G130" s="61">
        <f>IF(FT!B130&lt;&gt;"",FT!B130*100,"")</f>
        <v>25.9451</v>
      </c>
      <c r="H130" s="61">
        <f t="shared" si="9"/>
        <v>1</v>
      </c>
      <c r="I130" t="str">
        <f>IF(FT!B130&lt;&gt;"",FT!E130,"")</f>
        <v>2 [52.047766]</v>
      </c>
      <c r="J130">
        <f>IF(FT!B130&lt;&gt;"",FT!C130,"")</f>
        <v>52.047800000000002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45864</v>
      </c>
      <c r="D131" s="61">
        <f>FH!B131*1</f>
        <v>45864</v>
      </c>
      <c r="E131">
        <f t="shared" si="11"/>
        <v>129</v>
      </c>
      <c r="F131" s="61">
        <f>IF(FT!A131&lt;&gt;"",FT!A131*10,"")</f>
        <v>2.9480899999999997</v>
      </c>
      <c r="G131" s="61">
        <f>IF(FT!B131&lt;&gt;"",FT!B131*100,"")</f>
        <v>25.685099999999998</v>
      </c>
      <c r="H131" s="61">
        <f t="shared" ref="H131:H194" si="13">(IF(F131&lt;&gt;"",1,""))</f>
        <v>1</v>
      </c>
      <c r="I131" t="str">
        <f>IF(FT!B131&lt;&gt;"",FT!E131,"")</f>
        <v>2 [52.458814]</v>
      </c>
      <c r="J131">
        <f>IF(FT!B131&lt;&gt;"",FT!C131,"")</f>
        <v>52.458799999999997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2.9470299999999998</v>
      </c>
      <c r="G132" s="61">
        <f>IF(FT!B132&lt;&gt;"",FT!B132*100,"")</f>
        <v>25.391300000000001</v>
      </c>
      <c r="H132" s="61">
        <f t="shared" si="13"/>
        <v>1</v>
      </c>
      <c r="I132" t="str">
        <f>IF(FT!B132&lt;&gt;"",FT!E132,"")</f>
        <v>2 [52.863906]</v>
      </c>
      <c r="J132">
        <f>IF(FT!B132&lt;&gt;"",FT!C132,"")</f>
        <v>52.863900000000001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2.9520499999999998</v>
      </c>
      <c r="G133" s="61">
        <f>IF(FT!B133&lt;&gt;"",FT!B133*100,"")</f>
        <v>25.119799999999998</v>
      </c>
      <c r="H133" s="61">
        <f t="shared" si="13"/>
        <v>1</v>
      </c>
      <c r="I133" t="str">
        <f>IF(FT!B133&lt;&gt;"",FT!E133,"")</f>
        <v>2 [53.268685]</v>
      </c>
      <c r="J133">
        <f>IF(FT!B133&lt;&gt;"",FT!C133,"")</f>
        <v>53.268700000000003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41565</v>
      </c>
      <c r="D134" s="61">
        <f>FH!B134*1</f>
        <v>41565</v>
      </c>
      <c r="E134">
        <f t="shared" si="15"/>
        <v>132</v>
      </c>
      <c r="F134" s="61">
        <f>IF(FT!A134&lt;&gt;"",FT!A134*10,"")</f>
        <v>2.9610300000000001</v>
      </c>
      <c r="G134" s="61">
        <f>IF(FT!B134&lt;&gt;"",FT!B134*100,"")</f>
        <v>24.8916</v>
      </c>
      <c r="H134" s="61">
        <f t="shared" si="13"/>
        <v>1</v>
      </c>
      <c r="I134" t="str">
        <f>IF(FT!B134&lt;&gt;"",FT!E134,"")</f>
        <v>2 [53.675444]</v>
      </c>
      <c r="J134">
        <f>IF(FT!B134&lt;&gt;"",FT!C134,"")</f>
        <v>53.675400000000003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2.9736699999999998</v>
      </c>
      <c r="G135" s="61">
        <f>IF(FT!B135&lt;&gt;"",FT!B135*100,"")</f>
        <v>24.627800000000001</v>
      </c>
      <c r="H135" s="61">
        <f t="shared" si="13"/>
        <v>1</v>
      </c>
      <c r="I135" t="str">
        <f>IF(FT!B135&lt;&gt;"",FT!E135,"")</f>
        <v>2 [54.078161]</v>
      </c>
      <c r="J135">
        <f>IF(FT!B135&lt;&gt;"",FT!C135,"")</f>
        <v>54.078200000000002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40849</v>
      </c>
      <c r="D136" s="61">
        <f>FH!B136*1</f>
        <v>40849</v>
      </c>
      <c r="E136">
        <f t="shared" si="15"/>
        <v>134</v>
      </c>
      <c r="F136" s="61">
        <f>IF(FT!A136&lt;&gt;"",FT!A136*10,"")</f>
        <v>2.9857200000000002</v>
      </c>
      <c r="G136" s="61">
        <f>IF(FT!B136&lt;&gt;"",FT!B136*100,"")</f>
        <v>24.360100000000003</v>
      </c>
      <c r="H136" s="61">
        <f t="shared" si="13"/>
        <v>1</v>
      </c>
      <c r="I136" t="str">
        <f>IF(FT!B136&lt;&gt;"",FT!E136,"")</f>
        <v>2 [54.488247]</v>
      </c>
      <c r="J136">
        <f>IF(FT!B136&lt;&gt;"",FT!C136,"")</f>
        <v>54.488199999999999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2.99777</v>
      </c>
      <c r="G137" s="61">
        <f>IF(FT!B137&lt;&gt;"",FT!B137*100,"")</f>
        <v>24.1541</v>
      </c>
      <c r="H137" s="61">
        <f t="shared" si="13"/>
        <v>1</v>
      </c>
      <c r="I137" t="str">
        <f>IF(FT!B137&lt;&gt;"",FT!E137,"")</f>
        <v>2 [54.893599]</v>
      </c>
      <c r="J137">
        <f>IF(FT!B137&lt;&gt;"",FT!C137,"")</f>
        <v>54.893599999999999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3.0130600000000003</v>
      </c>
      <c r="G138" s="61">
        <f>IF(FT!B138&lt;&gt;"",FT!B138*100,"")</f>
        <v>23.972099999999998</v>
      </c>
      <c r="H138" s="61">
        <f t="shared" si="13"/>
        <v>1</v>
      </c>
      <c r="I138" t="str">
        <f>IF(FT!B138&lt;&gt;"",FT!E138,"")</f>
        <v>2 [55.298864]</v>
      </c>
      <c r="J138">
        <f>IF(FT!B138&lt;&gt;"",FT!C138,"")</f>
        <v>55.298900000000003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42949</v>
      </c>
      <c r="D139" s="61">
        <f>FH!B139*1</f>
        <v>42949</v>
      </c>
      <c r="E139">
        <f t="shared" si="15"/>
        <v>137</v>
      </c>
      <c r="F139" s="61">
        <f>IF(FT!A139&lt;&gt;"",FT!A139*10,"")</f>
        <v>3.03721</v>
      </c>
      <c r="G139" s="61">
        <f>IF(FT!B139&lt;&gt;"",FT!B139*100,"")</f>
        <v>23.722799999999999</v>
      </c>
      <c r="H139" s="61">
        <f t="shared" si="13"/>
        <v>1</v>
      </c>
      <c r="I139" t="str">
        <f>IF(FT!B139&lt;&gt;"",FT!E139,"")</f>
        <v>2 [55.703976]</v>
      </c>
      <c r="J139">
        <f>IF(FT!B139&lt;&gt;"",FT!C139,"")</f>
        <v>55.704000000000001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3.0635499999999998</v>
      </c>
      <c r="G140" s="61">
        <f>IF(FT!B140&lt;&gt;"",FT!B140*100,"")</f>
        <v>23.508100000000002</v>
      </c>
      <c r="H140" s="61">
        <f t="shared" si="13"/>
        <v>1</v>
      </c>
      <c r="I140" t="str">
        <f>IF(FT!B140&lt;&gt;"",FT!E140,"")</f>
        <v>2 [56.109003]</v>
      </c>
      <c r="J140">
        <f>IF(FT!B140&lt;&gt;"",FT!C140,"")</f>
        <v>56.109000000000002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3.0928499999999999</v>
      </c>
      <c r="G141" s="61">
        <f>IF(FT!B141&lt;&gt;"",FT!B141*100,"")</f>
        <v>23.351099999999999</v>
      </c>
      <c r="H141" s="61">
        <f t="shared" si="13"/>
        <v>1</v>
      </c>
      <c r="I141" t="str">
        <f>IF(FT!B141&lt;&gt;"",FT!E141,"")</f>
        <v>2 [56.517317]</v>
      </c>
      <c r="J141">
        <f>IF(FT!B141&lt;&gt;"",FT!C141,"")</f>
        <v>56.517299999999999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37376</v>
      </c>
      <c r="D142" s="61">
        <f>FH!B142*1</f>
        <v>37376</v>
      </c>
      <c r="E142">
        <f t="shared" si="15"/>
        <v>140</v>
      </c>
      <c r="F142" s="61">
        <f>IF(FT!A142&lt;&gt;"",FT!A142*10,"")</f>
        <v>3.1275399999999998</v>
      </c>
      <c r="G142" s="61">
        <f>IF(FT!B142&lt;&gt;"",FT!B142*100,"")</f>
        <v>23.242599999999999</v>
      </c>
      <c r="H142" s="61">
        <f t="shared" si="13"/>
        <v>1</v>
      </c>
      <c r="I142" t="str">
        <f>IF(FT!B142&lt;&gt;"",FT!E142,"")</f>
        <v>2 [56.929876]</v>
      </c>
      <c r="J142">
        <f>IF(FT!B142&lt;&gt;"",FT!C142,"")</f>
        <v>56.929900000000004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3.1623000000000001</v>
      </c>
      <c r="G143" s="61">
        <f>IF(FT!B143&lt;&gt;"",FT!B143*100,"")</f>
        <v>23.059100000000001</v>
      </c>
      <c r="H143" s="61">
        <f t="shared" si="13"/>
        <v>1</v>
      </c>
      <c r="I143" t="str">
        <f>IF(FT!B143&lt;&gt;"",FT!E143,"")</f>
        <v>2 [57.333611]</v>
      </c>
      <c r="J143">
        <f>IF(FT!B143&lt;&gt;"",FT!C143,"")</f>
        <v>57.333599999999997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35283</v>
      </c>
      <c r="D144" s="61">
        <f>FH!B144*1</f>
        <v>35283</v>
      </c>
      <c r="E144">
        <f t="shared" si="15"/>
        <v>142</v>
      </c>
      <c r="F144" s="61">
        <f>IF(FT!A144&lt;&gt;"",FT!A144*10,"")</f>
        <v>3.1966800000000002</v>
      </c>
      <c r="G144" s="61">
        <f>IF(FT!B144&lt;&gt;"",FT!B144*100,"")</f>
        <v>23.0425</v>
      </c>
      <c r="H144" s="61">
        <f t="shared" si="13"/>
        <v>1</v>
      </c>
      <c r="I144" t="str">
        <f>IF(FT!B144&lt;&gt;"",FT!E144,"")</f>
        <v>2 [57.736989]</v>
      </c>
      <c r="J144">
        <f>IF(FT!B144&lt;&gt;"",FT!C144,"")</f>
        <v>57.737000000000002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3.2249499999999998</v>
      </c>
      <c r="G145" s="61">
        <f>IF(FT!B145&lt;&gt;"",FT!B145*100,"")</f>
        <v>22.958400000000001</v>
      </c>
      <c r="H145" s="61">
        <f t="shared" si="13"/>
        <v>1</v>
      </c>
      <c r="I145" t="str">
        <f>IF(FT!B145&lt;&gt;"",FT!E145,"")</f>
        <v>2 [58.142473]</v>
      </c>
      <c r="J145">
        <f>IF(FT!B145&lt;&gt;"",FT!C145,"")</f>
        <v>58.142499999999998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3.2488600000000001</v>
      </c>
      <c r="G146" s="61">
        <f>IF(FT!B146&lt;&gt;"",FT!B146*100,"")</f>
        <v>22.767499999999998</v>
      </c>
      <c r="H146" s="61">
        <f t="shared" si="13"/>
        <v>1</v>
      </c>
      <c r="I146" t="str">
        <f>IF(FT!B146&lt;&gt;"",FT!E146,"")</f>
        <v>2 [58.554976]</v>
      </c>
      <c r="J146">
        <f>IF(FT!B146&lt;&gt;"",FT!C146,"")</f>
        <v>58.555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36261</v>
      </c>
      <c r="D147" s="61">
        <f>FH!B147*1</f>
        <v>36261</v>
      </c>
      <c r="E147">
        <f t="shared" si="15"/>
        <v>145</v>
      </c>
      <c r="F147" s="61">
        <f>IF(FT!A147&lt;&gt;"",FT!A147*10,"")</f>
        <v>3.2662000000000004</v>
      </c>
      <c r="G147" s="61">
        <f>IF(FT!B147&lt;&gt;"",FT!B147*100,"")</f>
        <v>22.2361</v>
      </c>
      <c r="H147" s="61">
        <f t="shared" si="13"/>
        <v>1</v>
      </c>
      <c r="I147" t="str">
        <f>IF(FT!B147&lt;&gt;"",FT!E147,"")</f>
        <v>2 [58.962845]</v>
      </c>
      <c r="J147">
        <f>IF(FT!B147&lt;&gt;"",FT!C147,"")</f>
        <v>58.962800000000001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3.28762</v>
      </c>
      <c r="G148" s="61">
        <f>IF(FT!B148&lt;&gt;"",FT!B148*100,"")</f>
        <v>22.262799999999999</v>
      </c>
      <c r="H148" s="61">
        <f t="shared" si="13"/>
        <v>1</v>
      </c>
      <c r="I148" t="str">
        <f>IF(FT!B148&lt;&gt;"",FT!E148,"")</f>
        <v>2 [59.366954]</v>
      </c>
      <c r="J148">
        <f>IF(FT!B148&lt;&gt;"",FT!C148,"")</f>
        <v>59.366999999999997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34708</v>
      </c>
      <c r="D149" s="61">
        <f>FH!B149*1</f>
        <v>34708</v>
      </c>
      <c r="E149">
        <f t="shared" si="15"/>
        <v>147</v>
      </c>
      <c r="F149" s="61">
        <f>IF(FT!A149&lt;&gt;"",FT!A149*10,"")</f>
        <v>3.3102999999999998</v>
      </c>
      <c r="G149" s="61">
        <f>IF(FT!B149&lt;&gt;"",FT!B149*100,"")</f>
        <v>22.915600000000001</v>
      </c>
      <c r="H149" s="61">
        <f t="shared" si="13"/>
        <v>1</v>
      </c>
      <c r="I149" t="str">
        <f>IF(FT!B149&lt;&gt;"",FT!E149,"")</f>
        <v>2 [59.768681]</v>
      </c>
      <c r="J149">
        <f>IF(FT!B149&lt;&gt;"",FT!C149,"")</f>
        <v>59.768700000000003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35066</v>
      </c>
      <c r="D152" s="61">
        <f>FH!B152*1</f>
        <v>35066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36855</v>
      </c>
      <c r="D154" s="61">
        <f>FH!B154*1</f>
        <v>36855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39935</v>
      </c>
      <c r="D157" s="61">
        <f>FH!B157*1</f>
        <v>39935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39038</v>
      </c>
      <c r="D160" s="61">
        <f>FH!B160*1</f>
        <v>39038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38280</v>
      </c>
      <c r="D162" s="61">
        <f>FH!B162*1</f>
        <v>38280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36213</v>
      </c>
      <c r="D165" s="61">
        <f>FH!B165*1</f>
        <v>36213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35628</v>
      </c>
      <c r="D167" s="61">
        <f>FH!B167*1</f>
        <v>35628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33781</v>
      </c>
      <c r="D170" s="61">
        <f>FH!B170*1</f>
        <v>33781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37640</v>
      </c>
      <c r="D173" s="61">
        <f>FH!B173*1</f>
        <v>37640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36426</v>
      </c>
      <c r="D175" s="61">
        <f>FH!B175*1</f>
        <v>36426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34768</v>
      </c>
      <c r="D178" s="61">
        <f>FH!B178*1</f>
        <v>34768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33159</v>
      </c>
      <c r="D180" s="61">
        <f>FH!B180*1</f>
        <v>33159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26524</v>
      </c>
      <c r="D183" s="61">
        <f>FH!B183*1</f>
        <v>26524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20167</v>
      </c>
      <c r="D185" s="61">
        <f>FH!B185*1</f>
        <v>20167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21774</v>
      </c>
      <c r="D188" s="61">
        <f>FH!B188*1</f>
        <v>21774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17450</v>
      </c>
      <c r="D191" s="61">
        <f>FH!B191*1</f>
        <v>17450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12021</v>
      </c>
      <c r="D193" s="61">
        <f>FH!B193*1</f>
        <v>12021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10483</v>
      </c>
      <c r="D196" s="61">
        <f>FH!B196*1</f>
        <v>10483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9550</v>
      </c>
      <c r="D198" s="61">
        <f>FH!B198*1</f>
        <v>9550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5550</v>
      </c>
      <c r="D201" s="61">
        <f>FH!B201*1</f>
        <v>5550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4020</v>
      </c>
      <c r="D203" s="61">
        <f>FH!B203*1</f>
        <v>4020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2319</v>
      </c>
      <c r="D206" s="61">
        <f>FH!B206*1</f>
        <v>2319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667</v>
      </c>
      <c r="D209" s="61">
        <f>FH!B209*1</f>
        <v>667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167</v>
      </c>
      <c r="D211" s="61">
        <f>FH!B211*1</f>
        <v>167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43.801699999999997</v>
      </c>
      <c r="C5" s="66">
        <v>3.57802</v>
      </c>
      <c r="D5" s="66">
        <v>8.1686700000000005</v>
      </c>
      <c r="E5" s="66">
        <v>20</v>
      </c>
      <c r="F5" s="66">
        <v>37.758499999999998</v>
      </c>
      <c r="G5" s="66">
        <v>50</v>
      </c>
      <c r="H5" s="66">
        <v>53.755200000000002</v>
      </c>
    </row>
    <row r="6" spans="1:8">
      <c r="A6" s="58" t="s">
        <v>303</v>
      </c>
      <c r="B6" s="66">
        <v>32.5535</v>
      </c>
      <c r="C6" s="66">
        <v>2.5251299999999999</v>
      </c>
      <c r="D6" s="66">
        <v>7.75685</v>
      </c>
      <c r="E6" s="66">
        <v>20</v>
      </c>
      <c r="F6" s="66">
        <v>26.8535</v>
      </c>
      <c r="G6" s="66">
        <v>40</v>
      </c>
      <c r="H6" s="66">
        <v>37.853000000000002</v>
      </c>
    </row>
    <row r="7" spans="1:8">
      <c r="A7" s="58" t="s">
        <v>304</v>
      </c>
      <c r="B7" s="66">
        <v>29.354399999999998</v>
      </c>
      <c r="C7" s="66">
        <v>5.5444500000000003</v>
      </c>
      <c r="D7" s="66">
        <v>18.887899999999998</v>
      </c>
      <c r="E7" s="66">
        <v>15</v>
      </c>
      <c r="F7" s="66">
        <v>12.968400000000001</v>
      </c>
      <c r="G7" s="66">
        <v>40</v>
      </c>
      <c r="H7" s="66">
        <v>41.066499999999998</v>
      </c>
    </row>
    <row r="8" spans="1:8">
      <c r="A8" s="58" t="s">
        <v>305</v>
      </c>
      <c r="B8" s="66">
        <v>35.598999999999997</v>
      </c>
      <c r="C8" s="66">
        <v>2.5712999999999999</v>
      </c>
      <c r="D8" s="66">
        <v>7.22295</v>
      </c>
      <c r="E8" s="66">
        <v>20</v>
      </c>
      <c r="F8" s="66">
        <v>27.175899999999999</v>
      </c>
      <c r="G8" s="66">
        <v>50</v>
      </c>
      <c r="H8" s="66">
        <v>39.337499999999999</v>
      </c>
    </row>
    <row r="9" spans="1:8">
      <c r="A9" s="58" t="s">
        <v>306</v>
      </c>
      <c r="B9" s="66">
        <v>53.629800000000003</v>
      </c>
      <c r="C9" s="66">
        <v>12.3195</v>
      </c>
      <c r="D9" s="66">
        <v>22.971399999999999</v>
      </c>
      <c r="E9" s="66">
        <v>50</v>
      </c>
      <c r="F9" s="66">
        <v>31.276599999999998</v>
      </c>
      <c r="G9" s="66">
        <v>100</v>
      </c>
      <c r="H9" s="66">
        <v>73.670100000000005</v>
      </c>
    </row>
    <row r="10" spans="1:8">
      <c r="A10" s="58" t="s">
        <v>307</v>
      </c>
      <c r="B10" s="66">
        <v>73.867999999999995</v>
      </c>
      <c r="C10" s="66">
        <v>3.7566199999999998</v>
      </c>
      <c r="D10" s="66">
        <v>5.0855800000000002</v>
      </c>
      <c r="E10" s="66">
        <v>40</v>
      </c>
      <c r="F10" s="66">
        <v>65.722399999999993</v>
      </c>
      <c r="G10" s="66">
        <v>100</v>
      </c>
      <c r="H10" s="66">
        <v>81.239900000000006</v>
      </c>
    </row>
    <row r="11" spans="1:8">
      <c r="A11" s="58" t="s">
        <v>308</v>
      </c>
      <c r="B11" s="66">
        <v>17.249600000000001</v>
      </c>
      <c r="C11" s="66">
        <v>4.3614600000000001</v>
      </c>
      <c r="D11" s="66">
        <v>25.284400000000002</v>
      </c>
      <c r="E11" s="66">
        <v>10</v>
      </c>
      <c r="F11" s="66">
        <v>11.5443</v>
      </c>
      <c r="G11" s="66">
        <v>50</v>
      </c>
      <c r="H11" s="66">
        <v>25.6632</v>
      </c>
    </row>
    <row r="12" spans="1:8">
      <c r="A12" s="58" t="s">
        <v>309</v>
      </c>
      <c r="B12" s="66">
        <v>63.152999999999999</v>
      </c>
      <c r="C12" s="66">
        <v>6.17563</v>
      </c>
      <c r="D12" s="66">
        <v>9.7788299999999992</v>
      </c>
      <c r="E12" s="66">
        <v>50</v>
      </c>
      <c r="F12" s="66">
        <v>53.486499999999999</v>
      </c>
      <c r="G12" s="66">
        <v>100</v>
      </c>
      <c r="H12" s="66">
        <v>77.368899999999996</v>
      </c>
    </row>
    <row r="13" spans="1:8">
      <c r="A13" s="58" t="s">
        <v>310</v>
      </c>
      <c r="B13" s="66">
        <v>22.973400000000002</v>
      </c>
      <c r="C13" s="66">
        <v>3.78234</v>
      </c>
      <c r="D13" s="66">
        <v>16.463999999999999</v>
      </c>
      <c r="E13" s="66">
        <v>10</v>
      </c>
      <c r="F13" s="66">
        <v>15.837199999999999</v>
      </c>
      <c r="G13" s="66">
        <v>25</v>
      </c>
      <c r="H13" s="66">
        <v>33.5411</v>
      </c>
    </row>
    <row r="14" spans="1:8">
      <c r="A14" s="58" t="s">
        <v>311</v>
      </c>
      <c r="B14" s="66">
        <v>37.823399999999999</v>
      </c>
      <c r="C14" s="66">
        <v>13.496</v>
      </c>
      <c r="D14" s="66">
        <v>35.681600000000003</v>
      </c>
      <c r="E14" s="66">
        <v>10</v>
      </c>
      <c r="F14" s="66">
        <v>2.1640799999999998</v>
      </c>
      <c r="G14" s="66">
        <v>50</v>
      </c>
      <c r="H14" s="66">
        <v>45.023099999999999</v>
      </c>
    </row>
    <row r="15" spans="1:8">
      <c r="A15" s="58" t="s">
        <v>312</v>
      </c>
      <c r="B15" s="66">
        <v>-2.41649E-2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2.54355E-2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15.7302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0.281501</v>
      </c>
      <c r="C18" s="66">
        <v>1.23949E-2</v>
      </c>
      <c r="D18" s="66">
        <v>4.40317E-2</v>
      </c>
      <c r="E18" s="66">
        <v>0</v>
      </c>
      <c r="F18" s="66">
        <v>0.26910600000000001</v>
      </c>
      <c r="G18" s="66">
        <v>0</v>
      </c>
      <c r="H18" s="66">
        <v>0.29389599999999999</v>
      </c>
    </row>
    <row r="19" spans="1:8">
      <c r="A19" s="58" t="s">
        <v>316</v>
      </c>
      <c r="B19" s="66">
        <v>0.60553999999999997</v>
      </c>
      <c r="C19" s="66">
        <v>2.3030899999999998E-3</v>
      </c>
      <c r="D19" s="66">
        <v>3.8033699999999999E-3</v>
      </c>
      <c r="E19" s="66">
        <v>0</v>
      </c>
      <c r="F19" s="66">
        <v>0.60323700000000002</v>
      </c>
      <c r="G19" s="66">
        <v>0</v>
      </c>
      <c r="H19" s="66">
        <v>0.60784300000000002</v>
      </c>
    </row>
    <row r="20" spans="1:8">
      <c r="A20" s="58" t="s">
        <v>317</v>
      </c>
      <c r="B20" s="66">
        <v>5.3929300000000004E-4</v>
      </c>
      <c r="C20" s="66">
        <v>3.1661300000000003E-2</v>
      </c>
      <c r="D20" s="66">
        <v>58.7089</v>
      </c>
      <c r="E20" s="66">
        <v>0</v>
      </c>
      <c r="F20" s="66">
        <v>0</v>
      </c>
      <c r="G20" s="66">
        <v>0</v>
      </c>
      <c r="H20" s="66">
        <v>0.446575</v>
      </c>
    </row>
    <row r="21" spans="1:8">
      <c r="A21" s="58" t="s">
        <v>318</v>
      </c>
      <c r="B21" s="66">
        <v>0.118134</v>
      </c>
      <c r="C21" s="66">
        <v>0.15912999999999999</v>
      </c>
      <c r="D21" s="66">
        <v>1.3470299999999999</v>
      </c>
      <c r="E21" s="66">
        <v>0</v>
      </c>
      <c r="F21" s="196">
        <v>3.8283800000000001E-5</v>
      </c>
      <c r="G21" s="66">
        <v>0</v>
      </c>
      <c r="H21" s="66">
        <v>1.39116</v>
      </c>
    </row>
    <row r="22" spans="1:8">
      <c r="A22" s="58" t="s">
        <v>319</v>
      </c>
      <c r="B22" s="66">
        <v>53.946800000000003</v>
      </c>
      <c r="C22" s="66">
        <v>18.492899999999999</v>
      </c>
      <c r="D22" s="66">
        <v>0.34279900000000002</v>
      </c>
      <c r="E22" s="66">
        <v>0</v>
      </c>
      <c r="F22" s="66">
        <v>25.712199999999999</v>
      </c>
      <c r="G22" s="66">
        <v>0</v>
      </c>
      <c r="H22" s="66">
        <v>169.71</v>
      </c>
    </row>
    <row r="23" spans="1:8">
      <c r="A23" s="58" t="s">
        <v>320</v>
      </c>
      <c r="B23" s="66">
        <v>21.953900000000001</v>
      </c>
      <c r="C23" s="66">
        <v>1.4419</v>
      </c>
      <c r="D23" s="66">
        <v>6.5678700000000007E-2</v>
      </c>
      <c r="E23" s="66">
        <v>0</v>
      </c>
      <c r="F23" s="66">
        <v>18.570599999999999</v>
      </c>
      <c r="G23" s="66">
        <v>0</v>
      </c>
      <c r="H23" s="66">
        <v>24.424399999999999</v>
      </c>
    </row>
    <row r="24" spans="1:8">
      <c r="A24" s="58" t="s">
        <v>321</v>
      </c>
      <c r="B24" s="66">
        <v>3.5127499999999998E-3</v>
      </c>
      <c r="C24" s="66">
        <v>1.8224400000000002E-2</v>
      </c>
      <c r="D24" s="66">
        <v>5.1880899999999999</v>
      </c>
      <c r="E24" s="66">
        <v>0</v>
      </c>
      <c r="F24" s="196">
        <v>1.6569799999999998E-5</v>
      </c>
      <c r="G24" s="66">
        <v>0</v>
      </c>
      <c r="H24" s="66">
        <v>0.18459500000000001</v>
      </c>
    </row>
    <row r="25" spans="1:8">
      <c r="A25" s="58" t="s">
        <v>322</v>
      </c>
      <c r="B25" s="66">
        <v>0.140069</v>
      </c>
      <c r="C25" s="66">
        <v>8.0046699999999998E-2</v>
      </c>
      <c r="D25" s="66">
        <v>0.57148200000000005</v>
      </c>
      <c r="E25" s="66">
        <v>0</v>
      </c>
      <c r="F25" s="66">
        <v>2.2209699999999999E-2</v>
      </c>
      <c r="G25" s="66">
        <v>0</v>
      </c>
      <c r="H25" s="66">
        <v>0.52265700000000004</v>
      </c>
    </row>
    <row r="26" spans="1:8">
      <c r="A26" s="58" t="s">
        <v>323</v>
      </c>
      <c r="B26" s="66">
        <v>1.5427999999999999E-4</v>
      </c>
      <c r="C26" s="66">
        <v>2.0942299999999999E-3</v>
      </c>
      <c r="D26" s="66">
        <v>13.574199999999999</v>
      </c>
      <c r="E26" s="66">
        <v>0</v>
      </c>
      <c r="F26" s="66">
        <v>0</v>
      </c>
      <c r="G26" s="66">
        <v>0</v>
      </c>
      <c r="H26" s="66">
        <v>3.5806200000000003E-2</v>
      </c>
    </row>
    <row r="27" spans="1:8">
      <c r="A27" s="58" t="s">
        <v>324</v>
      </c>
      <c r="B27" s="196">
        <v>-6.5651299999999996E-6</v>
      </c>
      <c r="C27" s="66">
        <v>1.4283799999999999E-3</v>
      </c>
      <c r="D27" s="66">
        <v>-217.571</v>
      </c>
      <c r="E27" s="66">
        <v>0</v>
      </c>
      <c r="F27" s="66">
        <v>-1.1121300000000001E-2</v>
      </c>
      <c r="G27" s="66">
        <v>0</v>
      </c>
      <c r="H27" s="66">
        <v>1.9022500000000001E-2</v>
      </c>
    </row>
    <row r="28" spans="1:8">
      <c r="A28" s="58" t="s">
        <v>325</v>
      </c>
      <c r="B28" s="66">
        <v>9.9983699999999995E-3</v>
      </c>
      <c r="C28" s="66">
        <v>1.3693E-2</v>
      </c>
      <c r="D28" s="66">
        <v>1.3695200000000001</v>
      </c>
      <c r="E28" s="66">
        <v>0</v>
      </c>
      <c r="F28" s="196">
        <v>2.2786499999999999E-5</v>
      </c>
      <c r="G28" s="66">
        <v>0</v>
      </c>
      <c r="H28" s="66">
        <v>9.0869099999999994E-2</v>
      </c>
    </row>
    <row r="29" spans="1:8">
      <c r="A29" s="58" t="s">
        <v>326</v>
      </c>
      <c r="B29" s="66">
        <v>75.796700000000001</v>
      </c>
      <c r="C29" s="66">
        <v>11.1075</v>
      </c>
      <c r="D29" s="66">
        <v>0.14654300000000001</v>
      </c>
      <c r="E29" s="66">
        <v>0</v>
      </c>
      <c r="F29" s="66">
        <v>51.766599999999997</v>
      </c>
      <c r="G29" s="66">
        <v>0</v>
      </c>
      <c r="H29" s="66">
        <v>116.81699999999999</v>
      </c>
    </row>
    <row r="30" spans="1:8">
      <c r="A30" s="58" t="s">
        <v>327</v>
      </c>
      <c r="B30" s="66">
        <v>26.981000000000002</v>
      </c>
      <c r="C30" s="66">
        <v>2.51153</v>
      </c>
      <c r="D30" s="66">
        <v>9.3085000000000001E-2</v>
      </c>
      <c r="E30" s="66">
        <v>0</v>
      </c>
      <c r="F30" s="66">
        <v>22.427</v>
      </c>
      <c r="G30" s="66">
        <v>0</v>
      </c>
      <c r="H30" s="66">
        <v>32.481999999999999</v>
      </c>
    </row>
    <row r="31" spans="1:8">
      <c r="A31" s="58" t="s">
        <v>328</v>
      </c>
      <c r="B31" s="66">
        <v>324.916</v>
      </c>
      <c r="C31" s="66">
        <v>45.0839</v>
      </c>
      <c r="D31" s="66">
        <v>0.13875599999999999</v>
      </c>
      <c r="E31" s="66">
        <v>0</v>
      </c>
      <c r="F31" s="66">
        <v>260.42</v>
      </c>
      <c r="G31" s="66">
        <v>0</v>
      </c>
      <c r="H31" s="66">
        <v>434.04300000000001</v>
      </c>
    </row>
    <row r="32" spans="1:8">
      <c r="A32" s="58" t="s">
        <v>329</v>
      </c>
      <c r="B32" s="66">
        <v>0.29354400000000003</v>
      </c>
      <c r="C32" s="66">
        <v>5.5444500000000001E-2</v>
      </c>
      <c r="D32" s="66">
        <v>0.18887899999999999</v>
      </c>
      <c r="E32" s="66">
        <v>0.15</v>
      </c>
      <c r="F32" s="66">
        <v>0.12968399999999999</v>
      </c>
      <c r="G32" s="66">
        <v>0.4</v>
      </c>
      <c r="H32" s="66">
        <v>0.410665</v>
      </c>
    </row>
    <row r="33" spans="1:8">
      <c r="A33" s="58" t="s">
        <v>330</v>
      </c>
      <c r="B33" s="66">
        <v>0.37027300000000002</v>
      </c>
      <c r="C33" s="66">
        <v>2.6421300000000002E-2</v>
      </c>
      <c r="D33" s="66">
        <v>7.1356299999999998E-2</v>
      </c>
      <c r="E33" s="66">
        <v>0</v>
      </c>
      <c r="F33" s="66">
        <v>0.297649</v>
      </c>
      <c r="G33" s="66">
        <v>0</v>
      </c>
      <c r="H33" s="66">
        <v>0.40617199999999998</v>
      </c>
    </row>
    <row r="34" spans="1:8">
      <c r="A34" s="58" t="s">
        <v>331</v>
      </c>
      <c r="B34" s="66">
        <v>0.22973399999999999</v>
      </c>
      <c r="C34" s="66">
        <v>3.78234E-2</v>
      </c>
      <c r="D34" s="66">
        <v>0.16464000000000001</v>
      </c>
      <c r="E34" s="66">
        <v>0.1</v>
      </c>
      <c r="F34" s="66">
        <v>0.15837200000000001</v>
      </c>
      <c r="G34" s="66">
        <v>0.25</v>
      </c>
      <c r="H34" s="66">
        <v>0.33541100000000001</v>
      </c>
    </row>
    <row r="35" spans="1:8">
      <c r="A35" s="58" t="s">
        <v>332</v>
      </c>
      <c r="B35" s="66">
        <v>9.1529200000000005E-2</v>
      </c>
      <c r="C35" s="66">
        <v>2.6587900000000001E-2</v>
      </c>
      <c r="D35" s="66">
        <v>0.29048600000000002</v>
      </c>
      <c r="E35" s="66">
        <v>0</v>
      </c>
      <c r="F35" s="66">
        <v>3.0766000000000002E-2</v>
      </c>
      <c r="G35" s="66">
        <v>0</v>
      </c>
      <c r="H35" s="66">
        <v>0.17350299999999999</v>
      </c>
    </row>
    <row r="36" spans="1:8">
      <c r="A36" s="58" t="s">
        <v>333</v>
      </c>
      <c r="B36" s="66">
        <v>0.203018</v>
      </c>
      <c r="C36" s="66">
        <v>0.10850899999999999</v>
      </c>
      <c r="D36" s="66">
        <v>0.53448099999999998</v>
      </c>
      <c r="E36" s="66">
        <v>0</v>
      </c>
      <c r="F36" s="66">
        <v>4.2444099999999998E-2</v>
      </c>
      <c r="G36" s="66">
        <v>0</v>
      </c>
      <c r="H36" s="66">
        <v>0.60966200000000004</v>
      </c>
    </row>
    <row r="37" spans="1:8">
      <c r="A37" s="58" t="s">
        <v>334</v>
      </c>
      <c r="B37" s="66">
        <v>0.37823400000000001</v>
      </c>
      <c r="C37" s="66">
        <v>0.13496</v>
      </c>
      <c r="D37" s="66">
        <v>0.35681600000000002</v>
      </c>
      <c r="E37" s="66">
        <v>0.1</v>
      </c>
      <c r="F37" s="66">
        <v>2.1640800000000002E-2</v>
      </c>
      <c r="G37" s="66">
        <v>0.5</v>
      </c>
      <c r="H37" s="66">
        <v>0.45023099999999999</v>
      </c>
    </row>
    <row r="38" spans="1:8">
      <c r="A38" s="58" t="s">
        <v>335</v>
      </c>
      <c r="B38" s="66">
        <v>-11.1647</v>
      </c>
      <c r="C38" s="66">
        <v>35.555599999999998</v>
      </c>
      <c r="D38" s="66">
        <v>-3.1846399999999999</v>
      </c>
      <c r="E38" s="66">
        <v>0</v>
      </c>
      <c r="F38" s="66">
        <v>-249.15799999999999</v>
      </c>
      <c r="G38" s="66">
        <v>0</v>
      </c>
      <c r="H38" s="66">
        <v>223.06700000000001</v>
      </c>
    </row>
    <row r="39" spans="1:8">
      <c r="A39" s="58" t="s">
        <v>336</v>
      </c>
      <c r="B39" s="66">
        <v>-5.6210800000000001</v>
      </c>
      <c r="C39" s="66">
        <v>3.1823700000000001</v>
      </c>
      <c r="D39" s="66">
        <v>-0.56615000000000004</v>
      </c>
      <c r="E39" s="66">
        <v>0</v>
      </c>
      <c r="F39" s="66">
        <v>-13.4574</v>
      </c>
      <c r="G39" s="66">
        <v>0</v>
      </c>
      <c r="H39" s="66">
        <v>5.7724299999999999</v>
      </c>
    </row>
    <row r="40" spans="1:8">
      <c r="A40" s="58" t="s">
        <v>337</v>
      </c>
      <c r="B40" s="66">
        <v>-3.4040300000000001</v>
      </c>
      <c r="C40" s="66">
        <v>0.72003099999999998</v>
      </c>
      <c r="D40" s="66">
        <v>-0.21152299999999999</v>
      </c>
      <c r="E40" s="66">
        <v>0</v>
      </c>
      <c r="F40" s="66">
        <v>-5.0991900000000001</v>
      </c>
      <c r="G40" s="66">
        <v>0</v>
      </c>
      <c r="H40" s="66">
        <v>-1.66944</v>
      </c>
    </row>
    <row r="41" spans="1:8">
      <c r="A41" s="58" t="s">
        <v>338</v>
      </c>
      <c r="B41" s="66">
        <v>-0.101615</v>
      </c>
      <c r="C41" s="66">
        <v>0.25719700000000001</v>
      </c>
      <c r="D41" s="66">
        <v>-2.5310999999999999</v>
      </c>
      <c r="E41" s="66">
        <v>0</v>
      </c>
      <c r="F41" s="66">
        <v>-0.88235300000000005</v>
      </c>
      <c r="G41" s="66">
        <v>0</v>
      </c>
      <c r="H41" s="66">
        <v>1</v>
      </c>
    </row>
    <row r="42" spans="1:8">
      <c r="A42" s="58" t="s">
        <v>339</v>
      </c>
      <c r="B42" s="66">
        <v>-0.169014</v>
      </c>
      <c r="C42" s="66">
        <v>8.4993799999999994E-2</v>
      </c>
      <c r="D42" s="66">
        <v>-0.50287899999999996</v>
      </c>
      <c r="E42" s="66">
        <v>0</v>
      </c>
      <c r="F42" s="66">
        <v>-0.358707</v>
      </c>
      <c r="G42" s="66">
        <v>0</v>
      </c>
      <c r="H42" s="66">
        <v>0.22889799999999999</v>
      </c>
    </row>
    <row r="43" spans="1:8">
      <c r="A43" s="58" t="s">
        <v>340</v>
      </c>
      <c r="B43" s="66">
        <v>-0.17891899999999999</v>
      </c>
      <c r="C43" s="66">
        <v>8.1950499999999996E-2</v>
      </c>
      <c r="D43" s="66">
        <v>-0.45803199999999999</v>
      </c>
      <c r="E43" s="66">
        <v>0</v>
      </c>
      <c r="F43" s="66">
        <v>-0.25203900000000001</v>
      </c>
      <c r="G43" s="66">
        <v>0</v>
      </c>
      <c r="H43" s="66">
        <v>5.2218599999999997E-2</v>
      </c>
    </row>
    <row r="44" spans="1:8">
      <c r="A44" s="58" t="s">
        <v>341</v>
      </c>
      <c r="B44" s="66">
        <v>44.831299999999999</v>
      </c>
      <c r="C44" s="66">
        <v>26.801100000000002</v>
      </c>
      <c r="D44" s="66">
        <v>0.59782100000000005</v>
      </c>
      <c r="E44" s="66">
        <v>0</v>
      </c>
      <c r="F44" s="66">
        <v>-34.251899999999999</v>
      </c>
      <c r="G44" s="66">
        <v>0</v>
      </c>
      <c r="H44" s="66">
        <v>71.985200000000006</v>
      </c>
    </row>
    <row r="45" spans="1:8">
      <c r="A45" s="58" t="s">
        <v>342</v>
      </c>
      <c r="B45" s="66">
        <v>58.191000000000003</v>
      </c>
      <c r="C45" s="66">
        <v>8.2336200000000002</v>
      </c>
      <c r="D45" s="66">
        <v>0.14149300000000001</v>
      </c>
      <c r="E45" s="66">
        <v>0</v>
      </c>
      <c r="F45" s="66">
        <v>39.149000000000001</v>
      </c>
      <c r="G45" s="66">
        <v>0</v>
      </c>
      <c r="H45" s="66">
        <v>77.944000000000003</v>
      </c>
    </row>
    <row r="46" spans="1:8">
      <c r="A46" s="58" t="s">
        <v>343</v>
      </c>
      <c r="B46" s="66">
        <v>32.681899999999999</v>
      </c>
      <c r="C46" s="66">
        <v>3.5996700000000001</v>
      </c>
      <c r="D46" s="66">
        <v>0.110143</v>
      </c>
      <c r="E46" s="66">
        <v>0</v>
      </c>
      <c r="F46" s="66">
        <v>28.2165</v>
      </c>
      <c r="G46" s="66">
        <v>0</v>
      </c>
      <c r="H46" s="66">
        <v>43.359299999999998</v>
      </c>
    </row>
    <row r="47" spans="1:8">
      <c r="A47" s="58" t="s">
        <v>344</v>
      </c>
      <c r="B47" s="66">
        <v>0.76258999999999999</v>
      </c>
      <c r="C47" s="66">
        <v>0.31054100000000001</v>
      </c>
      <c r="D47" s="66">
        <v>0.407219</v>
      </c>
      <c r="E47" s="66">
        <v>0</v>
      </c>
      <c r="F47" s="66">
        <v>0.35637799999999997</v>
      </c>
      <c r="G47" s="66">
        <v>0</v>
      </c>
      <c r="H47" s="66">
        <v>1.8654900000000001</v>
      </c>
    </row>
    <row r="48" spans="1:8">
      <c r="A48" s="58" t="s">
        <v>345</v>
      </c>
      <c r="B48" s="66">
        <v>0.510023</v>
      </c>
      <c r="C48" s="66">
        <v>0.15439600000000001</v>
      </c>
      <c r="D48" s="66">
        <v>0.30272300000000002</v>
      </c>
      <c r="E48" s="66">
        <v>0</v>
      </c>
      <c r="F48" s="66">
        <v>0.38796599999999998</v>
      </c>
      <c r="G48" s="66">
        <v>0</v>
      </c>
      <c r="H48" s="66">
        <v>0.90729899999999997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3.2736999999999981</v>
      </c>
      <c r="C5" s="66">
        <f>'M2'!C5-'M1'!C5</f>
        <v>0.45618000000000025</v>
      </c>
      <c r="D5" s="66">
        <f>'M2'!D5-'M1'!D5</f>
        <v>0.47806000000000015</v>
      </c>
      <c r="E5" s="66">
        <f>'M2'!E5-'M1'!E5</f>
        <v>0</v>
      </c>
      <c r="F5" s="66">
        <f>'M2'!F5-'M1'!F5</f>
        <v>1.2612000000000023</v>
      </c>
      <c r="G5" s="66">
        <f>'M2'!G5-'M1'!G5</f>
        <v>0</v>
      </c>
      <c r="H5" s="66">
        <f>'M2'!H5-'M1'!H5</f>
        <v>3.7401000000000053</v>
      </c>
    </row>
    <row r="6" spans="1:8">
      <c r="A6" s="66" t="s">
        <v>244</v>
      </c>
      <c r="B6" s="66">
        <f>'M2'!B6-'M1'!B6</f>
        <v>2.7386999999999979</v>
      </c>
      <c r="C6" s="66">
        <f>'M2'!C6-'M1'!C6</f>
        <v>-0.50990000000000024</v>
      </c>
      <c r="D6" s="66">
        <f>'M2'!D6-'M1'!D6</f>
        <v>-2.0194500000000009</v>
      </c>
      <c r="E6" s="66">
        <f>'M2'!E6-'M1'!E6</f>
        <v>0</v>
      </c>
      <c r="F6" s="66">
        <f>'M2'!F6-'M1'!F6</f>
        <v>4.665499999999998</v>
      </c>
      <c r="G6" s="66">
        <f>'M2'!G6-'M1'!G6</f>
        <v>0</v>
      </c>
      <c r="H6" s="66">
        <f>'M2'!H6-'M1'!H6</f>
        <v>3.2435000000000045</v>
      </c>
    </row>
    <row r="7" spans="1:8">
      <c r="A7" s="66" t="s">
        <v>245</v>
      </c>
      <c r="B7" s="66">
        <f>'M2'!B7-'M1'!B7</f>
        <v>1.0136000000000003</v>
      </c>
      <c r="C7" s="66">
        <f>'M2'!C7-'M1'!C7</f>
        <v>-1.7400600000000006</v>
      </c>
      <c r="D7" s="66">
        <f>'M2'!D7-'M1'!D7</f>
        <v>-6.6311999999999998</v>
      </c>
      <c r="E7" s="66">
        <f>'M2'!E7-'M1'!E7</f>
        <v>0</v>
      </c>
      <c r="F7" s="66">
        <f>'M2'!F7-'M1'!F7</f>
        <v>6.2294</v>
      </c>
      <c r="G7" s="66">
        <f>'M2'!G7-'M1'!G7</f>
        <v>0</v>
      </c>
      <c r="H7" s="66">
        <f>'M2'!H7-'M1'!H7</f>
        <v>3.2958999999999961</v>
      </c>
    </row>
    <row r="8" spans="1:8">
      <c r="A8" s="66" t="s">
        <v>246</v>
      </c>
      <c r="B8" s="66">
        <f>'M2'!B8-'M1'!B8</f>
        <v>1.9073999999999955</v>
      </c>
      <c r="C8" s="66">
        <f>'M2'!C8-'M1'!C8</f>
        <v>-1.3805499999999999</v>
      </c>
      <c r="D8" s="66">
        <f>'M2'!D8-'M1'!D8</f>
        <v>-4.2156400000000005</v>
      </c>
      <c r="E8" s="66">
        <f>'M2'!E8-'M1'!E8</f>
        <v>0</v>
      </c>
      <c r="F8" s="66">
        <f>'M2'!F8-'M1'!F8</f>
        <v>6.9607000000000028</v>
      </c>
      <c r="G8" s="66">
        <f>'M2'!G8-'M1'!G8</f>
        <v>0</v>
      </c>
      <c r="H8" s="66">
        <f>'M2'!H8-'M1'!H8</f>
        <v>1.402000000000001</v>
      </c>
    </row>
    <row r="9" spans="1:8">
      <c r="A9" s="66" t="s">
        <v>247</v>
      </c>
      <c r="B9" s="66">
        <f>'M2'!B9-'M1'!B9</f>
        <v>19.672899999999998</v>
      </c>
      <c r="C9" s="66">
        <f>'M2'!C9-'M1'!C9</f>
        <v>-2.7721599999999995</v>
      </c>
      <c r="D9" s="66">
        <f>'M2'!D9-'M1'!D9</f>
        <v>-13.990199999999998</v>
      </c>
      <c r="E9" s="66">
        <f>'M2'!E9-'M1'!E9</f>
        <v>0</v>
      </c>
      <c r="F9" s="66">
        <f>'M2'!F9-'M1'!F9</f>
        <v>4.7574000000000005</v>
      </c>
      <c r="G9" s="66">
        <f>'M2'!G9-'M1'!G9</f>
        <v>0</v>
      </c>
      <c r="H9" s="66">
        <f>'M2'!H9-'M1'!H9</f>
        <v>-1.1174000000000035</v>
      </c>
    </row>
    <row r="10" spans="1:8">
      <c r="A10" s="66" t="s">
        <v>248</v>
      </c>
      <c r="B10" s="66">
        <f>'M2'!B10-'M1'!B10</f>
        <v>-5.1443000000000012</v>
      </c>
      <c r="C10" s="66">
        <f>'M2'!C10-'M1'!C10</f>
        <v>4.7439999999999927E-2</v>
      </c>
      <c r="D10" s="66">
        <f>'M2'!D10-'M1'!D10</f>
        <v>0.34191999999999956</v>
      </c>
      <c r="E10" s="66">
        <f>'M2'!E10-'M1'!E10</f>
        <v>0</v>
      </c>
      <c r="F10" s="66">
        <f>'M2'!F10-'M1'!F10</f>
        <v>-4.1534000000000049</v>
      </c>
      <c r="G10" s="66">
        <f>'M2'!G10-'M1'!G10</f>
        <v>0</v>
      </c>
      <c r="H10" s="66">
        <f>'M2'!H10-'M1'!H10</f>
        <v>-5.0330000000000013</v>
      </c>
    </row>
    <row r="11" spans="1:8">
      <c r="A11" s="66" t="s">
        <v>249</v>
      </c>
      <c r="B11" s="66">
        <f>'M2'!B11-'M1'!B11</f>
        <v>2.5173999999999985</v>
      </c>
      <c r="C11" s="66">
        <f>'M2'!C11-'M1'!C11</f>
        <v>-1.2652200000000002</v>
      </c>
      <c r="D11" s="66">
        <f>'M2'!D11-'M1'!D11</f>
        <v>-11.248699999999999</v>
      </c>
      <c r="E11" s="66">
        <f>'M2'!E11-'M1'!E11</f>
        <v>0</v>
      </c>
      <c r="F11" s="66">
        <f>'M2'!F11-'M1'!F11</f>
        <v>1.2508999999999997</v>
      </c>
      <c r="G11" s="66">
        <f>'M2'!G11-'M1'!G11</f>
        <v>0</v>
      </c>
      <c r="H11" s="66">
        <f>'M2'!H11-'M1'!H11</f>
        <v>0.1142000000000003</v>
      </c>
    </row>
    <row r="12" spans="1:8">
      <c r="A12" s="66" t="s">
        <v>250</v>
      </c>
      <c r="B12" s="66">
        <f>'M2'!B12-'M1'!B12</f>
        <v>8.6425000000000054</v>
      </c>
      <c r="C12" s="66">
        <f>'M2'!C12-'M1'!C12</f>
        <v>-3.2303600000000001</v>
      </c>
      <c r="D12" s="66">
        <f>'M2'!D12-'M1'!D12</f>
        <v>-6.5440100000000001</v>
      </c>
      <c r="E12" s="66">
        <f>'M2'!E12-'M1'!E12</f>
        <v>0</v>
      </c>
      <c r="F12" s="66">
        <f>'M2'!F12-'M1'!F12</f>
        <v>1.764800000000001</v>
      </c>
      <c r="G12" s="66">
        <f>'M2'!G12-'M1'!G12</f>
        <v>0</v>
      </c>
      <c r="H12" s="66">
        <f>'M2'!H12-'M1'!H12</f>
        <v>-5.9594000000000023</v>
      </c>
    </row>
    <row r="13" spans="1:8">
      <c r="A13" s="66" t="s">
        <v>251</v>
      </c>
      <c r="B13" s="66">
        <f>'M2'!B13-'M1'!B13</f>
        <v>0.12040000000000006</v>
      </c>
      <c r="C13" s="66">
        <f>'M2'!C13-'M1'!C13</f>
        <v>-0.92151999999999967</v>
      </c>
      <c r="D13" s="66">
        <f>'M2'!D13-'M1'!D13</f>
        <v>-4.0891999999999999</v>
      </c>
      <c r="E13" s="66">
        <f>'M2'!E13-'M1'!E13</f>
        <v>0</v>
      </c>
      <c r="F13" s="66">
        <f>'M2'!F13-'M1'!F13</f>
        <v>0.21519999999999939</v>
      </c>
      <c r="G13" s="66">
        <f>'M2'!G13-'M1'!G13</f>
        <v>0</v>
      </c>
      <c r="H13" s="66">
        <f>'M2'!H13-'M1'!H13</f>
        <v>-1.2678000000000011</v>
      </c>
    </row>
    <row r="14" spans="1:8">
      <c r="A14" s="66" t="s">
        <v>252</v>
      </c>
      <c r="B14" s="66">
        <f>'M2'!B14-'M1'!B14</f>
        <v>-9.2152000000000029</v>
      </c>
      <c r="C14" s="66">
        <f>'M2'!C14-'M1'!C14</f>
        <v>1.9436999999999998</v>
      </c>
      <c r="D14" s="66">
        <f>'M2'!D14-'M1'!D14</f>
        <v>14.187999999999999</v>
      </c>
      <c r="E14" s="66">
        <f>'M2'!E14-'M1'!E14</f>
        <v>0</v>
      </c>
      <c r="F14" s="66">
        <f>'M2'!F14-'M1'!F14</f>
        <v>0.36927000000000021</v>
      </c>
      <c r="G14" s="66">
        <f>'M2'!G14-'M1'!G14</f>
        <v>0</v>
      </c>
      <c r="H14" s="66">
        <f>'M2'!H14-'M1'!H14</f>
        <v>-1.6058999999999983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-4.6698000000000017E-2</v>
      </c>
      <c r="C18" s="66">
        <f>'M2'!C18-'M1'!C18</f>
        <v>1.23949E-2</v>
      </c>
      <c r="D18" s="66">
        <f>'M2'!D18-'M1'!D18</f>
        <v>4.40317E-2</v>
      </c>
      <c r="E18" s="66">
        <f>'M2'!E18-'M1'!E18</f>
        <v>0</v>
      </c>
      <c r="F18" s="66">
        <f>'M2'!F18-'M1'!F18</f>
        <v>0.26910600000000001</v>
      </c>
      <c r="G18" s="66">
        <f>'M2'!G18-'M1'!G18</f>
        <v>0</v>
      </c>
      <c r="H18" s="66">
        <f>'M2'!H18-'M1'!H18</f>
        <v>0.29389599999999999</v>
      </c>
    </row>
    <row r="19" spans="1:8">
      <c r="A19" s="66" t="s">
        <v>256</v>
      </c>
      <c r="B19" s="66">
        <f>'M2'!B19-'M1'!B19</f>
        <v>2.310599999999996E-2</v>
      </c>
      <c r="C19" s="66">
        <f>'M2'!C19-'M1'!C19</f>
        <v>2.3030899999999998E-3</v>
      </c>
      <c r="D19" s="66">
        <f>'M2'!D19-'M1'!D19</f>
        <v>3.8033699999999999E-3</v>
      </c>
      <c r="E19" s="66">
        <f>'M2'!E19-'M1'!E19</f>
        <v>0</v>
      </c>
      <c r="F19" s="66">
        <f>'M2'!F19-'M1'!F19</f>
        <v>0.60323700000000002</v>
      </c>
      <c r="G19" s="66">
        <f>'M2'!G19-'M1'!G19</f>
        <v>0</v>
      </c>
      <c r="H19" s="66">
        <f>'M2'!H19-'M1'!H19</f>
        <v>0.60784300000000002</v>
      </c>
    </row>
    <row r="20" spans="1:8">
      <c r="A20" s="66" t="s">
        <v>63</v>
      </c>
      <c r="B20" s="66">
        <f>'M2'!B20-'M1'!B20</f>
        <v>-5.2618200000000004E-4</v>
      </c>
      <c r="C20" s="66">
        <f>'M2'!C20-'M1'!C20</f>
        <v>-1.1155799999999997E-2</v>
      </c>
      <c r="D20" s="66">
        <f>'M2'!D20-'M1'!D20</f>
        <v>36.337499999999999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-0.27560200000000001</v>
      </c>
    </row>
    <row r="21" spans="1:8">
      <c r="A21" s="66" t="s">
        <v>64</v>
      </c>
      <c r="B21" s="66">
        <f>'M2'!B21-'M1'!B21</f>
        <v>-3.7030799999999989E-2</v>
      </c>
      <c r="C21" s="66">
        <f>'M2'!C21-'M1'!C21</f>
        <v>-6.2943000000000013E-2</v>
      </c>
      <c r="D21" s="66">
        <f>'M2'!D21-'M1'!D21</f>
        <v>-0.11358000000000001</v>
      </c>
      <c r="E21" s="66">
        <f>'M2'!E21-'M1'!E21</f>
        <v>0</v>
      </c>
      <c r="F21" s="66">
        <f>'M2'!F21-'M1'!F21</f>
        <v>2.0184819999999998E-4</v>
      </c>
      <c r="G21" s="66">
        <f>'M2'!G21-'M1'!G21</f>
        <v>0</v>
      </c>
      <c r="H21" s="66">
        <f>'M2'!H21-'M1'!H21</f>
        <v>-0.88052399999999997</v>
      </c>
    </row>
    <row r="22" spans="1:8">
      <c r="A22" s="66" t="s">
        <v>65</v>
      </c>
      <c r="B22" s="66">
        <f>'M2'!B22-'M1'!B22</f>
        <v>-1.0497999999999976</v>
      </c>
      <c r="C22" s="66">
        <f>'M2'!C22-'M1'!C22</f>
        <v>6.8832999999999984</v>
      </c>
      <c r="D22" s="66">
        <f>'M2'!D22-'M1'!D22</f>
        <v>0.134324</v>
      </c>
      <c r="E22" s="66">
        <f>'M2'!E22-'M1'!E22</f>
        <v>0</v>
      </c>
      <c r="F22" s="66">
        <f>'M2'!F22-'M1'!F22</f>
        <v>1.9229000000000021</v>
      </c>
      <c r="G22" s="66">
        <f>'M2'!G22-'M1'!G22</f>
        <v>0</v>
      </c>
      <c r="H22" s="66">
        <f>'M2'!H22-'M1'!H22</f>
        <v>73.707000000000008</v>
      </c>
    </row>
    <row r="23" spans="1:8">
      <c r="A23" s="66" t="s">
        <v>66</v>
      </c>
      <c r="B23" s="66">
        <f>'M2'!B23-'M1'!B23</f>
        <v>-0.93140000000000001</v>
      </c>
      <c r="C23" s="66">
        <f>'M2'!C23-'M1'!C23</f>
        <v>1.7400000000000082E-2</v>
      </c>
      <c r="D23" s="66">
        <f>'M2'!D23-'M1'!D23</f>
        <v>3.6191000000000001E-3</v>
      </c>
      <c r="E23" s="66">
        <f>'M2'!E23-'M1'!E23</f>
        <v>0</v>
      </c>
      <c r="F23" s="66">
        <f>'M2'!F23-'M1'!F23</f>
        <v>-0.50110000000000099</v>
      </c>
      <c r="G23" s="66">
        <f>'M2'!G23-'M1'!G23</f>
        <v>0</v>
      </c>
      <c r="H23" s="66">
        <f>'M2'!H23-'M1'!H23</f>
        <v>3.67999999999995E-2</v>
      </c>
    </row>
    <row r="24" spans="1:8">
      <c r="A24" s="66" t="s">
        <v>67</v>
      </c>
      <c r="B24" s="66">
        <f>'M2'!B24-'M1'!B24</f>
        <v>-3.4364599999999997E-3</v>
      </c>
      <c r="C24" s="66">
        <f>'M2'!C24-'M1'!C24</f>
        <v>-8.6055999999999997E-3</v>
      </c>
      <c r="D24" s="66">
        <f>'M2'!D24-'M1'!D24</f>
        <v>1.5281699999999998</v>
      </c>
      <c r="E24" s="66">
        <f>'M2'!E24-'M1'!E24</f>
        <v>0</v>
      </c>
      <c r="F24" s="66">
        <f>'M2'!F24-'M1'!F24</f>
        <v>6.4478000000000029E-6</v>
      </c>
      <c r="G24" s="66">
        <f>'M2'!G24-'M1'!G24</f>
        <v>0</v>
      </c>
      <c r="H24" s="66">
        <f>'M2'!H24-'M1'!H24</f>
        <v>-0.14096180000000003</v>
      </c>
    </row>
    <row r="25" spans="1:8">
      <c r="A25" s="66" t="s">
        <v>68</v>
      </c>
      <c r="B25" s="66">
        <f>'M2'!B25-'M1'!B25</f>
        <v>-2.0810999999999996E-2</v>
      </c>
      <c r="C25" s="66">
        <f>'M2'!C25-'M1'!C25</f>
        <v>-4.7782299999999993E-2</v>
      </c>
      <c r="D25" s="66">
        <f>'M2'!D25-'M1'!D25</f>
        <v>-0.25841899999999995</v>
      </c>
      <c r="E25" s="66">
        <f>'M2'!E25-'M1'!E25</f>
        <v>0</v>
      </c>
      <c r="F25" s="66">
        <f>'M2'!F25-'M1'!F25</f>
        <v>-1.2971400000000001E-2</v>
      </c>
      <c r="G25" s="66">
        <f>'M2'!G25-'M1'!G25</f>
        <v>0</v>
      </c>
      <c r="H25" s="66">
        <f>'M2'!H25-'M1'!H25</f>
        <v>-0.28812000000000004</v>
      </c>
    </row>
    <row r="26" spans="1:8">
      <c r="A26" s="66" t="s">
        <v>69</v>
      </c>
      <c r="B26" s="66">
        <f>'M2'!B26-'M1'!B26</f>
        <v>-1.362267E-4</v>
      </c>
      <c r="C26" s="66">
        <f>'M2'!C26-'M1'!C26</f>
        <v>-1.19316E-3</v>
      </c>
      <c r="D26" s="66">
        <f>'M2'!D26-'M1'!D26</f>
        <v>3.4720999999999993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-2.8781520000000005E-2</v>
      </c>
    </row>
    <row r="27" spans="1:8">
      <c r="A27" s="66" t="s">
        <v>70</v>
      </c>
      <c r="B27" s="66">
        <f>'M2'!B27-'M1'!B27</f>
        <v>3.2825699999999997E-6</v>
      </c>
      <c r="C27" s="66">
        <f>'M2'!C27-'M1'!C27</f>
        <v>-5.439100000000001E-4</v>
      </c>
      <c r="D27" s="66">
        <f>'M2'!D27-'M1'!D27</f>
        <v>-89.252999999999986</v>
      </c>
      <c r="E27" s="66">
        <f>'M2'!E27-'M1'!E27</f>
        <v>0</v>
      </c>
      <c r="F27" s="66">
        <f>'M2'!F27-'M1'!F27</f>
        <v>5.2980300000000004E-3</v>
      </c>
      <c r="G27" s="66">
        <f>'M2'!G27-'M1'!G27</f>
        <v>0</v>
      </c>
      <c r="H27" s="66">
        <f>'M2'!H27-'M1'!H27</f>
        <v>-1.4177440000000001E-2</v>
      </c>
    </row>
    <row r="28" spans="1:8">
      <c r="A28" s="66" t="s">
        <v>71</v>
      </c>
      <c r="B28" s="66">
        <f>'M2'!B28-'M1'!B28</f>
        <v>-1.7480900000000008E-3</v>
      </c>
      <c r="C28" s="66">
        <f>'M2'!C28-'M1'!C28</f>
        <v>-3.7590000000000002E-3</v>
      </c>
      <c r="D28" s="66">
        <f>'M2'!D28-'M1'!D28</f>
        <v>-0.14307000000000003</v>
      </c>
      <c r="E28" s="66">
        <f>'M2'!E28-'M1'!E28</f>
        <v>0</v>
      </c>
      <c r="F28" s="66">
        <f>'M2'!F28-'M1'!F28</f>
        <v>6.5104099999999999E-5</v>
      </c>
      <c r="G28" s="66">
        <f>'M2'!G28-'M1'!G28</f>
        <v>0</v>
      </c>
      <c r="H28" s="66">
        <f>'M2'!H28-'M1'!H28</f>
        <v>-4.3408199999999994E-2</v>
      </c>
    </row>
    <row r="29" spans="1:8">
      <c r="A29" s="66" t="s">
        <v>72</v>
      </c>
      <c r="B29" s="66">
        <f>'M2'!B29-'M1'!B29</f>
        <v>-2.3198000000000008</v>
      </c>
      <c r="C29" s="66">
        <f>'M2'!C29-'M1'!C29</f>
        <v>0.73320000000000007</v>
      </c>
      <c r="D29" s="66">
        <f>'M2'!D29-'M1'!D29</f>
        <v>1.4155000000000001E-2</v>
      </c>
      <c r="E29" s="66">
        <f>'M2'!E29-'M1'!E29</f>
        <v>0</v>
      </c>
      <c r="F29" s="66">
        <f>'M2'!F29-'M1'!F29</f>
        <v>-0.904200000000003</v>
      </c>
      <c r="G29" s="66">
        <f>'M2'!G29-'M1'!G29</f>
        <v>0</v>
      </c>
      <c r="H29" s="66">
        <f>'M2'!H29-'M1'!H29</f>
        <v>18.813099999999991</v>
      </c>
    </row>
    <row r="30" spans="1:8">
      <c r="A30" s="66" t="s">
        <v>73</v>
      </c>
      <c r="B30" s="66">
        <f>'M2'!B30-'M1'!B30</f>
        <v>2.1944000000000017</v>
      </c>
      <c r="C30" s="66">
        <f>'M2'!C30-'M1'!C30</f>
        <v>0.86987999999999976</v>
      </c>
      <c r="D30" s="66">
        <f>'M2'!D30-'M1'!D30</f>
        <v>2.4957199999999999E-2</v>
      </c>
      <c r="E30" s="66">
        <f>'M2'!E30-'M1'!E30</f>
        <v>0</v>
      </c>
      <c r="F30" s="66">
        <f>'M2'!F30-'M1'!F30</f>
        <v>0.39430000000000121</v>
      </c>
      <c r="G30" s="66">
        <f>'M2'!G30-'M1'!G30</f>
        <v>0</v>
      </c>
      <c r="H30" s="66">
        <f>'M2'!H30-'M1'!H30</f>
        <v>3.5939999999999976</v>
      </c>
    </row>
    <row r="31" spans="1:8">
      <c r="A31" s="66" t="s">
        <v>74</v>
      </c>
      <c r="B31" s="66">
        <f>'M2'!B31-'M1'!B31</f>
        <v>-32.086999999999989</v>
      </c>
      <c r="C31" s="66">
        <f>'M2'!C31-'M1'!C31</f>
        <v>-10.214700000000001</v>
      </c>
      <c r="D31" s="66">
        <f>'M2'!D31-'M1'!D31</f>
        <v>-1.8606999999999985E-2</v>
      </c>
      <c r="E31" s="66">
        <f>'M2'!E31-'M1'!E31</f>
        <v>0</v>
      </c>
      <c r="F31" s="66">
        <f>'M2'!F31-'M1'!F31</f>
        <v>-0.25399999999996226</v>
      </c>
      <c r="G31" s="66">
        <f>'M2'!G31-'M1'!G31</f>
        <v>0</v>
      </c>
      <c r="H31" s="66">
        <f>'M2'!H31-'M1'!H31</f>
        <v>-25.213999999999999</v>
      </c>
    </row>
    <row r="32" spans="1:8">
      <c r="A32" s="66" t="s">
        <v>75</v>
      </c>
      <c r="B32" s="66">
        <f>'M2'!B32-'M1'!B32</f>
        <v>1.0135999999999978E-2</v>
      </c>
      <c r="C32" s="66">
        <f>'M2'!C32-'M1'!C32</f>
        <v>-1.7400599999999995E-2</v>
      </c>
      <c r="D32" s="66">
        <f>'M2'!D32-'M1'!D32</f>
        <v>-6.6311999999999982E-2</v>
      </c>
      <c r="E32" s="66">
        <f>'M2'!E32-'M1'!E32</f>
        <v>0</v>
      </c>
      <c r="F32" s="66">
        <f>'M2'!F32-'M1'!F32</f>
        <v>6.2294000000000016E-2</v>
      </c>
      <c r="G32" s="66">
        <f>'M2'!G32-'M1'!G32</f>
        <v>0</v>
      </c>
      <c r="H32" s="66">
        <f>'M2'!H32-'M1'!H32</f>
        <v>3.2959000000000016E-2</v>
      </c>
    </row>
    <row r="33" spans="1:8">
      <c r="A33" s="66" t="s">
        <v>76</v>
      </c>
      <c r="B33" s="66">
        <f>'M2'!B33-'M1'!B33</f>
        <v>-1.6996000000000011E-2</v>
      </c>
      <c r="C33" s="66">
        <f>'M2'!C33-'M1'!C33</f>
        <v>-1.1829999999999997E-2</v>
      </c>
      <c r="D33" s="66">
        <f>'M2'!D33-'M1'!D33</f>
        <v>-2.8745400000000004E-2</v>
      </c>
      <c r="E33" s="66">
        <f>'M2'!E33-'M1'!E33</f>
        <v>0</v>
      </c>
      <c r="F33" s="66">
        <f>'M2'!F33-'M1'!F33</f>
        <v>1.7747000000000013E-2</v>
      </c>
      <c r="G33" s="66">
        <f>'M2'!G33-'M1'!G33</f>
        <v>0</v>
      </c>
      <c r="H33" s="66">
        <f>'M2'!H33-'M1'!H33</f>
        <v>-1.7269999999999786E-3</v>
      </c>
    </row>
    <row r="34" spans="1:8">
      <c r="A34" s="66" t="s">
        <v>77</v>
      </c>
      <c r="B34" s="66">
        <f>'M2'!B34-'M1'!B34</f>
        <v>1.2039999999999829E-3</v>
      </c>
      <c r="C34" s="66">
        <f>'M2'!C34-'M1'!C34</f>
        <v>-9.2151999999999998E-3</v>
      </c>
      <c r="D34" s="66">
        <f>'M2'!D34-'M1'!D34</f>
        <v>-4.0892000000000012E-2</v>
      </c>
      <c r="E34" s="66">
        <f>'M2'!E34-'M1'!E34</f>
        <v>0</v>
      </c>
      <c r="F34" s="66">
        <f>'M2'!F34-'M1'!F34</f>
        <v>2.1519999999999873E-3</v>
      </c>
      <c r="G34" s="66">
        <f>'M2'!G34-'M1'!G34</f>
        <v>0</v>
      </c>
      <c r="H34" s="66">
        <f>'M2'!H34-'M1'!H34</f>
        <v>-1.2678000000000023E-2</v>
      </c>
    </row>
    <row r="35" spans="1:8">
      <c r="A35" s="66" t="s">
        <v>78</v>
      </c>
      <c r="B35" s="66">
        <f>'M2'!B35-'M1'!B35</f>
        <v>9.8763000000000045E-3</v>
      </c>
      <c r="C35" s="66">
        <f>'M2'!C35-'M1'!C35</f>
        <v>-5.5926000000000031E-3</v>
      </c>
      <c r="D35" s="66">
        <f>'M2'!D35-'M1'!D35</f>
        <v>-9.3579999999999997E-2</v>
      </c>
      <c r="E35" s="66">
        <f>'M2'!E35-'M1'!E35</f>
        <v>0</v>
      </c>
      <c r="F35" s="66">
        <f>'M2'!F35-'M1'!F35</f>
        <v>1.5426200000000001E-2</v>
      </c>
      <c r="G35" s="66">
        <f>'M2'!G35-'M1'!G35</f>
        <v>0</v>
      </c>
      <c r="H35" s="66">
        <f>'M2'!H35-'M1'!H35</f>
        <v>-1.235E-2</v>
      </c>
    </row>
    <row r="36" spans="1:8">
      <c r="A36" s="66" t="s">
        <v>79</v>
      </c>
      <c r="B36" s="66">
        <f>'M2'!B36-'M1'!B36</f>
        <v>-1.0614000000000012E-2</v>
      </c>
      <c r="C36" s="66">
        <f>'M2'!C36-'M1'!C36</f>
        <v>-1.5399999999999997E-3</v>
      </c>
      <c r="D36" s="66">
        <f>'M2'!D36-'M1'!D36</f>
        <v>1.9778999999999991E-2</v>
      </c>
      <c r="E36" s="66">
        <f>'M2'!E36-'M1'!E36</f>
        <v>0</v>
      </c>
      <c r="F36" s="66">
        <f>'M2'!F36-'M1'!F36</f>
        <v>-8.4680000000000033E-3</v>
      </c>
      <c r="G36" s="66">
        <f>'M2'!G36-'M1'!G36</f>
        <v>0</v>
      </c>
      <c r="H36" s="66">
        <f>'M2'!H36-'M1'!H36</f>
        <v>-2.1330999999999989E-2</v>
      </c>
    </row>
    <row r="37" spans="1:8">
      <c r="A37" s="66" t="s">
        <v>80</v>
      </c>
      <c r="B37" s="66">
        <f>'M2'!B37-'M1'!B37</f>
        <v>-9.2152000000000012E-2</v>
      </c>
      <c r="C37" s="66">
        <f>'M2'!C37-'M1'!C37</f>
        <v>1.943700000000001E-2</v>
      </c>
      <c r="D37" s="66">
        <f>'M2'!D37-'M1'!D37</f>
        <v>0.14188000000000001</v>
      </c>
      <c r="E37" s="66">
        <f>'M2'!E37-'M1'!E37</f>
        <v>0</v>
      </c>
      <c r="F37" s="66">
        <f>'M2'!F37-'M1'!F37</f>
        <v>3.6926999999999967E-3</v>
      </c>
      <c r="G37" s="66">
        <f>'M2'!G37-'M1'!G37</f>
        <v>0</v>
      </c>
      <c r="H37" s="66">
        <f>'M2'!H37-'M1'!H37</f>
        <v>-1.605899999999999E-2</v>
      </c>
    </row>
    <row r="38" spans="1:8">
      <c r="A38" s="66" t="s">
        <v>81</v>
      </c>
      <c r="B38" s="66">
        <f>'M2'!B38-'M1'!B38</f>
        <v>-3.747539999999999</v>
      </c>
      <c r="C38" s="66">
        <f>'M2'!C38-'M1'!C38</f>
        <v>2.6092000000000013</v>
      </c>
      <c r="D38" s="66">
        <f>'M2'!D38-'M1'!D38</f>
        <v>0.93780999999999981</v>
      </c>
      <c r="E38" s="66">
        <f>'M2'!E38-'M1'!E38</f>
        <v>0</v>
      </c>
      <c r="F38" s="66">
        <f>'M2'!F38-'M1'!F38</f>
        <v>-91.59099999999998</v>
      </c>
      <c r="G38" s="66">
        <f>'M2'!G38-'M1'!G38</f>
        <v>0</v>
      </c>
      <c r="H38" s="66">
        <f>'M2'!H38-'M1'!H38</f>
        <v>-113.11300000000001</v>
      </c>
    </row>
    <row r="39" spans="1:8">
      <c r="A39" s="66" t="s">
        <v>82</v>
      </c>
      <c r="B39" s="66">
        <f>'M2'!B39-'M1'!B39</f>
        <v>-0.61007000000000033</v>
      </c>
      <c r="C39" s="66">
        <f>'M2'!C39-'M1'!C39</f>
        <v>0.35862000000000016</v>
      </c>
      <c r="D39" s="66">
        <f>'M2'!D39-'M1'!D39</f>
        <v>-1.7530000000000046E-3</v>
      </c>
      <c r="E39" s="66">
        <f>'M2'!E39-'M1'!E39</f>
        <v>0</v>
      </c>
      <c r="F39" s="66">
        <f>'M2'!F39-'M1'!F39</f>
        <v>-1.6074999999999999</v>
      </c>
      <c r="G39" s="66">
        <f>'M2'!G39-'M1'!G39</f>
        <v>0</v>
      </c>
      <c r="H39" s="66">
        <f>'M2'!H39-'M1'!H39</f>
        <v>1.03437</v>
      </c>
    </row>
    <row r="40" spans="1:8">
      <c r="A40" s="66" t="s">
        <v>83</v>
      </c>
      <c r="B40" s="66">
        <f>'M2'!B40-'M1'!B40</f>
        <v>2.204000000000006E-2</v>
      </c>
      <c r="C40" s="66">
        <f>'M2'!C40-'M1'!C40</f>
        <v>-0.52815499999999993</v>
      </c>
      <c r="D40" s="66">
        <f>'M2'!D40-'M1'!D40</f>
        <v>0.15379100000000001</v>
      </c>
      <c r="E40" s="66">
        <f>'M2'!E40-'M1'!E40</f>
        <v>0</v>
      </c>
      <c r="F40" s="66">
        <f>'M2'!F40-'M1'!F40</f>
        <v>0.93742000000000036</v>
      </c>
      <c r="G40" s="66">
        <f>'M2'!G40-'M1'!G40</f>
        <v>0</v>
      </c>
      <c r="H40" s="66">
        <f>'M2'!H40-'M1'!H40</f>
        <v>-0.87257999999999991</v>
      </c>
    </row>
    <row r="41" spans="1:8">
      <c r="A41" s="66" t="s">
        <v>84</v>
      </c>
      <c r="B41" s="66">
        <f>'M2'!B41-'M1'!B41</f>
        <v>-2.1912399999999999E-2</v>
      </c>
      <c r="C41" s="66">
        <f>'M2'!C41-'M1'!C41</f>
        <v>2.3544000000000037E-2</v>
      </c>
      <c r="D41" s="66">
        <f>'M2'!D41-'M1'!D41</f>
        <v>0.33049999999999979</v>
      </c>
      <c r="E41" s="66">
        <f>'M2'!E41-'M1'!E41</f>
        <v>0</v>
      </c>
      <c r="F41" s="66">
        <f>'M2'!F41-'M1'!F41</f>
        <v>-0.22224100000000002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-1.6294000000000003E-2</v>
      </c>
      <c r="C42" s="66">
        <f>'M2'!C42-'M1'!C42</f>
        <v>-2.3381299999999994E-2</v>
      </c>
      <c r="D42" s="66">
        <f>'M2'!D42-'M1'!D42</f>
        <v>0.18932899999999997</v>
      </c>
      <c r="E42" s="66">
        <f>'M2'!E42-'M1'!E42</f>
        <v>0</v>
      </c>
      <c r="F42" s="66">
        <f>'M2'!F42-'M1'!F42</f>
        <v>-1.4097999999999999E-2</v>
      </c>
      <c r="G42" s="66">
        <f>'M2'!G42-'M1'!G42</f>
        <v>0</v>
      </c>
      <c r="H42" s="66">
        <f>'M2'!H42-'M1'!H42</f>
        <v>-0.19581319999999999</v>
      </c>
    </row>
    <row r="43" spans="1:8">
      <c r="A43" s="66" t="s">
        <v>86</v>
      </c>
      <c r="B43" s="66">
        <f>'M2'!B43-'M1'!B43</f>
        <v>-5.2555999999999992E-2</v>
      </c>
      <c r="C43" s="66">
        <f>'M2'!C43-'M1'!C43</f>
        <v>-5.0111099999999999E-2</v>
      </c>
      <c r="D43" s="66">
        <f>'M2'!D43-'M1'!D43</f>
        <v>0.43367999999999995</v>
      </c>
      <c r="E43" s="66">
        <f>'M2'!E43-'M1'!E43</f>
        <v>0</v>
      </c>
      <c r="F43" s="66">
        <f>'M2'!F43-'M1'!F43</f>
        <v>-2.0890000000000075E-3</v>
      </c>
      <c r="G43" s="66">
        <f>'M2'!G43-'M1'!G43</f>
        <v>0</v>
      </c>
      <c r="H43" s="66">
        <f>'M2'!H43-'M1'!H43</f>
        <v>-0.1476835</v>
      </c>
    </row>
    <row r="44" spans="1:8">
      <c r="A44" s="66" t="s">
        <v>87</v>
      </c>
      <c r="B44" s="66">
        <f>'M2'!B44-'M1'!B44</f>
        <v>17.213900000000002</v>
      </c>
      <c r="C44" s="66">
        <f>'M2'!C44-'M1'!C44</f>
        <v>-13.119799999999998</v>
      </c>
      <c r="D44" s="66">
        <f>'M2'!D44-'M1'!D44</f>
        <v>-0.47537000000000001</v>
      </c>
      <c r="E44" s="66">
        <f>'M2'!E44-'M1'!E44</f>
        <v>0</v>
      </c>
      <c r="F44" s="66">
        <f>'M2'!F44-'M1'!F44</f>
        <v>42.403819999999996</v>
      </c>
      <c r="G44" s="66">
        <f>'M2'!G44-'M1'!G44</f>
        <v>0</v>
      </c>
      <c r="H44" s="66">
        <f>'M2'!H44-'M1'!H44</f>
        <v>9.7472000000000065</v>
      </c>
    </row>
    <row r="45" spans="1:8">
      <c r="A45" s="66" t="s">
        <v>88</v>
      </c>
      <c r="B45" s="66">
        <f>'M2'!B45-'M1'!B45</f>
        <v>2.4543999999999997</v>
      </c>
      <c r="C45" s="66">
        <f>'M2'!C45-'M1'!C45</f>
        <v>-1.2247300000000001</v>
      </c>
      <c r="D45" s="66">
        <f>'M2'!D45-'M1'!D45</f>
        <v>-2.695800000000001E-2</v>
      </c>
      <c r="E45" s="66">
        <f>'M2'!E45-'M1'!E45</f>
        <v>0</v>
      </c>
      <c r="F45" s="66">
        <f>'M2'!F45-'M1'!F45</f>
        <v>2.9395999999999987</v>
      </c>
      <c r="G45" s="66">
        <f>'M2'!G45-'M1'!G45</f>
        <v>0</v>
      </c>
      <c r="H45" s="66">
        <f>'M2'!H45-'M1'!H45</f>
        <v>1.6376000000000062</v>
      </c>
    </row>
    <row r="46" spans="1:8">
      <c r="A46" s="66" t="s">
        <v>89</v>
      </c>
      <c r="B46" s="66">
        <f>'M2'!B46-'M1'!B46</f>
        <v>4.471700000000002</v>
      </c>
      <c r="C46" s="66">
        <f>'M2'!C46-'M1'!C46</f>
        <v>1.3269800000000003</v>
      </c>
      <c r="D46" s="66">
        <f>'M2'!D46-'M1'!D46</f>
        <v>2.9266800000000009E-2</v>
      </c>
      <c r="E46" s="66">
        <f>'M2'!E46-'M1'!E46</f>
        <v>0</v>
      </c>
      <c r="F46" s="66">
        <f>'M2'!F46-'M1'!F46</f>
        <v>2.264800000000001</v>
      </c>
      <c r="G46" s="66">
        <f>'M2'!G46-'M1'!G46</f>
        <v>0</v>
      </c>
      <c r="H46" s="66">
        <f>'M2'!H46-'M1'!H46</f>
        <v>7.5556999999999945</v>
      </c>
    </row>
    <row r="47" spans="1:8">
      <c r="A47" s="66" t="s">
        <v>90</v>
      </c>
      <c r="B47" s="66">
        <f>'M2'!B47-'M1'!B47</f>
        <v>-9.8589999999999511E-3</v>
      </c>
      <c r="C47" s="66">
        <f>'M2'!C47-'M1'!C47</f>
        <v>-3.4034000000000009E-2</v>
      </c>
      <c r="D47" s="66">
        <f>'M2'!D47-'M1'!D47</f>
        <v>-3.9579000000000031E-2</v>
      </c>
      <c r="E47" s="66">
        <f>'M2'!E47-'M1'!E47</f>
        <v>0</v>
      </c>
      <c r="F47" s="66">
        <f>'M2'!F47-'M1'!F47</f>
        <v>-4.5905000000000029E-2</v>
      </c>
      <c r="G47" s="66">
        <f>'M2'!G47-'M1'!G47</f>
        <v>0</v>
      </c>
      <c r="H47" s="66">
        <f>'M2'!H47-'M1'!H47</f>
        <v>5.3940000000000099E-2</v>
      </c>
    </row>
    <row r="48" spans="1:8">
      <c r="A48" s="66" t="s">
        <v>91</v>
      </c>
      <c r="B48" s="66">
        <f>'M2'!B48-'M1'!B48</f>
        <v>6.4166000000000001E-2</v>
      </c>
      <c r="C48" s="66">
        <f>'M2'!C48-'M1'!C48</f>
        <v>-5.2126999999999979E-2</v>
      </c>
      <c r="D48" s="66">
        <f>'M2'!D48-'M1'!D48</f>
        <v>-0.14477799999999999</v>
      </c>
      <c r="E48" s="66">
        <f>'M2'!E48-'M1'!E48</f>
        <v>0</v>
      </c>
      <c r="F48" s="66">
        <f>'M2'!F48-'M1'!F48</f>
        <v>-2.073000000000047E-3</v>
      </c>
      <c r="G48" s="66">
        <f>'M2'!G48-'M1'!G48</f>
        <v>0</v>
      </c>
      <c r="H48" s="66">
        <f>'M2'!H48-'M1'!H48</f>
        <v>-9.9677000000000016E-2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42.444800000000001</v>
      </c>
      <c r="C5" s="66">
        <v>3.0809199999999999</v>
      </c>
      <c r="D5" s="66">
        <v>7.2586500000000003</v>
      </c>
      <c r="E5" s="66">
        <v>20</v>
      </c>
      <c r="F5" s="66">
        <v>37.758499999999998</v>
      </c>
      <c r="G5" s="66">
        <v>50</v>
      </c>
      <c r="H5" s="66">
        <v>50.015099999999997</v>
      </c>
    </row>
    <row r="6" spans="1:8">
      <c r="A6" s="66" t="s">
        <v>358</v>
      </c>
      <c r="B6" s="66">
        <v>31.744499999999999</v>
      </c>
      <c r="C6" s="66">
        <v>2.1615000000000002</v>
      </c>
      <c r="D6" s="66">
        <v>6.8090400000000004</v>
      </c>
      <c r="E6" s="66">
        <v>20</v>
      </c>
      <c r="F6" s="66">
        <v>26.8535</v>
      </c>
      <c r="G6" s="66">
        <v>40</v>
      </c>
      <c r="H6" s="66">
        <v>34.609499999999997</v>
      </c>
    </row>
    <row r="7" spans="1:8">
      <c r="A7" s="66" t="s">
        <v>359</v>
      </c>
      <c r="B7" s="66">
        <v>28.539300000000001</v>
      </c>
      <c r="C7" s="66">
        <v>6.1842100000000002</v>
      </c>
      <c r="D7" s="66">
        <v>21.6691</v>
      </c>
      <c r="E7" s="66">
        <v>15</v>
      </c>
      <c r="F7" s="66">
        <v>12.968400000000001</v>
      </c>
      <c r="G7" s="66">
        <v>40</v>
      </c>
      <c r="H7" s="66">
        <v>37.770600000000002</v>
      </c>
    </row>
    <row r="8" spans="1:8">
      <c r="A8" s="66" t="s">
        <v>360</v>
      </c>
      <c r="B8" s="66">
        <v>34.416200000000003</v>
      </c>
      <c r="C8" s="66">
        <v>2.7195499999999999</v>
      </c>
      <c r="D8" s="66">
        <v>7.9019500000000003</v>
      </c>
      <c r="E8" s="66">
        <v>20</v>
      </c>
      <c r="F8" s="66">
        <v>27.175899999999999</v>
      </c>
      <c r="G8" s="66">
        <v>50</v>
      </c>
      <c r="H8" s="66">
        <v>37.935499999999998</v>
      </c>
    </row>
    <row r="9" spans="1:8">
      <c r="A9" s="66" t="s">
        <v>361</v>
      </c>
      <c r="B9" s="66">
        <v>41.938800000000001</v>
      </c>
      <c r="C9" s="66">
        <v>12.4656</v>
      </c>
      <c r="D9" s="66">
        <v>29.723299999999998</v>
      </c>
      <c r="E9" s="66">
        <v>50</v>
      </c>
      <c r="F9" s="66">
        <v>31.276599999999998</v>
      </c>
      <c r="G9" s="66">
        <v>100</v>
      </c>
      <c r="H9" s="66">
        <v>73.670100000000005</v>
      </c>
    </row>
    <row r="10" spans="1:8">
      <c r="A10" s="66" t="s">
        <v>362</v>
      </c>
      <c r="B10" s="66">
        <v>75.664699999999996</v>
      </c>
      <c r="C10" s="66">
        <v>2.8488600000000002</v>
      </c>
      <c r="D10" s="66">
        <v>3.76512</v>
      </c>
      <c r="E10" s="66">
        <v>40</v>
      </c>
      <c r="F10" s="66">
        <v>69.875799999999998</v>
      </c>
      <c r="G10" s="66">
        <v>100</v>
      </c>
      <c r="H10" s="66">
        <v>81.239900000000006</v>
      </c>
    </row>
    <row r="11" spans="1:8">
      <c r="A11" s="66" t="s">
        <v>363</v>
      </c>
      <c r="B11" s="66">
        <v>15.715</v>
      </c>
      <c r="C11" s="66">
        <v>4.9046200000000004</v>
      </c>
      <c r="D11" s="66">
        <v>31.209900000000001</v>
      </c>
      <c r="E11" s="66">
        <v>10</v>
      </c>
      <c r="F11" s="66">
        <v>11.5443</v>
      </c>
      <c r="G11" s="66">
        <v>50</v>
      </c>
      <c r="H11" s="66">
        <v>25.548999999999999</v>
      </c>
    </row>
    <row r="12" spans="1:8">
      <c r="A12" s="66" t="s">
        <v>364</v>
      </c>
      <c r="B12" s="66">
        <v>57.689399999999999</v>
      </c>
      <c r="C12" s="66">
        <v>7.4119799999999998</v>
      </c>
      <c r="D12" s="66">
        <v>12.848100000000001</v>
      </c>
      <c r="E12" s="66">
        <v>50</v>
      </c>
      <c r="F12" s="66">
        <v>53.486499999999999</v>
      </c>
      <c r="G12" s="66">
        <v>100</v>
      </c>
      <c r="H12" s="66">
        <v>77.368899999999996</v>
      </c>
    </row>
    <row r="13" spans="1:8">
      <c r="A13" s="66" t="s">
        <v>365</v>
      </c>
      <c r="B13" s="66">
        <v>22.954999999999998</v>
      </c>
      <c r="C13" s="66">
        <v>4.2092299999999998</v>
      </c>
      <c r="D13" s="66">
        <v>18.3369</v>
      </c>
      <c r="E13" s="66">
        <v>10</v>
      </c>
      <c r="F13" s="66">
        <v>15.837199999999999</v>
      </c>
      <c r="G13" s="66">
        <v>25</v>
      </c>
      <c r="H13" s="66">
        <v>33.5411</v>
      </c>
    </row>
    <row r="14" spans="1:8">
      <c r="A14" s="66" t="s">
        <v>366</v>
      </c>
      <c r="B14" s="66">
        <v>42.092300000000002</v>
      </c>
      <c r="C14" s="66">
        <v>12.428100000000001</v>
      </c>
      <c r="D14" s="66">
        <v>29.5258</v>
      </c>
      <c r="E14" s="66">
        <v>10</v>
      </c>
      <c r="F14" s="66">
        <v>2.1640799999999998</v>
      </c>
      <c r="G14" s="66">
        <v>50</v>
      </c>
      <c r="H14" s="66">
        <v>45.023099999999999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0.32819900000000002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0.58243400000000001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8.4565900000000002E-4</v>
      </c>
      <c r="C20" s="66">
        <v>3.6586599999999997E-2</v>
      </c>
      <c r="D20" s="66">
        <v>43.264000000000003</v>
      </c>
      <c r="E20" s="66">
        <v>0</v>
      </c>
      <c r="F20" s="66">
        <v>0</v>
      </c>
      <c r="G20" s="66">
        <v>0</v>
      </c>
      <c r="H20" s="66">
        <v>0.446575</v>
      </c>
    </row>
    <row r="21" spans="1:8">
      <c r="A21" s="66" t="s">
        <v>373</v>
      </c>
      <c r="B21" s="66">
        <v>0.13206399999999999</v>
      </c>
      <c r="C21" s="66">
        <v>0.18598500000000001</v>
      </c>
      <c r="D21" s="66">
        <v>1.4083000000000001</v>
      </c>
      <c r="E21" s="66">
        <v>0</v>
      </c>
      <c r="F21" s="196">
        <v>3.8283800000000001E-5</v>
      </c>
      <c r="G21" s="66">
        <v>0</v>
      </c>
      <c r="H21" s="66">
        <v>1.39116</v>
      </c>
    </row>
    <row r="22" spans="1:8">
      <c r="A22" s="66" t="s">
        <v>374</v>
      </c>
      <c r="B22" s="66">
        <v>54.411299999999997</v>
      </c>
      <c r="C22" s="66">
        <v>14.7409</v>
      </c>
      <c r="D22" s="66">
        <v>0.27091599999999999</v>
      </c>
      <c r="E22" s="66">
        <v>0</v>
      </c>
      <c r="F22" s="66">
        <v>25.712199999999999</v>
      </c>
      <c r="G22" s="66">
        <v>0</v>
      </c>
      <c r="H22" s="66">
        <v>96.003</v>
      </c>
    </row>
    <row r="23" spans="1:8">
      <c r="A23" s="66" t="s">
        <v>375</v>
      </c>
      <c r="B23" s="66">
        <v>22.157599999999999</v>
      </c>
      <c r="C23" s="66">
        <v>1.41367</v>
      </c>
      <c r="D23" s="66">
        <v>6.3800800000000005E-2</v>
      </c>
      <c r="E23" s="66">
        <v>0</v>
      </c>
      <c r="F23" s="66">
        <v>19.0717</v>
      </c>
      <c r="G23" s="66">
        <v>0</v>
      </c>
      <c r="H23" s="66">
        <v>24.387599999999999</v>
      </c>
    </row>
    <row r="24" spans="1:8">
      <c r="A24" s="66" t="s">
        <v>376</v>
      </c>
      <c r="B24" s="66">
        <v>5.9959899999999997E-3</v>
      </c>
      <c r="C24" s="66">
        <v>2.1839899999999999E-2</v>
      </c>
      <c r="D24" s="66">
        <v>3.64242</v>
      </c>
      <c r="E24" s="66">
        <v>0</v>
      </c>
      <c r="F24" s="196">
        <v>1.6569799999999998E-5</v>
      </c>
      <c r="G24" s="66">
        <v>0</v>
      </c>
      <c r="H24" s="66">
        <v>0.18459500000000001</v>
      </c>
    </row>
    <row r="25" spans="1:8">
      <c r="A25" s="66" t="s">
        <v>377</v>
      </c>
      <c r="B25" s="66">
        <v>0.15482299999999999</v>
      </c>
      <c r="C25" s="66">
        <v>9.7839899999999994E-2</v>
      </c>
      <c r="D25" s="66">
        <v>0.63194799999999995</v>
      </c>
      <c r="E25" s="66">
        <v>0</v>
      </c>
      <c r="F25" s="66">
        <v>3.51811E-2</v>
      </c>
      <c r="G25" s="66">
        <v>0</v>
      </c>
      <c r="H25" s="66">
        <v>0.52265700000000004</v>
      </c>
    </row>
    <row r="26" spans="1:8">
      <c r="A26" s="66" t="s">
        <v>378</v>
      </c>
      <c r="B26" s="66">
        <v>2.3142099999999999E-4</v>
      </c>
      <c r="C26" s="66">
        <v>2.5884300000000001E-3</v>
      </c>
      <c r="D26" s="66">
        <v>11.185</v>
      </c>
      <c r="E26" s="66">
        <v>0</v>
      </c>
      <c r="F26" s="66">
        <v>0</v>
      </c>
      <c r="G26" s="66">
        <v>0</v>
      </c>
      <c r="H26" s="66">
        <v>3.5806200000000003E-2</v>
      </c>
    </row>
    <row r="27" spans="1:8">
      <c r="A27" s="66" t="s">
        <v>379</v>
      </c>
      <c r="B27" s="196">
        <v>-6.5651299999999996E-6</v>
      </c>
      <c r="C27" s="66">
        <v>1.6737900000000001E-3</v>
      </c>
      <c r="D27" s="66">
        <v>-254.952</v>
      </c>
      <c r="E27" s="66">
        <v>0</v>
      </c>
      <c r="F27" s="66">
        <v>-1.1121300000000001E-2</v>
      </c>
      <c r="G27" s="66">
        <v>0</v>
      </c>
      <c r="H27" s="66">
        <v>1.9022500000000001E-2</v>
      </c>
    </row>
    <row r="28" spans="1:8">
      <c r="A28" s="66" t="s">
        <v>380</v>
      </c>
      <c r="B28" s="66">
        <v>1.10352E-2</v>
      </c>
      <c r="C28" s="66">
        <v>1.53423E-2</v>
      </c>
      <c r="D28" s="66">
        <v>1.3903099999999999</v>
      </c>
      <c r="E28" s="66">
        <v>0</v>
      </c>
      <c r="F28" s="196">
        <v>2.2786499999999999E-5</v>
      </c>
      <c r="G28" s="66">
        <v>0</v>
      </c>
      <c r="H28" s="66">
        <v>9.0869099999999994E-2</v>
      </c>
    </row>
    <row r="29" spans="1:8">
      <c r="A29" s="66" t="s">
        <v>381</v>
      </c>
      <c r="B29" s="66">
        <v>76.988399999999999</v>
      </c>
      <c r="C29" s="66">
        <v>10.745200000000001</v>
      </c>
      <c r="D29" s="66">
        <v>0.13957</v>
      </c>
      <c r="E29" s="66">
        <v>0</v>
      </c>
      <c r="F29" s="66">
        <v>52.6708</v>
      </c>
      <c r="G29" s="66">
        <v>0</v>
      </c>
      <c r="H29" s="66">
        <v>98.003900000000002</v>
      </c>
    </row>
    <row r="30" spans="1:8">
      <c r="A30" s="66" t="s">
        <v>382</v>
      </c>
      <c r="B30" s="66">
        <v>26.575099999999999</v>
      </c>
      <c r="C30" s="66">
        <v>1.83928</v>
      </c>
      <c r="D30" s="66">
        <v>6.92107E-2</v>
      </c>
      <c r="E30" s="66">
        <v>0</v>
      </c>
      <c r="F30" s="66">
        <v>22.427</v>
      </c>
      <c r="G30" s="66">
        <v>0</v>
      </c>
      <c r="H30" s="66">
        <v>28.888000000000002</v>
      </c>
    </row>
    <row r="31" spans="1:8">
      <c r="A31" s="66" t="s">
        <v>383</v>
      </c>
      <c r="B31" s="66">
        <v>334.13099999999997</v>
      </c>
      <c r="C31" s="66">
        <v>47.845599999999997</v>
      </c>
      <c r="D31" s="66">
        <v>0.14319399999999999</v>
      </c>
      <c r="E31" s="66">
        <v>0</v>
      </c>
      <c r="F31" s="66">
        <v>260.67399999999998</v>
      </c>
      <c r="G31" s="66">
        <v>0</v>
      </c>
      <c r="H31" s="66">
        <v>434.04300000000001</v>
      </c>
    </row>
    <row r="32" spans="1:8">
      <c r="A32" s="66" t="s">
        <v>384</v>
      </c>
      <c r="B32" s="66">
        <v>0.28539300000000001</v>
      </c>
      <c r="C32" s="66">
        <v>6.1842099999999997E-2</v>
      </c>
      <c r="D32" s="66">
        <v>0.21669099999999999</v>
      </c>
      <c r="E32" s="66">
        <v>0.15</v>
      </c>
      <c r="F32" s="66">
        <v>0.12968399999999999</v>
      </c>
      <c r="G32" s="66">
        <v>0.4</v>
      </c>
      <c r="H32" s="66">
        <v>0.37770599999999999</v>
      </c>
    </row>
    <row r="33" spans="1:8">
      <c r="A33" s="66" t="s">
        <v>385</v>
      </c>
      <c r="B33" s="66">
        <v>0.37920999999999999</v>
      </c>
      <c r="C33" s="66">
        <v>3.1638899999999998E-2</v>
      </c>
      <c r="D33" s="66">
        <v>8.3433900000000005E-2</v>
      </c>
      <c r="E33" s="66">
        <v>0</v>
      </c>
      <c r="F33" s="66">
        <v>0.297649</v>
      </c>
      <c r="G33" s="66">
        <v>0</v>
      </c>
      <c r="H33" s="66">
        <v>0.40617199999999998</v>
      </c>
    </row>
    <row r="34" spans="1:8">
      <c r="A34" s="66" t="s">
        <v>386</v>
      </c>
      <c r="B34" s="66">
        <v>0.22955</v>
      </c>
      <c r="C34" s="66">
        <v>4.2092299999999999E-2</v>
      </c>
      <c r="D34" s="66">
        <v>0.183369</v>
      </c>
      <c r="E34" s="66">
        <v>0.1</v>
      </c>
      <c r="F34" s="66">
        <v>0.15837200000000001</v>
      </c>
      <c r="G34" s="66">
        <v>0.25</v>
      </c>
      <c r="H34" s="66">
        <v>0.33541100000000001</v>
      </c>
    </row>
    <row r="35" spans="1:8">
      <c r="A35" s="66" t="s">
        <v>387</v>
      </c>
      <c r="B35" s="66">
        <v>8.5744799999999996E-2</v>
      </c>
      <c r="C35" s="66">
        <v>2.9132600000000002E-2</v>
      </c>
      <c r="D35" s="66">
        <v>0.33976000000000001</v>
      </c>
      <c r="E35" s="66">
        <v>0</v>
      </c>
      <c r="F35" s="66">
        <v>3.0766000000000002E-2</v>
      </c>
      <c r="G35" s="66">
        <v>0</v>
      </c>
      <c r="H35" s="66">
        <v>0.17350299999999999</v>
      </c>
    </row>
    <row r="36" spans="1:8">
      <c r="A36" s="66" t="s">
        <v>388</v>
      </c>
      <c r="B36" s="66">
        <v>0.210872</v>
      </c>
      <c r="C36" s="66">
        <v>0.109277</v>
      </c>
      <c r="D36" s="66">
        <v>0.51821099999999998</v>
      </c>
      <c r="E36" s="66">
        <v>0</v>
      </c>
      <c r="F36" s="66">
        <v>5.0912100000000002E-2</v>
      </c>
      <c r="G36" s="66">
        <v>0</v>
      </c>
      <c r="H36" s="66">
        <v>0.60966200000000004</v>
      </c>
    </row>
    <row r="37" spans="1:8">
      <c r="A37" s="66" t="s">
        <v>389</v>
      </c>
      <c r="B37" s="66">
        <v>0.42092299999999999</v>
      </c>
      <c r="C37" s="66">
        <v>0.124281</v>
      </c>
      <c r="D37" s="66">
        <v>0.29525800000000002</v>
      </c>
      <c r="E37" s="66">
        <v>0.1</v>
      </c>
      <c r="F37" s="66">
        <v>2.1640800000000002E-2</v>
      </c>
      <c r="G37" s="66">
        <v>0.5</v>
      </c>
      <c r="H37" s="66">
        <v>0.45023099999999999</v>
      </c>
    </row>
    <row r="38" spans="1:8">
      <c r="A38" s="66" t="s">
        <v>390</v>
      </c>
      <c r="B38" s="66">
        <v>-8.8868600000000004</v>
      </c>
      <c r="C38" s="66">
        <v>34.2851</v>
      </c>
      <c r="D38" s="66">
        <v>-3.8579599999999998</v>
      </c>
      <c r="E38" s="66">
        <v>0</v>
      </c>
      <c r="F38" s="66">
        <v>-157.56700000000001</v>
      </c>
      <c r="G38" s="66">
        <v>0</v>
      </c>
      <c r="H38" s="66">
        <v>223.06700000000001</v>
      </c>
    </row>
    <row r="39" spans="1:8">
      <c r="A39" s="66" t="s">
        <v>391</v>
      </c>
      <c r="B39" s="66">
        <v>-5.2446599999999997</v>
      </c>
      <c r="C39" s="66">
        <v>2.9946999999999999</v>
      </c>
      <c r="D39" s="66">
        <v>-0.57100099999999998</v>
      </c>
      <c r="E39" s="66">
        <v>0</v>
      </c>
      <c r="F39" s="66">
        <v>-11.8499</v>
      </c>
      <c r="G39" s="66">
        <v>0</v>
      </c>
      <c r="H39" s="66">
        <v>4.7380599999999999</v>
      </c>
    </row>
    <row r="40" spans="1:8">
      <c r="A40" s="66" t="s">
        <v>392</v>
      </c>
      <c r="B40" s="66">
        <v>-3.4171499999999999</v>
      </c>
      <c r="C40" s="66">
        <v>0.93276999999999999</v>
      </c>
      <c r="D40" s="66">
        <v>-0.27296700000000002</v>
      </c>
      <c r="E40" s="66">
        <v>0</v>
      </c>
      <c r="F40" s="66">
        <v>-5.0991900000000001</v>
      </c>
      <c r="G40" s="66">
        <v>0</v>
      </c>
      <c r="H40" s="66">
        <v>-1.66944</v>
      </c>
    </row>
    <row r="41" spans="1:8">
      <c r="A41" s="66" t="s">
        <v>393</v>
      </c>
      <c r="B41" s="66">
        <v>-8.9198600000000003E-2</v>
      </c>
      <c r="C41" s="66">
        <v>0.24532499999999999</v>
      </c>
      <c r="D41" s="66">
        <v>-2.7503199999999999</v>
      </c>
      <c r="E41" s="66">
        <v>0</v>
      </c>
      <c r="F41" s="66">
        <v>-0.66011200000000003</v>
      </c>
      <c r="G41" s="66">
        <v>0</v>
      </c>
      <c r="H41" s="66">
        <v>1</v>
      </c>
    </row>
    <row r="42" spans="1:8">
      <c r="A42" s="66" t="s">
        <v>394</v>
      </c>
      <c r="B42" s="66">
        <v>-0.15868699999999999</v>
      </c>
      <c r="C42" s="66">
        <v>9.4932799999999998E-2</v>
      </c>
      <c r="D42" s="66">
        <v>-0.59823899999999997</v>
      </c>
      <c r="E42" s="66">
        <v>0</v>
      </c>
      <c r="F42" s="66">
        <v>-0.344609</v>
      </c>
      <c r="G42" s="66">
        <v>0</v>
      </c>
      <c r="H42" s="66">
        <v>0.22889799999999999</v>
      </c>
    </row>
    <row r="43" spans="1:8">
      <c r="A43" s="66" t="s">
        <v>395</v>
      </c>
      <c r="B43" s="66">
        <v>-0.141595</v>
      </c>
      <c r="C43" s="66">
        <v>9.1839799999999999E-2</v>
      </c>
      <c r="D43" s="66">
        <v>-0.64860899999999999</v>
      </c>
      <c r="E43" s="66">
        <v>0</v>
      </c>
      <c r="F43" s="66">
        <v>-0.24995000000000001</v>
      </c>
      <c r="G43" s="66">
        <v>0</v>
      </c>
      <c r="H43" s="66">
        <v>5.2218599999999997E-2</v>
      </c>
    </row>
    <row r="44" spans="1:8">
      <c r="A44" s="66" t="s">
        <v>396</v>
      </c>
      <c r="B44" s="66">
        <v>38.4373</v>
      </c>
      <c r="C44" s="66">
        <v>29.776299999999999</v>
      </c>
      <c r="D44" s="66">
        <v>0.774671</v>
      </c>
      <c r="E44" s="66">
        <v>0</v>
      </c>
      <c r="F44" s="66">
        <v>-34.251899999999999</v>
      </c>
      <c r="G44" s="66">
        <v>0</v>
      </c>
      <c r="H44" s="66">
        <v>62.238</v>
      </c>
    </row>
    <row r="45" spans="1:8">
      <c r="A45" s="66" t="s">
        <v>397</v>
      </c>
      <c r="B45" s="66">
        <v>56.946199999999997</v>
      </c>
      <c r="C45" s="66">
        <v>8.7370099999999997</v>
      </c>
      <c r="D45" s="66">
        <v>0.15342600000000001</v>
      </c>
      <c r="E45" s="66">
        <v>0</v>
      </c>
      <c r="F45" s="66">
        <v>39.149000000000001</v>
      </c>
      <c r="G45" s="66">
        <v>0</v>
      </c>
      <c r="H45" s="66">
        <v>76.306399999999996</v>
      </c>
    </row>
    <row r="46" spans="1:8">
      <c r="A46" s="66" t="s">
        <v>398</v>
      </c>
      <c r="B46" s="66">
        <v>30.502700000000001</v>
      </c>
      <c r="C46" s="66">
        <v>2.0695399999999999</v>
      </c>
      <c r="D46" s="66">
        <v>6.7847699999999997E-2</v>
      </c>
      <c r="E46" s="66">
        <v>0</v>
      </c>
      <c r="F46" s="66">
        <v>28.2165</v>
      </c>
      <c r="G46" s="66">
        <v>0</v>
      </c>
      <c r="H46" s="66">
        <v>35.803600000000003</v>
      </c>
    </row>
    <row r="47" spans="1:8">
      <c r="A47" s="66" t="s">
        <v>399</v>
      </c>
      <c r="B47" s="66">
        <v>0.76335500000000001</v>
      </c>
      <c r="C47" s="66">
        <v>0.326075</v>
      </c>
      <c r="D47" s="66">
        <v>0.42716100000000001</v>
      </c>
      <c r="E47" s="66">
        <v>0</v>
      </c>
      <c r="F47" s="66">
        <v>0.402283</v>
      </c>
      <c r="G47" s="66">
        <v>0</v>
      </c>
      <c r="H47" s="66">
        <v>1.81155</v>
      </c>
    </row>
    <row r="48" spans="1:8">
      <c r="A48" s="66" t="s">
        <v>400</v>
      </c>
      <c r="B48" s="66">
        <v>0.46564299999999997</v>
      </c>
      <c r="C48" s="66">
        <v>0.17836199999999999</v>
      </c>
      <c r="D48" s="66">
        <v>0.383044</v>
      </c>
      <c r="E48" s="66">
        <v>0</v>
      </c>
      <c r="F48" s="66">
        <v>0.39003900000000002</v>
      </c>
      <c r="G48" s="66">
        <v>0</v>
      </c>
      <c r="H48" s="66">
        <v>0.90729899999999997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401</v>
      </c>
      <c r="D1" s="66" t="s">
        <v>350</v>
      </c>
      <c r="E1" s="66" t="s">
        <v>351</v>
      </c>
      <c r="F1" s="66" t="s">
        <v>402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45.718499999999999</v>
      </c>
      <c r="C5" s="66">
        <v>3.5371000000000001</v>
      </c>
      <c r="D5" s="66">
        <v>7.7367100000000004</v>
      </c>
      <c r="E5" s="66">
        <v>20</v>
      </c>
      <c r="F5" s="66">
        <v>39.0197</v>
      </c>
      <c r="G5" s="66">
        <v>50</v>
      </c>
      <c r="H5" s="66">
        <v>53.755200000000002</v>
      </c>
    </row>
    <row r="6" spans="1:8">
      <c r="A6" s="66" t="s">
        <v>358</v>
      </c>
      <c r="B6" s="66">
        <v>34.483199999999997</v>
      </c>
      <c r="C6" s="66">
        <v>1.6516</v>
      </c>
      <c r="D6" s="66">
        <v>4.7895899999999996</v>
      </c>
      <c r="E6" s="66">
        <v>20</v>
      </c>
      <c r="F6" s="66">
        <v>31.518999999999998</v>
      </c>
      <c r="G6" s="66">
        <v>40</v>
      </c>
      <c r="H6" s="66">
        <v>37.853000000000002</v>
      </c>
    </row>
    <row r="7" spans="1:8">
      <c r="A7" s="66" t="s">
        <v>359</v>
      </c>
      <c r="B7" s="66">
        <v>29.552900000000001</v>
      </c>
      <c r="C7" s="66">
        <v>4.4441499999999996</v>
      </c>
      <c r="D7" s="66">
        <v>15.0379</v>
      </c>
      <c r="E7" s="66">
        <v>15</v>
      </c>
      <c r="F7" s="66">
        <v>19.197800000000001</v>
      </c>
      <c r="G7" s="66">
        <v>40</v>
      </c>
      <c r="H7" s="66">
        <v>41.066499999999998</v>
      </c>
    </row>
    <row r="8" spans="1:8">
      <c r="A8" s="66" t="s">
        <v>360</v>
      </c>
      <c r="B8" s="66">
        <v>36.323599999999999</v>
      </c>
      <c r="C8" s="66">
        <v>1.339</v>
      </c>
      <c r="D8" s="66">
        <v>3.6863100000000002</v>
      </c>
      <c r="E8" s="66">
        <v>20</v>
      </c>
      <c r="F8" s="66">
        <v>34.136600000000001</v>
      </c>
      <c r="G8" s="66">
        <v>50</v>
      </c>
      <c r="H8" s="66">
        <v>39.337499999999999</v>
      </c>
    </row>
    <row r="9" spans="1:8">
      <c r="A9" s="66" t="s">
        <v>361</v>
      </c>
      <c r="B9" s="66">
        <v>61.611699999999999</v>
      </c>
      <c r="C9" s="66">
        <v>9.6934400000000007</v>
      </c>
      <c r="D9" s="66">
        <v>15.7331</v>
      </c>
      <c r="E9" s="66">
        <v>50</v>
      </c>
      <c r="F9" s="66">
        <v>36.033999999999999</v>
      </c>
      <c r="G9" s="66">
        <v>100</v>
      </c>
      <c r="H9" s="66">
        <v>72.552700000000002</v>
      </c>
    </row>
    <row r="10" spans="1:8">
      <c r="A10" s="66" t="s">
        <v>362</v>
      </c>
      <c r="B10" s="66">
        <v>70.520399999999995</v>
      </c>
      <c r="C10" s="66">
        <v>2.8963000000000001</v>
      </c>
      <c r="D10" s="66">
        <v>4.1070399999999996</v>
      </c>
      <c r="E10" s="66">
        <v>40</v>
      </c>
      <c r="F10" s="66">
        <v>65.722399999999993</v>
      </c>
      <c r="G10" s="66">
        <v>100</v>
      </c>
      <c r="H10" s="66">
        <v>76.206900000000005</v>
      </c>
    </row>
    <row r="11" spans="1:8">
      <c r="A11" s="66" t="s">
        <v>363</v>
      </c>
      <c r="B11" s="66">
        <v>18.232399999999998</v>
      </c>
      <c r="C11" s="66">
        <v>3.6394000000000002</v>
      </c>
      <c r="D11" s="66">
        <v>19.961200000000002</v>
      </c>
      <c r="E11" s="66">
        <v>10</v>
      </c>
      <c r="F11" s="66">
        <v>12.795199999999999</v>
      </c>
      <c r="G11" s="66">
        <v>50</v>
      </c>
      <c r="H11" s="66">
        <v>25.6632</v>
      </c>
    </row>
    <row r="12" spans="1:8">
      <c r="A12" s="66" t="s">
        <v>364</v>
      </c>
      <c r="B12" s="66">
        <v>66.331900000000005</v>
      </c>
      <c r="C12" s="66">
        <v>4.1816199999999997</v>
      </c>
      <c r="D12" s="66">
        <v>6.3040900000000004</v>
      </c>
      <c r="E12" s="66">
        <v>50</v>
      </c>
      <c r="F12" s="66">
        <v>55.251300000000001</v>
      </c>
      <c r="G12" s="66">
        <v>100</v>
      </c>
      <c r="H12" s="66">
        <v>71.409499999999994</v>
      </c>
    </row>
    <row r="13" spans="1:8">
      <c r="A13" s="66" t="s">
        <v>365</v>
      </c>
      <c r="B13" s="66">
        <v>23.075399999999998</v>
      </c>
      <c r="C13" s="66">
        <v>3.2877100000000001</v>
      </c>
      <c r="D13" s="66">
        <v>14.2477</v>
      </c>
      <c r="E13" s="66">
        <v>10</v>
      </c>
      <c r="F13" s="66">
        <v>16.052399999999999</v>
      </c>
      <c r="G13" s="66">
        <v>25</v>
      </c>
      <c r="H13" s="66">
        <v>32.273299999999999</v>
      </c>
    </row>
    <row r="14" spans="1:8">
      <c r="A14" s="66" t="s">
        <v>366</v>
      </c>
      <c r="B14" s="66">
        <v>32.877099999999999</v>
      </c>
      <c r="C14" s="66">
        <v>14.3718</v>
      </c>
      <c r="D14" s="66">
        <v>43.713799999999999</v>
      </c>
      <c r="E14" s="66">
        <v>10</v>
      </c>
      <c r="F14" s="66">
        <v>2.53335</v>
      </c>
      <c r="G14" s="66">
        <v>50</v>
      </c>
      <c r="H14" s="66">
        <v>43.417200000000001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0.281501</v>
      </c>
      <c r="C18" s="66">
        <v>1.23949E-2</v>
      </c>
      <c r="D18" s="66">
        <v>4.40317E-2</v>
      </c>
      <c r="E18" s="66">
        <v>0</v>
      </c>
      <c r="F18" s="66">
        <v>0.26910600000000001</v>
      </c>
      <c r="G18" s="66">
        <v>0</v>
      </c>
      <c r="H18" s="66">
        <v>0.29389599999999999</v>
      </c>
    </row>
    <row r="19" spans="1:8">
      <c r="A19" s="66" t="s">
        <v>371</v>
      </c>
      <c r="B19" s="66">
        <v>0.60553999999999997</v>
      </c>
      <c r="C19" s="66">
        <v>2.3030899999999998E-3</v>
      </c>
      <c r="D19" s="66">
        <v>3.8033699999999999E-3</v>
      </c>
      <c r="E19" s="66">
        <v>0</v>
      </c>
      <c r="F19" s="66">
        <v>0.60323700000000002</v>
      </c>
      <c r="G19" s="66">
        <v>0</v>
      </c>
      <c r="H19" s="66">
        <v>0.60784300000000002</v>
      </c>
    </row>
    <row r="20" spans="1:8">
      <c r="A20" s="66" t="s">
        <v>372</v>
      </c>
      <c r="B20" s="66">
        <v>3.1947699999999998E-4</v>
      </c>
      <c r="C20" s="66">
        <v>2.54308E-2</v>
      </c>
      <c r="D20" s="66">
        <v>79.601500000000001</v>
      </c>
      <c r="E20" s="66">
        <v>0</v>
      </c>
      <c r="F20" s="66">
        <v>0</v>
      </c>
      <c r="G20" s="66">
        <v>0</v>
      </c>
      <c r="H20" s="66">
        <v>0.17097300000000001</v>
      </c>
    </row>
    <row r="21" spans="1:8">
      <c r="A21" s="66" t="s">
        <v>373</v>
      </c>
      <c r="B21" s="66">
        <v>9.5033199999999998E-2</v>
      </c>
      <c r="C21" s="66">
        <v>0.123042</v>
      </c>
      <c r="D21" s="66">
        <v>1.2947200000000001</v>
      </c>
      <c r="E21" s="66">
        <v>0</v>
      </c>
      <c r="F21" s="66">
        <v>2.40132E-4</v>
      </c>
      <c r="G21" s="66">
        <v>0</v>
      </c>
      <c r="H21" s="66">
        <v>0.51063599999999998</v>
      </c>
    </row>
    <row r="22" spans="1:8">
      <c r="A22" s="66" t="s">
        <v>374</v>
      </c>
      <c r="B22" s="66">
        <v>53.361499999999999</v>
      </c>
      <c r="C22" s="66">
        <v>21.624199999999998</v>
      </c>
      <c r="D22" s="66">
        <v>0.40523999999999999</v>
      </c>
      <c r="E22" s="66">
        <v>0</v>
      </c>
      <c r="F22" s="66">
        <v>27.635100000000001</v>
      </c>
      <c r="G22" s="66">
        <v>0</v>
      </c>
      <c r="H22" s="66">
        <v>169.71</v>
      </c>
    </row>
    <row r="23" spans="1:8">
      <c r="A23" s="66" t="s">
        <v>375</v>
      </c>
      <c r="B23" s="66">
        <v>21.226199999999999</v>
      </c>
      <c r="C23" s="66">
        <v>1.4310700000000001</v>
      </c>
      <c r="D23" s="66">
        <v>6.7419900000000005E-2</v>
      </c>
      <c r="E23" s="66">
        <v>0</v>
      </c>
      <c r="F23" s="66">
        <v>18.570599999999999</v>
      </c>
      <c r="G23" s="66">
        <v>0</v>
      </c>
      <c r="H23" s="66">
        <v>24.424399999999999</v>
      </c>
    </row>
    <row r="24" spans="1:8">
      <c r="A24" s="66" t="s">
        <v>376</v>
      </c>
      <c r="B24" s="66">
        <v>2.55953E-3</v>
      </c>
      <c r="C24" s="66">
        <v>1.3234299999999999E-2</v>
      </c>
      <c r="D24" s="66">
        <v>5.1705899999999998</v>
      </c>
      <c r="E24" s="66">
        <v>0</v>
      </c>
      <c r="F24" s="196">
        <v>2.3017600000000001E-5</v>
      </c>
      <c r="G24" s="66">
        <v>0</v>
      </c>
      <c r="H24" s="66">
        <v>4.3633199999999997E-2</v>
      </c>
    </row>
    <row r="25" spans="1:8">
      <c r="A25" s="66" t="s">
        <v>377</v>
      </c>
      <c r="B25" s="66">
        <v>0.13401199999999999</v>
      </c>
      <c r="C25" s="66">
        <v>5.0057600000000001E-2</v>
      </c>
      <c r="D25" s="66">
        <v>0.373529</v>
      </c>
      <c r="E25" s="66">
        <v>0</v>
      </c>
      <c r="F25" s="66">
        <v>2.2209699999999999E-2</v>
      </c>
      <c r="G25" s="66">
        <v>0</v>
      </c>
      <c r="H25" s="66">
        <v>0.234537</v>
      </c>
    </row>
    <row r="26" spans="1:8">
      <c r="A26" s="66" t="s">
        <v>378</v>
      </c>
      <c r="B26" s="196">
        <v>9.5194300000000004E-5</v>
      </c>
      <c r="C26" s="66">
        <v>1.3952700000000001E-3</v>
      </c>
      <c r="D26" s="66">
        <v>14.6571</v>
      </c>
      <c r="E26" s="66">
        <v>0</v>
      </c>
      <c r="F26" s="66">
        <v>0</v>
      </c>
      <c r="G26" s="66">
        <v>0</v>
      </c>
      <c r="H26" s="66">
        <v>7.0246800000000002E-3</v>
      </c>
    </row>
    <row r="27" spans="1:8">
      <c r="A27" s="66" t="s">
        <v>379</v>
      </c>
      <c r="B27" s="196">
        <v>-3.2825599999999999E-6</v>
      </c>
      <c r="C27" s="66">
        <v>1.12988E-3</v>
      </c>
      <c r="D27" s="66">
        <v>-344.20499999999998</v>
      </c>
      <c r="E27" s="66">
        <v>0</v>
      </c>
      <c r="F27" s="66">
        <v>-5.8232700000000002E-3</v>
      </c>
      <c r="G27" s="66">
        <v>0</v>
      </c>
      <c r="H27" s="66">
        <v>4.84506E-3</v>
      </c>
    </row>
    <row r="28" spans="1:8">
      <c r="A28" s="66" t="s">
        <v>380</v>
      </c>
      <c r="B28" s="66">
        <v>9.2871099999999995E-3</v>
      </c>
      <c r="C28" s="66">
        <v>1.1583299999999999E-2</v>
      </c>
      <c r="D28" s="66">
        <v>1.2472399999999999</v>
      </c>
      <c r="E28" s="66">
        <v>0</v>
      </c>
      <c r="F28" s="196">
        <v>8.7890600000000002E-5</v>
      </c>
      <c r="G28" s="66">
        <v>0</v>
      </c>
      <c r="H28" s="66">
        <v>4.74609E-2</v>
      </c>
    </row>
    <row r="29" spans="1:8">
      <c r="A29" s="66" t="s">
        <v>381</v>
      </c>
      <c r="B29" s="66">
        <v>74.668599999999998</v>
      </c>
      <c r="C29" s="66">
        <v>11.478400000000001</v>
      </c>
      <c r="D29" s="66">
        <v>0.153725</v>
      </c>
      <c r="E29" s="66">
        <v>0</v>
      </c>
      <c r="F29" s="66">
        <v>51.766599999999997</v>
      </c>
      <c r="G29" s="66">
        <v>0</v>
      </c>
      <c r="H29" s="66">
        <v>116.81699999999999</v>
      </c>
    </row>
    <row r="30" spans="1:8">
      <c r="A30" s="66" t="s">
        <v>382</v>
      </c>
      <c r="B30" s="66">
        <v>28.769500000000001</v>
      </c>
      <c r="C30" s="66">
        <v>2.7091599999999998</v>
      </c>
      <c r="D30" s="66">
        <v>9.4167899999999999E-2</v>
      </c>
      <c r="E30" s="66">
        <v>0</v>
      </c>
      <c r="F30" s="66">
        <v>22.821300000000001</v>
      </c>
      <c r="G30" s="66">
        <v>0</v>
      </c>
      <c r="H30" s="66">
        <v>32.481999999999999</v>
      </c>
    </row>
    <row r="31" spans="1:8">
      <c r="A31" s="66" t="s">
        <v>383</v>
      </c>
      <c r="B31" s="66">
        <v>302.04399999999998</v>
      </c>
      <c r="C31" s="66">
        <v>37.630899999999997</v>
      </c>
      <c r="D31" s="66">
        <v>0.124587</v>
      </c>
      <c r="E31" s="66">
        <v>0</v>
      </c>
      <c r="F31" s="66">
        <v>260.42</v>
      </c>
      <c r="G31" s="66">
        <v>0</v>
      </c>
      <c r="H31" s="66">
        <v>408.82900000000001</v>
      </c>
    </row>
    <row r="32" spans="1:8">
      <c r="A32" s="66" t="s">
        <v>384</v>
      </c>
      <c r="B32" s="66">
        <v>0.29552899999999999</v>
      </c>
      <c r="C32" s="66">
        <v>4.4441500000000002E-2</v>
      </c>
      <c r="D32" s="66">
        <v>0.15037900000000001</v>
      </c>
      <c r="E32" s="66">
        <v>0.15</v>
      </c>
      <c r="F32" s="66">
        <v>0.19197800000000001</v>
      </c>
      <c r="G32" s="66">
        <v>0.4</v>
      </c>
      <c r="H32" s="66">
        <v>0.410665</v>
      </c>
    </row>
    <row r="33" spans="1:8">
      <c r="A33" s="66" t="s">
        <v>385</v>
      </c>
      <c r="B33" s="66">
        <v>0.36221399999999998</v>
      </c>
      <c r="C33" s="66">
        <v>1.9808900000000001E-2</v>
      </c>
      <c r="D33" s="66">
        <v>5.4688500000000001E-2</v>
      </c>
      <c r="E33" s="66">
        <v>0</v>
      </c>
      <c r="F33" s="66">
        <v>0.31539600000000001</v>
      </c>
      <c r="G33" s="66">
        <v>0</v>
      </c>
      <c r="H33" s="66">
        <v>0.404445</v>
      </c>
    </row>
    <row r="34" spans="1:8">
      <c r="A34" s="66" t="s">
        <v>386</v>
      </c>
      <c r="B34" s="66">
        <v>0.23075399999999999</v>
      </c>
      <c r="C34" s="66">
        <v>3.2877099999999999E-2</v>
      </c>
      <c r="D34" s="66">
        <v>0.14247699999999999</v>
      </c>
      <c r="E34" s="66">
        <v>0.1</v>
      </c>
      <c r="F34" s="66">
        <v>0.160524</v>
      </c>
      <c r="G34" s="66">
        <v>0.25</v>
      </c>
      <c r="H34" s="66">
        <v>0.32273299999999999</v>
      </c>
    </row>
    <row r="35" spans="1:8">
      <c r="A35" s="66" t="s">
        <v>387</v>
      </c>
      <c r="B35" s="66">
        <v>9.5621100000000001E-2</v>
      </c>
      <c r="C35" s="66">
        <v>2.3539999999999998E-2</v>
      </c>
      <c r="D35" s="66">
        <v>0.24618000000000001</v>
      </c>
      <c r="E35" s="66">
        <v>0</v>
      </c>
      <c r="F35" s="66">
        <v>4.6192200000000003E-2</v>
      </c>
      <c r="G35" s="66">
        <v>0</v>
      </c>
      <c r="H35" s="66">
        <v>0.16115299999999999</v>
      </c>
    </row>
    <row r="36" spans="1:8">
      <c r="A36" s="66" t="s">
        <v>388</v>
      </c>
      <c r="B36" s="66">
        <v>0.20025799999999999</v>
      </c>
      <c r="C36" s="66">
        <v>0.107737</v>
      </c>
      <c r="D36" s="66">
        <v>0.53798999999999997</v>
      </c>
      <c r="E36" s="66">
        <v>0</v>
      </c>
      <c r="F36" s="66">
        <v>4.2444099999999998E-2</v>
      </c>
      <c r="G36" s="66">
        <v>0</v>
      </c>
      <c r="H36" s="66">
        <v>0.58833100000000005</v>
      </c>
    </row>
    <row r="37" spans="1:8">
      <c r="A37" s="66" t="s">
        <v>389</v>
      </c>
      <c r="B37" s="66">
        <v>0.32877099999999998</v>
      </c>
      <c r="C37" s="66">
        <v>0.14371800000000001</v>
      </c>
      <c r="D37" s="66">
        <v>0.43713800000000003</v>
      </c>
      <c r="E37" s="66">
        <v>0.1</v>
      </c>
      <c r="F37" s="66">
        <v>2.5333499999999998E-2</v>
      </c>
      <c r="G37" s="66">
        <v>0.5</v>
      </c>
      <c r="H37" s="66">
        <v>0.434172</v>
      </c>
    </row>
    <row r="38" spans="1:8">
      <c r="A38" s="66" t="s">
        <v>390</v>
      </c>
      <c r="B38" s="66">
        <v>-12.634399999999999</v>
      </c>
      <c r="C38" s="66">
        <v>36.894300000000001</v>
      </c>
      <c r="D38" s="66">
        <v>-2.92015</v>
      </c>
      <c r="E38" s="66">
        <v>0</v>
      </c>
      <c r="F38" s="66">
        <v>-249.15799999999999</v>
      </c>
      <c r="G38" s="66">
        <v>0</v>
      </c>
      <c r="H38" s="66">
        <v>109.95399999999999</v>
      </c>
    </row>
    <row r="39" spans="1:8">
      <c r="A39" s="66" t="s">
        <v>391</v>
      </c>
      <c r="B39" s="66">
        <v>-5.85473</v>
      </c>
      <c r="C39" s="66">
        <v>3.3533200000000001</v>
      </c>
      <c r="D39" s="66">
        <v>-0.57275399999999999</v>
      </c>
      <c r="E39" s="66">
        <v>0</v>
      </c>
      <c r="F39" s="66">
        <v>-13.4574</v>
      </c>
      <c r="G39" s="66">
        <v>0</v>
      </c>
      <c r="H39" s="66">
        <v>5.7724299999999999</v>
      </c>
    </row>
    <row r="40" spans="1:8">
      <c r="A40" s="66" t="s">
        <v>392</v>
      </c>
      <c r="B40" s="66">
        <v>-3.3951099999999999</v>
      </c>
      <c r="C40" s="66">
        <v>0.404615</v>
      </c>
      <c r="D40" s="66">
        <v>-0.119176</v>
      </c>
      <c r="E40" s="66">
        <v>0</v>
      </c>
      <c r="F40" s="66">
        <v>-4.1617699999999997</v>
      </c>
      <c r="G40" s="66">
        <v>0</v>
      </c>
      <c r="H40" s="66">
        <v>-2.5420199999999999</v>
      </c>
    </row>
    <row r="41" spans="1:8">
      <c r="A41" s="66" t="s">
        <v>393</v>
      </c>
      <c r="B41" s="66">
        <v>-0.111111</v>
      </c>
      <c r="C41" s="66">
        <v>0.26886900000000002</v>
      </c>
      <c r="D41" s="66">
        <v>-2.4198200000000001</v>
      </c>
      <c r="E41" s="66">
        <v>0</v>
      </c>
      <c r="F41" s="66">
        <v>-0.88235300000000005</v>
      </c>
      <c r="G41" s="66">
        <v>0</v>
      </c>
      <c r="H41" s="66">
        <v>1</v>
      </c>
    </row>
    <row r="42" spans="1:8">
      <c r="A42" s="66" t="s">
        <v>394</v>
      </c>
      <c r="B42" s="66">
        <v>-0.174981</v>
      </c>
      <c r="C42" s="66">
        <v>7.1551500000000004E-2</v>
      </c>
      <c r="D42" s="66">
        <v>-0.40891</v>
      </c>
      <c r="E42" s="66">
        <v>0</v>
      </c>
      <c r="F42" s="66">
        <v>-0.358707</v>
      </c>
      <c r="G42" s="66">
        <v>0</v>
      </c>
      <c r="H42" s="66">
        <v>3.3084799999999998E-2</v>
      </c>
    </row>
    <row r="43" spans="1:8">
      <c r="A43" s="66" t="s">
        <v>395</v>
      </c>
      <c r="B43" s="66">
        <v>-0.19415099999999999</v>
      </c>
      <c r="C43" s="66">
        <v>4.1728700000000001E-2</v>
      </c>
      <c r="D43" s="66">
        <v>-0.21492900000000001</v>
      </c>
      <c r="E43" s="66">
        <v>0</v>
      </c>
      <c r="F43" s="66">
        <v>-0.25203900000000001</v>
      </c>
      <c r="G43" s="66">
        <v>0</v>
      </c>
      <c r="H43" s="66">
        <v>-9.5464900000000005E-2</v>
      </c>
    </row>
    <row r="44" spans="1:8">
      <c r="A44" s="66" t="s">
        <v>396</v>
      </c>
      <c r="B44" s="66">
        <v>55.651200000000003</v>
      </c>
      <c r="C44" s="66">
        <v>16.656500000000001</v>
      </c>
      <c r="D44" s="66">
        <v>0.29930099999999998</v>
      </c>
      <c r="E44" s="66">
        <v>0</v>
      </c>
      <c r="F44" s="66">
        <v>8.1519200000000005</v>
      </c>
      <c r="G44" s="66">
        <v>0</v>
      </c>
      <c r="H44" s="66">
        <v>71.985200000000006</v>
      </c>
    </row>
    <row r="45" spans="1:8">
      <c r="A45" s="66" t="s">
        <v>397</v>
      </c>
      <c r="B45" s="66">
        <v>59.400599999999997</v>
      </c>
      <c r="C45" s="66">
        <v>7.5122799999999996</v>
      </c>
      <c r="D45" s="66">
        <v>0.126468</v>
      </c>
      <c r="E45" s="66">
        <v>0</v>
      </c>
      <c r="F45" s="66">
        <v>42.0886</v>
      </c>
      <c r="G45" s="66">
        <v>0</v>
      </c>
      <c r="H45" s="66">
        <v>77.944000000000003</v>
      </c>
    </row>
    <row r="46" spans="1:8">
      <c r="A46" s="66" t="s">
        <v>398</v>
      </c>
      <c r="B46" s="66">
        <v>34.974400000000003</v>
      </c>
      <c r="C46" s="66">
        <v>3.3965200000000002</v>
      </c>
      <c r="D46" s="66">
        <v>9.7114500000000006E-2</v>
      </c>
      <c r="E46" s="66">
        <v>0</v>
      </c>
      <c r="F46" s="66">
        <v>30.481300000000001</v>
      </c>
      <c r="G46" s="66">
        <v>0</v>
      </c>
      <c r="H46" s="66">
        <v>43.359299999999998</v>
      </c>
    </row>
    <row r="47" spans="1:8">
      <c r="A47" s="66" t="s">
        <v>399</v>
      </c>
      <c r="B47" s="66">
        <v>0.75349600000000005</v>
      </c>
      <c r="C47" s="66">
        <v>0.292041</v>
      </c>
      <c r="D47" s="66">
        <v>0.38758199999999998</v>
      </c>
      <c r="E47" s="66">
        <v>0</v>
      </c>
      <c r="F47" s="66">
        <v>0.35637799999999997</v>
      </c>
      <c r="G47" s="66">
        <v>0</v>
      </c>
      <c r="H47" s="66">
        <v>1.8654900000000001</v>
      </c>
    </row>
    <row r="48" spans="1:8">
      <c r="A48" s="66" t="s">
        <v>400</v>
      </c>
      <c r="B48" s="66">
        <v>0.52980899999999997</v>
      </c>
      <c r="C48" s="66">
        <v>0.12623500000000001</v>
      </c>
      <c r="D48" s="66">
        <v>0.23826600000000001</v>
      </c>
      <c r="E48" s="66">
        <v>0</v>
      </c>
      <c r="F48" s="66">
        <v>0.38796599999999998</v>
      </c>
      <c r="G48" s="66">
        <v>0</v>
      </c>
      <c r="H48" s="66">
        <v>0.80762199999999995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403</v>
      </c>
      <c r="B1" s="60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84.893988489177957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1.6390898504607985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0.74450632864141941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5326</v>
      </c>
      <c r="B8" s="66">
        <v>5326</v>
      </c>
      <c r="D8">
        <f t="shared" si="0"/>
        <v>2.6037389025773398E-2</v>
      </c>
      <c r="E8">
        <f t="shared" si="0"/>
        <v>2.6037389025773398E-2</v>
      </c>
      <c r="G8">
        <f t="shared" ca="1" si="1"/>
        <v>6</v>
      </c>
      <c r="H8">
        <f t="shared" ca="1" si="2"/>
        <v>0.15622433415464038</v>
      </c>
      <c r="I8">
        <f t="shared" ca="1" si="3"/>
        <v>162.06351598363682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5903</v>
      </c>
      <c r="B10" s="66">
        <v>5903</v>
      </c>
      <c r="D10">
        <f t="shared" si="0"/>
        <v>2.8858187649106339E-2</v>
      </c>
      <c r="E10">
        <f t="shared" si="0"/>
        <v>2.8858187649106339E-2</v>
      </c>
      <c r="G10">
        <f t="shared" ca="1" si="1"/>
        <v>8</v>
      </c>
      <c r="H10">
        <f t="shared" ca="1" si="2"/>
        <v>0.23086550119285071</v>
      </c>
      <c r="I10">
        <f t="shared" ca="1" si="3"/>
        <v>170.62938668144497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7936</v>
      </c>
      <c r="B13" s="66">
        <v>7936</v>
      </c>
      <c r="D13">
        <f t="shared" si="0"/>
        <v>3.8796980718839219E-2</v>
      </c>
      <c r="E13">
        <f t="shared" si="0"/>
        <v>3.8796980718839219E-2</v>
      </c>
      <c r="G13">
        <f t="shared" ca="1" si="1"/>
        <v>11</v>
      </c>
      <c r="H13">
        <f t="shared" ca="1" si="2"/>
        <v>0.42676678790723144</v>
      </c>
      <c r="I13">
        <f t="shared" ca="1" si="3"/>
        <v>211.84398930580213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14305</v>
      </c>
      <c r="B15" s="66">
        <v>14305</v>
      </c>
      <c r="D15">
        <f t="shared" si="0"/>
        <v>6.9933317689389499E-2</v>
      </c>
      <c r="E15">
        <f t="shared" si="0"/>
        <v>6.9933317689389499E-2</v>
      </c>
      <c r="G15">
        <f t="shared" ca="1" si="1"/>
        <v>13</v>
      </c>
      <c r="H15">
        <f t="shared" ca="1" si="2"/>
        <v>0.90913312996206352</v>
      </c>
      <c r="I15">
        <f t="shared" ca="1" si="3"/>
        <v>361.46752676345261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19009</v>
      </c>
      <c r="B18" s="66">
        <v>19009</v>
      </c>
      <c r="D18">
        <f t="shared" si="0"/>
        <v>9.2929915131604673E-2</v>
      </c>
      <c r="E18">
        <f t="shared" si="0"/>
        <v>9.2929915131604673E-2</v>
      </c>
      <c r="G18">
        <f t="shared" ca="1" si="1"/>
        <v>16</v>
      </c>
      <c r="H18">
        <f t="shared" ca="1" si="2"/>
        <v>1.4868786421056748</v>
      </c>
      <c r="I18">
        <f t="shared" ca="1" si="3"/>
        <v>441.08084391177908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27129</v>
      </c>
      <c r="B21" s="66">
        <v>27129</v>
      </c>
      <c r="D21">
        <f t="shared" si="0"/>
        <v>0.1326264226211428</v>
      </c>
      <c r="E21">
        <f t="shared" si="0"/>
        <v>0.1326264226211428</v>
      </c>
      <c r="G21">
        <f t="shared" ca="1" si="1"/>
        <v>19</v>
      </c>
      <c r="H21">
        <f t="shared" ca="1" si="2"/>
        <v>2.5199020298017132</v>
      </c>
      <c r="I21">
        <f t="shared" ca="1" si="3"/>
        <v>575.86627703016507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32651</v>
      </c>
      <c r="B23" s="66">
        <v>32651</v>
      </c>
      <c r="D23">
        <f t="shared" si="0"/>
        <v>0.15962200320700848</v>
      </c>
      <c r="E23">
        <f t="shared" si="0"/>
        <v>0.15962200320700848</v>
      </c>
      <c r="G23">
        <f t="shared" ca="1" si="1"/>
        <v>21</v>
      </c>
      <c r="H23">
        <f t="shared" ca="1" si="2"/>
        <v>3.3520620673471782</v>
      </c>
      <c r="I23">
        <f t="shared" ca="1" si="3"/>
        <v>651.64753251406739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40297</v>
      </c>
      <c r="B26" s="66">
        <v>40297</v>
      </c>
      <c r="D26">
        <f t="shared" si="0"/>
        <v>0.19700125151550707</v>
      </c>
      <c r="E26">
        <f t="shared" si="0"/>
        <v>0.19700125151550707</v>
      </c>
      <c r="G26">
        <f t="shared" ca="1" si="1"/>
        <v>24</v>
      </c>
      <c r="H26">
        <f t="shared" ca="1" si="2"/>
        <v>4.7280300363721697</v>
      </c>
      <c r="I26">
        <f t="shared" ca="1" si="3"/>
        <v>730.49597403857797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48756</v>
      </c>
      <c r="B28" s="66">
        <v>48756</v>
      </c>
      <c r="D28">
        <f t="shared" si="0"/>
        <v>0.23835503930540888</v>
      </c>
      <c r="E28">
        <f t="shared" si="0"/>
        <v>0.23835503930540888</v>
      </c>
      <c r="G28">
        <f t="shared" ca="1" si="1"/>
        <v>26</v>
      </c>
      <c r="H28">
        <f t="shared" ca="1" si="2"/>
        <v>6.197231021940631</v>
      </c>
      <c r="I28">
        <f t="shared" ca="1" si="3"/>
        <v>826.73490197723788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63600</v>
      </c>
      <c r="B31" s="66">
        <v>63600</v>
      </c>
      <c r="D31">
        <f t="shared" si="0"/>
        <v>0.31092338378505219</v>
      </c>
      <c r="E31">
        <f t="shared" si="0"/>
        <v>0.31092338378505219</v>
      </c>
      <c r="G31">
        <f t="shared" ca="1" si="1"/>
        <v>29</v>
      </c>
      <c r="H31">
        <f t="shared" ca="1" si="2"/>
        <v>9.0167781297665126</v>
      </c>
      <c r="I31">
        <f t="shared" ca="1" si="3"/>
        <v>971.36754258537474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82691</v>
      </c>
      <c r="B33" s="66">
        <v>82691</v>
      </c>
      <c r="D33">
        <f t="shared" si="0"/>
        <v>0.40425417497751182</v>
      </c>
      <c r="E33">
        <f t="shared" si="0"/>
        <v>0.40425417497751182</v>
      </c>
      <c r="G33">
        <f t="shared" ca="1" si="1"/>
        <v>31</v>
      </c>
      <c r="H33">
        <f t="shared" ca="1" si="2"/>
        <v>12.531879424302867</v>
      </c>
      <c r="I33">
        <f t="shared" ca="1" si="3"/>
        <v>1174.1813130695748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91517</v>
      </c>
      <c r="B36" s="66">
        <v>91517</v>
      </c>
      <c r="D36">
        <f t="shared" si="0"/>
        <v>0.447402127576362</v>
      </c>
      <c r="E36">
        <f t="shared" si="0"/>
        <v>0.447402127576362</v>
      </c>
      <c r="G36">
        <f t="shared" ca="1" si="1"/>
        <v>34</v>
      </c>
      <c r="H36">
        <f t="shared" ca="1" si="2"/>
        <v>15.211672337596308</v>
      </c>
      <c r="I36">
        <f t="shared" ca="1" si="3"/>
        <v>1158.8601248283596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103592</v>
      </c>
      <c r="B39" s="66">
        <v>103592</v>
      </c>
      <c r="D39">
        <f t="shared" si="0"/>
        <v>0.50643357190347682</v>
      </c>
      <c r="E39">
        <f t="shared" si="0"/>
        <v>0.50643357190347682</v>
      </c>
      <c r="G39">
        <f t="shared" ca="1" si="1"/>
        <v>37</v>
      </c>
      <c r="H39">
        <f t="shared" ca="1" si="2"/>
        <v>18.738042160428641</v>
      </c>
      <c r="I39">
        <f t="shared" ca="1" si="3"/>
        <v>1161.6746135326434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114168</v>
      </c>
      <c r="B41" s="66">
        <v>114168</v>
      </c>
      <c r="D41">
        <f t="shared" si="0"/>
        <v>0.55813680628886542</v>
      </c>
      <c r="E41">
        <f t="shared" si="0"/>
        <v>0.55813680628886542</v>
      </c>
      <c r="G41">
        <f t="shared" ca="1" si="1"/>
        <v>39</v>
      </c>
      <c r="H41">
        <f t="shared" ca="1" si="2"/>
        <v>21.767335445265751</v>
      </c>
      <c r="I41">
        <f t="shared" ca="1" si="3"/>
        <v>1175.58021349512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125368</v>
      </c>
      <c r="B44" s="66">
        <v>125368</v>
      </c>
      <c r="D44">
        <f t="shared" si="0"/>
        <v>0.61289060972271114</v>
      </c>
      <c r="E44">
        <f t="shared" si="0"/>
        <v>0.61289060972271114</v>
      </c>
      <c r="G44">
        <f t="shared" ca="1" si="1"/>
        <v>42</v>
      </c>
      <c r="H44">
        <f t="shared" ca="1" si="2"/>
        <v>25.741405608353869</v>
      </c>
      <c r="I44">
        <f t="shared" ca="1" si="3"/>
        <v>1127.6539077944385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125440</v>
      </c>
      <c r="B46" s="66">
        <v>125440</v>
      </c>
      <c r="D46">
        <f t="shared" si="0"/>
        <v>0.61324259845907159</v>
      </c>
      <c r="E46">
        <f t="shared" si="0"/>
        <v>0.61324259845907159</v>
      </c>
      <c r="G46">
        <f t="shared" ca="1" si="1"/>
        <v>44</v>
      </c>
      <c r="H46">
        <f t="shared" ca="1" si="2"/>
        <v>26.982674332199149</v>
      </c>
      <c r="I46">
        <f t="shared" ca="1" si="3"/>
        <v>1025.5368164023366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134836</v>
      </c>
      <c r="B49" s="66">
        <v>134836</v>
      </c>
      <c r="D49">
        <f t="shared" si="0"/>
        <v>0.65917712855410848</v>
      </c>
      <c r="E49">
        <f t="shared" si="0"/>
        <v>0.65917712855410848</v>
      </c>
      <c r="G49">
        <f t="shared" ca="1" si="1"/>
        <v>47</v>
      </c>
      <c r="H49">
        <f t="shared" ca="1" si="2"/>
        <v>30.9813250420431</v>
      </c>
      <c r="I49">
        <f t="shared" ca="1" si="3"/>
        <v>946.54827414442343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144289</v>
      </c>
      <c r="B51" s="66">
        <v>144289</v>
      </c>
      <c r="D51">
        <f t="shared" si="0"/>
        <v>0.70539031639876415</v>
      </c>
      <c r="E51">
        <f t="shared" si="0"/>
        <v>0.70539031639876415</v>
      </c>
      <c r="G51">
        <f t="shared" ca="1" si="1"/>
        <v>49</v>
      </c>
      <c r="H51">
        <f t="shared" ca="1" si="2"/>
        <v>34.564125503539444</v>
      </c>
      <c r="I51">
        <f t="shared" ca="1" si="3"/>
        <v>908.80965403227844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162078</v>
      </c>
      <c r="B54" s="66">
        <v>162078</v>
      </c>
      <c r="D54">
        <f t="shared" si="0"/>
        <v>0.79235597794203916</v>
      </c>
      <c r="E54">
        <f t="shared" si="0"/>
        <v>0.79235597794203916</v>
      </c>
      <c r="G54">
        <f t="shared" ca="1" si="1"/>
        <v>52</v>
      </c>
      <c r="H54">
        <f t="shared" ca="1" si="2"/>
        <v>41.202510852986038</v>
      </c>
      <c r="I54">
        <f t="shared" ca="1" si="3"/>
        <v>857.34064043852175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174593</v>
      </c>
      <c r="B57" s="66">
        <v>174593</v>
      </c>
      <c r="D57">
        <f t="shared" si="0"/>
        <v>0.85353846454691229</v>
      </c>
      <c r="E57">
        <f t="shared" si="0"/>
        <v>0.85353846454691229</v>
      </c>
      <c r="G57">
        <f t="shared" ca="1" si="1"/>
        <v>55</v>
      </c>
      <c r="H57">
        <f t="shared" ca="1" si="2"/>
        <v>46.944615550080179</v>
      </c>
      <c r="I57">
        <f t="shared" ca="1" si="3"/>
        <v>762.76511640312606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168730</v>
      </c>
      <c r="B59" s="66">
        <v>168730</v>
      </c>
      <c r="D59">
        <f t="shared" si="0"/>
        <v>0.82487582619578392</v>
      </c>
      <c r="E59">
        <f t="shared" si="0"/>
        <v>0.82487582619578392</v>
      </c>
      <c r="G59">
        <f t="shared" ca="1" si="1"/>
        <v>57</v>
      </c>
      <c r="H59">
        <f t="shared" ca="1" si="2"/>
        <v>47.017922093159683</v>
      </c>
      <c r="I59">
        <f t="shared" ca="1" si="3"/>
        <v>641.81492343109335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178242</v>
      </c>
      <c r="B62" s="66">
        <v>178242</v>
      </c>
      <c r="D62">
        <f t="shared" si="0"/>
        <v>0.87137744925495719</v>
      </c>
      <c r="E62">
        <f t="shared" si="0"/>
        <v>0.87137744925495719</v>
      </c>
      <c r="G62">
        <f t="shared" ca="1" si="1"/>
        <v>60</v>
      </c>
      <c r="H62">
        <f t="shared" ca="1" si="2"/>
        <v>52.28264695529743</v>
      </c>
      <c r="I62">
        <f t="shared" ca="1" si="3"/>
        <v>540.00189671331214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194275</v>
      </c>
      <c r="B64" s="66">
        <v>194275</v>
      </c>
      <c r="D64">
        <f t="shared" si="0"/>
        <v>0.94975849661699718</v>
      </c>
      <c r="E64">
        <f t="shared" si="0"/>
        <v>0.94975849661699718</v>
      </c>
      <c r="G64">
        <f t="shared" ca="1" si="1"/>
        <v>62</v>
      </c>
      <c r="H64">
        <f t="shared" ca="1" si="2"/>
        <v>58.885026790253825</v>
      </c>
      <c r="I64">
        <f t="shared" ca="1" si="3"/>
        <v>497.80139319012329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200872</v>
      </c>
      <c r="B67" s="66">
        <v>200872</v>
      </c>
      <c r="D67">
        <f t="shared" ref="D67:E130" si="4">IFERROR( A67/MAX(A$2:A$257), 0 )</f>
        <v>0.98200946458602212</v>
      </c>
      <c r="E67">
        <f t="shared" si="4"/>
        <v>0.98200946458602212</v>
      </c>
      <c r="G67">
        <f t="shared" ref="G67:G130" ca="1" si="5">CELL("row",D67)-2</f>
        <v>65</v>
      </c>
      <c r="H67">
        <f t="shared" ref="H67:H130" ca="1" si="6">D67*G67</f>
        <v>63.830615198091436</v>
      </c>
      <c r="I67">
        <f t="shared" ref="I67:I130" ca="1" si="7">D67*((G67-$L$1)^2)</f>
        <v>388.65064980998272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179987</v>
      </c>
      <c r="B69" s="66">
        <v>179987</v>
      </c>
      <c r="D69">
        <f t="shared" si="4"/>
        <v>0.87990828737924831</v>
      </c>
      <c r="E69">
        <f t="shared" si="4"/>
        <v>0.87990828737924831</v>
      </c>
      <c r="G69">
        <f t="shared" ca="1" si="5"/>
        <v>67</v>
      </c>
      <c r="H69">
        <f t="shared" ca="1" si="6"/>
        <v>58.953855254409639</v>
      </c>
      <c r="I69">
        <f t="shared" ca="1" si="7"/>
        <v>281.7420792582684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199670</v>
      </c>
      <c r="B72" s="66">
        <v>199670</v>
      </c>
      <c r="D72">
        <f t="shared" si="4"/>
        <v>0.97613320818178262</v>
      </c>
      <c r="E72">
        <f t="shared" si="4"/>
        <v>0.97613320818178262</v>
      </c>
      <c r="G72">
        <f t="shared" ca="1" si="5"/>
        <v>70</v>
      </c>
      <c r="H72">
        <f t="shared" ca="1" si="6"/>
        <v>68.329324572724786</v>
      </c>
      <c r="I72">
        <f t="shared" ca="1" si="7"/>
        <v>216.53650137092228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189493</v>
      </c>
      <c r="B75" s="66">
        <v>189493</v>
      </c>
      <c r="D75">
        <f t="shared" si="4"/>
        <v>0.92638057804372487</v>
      </c>
      <c r="E75">
        <f t="shared" si="4"/>
        <v>0.92638057804372487</v>
      </c>
      <c r="G75">
        <f t="shared" ca="1" si="5"/>
        <v>73</v>
      </c>
      <c r="H75">
        <f t="shared" ca="1" si="6"/>
        <v>67.62578219719191</v>
      </c>
      <c r="I75">
        <f t="shared" ca="1" si="7"/>
        <v>131.05224619904453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193553</v>
      </c>
      <c r="B77" s="66">
        <v>193553</v>
      </c>
      <c r="D77">
        <f t="shared" si="4"/>
        <v>0.94622883178849393</v>
      </c>
      <c r="E77">
        <f t="shared" si="4"/>
        <v>0.94622883178849393</v>
      </c>
      <c r="G77">
        <f t="shared" ca="1" si="5"/>
        <v>75</v>
      </c>
      <c r="H77">
        <f t="shared" ca="1" si="6"/>
        <v>70.96716238413704</v>
      </c>
      <c r="I77">
        <f t="shared" ca="1" si="7"/>
        <v>92.627294354380041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201823</v>
      </c>
      <c r="B80" s="66">
        <v>201823</v>
      </c>
      <c r="D80">
        <f t="shared" si="4"/>
        <v>0.98665864914544954</v>
      </c>
      <c r="E80">
        <f t="shared" si="4"/>
        <v>0.98665864914544954</v>
      </c>
      <c r="G80">
        <f t="shared" ca="1" si="5"/>
        <v>78</v>
      </c>
      <c r="H80">
        <f t="shared" ca="1" si="6"/>
        <v>76.959374633345064</v>
      </c>
      <c r="I80">
        <f t="shared" ca="1" si="7"/>
        <v>46.893001875715377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204552</v>
      </c>
      <c r="B82" s="66">
        <v>204552</v>
      </c>
      <c r="D82">
        <f t="shared" si="4"/>
        <v>1</v>
      </c>
      <c r="E82">
        <f t="shared" si="4"/>
        <v>1</v>
      </c>
      <c r="G82">
        <f t="shared" ca="1" si="5"/>
        <v>80</v>
      </c>
      <c r="H82">
        <f t="shared" ca="1" si="6"/>
        <v>80</v>
      </c>
      <c r="I82">
        <f t="shared" ca="1" si="7"/>
        <v>23.951123332206343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197454</v>
      </c>
      <c r="B85" s="66">
        <v>197454</v>
      </c>
      <c r="D85">
        <f t="shared" si="4"/>
        <v>0.96529977707380032</v>
      </c>
      <c r="E85">
        <f t="shared" si="4"/>
        <v>0.96529977707380032</v>
      </c>
      <c r="G85">
        <f t="shared" ca="1" si="5"/>
        <v>83</v>
      </c>
      <c r="H85">
        <f t="shared" ca="1" si="6"/>
        <v>80.119881497125434</v>
      </c>
      <c r="I85">
        <f t="shared" ca="1" si="7"/>
        <v>3.4627160212787222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183448</v>
      </c>
      <c r="B88" s="66">
        <v>183448</v>
      </c>
      <c r="D88">
        <f t="shared" si="4"/>
        <v>0.89682819038679651</v>
      </c>
      <c r="E88">
        <f t="shared" si="4"/>
        <v>0.89682819038679651</v>
      </c>
      <c r="G88">
        <f t="shared" ca="1" si="5"/>
        <v>86</v>
      </c>
      <c r="H88">
        <f t="shared" ca="1" si="6"/>
        <v>77.127224373264497</v>
      </c>
      <c r="I88">
        <f t="shared" ca="1" si="7"/>
        <v>1.0970553633989144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169226</v>
      </c>
      <c r="B90" s="66">
        <v>169226</v>
      </c>
      <c r="D90">
        <f t="shared" si="4"/>
        <v>0.82730063749071137</v>
      </c>
      <c r="E90">
        <f t="shared" si="4"/>
        <v>0.82730063749071137</v>
      </c>
      <c r="G90">
        <f t="shared" ca="1" si="5"/>
        <v>88</v>
      </c>
      <c r="H90">
        <f t="shared" ca="1" si="6"/>
        <v>72.802456099182606</v>
      </c>
      <c r="I90">
        <f t="shared" ca="1" si="7"/>
        <v>7.9812236492524509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161094</v>
      </c>
      <c r="B93" s="66">
        <v>161094</v>
      </c>
      <c r="D93">
        <f t="shared" si="4"/>
        <v>0.78754546521177993</v>
      </c>
      <c r="E93">
        <f t="shared" si="4"/>
        <v>0.78754546521177993</v>
      </c>
      <c r="G93">
        <f t="shared" ca="1" si="5"/>
        <v>91</v>
      </c>
      <c r="H93">
        <f t="shared" ca="1" si="6"/>
        <v>71.666637334271968</v>
      </c>
      <c r="I93">
        <f t="shared" ca="1" si="7"/>
        <v>29.362354145716029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159643</v>
      </c>
      <c r="B95" s="66">
        <v>159643</v>
      </c>
      <c r="D95">
        <f t="shared" si="4"/>
        <v>0.78045191442762718</v>
      </c>
      <c r="E95">
        <f t="shared" si="4"/>
        <v>0.78045191442762718</v>
      </c>
      <c r="G95">
        <f t="shared" ca="1" si="5"/>
        <v>93</v>
      </c>
      <c r="H95">
        <f t="shared" ca="1" si="6"/>
        <v>72.582028041769334</v>
      </c>
      <c r="I95">
        <f t="shared" ca="1" si="7"/>
        <v>51.281483770873244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153512</v>
      </c>
      <c r="B98" s="66">
        <v>153512</v>
      </c>
      <c r="D98">
        <f t="shared" si="4"/>
        <v>0.75047909578004612</v>
      </c>
      <c r="E98">
        <f t="shared" si="4"/>
        <v>0.75047909578004612</v>
      </c>
      <c r="G98">
        <f t="shared" ca="1" si="5"/>
        <v>96</v>
      </c>
      <c r="H98">
        <f t="shared" ca="1" si="6"/>
        <v>72.045993194884431</v>
      </c>
      <c r="I98">
        <f t="shared" ca="1" si="7"/>
        <v>92.566712105243113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141019</v>
      </c>
      <c r="B100" s="66">
        <v>141019</v>
      </c>
      <c r="D100">
        <f t="shared" si="4"/>
        <v>0.68940416128906101</v>
      </c>
      <c r="E100">
        <f t="shared" si="4"/>
        <v>0.68940416128906101</v>
      </c>
      <c r="G100">
        <f t="shared" ca="1" si="5"/>
        <v>98</v>
      </c>
      <c r="H100">
        <f t="shared" ca="1" si="6"/>
        <v>67.561607806327984</v>
      </c>
      <c r="I100">
        <f t="shared" ca="1" si="7"/>
        <v>118.41725527978461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125029</v>
      </c>
      <c r="B103" s="66">
        <v>125029</v>
      </c>
      <c r="D103">
        <f t="shared" si="4"/>
        <v>0.61123332942234743</v>
      </c>
      <c r="E103">
        <f t="shared" si="4"/>
        <v>0.61123332942234743</v>
      </c>
      <c r="G103">
        <f t="shared" ca="1" si="5"/>
        <v>101</v>
      </c>
      <c r="H103">
        <f t="shared" ca="1" si="6"/>
        <v>61.734566271657087</v>
      </c>
      <c r="I103">
        <f t="shared" ca="1" si="7"/>
        <v>158.55613024041975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113252</v>
      </c>
      <c r="B106" s="66">
        <v>113252</v>
      </c>
      <c r="D106">
        <f t="shared" si="4"/>
        <v>0.55365872736516875</v>
      </c>
      <c r="E106">
        <f t="shared" si="4"/>
        <v>0.55365872736516875</v>
      </c>
      <c r="G106">
        <f t="shared" ca="1" si="5"/>
        <v>104</v>
      </c>
      <c r="H106">
        <f t="shared" ca="1" si="6"/>
        <v>57.580507645977548</v>
      </c>
      <c r="I106">
        <f t="shared" ca="1" si="7"/>
        <v>202.10740236982625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115108</v>
      </c>
      <c r="B108" s="66">
        <v>115108</v>
      </c>
      <c r="D108">
        <f t="shared" si="4"/>
        <v>0.56273221479134894</v>
      </c>
      <c r="E108">
        <f t="shared" si="4"/>
        <v>0.56273221479134894</v>
      </c>
      <c r="G108">
        <f t="shared" ca="1" si="5"/>
        <v>106</v>
      </c>
      <c r="H108">
        <f t="shared" ca="1" si="6"/>
        <v>59.649614767882987</v>
      </c>
      <c r="I108">
        <f t="shared" ca="1" si="7"/>
        <v>250.6767868311442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104459</v>
      </c>
      <c r="B111" s="66">
        <v>104459</v>
      </c>
      <c r="D111">
        <f t="shared" si="4"/>
        <v>0.51067210293715048</v>
      </c>
      <c r="E111">
        <f t="shared" si="4"/>
        <v>0.51067210293715048</v>
      </c>
      <c r="G111">
        <f t="shared" ca="1" si="5"/>
        <v>109</v>
      </c>
      <c r="H111">
        <f t="shared" ca="1" si="6"/>
        <v>55.663259220149406</v>
      </c>
      <c r="I111">
        <f t="shared" ca="1" si="7"/>
        <v>296.75145226582293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101984</v>
      </c>
      <c r="B113" s="66">
        <v>101984</v>
      </c>
      <c r="D113">
        <f t="shared" si="4"/>
        <v>0.49857249012476046</v>
      </c>
      <c r="E113">
        <f t="shared" si="4"/>
        <v>0.49857249012476046</v>
      </c>
      <c r="G113">
        <f t="shared" ca="1" si="5"/>
        <v>111</v>
      </c>
      <c r="H113">
        <f t="shared" ca="1" si="6"/>
        <v>55.341546403848412</v>
      </c>
      <c r="I113">
        <f t="shared" ca="1" si="7"/>
        <v>339.78903649405328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94132</v>
      </c>
      <c r="B116" s="66">
        <v>94132</v>
      </c>
      <c r="D116">
        <f t="shared" si="4"/>
        <v>0.46018616293167508</v>
      </c>
      <c r="E116">
        <f t="shared" si="4"/>
        <v>0.46018616293167508</v>
      </c>
      <c r="G116">
        <f t="shared" ca="1" si="5"/>
        <v>114</v>
      </c>
      <c r="H116">
        <f t="shared" ca="1" si="6"/>
        <v>52.461222574210957</v>
      </c>
      <c r="I116">
        <f t="shared" ca="1" si="7"/>
        <v>389.85126656303964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80703</v>
      </c>
      <c r="B118" s="66">
        <v>80703</v>
      </c>
      <c r="D118">
        <f t="shared" si="4"/>
        <v>0.39453537486800422</v>
      </c>
      <c r="E118">
        <f t="shared" si="4"/>
        <v>0.39453537486800422</v>
      </c>
      <c r="G118">
        <f t="shared" ca="1" si="5"/>
        <v>116</v>
      </c>
      <c r="H118">
        <f t="shared" ca="1" si="6"/>
        <v>45.766103484688486</v>
      </c>
      <c r="I118">
        <f t="shared" ca="1" si="7"/>
        <v>381.74609726253362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73950</v>
      </c>
      <c r="B121" s="66">
        <v>73950</v>
      </c>
      <c r="D121">
        <f t="shared" si="4"/>
        <v>0.36152176463686497</v>
      </c>
      <c r="E121">
        <f t="shared" si="4"/>
        <v>0.36152176463686497</v>
      </c>
      <c r="G121">
        <f t="shared" ca="1" si="5"/>
        <v>119</v>
      </c>
      <c r="H121">
        <f t="shared" ca="1" si="6"/>
        <v>43.02108999178693</v>
      </c>
      <c r="I121">
        <f t="shared" ca="1" si="7"/>
        <v>420.52935471659669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69322</v>
      </c>
      <c r="B124" s="66">
        <v>69322</v>
      </c>
      <c r="D124">
        <f t="shared" si="4"/>
        <v>0.33889671086080803</v>
      </c>
      <c r="E124">
        <f t="shared" si="4"/>
        <v>0.33889671086080803</v>
      </c>
      <c r="G124">
        <f t="shared" ca="1" si="5"/>
        <v>122</v>
      </c>
      <c r="H124">
        <f t="shared" ca="1" si="6"/>
        <v>41.345398725018576</v>
      </c>
      <c r="I124">
        <f t="shared" ca="1" si="7"/>
        <v>466.6120003114342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60554</v>
      </c>
      <c r="B126" s="66">
        <v>60554</v>
      </c>
      <c r="D126">
        <f t="shared" si="4"/>
        <v>0.29603230474402598</v>
      </c>
      <c r="E126">
        <f t="shared" si="4"/>
        <v>0.29603230474402598</v>
      </c>
      <c r="G126">
        <f t="shared" ca="1" si="5"/>
        <v>124</v>
      </c>
      <c r="H126">
        <f t="shared" ca="1" si="6"/>
        <v>36.708005788259221</v>
      </c>
      <c r="I126">
        <f t="shared" ca="1" si="7"/>
        <v>452.71632334357236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53523</v>
      </c>
      <c r="B129" s="66">
        <v>53523</v>
      </c>
      <c r="D129">
        <f t="shared" si="4"/>
        <v>0.26165962689193945</v>
      </c>
      <c r="E129">
        <f t="shared" si="4"/>
        <v>0.26165962689193945</v>
      </c>
      <c r="G129">
        <f t="shared" ca="1" si="5"/>
        <v>127</v>
      </c>
      <c r="H129">
        <f t="shared" ca="1" si="6"/>
        <v>33.230772615276308</v>
      </c>
      <c r="I129">
        <f t="shared" ca="1" si="7"/>
        <v>463.90059280241758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45864</v>
      </c>
      <c r="B131" s="66">
        <v>45864</v>
      </c>
      <c r="D131">
        <f t="shared" ref="D131:E194" si="8">IFERROR( A131/MAX(A$2:A$257), 0 )</f>
        <v>0.22421682506159804</v>
      </c>
      <c r="E131">
        <f t="shared" si="8"/>
        <v>0.22421682506159804</v>
      </c>
      <c r="G131">
        <f t="shared" ref="G131:G194" ca="1" si="9">CELL("row",D131)-2</f>
        <v>129</v>
      </c>
      <c r="H131">
        <f t="shared" ref="H131:H194" ca="1" si="10">D131*G131</f>
        <v>28.923970432946149</v>
      </c>
      <c r="I131">
        <f t="shared" ref="I131:I194" ca="1" si="11">D131*((G131-$L$1)^2)</f>
        <v>436.17801483181711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41565</v>
      </c>
      <c r="B134" s="66">
        <v>41565</v>
      </c>
      <c r="D134">
        <f t="shared" si="8"/>
        <v>0.2032001642614103</v>
      </c>
      <c r="E134">
        <f t="shared" si="8"/>
        <v>0.2032001642614103</v>
      </c>
      <c r="G134">
        <f t="shared" ca="1" si="9"/>
        <v>132</v>
      </c>
      <c r="H134">
        <f t="shared" ca="1" si="10"/>
        <v>26.82242168250616</v>
      </c>
      <c r="I134">
        <f t="shared" ca="1" si="11"/>
        <v>450.89635280918424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40849</v>
      </c>
      <c r="B136" s="66">
        <v>40849</v>
      </c>
      <c r="D136">
        <f t="shared" si="8"/>
        <v>0.19969983182760373</v>
      </c>
      <c r="E136">
        <f t="shared" si="8"/>
        <v>0.19969983182760373</v>
      </c>
      <c r="G136">
        <f t="shared" ca="1" si="9"/>
        <v>134</v>
      </c>
      <c r="H136">
        <f t="shared" ca="1" si="10"/>
        <v>26.7597774648989</v>
      </c>
      <c r="I136">
        <f t="shared" ca="1" si="11"/>
        <v>481.55624765926905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42949</v>
      </c>
      <c r="B139" s="66">
        <v>42949</v>
      </c>
      <c r="D139">
        <f t="shared" si="8"/>
        <v>0.20996616997144979</v>
      </c>
      <c r="E139">
        <f t="shared" si="8"/>
        <v>0.20996616997144979</v>
      </c>
      <c r="G139">
        <f t="shared" ca="1" si="9"/>
        <v>137</v>
      </c>
      <c r="H139">
        <f t="shared" ca="1" si="10"/>
        <v>28.76536528608862</v>
      </c>
      <c r="I139">
        <f t="shared" ca="1" si="11"/>
        <v>570.06580170871302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37376</v>
      </c>
      <c r="B142" s="66">
        <v>37376</v>
      </c>
      <c r="D142">
        <f t="shared" si="8"/>
        <v>0.18272126403066213</v>
      </c>
      <c r="E142">
        <f t="shared" si="8"/>
        <v>0.18272126403066213</v>
      </c>
      <c r="G142">
        <f t="shared" ca="1" si="9"/>
        <v>140</v>
      </c>
      <c r="H142">
        <f t="shared" ca="1" si="10"/>
        <v>25.580976964292699</v>
      </c>
      <c r="I142">
        <f t="shared" ca="1" si="11"/>
        <v>554.86463849330596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35283</v>
      </c>
      <c r="B144" s="66">
        <v>35283</v>
      </c>
      <c r="D144">
        <f t="shared" si="8"/>
        <v>0.17248914701396223</v>
      </c>
      <c r="E144">
        <f t="shared" si="8"/>
        <v>0.17248914701396223</v>
      </c>
      <c r="G144">
        <f t="shared" ca="1" si="9"/>
        <v>142</v>
      </c>
      <c r="H144">
        <f t="shared" ca="1" si="10"/>
        <v>24.493458875982636</v>
      </c>
      <c r="I144">
        <f t="shared" ca="1" si="11"/>
        <v>562.50376235595672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36261</v>
      </c>
      <c r="B147" s="66">
        <v>36261</v>
      </c>
      <c r="D147">
        <f t="shared" si="8"/>
        <v>0.1772703273495248</v>
      </c>
      <c r="E147">
        <f t="shared" si="8"/>
        <v>0.1772703273495248</v>
      </c>
      <c r="G147">
        <f t="shared" ca="1" si="9"/>
        <v>145</v>
      </c>
      <c r="H147">
        <f t="shared" ca="1" si="10"/>
        <v>25.704197465681098</v>
      </c>
      <c r="I147">
        <f t="shared" ca="1" si="11"/>
        <v>640.43029412745159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34708</v>
      </c>
      <c r="B149" s="66">
        <v>34708</v>
      </c>
      <c r="D149">
        <f t="shared" si="8"/>
        <v>0.16967812585552819</v>
      </c>
      <c r="E149">
        <f t="shared" si="8"/>
        <v>0.16967812585552819</v>
      </c>
      <c r="G149">
        <f t="shared" ca="1" si="9"/>
        <v>147</v>
      </c>
      <c r="H149">
        <f t="shared" ca="1" si="10"/>
        <v>24.942684500762645</v>
      </c>
      <c r="I149">
        <f t="shared" ca="1" si="11"/>
        <v>654.47511418110878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35066</v>
      </c>
      <c r="B152" s="66">
        <v>35066</v>
      </c>
      <c r="D152">
        <f t="shared" si="8"/>
        <v>0.17142829207243146</v>
      </c>
      <c r="E152">
        <f t="shared" si="8"/>
        <v>0.17142829207243146</v>
      </c>
      <c r="G152">
        <f t="shared" ca="1" si="9"/>
        <v>150</v>
      </c>
      <c r="H152">
        <f t="shared" ca="1" si="10"/>
        <v>25.714243810864719</v>
      </c>
      <c r="I152">
        <f t="shared" ca="1" si="11"/>
        <v>726.64899898390217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36855</v>
      </c>
      <c r="B154" s="66">
        <v>36855</v>
      </c>
      <c r="D154">
        <f t="shared" si="8"/>
        <v>0.18017423442449843</v>
      </c>
      <c r="E154">
        <f t="shared" si="8"/>
        <v>0.18017423442449843</v>
      </c>
      <c r="G154">
        <f t="shared" ca="1" si="9"/>
        <v>152</v>
      </c>
      <c r="H154">
        <f t="shared" ca="1" si="10"/>
        <v>27.38648363252376</v>
      </c>
      <c r="I154">
        <f t="shared" ca="1" si="11"/>
        <v>811.36363594451461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39935</v>
      </c>
      <c r="B157" s="66">
        <v>39935</v>
      </c>
      <c r="D157">
        <f t="shared" si="8"/>
        <v>0.19523153036880597</v>
      </c>
      <c r="E157">
        <f t="shared" si="8"/>
        <v>0.19523153036880597</v>
      </c>
      <c r="G157">
        <f t="shared" ca="1" si="9"/>
        <v>155</v>
      </c>
      <c r="H157">
        <f t="shared" ca="1" si="10"/>
        <v>30.260887207164927</v>
      </c>
      <c r="I157">
        <f t="shared" ca="1" si="11"/>
        <v>959.53424343430231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39038</v>
      </c>
      <c r="B160" s="66">
        <v>39038</v>
      </c>
      <c r="D160">
        <f t="shared" si="8"/>
        <v>0.19084633736164888</v>
      </c>
      <c r="E160">
        <f t="shared" si="8"/>
        <v>0.19084633736164888</v>
      </c>
      <c r="G160">
        <f t="shared" ca="1" si="9"/>
        <v>158</v>
      </c>
      <c r="H160">
        <f t="shared" ca="1" si="10"/>
        <v>30.153721303140525</v>
      </c>
      <c r="I160">
        <f t="shared" ca="1" si="11"/>
        <v>1019.97613526497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38280</v>
      </c>
      <c r="B162" s="66">
        <v>38280</v>
      </c>
      <c r="D162">
        <f t="shared" si="8"/>
        <v>0.18714067816496538</v>
      </c>
      <c r="E162">
        <f t="shared" si="8"/>
        <v>0.18714067816496538</v>
      </c>
      <c r="G162">
        <f t="shared" ca="1" si="9"/>
        <v>160</v>
      </c>
      <c r="H162">
        <f t="shared" ca="1" si="10"/>
        <v>29.942508506394461</v>
      </c>
      <c r="I162">
        <f t="shared" ca="1" si="11"/>
        <v>1055.6442777515726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36213</v>
      </c>
      <c r="B165" s="66">
        <v>36213</v>
      </c>
      <c r="D165">
        <f t="shared" si="8"/>
        <v>0.17703566819195118</v>
      </c>
      <c r="E165">
        <f t="shared" si="8"/>
        <v>0.17703566819195118</v>
      </c>
      <c r="G165">
        <f t="shared" ca="1" si="9"/>
        <v>163</v>
      </c>
      <c r="H165">
        <f t="shared" ca="1" si="10"/>
        <v>28.856813915288043</v>
      </c>
      <c r="I165">
        <f t="shared" ca="1" si="11"/>
        <v>1080.0147745947309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35628</v>
      </c>
      <c r="B167" s="66">
        <v>35628</v>
      </c>
      <c r="D167">
        <f t="shared" si="8"/>
        <v>0.17417575970902263</v>
      </c>
      <c r="E167">
        <f t="shared" si="8"/>
        <v>0.17417575970902263</v>
      </c>
      <c r="G167">
        <f t="shared" ca="1" si="9"/>
        <v>165</v>
      </c>
      <c r="H167">
        <f t="shared" ca="1" si="10"/>
        <v>28.739000351988736</v>
      </c>
      <c r="I167">
        <f t="shared" ca="1" si="11"/>
        <v>1117.681161271297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33781</v>
      </c>
      <c r="B170" s="66">
        <v>33781</v>
      </c>
      <c r="D170">
        <f t="shared" si="8"/>
        <v>0.16514627087488756</v>
      </c>
      <c r="E170">
        <f t="shared" si="8"/>
        <v>0.16514627087488756</v>
      </c>
      <c r="G170">
        <f t="shared" ca="1" si="9"/>
        <v>168</v>
      </c>
      <c r="H170">
        <f t="shared" ca="1" si="10"/>
        <v>27.744573506981112</v>
      </c>
      <c r="I170">
        <f t="shared" ca="1" si="11"/>
        <v>1140.6007453868515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37640</v>
      </c>
      <c r="B173" s="66">
        <v>37640</v>
      </c>
      <c r="D173">
        <f t="shared" si="8"/>
        <v>0.18401188939731705</v>
      </c>
      <c r="E173">
        <f t="shared" si="8"/>
        <v>0.18401188939731705</v>
      </c>
      <c r="G173">
        <f t="shared" ca="1" si="9"/>
        <v>171</v>
      </c>
      <c r="H173">
        <f t="shared" ca="1" si="10"/>
        <v>31.466033086941216</v>
      </c>
      <c r="I173">
        <f t="shared" ca="1" si="11"/>
        <v>1364.309271074741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36426</v>
      </c>
      <c r="B175" s="66">
        <v>36426</v>
      </c>
      <c r="D175">
        <f t="shared" si="8"/>
        <v>0.17807696820368416</v>
      </c>
      <c r="E175">
        <f t="shared" si="8"/>
        <v>0.17807696820368416</v>
      </c>
      <c r="G175">
        <f t="shared" ca="1" si="9"/>
        <v>173</v>
      </c>
      <c r="H175">
        <f t="shared" ca="1" si="10"/>
        <v>30.807315499237358</v>
      </c>
      <c r="I175">
        <f t="shared" ca="1" si="11"/>
        <v>1382.3526077624997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34768</v>
      </c>
      <c r="B178" s="66">
        <v>34768</v>
      </c>
      <c r="D178">
        <f t="shared" si="8"/>
        <v>0.16997144980249521</v>
      </c>
      <c r="E178">
        <f t="shared" si="8"/>
        <v>0.16997144980249521</v>
      </c>
      <c r="G178">
        <f t="shared" ca="1" si="9"/>
        <v>176</v>
      </c>
      <c r="H178">
        <f t="shared" ca="1" si="10"/>
        <v>29.914975165239156</v>
      </c>
      <c r="I178">
        <f t="shared" ca="1" si="11"/>
        <v>1410.8149313230876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33159</v>
      </c>
      <c r="B180" s="66">
        <v>33159</v>
      </c>
      <c r="D180">
        <f t="shared" si="8"/>
        <v>0.16210547929132935</v>
      </c>
      <c r="E180">
        <f t="shared" si="8"/>
        <v>0.16210547929132935</v>
      </c>
      <c r="G180">
        <f t="shared" ca="1" si="9"/>
        <v>178</v>
      </c>
      <c r="H180">
        <f t="shared" ca="1" si="10"/>
        <v>28.854775313856624</v>
      </c>
      <c r="I180">
        <f t="shared" ca="1" si="11"/>
        <v>1405.2485309031097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26524</v>
      </c>
      <c r="B183" s="66">
        <v>26524</v>
      </c>
      <c r="D183">
        <f t="shared" si="8"/>
        <v>0.12966873948922522</v>
      </c>
      <c r="E183">
        <f t="shared" si="8"/>
        <v>0.12966873948922522</v>
      </c>
      <c r="G183">
        <f t="shared" ca="1" si="9"/>
        <v>181</v>
      </c>
      <c r="H183">
        <f t="shared" ca="1" si="10"/>
        <v>23.470041847549766</v>
      </c>
      <c r="I183">
        <f t="shared" ca="1" si="11"/>
        <v>1197.667865171195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20167</v>
      </c>
      <c r="B185" s="66">
        <v>20167</v>
      </c>
      <c r="D185">
        <f t="shared" si="8"/>
        <v>9.8591067308068367E-2</v>
      </c>
      <c r="E185">
        <f t="shared" si="8"/>
        <v>9.8591067308068367E-2</v>
      </c>
      <c r="G185">
        <f t="shared" ca="1" si="9"/>
        <v>183</v>
      </c>
      <c r="H185">
        <f t="shared" ca="1" si="10"/>
        <v>18.042165317376512</v>
      </c>
      <c r="I185">
        <f t="shared" ca="1" si="11"/>
        <v>948.91826888430694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21774</v>
      </c>
      <c r="B188" s="66">
        <v>21774</v>
      </c>
      <c r="D188">
        <f t="shared" si="8"/>
        <v>0.10644726035433533</v>
      </c>
      <c r="E188">
        <f t="shared" si="8"/>
        <v>0.10644726035433533</v>
      </c>
      <c r="G188">
        <f t="shared" ca="1" si="9"/>
        <v>186</v>
      </c>
      <c r="H188">
        <f t="shared" ca="1" si="10"/>
        <v>19.799190425906371</v>
      </c>
      <c r="I188">
        <f t="shared" ca="1" si="11"/>
        <v>1088.1491954241608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17450</v>
      </c>
      <c r="B191" s="66">
        <v>17450</v>
      </c>
      <c r="D191">
        <f t="shared" si="8"/>
        <v>8.5308381242911333E-2</v>
      </c>
      <c r="E191">
        <f t="shared" si="8"/>
        <v>8.5308381242911333E-2</v>
      </c>
      <c r="G191">
        <f t="shared" ca="1" si="9"/>
        <v>189</v>
      </c>
      <c r="H191">
        <f t="shared" ca="1" si="10"/>
        <v>16.123284054910243</v>
      </c>
      <c r="I191">
        <f t="shared" ca="1" si="11"/>
        <v>924.57749369580893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12021</v>
      </c>
      <c r="B193" s="66">
        <v>12021</v>
      </c>
      <c r="D193">
        <f t="shared" si="8"/>
        <v>5.876745277484454E-2</v>
      </c>
      <c r="E193">
        <f t="shared" si="8"/>
        <v>5.876745277484454E-2</v>
      </c>
      <c r="G193">
        <f t="shared" ca="1" si="9"/>
        <v>191</v>
      </c>
      <c r="H193">
        <f t="shared" ca="1" si="10"/>
        <v>11.224583479995307</v>
      </c>
      <c r="I193">
        <f t="shared" ca="1" si="11"/>
        <v>661.63252544130501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10483</v>
      </c>
      <c r="B196" s="66">
        <v>10483</v>
      </c>
      <c r="D196">
        <f t="shared" si="12"/>
        <v>5.124858226758966E-2</v>
      </c>
      <c r="E196">
        <f t="shared" si="12"/>
        <v>5.124858226758966E-2</v>
      </c>
      <c r="G196">
        <f t="shared" ca="1" si="13"/>
        <v>194</v>
      </c>
      <c r="H196">
        <f t="shared" ca="1" si="14"/>
        <v>9.9422249599123944</v>
      </c>
      <c r="I196">
        <f t="shared" ca="1" si="15"/>
        <v>610.06936271551263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9550</v>
      </c>
      <c r="B198" s="66">
        <v>9550</v>
      </c>
      <c r="D198">
        <f t="shared" si="12"/>
        <v>4.6687394892252335E-2</v>
      </c>
      <c r="E198">
        <f t="shared" si="12"/>
        <v>4.6687394892252335E-2</v>
      </c>
      <c r="G198">
        <f t="shared" ca="1" si="13"/>
        <v>196</v>
      </c>
      <c r="H198">
        <f t="shared" ca="1" si="14"/>
        <v>9.1507293988814578</v>
      </c>
      <c r="I198">
        <f t="shared" ca="1" si="15"/>
        <v>576.33468424263697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5550</v>
      </c>
      <c r="B201" s="66">
        <v>5550</v>
      </c>
      <c r="D201">
        <f t="shared" si="12"/>
        <v>2.713246509445031E-2</v>
      </c>
      <c r="E201">
        <f t="shared" si="12"/>
        <v>2.713246509445031E-2</v>
      </c>
      <c r="G201">
        <f t="shared" ca="1" si="13"/>
        <v>199</v>
      </c>
      <c r="H201">
        <f t="shared" ca="1" si="14"/>
        <v>5.3993605537956118</v>
      </c>
      <c r="I201">
        <f t="shared" ca="1" si="15"/>
        <v>353.26962991874234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4020</v>
      </c>
      <c r="B203" s="66">
        <v>4020</v>
      </c>
      <c r="D203">
        <f t="shared" si="12"/>
        <v>1.9652704446791035E-2</v>
      </c>
      <c r="E203">
        <f t="shared" si="12"/>
        <v>1.9652704446791035E-2</v>
      </c>
      <c r="G203">
        <f t="shared" ca="1" si="13"/>
        <v>201</v>
      </c>
      <c r="H203">
        <f t="shared" ca="1" si="14"/>
        <v>3.9501935938049981</v>
      </c>
      <c r="I203">
        <f t="shared" ca="1" si="15"/>
        <v>264.93036369228156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2319</v>
      </c>
      <c r="B206" s="66">
        <v>2319</v>
      </c>
      <c r="D206">
        <f t="shared" si="12"/>
        <v>1.1336970550275724E-2</v>
      </c>
      <c r="E206">
        <f t="shared" si="12"/>
        <v>1.1336970550275724E-2</v>
      </c>
      <c r="G206">
        <f t="shared" ca="1" si="13"/>
        <v>204</v>
      </c>
      <c r="H206">
        <f t="shared" ca="1" si="14"/>
        <v>2.3127419922562478</v>
      </c>
      <c r="I206">
        <f t="shared" ca="1" si="15"/>
        <v>160.82900752385345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667</v>
      </c>
      <c r="B209" s="66">
        <v>667</v>
      </c>
      <c r="D209">
        <f t="shared" si="12"/>
        <v>3.2607845437834879E-3</v>
      </c>
      <c r="E209">
        <f t="shared" si="12"/>
        <v>3.2607845437834879E-3</v>
      </c>
      <c r="G209">
        <f t="shared" ca="1" si="13"/>
        <v>207</v>
      </c>
      <c r="H209">
        <f t="shared" ca="1" si="14"/>
        <v>0.67498240056318204</v>
      </c>
      <c r="I209">
        <f t="shared" ca="1" si="15"/>
        <v>48.617899885618478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167</v>
      </c>
      <c r="B211" s="66">
        <v>167</v>
      </c>
      <c r="D211">
        <f t="shared" si="12"/>
        <v>8.1641831905823455E-4</v>
      </c>
      <c r="E211">
        <f t="shared" si="12"/>
        <v>8.1641831905823455E-4</v>
      </c>
      <c r="G211">
        <f t="shared" ca="1" si="13"/>
        <v>209</v>
      </c>
      <c r="H211">
        <f t="shared" ca="1" si="14"/>
        <v>0.17063142868317102</v>
      </c>
      <c r="I211">
        <f t="shared" ca="1" si="15"/>
        <v>12.574721584495663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83.696669708498519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1.6159726298412496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0.75287928334563314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1699</v>
      </c>
      <c r="B8" s="66">
        <v>1699</v>
      </c>
      <c r="D8">
        <f t="shared" si="0"/>
        <v>1.5398698497290046</v>
      </c>
      <c r="E8">
        <f t="shared" si="1"/>
        <v>1.5398698497290046</v>
      </c>
      <c r="G8">
        <f t="shared" ca="1" si="2"/>
        <v>6</v>
      </c>
      <c r="H8">
        <f t="shared" ca="1" si="3"/>
        <v>9.2392190983740274</v>
      </c>
      <c r="I8">
        <f t="shared" ca="1" si="4"/>
        <v>9295.8439374642239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1194</v>
      </c>
      <c r="B10" s="66">
        <v>1194</v>
      </c>
      <c r="D10">
        <f t="shared" si="0"/>
        <v>1.0821686878024905</v>
      </c>
      <c r="E10">
        <f t="shared" si="1"/>
        <v>1.0821686878024905</v>
      </c>
      <c r="G10">
        <f t="shared" ca="1" si="2"/>
        <v>8</v>
      </c>
      <c r="H10">
        <f t="shared" ca="1" si="3"/>
        <v>8.6573495024199243</v>
      </c>
      <c r="I10">
        <f t="shared" ca="1" si="4"/>
        <v>6200.8112196777738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2776</v>
      </c>
      <c r="B13" s="66">
        <v>2776</v>
      </c>
      <c r="D13">
        <f t="shared" si="0"/>
        <v>2.5159968821940653</v>
      </c>
      <c r="E13">
        <f t="shared" si="1"/>
        <v>2.5159968821940653</v>
      </c>
      <c r="G13">
        <f t="shared" ca="1" si="2"/>
        <v>11</v>
      </c>
      <c r="H13">
        <f t="shared" ca="1" si="3"/>
        <v>27.675965704134718</v>
      </c>
      <c r="I13">
        <f t="shared" ca="1" si="4"/>
        <v>13296.554882354774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5337</v>
      </c>
      <c r="B15" s="66">
        <v>5337</v>
      </c>
      <c r="D15">
        <f t="shared" si="0"/>
        <v>4.8371308934689212</v>
      </c>
      <c r="E15">
        <f t="shared" si="1"/>
        <v>4.8371308934689212</v>
      </c>
      <c r="G15">
        <f t="shared" ca="1" si="2"/>
        <v>13</v>
      </c>
      <c r="H15">
        <f t="shared" ca="1" si="3"/>
        <v>62.882701615095975</v>
      </c>
      <c r="I15">
        <f t="shared" ca="1" si="4"/>
        <v>24176.072632838201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6588</v>
      </c>
      <c r="B18" s="66">
        <v>6588</v>
      </c>
      <c r="D18">
        <f t="shared" si="0"/>
        <v>5.9709609005383655</v>
      </c>
      <c r="E18">
        <f t="shared" si="1"/>
        <v>5.9709609005383655</v>
      </c>
      <c r="G18">
        <f t="shared" ca="1" si="2"/>
        <v>16</v>
      </c>
      <c r="H18">
        <f t="shared" ca="1" si="3"/>
        <v>95.535374408613848</v>
      </c>
      <c r="I18">
        <f t="shared" ca="1" si="4"/>
        <v>27363.953017589058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10271</v>
      </c>
      <c r="B21" s="66">
        <v>10271</v>
      </c>
      <c r="D21">
        <f t="shared" si="0"/>
        <v>9.3090071963311392</v>
      </c>
      <c r="E21">
        <f t="shared" si="1"/>
        <v>9.3090071963311392</v>
      </c>
      <c r="G21">
        <f t="shared" ca="1" si="2"/>
        <v>19</v>
      </c>
      <c r="H21">
        <f t="shared" ca="1" si="3"/>
        <v>176.87113673029165</v>
      </c>
      <c r="I21">
        <f t="shared" ca="1" si="4"/>
        <v>38964.330416777164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12817</v>
      </c>
      <c r="B23" s="66">
        <v>12817</v>
      </c>
      <c r="D23">
        <f t="shared" si="0"/>
        <v>11.616546123588376</v>
      </c>
      <c r="E23">
        <f t="shared" si="1"/>
        <v>11.616546123588376</v>
      </c>
      <c r="G23">
        <f t="shared" ca="1" si="2"/>
        <v>21</v>
      </c>
      <c r="H23">
        <f t="shared" ca="1" si="3"/>
        <v>243.9474685953559</v>
      </c>
      <c r="I23">
        <f t="shared" ca="1" si="4"/>
        <v>45663.16045384109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17091</v>
      </c>
      <c r="B26" s="66">
        <v>17091</v>
      </c>
      <c r="D26">
        <f t="shared" si="0"/>
        <v>15.490238729675349</v>
      </c>
      <c r="E26">
        <f t="shared" si="1"/>
        <v>15.490238729675349</v>
      </c>
      <c r="G26">
        <f t="shared" ca="1" si="2"/>
        <v>24</v>
      </c>
      <c r="H26">
        <f t="shared" ca="1" si="3"/>
        <v>371.7657295122084</v>
      </c>
      <c r="I26">
        <f t="shared" ca="1" si="4"/>
        <v>55202.445636806951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24033</v>
      </c>
      <c r="B28" s="66">
        <v>24033</v>
      </c>
      <c r="D28">
        <f t="shared" si="0"/>
        <v>21.782043613029529</v>
      </c>
      <c r="E28">
        <f t="shared" si="1"/>
        <v>21.782043613029529</v>
      </c>
      <c r="G28">
        <f t="shared" ca="1" si="2"/>
        <v>26</v>
      </c>
      <c r="H28">
        <f t="shared" ca="1" si="3"/>
        <v>566.33313393876779</v>
      </c>
      <c r="I28">
        <f t="shared" ca="1" si="4"/>
        <v>72510.369041988495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32572</v>
      </c>
      <c r="B31" s="66">
        <v>32572</v>
      </c>
      <c r="D31">
        <f t="shared" si="0"/>
        <v>29.521271774792901</v>
      </c>
      <c r="E31">
        <f t="shared" si="1"/>
        <v>29.521271774792901</v>
      </c>
      <c r="G31">
        <f t="shared" ca="1" si="2"/>
        <v>29</v>
      </c>
      <c r="H31">
        <f t="shared" ca="1" si="3"/>
        <v>856.11688146899417</v>
      </c>
      <c r="I31">
        <f t="shared" ca="1" si="4"/>
        <v>88319.546792264635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45199</v>
      </c>
      <c r="B33" s="66">
        <v>45199</v>
      </c>
      <c r="D33">
        <f t="shared" si="0"/>
        <v>40.965613500824766</v>
      </c>
      <c r="E33">
        <f t="shared" si="1"/>
        <v>40.965613500824766</v>
      </c>
      <c r="G33">
        <f t="shared" ca="1" si="2"/>
        <v>31</v>
      </c>
      <c r="H33">
        <f t="shared" ca="1" si="3"/>
        <v>1269.9340185255678</v>
      </c>
      <c r="I33">
        <f t="shared" ca="1" si="4"/>
        <v>113759.00972245297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49419</v>
      </c>
      <c r="B36" s="66">
        <v>49419</v>
      </c>
      <c r="D36">
        <f t="shared" si="0"/>
        <v>44.790363804448312</v>
      </c>
      <c r="E36">
        <f t="shared" si="1"/>
        <v>44.790363804448312</v>
      </c>
      <c r="G36">
        <f t="shared" ca="1" si="2"/>
        <v>34</v>
      </c>
      <c r="H36">
        <f t="shared" ca="1" si="3"/>
        <v>1522.8723693512427</v>
      </c>
      <c r="I36">
        <f t="shared" ca="1" si="4"/>
        <v>110621.40322868069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53493</v>
      </c>
      <c r="B39" s="66">
        <v>53493</v>
      </c>
      <c r="D39">
        <f t="shared" si="0"/>
        <v>48.482788623633695</v>
      </c>
      <c r="E39">
        <f t="shared" si="1"/>
        <v>48.482788623633695</v>
      </c>
      <c r="G39">
        <f t="shared" ca="1" si="2"/>
        <v>37</v>
      </c>
      <c r="H39">
        <f t="shared" ca="1" si="3"/>
        <v>1793.8631790744466</v>
      </c>
      <c r="I39">
        <f t="shared" ca="1" si="4"/>
        <v>105720.54888522415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60693</v>
      </c>
      <c r="B41" s="66">
        <v>60693</v>
      </c>
      <c r="D41">
        <f t="shared" si="0"/>
        <v>55.008428952090924</v>
      </c>
      <c r="E41">
        <f t="shared" si="1"/>
        <v>55.008428952090924</v>
      </c>
      <c r="G41">
        <f t="shared" ca="1" si="2"/>
        <v>39</v>
      </c>
      <c r="H41">
        <f t="shared" ca="1" si="3"/>
        <v>2145.328729131546</v>
      </c>
      <c r="I41">
        <f t="shared" ca="1" si="4"/>
        <v>109895.41486212477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67247</v>
      </c>
      <c r="B44" s="66">
        <v>67247</v>
      </c>
      <c r="D44">
        <f t="shared" si="0"/>
        <v>60.948574328856019</v>
      </c>
      <c r="E44">
        <f t="shared" si="1"/>
        <v>60.948574328856019</v>
      </c>
      <c r="G44">
        <f t="shared" ca="1" si="2"/>
        <v>42</v>
      </c>
      <c r="H44">
        <f t="shared" ca="1" si="3"/>
        <v>2559.8401218119529</v>
      </c>
      <c r="I44">
        <f t="shared" ca="1" si="4"/>
        <v>105965.93884898124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63924</v>
      </c>
      <c r="B46" s="66">
        <v>63924</v>
      </c>
      <c r="D46">
        <f t="shared" si="0"/>
        <v>57.936810049486105</v>
      </c>
      <c r="E46">
        <f t="shared" si="1"/>
        <v>57.936810049486105</v>
      </c>
      <c r="G46">
        <f t="shared" ca="1" si="2"/>
        <v>44</v>
      </c>
      <c r="H46">
        <f t="shared" ca="1" si="3"/>
        <v>2549.2196421773888</v>
      </c>
      <c r="I46">
        <f t="shared" ca="1" si="4"/>
        <v>91298.307644051747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74610</v>
      </c>
      <c r="B49" s="66">
        <v>74610</v>
      </c>
      <c r="D49">
        <f t="shared" si="0"/>
        <v>67.621947903638045</v>
      </c>
      <c r="E49">
        <f t="shared" si="1"/>
        <v>67.621947903638045</v>
      </c>
      <c r="G49">
        <f t="shared" ca="1" si="2"/>
        <v>47</v>
      </c>
      <c r="H49">
        <f t="shared" ca="1" si="3"/>
        <v>3178.2315514709881</v>
      </c>
      <c r="I49">
        <f t="shared" ca="1" si="4"/>
        <v>91062.796423311534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76604</v>
      </c>
      <c r="B51" s="66">
        <v>76604</v>
      </c>
      <c r="D51">
        <f t="shared" si="0"/>
        <v>69.429187739046895</v>
      </c>
      <c r="E51">
        <f t="shared" si="1"/>
        <v>69.429187739046895</v>
      </c>
      <c r="G51">
        <f t="shared" ca="1" si="2"/>
        <v>49</v>
      </c>
      <c r="H51">
        <f t="shared" ca="1" si="3"/>
        <v>3402.0301992132977</v>
      </c>
      <c r="I51">
        <f t="shared" ca="1" si="4"/>
        <v>83582.944806025669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93634</v>
      </c>
      <c r="B54" s="66">
        <v>93634</v>
      </c>
      <c r="D54">
        <f t="shared" si="0"/>
        <v>84.864139793717257</v>
      </c>
      <c r="E54">
        <f t="shared" si="1"/>
        <v>84.864139793717257</v>
      </c>
      <c r="G54">
        <f t="shared" ca="1" si="2"/>
        <v>52</v>
      </c>
      <c r="H54">
        <f t="shared" ca="1" si="3"/>
        <v>4412.9352692732973</v>
      </c>
      <c r="I54">
        <f t="shared" ca="1" si="4"/>
        <v>85261.208123211109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100497</v>
      </c>
      <c r="B57" s="66">
        <v>100497</v>
      </c>
      <c r="D57">
        <f t="shared" si="0"/>
        <v>91.084343901245305</v>
      </c>
      <c r="E57">
        <f t="shared" si="1"/>
        <v>91.084343901245305</v>
      </c>
      <c r="G57">
        <f t="shared" ca="1" si="2"/>
        <v>55</v>
      </c>
      <c r="H57">
        <f t="shared" ca="1" si="3"/>
        <v>5009.6389145684916</v>
      </c>
      <c r="I57">
        <f t="shared" ca="1" si="4"/>
        <v>75007.852670516702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95694</v>
      </c>
      <c r="B59" s="66">
        <v>95694</v>
      </c>
      <c r="D59">
        <f t="shared" si="0"/>
        <v>86.731197998803637</v>
      </c>
      <c r="E59">
        <f t="shared" si="1"/>
        <v>86.731197998803637</v>
      </c>
      <c r="G59">
        <f t="shared" ca="1" si="2"/>
        <v>57</v>
      </c>
      <c r="H59">
        <f t="shared" ca="1" si="3"/>
        <v>4943.6782859318073</v>
      </c>
      <c r="I59">
        <f t="shared" ca="1" si="4"/>
        <v>61814.380638125185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96798</v>
      </c>
      <c r="B62" s="66">
        <v>96798</v>
      </c>
      <c r="D62">
        <f t="shared" si="0"/>
        <v>87.731796182500403</v>
      </c>
      <c r="E62">
        <f t="shared" si="1"/>
        <v>87.731796182500403</v>
      </c>
      <c r="G62">
        <f t="shared" ca="1" si="2"/>
        <v>60</v>
      </c>
      <c r="H62">
        <f t="shared" ca="1" si="3"/>
        <v>5263.9077709500243</v>
      </c>
      <c r="I62">
        <f t="shared" ca="1" si="4"/>
        <v>49264.224596389897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99024</v>
      </c>
      <c r="B64" s="66">
        <v>99024</v>
      </c>
      <c r="D64">
        <f t="shared" si="0"/>
        <v>89.749306650715098</v>
      </c>
      <c r="E64">
        <f t="shared" si="1"/>
        <v>89.749306650715098</v>
      </c>
      <c r="G64">
        <f t="shared" ca="1" si="2"/>
        <v>62</v>
      </c>
      <c r="H64">
        <f t="shared" ca="1" si="3"/>
        <v>5564.4570123443364</v>
      </c>
      <c r="I64">
        <f t="shared" ca="1" si="4"/>
        <v>42249.080119421567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105846</v>
      </c>
      <c r="B67" s="66">
        <v>105846</v>
      </c>
      <c r="D67">
        <f t="shared" ref="D67:D130" si="5">IFERROR( 100*A67/MAX(A$2:A$257), 0 )</f>
        <v>95.932350861928327</v>
      </c>
      <c r="E67">
        <f t="shared" ref="E67:E130" si="6">IFERROR( 100*B67/MAX(B$2:B$257), 0 )</f>
        <v>95.932350861928327</v>
      </c>
      <c r="G67">
        <f t="shared" ref="G67:G130" ca="1" si="7">CELL("row",D67)-2</f>
        <v>65</v>
      </c>
      <c r="H67">
        <f t="shared" ref="H67:H130" ca="1" si="8">D67*G67</f>
        <v>6235.6028060253411</v>
      </c>
      <c r="I67">
        <f t="shared" ref="I67:I130" ca="1" si="9">D67*((G67-$L$1)^2)</f>
        <v>33534.636184167772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94396</v>
      </c>
      <c r="B69" s="66">
        <v>94396</v>
      </c>
      <c r="D69">
        <f t="shared" si="5"/>
        <v>85.55477006181232</v>
      </c>
      <c r="E69">
        <f t="shared" si="6"/>
        <v>85.55477006181232</v>
      </c>
      <c r="G69">
        <f t="shared" ca="1" si="7"/>
        <v>67</v>
      </c>
      <c r="H69">
        <f t="shared" ca="1" si="8"/>
        <v>5732.1695941414255</v>
      </c>
      <c r="I69">
        <f t="shared" ca="1" si="9"/>
        <v>23850.854365803385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105053</v>
      </c>
      <c r="B72" s="66">
        <v>105053</v>
      </c>
      <c r="D72">
        <f t="shared" si="5"/>
        <v>95.213624086863518</v>
      </c>
      <c r="E72">
        <f t="shared" si="6"/>
        <v>95.213624086863518</v>
      </c>
      <c r="G72">
        <f t="shared" ca="1" si="7"/>
        <v>70</v>
      </c>
      <c r="H72">
        <f t="shared" ca="1" si="8"/>
        <v>6664.9536860804465</v>
      </c>
      <c r="I72">
        <f t="shared" ca="1" si="9"/>
        <v>17861.957918889089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94399</v>
      </c>
      <c r="B75" s="66">
        <v>94399</v>
      </c>
      <c r="D75">
        <f t="shared" si="5"/>
        <v>85.557489078615845</v>
      </c>
      <c r="E75">
        <f t="shared" si="6"/>
        <v>85.557489078615845</v>
      </c>
      <c r="G75">
        <f t="shared" ca="1" si="7"/>
        <v>73</v>
      </c>
      <c r="H75">
        <f t="shared" ca="1" si="8"/>
        <v>6245.6967027389564</v>
      </c>
      <c r="I75">
        <f t="shared" ca="1" si="9"/>
        <v>9789.3803420096719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99160</v>
      </c>
      <c r="B77" s="66">
        <v>99160</v>
      </c>
      <c r="D77">
        <f t="shared" si="5"/>
        <v>89.872568745808181</v>
      </c>
      <c r="E77">
        <f t="shared" si="6"/>
        <v>89.872568745808181</v>
      </c>
      <c r="G77">
        <f t="shared" ca="1" si="7"/>
        <v>75</v>
      </c>
      <c r="H77">
        <f t="shared" ca="1" si="8"/>
        <v>6740.4426559356134</v>
      </c>
      <c r="I77">
        <f t="shared" ca="1" si="9"/>
        <v>6797.2478729093928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106318</v>
      </c>
      <c r="B80" s="66">
        <v>106318</v>
      </c>
      <c r="D80">
        <f t="shared" si="5"/>
        <v>96.360142839016078</v>
      </c>
      <c r="E80">
        <f t="shared" si="6"/>
        <v>96.360142839016078</v>
      </c>
      <c r="G80">
        <f t="shared" ca="1" si="7"/>
        <v>78</v>
      </c>
      <c r="H80">
        <f t="shared" ca="1" si="8"/>
        <v>7516.0911414432539</v>
      </c>
      <c r="I80">
        <f t="shared" ca="1" si="9"/>
        <v>3127.0837655962296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110334</v>
      </c>
      <c r="B82" s="66">
        <v>110334</v>
      </c>
      <c r="D82">
        <f t="shared" si="5"/>
        <v>100</v>
      </c>
      <c r="E82">
        <f t="shared" si="6"/>
        <v>100</v>
      </c>
      <c r="G82">
        <f t="shared" ca="1" si="7"/>
        <v>80</v>
      </c>
      <c r="H82">
        <f t="shared" ca="1" si="8"/>
        <v>8000</v>
      </c>
      <c r="I82">
        <f t="shared" ca="1" si="9"/>
        <v>1366.536693373052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102906</v>
      </c>
      <c r="B85" s="66">
        <v>102906</v>
      </c>
      <c r="D85">
        <f t="shared" si="5"/>
        <v>93.267714394474964</v>
      </c>
      <c r="E85">
        <f t="shared" si="6"/>
        <v>93.267714394474964</v>
      </c>
      <c r="G85">
        <f t="shared" ca="1" si="7"/>
        <v>83</v>
      </c>
      <c r="H85">
        <f t="shared" ca="1" si="8"/>
        <v>7741.2202947414216</v>
      </c>
      <c r="I85">
        <f t="shared" ca="1" si="9"/>
        <v>45.267362323474003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90081</v>
      </c>
      <c r="B88" s="66">
        <v>90081</v>
      </c>
      <c r="D88">
        <f t="shared" si="5"/>
        <v>81.643917559410511</v>
      </c>
      <c r="E88">
        <f t="shared" si="6"/>
        <v>81.643917559410511</v>
      </c>
      <c r="G88">
        <f t="shared" ca="1" si="7"/>
        <v>86</v>
      </c>
      <c r="H88">
        <f t="shared" ca="1" si="8"/>
        <v>7021.3769101093039</v>
      </c>
      <c r="I88">
        <f t="shared" ca="1" si="9"/>
        <v>433.14796039508997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81597</v>
      </c>
      <c r="B90" s="66">
        <v>81597</v>
      </c>
      <c r="D90">
        <f t="shared" si="5"/>
        <v>73.954538039045076</v>
      </c>
      <c r="E90">
        <f t="shared" si="6"/>
        <v>73.954538039045076</v>
      </c>
      <c r="G90">
        <f t="shared" ca="1" si="7"/>
        <v>88</v>
      </c>
      <c r="H90">
        <f t="shared" ca="1" si="8"/>
        <v>6507.9993474359671</v>
      </c>
      <c r="I90">
        <f t="shared" ca="1" si="9"/>
        <v>1369.5383240179376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76269</v>
      </c>
      <c r="B93" s="66">
        <v>76269</v>
      </c>
      <c r="D93">
        <f t="shared" si="5"/>
        <v>69.125564195986726</v>
      </c>
      <c r="E93">
        <f t="shared" si="6"/>
        <v>69.125564195986726</v>
      </c>
      <c r="G93">
        <f t="shared" ca="1" si="7"/>
        <v>91</v>
      </c>
      <c r="H93">
        <f t="shared" ca="1" si="8"/>
        <v>6290.4263418347919</v>
      </c>
      <c r="I93">
        <f t="shared" ca="1" si="9"/>
        <v>3687.0631235378723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75021</v>
      </c>
      <c r="B95" s="66">
        <v>75021</v>
      </c>
      <c r="D95">
        <f t="shared" si="5"/>
        <v>67.994453205720816</v>
      </c>
      <c r="E95">
        <f t="shared" si="6"/>
        <v>67.994453205720816</v>
      </c>
      <c r="G95">
        <f t="shared" ca="1" si="7"/>
        <v>93</v>
      </c>
      <c r="H95">
        <f t="shared" ca="1" si="8"/>
        <v>6323.4841481320364</v>
      </c>
      <c r="I95">
        <f t="shared" ca="1" si="9"/>
        <v>5885.0528209821514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69458</v>
      </c>
      <c r="B98" s="66">
        <v>69458</v>
      </c>
      <c r="D98">
        <f t="shared" si="5"/>
        <v>62.95248971305309</v>
      </c>
      <c r="E98">
        <f t="shared" si="6"/>
        <v>62.95248971305309</v>
      </c>
      <c r="G98">
        <f t="shared" ca="1" si="7"/>
        <v>96</v>
      </c>
      <c r="H98">
        <f t="shared" ca="1" si="8"/>
        <v>6043.4390124530964</v>
      </c>
      <c r="I98">
        <f t="shared" ca="1" si="9"/>
        <v>9529.2402603645041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60288</v>
      </c>
      <c r="B100" s="66">
        <v>60288</v>
      </c>
      <c r="D100">
        <f t="shared" si="5"/>
        <v>54.641361683615202</v>
      </c>
      <c r="E100">
        <f t="shared" si="6"/>
        <v>54.641361683615202</v>
      </c>
      <c r="G100">
        <f t="shared" ca="1" si="7"/>
        <v>98</v>
      </c>
      <c r="H100">
        <f t="shared" ca="1" si="8"/>
        <v>5354.8534449942899</v>
      </c>
      <c r="I100">
        <f t="shared" ca="1" si="9"/>
        <v>11178.817046247061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54526</v>
      </c>
      <c r="B103" s="66">
        <v>54526</v>
      </c>
      <c r="D103">
        <f t="shared" si="5"/>
        <v>49.419036742980403</v>
      </c>
      <c r="E103">
        <f t="shared" si="6"/>
        <v>49.419036742980403</v>
      </c>
      <c r="G103">
        <f t="shared" ca="1" si="7"/>
        <v>101</v>
      </c>
      <c r="H103">
        <f t="shared" ca="1" si="8"/>
        <v>4991.3227110410207</v>
      </c>
      <c r="I103">
        <f t="shared" ca="1" si="9"/>
        <v>14796.318515918756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47754</v>
      </c>
      <c r="B106" s="66">
        <v>47754</v>
      </c>
      <c r="D106">
        <f t="shared" si="5"/>
        <v>43.281309478492574</v>
      </c>
      <c r="E106">
        <f t="shared" si="6"/>
        <v>43.281309478492574</v>
      </c>
      <c r="G106">
        <f t="shared" ca="1" si="7"/>
        <v>104</v>
      </c>
      <c r="H106">
        <f t="shared" ca="1" si="8"/>
        <v>4501.2561857632281</v>
      </c>
      <c r="I106">
        <f t="shared" ca="1" si="9"/>
        <v>17841.647361729592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48468</v>
      </c>
      <c r="B108" s="66">
        <v>48468</v>
      </c>
      <c r="D108">
        <f t="shared" si="5"/>
        <v>43.928435477731256</v>
      </c>
      <c r="E108">
        <f t="shared" si="6"/>
        <v>43.928435477731256</v>
      </c>
      <c r="G108">
        <f t="shared" ca="1" si="7"/>
        <v>106</v>
      </c>
      <c r="H108">
        <f t="shared" ca="1" si="8"/>
        <v>4656.4141606395133</v>
      </c>
      <c r="I108">
        <f t="shared" ca="1" si="9"/>
        <v>21851.696900416671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44162</v>
      </c>
      <c r="B111" s="66">
        <v>44162</v>
      </c>
      <c r="D111">
        <f t="shared" si="5"/>
        <v>40.025740025740028</v>
      </c>
      <c r="E111">
        <f t="shared" si="6"/>
        <v>40.025740025740028</v>
      </c>
      <c r="G111">
        <f t="shared" ca="1" si="7"/>
        <v>109</v>
      </c>
      <c r="H111">
        <f t="shared" ca="1" si="8"/>
        <v>4362.8056628056629</v>
      </c>
      <c r="I111">
        <f t="shared" ca="1" si="9"/>
        <v>25626.821224516592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43282</v>
      </c>
      <c r="B113" s="66">
        <v>43282</v>
      </c>
      <c r="D113">
        <f t="shared" si="5"/>
        <v>39.228161763373031</v>
      </c>
      <c r="E113">
        <f t="shared" si="6"/>
        <v>39.228161763373031</v>
      </c>
      <c r="G113">
        <f t="shared" ca="1" si="7"/>
        <v>111</v>
      </c>
      <c r="H113">
        <f t="shared" ca="1" si="8"/>
        <v>4354.3259557344063</v>
      </c>
      <c r="I113">
        <f t="shared" ca="1" si="9"/>
        <v>29243.490125967775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40411</v>
      </c>
      <c r="B116" s="66">
        <v>40411</v>
      </c>
      <c r="D116">
        <f t="shared" si="5"/>
        <v>36.626062682400708</v>
      </c>
      <c r="E116">
        <f t="shared" si="6"/>
        <v>36.626062682400708</v>
      </c>
      <c r="G116">
        <f t="shared" ca="1" si="7"/>
        <v>114</v>
      </c>
      <c r="H116">
        <f t="shared" ca="1" si="8"/>
        <v>4175.3711457936806</v>
      </c>
      <c r="I116">
        <f t="shared" ca="1" si="9"/>
        <v>33633.414007495325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31524</v>
      </c>
      <c r="B118" s="66">
        <v>31524</v>
      </c>
      <c r="D118">
        <f t="shared" si="5"/>
        <v>28.571428571428573</v>
      </c>
      <c r="E118">
        <f t="shared" si="6"/>
        <v>28.571428571428573</v>
      </c>
      <c r="G118">
        <f t="shared" ca="1" si="7"/>
        <v>116</v>
      </c>
      <c r="H118">
        <f t="shared" ca="1" si="8"/>
        <v>3314.2857142857147</v>
      </c>
      <c r="I118">
        <f t="shared" ca="1" si="9"/>
        <v>29814.432797766774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29778</v>
      </c>
      <c r="B121" s="66">
        <v>29778</v>
      </c>
      <c r="D121">
        <f t="shared" si="5"/>
        <v>26.988960791777693</v>
      </c>
      <c r="E121">
        <f t="shared" si="6"/>
        <v>26.988960791777693</v>
      </c>
      <c r="G121">
        <f t="shared" ca="1" si="7"/>
        <v>119</v>
      </c>
      <c r="H121">
        <f t="shared" ca="1" si="8"/>
        <v>3211.6863342215456</v>
      </c>
      <c r="I121">
        <f t="shared" ca="1" si="9"/>
        <v>33637.020058493712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28249</v>
      </c>
      <c r="B124" s="66">
        <v>28249</v>
      </c>
      <c r="D124">
        <f t="shared" si="5"/>
        <v>25.603168560915041</v>
      </c>
      <c r="E124">
        <f t="shared" si="6"/>
        <v>25.603168560915041</v>
      </c>
      <c r="G124">
        <f t="shared" ca="1" si="7"/>
        <v>122</v>
      </c>
      <c r="H124">
        <f t="shared" ca="1" si="8"/>
        <v>3123.586564431635</v>
      </c>
      <c r="I124">
        <f t="shared" ca="1" si="9"/>
        <v>37563.563591005026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23180</v>
      </c>
      <c r="B126" s="66">
        <v>23180</v>
      </c>
      <c r="D126">
        <f t="shared" si="5"/>
        <v>21.008936501894247</v>
      </c>
      <c r="E126">
        <f t="shared" si="6"/>
        <v>21.008936501894247</v>
      </c>
      <c r="G126">
        <f t="shared" ca="1" si="7"/>
        <v>124</v>
      </c>
      <c r="H126">
        <f t="shared" ca="1" si="8"/>
        <v>2605.1081262348866</v>
      </c>
      <c r="I126">
        <f t="shared" ca="1" si="9"/>
        <v>34126.04316651282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17530</v>
      </c>
      <c r="B129" s="66">
        <v>17530</v>
      </c>
      <c r="D129">
        <f t="shared" si="5"/>
        <v>15.888121521924338</v>
      </c>
      <c r="E129">
        <f t="shared" si="6"/>
        <v>15.888121521924338</v>
      </c>
      <c r="G129">
        <f t="shared" ca="1" si="7"/>
        <v>127</v>
      </c>
      <c r="H129">
        <f t="shared" ca="1" si="8"/>
        <v>2017.7914332843909</v>
      </c>
      <c r="I129">
        <f t="shared" ca="1" si="9"/>
        <v>29793.062522241798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13008</v>
      </c>
      <c r="B131" s="66">
        <v>13008</v>
      </c>
      <c r="D131">
        <f t="shared" ref="D131:D194" si="10">IFERROR( 100*A131/MAX(A$2:A$257), 0 )</f>
        <v>11.789656860079395</v>
      </c>
      <c r="E131">
        <f t="shared" ref="E131:E194" si="11">IFERROR( 100*B131/MAX(B$2:B$257), 0 )</f>
        <v>11.789656860079395</v>
      </c>
      <c r="G131">
        <f t="shared" ref="G131:G194" ca="1" si="12">CELL("row",D131)-2</f>
        <v>129</v>
      </c>
      <c r="H131">
        <f t="shared" ref="H131:H194" ca="1" si="13">D131*G131</f>
        <v>1520.8657349502421</v>
      </c>
      <c r="I131">
        <f t="shared" ref="I131:I194" ca="1" si="14">D131*((G131-$L$1)^2)</f>
        <v>24196.994304018153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12117</v>
      </c>
      <c r="B134" s="66">
        <v>12117</v>
      </c>
      <c r="D134">
        <f t="shared" si="10"/>
        <v>10.982108869432814</v>
      </c>
      <c r="E134">
        <f t="shared" si="11"/>
        <v>10.982108869432814</v>
      </c>
      <c r="G134">
        <f t="shared" ca="1" si="12"/>
        <v>132</v>
      </c>
      <c r="H134">
        <f t="shared" ca="1" si="13"/>
        <v>1449.6383707651314</v>
      </c>
      <c r="I134">
        <f t="shared" ca="1" si="14"/>
        <v>25623.585094274527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14644</v>
      </c>
      <c r="B136" s="66">
        <v>14644</v>
      </c>
      <c r="D136">
        <f t="shared" si="10"/>
        <v>13.272427356934399</v>
      </c>
      <c r="E136">
        <f t="shared" si="11"/>
        <v>13.272427356934399</v>
      </c>
      <c r="G136">
        <f t="shared" ca="1" si="12"/>
        <v>134</v>
      </c>
      <c r="H136">
        <f t="shared" ca="1" si="13"/>
        <v>1778.5052658292095</v>
      </c>
      <c r="I136">
        <f t="shared" ca="1" si="14"/>
        <v>33584.882504542838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17313</v>
      </c>
      <c r="B139" s="66">
        <v>17313</v>
      </c>
      <c r="D139">
        <f t="shared" si="10"/>
        <v>15.691445973136114</v>
      </c>
      <c r="E139">
        <f t="shared" si="11"/>
        <v>15.691445973136114</v>
      </c>
      <c r="G139">
        <f t="shared" ca="1" si="12"/>
        <v>137</v>
      </c>
      <c r="H139">
        <f t="shared" ca="1" si="13"/>
        <v>2149.7280983196474</v>
      </c>
      <c r="I139">
        <f t="shared" ca="1" si="14"/>
        <v>44583.242730359547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17605</v>
      </c>
      <c r="B142" s="66">
        <v>17605</v>
      </c>
      <c r="D142">
        <f t="shared" si="10"/>
        <v>15.956096942012435</v>
      </c>
      <c r="E142">
        <f t="shared" si="11"/>
        <v>15.956096942012435</v>
      </c>
      <c r="G142">
        <f t="shared" ca="1" si="12"/>
        <v>140</v>
      </c>
      <c r="H142">
        <f t="shared" ca="1" si="13"/>
        <v>2233.8535718817407</v>
      </c>
      <c r="I142">
        <f t="shared" ca="1" si="14"/>
        <v>50581.864483019155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17026</v>
      </c>
      <c r="B144" s="66">
        <v>17026</v>
      </c>
      <c r="D144">
        <f t="shared" si="10"/>
        <v>15.431326698932333</v>
      </c>
      <c r="E144">
        <f t="shared" si="11"/>
        <v>15.431326698932333</v>
      </c>
      <c r="G144">
        <f t="shared" ca="1" si="12"/>
        <v>142</v>
      </c>
      <c r="H144">
        <f t="shared" ca="1" si="13"/>
        <v>2191.2483912483913</v>
      </c>
      <c r="I144">
        <f t="shared" ca="1" si="14"/>
        <v>52455.374344045005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17215</v>
      </c>
      <c r="B147" s="66">
        <v>17215</v>
      </c>
      <c r="D147">
        <f t="shared" si="10"/>
        <v>15.602624757554334</v>
      </c>
      <c r="E147">
        <f t="shared" si="11"/>
        <v>15.602624757554334</v>
      </c>
      <c r="G147">
        <f t="shared" ca="1" si="12"/>
        <v>145</v>
      </c>
      <c r="H147">
        <f t="shared" ca="1" si="13"/>
        <v>2262.3805898453784</v>
      </c>
      <c r="I147">
        <f t="shared" ca="1" si="14"/>
        <v>58636.19765224673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16429</v>
      </c>
      <c r="B149" s="66">
        <v>16429</v>
      </c>
      <c r="D149">
        <f t="shared" si="10"/>
        <v>14.890242355031088</v>
      </c>
      <c r="E149">
        <f t="shared" si="11"/>
        <v>14.890242355031088</v>
      </c>
      <c r="G149">
        <f t="shared" ca="1" si="12"/>
        <v>147</v>
      </c>
      <c r="H149">
        <f t="shared" ca="1" si="13"/>
        <v>2188.8656261895699</v>
      </c>
      <c r="I149">
        <f t="shared" ca="1" si="14"/>
        <v>59669.841303198184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17602</v>
      </c>
      <c r="B152" s="66">
        <v>17602</v>
      </c>
      <c r="D152">
        <f t="shared" si="10"/>
        <v>15.953377925208912</v>
      </c>
      <c r="E152">
        <f t="shared" si="11"/>
        <v>15.953377925208912</v>
      </c>
      <c r="G152">
        <f t="shared" ca="1" si="12"/>
        <v>150</v>
      </c>
      <c r="H152">
        <f t="shared" ca="1" si="13"/>
        <v>2393.0066887813368</v>
      </c>
      <c r="I152">
        <f t="shared" ca="1" si="14"/>
        <v>70133.148947295296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21887</v>
      </c>
      <c r="B154" s="66">
        <v>21887</v>
      </c>
      <c r="D154">
        <f t="shared" si="10"/>
        <v>19.83704025957547</v>
      </c>
      <c r="E154">
        <f t="shared" si="11"/>
        <v>19.83704025957547</v>
      </c>
      <c r="G154">
        <f t="shared" ca="1" si="12"/>
        <v>152</v>
      </c>
      <c r="H154">
        <f t="shared" ca="1" si="13"/>
        <v>3015.2301194554716</v>
      </c>
      <c r="I154">
        <f t="shared" ca="1" si="14"/>
        <v>92546.635179592806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23477</v>
      </c>
      <c r="B157" s="66">
        <v>23477</v>
      </c>
      <c r="D157">
        <f t="shared" si="10"/>
        <v>21.278119165443108</v>
      </c>
      <c r="E157">
        <f t="shared" si="11"/>
        <v>21.278119165443108</v>
      </c>
      <c r="G157">
        <f t="shared" ca="1" si="12"/>
        <v>155</v>
      </c>
      <c r="H157">
        <f t="shared" ca="1" si="13"/>
        <v>3298.1084706436818</v>
      </c>
      <c r="I157">
        <f t="shared" ca="1" si="14"/>
        <v>108181.46682576562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23147</v>
      </c>
      <c r="B160" s="66">
        <v>23147</v>
      </c>
      <c r="D160">
        <f t="shared" si="10"/>
        <v>20.979027317055486</v>
      </c>
      <c r="E160">
        <f t="shared" si="11"/>
        <v>20.979027317055486</v>
      </c>
      <c r="G160">
        <f t="shared" ca="1" si="12"/>
        <v>158</v>
      </c>
      <c r="H160">
        <f t="shared" ca="1" si="13"/>
        <v>3314.6863160947669</v>
      </c>
      <c r="I160">
        <f t="shared" ca="1" si="14"/>
        <v>115824.89287487727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22528</v>
      </c>
      <c r="B162" s="66">
        <v>22528</v>
      </c>
      <c r="D162">
        <f t="shared" si="10"/>
        <v>20.418003516595064</v>
      </c>
      <c r="E162">
        <f t="shared" si="11"/>
        <v>20.418003516595064</v>
      </c>
      <c r="G162">
        <f t="shared" ca="1" si="12"/>
        <v>160</v>
      </c>
      <c r="H162">
        <f t="shared" ca="1" si="13"/>
        <v>3266.8805626552103</v>
      </c>
      <c r="I162">
        <f t="shared" ca="1" si="14"/>
        <v>118877.66359906676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19636</v>
      </c>
      <c r="B165" s="66">
        <v>19636</v>
      </c>
      <c r="D165">
        <f t="shared" si="10"/>
        <v>17.796871317998079</v>
      </c>
      <c r="E165">
        <f t="shared" si="11"/>
        <v>17.796871317998079</v>
      </c>
      <c r="G165">
        <f t="shared" ca="1" si="12"/>
        <v>163</v>
      </c>
      <c r="H165">
        <f t="shared" ca="1" si="13"/>
        <v>2900.8900248336868</v>
      </c>
      <c r="I165">
        <f t="shared" ca="1" si="14"/>
        <v>111924.84753871152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18684</v>
      </c>
      <c r="B167" s="66">
        <v>18684</v>
      </c>
      <c r="D167">
        <f t="shared" si="10"/>
        <v>16.93403665234651</v>
      </c>
      <c r="E167">
        <f t="shared" si="11"/>
        <v>16.93403665234651</v>
      </c>
      <c r="G167">
        <f t="shared" ca="1" si="12"/>
        <v>165</v>
      </c>
      <c r="H167">
        <f t="shared" ca="1" si="13"/>
        <v>2794.1160476371742</v>
      </c>
      <c r="I167">
        <f t="shared" ca="1" si="14"/>
        <v>111937.90278072048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17776</v>
      </c>
      <c r="B170" s="66">
        <v>17776</v>
      </c>
      <c r="D170">
        <f t="shared" si="10"/>
        <v>16.111080899813295</v>
      </c>
      <c r="E170">
        <f t="shared" si="11"/>
        <v>16.111080899813295</v>
      </c>
      <c r="G170">
        <f t="shared" ca="1" si="12"/>
        <v>168</v>
      </c>
      <c r="H170">
        <f t="shared" ca="1" si="13"/>
        <v>2706.6615911686335</v>
      </c>
      <c r="I170">
        <f t="shared" ca="1" si="14"/>
        <v>114502.28164725156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18939</v>
      </c>
      <c r="B173" s="66">
        <v>18939</v>
      </c>
      <c r="D173">
        <f t="shared" si="10"/>
        <v>17.165153080646039</v>
      </c>
      <c r="E173">
        <f t="shared" si="11"/>
        <v>17.165153080646039</v>
      </c>
      <c r="G173">
        <f t="shared" ca="1" si="12"/>
        <v>171</v>
      </c>
      <c r="H173">
        <f t="shared" ca="1" si="13"/>
        <v>2935.2411767904728</v>
      </c>
      <c r="I173">
        <f t="shared" ca="1" si="14"/>
        <v>130830.59071498705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18889</v>
      </c>
      <c r="B175" s="66">
        <v>18889</v>
      </c>
      <c r="D175">
        <f t="shared" si="10"/>
        <v>17.119836133920639</v>
      </c>
      <c r="E175">
        <f t="shared" si="11"/>
        <v>17.119836133920639</v>
      </c>
      <c r="G175">
        <f t="shared" ca="1" si="12"/>
        <v>173</v>
      </c>
      <c r="H175">
        <f t="shared" ca="1" si="13"/>
        <v>2961.7316511682707</v>
      </c>
      <c r="I175">
        <f t="shared" ca="1" si="14"/>
        <v>136532.14494986052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17735</v>
      </c>
      <c r="B178" s="66">
        <v>17735</v>
      </c>
      <c r="D178">
        <f t="shared" si="10"/>
        <v>16.073921003498469</v>
      </c>
      <c r="E178">
        <f t="shared" si="11"/>
        <v>16.073921003498469</v>
      </c>
      <c r="G178">
        <f t="shared" ca="1" si="12"/>
        <v>176</v>
      </c>
      <c r="H178">
        <f t="shared" ca="1" si="13"/>
        <v>2829.0100966157306</v>
      </c>
      <c r="I178">
        <f t="shared" ca="1" si="14"/>
        <v>136948.27643769575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17509</v>
      </c>
      <c r="B180" s="66">
        <v>17509</v>
      </c>
      <c r="D180">
        <f t="shared" si="10"/>
        <v>15.869088404299672</v>
      </c>
      <c r="E180">
        <f t="shared" si="11"/>
        <v>15.869088404299672</v>
      </c>
      <c r="G180">
        <f t="shared" ca="1" si="12"/>
        <v>178</v>
      </c>
      <c r="H180">
        <f t="shared" ca="1" si="13"/>
        <v>2824.6977359653415</v>
      </c>
      <c r="I180">
        <f t="shared" ca="1" si="14"/>
        <v>141125.6773833333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13431</v>
      </c>
      <c r="B183" s="66">
        <v>13431</v>
      </c>
      <c r="D183">
        <f t="shared" si="10"/>
        <v>12.173038229376257</v>
      </c>
      <c r="E183">
        <f t="shared" si="11"/>
        <v>12.173038229376257</v>
      </c>
      <c r="G183">
        <f t="shared" ca="1" si="12"/>
        <v>181</v>
      </c>
      <c r="H183">
        <f t="shared" ca="1" si="13"/>
        <v>2203.3199195171023</v>
      </c>
      <c r="I183">
        <f t="shared" ca="1" si="14"/>
        <v>115253.57227201817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9867</v>
      </c>
      <c r="B185" s="66">
        <v>9867</v>
      </c>
      <c r="D185">
        <f t="shared" si="10"/>
        <v>8.9428462667899282</v>
      </c>
      <c r="E185">
        <f t="shared" si="11"/>
        <v>8.9428462667899282</v>
      </c>
      <c r="G185">
        <f t="shared" ca="1" si="12"/>
        <v>183</v>
      </c>
      <c r="H185">
        <f t="shared" ca="1" si="13"/>
        <v>1636.5408668225568</v>
      </c>
      <c r="I185">
        <f t="shared" ca="1" si="14"/>
        <v>88186.761046188491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10979</v>
      </c>
      <c r="B188" s="66">
        <v>10979</v>
      </c>
      <c r="D188">
        <f t="shared" si="10"/>
        <v>9.9506951619627682</v>
      </c>
      <c r="E188">
        <f t="shared" si="11"/>
        <v>9.9506951619627682</v>
      </c>
      <c r="G188">
        <f t="shared" ca="1" si="12"/>
        <v>186</v>
      </c>
      <c r="H188">
        <f t="shared" ca="1" si="13"/>
        <v>1850.829300125075</v>
      </c>
      <c r="I188">
        <f t="shared" ca="1" si="14"/>
        <v>104143.69086309671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8635</v>
      </c>
      <c r="B191" s="66">
        <v>8635</v>
      </c>
      <c r="D191">
        <f t="shared" si="10"/>
        <v>7.8262366994761363</v>
      </c>
      <c r="E191">
        <f t="shared" si="11"/>
        <v>7.8262366994761363</v>
      </c>
      <c r="G191">
        <f t="shared" ca="1" si="12"/>
        <v>189</v>
      </c>
      <c r="H191">
        <f t="shared" ca="1" si="13"/>
        <v>1479.1587362009898</v>
      </c>
      <c r="I191">
        <f t="shared" ca="1" si="14"/>
        <v>86783.505976493092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7493</v>
      </c>
      <c r="B193" s="66">
        <v>7493</v>
      </c>
      <c r="D193">
        <f t="shared" si="10"/>
        <v>6.7911976362680591</v>
      </c>
      <c r="E193">
        <f t="shared" si="11"/>
        <v>6.7911976362680591</v>
      </c>
      <c r="G193">
        <f t="shared" ca="1" si="12"/>
        <v>191</v>
      </c>
      <c r="H193">
        <f t="shared" ca="1" si="13"/>
        <v>1297.1187485271994</v>
      </c>
      <c r="I193">
        <f t="shared" ca="1" si="14"/>
        <v>78193.881445892854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7519</v>
      </c>
      <c r="B196" s="66">
        <v>7519</v>
      </c>
      <c r="D196">
        <f t="shared" si="15"/>
        <v>6.8147624485652658</v>
      </c>
      <c r="E196">
        <f t="shared" si="16"/>
        <v>6.8147624485652658</v>
      </c>
      <c r="G196">
        <f t="shared" ca="1" si="17"/>
        <v>194</v>
      </c>
      <c r="H196">
        <f t="shared" ca="1" si="18"/>
        <v>1322.0639150216616</v>
      </c>
      <c r="I196">
        <f t="shared" ca="1" si="19"/>
        <v>82914.019902536878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6648</v>
      </c>
      <c r="B198" s="66">
        <v>6648</v>
      </c>
      <c r="D198">
        <f t="shared" si="15"/>
        <v>6.0253412366088419</v>
      </c>
      <c r="E198">
        <f t="shared" si="16"/>
        <v>6.0253412366088419</v>
      </c>
      <c r="G198">
        <f t="shared" ca="1" si="17"/>
        <v>196</v>
      </c>
      <c r="H198">
        <f t="shared" ca="1" si="18"/>
        <v>1180.9668823753329</v>
      </c>
      <c r="I198">
        <f t="shared" ca="1" si="19"/>
        <v>75991.832606312339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3467</v>
      </c>
      <c r="B201" s="66">
        <v>3467</v>
      </c>
      <c r="D201">
        <f t="shared" si="15"/>
        <v>3.1422770859390576</v>
      </c>
      <c r="E201">
        <f t="shared" si="16"/>
        <v>3.1422770859390576</v>
      </c>
      <c r="G201">
        <f t="shared" ca="1" si="17"/>
        <v>199</v>
      </c>
      <c r="H201">
        <f t="shared" ca="1" si="18"/>
        <v>625.31314010187248</v>
      </c>
      <c r="I201">
        <f t="shared" ca="1" si="19"/>
        <v>41776.127579776425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2858</v>
      </c>
      <c r="B203" s="66">
        <v>2858</v>
      </c>
      <c r="D203">
        <f t="shared" si="15"/>
        <v>2.590316674823717</v>
      </c>
      <c r="E203">
        <f t="shared" si="16"/>
        <v>2.590316674823717</v>
      </c>
      <c r="G203">
        <f t="shared" ca="1" si="17"/>
        <v>201</v>
      </c>
      <c r="H203">
        <f t="shared" ca="1" si="18"/>
        <v>520.6536516395671</v>
      </c>
      <c r="I203">
        <f t="shared" ca="1" si="19"/>
        <v>35642.942128618124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1396</v>
      </c>
      <c r="B206" s="66">
        <v>1396</v>
      </c>
      <c r="D206">
        <f t="shared" si="15"/>
        <v>1.2652491525730962</v>
      </c>
      <c r="E206">
        <f t="shared" si="16"/>
        <v>1.2652491525730962</v>
      </c>
      <c r="G206">
        <f t="shared" ca="1" si="17"/>
        <v>204</v>
      </c>
      <c r="H206">
        <f t="shared" ca="1" si="18"/>
        <v>258.11082712491162</v>
      </c>
      <c r="I206">
        <f t="shared" ca="1" si="19"/>
        <v>18311.813426323377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667</v>
      </c>
      <c r="B209" s="66">
        <v>667</v>
      </c>
      <c r="D209">
        <f t="shared" si="15"/>
        <v>0.6045280693168017</v>
      </c>
      <c r="E209">
        <f t="shared" si="16"/>
        <v>0.6045280693168017</v>
      </c>
      <c r="G209">
        <f t="shared" ca="1" si="17"/>
        <v>207</v>
      </c>
      <c r="H209">
        <f t="shared" ca="1" si="18"/>
        <v>125.13731034857796</v>
      </c>
      <c r="I209">
        <f t="shared" ca="1" si="19"/>
        <v>9191.070215047399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167</v>
      </c>
      <c r="B211" s="66">
        <v>167</v>
      </c>
      <c r="D211">
        <f t="shared" si="15"/>
        <v>0.15135860206282742</v>
      </c>
      <c r="E211">
        <f t="shared" si="16"/>
        <v>0.15135860206282742</v>
      </c>
      <c r="G211">
        <f t="shared" ca="1" si="17"/>
        <v>209</v>
      </c>
      <c r="H211">
        <f t="shared" ca="1" si="18"/>
        <v>31.633947831130932</v>
      </c>
      <c r="I211">
        <f t="shared" ca="1" si="19"/>
        <v>2376.4699958467618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85.803072744324609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1.6566419858044519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0.73696180236474473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3762</v>
      </c>
      <c r="B8" s="66">
        <v>3762</v>
      </c>
      <c r="D8">
        <f t="shared" si="0"/>
        <v>3.6866088490371896</v>
      </c>
      <c r="E8">
        <f t="shared" si="1"/>
        <v>3.6866088490371896</v>
      </c>
      <c r="G8">
        <f t="shared" ca="1" si="2"/>
        <v>6</v>
      </c>
      <c r="H8">
        <f t="shared" ca="1" si="3"/>
        <v>22.119653094223139</v>
      </c>
      <c r="I8">
        <f t="shared" ca="1" si="4"/>
        <v>23478.280599655154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4840</v>
      </c>
      <c r="B10" s="66">
        <v>4840</v>
      </c>
      <c r="D10">
        <f t="shared" si="0"/>
        <v>4.7430055367729924</v>
      </c>
      <c r="E10">
        <f t="shared" si="1"/>
        <v>4.7430055367729924</v>
      </c>
      <c r="G10">
        <f t="shared" ca="1" si="2"/>
        <v>8</v>
      </c>
      <c r="H10">
        <f t="shared" ca="1" si="3"/>
        <v>37.944044294183939</v>
      </c>
      <c r="I10">
        <f t="shared" ca="1" si="4"/>
        <v>28710.921399127787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5313</v>
      </c>
      <c r="B13" s="66">
        <v>5313</v>
      </c>
      <c r="D13">
        <f t="shared" si="0"/>
        <v>5.2065265324121714</v>
      </c>
      <c r="E13">
        <f t="shared" si="1"/>
        <v>5.2065265324121714</v>
      </c>
      <c r="G13">
        <f t="shared" ca="1" si="2"/>
        <v>11</v>
      </c>
      <c r="H13">
        <f t="shared" ca="1" si="3"/>
        <v>57.271791856533888</v>
      </c>
      <c r="I13">
        <f t="shared" ca="1" si="4"/>
        <v>29133.117608464225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9220</v>
      </c>
      <c r="B15" s="66">
        <v>9220</v>
      </c>
      <c r="D15">
        <f t="shared" si="0"/>
        <v>9.0352295555882201</v>
      </c>
      <c r="E15">
        <f t="shared" si="1"/>
        <v>9.0352295555882201</v>
      </c>
      <c r="G15">
        <f t="shared" ca="1" si="2"/>
        <v>13</v>
      </c>
      <c r="H15">
        <f t="shared" ca="1" si="3"/>
        <v>117.45798422264686</v>
      </c>
      <c r="I15">
        <f t="shared" ca="1" si="4"/>
        <v>47889.313378766405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12676</v>
      </c>
      <c r="B18" s="66">
        <v>12676</v>
      </c>
      <c r="D18">
        <f t="shared" si="0"/>
        <v>12.421970699201333</v>
      </c>
      <c r="E18">
        <f t="shared" si="1"/>
        <v>12.421970699201333</v>
      </c>
      <c r="G18">
        <f t="shared" ca="1" si="2"/>
        <v>16</v>
      </c>
      <c r="H18">
        <f t="shared" ca="1" si="3"/>
        <v>198.75153118722133</v>
      </c>
      <c r="I18">
        <f t="shared" ca="1" si="4"/>
        <v>60525.666710401412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17321</v>
      </c>
      <c r="B21" s="66">
        <v>17321</v>
      </c>
      <c r="D21">
        <f t="shared" si="0"/>
        <v>16.973884070753098</v>
      </c>
      <c r="E21">
        <f t="shared" si="1"/>
        <v>16.973884070753098</v>
      </c>
      <c r="G21">
        <f t="shared" ca="1" si="2"/>
        <v>19</v>
      </c>
      <c r="H21">
        <f t="shared" ca="1" si="3"/>
        <v>322.50379734430885</v>
      </c>
      <c r="I21">
        <f t="shared" ca="1" si="4"/>
        <v>75748.51271197485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20120</v>
      </c>
      <c r="B23" s="66">
        <v>20120</v>
      </c>
      <c r="D23">
        <f t="shared" si="0"/>
        <v>19.716791611543925</v>
      </c>
      <c r="E23">
        <f t="shared" si="1"/>
        <v>19.716791611543925</v>
      </c>
      <c r="G23">
        <f t="shared" ca="1" si="2"/>
        <v>21</v>
      </c>
      <c r="H23">
        <f t="shared" ca="1" si="3"/>
        <v>414.05262384242246</v>
      </c>
      <c r="I23">
        <f t="shared" ca="1" si="4"/>
        <v>82799.448606572871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23895</v>
      </c>
      <c r="B26" s="66">
        <v>23895</v>
      </c>
      <c r="D26">
        <f t="shared" si="0"/>
        <v>23.416139938262532</v>
      </c>
      <c r="E26">
        <f t="shared" si="1"/>
        <v>23.416139938262532</v>
      </c>
      <c r="G26">
        <f t="shared" ca="1" si="2"/>
        <v>24</v>
      </c>
      <c r="H26">
        <f t="shared" ca="1" si="3"/>
        <v>561.98735851830077</v>
      </c>
      <c r="I26">
        <f t="shared" ca="1" si="4"/>
        <v>89440.751762751213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25419</v>
      </c>
      <c r="B28" s="66">
        <v>25419</v>
      </c>
      <c r="D28">
        <f t="shared" si="0"/>
        <v>24.909598706453036</v>
      </c>
      <c r="E28">
        <f t="shared" si="1"/>
        <v>24.909598706453036</v>
      </c>
      <c r="G28">
        <f t="shared" ca="1" si="2"/>
        <v>26</v>
      </c>
      <c r="H28">
        <f t="shared" ca="1" si="3"/>
        <v>647.6495663677789</v>
      </c>
      <c r="I28">
        <f t="shared" ca="1" si="4"/>
        <v>89086.875876449907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32044</v>
      </c>
      <c r="B31" s="66">
        <v>32044</v>
      </c>
      <c r="D31">
        <f t="shared" si="0"/>
        <v>31.401832524866482</v>
      </c>
      <c r="E31">
        <f t="shared" si="1"/>
        <v>31.401832524866482</v>
      </c>
      <c r="G31">
        <f t="shared" ca="1" si="2"/>
        <v>29</v>
      </c>
      <c r="H31">
        <f t="shared" ca="1" si="3"/>
        <v>910.65314322112795</v>
      </c>
      <c r="I31">
        <f t="shared" ca="1" si="4"/>
        <v>101320.8097030974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38896</v>
      </c>
      <c r="B33" s="66">
        <v>38896</v>
      </c>
      <c r="D33">
        <f t="shared" si="0"/>
        <v>38.116517222793867</v>
      </c>
      <c r="E33">
        <f t="shared" si="1"/>
        <v>38.116517222793867</v>
      </c>
      <c r="G33">
        <f t="shared" ca="1" si="2"/>
        <v>31</v>
      </c>
      <c r="H33">
        <f t="shared" ca="1" si="3"/>
        <v>1181.6120339066099</v>
      </c>
      <c r="I33">
        <f t="shared" ca="1" si="4"/>
        <v>114478.26284601774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43868</v>
      </c>
      <c r="B36" s="66">
        <v>43868</v>
      </c>
      <c r="D36">
        <f t="shared" si="0"/>
        <v>42.988877456024305</v>
      </c>
      <c r="E36">
        <f t="shared" si="1"/>
        <v>42.988877456024305</v>
      </c>
      <c r="G36">
        <f t="shared" ca="1" si="2"/>
        <v>34</v>
      </c>
      <c r="H36">
        <f t="shared" ca="1" si="3"/>
        <v>1461.6218335048263</v>
      </c>
      <c r="I36">
        <f t="shared" ca="1" si="4"/>
        <v>115363.16087170086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52488</v>
      </c>
      <c r="B39" s="66">
        <v>52488</v>
      </c>
      <c r="D39">
        <f t="shared" si="0"/>
        <v>51.436131118624139</v>
      </c>
      <c r="E39">
        <f t="shared" si="1"/>
        <v>51.436131118624139</v>
      </c>
      <c r="G39">
        <f t="shared" ca="1" si="2"/>
        <v>37</v>
      </c>
      <c r="H39">
        <f t="shared" ca="1" si="3"/>
        <v>1903.1368513890932</v>
      </c>
      <c r="I39">
        <f t="shared" ca="1" si="4"/>
        <v>122507.48626458927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56395</v>
      </c>
      <c r="B41" s="66">
        <v>56395</v>
      </c>
      <c r="D41">
        <f t="shared" si="0"/>
        <v>55.264834141800186</v>
      </c>
      <c r="E41">
        <f t="shared" si="1"/>
        <v>55.264834141800186</v>
      </c>
      <c r="G41">
        <f t="shared" ca="1" si="2"/>
        <v>39</v>
      </c>
      <c r="H41">
        <f t="shared" ca="1" si="3"/>
        <v>2155.3285315302073</v>
      </c>
      <c r="I41">
        <f t="shared" ca="1" si="4"/>
        <v>121059.14550896463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60927</v>
      </c>
      <c r="B44" s="66">
        <v>60927</v>
      </c>
      <c r="D44">
        <f t="shared" si="0"/>
        <v>59.706012053505809</v>
      </c>
      <c r="E44">
        <f t="shared" si="1"/>
        <v>59.706012053505809</v>
      </c>
      <c r="G44">
        <f t="shared" ca="1" si="2"/>
        <v>42</v>
      </c>
      <c r="H44">
        <f t="shared" ca="1" si="3"/>
        <v>2507.6525062472438</v>
      </c>
      <c r="I44">
        <f t="shared" ca="1" si="4"/>
        <v>114558.47353838557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63981</v>
      </c>
      <c r="B46" s="66">
        <v>63981</v>
      </c>
      <c r="D46">
        <f t="shared" si="0"/>
        <v>62.698809348816695</v>
      </c>
      <c r="E46">
        <f t="shared" si="1"/>
        <v>62.698809348816695</v>
      </c>
      <c r="G46">
        <f t="shared" ca="1" si="2"/>
        <v>44</v>
      </c>
      <c r="H46">
        <f t="shared" ca="1" si="3"/>
        <v>2758.7476113479347</v>
      </c>
      <c r="I46">
        <f t="shared" ca="1" si="4"/>
        <v>109565.97439813847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62475</v>
      </c>
      <c r="B49" s="66">
        <v>62475</v>
      </c>
      <c r="D49">
        <f t="shared" si="0"/>
        <v>61.222989857415847</v>
      </c>
      <c r="E49">
        <f t="shared" si="1"/>
        <v>61.222989857415847</v>
      </c>
      <c r="G49">
        <f t="shared" ca="1" si="2"/>
        <v>47</v>
      </c>
      <c r="H49">
        <f t="shared" ca="1" si="3"/>
        <v>2877.480523298545</v>
      </c>
      <c r="I49">
        <f t="shared" ca="1" si="4"/>
        <v>92182.136742343253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70290</v>
      </c>
      <c r="B51" s="66">
        <v>70290</v>
      </c>
      <c r="D51">
        <f t="shared" si="0"/>
        <v>68.881375863589597</v>
      </c>
      <c r="E51">
        <f t="shared" si="1"/>
        <v>68.881375863589597</v>
      </c>
      <c r="G51">
        <f t="shared" ca="1" si="2"/>
        <v>49</v>
      </c>
      <c r="H51">
        <f t="shared" ca="1" si="3"/>
        <v>3375.1874173158903</v>
      </c>
      <c r="I51">
        <f t="shared" ca="1" si="4"/>
        <v>93297.492897326098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72052</v>
      </c>
      <c r="B54" s="66">
        <v>72052</v>
      </c>
      <c r="D54">
        <f t="shared" si="0"/>
        <v>70.608065069332156</v>
      </c>
      <c r="E54">
        <f t="shared" si="1"/>
        <v>70.608065069332156</v>
      </c>
      <c r="G54">
        <f t="shared" ca="1" si="2"/>
        <v>52</v>
      </c>
      <c r="H54">
        <f t="shared" ca="1" si="3"/>
        <v>3671.6193836052721</v>
      </c>
      <c r="I54">
        <f t="shared" ca="1" si="4"/>
        <v>80680.145056382098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76750</v>
      </c>
      <c r="B57" s="66">
        <v>76750</v>
      </c>
      <c r="D57">
        <f t="shared" si="0"/>
        <v>75.211916311431224</v>
      </c>
      <c r="E57">
        <f t="shared" si="1"/>
        <v>75.211916311431224</v>
      </c>
      <c r="G57">
        <f t="shared" ca="1" si="2"/>
        <v>55</v>
      </c>
      <c r="H57">
        <f t="shared" ca="1" si="3"/>
        <v>4136.6553971287176</v>
      </c>
      <c r="I57">
        <f t="shared" ca="1" si="4"/>
        <v>71363.269190330524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77209</v>
      </c>
      <c r="B59" s="66">
        <v>77209</v>
      </c>
      <c r="D59">
        <f t="shared" si="0"/>
        <v>75.661717869567354</v>
      </c>
      <c r="E59">
        <f t="shared" si="1"/>
        <v>75.661717869567354</v>
      </c>
      <c r="G59">
        <f t="shared" ca="1" si="2"/>
        <v>57</v>
      </c>
      <c r="H59">
        <f t="shared" ca="1" si="3"/>
        <v>4312.7179185653395</v>
      </c>
      <c r="I59">
        <f t="shared" ca="1" si="4"/>
        <v>62770.247357089967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87144</v>
      </c>
      <c r="B62" s="66">
        <v>87144</v>
      </c>
      <c r="D62">
        <f t="shared" si="0"/>
        <v>85.397618697633391</v>
      </c>
      <c r="E62">
        <f t="shared" si="1"/>
        <v>85.397618697633391</v>
      </c>
      <c r="G62">
        <f t="shared" ca="1" si="2"/>
        <v>60</v>
      </c>
      <c r="H62">
        <f t="shared" ca="1" si="3"/>
        <v>5123.8571218580037</v>
      </c>
      <c r="I62">
        <f t="shared" ca="1" si="4"/>
        <v>56857.611816682831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102045</v>
      </c>
      <c r="B64" s="66">
        <v>102045</v>
      </c>
      <c r="D64">
        <f t="shared" si="0"/>
        <v>100</v>
      </c>
      <c r="E64">
        <f t="shared" si="1"/>
        <v>100</v>
      </c>
      <c r="G64">
        <f t="shared" ca="1" si="2"/>
        <v>62</v>
      </c>
      <c r="H64">
        <f t="shared" ca="1" si="3"/>
        <v>6200</v>
      </c>
      <c r="I64">
        <f t="shared" ca="1" si="4"/>
        <v>56658.627207160906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100650</v>
      </c>
      <c r="B67" s="66">
        <v>100650</v>
      </c>
      <c r="D67">
        <f t="shared" ref="D67:D130" si="5">IFERROR(100*A67/MAX(A$2:A$257), 0 )</f>
        <v>98.632956048802001</v>
      </c>
      <c r="E67">
        <f t="shared" ref="E67:E130" si="6">IFERROR(100*B67/MAX(B$2:B$257), 0 )</f>
        <v>98.632956048802001</v>
      </c>
      <c r="G67">
        <f t="shared" ref="G67:G130" ca="1" si="7">CELL("row",D67)-2</f>
        <v>65</v>
      </c>
      <c r="H67">
        <f t="shared" ref="H67:H130" ca="1" si="8">D67*G67</f>
        <v>6411.1421431721301</v>
      </c>
      <c r="I67">
        <f t="shared" ref="I67:I130" ca="1" si="9">D67*((G67-$L$1)^2)</f>
        <v>42685.170908628374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89867</v>
      </c>
      <c r="B69" s="66">
        <v>89867</v>
      </c>
      <c r="D69">
        <f t="shared" si="5"/>
        <v>88.066049291979027</v>
      </c>
      <c r="E69">
        <f t="shared" si="6"/>
        <v>88.066049291979027</v>
      </c>
      <c r="G69">
        <f t="shared" ca="1" si="7"/>
        <v>67</v>
      </c>
      <c r="H69">
        <f t="shared" ca="1" si="8"/>
        <v>5900.4253025625949</v>
      </c>
      <c r="I69">
        <f t="shared" ca="1" si="9"/>
        <v>31136.240020693909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100118</v>
      </c>
      <c r="B72" s="66">
        <v>100118</v>
      </c>
      <c r="D72">
        <f t="shared" si="5"/>
        <v>98.11161742368563</v>
      </c>
      <c r="E72">
        <f t="shared" si="6"/>
        <v>98.11161742368563</v>
      </c>
      <c r="G72">
        <f t="shared" ca="1" si="7"/>
        <v>70</v>
      </c>
      <c r="H72">
        <f t="shared" ca="1" si="8"/>
        <v>6867.8132196579936</v>
      </c>
      <c r="I72">
        <f t="shared" ca="1" si="9"/>
        <v>24502.11161252849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100608</v>
      </c>
      <c r="B75" s="66">
        <v>100608</v>
      </c>
      <c r="D75">
        <f t="shared" si="5"/>
        <v>98.591797736292818</v>
      </c>
      <c r="E75">
        <f t="shared" si="6"/>
        <v>98.591797736292818</v>
      </c>
      <c r="G75">
        <f t="shared" ca="1" si="7"/>
        <v>73</v>
      </c>
      <c r="H75">
        <f t="shared" ca="1" si="8"/>
        <v>7197.2012347493755</v>
      </c>
      <c r="I75">
        <f t="shared" ca="1" si="9"/>
        <v>16161.036525099928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98347</v>
      </c>
      <c r="B77" s="66">
        <v>98347</v>
      </c>
      <c r="D77">
        <f t="shared" si="5"/>
        <v>96.376108579548244</v>
      </c>
      <c r="E77">
        <f t="shared" si="6"/>
        <v>96.376108579548244</v>
      </c>
      <c r="G77">
        <f t="shared" ca="1" si="7"/>
        <v>75</v>
      </c>
      <c r="H77">
        <f t="shared" ca="1" si="8"/>
        <v>7228.2081434661186</v>
      </c>
      <c r="I77">
        <f t="shared" ca="1" si="9"/>
        <v>11247.706820116751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98977</v>
      </c>
      <c r="B80" s="66">
        <v>98977</v>
      </c>
      <c r="D80">
        <f t="shared" si="5"/>
        <v>96.993483267186051</v>
      </c>
      <c r="E80">
        <f t="shared" si="6"/>
        <v>96.993483267186051</v>
      </c>
      <c r="G80">
        <f t="shared" ca="1" si="7"/>
        <v>78</v>
      </c>
      <c r="H80">
        <f t="shared" ca="1" si="8"/>
        <v>7565.4916948405116</v>
      </c>
      <c r="I80">
        <f t="shared" ca="1" si="9"/>
        <v>5905.7338020982052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99901</v>
      </c>
      <c r="B82" s="66">
        <v>99901</v>
      </c>
      <c r="D82">
        <f t="shared" si="5"/>
        <v>97.898966142388161</v>
      </c>
      <c r="E82">
        <f t="shared" si="6"/>
        <v>97.898966142388161</v>
      </c>
      <c r="G82">
        <f t="shared" ca="1" si="7"/>
        <v>80</v>
      </c>
      <c r="H82">
        <f t="shared" ca="1" si="8"/>
        <v>7831.9172913910534</v>
      </c>
      <c r="I82">
        <f t="shared" ca="1" si="9"/>
        <v>3296.8116398824036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98778</v>
      </c>
      <c r="B85" s="66">
        <v>98778</v>
      </c>
      <c r="D85">
        <f t="shared" si="5"/>
        <v>96.798471262678234</v>
      </c>
      <c r="E85">
        <f t="shared" si="6"/>
        <v>96.798471262678234</v>
      </c>
      <c r="G85">
        <f t="shared" ca="1" si="7"/>
        <v>83</v>
      </c>
      <c r="H85">
        <f t="shared" ca="1" si="8"/>
        <v>8034.2731148022931</v>
      </c>
      <c r="I85">
        <f t="shared" ca="1" si="9"/>
        <v>760.56657558504548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95450</v>
      </c>
      <c r="B88" s="66">
        <v>95450</v>
      </c>
      <c r="D88">
        <f t="shared" si="5"/>
        <v>93.537164976235971</v>
      </c>
      <c r="E88">
        <f t="shared" si="6"/>
        <v>93.537164976235971</v>
      </c>
      <c r="G88">
        <f t="shared" ca="1" si="7"/>
        <v>86</v>
      </c>
      <c r="H88">
        <f t="shared" ca="1" si="8"/>
        <v>8044.1961879562932</v>
      </c>
      <c r="I88">
        <f t="shared" ca="1" si="9"/>
        <v>3.6274034371673234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88942</v>
      </c>
      <c r="B90" s="66">
        <v>88942</v>
      </c>
      <c r="D90">
        <f t="shared" si="5"/>
        <v>87.159586456955267</v>
      </c>
      <c r="E90">
        <f t="shared" si="6"/>
        <v>87.159586456955267</v>
      </c>
      <c r="G90">
        <f t="shared" ca="1" si="7"/>
        <v>88</v>
      </c>
      <c r="H90">
        <f t="shared" ca="1" si="8"/>
        <v>7670.0436082120632</v>
      </c>
      <c r="I90">
        <f t="shared" ca="1" si="9"/>
        <v>420.67481724302672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86241</v>
      </c>
      <c r="B93" s="66">
        <v>86241</v>
      </c>
      <c r="D93">
        <f t="shared" si="5"/>
        <v>84.512714978685878</v>
      </c>
      <c r="E93">
        <f t="shared" si="6"/>
        <v>84.512714978685878</v>
      </c>
      <c r="G93">
        <f t="shared" ca="1" si="7"/>
        <v>91</v>
      </c>
      <c r="H93">
        <f t="shared" ca="1" si="8"/>
        <v>7690.6570630604147</v>
      </c>
      <c r="I93">
        <f t="shared" ca="1" si="9"/>
        <v>2282.5238769330381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85910</v>
      </c>
      <c r="B95" s="66">
        <v>85910</v>
      </c>
      <c r="D95">
        <f t="shared" si="5"/>
        <v>84.188348277720607</v>
      </c>
      <c r="E95">
        <f t="shared" si="6"/>
        <v>84.188348277720607</v>
      </c>
      <c r="G95">
        <f t="shared" ca="1" si="7"/>
        <v>93</v>
      </c>
      <c r="H95">
        <f t="shared" ca="1" si="8"/>
        <v>7829.5163898280161</v>
      </c>
      <c r="I95">
        <f t="shared" ca="1" si="9"/>
        <v>4360.5996441241132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85032</v>
      </c>
      <c r="B98" s="66">
        <v>85032</v>
      </c>
      <c r="D98">
        <f t="shared" si="5"/>
        <v>83.327943554314274</v>
      </c>
      <c r="E98">
        <f t="shared" si="6"/>
        <v>83.327943554314274</v>
      </c>
      <c r="G98">
        <f t="shared" ca="1" si="7"/>
        <v>96</v>
      </c>
      <c r="H98">
        <f t="shared" ca="1" si="8"/>
        <v>7999.4825812141698</v>
      </c>
      <c r="I98">
        <f t="shared" ca="1" si="9"/>
        <v>8664.2167066540951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82185</v>
      </c>
      <c r="B100" s="66">
        <v>82185</v>
      </c>
      <c r="D100">
        <f t="shared" si="5"/>
        <v>80.537997942084374</v>
      </c>
      <c r="E100">
        <f t="shared" si="6"/>
        <v>80.537997942084374</v>
      </c>
      <c r="G100">
        <f t="shared" ca="1" si="7"/>
        <v>98</v>
      </c>
      <c r="H100">
        <f t="shared" ca="1" si="8"/>
        <v>7892.7237983242685</v>
      </c>
      <c r="I100">
        <f t="shared" ca="1" si="9"/>
        <v>11981.238040823455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71844</v>
      </c>
      <c r="B103" s="66">
        <v>71844</v>
      </c>
      <c r="D103">
        <f t="shared" si="5"/>
        <v>70.404233426429514</v>
      </c>
      <c r="E103">
        <f t="shared" si="6"/>
        <v>70.404233426429514</v>
      </c>
      <c r="G103">
        <f t="shared" ca="1" si="7"/>
        <v>101</v>
      </c>
      <c r="H103">
        <f t="shared" ca="1" si="8"/>
        <v>7110.8275760693805</v>
      </c>
      <c r="I103">
        <f t="shared" ca="1" si="9"/>
        <v>16259.618195637824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66629</v>
      </c>
      <c r="B106" s="66">
        <v>66629</v>
      </c>
      <c r="D106">
        <f t="shared" si="5"/>
        <v>65.293742956538779</v>
      </c>
      <c r="E106">
        <f t="shared" si="6"/>
        <v>65.293742956538779</v>
      </c>
      <c r="G106">
        <f t="shared" ca="1" si="7"/>
        <v>104</v>
      </c>
      <c r="H106">
        <f t="shared" ca="1" si="8"/>
        <v>6790.5492674800334</v>
      </c>
      <c r="I106">
        <f t="shared" ca="1" si="9"/>
        <v>21620.597065808684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67368</v>
      </c>
      <c r="B108" s="66">
        <v>67368</v>
      </c>
      <c r="D108">
        <f t="shared" si="5"/>
        <v>66.017933264736143</v>
      </c>
      <c r="E108">
        <f t="shared" si="6"/>
        <v>66.017933264736143</v>
      </c>
      <c r="G108">
        <f t="shared" ca="1" si="7"/>
        <v>106</v>
      </c>
      <c r="H108">
        <f t="shared" ca="1" si="8"/>
        <v>6997.9009260620314</v>
      </c>
      <c r="I108">
        <f t="shared" ca="1" si="9"/>
        <v>26929.762720985895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60772</v>
      </c>
      <c r="B111" s="66">
        <v>60772</v>
      </c>
      <c r="D111">
        <f t="shared" si="5"/>
        <v>59.554118281150473</v>
      </c>
      <c r="E111">
        <f t="shared" si="6"/>
        <v>59.554118281150473</v>
      </c>
      <c r="G111">
        <f t="shared" ca="1" si="7"/>
        <v>109</v>
      </c>
      <c r="H111">
        <f t="shared" ca="1" si="8"/>
        <v>6491.3988926454012</v>
      </c>
      <c r="I111">
        <f t="shared" ca="1" si="9"/>
        <v>32045.918237478447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58881</v>
      </c>
      <c r="B113" s="66">
        <v>58881</v>
      </c>
      <c r="D113">
        <f t="shared" si="5"/>
        <v>57.701014258415405</v>
      </c>
      <c r="E113">
        <f t="shared" si="6"/>
        <v>57.701014258415405</v>
      </c>
      <c r="G113">
        <f t="shared" ca="1" si="7"/>
        <v>111</v>
      </c>
      <c r="H113">
        <f t="shared" ca="1" si="8"/>
        <v>6404.8125826841097</v>
      </c>
      <c r="I113">
        <f t="shared" ca="1" si="9"/>
        <v>36633.516696073144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54110</v>
      </c>
      <c r="B116" s="66">
        <v>54110</v>
      </c>
      <c r="D116">
        <f t="shared" si="5"/>
        <v>53.025625949336074</v>
      </c>
      <c r="E116">
        <f t="shared" si="6"/>
        <v>53.025625949336074</v>
      </c>
      <c r="G116">
        <f t="shared" ca="1" si="7"/>
        <v>114</v>
      </c>
      <c r="H116">
        <f t="shared" ca="1" si="8"/>
        <v>6044.9213582243128</v>
      </c>
      <c r="I116">
        <f t="shared" ca="1" si="9"/>
        <v>42158.909792221748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49561</v>
      </c>
      <c r="B118" s="66">
        <v>49561</v>
      </c>
      <c r="D118">
        <f t="shared" si="5"/>
        <v>48.567788720662456</v>
      </c>
      <c r="E118">
        <f t="shared" si="6"/>
        <v>48.567788720662456</v>
      </c>
      <c r="G118">
        <f t="shared" ca="1" si="7"/>
        <v>116</v>
      </c>
      <c r="H118">
        <f t="shared" ca="1" si="8"/>
        <v>5633.8634915968451</v>
      </c>
      <c r="I118">
        <f t="shared" ca="1" si="9"/>
        <v>44286.75260497041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44612</v>
      </c>
      <c r="B121" s="66">
        <v>44612</v>
      </c>
      <c r="D121">
        <f t="shared" si="5"/>
        <v>43.717967563329907</v>
      </c>
      <c r="E121">
        <f t="shared" si="6"/>
        <v>43.717967563329907</v>
      </c>
      <c r="G121">
        <f t="shared" ca="1" si="7"/>
        <v>119</v>
      </c>
      <c r="H121">
        <f t="shared" ca="1" si="8"/>
        <v>5202.438140036259</v>
      </c>
      <c r="I121">
        <f t="shared" ca="1" si="9"/>
        <v>48178.773193101428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41415</v>
      </c>
      <c r="B124" s="66">
        <v>41415</v>
      </c>
      <c r="D124">
        <f t="shared" si="5"/>
        <v>40.585036013523442</v>
      </c>
      <c r="E124">
        <f t="shared" si="6"/>
        <v>40.585036013523442</v>
      </c>
      <c r="G124">
        <f t="shared" ca="1" si="7"/>
        <v>122</v>
      </c>
      <c r="H124">
        <f t="shared" ca="1" si="8"/>
        <v>4951.3743936498604</v>
      </c>
      <c r="I124">
        <f t="shared" ca="1" si="9"/>
        <v>53175.226158166741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37571</v>
      </c>
      <c r="B126" s="66">
        <v>37571</v>
      </c>
      <c r="D126">
        <f t="shared" si="5"/>
        <v>36.818070459111176</v>
      </c>
      <c r="E126">
        <f t="shared" si="6"/>
        <v>36.818070459111176</v>
      </c>
      <c r="G126">
        <f t="shared" ca="1" si="7"/>
        <v>124</v>
      </c>
      <c r="H126">
        <f t="shared" ca="1" si="8"/>
        <v>4565.440736929786</v>
      </c>
      <c r="I126">
        <f t="shared" ca="1" si="9"/>
        <v>53717.758160078352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36137</v>
      </c>
      <c r="B129" s="66">
        <v>36137</v>
      </c>
      <c r="D129">
        <f t="shared" si="5"/>
        <v>35.412808074868927</v>
      </c>
      <c r="E129">
        <f t="shared" si="6"/>
        <v>35.412808074868927</v>
      </c>
      <c r="G129">
        <f t="shared" ca="1" si="7"/>
        <v>127</v>
      </c>
      <c r="H129">
        <f t="shared" ca="1" si="8"/>
        <v>4497.4266255083539</v>
      </c>
      <c r="I129">
        <f t="shared" ca="1" si="9"/>
        <v>60102.150957750149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33344</v>
      </c>
      <c r="B131" s="66">
        <v>33344</v>
      </c>
      <c r="D131">
        <f t="shared" ref="D131:D194" si="10">IFERROR(100*A131/MAX(A$2:A$257), 0 )</f>
        <v>32.675780293007989</v>
      </c>
      <c r="E131">
        <f t="shared" ref="E131:E194" si="11">IFERROR(100*B131/MAX(B$2:B$257), 0 )</f>
        <v>32.675780293007989</v>
      </c>
      <c r="G131">
        <f t="shared" ref="G131:G194" ca="1" si="12">CELL("row",D131)-2</f>
        <v>129</v>
      </c>
      <c r="H131">
        <f t="shared" ref="H131:H194" ca="1" si="13">D131*G131</f>
        <v>4215.1756577980304</v>
      </c>
      <c r="I131">
        <f t="shared" ref="I131:I194" ca="1" si="14">D131*((G131-$L$1)^2)</f>
        <v>60972.173589426166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29732</v>
      </c>
      <c r="B134" s="66">
        <v>29732</v>
      </c>
      <c r="D134">
        <f t="shared" si="10"/>
        <v>29.136165417217892</v>
      </c>
      <c r="E134">
        <f t="shared" si="11"/>
        <v>29.136165417217892</v>
      </c>
      <c r="G134">
        <f t="shared" ca="1" si="12"/>
        <v>132</v>
      </c>
      <c r="H134">
        <f t="shared" ca="1" si="13"/>
        <v>3845.9738350727616</v>
      </c>
      <c r="I134">
        <f t="shared" ca="1" si="14"/>
        <v>62181.124802231156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26688</v>
      </c>
      <c r="B136" s="66">
        <v>26688</v>
      </c>
      <c r="D136">
        <f t="shared" si="10"/>
        <v>26.153167720123474</v>
      </c>
      <c r="E136">
        <f t="shared" si="11"/>
        <v>26.153167720123474</v>
      </c>
      <c r="G136">
        <f t="shared" ca="1" si="12"/>
        <v>134</v>
      </c>
      <c r="H136">
        <f t="shared" ca="1" si="13"/>
        <v>3504.5244744965453</v>
      </c>
      <c r="I136">
        <f t="shared" ca="1" si="14"/>
        <v>60752.338724454938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26155</v>
      </c>
      <c r="B139" s="66">
        <v>26155</v>
      </c>
      <c r="D139">
        <f t="shared" si="10"/>
        <v>25.630849135185457</v>
      </c>
      <c r="E139">
        <f t="shared" si="11"/>
        <v>25.630849135185457</v>
      </c>
      <c r="G139">
        <f t="shared" ca="1" si="12"/>
        <v>137</v>
      </c>
      <c r="H139">
        <f t="shared" ca="1" si="13"/>
        <v>3511.4263315204075</v>
      </c>
      <c r="I139">
        <f t="shared" ca="1" si="14"/>
        <v>67181.668677408408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20092</v>
      </c>
      <c r="B142" s="66">
        <v>20092</v>
      </c>
      <c r="D142">
        <f t="shared" si="10"/>
        <v>19.689352736537803</v>
      </c>
      <c r="E142">
        <f t="shared" si="11"/>
        <v>19.689352736537803</v>
      </c>
      <c r="G142">
        <f t="shared" ca="1" si="12"/>
        <v>140</v>
      </c>
      <c r="H142">
        <f t="shared" ca="1" si="13"/>
        <v>2756.5093831152922</v>
      </c>
      <c r="I142">
        <f t="shared" ca="1" si="14"/>
        <v>57833.672121263604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18369</v>
      </c>
      <c r="B144" s="66">
        <v>18369</v>
      </c>
      <c r="D144">
        <f t="shared" si="10"/>
        <v>18.000881963839483</v>
      </c>
      <c r="E144">
        <f t="shared" si="11"/>
        <v>18.000881963839483</v>
      </c>
      <c r="G144">
        <f t="shared" ca="1" si="12"/>
        <v>142</v>
      </c>
      <c r="H144">
        <f t="shared" ca="1" si="13"/>
        <v>2556.1252388652065</v>
      </c>
      <c r="I144">
        <f t="shared" ca="1" si="14"/>
        <v>56848.488718902037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19314</v>
      </c>
      <c r="B147" s="66">
        <v>19314</v>
      </c>
      <c r="D147">
        <f t="shared" si="10"/>
        <v>18.926943995296192</v>
      </c>
      <c r="E147">
        <f t="shared" si="11"/>
        <v>18.926943995296192</v>
      </c>
      <c r="G147">
        <f t="shared" ca="1" si="12"/>
        <v>145</v>
      </c>
      <c r="H147">
        <f t="shared" ca="1" si="13"/>
        <v>2744.4068793179476</v>
      </c>
      <c r="I147">
        <f t="shared" ca="1" si="14"/>
        <v>66325.239315464802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18673</v>
      </c>
      <c r="B149" s="66">
        <v>18673</v>
      </c>
      <c r="D149">
        <f t="shared" si="10"/>
        <v>18.298789749620266</v>
      </c>
      <c r="E149">
        <f t="shared" si="11"/>
        <v>18.298789749620266</v>
      </c>
      <c r="G149">
        <f t="shared" ca="1" si="12"/>
        <v>147</v>
      </c>
      <c r="H149">
        <f t="shared" ca="1" si="13"/>
        <v>2689.9220931941791</v>
      </c>
      <c r="I149">
        <f t="shared" ca="1" si="14"/>
        <v>68530.137006302786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17831</v>
      </c>
      <c r="B152" s="66">
        <v>17831</v>
      </c>
      <c r="D152">
        <f t="shared" si="10"/>
        <v>17.473663579793229</v>
      </c>
      <c r="E152">
        <f t="shared" si="11"/>
        <v>17.473663579793229</v>
      </c>
      <c r="G152">
        <f t="shared" ca="1" si="12"/>
        <v>150</v>
      </c>
      <c r="H152">
        <f t="shared" ca="1" si="13"/>
        <v>2621.0495369689843</v>
      </c>
      <c r="I152">
        <f t="shared" ca="1" si="14"/>
        <v>72013.256856284672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15374</v>
      </c>
      <c r="B154" s="66">
        <v>15374</v>
      </c>
      <c r="D154">
        <f t="shared" si="10"/>
        <v>15.065902298005781</v>
      </c>
      <c r="E154">
        <f t="shared" si="11"/>
        <v>15.065902298005781</v>
      </c>
      <c r="G154">
        <f t="shared" ca="1" si="12"/>
        <v>152</v>
      </c>
      <c r="H154">
        <f t="shared" ca="1" si="13"/>
        <v>2290.0171492968789</v>
      </c>
      <c r="I154">
        <f t="shared" ca="1" si="14"/>
        <v>66019.283727771603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16902</v>
      </c>
      <c r="B157" s="66">
        <v>16902</v>
      </c>
      <c r="D157">
        <f t="shared" si="10"/>
        <v>16.563280905482877</v>
      </c>
      <c r="E157">
        <f t="shared" si="11"/>
        <v>16.563280905482877</v>
      </c>
      <c r="G157">
        <f t="shared" ca="1" si="12"/>
        <v>155</v>
      </c>
      <c r="H157">
        <f t="shared" ca="1" si="13"/>
        <v>2567.3085403498458</v>
      </c>
      <c r="I157">
        <f t="shared" ca="1" si="14"/>
        <v>79308.545801345957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16402</v>
      </c>
      <c r="B160" s="66">
        <v>16402</v>
      </c>
      <c r="D160">
        <f t="shared" si="10"/>
        <v>16.07330099465922</v>
      </c>
      <c r="E160">
        <f t="shared" si="11"/>
        <v>16.07330099465922</v>
      </c>
      <c r="G160">
        <f t="shared" ca="1" si="12"/>
        <v>158</v>
      </c>
      <c r="H160">
        <f t="shared" ca="1" si="13"/>
        <v>2539.581557156157</v>
      </c>
      <c r="I160">
        <f t="shared" ca="1" si="14"/>
        <v>83780.414716306914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16229</v>
      </c>
      <c r="B162" s="66">
        <v>16229</v>
      </c>
      <c r="D162">
        <f t="shared" si="10"/>
        <v>15.903767945514234</v>
      </c>
      <c r="E162">
        <f t="shared" si="11"/>
        <v>15.903767945514234</v>
      </c>
      <c r="G162">
        <f t="shared" ca="1" si="12"/>
        <v>160</v>
      </c>
      <c r="H162">
        <f t="shared" ca="1" si="13"/>
        <v>2544.6028712822776</v>
      </c>
      <c r="I162">
        <f t="shared" ca="1" si="14"/>
        <v>87553.169058936648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16701</v>
      </c>
      <c r="B165" s="66">
        <v>16701</v>
      </c>
      <c r="D165">
        <f t="shared" si="10"/>
        <v>16.366308981331766</v>
      </c>
      <c r="E165">
        <f t="shared" si="11"/>
        <v>16.366308981331766</v>
      </c>
      <c r="G165">
        <f t="shared" ca="1" si="12"/>
        <v>163</v>
      </c>
      <c r="H165">
        <f t="shared" ca="1" si="13"/>
        <v>2667.7083639570778</v>
      </c>
      <c r="I165">
        <f t="shared" ca="1" si="14"/>
        <v>97532.818377646094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17170</v>
      </c>
      <c r="B167" s="66">
        <v>17170</v>
      </c>
      <c r="D167">
        <f t="shared" si="10"/>
        <v>16.825910137684353</v>
      </c>
      <c r="E167">
        <f t="shared" si="11"/>
        <v>16.825910137684353</v>
      </c>
      <c r="G167">
        <f t="shared" ca="1" si="12"/>
        <v>165</v>
      </c>
      <c r="H167">
        <f t="shared" ca="1" si="13"/>
        <v>2776.2751727179184</v>
      </c>
      <c r="I167">
        <f t="shared" ca="1" si="14"/>
        <v>105534.68757248124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16463</v>
      </c>
      <c r="B170" s="66">
        <v>16463</v>
      </c>
      <c r="D170">
        <f t="shared" si="10"/>
        <v>16.133078543779703</v>
      </c>
      <c r="E170">
        <f t="shared" si="11"/>
        <v>16.133078543779703</v>
      </c>
      <c r="G170">
        <f t="shared" ca="1" si="12"/>
        <v>168</v>
      </c>
      <c r="H170">
        <f t="shared" ca="1" si="13"/>
        <v>2710.3571953549899</v>
      </c>
      <c r="I170">
        <f t="shared" ca="1" si="14"/>
        <v>109000.4808075593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19721</v>
      </c>
      <c r="B173" s="66">
        <v>19721</v>
      </c>
      <c r="D173">
        <f t="shared" si="10"/>
        <v>19.325787642706651</v>
      </c>
      <c r="E173">
        <f t="shared" si="11"/>
        <v>19.325787642706651</v>
      </c>
      <c r="G173">
        <f t="shared" ca="1" si="12"/>
        <v>171</v>
      </c>
      <c r="H173">
        <f t="shared" ca="1" si="13"/>
        <v>3304.7096869028373</v>
      </c>
      <c r="I173">
        <f t="shared" ca="1" si="14"/>
        <v>140276.54681437035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18302</v>
      </c>
      <c r="B175" s="66">
        <v>18302</v>
      </c>
      <c r="D175">
        <f t="shared" si="10"/>
        <v>17.935224655789114</v>
      </c>
      <c r="E175">
        <f t="shared" si="11"/>
        <v>17.935224655789114</v>
      </c>
      <c r="G175">
        <f t="shared" ca="1" si="12"/>
        <v>173</v>
      </c>
      <c r="H175">
        <f t="shared" ca="1" si="13"/>
        <v>3102.7938654515165</v>
      </c>
      <c r="I175">
        <f t="shared" ca="1" si="14"/>
        <v>136366.96756927136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17428</v>
      </c>
      <c r="B178" s="66">
        <v>17428</v>
      </c>
      <c r="D178">
        <f t="shared" si="10"/>
        <v>17.078739771669362</v>
      </c>
      <c r="E178">
        <f t="shared" si="11"/>
        <v>17.078739771669362</v>
      </c>
      <c r="G178">
        <f t="shared" ca="1" si="12"/>
        <v>176</v>
      </c>
      <c r="H178">
        <f t="shared" ca="1" si="13"/>
        <v>3005.8581998138079</v>
      </c>
      <c r="I178">
        <f t="shared" ca="1" si="14"/>
        <v>138943.84295357895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16786</v>
      </c>
      <c r="B180" s="66">
        <v>16786</v>
      </c>
      <c r="D180">
        <f t="shared" si="10"/>
        <v>16.449605566171787</v>
      </c>
      <c r="E180">
        <f t="shared" si="11"/>
        <v>16.449605566171787</v>
      </c>
      <c r="G180">
        <f t="shared" ca="1" si="12"/>
        <v>178</v>
      </c>
      <c r="H180">
        <f t="shared" ca="1" si="13"/>
        <v>2928.029790778578</v>
      </c>
      <c r="I180">
        <f t="shared" ca="1" si="14"/>
        <v>139826.14455876133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14577</v>
      </c>
      <c r="B183" s="66">
        <v>14577</v>
      </c>
      <c r="D183">
        <f t="shared" si="10"/>
        <v>14.284874320152873</v>
      </c>
      <c r="E183">
        <f t="shared" si="11"/>
        <v>14.284874320152873</v>
      </c>
      <c r="G183">
        <f t="shared" ca="1" si="12"/>
        <v>181</v>
      </c>
      <c r="H183">
        <f t="shared" ca="1" si="13"/>
        <v>2585.5622519476701</v>
      </c>
      <c r="I183">
        <f t="shared" ca="1" si="14"/>
        <v>129456.03012025196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10974</v>
      </c>
      <c r="B185" s="66">
        <v>10974</v>
      </c>
      <c r="D185">
        <f t="shared" si="10"/>
        <v>10.754079082757608</v>
      </c>
      <c r="E185">
        <f t="shared" si="11"/>
        <v>10.754079082757608</v>
      </c>
      <c r="G185">
        <f t="shared" ca="1" si="12"/>
        <v>183</v>
      </c>
      <c r="H185">
        <f t="shared" ca="1" si="13"/>
        <v>1967.9964721446422</v>
      </c>
      <c r="I185">
        <f t="shared" ca="1" si="14"/>
        <v>101596.39476508307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11442</v>
      </c>
      <c r="B188" s="66">
        <v>11442</v>
      </c>
      <c r="D188">
        <f t="shared" si="10"/>
        <v>11.21270027928855</v>
      </c>
      <c r="E188">
        <f t="shared" si="11"/>
        <v>11.21270027928855</v>
      </c>
      <c r="G188">
        <f t="shared" ca="1" si="12"/>
        <v>186</v>
      </c>
      <c r="H188">
        <f t="shared" ca="1" si="13"/>
        <v>2085.5622519476701</v>
      </c>
      <c r="I188">
        <f t="shared" ca="1" si="14"/>
        <v>112569.05488420201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9110</v>
      </c>
      <c r="B191" s="66">
        <v>9110</v>
      </c>
      <c r="D191">
        <f t="shared" si="10"/>
        <v>8.9274339752070162</v>
      </c>
      <c r="E191">
        <f t="shared" si="11"/>
        <v>8.9274339752070162</v>
      </c>
      <c r="G191">
        <f t="shared" ca="1" si="12"/>
        <v>189</v>
      </c>
      <c r="H191">
        <f t="shared" ca="1" si="13"/>
        <v>1687.285021314126</v>
      </c>
      <c r="I191">
        <f t="shared" ca="1" si="14"/>
        <v>95073.652596961998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4691</v>
      </c>
      <c r="B193" s="66">
        <v>4691</v>
      </c>
      <c r="D193">
        <f t="shared" si="10"/>
        <v>4.5969915233475431</v>
      </c>
      <c r="E193">
        <f t="shared" si="11"/>
        <v>4.5969915233475431</v>
      </c>
      <c r="G193">
        <f t="shared" ca="1" si="12"/>
        <v>191</v>
      </c>
      <c r="H193">
        <f t="shared" ca="1" si="13"/>
        <v>878.02538095938075</v>
      </c>
      <c r="I193">
        <f t="shared" ca="1" si="14"/>
        <v>50872.117132081163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3209</v>
      </c>
      <c r="B196" s="66">
        <v>3209</v>
      </c>
      <c r="D196">
        <f t="shared" si="15"/>
        <v>3.1446910676662259</v>
      </c>
      <c r="E196">
        <f t="shared" si="16"/>
        <v>3.1446910676662259</v>
      </c>
      <c r="G196">
        <f t="shared" ca="1" si="17"/>
        <v>194</v>
      </c>
      <c r="H196">
        <f t="shared" ca="1" si="18"/>
        <v>610.07006712724785</v>
      </c>
      <c r="I196">
        <f t="shared" ca="1" si="19"/>
        <v>36813.562047951251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3712</v>
      </c>
      <c r="B198" s="66">
        <v>3712</v>
      </c>
      <c r="D198">
        <f t="shared" si="15"/>
        <v>3.6376108579548236</v>
      </c>
      <c r="E198">
        <f t="shared" si="16"/>
        <v>3.6376108579548236</v>
      </c>
      <c r="G198">
        <f t="shared" ca="1" si="17"/>
        <v>196</v>
      </c>
      <c r="H198">
        <f t="shared" ca="1" si="18"/>
        <v>712.97172815914541</v>
      </c>
      <c r="I198">
        <f t="shared" ca="1" si="19"/>
        <v>44172.82828821773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2487</v>
      </c>
      <c r="B201" s="66">
        <v>2487</v>
      </c>
      <c r="D201">
        <f t="shared" si="15"/>
        <v>2.4371600764368662</v>
      </c>
      <c r="E201">
        <f t="shared" si="16"/>
        <v>2.4371600764368662</v>
      </c>
      <c r="G201">
        <f t="shared" ca="1" si="17"/>
        <v>199</v>
      </c>
      <c r="H201">
        <f t="shared" ca="1" si="18"/>
        <v>484.99485521093635</v>
      </c>
      <c r="I201">
        <f t="shared" ca="1" si="19"/>
        <v>31228.658703410278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1162</v>
      </c>
      <c r="B203" s="66">
        <v>1162</v>
      </c>
      <c r="D203">
        <f t="shared" si="15"/>
        <v>1.1387133127541771</v>
      </c>
      <c r="E203">
        <f t="shared" si="16"/>
        <v>1.1387133127541771</v>
      </c>
      <c r="G203">
        <f t="shared" ca="1" si="17"/>
        <v>201</v>
      </c>
      <c r="H203">
        <f t="shared" ca="1" si="18"/>
        <v>228.8813758635896</v>
      </c>
      <c r="I203">
        <f t="shared" ca="1" si="19"/>
        <v>15111.103769034802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923</v>
      </c>
      <c r="B206" s="66">
        <v>923</v>
      </c>
      <c r="D206">
        <f t="shared" si="15"/>
        <v>0.90450291538046945</v>
      </c>
      <c r="E206">
        <f t="shared" si="16"/>
        <v>0.90450291538046945</v>
      </c>
      <c r="G206">
        <f t="shared" ca="1" si="17"/>
        <v>204</v>
      </c>
      <c r="H206">
        <f t="shared" ca="1" si="18"/>
        <v>184.51859473761576</v>
      </c>
      <c r="I206">
        <f t="shared" ca="1" si="19"/>
        <v>12636.370292034688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406</v>
      </c>
      <c r="B1" s="68" t="s">
        <v>407</v>
      </c>
      <c r="C1" s="32" t="s">
        <v>408</v>
      </c>
      <c r="D1" s="32" t="s">
        <v>409</v>
      </c>
      <c r="E1" s="32" t="s">
        <v>410</v>
      </c>
    </row>
    <row r="2" spans="1:5">
      <c r="A2" s="68">
        <v>0.36492000000000002</v>
      </c>
      <c r="B2" s="68">
        <v>0.37900899999999998</v>
      </c>
      <c r="C2" s="68">
        <v>0</v>
      </c>
      <c r="D2" s="68">
        <v>1</v>
      </c>
      <c r="E2" s="68" t="s">
        <v>411</v>
      </c>
    </row>
    <row r="3" spans="1:5">
      <c r="A3" s="68">
        <v>0.363701</v>
      </c>
      <c r="B3" s="68">
        <v>0.37236399999999997</v>
      </c>
      <c r="C3" s="68">
        <v>0.40822900000000001</v>
      </c>
      <c r="D3" s="89">
        <v>1</v>
      </c>
      <c r="E3" s="68" t="s">
        <v>412</v>
      </c>
    </row>
    <row r="4" spans="1:5">
      <c r="A4" s="68">
        <v>0.36229699999999998</v>
      </c>
      <c r="B4" s="68">
        <v>0.36492200000000002</v>
      </c>
      <c r="C4" s="68">
        <v>0.81201400000000001</v>
      </c>
      <c r="D4" s="89">
        <v>1</v>
      </c>
      <c r="E4" s="68" t="s">
        <v>413</v>
      </c>
    </row>
    <row r="5" spans="1:5">
      <c r="A5" s="89">
        <v>0.36063400000000001</v>
      </c>
      <c r="B5" s="89">
        <v>0.35697099999999998</v>
      </c>
      <c r="C5" s="89">
        <v>1.2202599999999999</v>
      </c>
      <c r="D5" s="89">
        <v>1</v>
      </c>
      <c r="E5" s="68" t="s">
        <v>414</v>
      </c>
    </row>
    <row r="6" spans="1:5">
      <c r="A6" s="68">
        <v>0.358566</v>
      </c>
      <c r="B6" s="68">
        <v>0.34862100000000001</v>
      </c>
      <c r="C6" s="68">
        <v>1.6283099999999999</v>
      </c>
      <c r="D6" s="68">
        <v>1</v>
      </c>
      <c r="E6" s="68" t="s">
        <v>415</v>
      </c>
    </row>
    <row r="7" spans="1:5">
      <c r="A7" s="68">
        <v>0.35634199999999999</v>
      </c>
      <c r="B7" s="68">
        <v>0.33986899999999998</v>
      </c>
      <c r="C7" s="68">
        <v>2.03708</v>
      </c>
      <c r="D7" s="68">
        <v>1</v>
      </c>
      <c r="E7" s="68" t="s">
        <v>416</v>
      </c>
    </row>
    <row r="8" spans="1:5">
      <c r="A8" s="68">
        <v>0.353883</v>
      </c>
      <c r="B8" s="68">
        <v>0.33133200000000002</v>
      </c>
      <c r="C8" s="68">
        <v>2.4403700000000002</v>
      </c>
      <c r="D8" s="68">
        <v>1</v>
      </c>
      <c r="E8" s="68" t="s">
        <v>417</v>
      </c>
    </row>
    <row r="9" spans="1:5">
      <c r="A9" s="68">
        <v>0.35118500000000002</v>
      </c>
      <c r="B9" s="68">
        <v>0.32297199999999998</v>
      </c>
      <c r="C9" s="68">
        <v>2.8452899999999999</v>
      </c>
      <c r="D9" s="68">
        <v>1</v>
      </c>
      <c r="E9" s="68" t="s">
        <v>418</v>
      </c>
    </row>
    <row r="10" spans="1:5">
      <c r="A10" s="68">
        <v>0.348325</v>
      </c>
      <c r="B10" s="68">
        <v>0.31482100000000002</v>
      </c>
      <c r="C10" s="68">
        <v>3.2521499999999999</v>
      </c>
      <c r="D10" s="68">
        <v>1</v>
      </c>
      <c r="E10" s="68" t="s">
        <v>419</v>
      </c>
    </row>
    <row r="11" spans="1:5">
      <c r="A11" s="68">
        <v>0.34548099999999998</v>
      </c>
      <c r="B11" s="68">
        <v>0.30617899999999998</v>
      </c>
      <c r="C11" s="68">
        <v>3.66168</v>
      </c>
      <c r="D11" s="68">
        <v>1</v>
      </c>
      <c r="E11" s="68" t="s">
        <v>420</v>
      </c>
    </row>
    <row r="12" spans="1:5">
      <c r="A12" s="68">
        <v>0.34243400000000002</v>
      </c>
      <c r="B12" s="68">
        <v>0.29782399999999998</v>
      </c>
      <c r="C12" s="68">
        <v>4.0749300000000002</v>
      </c>
      <c r="D12" s="68">
        <v>1</v>
      </c>
      <c r="E12" s="68" t="s">
        <v>421</v>
      </c>
    </row>
    <row r="13" spans="1:5">
      <c r="A13" s="68">
        <v>0.33932499999999999</v>
      </c>
      <c r="B13" s="68">
        <v>0.28943400000000002</v>
      </c>
      <c r="C13" s="68">
        <v>4.4695600000000004</v>
      </c>
      <c r="D13" s="68">
        <v>1</v>
      </c>
      <c r="E13" s="68" t="s">
        <v>422</v>
      </c>
    </row>
    <row r="14" spans="1:5">
      <c r="A14" s="68">
        <v>0.33593699999999999</v>
      </c>
      <c r="B14" s="68">
        <v>0.28202899999999997</v>
      </c>
      <c r="C14" s="68">
        <v>4.8776000000000002</v>
      </c>
      <c r="D14" s="68">
        <v>1</v>
      </c>
      <c r="E14" s="68" t="s">
        <v>423</v>
      </c>
    </row>
    <row r="15" spans="1:5">
      <c r="A15" s="68">
        <v>0.332397</v>
      </c>
      <c r="B15" s="68">
        <v>0.27536899999999997</v>
      </c>
      <c r="C15" s="68">
        <v>5.2841199999999997</v>
      </c>
      <c r="D15" s="68">
        <v>1</v>
      </c>
      <c r="E15" s="68" t="s">
        <v>424</v>
      </c>
    </row>
    <row r="16" spans="1:5">
      <c r="A16" s="68">
        <v>0.32870700000000003</v>
      </c>
      <c r="B16" s="68">
        <v>0.269735</v>
      </c>
      <c r="C16" s="68">
        <v>5.6913299999999998</v>
      </c>
      <c r="D16" s="68">
        <v>1</v>
      </c>
      <c r="E16" s="68" t="s">
        <v>425</v>
      </c>
    </row>
    <row r="17" spans="1:5">
      <c r="A17" s="68">
        <v>0.32485000000000003</v>
      </c>
      <c r="B17" s="68">
        <v>0.26471499999999998</v>
      </c>
      <c r="C17" s="68">
        <v>6.0982099999999999</v>
      </c>
      <c r="D17" s="68">
        <v>1</v>
      </c>
      <c r="E17" s="68" t="s">
        <v>426</v>
      </c>
    </row>
    <row r="18" spans="1:5">
      <c r="A18" s="68">
        <v>0.32101299999999999</v>
      </c>
      <c r="B18" s="68">
        <v>0.26015700000000003</v>
      </c>
      <c r="C18" s="68">
        <v>6.50129</v>
      </c>
      <c r="D18" s="68">
        <v>1</v>
      </c>
      <c r="E18" s="68" t="s">
        <v>427</v>
      </c>
    </row>
    <row r="19" spans="1:5">
      <c r="A19" s="68">
        <v>0.31732100000000002</v>
      </c>
      <c r="B19" s="68">
        <v>0.25566299999999997</v>
      </c>
      <c r="C19" s="68">
        <v>6.90726</v>
      </c>
      <c r="D19" s="68">
        <v>1</v>
      </c>
      <c r="E19" s="68" t="s">
        <v>428</v>
      </c>
    </row>
    <row r="20" spans="1:5">
      <c r="A20" s="68">
        <v>0.31376900000000002</v>
      </c>
      <c r="B20" s="68">
        <v>0.25078299999999998</v>
      </c>
      <c r="C20" s="68">
        <v>7.3128000000000002</v>
      </c>
      <c r="D20" s="68">
        <v>1</v>
      </c>
      <c r="E20" s="68" t="s">
        <v>429</v>
      </c>
    </row>
    <row r="21" spans="1:5">
      <c r="A21" s="68">
        <v>0.310415</v>
      </c>
      <c r="B21" s="68">
        <v>0.245892</v>
      </c>
      <c r="C21" s="68">
        <v>7.7235399999999998</v>
      </c>
      <c r="D21" s="68">
        <v>1</v>
      </c>
      <c r="E21" s="68" t="s">
        <v>430</v>
      </c>
    </row>
    <row r="22" spans="1:5">
      <c r="A22" s="68">
        <v>0.30723800000000001</v>
      </c>
      <c r="B22" s="68">
        <v>0.24085999999999999</v>
      </c>
      <c r="C22" s="68">
        <v>8.1278299999999994</v>
      </c>
      <c r="D22" s="68">
        <v>1</v>
      </c>
      <c r="E22" s="68" t="s">
        <v>431</v>
      </c>
    </row>
    <row r="23" spans="1:5">
      <c r="A23" s="68">
        <v>0.30399799999999999</v>
      </c>
      <c r="B23" s="68">
        <v>0.23622599999999999</v>
      </c>
      <c r="C23" s="68">
        <v>8.5343900000000001</v>
      </c>
      <c r="D23" s="68">
        <v>1</v>
      </c>
      <c r="E23" s="68" t="s">
        <v>432</v>
      </c>
    </row>
    <row r="24" spans="1:5">
      <c r="A24" s="68">
        <v>0.30086400000000002</v>
      </c>
      <c r="B24" s="68">
        <v>0.231209</v>
      </c>
      <c r="C24" s="68">
        <v>8.9396500000000003</v>
      </c>
      <c r="D24" s="68">
        <v>1</v>
      </c>
      <c r="E24" s="68" t="s">
        <v>433</v>
      </c>
    </row>
    <row r="25" spans="1:5">
      <c r="A25" s="68">
        <v>0.29823699999999997</v>
      </c>
      <c r="B25" s="68">
        <v>0.22525300000000001</v>
      </c>
      <c r="C25" s="68">
        <v>9.3454499999999996</v>
      </c>
      <c r="D25" s="68">
        <v>1</v>
      </c>
      <c r="E25" s="68" t="s">
        <v>434</v>
      </c>
    </row>
    <row r="26" spans="1:5">
      <c r="A26" s="68">
        <v>0.29618499999999998</v>
      </c>
      <c r="B26" s="68">
        <v>0.21845100000000001</v>
      </c>
      <c r="C26" s="68">
        <v>9.7541100000000007</v>
      </c>
      <c r="D26" s="68">
        <v>1</v>
      </c>
      <c r="E26" s="68" t="s">
        <v>435</v>
      </c>
    </row>
    <row r="27" spans="1:5">
      <c r="A27" s="68">
        <v>0.29496</v>
      </c>
      <c r="B27" s="68">
        <v>0.21039099999999999</v>
      </c>
      <c r="C27" s="68">
        <v>10.160600000000001</v>
      </c>
      <c r="D27" s="68">
        <v>1</v>
      </c>
      <c r="E27" s="68" t="s">
        <v>436</v>
      </c>
    </row>
    <row r="28" spans="1:5">
      <c r="A28" s="68">
        <v>0.29459099999999999</v>
      </c>
      <c r="B28" s="68">
        <v>0.20172799999999999</v>
      </c>
      <c r="C28" s="68">
        <v>10.567299999999999</v>
      </c>
      <c r="D28" s="68">
        <v>1</v>
      </c>
      <c r="E28" s="68" t="s">
        <v>437</v>
      </c>
    </row>
    <row r="29" spans="1:5">
      <c r="A29" s="68">
        <v>0.29483500000000001</v>
      </c>
      <c r="B29" s="68">
        <v>0.192303</v>
      </c>
      <c r="C29" s="68">
        <v>10.969200000000001</v>
      </c>
      <c r="D29" s="68">
        <v>1</v>
      </c>
      <c r="E29" s="68" t="s">
        <v>438</v>
      </c>
    </row>
    <row r="30" spans="1:5">
      <c r="A30" s="68">
        <v>0.29557299999999997</v>
      </c>
      <c r="B30" s="68">
        <v>0.18198300000000001</v>
      </c>
      <c r="C30" s="68">
        <v>11.376300000000001</v>
      </c>
      <c r="D30" s="68">
        <v>1</v>
      </c>
      <c r="E30" s="68" t="s">
        <v>439</v>
      </c>
    </row>
    <row r="31" spans="1:5">
      <c r="A31" s="68">
        <v>0.29654900000000001</v>
      </c>
      <c r="B31" s="68">
        <v>0.172346</v>
      </c>
      <c r="C31" s="68">
        <v>11.7842</v>
      </c>
      <c r="D31" s="68">
        <v>1</v>
      </c>
      <c r="E31" s="68" t="s">
        <v>440</v>
      </c>
    </row>
    <row r="32" spans="1:5">
      <c r="A32" s="68">
        <v>0.29744100000000001</v>
      </c>
      <c r="B32" s="68">
        <v>0.16312699999999999</v>
      </c>
      <c r="C32" s="68">
        <v>12.1899</v>
      </c>
      <c r="D32" s="68">
        <v>1</v>
      </c>
      <c r="E32" s="68" t="s">
        <v>441</v>
      </c>
    </row>
    <row r="33" spans="1:5">
      <c r="A33" s="68">
        <v>0.29794100000000001</v>
      </c>
      <c r="B33" s="68">
        <v>0.15559999999999999</v>
      </c>
      <c r="C33" s="68">
        <v>12.594900000000001</v>
      </c>
      <c r="D33" s="68">
        <v>1</v>
      </c>
      <c r="E33" s="68" t="s">
        <v>442</v>
      </c>
    </row>
    <row r="34" spans="1:5">
      <c r="A34" s="68">
        <v>0.29852400000000001</v>
      </c>
      <c r="B34" s="68">
        <v>0.149091</v>
      </c>
      <c r="C34" s="68">
        <v>12.999700000000001</v>
      </c>
      <c r="D34" s="68">
        <v>1</v>
      </c>
      <c r="E34" s="68" t="s">
        <v>443</v>
      </c>
    </row>
    <row r="35" spans="1:5">
      <c r="A35" s="68">
        <v>0.299485</v>
      </c>
      <c r="B35" s="68">
        <v>0.14357700000000001</v>
      </c>
      <c r="C35" s="68">
        <v>13.4095</v>
      </c>
      <c r="D35" s="68">
        <v>1</v>
      </c>
      <c r="E35" s="68" t="s">
        <v>444</v>
      </c>
    </row>
    <row r="36" spans="1:5">
      <c r="A36" s="68">
        <v>0.301039</v>
      </c>
      <c r="B36" s="68">
        <v>0.13936699999999999</v>
      </c>
      <c r="C36" s="68">
        <v>13.8133</v>
      </c>
      <c r="D36" s="68">
        <v>1</v>
      </c>
      <c r="E36" s="68" t="s">
        <v>445</v>
      </c>
    </row>
    <row r="37" spans="1:5">
      <c r="A37" s="68">
        <v>0.30283599999999999</v>
      </c>
      <c r="B37" s="68">
        <v>0.136215</v>
      </c>
      <c r="C37" s="68">
        <v>14.220599999999999</v>
      </c>
      <c r="D37" s="68">
        <v>1</v>
      </c>
      <c r="E37" s="68" t="s">
        <v>446</v>
      </c>
    </row>
    <row r="38" spans="1:5">
      <c r="A38" s="68">
        <v>0.30445</v>
      </c>
      <c r="B38" s="68">
        <v>0.13423199999999999</v>
      </c>
      <c r="C38" s="68">
        <v>14.627000000000001</v>
      </c>
      <c r="D38" s="68">
        <v>1</v>
      </c>
      <c r="E38" s="68" t="s">
        <v>447</v>
      </c>
    </row>
    <row r="39" spans="1:5">
      <c r="A39" s="68">
        <v>0.30598500000000001</v>
      </c>
      <c r="B39" s="68">
        <v>0.13261400000000001</v>
      </c>
      <c r="C39" s="68">
        <v>15.0336</v>
      </c>
      <c r="D39" s="68">
        <v>1</v>
      </c>
      <c r="E39" s="68" t="s">
        <v>448</v>
      </c>
    </row>
    <row r="40" spans="1:5">
      <c r="A40" s="68">
        <v>0.30742799999999998</v>
      </c>
      <c r="B40" s="68">
        <v>0.1321</v>
      </c>
      <c r="C40" s="68">
        <v>15.4398</v>
      </c>
      <c r="D40" s="68">
        <v>1</v>
      </c>
      <c r="E40" s="68" t="s">
        <v>449</v>
      </c>
    </row>
    <row r="41" spans="1:5">
      <c r="A41" s="68">
        <v>0.308757</v>
      </c>
      <c r="B41" s="68">
        <v>0.13209599999999999</v>
      </c>
      <c r="C41" s="68">
        <v>15.848100000000001</v>
      </c>
      <c r="D41" s="68">
        <v>1</v>
      </c>
      <c r="E41" s="68" t="s">
        <v>450</v>
      </c>
    </row>
    <row r="42" spans="1:5">
      <c r="A42" s="68">
        <v>0.31009599999999998</v>
      </c>
      <c r="B42" s="68">
        <v>0.132304</v>
      </c>
      <c r="C42" s="68">
        <v>16.253699999999998</v>
      </c>
      <c r="D42" s="68">
        <v>1</v>
      </c>
      <c r="E42" s="68" t="s">
        <v>451</v>
      </c>
    </row>
    <row r="43" spans="1:5">
      <c r="A43" s="68">
        <v>0.31126799999999999</v>
      </c>
      <c r="B43" s="68">
        <v>0.13344</v>
      </c>
      <c r="C43" s="68">
        <v>16.659700000000001</v>
      </c>
      <c r="D43" s="68">
        <v>1</v>
      </c>
      <c r="E43" s="68" t="s">
        <v>452</v>
      </c>
    </row>
    <row r="44" spans="1:5">
      <c r="A44" s="68">
        <v>0.31235600000000002</v>
      </c>
      <c r="B44" s="68">
        <v>0.13453399999999999</v>
      </c>
      <c r="C44" s="68">
        <v>17.064699999999998</v>
      </c>
      <c r="D44" s="68">
        <v>1</v>
      </c>
      <c r="E44" s="68" t="s">
        <v>453</v>
      </c>
    </row>
    <row r="45" spans="1:5">
      <c r="A45" s="68">
        <v>0.31352000000000002</v>
      </c>
      <c r="B45" s="68">
        <v>0.13627</v>
      </c>
      <c r="C45" s="68">
        <v>17.473099999999999</v>
      </c>
      <c r="D45" s="68">
        <v>1</v>
      </c>
      <c r="E45" s="68" t="s">
        <v>454</v>
      </c>
    </row>
    <row r="46" spans="1:5">
      <c r="A46" s="68">
        <v>0.31471300000000002</v>
      </c>
      <c r="B46" s="68">
        <v>0.138598</v>
      </c>
      <c r="C46" s="68">
        <v>17.876200000000001</v>
      </c>
      <c r="D46" s="68">
        <v>1</v>
      </c>
      <c r="E46" s="68" t="s">
        <v>455</v>
      </c>
    </row>
    <row r="47" spans="1:5">
      <c r="A47" s="68">
        <v>0.31585400000000002</v>
      </c>
      <c r="B47" s="68">
        <v>0.14150099999999999</v>
      </c>
      <c r="C47" s="68">
        <v>18.2851</v>
      </c>
      <c r="D47" s="68">
        <v>1</v>
      </c>
      <c r="E47" s="68" t="s">
        <v>456</v>
      </c>
    </row>
    <row r="48" spans="1:5">
      <c r="A48" s="68">
        <v>0.316579</v>
      </c>
      <c r="B48" s="68">
        <v>0.14427000000000001</v>
      </c>
      <c r="C48" s="68">
        <v>18.690799999999999</v>
      </c>
      <c r="D48" s="68">
        <v>1</v>
      </c>
      <c r="E48" s="68" t="s">
        <v>457</v>
      </c>
    </row>
    <row r="49" spans="1:5">
      <c r="A49" s="68">
        <v>0.31720999999999999</v>
      </c>
      <c r="B49" s="68">
        <v>0.14736099999999999</v>
      </c>
      <c r="C49" s="68">
        <v>19.097100000000001</v>
      </c>
      <c r="D49" s="68">
        <v>1</v>
      </c>
      <c r="E49" s="68" t="s">
        <v>458</v>
      </c>
    </row>
    <row r="50" spans="1:5">
      <c r="A50" s="68">
        <v>0.31763000000000002</v>
      </c>
      <c r="B50" s="68">
        <v>0.15093899999999999</v>
      </c>
      <c r="C50" s="68">
        <v>19.501000000000001</v>
      </c>
      <c r="D50" s="68">
        <v>1</v>
      </c>
      <c r="E50" s="68" t="s">
        <v>459</v>
      </c>
    </row>
    <row r="51" spans="1:5">
      <c r="A51" s="68">
        <v>0.317797</v>
      </c>
      <c r="B51" s="68">
        <v>0.154782</v>
      </c>
      <c r="C51" s="68">
        <v>19.910699999999999</v>
      </c>
      <c r="D51" s="68">
        <v>1</v>
      </c>
      <c r="E51" s="68" t="s">
        <v>460</v>
      </c>
    </row>
    <row r="52" spans="1:5">
      <c r="A52" s="68">
        <v>0.31783299999999998</v>
      </c>
      <c r="B52" s="68">
        <v>0.158306</v>
      </c>
      <c r="C52" s="68">
        <v>20.317399999999999</v>
      </c>
      <c r="D52" s="68">
        <v>1</v>
      </c>
      <c r="E52" s="68" t="s">
        <v>461</v>
      </c>
    </row>
    <row r="53" spans="1:5">
      <c r="A53" s="68">
        <v>0.31730700000000001</v>
      </c>
      <c r="B53" s="68">
        <v>0.164663</v>
      </c>
      <c r="C53" s="68">
        <v>20.722799999999999</v>
      </c>
      <c r="D53" s="68">
        <v>1</v>
      </c>
      <c r="E53" s="68" t="s">
        <v>462</v>
      </c>
    </row>
    <row r="54" spans="1:5">
      <c r="A54" s="68">
        <v>0.316527</v>
      </c>
      <c r="B54" s="68">
        <v>0.171238</v>
      </c>
      <c r="C54" s="68">
        <v>21.129899999999999</v>
      </c>
      <c r="D54" s="68">
        <v>1</v>
      </c>
      <c r="E54" s="68" t="s">
        <v>463</v>
      </c>
    </row>
    <row r="55" spans="1:5">
      <c r="A55" s="68">
        <v>0.31580399999999997</v>
      </c>
      <c r="B55" s="68">
        <v>0.178235</v>
      </c>
      <c r="C55" s="68">
        <v>21.5321</v>
      </c>
      <c r="D55" s="68">
        <v>1</v>
      </c>
      <c r="E55" s="68" t="s">
        <v>464</v>
      </c>
    </row>
    <row r="56" spans="1:5">
      <c r="A56" s="68">
        <v>0.31527899999999998</v>
      </c>
      <c r="B56" s="68">
        <v>0.18493499999999999</v>
      </c>
      <c r="C56" s="68">
        <v>21.939800000000002</v>
      </c>
      <c r="D56" s="68">
        <v>1</v>
      </c>
      <c r="E56" s="68" t="s">
        <v>465</v>
      </c>
    </row>
    <row r="57" spans="1:5">
      <c r="A57" s="68">
        <v>0.315104</v>
      </c>
      <c r="B57" s="68">
        <v>0.19170000000000001</v>
      </c>
      <c r="C57" s="68">
        <v>22.3462</v>
      </c>
      <c r="D57" s="68">
        <v>1</v>
      </c>
      <c r="E57" s="68" t="s">
        <v>466</v>
      </c>
    </row>
    <row r="58" spans="1:5">
      <c r="A58" s="68">
        <v>0.31533299999999997</v>
      </c>
      <c r="B58" s="68">
        <v>0.19714100000000001</v>
      </c>
      <c r="C58" s="68">
        <v>22.753599999999999</v>
      </c>
      <c r="D58" s="68">
        <v>1</v>
      </c>
      <c r="E58" s="68" t="s">
        <v>467</v>
      </c>
    </row>
    <row r="59" spans="1:5">
      <c r="A59" s="68">
        <v>0.31587799999999999</v>
      </c>
      <c r="B59" s="68">
        <v>0.202823</v>
      </c>
      <c r="C59" s="68">
        <v>23.157699999999998</v>
      </c>
      <c r="D59" s="68">
        <v>1</v>
      </c>
      <c r="E59" s="68" t="s">
        <v>468</v>
      </c>
    </row>
    <row r="60" spans="1:5">
      <c r="A60" s="68">
        <v>0.31630599999999998</v>
      </c>
      <c r="B60" s="68">
        <v>0.20797599999999999</v>
      </c>
      <c r="C60" s="68">
        <v>23.5639</v>
      </c>
      <c r="D60" s="68">
        <v>1</v>
      </c>
      <c r="E60" s="68" t="s">
        <v>469</v>
      </c>
    </row>
    <row r="61" spans="1:5">
      <c r="A61" s="68">
        <v>0.31635999999999997</v>
      </c>
      <c r="B61" s="68">
        <v>0.21280299999999999</v>
      </c>
      <c r="C61" s="68">
        <v>23.970500000000001</v>
      </c>
      <c r="D61" s="68">
        <v>1</v>
      </c>
      <c r="E61" s="68" t="s">
        <v>470</v>
      </c>
    </row>
    <row r="62" spans="1:5">
      <c r="A62" s="68">
        <v>0.31630399999999997</v>
      </c>
      <c r="B62" s="68">
        <v>0.21668899999999999</v>
      </c>
      <c r="C62" s="68">
        <v>24.375599999999999</v>
      </c>
      <c r="D62" s="68">
        <v>1</v>
      </c>
      <c r="E62" s="68" t="s">
        <v>471</v>
      </c>
    </row>
    <row r="63" spans="1:5">
      <c r="A63" s="68">
        <v>0.31650099999999998</v>
      </c>
      <c r="B63" s="68">
        <v>0.221217</v>
      </c>
      <c r="C63" s="68">
        <v>24.786000000000001</v>
      </c>
      <c r="D63" s="68">
        <v>1</v>
      </c>
      <c r="E63" s="68" t="s">
        <v>472</v>
      </c>
    </row>
    <row r="64" spans="1:5">
      <c r="A64" s="68">
        <v>0.31656400000000001</v>
      </c>
      <c r="B64" s="68">
        <v>0.22378799999999999</v>
      </c>
      <c r="C64" s="68">
        <v>25.190200000000001</v>
      </c>
      <c r="D64" s="68">
        <v>1</v>
      </c>
      <c r="E64" s="68" t="s">
        <v>473</v>
      </c>
    </row>
    <row r="65" spans="1:5">
      <c r="A65" s="68">
        <v>0.31753399999999998</v>
      </c>
      <c r="B65" s="68">
        <v>0.226132</v>
      </c>
      <c r="C65" s="68">
        <v>25.596900000000002</v>
      </c>
      <c r="D65" s="68">
        <v>1</v>
      </c>
      <c r="E65" s="68" t="s">
        <v>474</v>
      </c>
    </row>
    <row r="66" spans="1:5">
      <c r="A66" s="68">
        <v>0.317911</v>
      </c>
      <c r="B66" s="68">
        <v>0.22822500000000001</v>
      </c>
      <c r="C66" s="68">
        <v>26.000699999999998</v>
      </c>
      <c r="D66" s="68">
        <v>1</v>
      </c>
      <c r="E66" s="68" t="s">
        <v>475</v>
      </c>
    </row>
    <row r="67" spans="1:5">
      <c r="A67" s="68">
        <v>0.31844099999999997</v>
      </c>
      <c r="B67" s="68">
        <v>0.230407</v>
      </c>
      <c r="C67" s="68">
        <v>26.4068</v>
      </c>
      <c r="D67" s="68">
        <v>1</v>
      </c>
      <c r="E67" s="68" t="s">
        <v>476</v>
      </c>
    </row>
    <row r="68" spans="1:5">
      <c r="A68" s="68">
        <v>0.31867299999999998</v>
      </c>
      <c r="B68" s="68">
        <v>0.23189499999999999</v>
      </c>
      <c r="C68" s="68">
        <v>26.812799999999999</v>
      </c>
      <c r="D68" s="68">
        <v>1</v>
      </c>
      <c r="E68" s="68" t="s">
        <v>477</v>
      </c>
    </row>
    <row r="69" spans="1:5">
      <c r="A69" s="68">
        <v>0.31925500000000001</v>
      </c>
      <c r="B69" s="68">
        <v>0.23403399999999999</v>
      </c>
      <c r="C69" s="68">
        <v>27.2197</v>
      </c>
      <c r="D69" s="68">
        <v>1</v>
      </c>
      <c r="E69" s="68" t="s">
        <v>478</v>
      </c>
    </row>
    <row r="70" spans="1:5">
      <c r="A70" s="68">
        <v>0.32023699999999999</v>
      </c>
      <c r="B70" s="68">
        <v>0.23599100000000001</v>
      </c>
      <c r="C70" s="68">
        <v>27.63</v>
      </c>
      <c r="D70" s="68">
        <v>1</v>
      </c>
      <c r="E70" s="68" t="s">
        <v>479</v>
      </c>
    </row>
    <row r="71" spans="1:5">
      <c r="A71" s="68">
        <v>0.32118999999999998</v>
      </c>
      <c r="B71" s="68">
        <v>0.23716000000000001</v>
      </c>
      <c r="C71" s="68">
        <v>28.034800000000001</v>
      </c>
      <c r="D71" s="68">
        <v>1</v>
      </c>
      <c r="E71" s="68" t="s">
        <v>480</v>
      </c>
    </row>
    <row r="72" spans="1:5">
      <c r="A72" s="68">
        <v>0.32229400000000002</v>
      </c>
      <c r="B72" s="68">
        <v>0.23869299999999999</v>
      </c>
      <c r="C72" s="68">
        <v>28.4405</v>
      </c>
      <c r="D72" s="68">
        <v>1</v>
      </c>
      <c r="E72" s="68" t="s">
        <v>481</v>
      </c>
    </row>
    <row r="73" spans="1:5">
      <c r="A73" s="68">
        <v>0.32422299999999998</v>
      </c>
      <c r="B73" s="68">
        <v>0.24019099999999999</v>
      </c>
      <c r="C73" s="68">
        <v>28.844999999999999</v>
      </c>
      <c r="D73" s="68">
        <v>1</v>
      </c>
      <c r="E73" s="68" t="s">
        <v>482</v>
      </c>
    </row>
    <row r="74" spans="1:5">
      <c r="A74" s="68">
        <v>0.32552300000000001</v>
      </c>
      <c r="B74" s="68">
        <v>0.24188000000000001</v>
      </c>
      <c r="C74" s="68">
        <v>29.2498</v>
      </c>
      <c r="D74" s="68">
        <v>1</v>
      </c>
      <c r="E74" s="68" t="s">
        <v>483</v>
      </c>
    </row>
    <row r="75" spans="1:5">
      <c r="A75" s="68">
        <v>0.327901</v>
      </c>
      <c r="B75" s="68">
        <v>0.24496499999999999</v>
      </c>
      <c r="C75" s="68">
        <v>29.6616</v>
      </c>
      <c r="D75" s="68">
        <v>1</v>
      </c>
      <c r="E75" s="68" t="s">
        <v>484</v>
      </c>
    </row>
    <row r="76" spans="1:5">
      <c r="A76" s="68">
        <v>0.32973400000000003</v>
      </c>
      <c r="B76" s="68">
        <v>0.247054</v>
      </c>
      <c r="C76" s="68">
        <v>30.067599999999999</v>
      </c>
      <c r="D76" s="68">
        <v>2</v>
      </c>
      <c r="E76" s="68" t="s">
        <v>485</v>
      </c>
    </row>
    <row r="77" spans="1:5">
      <c r="A77" s="68">
        <v>0.33202399999999999</v>
      </c>
      <c r="B77" s="68">
        <v>0.24789900000000001</v>
      </c>
      <c r="C77" s="68">
        <v>30.5533</v>
      </c>
      <c r="D77" s="68">
        <v>2</v>
      </c>
      <c r="E77" s="68" t="s">
        <v>486</v>
      </c>
    </row>
    <row r="78" spans="1:5">
      <c r="A78" s="68">
        <v>0.33426899999999998</v>
      </c>
      <c r="B78" s="68">
        <v>0.24932299999999999</v>
      </c>
      <c r="C78" s="68">
        <v>30.940100000000001</v>
      </c>
      <c r="D78" s="68">
        <v>2</v>
      </c>
      <c r="E78" s="68" t="s">
        <v>487</v>
      </c>
    </row>
    <row r="79" spans="1:5">
      <c r="A79" s="68">
        <v>0.33637800000000001</v>
      </c>
      <c r="B79" s="68">
        <v>0.25193599999999999</v>
      </c>
      <c r="C79" s="68">
        <v>31.336500000000001</v>
      </c>
      <c r="D79" s="68">
        <v>2</v>
      </c>
      <c r="E79" s="68" t="s">
        <v>488</v>
      </c>
    </row>
    <row r="80" spans="1:5">
      <c r="A80" s="68">
        <v>0.338696</v>
      </c>
      <c r="B80" s="68">
        <v>0.25437700000000002</v>
      </c>
      <c r="C80" s="68">
        <v>31.736899999999999</v>
      </c>
      <c r="D80" s="68">
        <v>2</v>
      </c>
      <c r="E80" s="68" t="s">
        <v>489</v>
      </c>
    </row>
    <row r="81" spans="1:5">
      <c r="A81" s="68">
        <v>0.34114499999999998</v>
      </c>
      <c r="B81" s="68">
        <v>0.25607999999999997</v>
      </c>
      <c r="C81" s="68">
        <v>32.142899999999997</v>
      </c>
      <c r="D81" s="68">
        <v>2</v>
      </c>
      <c r="E81" s="68" t="s">
        <v>490</v>
      </c>
    </row>
    <row r="82" spans="1:5">
      <c r="A82" s="68">
        <v>0.343611</v>
      </c>
      <c r="B82" s="68">
        <v>0.25793199999999999</v>
      </c>
      <c r="C82" s="68">
        <v>32.546900000000001</v>
      </c>
      <c r="D82" s="68">
        <v>2</v>
      </c>
      <c r="E82" s="68" t="s">
        <v>491</v>
      </c>
    </row>
    <row r="83" spans="1:5">
      <c r="A83" s="68">
        <v>0.34604400000000002</v>
      </c>
      <c r="B83" s="68">
        <v>0.25992300000000002</v>
      </c>
      <c r="C83" s="68">
        <v>32.958100000000002</v>
      </c>
      <c r="D83" s="68">
        <v>2</v>
      </c>
      <c r="E83" s="68" t="s">
        <v>492</v>
      </c>
    </row>
    <row r="84" spans="1:5">
      <c r="A84" s="68">
        <v>0.348221</v>
      </c>
      <c r="B84" s="68">
        <v>0.26166099999999998</v>
      </c>
      <c r="C84" s="68">
        <v>33.3643</v>
      </c>
      <c r="D84" s="68">
        <v>2</v>
      </c>
      <c r="E84" s="68" t="s">
        <v>493</v>
      </c>
    </row>
    <row r="85" spans="1:5">
      <c r="A85" s="68">
        <v>0.35044900000000001</v>
      </c>
      <c r="B85" s="68">
        <v>0.26308500000000001</v>
      </c>
      <c r="C85" s="68">
        <v>33.770699999999998</v>
      </c>
      <c r="D85" s="68">
        <v>2</v>
      </c>
      <c r="E85" s="68" t="s">
        <v>494</v>
      </c>
    </row>
    <row r="86" spans="1:5">
      <c r="A86" s="68">
        <v>0.35272599999999998</v>
      </c>
      <c r="B86" s="68">
        <v>0.26442900000000003</v>
      </c>
      <c r="C86" s="68">
        <v>34.173200000000001</v>
      </c>
      <c r="D86" s="68">
        <v>2</v>
      </c>
      <c r="E86" s="68" t="s">
        <v>495</v>
      </c>
    </row>
    <row r="87" spans="1:5">
      <c r="A87" s="68">
        <v>0.35513299999999998</v>
      </c>
      <c r="B87" s="68">
        <v>0.265656</v>
      </c>
      <c r="C87" s="68">
        <v>34.585299999999997</v>
      </c>
      <c r="D87" s="68">
        <v>2</v>
      </c>
      <c r="E87" s="68" t="s">
        <v>496</v>
      </c>
    </row>
    <row r="88" spans="1:5">
      <c r="A88" s="68">
        <v>0.358103</v>
      </c>
      <c r="B88" s="68">
        <v>0.26629000000000003</v>
      </c>
      <c r="C88" s="68">
        <v>34.988100000000003</v>
      </c>
      <c r="D88" s="68">
        <v>2</v>
      </c>
      <c r="E88" s="68" t="s">
        <v>497</v>
      </c>
    </row>
    <row r="89" spans="1:5">
      <c r="A89" s="68">
        <v>0.36126399999999997</v>
      </c>
      <c r="B89" s="68">
        <v>0.26601000000000002</v>
      </c>
      <c r="C89" s="68">
        <v>35.392899999999997</v>
      </c>
      <c r="D89" s="68">
        <v>2</v>
      </c>
      <c r="E89" s="68" t="s">
        <v>498</v>
      </c>
    </row>
    <row r="90" spans="1:5">
      <c r="A90" s="68">
        <v>0.36410199999999998</v>
      </c>
      <c r="B90" s="68">
        <v>0.266851</v>
      </c>
      <c r="C90" s="68">
        <v>35.7988</v>
      </c>
      <c r="D90" s="68">
        <v>2</v>
      </c>
      <c r="E90" s="68" t="s">
        <v>499</v>
      </c>
    </row>
    <row r="91" spans="1:5">
      <c r="A91" s="68">
        <v>0.36668699999999999</v>
      </c>
      <c r="B91" s="68">
        <v>0.269154</v>
      </c>
      <c r="C91" s="68">
        <v>36.2072</v>
      </c>
      <c r="D91" s="68">
        <v>2</v>
      </c>
      <c r="E91" s="68" t="s">
        <v>500</v>
      </c>
    </row>
    <row r="92" spans="1:5">
      <c r="A92" s="68">
        <v>0.36867800000000001</v>
      </c>
      <c r="B92" s="68">
        <v>0.27179700000000001</v>
      </c>
      <c r="C92" s="68">
        <v>36.614100000000001</v>
      </c>
      <c r="D92" s="68">
        <v>2</v>
      </c>
      <c r="E92" s="68" t="s">
        <v>501</v>
      </c>
    </row>
    <row r="93" spans="1:5">
      <c r="A93" s="68">
        <v>0.370591</v>
      </c>
      <c r="B93" s="68">
        <v>0.274225</v>
      </c>
      <c r="C93" s="68">
        <v>37.020000000000003</v>
      </c>
      <c r="D93" s="68">
        <v>2</v>
      </c>
      <c r="E93" s="68" t="s">
        <v>502</v>
      </c>
    </row>
    <row r="94" spans="1:5">
      <c r="A94" s="68">
        <v>0.37213800000000002</v>
      </c>
      <c r="B94" s="68">
        <v>0.276698</v>
      </c>
      <c r="C94" s="68">
        <v>37.425199999999997</v>
      </c>
      <c r="D94" s="68">
        <v>2</v>
      </c>
      <c r="E94" s="68" t="s">
        <v>503</v>
      </c>
    </row>
    <row r="95" spans="1:5">
      <c r="A95" s="68">
        <v>0.37334299999999998</v>
      </c>
      <c r="B95" s="68">
        <v>0.27940500000000001</v>
      </c>
      <c r="C95" s="68">
        <v>37.831899999999997</v>
      </c>
      <c r="D95" s="68">
        <v>2</v>
      </c>
      <c r="E95" s="68" t="s">
        <v>504</v>
      </c>
    </row>
    <row r="96" spans="1:5">
      <c r="A96" s="68">
        <v>0.37404100000000001</v>
      </c>
      <c r="B96" s="68">
        <v>0.28171499999999999</v>
      </c>
      <c r="C96" s="68">
        <v>38.235500000000002</v>
      </c>
      <c r="D96" s="68">
        <v>2</v>
      </c>
      <c r="E96" s="68" t="s">
        <v>505</v>
      </c>
    </row>
    <row r="97" spans="1:5">
      <c r="A97" s="68">
        <v>0.37461</v>
      </c>
      <c r="B97" s="68">
        <v>0.28307399999999999</v>
      </c>
      <c r="C97" s="68">
        <v>38.642499999999998</v>
      </c>
      <c r="D97" s="68">
        <v>2</v>
      </c>
      <c r="E97" s="68" t="s">
        <v>506</v>
      </c>
    </row>
    <row r="98" spans="1:5">
      <c r="A98" s="68">
        <v>0.374581</v>
      </c>
      <c r="B98" s="68">
        <v>0.28396900000000003</v>
      </c>
      <c r="C98" s="68">
        <v>39.049500000000002</v>
      </c>
      <c r="D98" s="68">
        <v>2</v>
      </c>
      <c r="E98" s="68" t="s">
        <v>507</v>
      </c>
    </row>
    <row r="99" spans="1:5">
      <c r="A99" s="68">
        <v>0.37449300000000002</v>
      </c>
      <c r="B99" s="68">
        <v>0.28447</v>
      </c>
      <c r="C99" s="68">
        <v>39.457799999999999</v>
      </c>
      <c r="D99" s="68">
        <v>2</v>
      </c>
      <c r="E99" s="68" t="s">
        <v>508</v>
      </c>
    </row>
    <row r="100" spans="1:5">
      <c r="A100" s="68">
        <v>0.37409799999999999</v>
      </c>
      <c r="B100" s="68">
        <v>0.28537299999999999</v>
      </c>
      <c r="C100" s="68">
        <v>39.868499999999997</v>
      </c>
      <c r="D100" s="68">
        <v>2</v>
      </c>
      <c r="E100" s="68" t="s">
        <v>509</v>
      </c>
    </row>
    <row r="101" spans="1:5">
      <c r="A101" s="68">
        <v>0.37359500000000001</v>
      </c>
      <c r="B101" s="68">
        <v>0.28648099999999999</v>
      </c>
      <c r="C101" s="68">
        <v>40.267800000000001</v>
      </c>
      <c r="D101" s="68">
        <v>2</v>
      </c>
      <c r="E101" s="68" t="s">
        <v>510</v>
      </c>
    </row>
    <row r="102" spans="1:5">
      <c r="A102" s="68">
        <v>0.37248900000000001</v>
      </c>
      <c r="B102" s="68">
        <v>0.28700999999999999</v>
      </c>
      <c r="C102" s="68">
        <v>40.6736</v>
      </c>
      <c r="D102" s="68">
        <v>2</v>
      </c>
      <c r="E102" s="68" t="s">
        <v>511</v>
      </c>
    </row>
    <row r="103" spans="1:5">
      <c r="A103" s="68">
        <v>0.37141800000000003</v>
      </c>
      <c r="B103" s="68">
        <v>0.28736099999999998</v>
      </c>
      <c r="C103" s="68">
        <v>41.079900000000002</v>
      </c>
      <c r="D103" s="68">
        <v>2</v>
      </c>
      <c r="E103" s="68" t="s">
        <v>512</v>
      </c>
    </row>
    <row r="104" spans="1:5">
      <c r="A104" s="68">
        <v>0.37008799999999997</v>
      </c>
      <c r="B104" s="68">
        <v>0.28684799999999999</v>
      </c>
      <c r="C104" s="68">
        <v>41.491500000000002</v>
      </c>
      <c r="D104" s="68">
        <v>2</v>
      </c>
      <c r="E104" s="68" t="s">
        <v>513</v>
      </c>
    </row>
    <row r="105" spans="1:5">
      <c r="A105" s="68">
        <v>0.36830099999999999</v>
      </c>
      <c r="B105" s="68">
        <v>0.28587699999999999</v>
      </c>
      <c r="C105" s="68">
        <v>41.896799999999999</v>
      </c>
      <c r="D105" s="68">
        <v>2</v>
      </c>
      <c r="E105" s="68" t="s">
        <v>514</v>
      </c>
    </row>
    <row r="106" spans="1:5">
      <c r="A106" s="68">
        <v>0.36584299999999997</v>
      </c>
      <c r="B106" s="68">
        <v>0.28452499999999997</v>
      </c>
      <c r="C106" s="68">
        <v>42.298999999999999</v>
      </c>
      <c r="D106" s="68">
        <v>2</v>
      </c>
      <c r="E106" s="68" t="s">
        <v>515</v>
      </c>
    </row>
    <row r="107" spans="1:5">
      <c r="A107" s="68">
        <v>0.36291600000000002</v>
      </c>
      <c r="B107" s="68">
        <v>0.28306799999999999</v>
      </c>
      <c r="C107" s="68">
        <v>42.704999999999998</v>
      </c>
      <c r="D107" s="68">
        <v>2</v>
      </c>
      <c r="E107" s="68" t="s">
        <v>516</v>
      </c>
    </row>
    <row r="108" spans="1:5">
      <c r="A108" s="68">
        <v>0.35948999999999998</v>
      </c>
      <c r="B108" s="68">
        <v>0.280725</v>
      </c>
      <c r="C108" s="68">
        <v>43.116</v>
      </c>
      <c r="D108" s="68">
        <v>2</v>
      </c>
      <c r="E108" s="68" t="s">
        <v>517</v>
      </c>
    </row>
    <row r="109" spans="1:5">
      <c r="A109" s="68">
        <v>0.35596800000000001</v>
      </c>
      <c r="B109" s="68">
        <v>0.277976</v>
      </c>
      <c r="C109" s="68">
        <v>43.521700000000003</v>
      </c>
      <c r="D109" s="68">
        <v>2</v>
      </c>
      <c r="E109" s="68" t="s">
        <v>518</v>
      </c>
    </row>
    <row r="110" spans="1:5">
      <c r="A110" s="68">
        <v>0.35224</v>
      </c>
      <c r="B110" s="68">
        <v>0.27557700000000002</v>
      </c>
      <c r="C110" s="68">
        <v>43.928400000000003</v>
      </c>
      <c r="D110" s="68">
        <v>2</v>
      </c>
      <c r="E110" s="68" t="s">
        <v>519</v>
      </c>
    </row>
    <row r="111" spans="1:5">
      <c r="A111" s="68">
        <v>0.34853899999999999</v>
      </c>
      <c r="B111" s="68">
        <v>0.27380399999999999</v>
      </c>
      <c r="C111" s="68">
        <v>44.329700000000003</v>
      </c>
      <c r="D111" s="68">
        <v>2</v>
      </c>
      <c r="E111" s="68" t="s">
        <v>520</v>
      </c>
    </row>
    <row r="112" spans="1:5">
      <c r="A112" s="68">
        <v>0.34468900000000002</v>
      </c>
      <c r="B112" s="68">
        <v>0.272368</v>
      </c>
      <c r="C112" s="68">
        <v>44.736800000000002</v>
      </c>
      <c r="D112" s="68">
        <v>2</v>
      </c>
      <c r="E112" s="68" t="s">
        <v>521</v>
      </c>
    </row>
    <row r="113" spans="1:5">
      <c r="A113" s="68">
        <v>0.34005600000000002</v>
      </c>
      <c r="B113" s="68">
        <v>0.27215600000000001</v>
      </c>
      <c r="C113" s="68">
        <v>45.141599999999997</v>
      </c>
      <c r="D113" s="68">
        <v>2</v>
      </c>
      <c r="E113" s="68" t="s">
        <v>522</v>
      </c>
    </row>
    <row r="114" spans="1:5">
      <c r="A114" s="68">
        <v>0.33444499999999999</v>
      </c>
      <c r="B114" s="68">
        <v>0.27446999999999999</v>
      </c>
      <c r="C114" s="68">
        <v>45.549399999999999</v>
      </c>
      <c r="D114" s="68">
        <v>2</v>
      </c>
      <c r="E114" s="68" t="s">
        <v>523</v>
      </c>
    </row>
    <row r="115" spans="1:5">
      <c r="A115" s="68">
        <v>0.32905600000000002</v>
      </c>
      <c r="B115" s="68">
        <v>0.27668999999999999</v>
      </c>
      <c r="C115" s="68">
        <v>45.957999999999998</v>
      </c>
      <c r="D115" s="68">
        <v>2</v>
      </c>
      <c r="E115" s="68" t="s">
        <v>524</v>
      </c>
    </row>
    <row r="116" spans="1:5">
      <c r="A116" s="68">
        <v>0.32408500000000001</v>
      </c>
      <c r="B116" s="68">
        <v>0.27767999999999998</v>
      </c>
      <c r="C116" s="68">
        <v>46.360900000000001</v>
      </c>
      <c r="D116" s="68">
        <v>2</v>
      </c>
      <c r="E116" s="68" t="s">
        <v>525</v>
      </c>
    </row>
    <row r="117" spans="1:5">
      <c r="A117" s="68">
        <v>0.31957099999999999</v>
      </c>
      <c r="B117" s="68">
        <v>0.27779300000000001</v>
      </c>
      <c r="C117" s="68">
        <v>46.766100000000002</v>
      </c>
      <c r="D117" s="68">
        <v>2</v>
      </c>
      <c r="E117" s="68" t="s">
        <v>526</v>
      </c>
    </row>
    <row r="118" spans="1:5">
      <c r="A118" s="68">
        <v>0.315386</v>
      </c>
      <c r="B118" s="68">
        <v>0.27871000000000001</v>
      </c>
      <c r="C118" s="68">
        <v>47.176499999999997</v>
      </c>
      <c r="D118" s="68">
        <v>2</v>
      </c>
      <c r="E118" s="68" t="s">
        <v>527</v>
      </c>
    </row>
    <row r="119" spans="1:5">
      <c r="A119" s="68">
        <v>0.311805</v>
      </c>
      <c r="B119" s="68">
        <v>0.27905999999999997</v>
      </c>
      <c r="C119" s="68">
        <v>47.584000000000003</v>
      </c>
      <c r="D119" s="68">
        <v>2</v>
      </c>
      <c r="E119" s="68" t="s">
        <v>528</v>
      </c>
    </row>
    <row r="120" spans="1:5">
      <c r="A120" s="68">
        <v>0.30904700000000002</v>
      </c>
      <c r="B120" s="68">
        <v>0.27850000000000003</v>
      </c>
      <c r="C120" s="68">
        <v>47.9893</v>
      </c>
      <c r="D120" s="68">
        <v>2</v>
      </c>
      <c r="E120" s="68" t="s">
        <v>529</v>
      </c>
    </row>
    <row r="121" spans="1:5">
      <c r="A121" s="68">
        <v>0.307037</v>
      </c>
      <c r="B121" s="68">
        <v>0.27758300000000002</v>
      </c>
      <c r="C121" s="68">
        <v>48.392299999999999</v>
      </c>
      <c r="D121" s="68">
        <v>2</v>
      </c>
      <c r="E121" s="68" t="s">
        <v>530</v>
      </c>
    </row>
    <row r="122" spans="1:5">
      <c r="A122" s="68">
        <v>0.30531000000000003</v>
      </c>
      <c r="B122" s="68">
        <v>0.27723300000000001</v>
      </c>
      <c r="C122" s="68">
        <v>48.798400000000001</v>
      </c>
      <c r="D122" s="68">
        <v>2</v>
      </c>
      <c r="E122" s="68" t="s">
        <v>531</v>
      </c>
    </row>
    <row r="123" spans="1:5">
      <c r="A123" s="68">
        <v>0.30389300000000002</v>
      </c>
      <c r="B123" s="68">
        <v>0.27523999999999998</v>
      </c>
      <c r="C123" s="68">
        <v>49.206600000000002</v>
      </c>
      <c r="D123" s="68">
        <v>2</v>
      </c>
      <c r="E123" s="68" t="s">
        <v>532</v>
      </c>
    </row>
    <row r="124" spans="1:5">
      <c r="A124" s="68">
        <v>0.302844</v>
      </c>
      <c r="B124" s="68">
        <v>0.27227499999999999</v>
      </c>
      <c r="C124" s="68">
        <v>49.613</v>
      </c>
      <c r="D124" s="68">
        <v>2</v>
      </c>
      <c r="E124" s="68" t="s">
        <v>533</v>
      </c>
    </row>
    <row r="125" spans="1:5">
      <c r="A125" s="68">
        <v>0.302425</v>
      </c>
      <c r="B125" s="68">
        <v>0.26859</v>
      </c>
      <c r="C125" s="68">
        <v>50.018700000000003</v>
      </c>
      <c r="D125" s="68">
        <v>2</v>
      </c>
      <c r="E125" s="68" t="s">
        <v>534</v>
      </c>
    </row>
    <row r="126" spans="1:5">
      <c r="A126" s="68">
        <v>0.30074800000000002</v>
      </c>
      <c r="B126" s="68">
        <v>0.26739299999999999</v>
      </c>
      <c r="C126" s="68">
        <v>50.4255</v>
      </c>
      <c r="D126" s="68">
        <v>2</v>
      </c>
      <c r="E126" s="68" t="s">
        <v>535</v>
      </c>
    </row>
    <row r="127" spans="1:5">
      <c r="A127" s="68">
        <v>0.29926399999999997</v>
      </c>
      <c r="B127" s="68">
        <v>0.26606000000000002</v>
      </c>
      <c r="C127" s="68">
        <v>50.832599999999999</v>
      </c>
      <c r="D127" s="68">
        <v>2</v>
      </c>
      <c r="E127" s="68" t="s">
        <v>536</v>
      </c>
    </row>
    <row r="128" spans="1:5">
      <c r="A128" s="68">
        <v>0.29763400000000001</v>
      </c>
      <c r="B128" s="68">
        <v>0.26428299999999999</v>
      </c>
      <c r="C128" s="68">
        <v>51.241799999999998</v>
      </c>
      <c r="D128" s="68">
        <v>2</v>
      </c>
      <c r="E128" s="68" t="s">
        <v>537</v>
      </c>
    </row>
    <row r="129" spans="1:5">
      <c r="A129" s="68">
        <v>0.29635699999999998</v>
      </c>
      <c r="B129" s="68">
        <v>0.26178699999999999</v>
      </c>
      <c r="C129" s="68">
        <v>51.639600000000002</v>
      </c>
      <c r="D129" s="68">
        <v>2</v>
      </c>
      <c r="E129" s="68" t="s">
        <v>538</v>
      </c>
    </row>
    <row r="130" spans="1:5">
      <c r="A130" s="68">
        <v>0.29525000000000001</v>
      </c>
      <c r="B130" s="68">
        <v>0.25945099999999999</v>
      </c>
      <c r="C130" s="68">
        <v>52.047800000000002</v>
      </c>
      <c r="D130" s="68">
        <v>2</v>
      </c>
      <c r="E130" s="68" t="s">
        <v>539</v>
      </c>
    </row>
    <row r="131" spans="1:5">
      <c r="A131" s="68">
        <v>0.29480899999999999</v>
      </c>
      <c r="B131" s="68">
        <v>0.256851</v>
      </c>
      <c r="C131" s="68">
        <v>52.458799999999997</v>
      </c>
      <c r="D131" s="68">
        <v>2</v>
      </c>
      <c r="E131" s="68" t="s">
        <v>540</v>
      </c>
    </row>
    <row r="132" spans="1:5">
      <c r="A132" s="68">
        <v>0.29470299999999999</v>
      </c>
      <c r="B132" s="68">
        <v>0.253913</v>
      </c>
      <c r="C132" s="68">
        <v>52.863900000000001</v>
      </c>
      <c r="D132" s="68">
        <v>2</v>
      </c>
      <c r="E132" s="68" t="s">
        <v>541</v>
      </c>
    </row>
    <row r="133" spans="1:5">
      <c r="A133" s="68">
        <v>0.295205</v>
      </c>
      <c r="B133" s="68">
        <v>0.25119799999999998</v>
      </c>
      <c r="C133" s="68">
        <v>53.268700000000003</v>
      </c>
      <c r="D133" s="68">
        <v>2</v>
      </c>
      <c r="E133" s="68" t="s">
        <v>542</v>
      </c>
    </row>
    <row r="134" spans="1:5">
      <c r="A134" s="68">
        <v>0.29610300000000001</v>
      </c>
      <c r="B134" s="68">
        <v>0.248916</v>
      </c>
      <c r="C134" s="68">
        <v>53.675400000000003</v>
      </c>
      <c r="D134" s="68">
        <v>2</v>
      </c>
      <c r="E134" s="68" t="s">
        <v>543</v>
      </c>
    </row>
    <row r="135" spans="1:5">
      <c r="A135" s="68">
        <v>0.29736699999999999</v>
      </c>
      <c r="B135" s="68">
        <v>0.246278</v>
      </c>
      <c r="C135" s="68">
        <v>54.078200000000002</v>
      </c>
      <c r="D135" s="68">
        <v>2</v>
      </c>
      <c r="E135" s="68" t="s">
        <v>544</v>
      </c>
    </row>
    <row r="136" spans="1:5">
      <c r="A136" s="68">
        <v>0.298572</v>
      </c>
      <c r="B136" s="68">
        <v>0.24360100000000001</v>
      </c>
      <c r="C136" s="68">
        <v>54.488199999999999</v>
      </c>
      <c r="D136" s="68">
        <v>2</v>
      </c>
      <c r="E136" s="68" t="s">
        <v>545</v>
      </c>
    </row>
    <row r="137" spans="1:5">
      <c r="A137" s="68">
        <v>0.29977700000000002</v>
      </c>
      <c r="B137" s="68">
        <v>0.24154100000000001</v>
      </c>
      <c r="C137" s="68">
        <v>54.893599999999999</v>
      </c>
      <c r="D137" s="68">
        <v>2</v>
      </c>
      <c r="E137" s="68" t="s">
        <v>546</v>
      </c>
    </row>
    <row r="138" spans="1:5">
      <c r="A138" s="68">
        <v>0.30130600000000002</v>
      </c>
      <c r="B138" s="68">
        <v>0.23972099999999999</v>
      </c>
      <c r="C138" s="68">
        <v>55.298900000000003</v>
      </c>
      <c r="D138" s="68">
        <v>2</v>
      </c>
      <c r="E138" s="68" t="s">
        <v>547</v>
      </c>
    </row>
    <row r="139" spans="1:5">
      <c r="A139" s="68">
        <v>0.30372100000000002</v>
      </c>
      <c r="B139" s="68">
        <v>0.23722799999999999</v>
      </c>
      <c r="C139" s="68">
        <v>55.704000000000001</v>
      </c>
      <c r="D139" s="68">
        <v>2</v>
      </c>
      <c r="E139" s="68" t="s">
        <v>548</v>
      </c>
    </row>
    <row r="140" spans="1:5">
      <c r="A140" s="68">
        <v>0.30635499999999999</v>
      </c>
      <c r="B140" s="68">
        <v>0.23508100000000001</v>
      </c>
      <c r="C140" s="68">
        <v>56.109000000000002</v>
      </c>
      <c r="D140" s="68">
        <v>2</v>
      </c>
      <c r="E140" s="68" t="s">
        <v>549</v>
      </c>
    </row>
    <row r="141" spans="1:5">
      <c r="A141" s="68">
        <v>0.30928499999999998</v>
      </c>
      <c r="B141" s="68">
        <v>0.233511</v>
      </c>
      <c r="C141" s="68">
        <v>56.517299999999999</v>
      </c>
      <c r="D141" s="68">
        <v>2</v>
      </c>
      <c r="E141" s="68" t="s">
        <v>550</v>
      </c>
    </row>
    <row r="142" spans="1:5">
      <c r="A142" s="68">
        <v>0.31275399999999998</v>
      </c>
      <c r="B142" s="68">
        <v>0.23242599999999999</v>
      </c>
      <c r="C142" s="68">
        <v>56.929900000000004</v>
      </c>
      <c r="D142" s="68">
        <v>2</v>
      </c>
      <c r="E142" s="68" t="s">
        <v>551</v>
      </c>
    </row>
    <row r="143" spans="1:5">
      <c r="A143" s="68">
        <v>0.31623000000000001</v>
      </c>
      <c r="B143" s="68">
        <v>0.23059099999999999</v>
      </c>
      <c r="C143" s="68">
        <v>57.333599999999997</v>
      </c>
      <c r="D143" s="68">
        <v>2</v>
      </c>
      <c r="E143" s="68" t="s">
        <v>552</v>
      </c>
    </row>
    <row r="144" spans="1:5">
      <c r="A144" s="68">
        <v>0.31966800000000001</v>
      </c>
      <c r="B144" s="68">
        <v>0.23042499999999999</v>
      </c>
      <c r="C144" s="68">
        <v>57.737000000000002</v>
      </c>
      <c r="D144" s="68">
        <v>2</v>
      </c>
      <c r="E144" s="68" t="s">
        <v>553</v>
      </c>
    </row>
    <row r="145" spans="1:5">
      <c r="A145" s="68">
        <v>0.32249499999999998</v>
      </c>
      <c r="B145" s="68">
        <v>0.22958400000000001</v>
      </c>
      <c r="C145" s="68">
        <v>58.142499999999998</v>
      </c>
      <c r="D145" s="68">
        <v>2</v>
      </c>
      <c r="E145" s="68" t="s">
        <v>554</v>
      </c>
    </row>
    <row r="146" spans="1:5">
      <c r="A146" s="68">
        <v>0.32488600000000001</v>
      </c>
      <c r="B146" s="68">
        <v>0.22767499999999999</v>
      </c>
      <c r="C146" s="68">
        <v>58.555</v>
      </c>
      <c r="D146" s="68">
        <v>2</v>
      </c>
      <c r="E146" s="68" t="s">
        <v>555</v>
      </c>
    </row>
    <row r="147" spans="1:5">
      <c r="A147" s="68">
        <v>0.32662000000000002</v>
      </c>
      <c r="B147" s="68">
        <v>0.222361</v>
      </c>
      <c r="C147" s="68">
        <v>58.962800000000001</v>
      </c>
      <c r="D147" s="68">
        <v>2</v>
      </c>
      <c r="E147" s="68" t="s">
        <v>556</v>
      </c>
    </row>
    <row r="148" spans="1:5">
      <c r="A148" s="68">
        <v>0.328762</v>
      </c>
      <c r="B148" s="68">
        <v>0.22262799999999999</v>
      </c>
      <c r="C148" s="68">
        <v>59.366999999999997</v>
      </c>
      <c r="D148" s="68">
        <v>2</v>
      </c>
      <c r="E148" s="68" t="s">
        <v>557</v>
      </c>
    </row>
    <row r="149" spans="1:5">
      <c r="A149" s="68">
        <v>0.33102999999999999</v>
      </c>
      <c r="B149" s="68">
        <v>0.229156</v>
      </c>
      <c r="C149" s="68">
        <v>59.768700000000003</v>
      </c>
      <c r="D149" s="68">
        <v>2</v>
      </c>
      <c r="E149" s="68" t="s">
        <v>558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408</v>
      </c>
      <c r="B1" s="66" t="s">
        <v>559</v>
      </c>
      <c r="C1" s="66" t="s">
        <v>561</v>
      </c>
      <c r="D1" s="66" t="s">
        <v>562</v>
      </c>
      <c r="E1" s="66" t="s">
        <v>563</v>
      </c>
      <c r="F1" s="66" t="s">
        <v>564</v>
      </c>
      <c r="G1" s="66" t="s">
        <v>565</v>
      </c>
      <c r="H1" s="66" t="s">
        <v>566</v>
      </c>
      <c r="I1" s="66" t="s">
        <v>567</v>
      </c>
      <c r="J1" s="66" t="s">
        <v>568</v>
      </c>
      <c r="K1" s="66" t="s">
        <v>569</v>
      </c>
      <c r="L1" s="66" t="s">
        <v>570</v>
      </c>
      <c r="M1" s="66" t="s">
        <v>571</v>
      </c>
      <c r="N1" s="66"/>
    </row>
    <row r="2" spans="1:14">
      <c r="A2" s="75">
        <v>43621.392395833333</v>
      </c>
      <c r="B2" s="66" t="s">
        <v>560</v>
      </c>
      <c r="C2" s="66"/>
      <c r="D2" s="66"/>
      <c r="E2" s="66">
        <v>4.9234099999999996</v>
      </c>
      <c r="F2" s="66">
        <v>1.65568</v>
      </c>
      <c r="G2" s="66">
        <v>0.73778299999999997</v>
      </c>
      <c r="H2" s="66">
        <v>0</v>
      </c>
      <c r="I2" s="66">
        <v>102045</v>
      </c>
      <c r="J2" s="66">
        <v>62</v>
      </c>
      <c r="K2" s="66">
        <v>62</v>
      </c>
      <c r="L2" s="66">
        <v>0</v>
      </c>
      <c r="M2" s="66" t="s">
        <v>572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2019-06-05T01:25:47Z</cp:lastPrinted>
  <dcterms:created xsi:type="dcterms:W3CDTF">2010-10-29T12:53:05Z</dcterms:created>
  <dcterms:modified xsi:type="dcterms:W3CDTF">2019-06-05T01:26:10Z</dcterms:modified>
</cp:coreProperties>
</file>