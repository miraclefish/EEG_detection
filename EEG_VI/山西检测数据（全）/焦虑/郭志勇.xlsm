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<sst xmlns="http://schemas.openxmlformats.org/spreadsheetml/2006/main" count="701" uniqueCount="571">
  <si>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</si>
  <si>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</si>
  <si>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</si>
  <si>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</si>
  <si>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</si>
  <si>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</si>
  <si>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</si>
  <si>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</si>
  <si>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</si>
  <si>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</si>
  <si>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</si>
  <si>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</si>
  <si>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</si>
  <si>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</si>
  <si>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</si>
  <si>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</si>
  <si>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</si>
  <si>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</si>
  <si>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</si>
  <si>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</si>
  <si>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</si>
  <si>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</si>
  <si>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</si>
  <si>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</si>
  <si>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</si>
  <si>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</si>
  <si>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</si>
  <si>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</si>
  <si>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</si>
  <si>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</si>
  <si>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</si>
  <si>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</si>
  <si>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</si>
  <si>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</si>
  <si>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</si>
  <si>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</si>
  <si>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</si>
  <si>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</si>
  <si>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</si>
  <si>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</si>
  <si>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</si>
  <si>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</si>
  <si>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</si>
  <si>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</si>
  <si>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</si>
  <si>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</si>
  <si>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</si>
  <si>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</si>
  <si>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</si>
  <si>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</si>
  <si>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</si>
  <si>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</si>
  <si>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</si>
  <si>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</si>
  <si>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</si>
  <si>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</si>
  <si>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</si>
  <si>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</si>
  <si>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</si>
  <si>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</si>
  <si>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</si>
  <si>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</si>
  <si>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</si>
  <si>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</si>
  <si>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</si>
  <si>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</si>
  <si>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</si>
  <si>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</si>
  <si>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</si>
  <si>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</si>
  <si>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</si>
  <si>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</si>
  <si>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</si>
  <si>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</si>
  <si>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</si>
  <si>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</si>
  <si>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</si>
  <si>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</si>
  <si>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</si>
  <si>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</si>
  <si>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</si>
  <si>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</si>
  <si>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</si>
  <si>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</si>
  <si>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</si>
  <si>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</si>
  <si>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</si>
  <si>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</si>
  <si>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</si>
  <si>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</si>
  <si>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</si>
  <si>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</si>
  <si>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</si>
  <si>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</si>
  <si>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</si>
  <si>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</si>
  <si>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</si>
  <si>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</si>
  <si>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</si>
  <si>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</si>
  <si>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</si>
  <si>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</si>
  <si>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</si>
  <si>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</si>
  <si>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</si>
  <si>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</si>
  <si>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</si>
  <si>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</si>
  <si>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</si>
  <si>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</si>
  <si>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</si>
  <si>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</si>
  <si>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</si>
  <si>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</si>
  <si>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</si>
  <si>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</si>
  <si>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</si>
  <si>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</si>
  <si>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</si>
  <si>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</si>
  <si>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</si>
  <si>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</si>
  <si>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</si>
  <si>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</si>
  <si>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</si>
  <si>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</si>
  <si>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</si>
  <si>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</si>
  <si>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</si>
  <si>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</si>
  <si>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</si>
  <si>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</si>
  <si>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</si>
  <si>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</si>
  <si>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</si>
  <si>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</si>
  <si>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</si>
  <si>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</si>
  <si>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</si>
  <si>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</si>
  <si>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</si>
  <si>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</si>
  <si>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</si>
  <si>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</si>
  <si>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</si>
  <si>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</si>
  <si>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</si>
  <si>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</si>
  <si>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</si>
  <si>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</si>
  <si>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</si>
  <si>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</si>
  <si>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</si>
  <si>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</si>
  <si>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</si>
  <si>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</si>
  <si>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</si>
  <si>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</si>
  <si>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</si>
  <si>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</si>
  <si>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</si>
  <si>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</si>
  <si>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</si>
  <si>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</si>
  <si>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</si>
  <si>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</si>
  <si>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</si>
  <si>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</si>
  <si>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</si>
  <si>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</si>
  <si>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</si>
  <si>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</si>
  <si>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</si>
  <si>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</si>
  <si>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</si>
  <si>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</si>
  <si>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</si>
  <si>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</si>
  <si>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</si>
  <si>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</si>
  <si>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</si>
  <si>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</si>
  <si>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</si>
  <si>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</si>
  <si>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</si>
  <si>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</si>
  <si>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</si>
  <si>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</si>
  <si>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</si>
  <si>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</si>
  <si>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</si>
  <si>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</si>
  <si>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</si>
  <si>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</si>
  <si>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</si>
  <si>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</si>
  <si>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</si>
  <si>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</si>
  <si>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</si>
  <si>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</si>
  <si>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</si>
  <si>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</si>
  <si>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</si>
  <si>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</si>
  <si>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</si>
  <si>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</si>
  <si>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</si>
  <si>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</si>
  <si>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</si>
  <si>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</si>
  <si>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</si>
  <si>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</si>
  <si>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</si>
  <si>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</si>
  <si>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</si>
  <si>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</si>
  <si>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</si>
  <si>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</si>
  <si>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</si>
  <si>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</si>
  <si>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</si>
  <si>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</si>
  <si>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</si>
  <si>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</si>
  <si>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</si>
  <si>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</si>
  <si>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</si>
  <si>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</si>
  <si>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</si>
  <si>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</si>
  <si>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</si>
  <si>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</si>
  <si>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</si>
  <si>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</si>
  <si>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</si>
  <si>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</si>
  <si>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</si>
  <si>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</si>
  <si>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</si>
  <si>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</si>
  <si>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</si>
  <si>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</si>
  <si>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</si>
  <si>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</si>
  <si>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</si>
  <si>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</si>
  <si>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</si>
  <si>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</si>
  <si>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</si>
  <si>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</si>
  <si>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</si>
  <si>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</si>
  <si>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</si>
  <si>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</si>
  <si>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</si>
  <si>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</si>
  <si>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</si>
  <si>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</si>
  <si>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</si>
  <si>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</si>
  <si>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</si>
  <si>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</si>
  <si>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</si>
  <si>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</si>
  <si>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</si>
  <si>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</si>
  <si>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</si>
  <si>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</si>
  <si>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</si>
  <si>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</si>
  <si>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</si>
  <si>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</si>
  <si>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</si>
  <si>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</si>
  <si>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</si>
  <si>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</si>
  <si>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</si>
  <si>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</si>
  <si>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</si>
  <si>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</si>
  <si>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</si>
  <si>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</si>
  <si>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</si>
  <si>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</si>
  <si>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</si>
  <si>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</si>
  <si>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</si>
  <si>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</si>
  <si>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</si>
  <si>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</si>
  <si>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</si>
  <si>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</si>
  <si>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</si>
  <si>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</si>
  <si>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</si>
  <si>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</si>
  <si>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</si>
  <si>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</si>
  <si>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</si>
  <si>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</si>
  <si>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</si>
  <si>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</si>
  <si>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</si>
  <si>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</si>
  <si>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</si>
  <si>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</si>
  <si>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</si>
  <si>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</si>
  <si>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</si>
  <si>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</si>
  <si>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</si>
  <si>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</si>
  <si>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</si>
  <si>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</si>
  <si>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</si>
  <si>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</si>
  <si>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</si>
  <si>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</si>
  <si>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</si>
  <si>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</si>
  <si>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</si>
  <si>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</si>
  <si>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</si>
  <si>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</si>
  <si>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</si>
  <si>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</si>
  <si>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</si>
  <si>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</si>
  <si>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</si>
  <si>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</si>
  <si>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</si>
  <si>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</si>
  <si>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</si>
  <si>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</si>
  <si>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</si>
  <si>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</si>
  <si>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</si>
  <si>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</si>
  <si>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</si>
  <si>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</si>
  <si>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</si>
  <si>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</si>
  <si>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</si>
  <si>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</si>
  <si>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</si>
  <si>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</si>
  <si>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</si>
  <si>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</si>
  <si>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</si>
  <si>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</si>
  <si>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</si>
  <si>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</si>
  <si>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</si>
  <si>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</si>
  <si>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</si>
  <si>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</si>
  <si>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</si>
  <si>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</si>
  <si>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</si>
  <si>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</si>
  <si>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</si>
  <si>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</si>
  <si>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</si>
  <si>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</si>
  <si>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</si>
  <si>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</si>
  <si>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</si>
  <si>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</si>
  <si>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</si>
  <si>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</si>
  <si>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</si>
  <si>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</si>
  <si>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</si>
  <si>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</si>
  <si>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</si>
  <si>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</si>
  <si>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</si>
  <si>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</si>
  <si>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</si>
  <si>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</si>
  <si>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</si>
  <si>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</si>
  <si>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</si>
  <si>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</si>
  <si>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</si>
  <si>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</si>
  <si>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</si>
  <si>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</si>
  <si>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</si>
  <si>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</si>
  <si>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</si>
  <si>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</si>
  <si>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</si>
  <si>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</si>
  <si>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</si>
  <si>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</si>
  <si>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</si>
  <si>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</si>
  <si>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</si>
  <si>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</si>
  <si>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</si>
  <si>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</si>
  <si>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</si>
  <si>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</si>
  <si>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</si>
  <si>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</si>
  <si>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</si>
  <si>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</si>
  <si>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</si>
  <si>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[0.409498]</t>
  </si>
  <si>
    <t>1 [0.816440]</t>
  </si>
  <si>
    <t>1 [1.221949]</t>
  </si>
  <si>
    <t>1 [1.627258]</t>
  </si>
  <si>
    <t>1 [2.031637]</t>
  </si>
  <si>
    <t>1 [2.440934]</t>
  </si>
  <si>
    <t>1 [2.847924]</t>
  </si>
  <si>
    <t>1 [3.252149]</t>
  </si>
  <si>
    <t>1 [3.657782]</t>
  </si>
  <si>
    <t>1 [4.063017]</t>
  </si>
  <si>
    <t>1 [4.471537]</t>
  </si>
  <si>
    <t>1 [4.879462]</t>
  </si>
  <si>
    <t>1 [5.285252]</t>
  </si>
  <si>
    <t>1 [5.688752]</t>
  </si>
  <si>
    <t>1 [6.095571]</t>
  </si>
  <si>
    <t>1 [6.505764]</t>
  </si>
  <si>
    <t>1 [6.909975]</t>
  </si>
  <si>
    <t>1 [7.315588]</t>
  </si>
  <si>
    <t>1 [7.720706]</t>
  </si>
  <si>
    <t>1 [8.127659]</t>
  </si>
  <si>
    <t>1 [8.533581]</t>
  </si>
  <si>
    <t>1 [8.940150]</t>
  </si>
  <si>
    <t>1 [9.349759]</t>
  </si>
  <si>
    <t>1 [9.750893]</t>
  </si>
  <si>
    <t>1 [10.160776]</t>
  </si>
  <si>
    <t>1 [10.565633]</t>
  </si>
  <si>
    <t>1 [10.969935]</t>
  </si>
  <si>
    <t>1 [11.377925]</t>
  </si>
  <si>
    <t>1 [11.784006]</t>
  </si>
  <si>
    <t>1 [12.191802]</t>
  </si>
  <si>
    <t>1 [12.597349]</t>
  </si>
  <si>
    <t>1 [13.002285]</t>
  </si>
  <si>
    <t>1 [13.408810]</t>
  </si>
  <si>
    <t>1 [13.816413]</t>
  </si>
  <si>
    <t>1 [14.224303]</t>
  </si>
  <si>
    <t>1 [14.628158]</t>
  </si>
  <si>
    <t>1 [15.033346]</t>
  </si>
  <si>
    <t>1 [15.441436]</t>
  </si>
  <si>
    <t>1 [15.849010]</t>
  </si>
  <si>
    <t>1 [16.255460]</t>
  </si>
  <si>
    <t>1 [16.660351]</t>
  </si>
  <si>
    <t>1 [17.063747]</t>
  </si>
  <si>
    <t>1 [17.473226]</t>
  </si>
  <si>
    <t>1 [17.876505]</t>
  </si>
  <si>
    <t>1 [18.285866]</t>
  </si>
  <si>
    <t>1 [18.692060]</t>
  </si>
  <si>
    <t>1 [19.096901]</t>
  </si>
  <si>
    <t>1 [19.502045]</t>
  </si>
  <si>
    <t>1 [19.908112]</t>
  </si>
  <si>
    <t>1 [20.313936]</t>
  </si>
  <si>
    <t>1 [20.721642]</t>
  </si>
  <si>
    <t>1 [21.129427]</t>
  </si>
  <si>
    <t>1 [21.536668]</t>
  </si>
  <si>
    <t>1 [21.940798]</t>
  </si>
  <si>
    <t>1 [22.345106]</t>
  </si>
  <si>
    <t>1 [22.750410]</t>
  </si>
  <si>
    <t>1 [23.161529]</t>
  </si>
  <si>
    <t>1 [23.566944]</t>
  </si>
  <si>
    <t>1 [23.973842]</t>
  </si>
  <si>
    <t>1 [24.378163]</t>
  </si>
  <si>
    <t>1 [24.783071]</t>
  </si>
  <si>
    <t>1 [25.191376]</t>
  </si>
  <si>
    <t>1 [25.597470]</t>
  </si>
  <si>
    <t>1 [26.002281]</t>
  </si>
  <si>
    <t>1 [26.409055]</t>
  </si>
  <si>
    <t>1 [26.814252]</t>
  </si>
  <si>
    <t>1 [27.222507]</t>
  </si>
  <si>
    <t>1 [27.628542]</t>
  </si>
  <si>
    <t>1 [28.036850]</t>
  </si>
  <si>
    <t>1 [28.443605]</t>
  </si>
  <si>
    <t>1 [28.844449]</t>
  </si>
  <si>
    <t>1 [29.254273]</t>
  </si>
  <si>
    <t>1 [29.660496]</t>
  </si>
  <si>
    <t>2 [30.066337]</t>
  </si>
  <si>
    <t>2 [30.552939]</t>
  </si>
  <si>
    <t>2 [30.940373]</t>
  </si>
  <si>
    <t>2 [31.331981]</t>
  </si>
  <si>
    <t>2 [31.736715]</t>
  </si>
  <si>
    <t>2 [32.142010]</t>
  </si>
  <si>
    <t>2 [32.547618]</t>
  </si>
  <si>
    <t>2 [32.957829]</t>
  </si>
  <si>
    <t>2 [33.361392]</t>
  </si>
  <si>
    <t>2 [33.767253]</t>
  </si>
  <si>
    <t>2 [34.175636]</t>
  </si>
  <si>
    <t>2 [34.583244]</t>
  </si>
  <si>
    <t>2 [34.985775]</t>
  </si>
  <si>
    <t>2 [35.391814]</t>
  </si>
  <si>
    <t>2 [35.799450]</t>
  </si>
  <si>
    <t>2 [36.208381]</t>
  </si>
  <si>
    <t>2 [36.612392]</t>
  </si>
  <si>
    <t>2 [37.020339]</t>
  </si>
  <si>
    <t>2 [37.425194]</t>
  </si>
  <si>
    <t>2 [37.832303]</t>
  </si>
  <si>
    <t>2 [38.240196]</t>
  </si>
  <si>
    <t>2 [38.645117]</t>
  </si>
  <si>
    <t>2 [39.051404]</t>
  </si>
  <si>
    <t>2 [39.455642]</t>
  </si>
  <si>
    <t>2 [39.859915]</t>
  </si>
  <si>
    <t>2 [40.269611]</t>
  </si>
  <si>
    <t>2 [40.677441]</t>
  </si>
  <si>
    <t>2 [41.080490]</t>
  </si>
  <si>
    <t>2 [41.487699]</t>
  </si>
  <si>
    <t>2 [41.891392]</t>
  </si>
  <si>
    <t>2 [42.300053]</t>
  </si>
  <si>
    <t>2 [42.707925]</t>
  </si>
  <si>
    <t>2 [43.112992]</t>
  </si>
  <si>
    <t>2 [43.516683]</t>
  </si>
  <si>
    <t>2 [43.925204]</t>
  </si>
  <si>
    <t>2 [44.332192]</t>
  </si>
  <si>
    <t>2 [44.739229]</t>
  </si>
  <si>
    <t>2 [45.142465]</t>
  </si>
  <si>
    <t>2 [45.548255]</t>
  </si>
  <si>
    <t>2 [45.955540]</t>
  </si>
  <si>
    <t>2 [46.362272]</t>
  </si>
  <si>
    <t>2 [46.765886]</t>
  </si>
  <si>
    <t>2 [47.172307]</t>
  </si>
  <si>
    <t>2 [47.580993]</t>
  </si>
  <si>
    <t>2 [47.989808]</t>
  </si>
  <si>
    <t>2 [48.391666]</t>
  </si>
  <si>
    <t>2 [48.797049]</t>
  </si>
  <si>
    <t>2 [49.204172]</t>
  </si>
  <si>
    <t>2 [49.612388]</t>
  </si>
  <si>
    <t>2 [50.015980]</t>
  </si>
  <si>
    <t>2 [50.424299]</t>
  </si>
  <si>
    <t>2 [50.830381]</t>
  </si>
  <si>
    <t>2 [51.236495]</t>
  </si>
  <si>
    <t>2 [51.641821]</t>
  </si>
  <si>
    <t>2 [52.053254]</t>
  </si>
  <si>
    <t>2 [52.455363]</t>
  </si>
  <si>
    <t>2 [52.862124]</t>
  </si>
  <si>
    <t>2 [53.268046]</t>
  </si>
  <si>
    <t>2 [53.672087]</t>
  </si>
  <si>
    <t>2 [54.082787]</t>
  </si>
  <si>
    <t>2 [54.486453]</t>
  </si>
  <si>
    <t>2 [54.890747]</t>
  </si>
  <si>
    <t>2 [55.297432]</t>
  </si>
  <si>
    <t>2 [55.707552]</t>
  </si>
  <si>
    <t>2 [56.113734]</t>
  </si>
  <si>
    <t>2 [56.518358]</t>
  </si>
  <si>
    <t>2 [56.924420]</t>
  </si>
  <si>
    <t>2 [57.331002]</t>
  </si>
  <si>
    <t>2 [57.737497]</t>
  </si>
  <si>
    <t>2 [58.143383]</t>
  </si>
  <si>
    <t>2 [58.552907]</t>
  </si>
  <si>
    <t>2 [58.954564]</t>
  </si>
  <si>
    <t>2 [59.360485]</t>
  </si>
  <si>
    <t>2 [59.768060]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</si>
  <si>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</si>
  <si>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</si>
  <si>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</si>
  <si>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</si>
  <si>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</si>
  <si>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</si>
  <si>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</si>
  <si>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</si>
  <si>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</si>
  <si>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</si>
  <si>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</si>
  <si>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</si>
  <si>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</si>
  <si>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</si>
  <si>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郭志勇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</si>
</sst>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41.385899999999999</c:v>
                </c:pt>
                <c:pt idx="1">
                  <c:v>27.668199999999999</c:v>
                </c:pt>
                <c:pt idx="2">
                  <c:v>24.257400000000001</c:v>
                </c:pt>
                <c:pt idx="3">
                  <c:v>31.1999</c:v>
                </c:pt>
                <c:pt idx="4">
                  <c:v>52.652500000000003</c:v>
                </c:pt>
                <c:pt idx="5">
                  <c:v>77.514899999999997</c:v>
                </c:pt>
                <c:pt idx="6">
                  <c:v>27.5138</c:v>
                </c:pt>
                <c:pt idx="7">
                  <c:v>65.160499999999999</c:v>
                </c:pt>
                <c:pt idx="8">
                  <c:v>18.4422</c:v>
                </c:pt>
                <c:pt idx="9">
                  <c:v>27.088200000000001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0.50829068147702428</c:v>
                </c:pt>
                <c:pt idx="1">
                  <c:v>0.2840042252309975</c:v>
                </c:pt>
                <c:pt idx="2">
                  <c:v>0.2077050932919782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4732</c:v>
                </c:pt>
                <c:pt idx="7">
                  <c:v>0</c:v>
                </c:pt>
                <c:pt idx="8">
                  <c:v>6239</c:v>
                </c:pt>
                <c:pt idx="9">
                  <c:v>0</c:v>
                </c:pt>
                <c:pt idx="10">
                  <c:v>0</c:v>
                </c:pt>
                <c:pt idx="11">
                  <c:v>10346</c:v>
                </c:pt>
                <c:pt idx="12">
                  <c:v>0</c:v>
                </c:pt>
                <c:pt idx="13">
                  <c:v>16174</c:v>
                </c:pt>
                <c:pt idx="14">
                  <c:v>0</c:v>
                </c:pt>
                <c:pt idx="15">
                  <c:v>0</c:v>
                </c:pt>
                <c:pt idx="16">
                  <c:v>19959</c:v>
                </c:pt>
                <c:pt idx="17">
                  <c:v>0</c:v>
                </c:pt>
                <c:pt idx="18">
                  <c:v>0</c:v>
                </c:pt>
                <c:pt idx="19">
                  <c:v>24229</c:v>
                </c:pt>
                <c:pt idx="20">
                  <c:v>0</c:v>
                </c:pt>
                <c:pt idx="21">
                  <c:v>28191</c:v>
                </c:pt>
                <c:pt idx="22">
                  <c:v>0</c:v>
                </c:pt>
                <c:pt idx="23">
                  <c:v>0</c:v>
                </c:pt>
                <c:pt idx="24">
                  <c:v>36726</c:v>
                </c:pt>
                <c:pt idx="25">
                  <c:v>0</c:v>
                </c:pt>
                <c:pt idx="26">
                  <c:v>46841</c:v>
                </c:pt>
                <c:pt idx="27">
                  <c:v>0</c:v>
                </c:pt>
                <c:pt idx="28">
                  <c:v>0</c:v>
                </c:pt>
                <c:pt idx="29">
                  <c:v>60990</c:v>
                </c:pt>
                <c:pt idx="30">
                  <c:v>0</c:v>
                </c:pt>
                <c:pt idx="31">
                  <c:v>64017</c:v>
                </c:pt>
                <c:pt idx="32">
                  <c:v>0</c:v>
                </c:pt>
                <c:pt idx="33">
                  <c:v>0</c:v>
                </c:pt>
                <c:pt idx="34">
                  <c:v>61806</c:v>
                </c:pt>
                <c:pt idx="35">
                  <c:v>0</c:v>
                </c:pt>
                <c:pt idx="36">
                  <c:v>0</c:v>
                </c:pt>
                <c:pt idx="37">
                  <c:v>60826</c:v>
                </c:pt>
                <c:pt idx="38">
                  <c:v>0</c:v>
                </c:pt>
                <c:pt idx="39">
                  <c:v>64744</c:v>
                </c:pt>
                <c:pt idx="40">
                  <c:v>0</c:v>
                </c:pt>
                <c:pt idx="41">
                  <c:v>0</c:v>
                </c:pt>
                <c:pt idx="42">
                  <c:v>66331</c:v>
                </c:pt>
                <c:pt idx="43">
                  <c:v>0</c:v>
                </c:pt>
                <c:pt idx="44">
                  <c:v>66199</c:v>
                </c:pt>
                <c:pt idx="45">
                  <c:v>0</c:v>
                </c:pt>
                <c:pt idx="46">
                  <c:v>0</c:v>
                </c:pt>
                <c:pt idx="47">
                  <c:v>59538</c:v>
                </c:pt>
                <c:pt idx="48">
                  <c:v>0</c:v>
                </c:pt>
                <c:pt idx="49">
                  <c:v>59383</c:v>
                </c:pt>
                <c:pt idx="50">
                  <c:v>0</c:v>
                </c:pt>
                <c:pt idx="51">
                  <c:v>0</c:v>
                </c:pt>
                <c:pt idx="52">
                  <c:v>61153</c:v>
                </c:pt>
                <c:pt idx="53">
                  <c:v>0</c:v>
                </c:pt>
                <c:pt idx="54">
                  <c:v>0</c:v>
                </c:pt>
                <c:pt idx="55">
                  <c:v>62644</c:v>
                </c:pt>
                <c:pt idx="56">
                  <c:v>0</c:v>
                </c:pt>
                <c:pt idx="57">
                  <c:v>67496</c:v>
                </c:pt>
                <c:pt idx="58">
                  <c:v>0</c:v>
                </c:pt>
                <c:pt idx="59">
                  <c:v>0</c:v>
                </c:pt>
                <c:pt idx="60">
                  <c:v>70452</c:v>
                </c:pt>
                <c:pt idx="61">
                  <c:v>0</c:v>
                </c:pt>
                <c:pt idx="62">
                  <c:v>79121</c:v>
                </c:pt>
                <c:pt idx="63">
                  <c:v>0</c:v>
                </c:pt>
                <c:pt idx="64">
                  <c:v>0</c:v>
                </c:pt>
                <c:pt idx="65">
                  <c:v>89128</c:v>
                </c:pt>
                <c:pt idx="66">
                  <c:v>0</c:v>
                </c:pt>
                <c:pt idx="67">
                  <c:v>101691</c:v>
                </c:pt>
                <c:pt idx="68">
                  <c:v>0</c:v>
                </c:pt>
                <c:pt idx="69">
                  <c:v>0</c:v>
                </c:pt>
                <c:pt idx="70">
                  <c:v>121159</c:v>
                </c:pt>
                <c:pt idx="71">
                  <c:v>0</c:v>
                </c:pt>
                <c:pt idx="72">
                  <c:v>0</c:v>
                </c:pt>
                <c:pt idx="73">
                  <c:v>141447</c:v>
                </c:pt>
                <c:pt idx="74">
                  <c:v>0</c:v>
                </c:pt>
                <c:pt idx="75">
                  <c:v>156650</c:v>
                </c:pt>
                <c:pt idx="76">
                  <c:v>0</c:v>
                </c:pt>
                <c:pt idx="77">
                  <c:v>0</c:v>
                </c:pt>
                <c:pt idx="78">
                  <c:v>166712</c:v>
                </c:pt>
                <c:pt idx="79">
                  <c:v>0</c:v>
                </c:pt>
                <c:pt idx="80">
                  <c:v>174159</c:v>
                </c:pt>
                <c:pt idx="81">
                  <c:v>0</c:v>
                </c:pt>
                <c:pt idx="82">
                  <c:v>0</c:v>
                </c:pt>
                <c:pt idx="83">
                  <c:v>187367</c:v>
                </c:pt>
                <c:pt idx="84">
                  <c:v>0</c:v>
                </c:pt>
                <c:pt idx="85">
                  <c:v>0</c:v>
                </c:pt>
                <c:pt idx="86">
                  <c:v>212849</c:v>
                </c:pt>
                <c:pt idx="87">
                  <c:v>0</c:v>
                </c:pt>
                <c:pt idx="88">
                  <c:v>237152</c:v>
                </c:pt>
                <c:pt idx="89">
                  <c:v>0</c:v>
                </c:pt>
                <c:pt idx="90">
                  <c:v>0</c:v>
                </c:pt>
                <c:pt idx="91">
                  <c:v>253148</c:v>
                </c:pt>
                <c:pt idx="92">
                  <c:v>0</c:v>
                </c:pt>
                <c:pt idx="93">
                  <c:v>286884</c:v>
                </c:pt>
                <c:pt idx="94">
                  <c:v>0</c:v>
                </c:pt>
                <c:pt idx="95">
                  <c:v>0</c:v>
                </c:pt>
                <c:pt idx="96">
                  <c:v>310008</c:v>
                </c:pt>
                <c:pt idx="97">
                  <c:v>0</c:v>
                </c:pt>
                <c:pt idx="98">
                  <c:v>339531</c:v>
                </c:pt>
                <c:pt idx="99">
                  <c:v>0</c:v>
                </c:pt>
                <c:pt idx="100">
                  <c:v>0</c:v>
                </c:pt>
                <c:pt idx="101">
                  <c:v>344730</c:v>
                </c:pt>
                <c:pt idx="102">
                  <c:v>0</c:v>
                </c:pt>
                <c:pt idx="103">
                  <c:v>0</c:v>
                </c:pt>
                <c:pt idx="104">
                  <c:v>340546</c:v>
                </c:pt>
                <c:pt idx="105">
                  <c:v>0</c:v>
                </c:pt>
                <c:pt idx="106">
                  <c:v>333961</c:v>
                </c:pt>
                <c:pt idx="107">
                  <c:v>0</c:v>
                </c:pt>
                <c:pt idx="108">
                  <c:v>0</c:v>
                </c:pt>
                <c:pt idx="109">
                  <c:v>323123</c:v>
                </c:pt>
                <c:pt idx="110">
                  <c:v>0</c:v>
                </c:pt>
                <c:pt idx="111">
                  <c:v>331008</c:v>
                </c:pt>
                <c:pt idx="112">
                  <c:v>0</c:v>
                </c:pt>
                <c:pt idx="113">
                  <c:v>0</c:v>
                </c:pt>
                <c:pt idx="114">
                  <c:v>326186</c:v>
                </c:pt>
                <c:pt idx="115">
                  <c:v>0</c:v>
                </c:pt>
                <c:pt idx="116">
                  <c:v>310514</c:v>
                </c:pt>
                <c:pt idx="117">
                  <c:v>0</c:v>
                </c:pt>
                <c:pt idx="118">
                  <c:v>0</c:v>
                </c:pt>
                <c:pt idx="119">
                  <c:v>277392</c:v>
                </c:pt>
                <c:pt idx="120">
                  <c:v>0</c:v>
                </c:pt>
                <c:pt idx="121">
                  <c:v>0</c:v>
                </c:pt>
                <c:pt idx="122">
                  <c:v>243805</c:v>
                </c:pt>
                <c:pt idx="123">
                  <c:v>0</c:v>
                </c:pt>
                <c:pt idx="124">
                  <c:v>219252</c:v>
                </c:pt>
                <c:pt idx="125">
                  <c:v>0</c:v>
                </c:pt>
                <c:pt idx="126">
                  <c:v>0</c:v>
                </c:pt>
                <c:pt idx="127">
                  <c:v>189201</c:v>
                </c:pt>
                <c:pt idx="128">
                  <c:v>0</c:v>
                </c:pt>
                <c:pt idx="129">
                  <c:v>160756</c:v>
                </c:pt>
                <c:pt idx="130">
                  <c:v>0</c:v>
                </c:pt>
                <c:pt idx="131">
                  <c:v>0</c:v>
                </c:pt>
                <c:pt idx="132">
                  <c:v>133407</c:v>
                </c:pt>
                <c:pt idx="133">
                  <c:v>0</c:v>
                </c:pt>
                <c:pt idx="134">
                  <c:v>108876</c:v>
                </c:pt>
                <c:pt idx="135">
                  <c:v>0</c:v>
                </c:pt>
                <c:pt idx="136">
                  <c:v>0</c:v>
                </c:pt>
                <c:pt idx="137">
                  <c:v>89325</c:v>
                </c:pt>
                <c:pt idx="138">
                  <c:v>0</c:v>
                </c:pt>
                <c:pt idx="139">
                  <c:v>0</c:v>
                </c:pt>
                <c:pt idx="140">
                  <c:v>73372</c:v>
                </c:pt>
                <c:pt idx="141">
                  <c:v>0</c:v>
                </c:pt>
                <c:pt idx="142">
                  <c:v>60627</c:v>
                </c:pt>
                <c:pt idx="143">
                  <c:v>0</c:v>
                </c:pt>
                <c:pt idx="144">
                  <c:v>0</c:v>
                </c:pt>
                <c:pt idx="145">
                  <c:v>48741</c:v>
                </c:pt>
                <c:pt idx="146">
                  <c:v>0</c:v>
                </c:pt>
                <c:pt idx="147">
                  <c:v>39922</c:v>
                </c:pt>
                <c:pt idx="148">
                  <c:v>0</c:v>
                </c:pt>
                <c:pt idx="149">
                  <c:v>0</c:v>
                </c:pt>
                <c:pt idx="150">
                  <c:v>31532</c:v>
                </c:pt>
                <c:pt idx="151">
                  <c:v>0</c:v>
                </c:pt>
                <c:pt idx="152">
                  <c:v>24714</c:v>
                </c:pt>
                <c:pt idx="153">
                  <c:v>0</c:v>
                </c:pt>
                <c:pt idx="154">
                  <c:v>0</c:v>
                </c:pt>
                <c:pt idx="155">
                  <c:v>20903</c:v>
                </c:pt>
                <c:pt idx="156">
                  <c:v>0</c:v>
                </c:pt>
                <c:pt idx="157">
                  <c:v>0</c:v>
                </c:pt>
                <c:pt idx="158">
                  <c:v>17581</c:v>
                </c:pt>
                <c:pt idx="159">
                  <c:v>0</c:v>
                </c:pt>
                <c:pt idx="160">
                  <c:v>11511</c:v>
                </c:pt>
                <c:pt idx="161">
                  <c:v>0</c:v>
                </c:pt>
                <c:pt idx="162">
                  <c:v>0</c:v>
                </c:pt>
                <c:pt idx="163">
                  <c:v>9616</c:v>
                </c:pt>
                <c:pt idx="164">
                  <c:v>0</c:v>
                </c:pt>
                <c:pt idx="165">
                  <c:v>5485</c:v>
                </c:pt>
                <c:pt idx="166">
                  <c:v>0</c:v>
                </c:pt>
                <c:pt idx="167">
                  <c:v>0</c:v>
                </c:pt>
                <c:pt idx="168">
                  <c:v>2880</c:v>
                </c:pt>
                <c:pt idx="169">
                  <c:v>0</c:v>
                </c:pt>
                <c:pt idx="170">
                  <c:v>0</c:v>
                </c:pt>
                <c:pt idx="171">
                  <c:v>2002</c:v>
                </c:pt>
                <c:pt idx="172">
                  <c:v>0</c:v>
                </c:pt>
                <c:pt idx="173">
                  <c:v>1791</c:v>
                </c:pt>
                <c:pt idx="174">
                  <c:v>0</c:v>
                </c:pt>
                <c:pt idx="175">
                  <c:v>0</c:v>
                </c:pt>
                <c:pt idx="176">
                  <c:v>1698</c:v>
                </c:pt>
                <c:pt idx="177">
                  <c:v>0</c:v>
                </c:pt>
                <c:pt idx="178">
                  <c:v>772</c:v>
                </c:pt>
                <c:pt idx="179">
                  <c:v>0</c:v>
                </c:pt>
                <c:pt idx="180">
                  <c:v>0</c:v>
                </c:pt>
                <c:pt idx="181">
                  <c:v>1150</c:v>
                </c:pt>
                <c:pt idx="182">
                  <c:v>0</c:v>
                </c:pt>
                <c:pt idx="183">
                  <c:v>642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2.6637200000000001</c:v>
                </c:pt>
                <c:pt idx="1">
                  <c:v>2.7526999999999999</c:v>
                </c:pt>
                <c:pt idx="2">
                  <c:v>2.84049</c:v>
                </c:pt>
                <c:pt idx="3">
                  <c:v>2.92591</c:v>
                </c:pt>
                <c:pt idx="4">
                  <c:v>3.01118</c:v>
                </c:pt>
                <c:pt idx="5">
                  <c:v>3.09558</c:v>
                </c:pt>
                <c:pt idx="6">
                  <c:v>3.1823899999999998</c:v>
                </c:pt>
                <c:pt idx="7">
                  <c:v>3.2720500000000001</c:v>
                </c:pt>
                <c:pt idx="8">
                  <c:v>3.3650799999999998</c:v>
                </c:pt>
                <c:pt idx="9">
                  <c:v>3.4586800000000002</c:v>
                </c:pt>
                <c:pt idx="10">
                  <c:v>3.5542600000000002</c:v>
                </c:pt>
                <c:pt idx="11">
                  <c:v>3.64567</c:v>
                </c:pt>
                <c:pt idx="12">
                  <c:v>3.73291</c:v>
                </c:pt>
                <c:pt idx="13">
                  <c:v>3.8202699999999998</c:v>
                </c:pt>
                <c:pt idx="14">
                  <c:v>3.9090999999999996</c:v>
                </c:pt>
                <c:pt idx="15">
                  <c:v>3.9889599999999996</c:v>
                </c:pt>
                <c:pt idx="16">
                  <c:v>4.0594700000000001</c:v>
                </c:pt>
                <c:pt idx="17">
                  <c:v>4.1210599999999999</c:v>
                </c:pt>
                <c:pt idx="18">
                  <c:v>4.1763000000000003</c:v>
                </c:pt>
                <c:pt idx="19">
                  <c:v>4.2244399999999995</c:v>
                </c:pt>
                <c:pt idx="20">
                  <c:v>4.2656400000000003</c:v>
                </c:pt>
                <c:pt idx="21">
                  <c:v>4.3013700000000004</c:v>
                </c:pt>
                <c:pt idx="22">
                  <c:v>4.3306399999999998</c:v>
                </c:pt>
                <c:pt idx="23">
                  <c:v>4.3511100000000003</c:v>
                </c:pt>
                <c:pt idx="24">
                  <c:v>4.3663299999999996</c:v>
                </c:pt>
                <c:pt idx="25">
                  <c:v>4.37087</c:v>
                </c:pt>
                <c:pt idx="26">
                  <c:v>4.3691200000000006</c:v>
                </c:pt>
                <c:pt idx="27">
                  <c:v>4.3666</c:v>
                </c:pt>
                <c:pt idx="28">
                  <c:v>4.3661799999999999</c:v>
                </c:pt>
                <c:pt idx="29">
                  <c:v>4.3674600000000003</c:v>
                </c:pt>
                <c:pt idx="30">
                  <c:v>4.3662400000000003</c:v>
                </c:pt>
                <c:pt idx="31">
                  <c:v>4.3605700000000001</c:v>
                </c:pt>
                <c:pt idx="32">
                  <c:v>4.3486099999999999</c:v>
                </c:pt>
                <c:pt idx="33">
                  <c:v>4.3317199999999998</c:v>
                </c:pt>
                <c:pt idx="34">
                  <c:v>4.3097500000000002</c:v>
                </c:pt>
                <c:pt idx="35">
                  <c:v>4.2854900000000002</c:v>
                </c:pt>
                <c:pt idx="36">
                  <c:v>4.2556799999999999</c:v>
                </c:pt>
                <c:pt idx="37">
                  <c:v>4.22384</c:v>
                </c:pt>
                <c:pt idx="38">
                  <c:v>4.1905299999999999</c:v>
                </c:pt>
                <c:pt idx="39">
                  <c:v>4.1529300000000005</c:v>
                </c:pt>
                <c:pt idx="40">
                  <c:v>4.1178600000000003</c:v>
                </c:pt>
                <c:pt idx="41">
                  <c:v>4.0865400000000003</c:v>
                </c:pt>
                <c:pt idx="42">
                  <c:v>4.0551900000000005</c:v>
                </c:pt>
                <c:pt idx="43">
                  <c:v>4.0201900000000004</c:v>
                </c:pt>
                <c:pt idx="44">
                  <c:v>3.98339</c:v>
                </c:pt>
                <c:pt idx="45">
                  <c:v>3.9500099999999998</c:v>
                </c:pt>
                <c:pt idx="46">
                  <c:v>3.9181599999999999</c:v>
                </c:pt>
                <c:pt idx="47">
                  <c:v>3.8904699999999997</c:v>
                </c:pt>
                <c:pt idx="48">
                  <c:v>3.86876</c:v>
                </c:pt>
                <c:pt idx="49">
                  <c:v>3.8477299999999999</c:v>
                </c:pt>
                <c:pt idx="50">
                  <c:v>3.8375300000000001</c:v>
                </c:pt>
                <c:pt idx="51">
                  <c:v>3.8232899999999996</c:v>
                </c:pt>
                <c:pt idx="52">
                  <c:v>3.8074400000000002</c:v>
                </c:pt>
                <c:pt idx="53">
                  <c:v>3.7831399999999999</c:v>
                </c:pt>
                <c:pt idx="54">
                  <c:v>3.7663799999999998</c:v>
                </c:pt>
                <c:pt idx="55">
                  <c:v>3.7454799999999997</c:v>
                </c:pt>
                <c:pt idx="56">
                  <c:v>3.7246099999999998</c:v>
                </c:pt>
                <c:pt idx="57">
                  <c:v>3.7016999999999998</c:v>
                </c:pt>
                <c:pt idx="58">
                  <c:v>3.6800100000000002</c:v>
                </c:pt>
                <c:pt idx="59">
                  <c:v>3.6566100000000001</c:v>
                </c:pt>
                <c:pt idx="60">
                  <c:v>3.6275900000000001</c:v>
                </c:pt>
                <c:pt idx="61">
                  <c:v>3.6106100000000003</c:v>
                </c:pt>
                <c:pt idx="62">
                  <c:v>3.5900500000000002</c:v>
                </c:pt>
                <c:pt idx="63">
                  <c:v>3.5698999999999996</c:v>
                </c:pt>
                <c:pt idx="64">
                  <c:v>3.5534400000000002</c:v>
                </c:pt>
                <c:pt idx="65">
                  <c:v>3.5321899999999999</c:v>
                </c:pt>
                <c:pt idx="66">
                  <c:v>3.5117799999999999</c:v>
                </c:pt>
                <c:pt idx="67">
                  <c:v>3.4929500000000004</c:v>
                </c:pt>
                <c:pt idx="68">
                  <c:v>3.4833099999999999</c:v>
                </c:pt>
                <c:pt idx="69">
                  <c:v>3.4830899999999998</c:v>
                </c:pt>
                <c:pt idx="70">
                  <c:v>3.4855599999999995</c:v>
                </c:pt>
                <c:pt idx="71">
                  <c:v>3.4847099999999998</c:v>
                </c:pt>
                <c:pt idx="72">
                  <c:v>3.5005599999999997</c:v>
                </c:pt>
                <c:pt idx="73">
                  <c:v>3.5139999999999998</c:v>
                </c:pt>
                <c:pt idx="74">
                  <c:v>3.5342500000000001</c:v>
                </c:pt>
                <c:pt idx="75">
                  <c:v>3.5628199999999999</c:v>
                </c:pt>
                <c:pt idx="76">
                  <c:v>3.5935099999999998</c:v>
                </c:pt>
                <c:pt idx="77">
                  <c:v>3.6263099999999997</c:v>
                </c:pt>
                <c:pt idx="78">
                  <c:v>3.65699</c:v>
                </c:pt>
                <c:pt idx="79">
                  <c:v>3.6846399999999999</c:v>
                </c:pt>
                <c:pt idx="80">
                  <c:v>3.70865</c:v>
                </c:pt>
                <c:pt idx="81">
                  <c:v>3.7372300000000003</c:v>
                </c:pt>
                <c:pt idx="82">
                  <c:v>3.7675399999999999</c:v>
                </c:pt>
                <c:pt idx="83">
                  <c:v>3.8014799999999997</c:v>
                </c:pt>
                <c:pt idx="84">
                  <c:v>3.83508</c:v>
                </c:pt>
                <c:pt idx="85">
                  <c:v>3.8678900000000001</c:v>
                </c:pt>
                <c:pt idx="86">
                  <c:v>3.8990999999999998</c:v>
                </c:pt>
                <c:pt idx="87">
                  <c:v>3.9234999999999998</c:v>
                </c:pt>
                <c:pt idx="88">
                  <c:v>3.9455400000000003</c:v>
                </c:pt>
                <c:pt idx="89">
                  <c:v>3.9641599999999997</c:v>
                </c:pt>
                <c:pt idx="90">
                  <c:v>3.9762300000000002</c:v>
                </c:pt>
                <c:pt idx="91">
                  <c:v>3.98617</c:v>
                </c:pt>
                <c:pt idx="92">
                  <c:v>3.9957700000000003</c:v>
                </c:pt>
                <c:pt idx="93">
                  <c:v>4.00366</c:v>
                </c:pt>
                <c:pt idx="94">
                  <c:v>4.0079199999999995</c:v>
                </c:pt>
                <c:pt idx="95">
                  <c:v>4.0085100000000002</c:v>
                </c:pt>
                <c:pt idx="96">
                  <c:v>4.00854</c:v>
                </c:pt>
                <c:pt idx="97">
                  <c:v>3.99925</c:v>
                </c:pt>
                <c:pt idx="98">
                  <c:v>3.9844299999999997</c:v>
                </c:pt>
                <c:pt idx="99">
                  <c:v>3.9649400000000004</c:v>
                </c:pt>
                <c:pt idx="100">
                  <c:v>3.93628</c:v>
                </c:pt>
                <c:pt idx="101">
                  <c:v>3.9051900000000002</c:v>
                </c:pt>
                <c:pt idx="102">
                  <c:v>3.8734700000000002</c:v>
                </c:pt>
                <c:pt idx="103">
                  <c:v>3.8446399999999996</c:v>
                </c:pt>
                <c:pt idx="104">
                  <c:v>3.8194099999999995</c:v>
                </c:pt>
                <c:pt idx="105">
                  <c:v>3.7976300000000003</c:v>
                </c:pt>
                <c:pt idx="106">
                  <c:v>3.7729200000000001</c:v>
                </c:pt>
                <c:pt idx="107">
                  <c:v>3.7475100000000001</c:v>
                </c:pt>
                <c:pt idx="108">
                  <c:v>3.7255700000000003</c:v>
                </c:pt>
                <c:pt idx="109">
                  <c:v>3.7079200000000001</c:v>
                </c:pt>
                <c:pt idx="110">
                  <c:v>3.6950599999999998</c:v>
                </c:pt>
                <c:pt idx="111">
                  <c:v>3.6842299999999999</c:v>
                </c:pt>
                <c:pt idx="112">
                  <c:v>3.6764099999999997</c:v>
                </c:pt>
                <c:pt idx="113">
                  <c:v>3.6707700000000001</c:v>
                </c:pt>
                <c:pt idx="114">
                  <c:v>3.6667399999999999</c:v>
                </c:pt>
                <c:pt idx="115">
                  <c:v>3.6685699999999999</c:v>
                </c:pt>
                <c:pt idx="116">
                  <c:v>3.6737199999999999</c:v>
                </c:pt>
                <c:pt idx="117">
                  <c:v>3.6832900000000004</c:v>
                </c:pt>
                <c:pt idx="118">
                  <c:v>3.6913400000000003</c:v>
                </c:pt>
                <c:pt idx="119">
                  <c:v>3.7028600000000003</c:v>
                </c:pt>
                <c:pt idx="120">
                  <c:v>3.7163900000000001</c:v>
                </c:pt>
                <c:pt idx="121">
                  <c:v>3.7314799999999999</c:v>
                </c:pt>
                <c:pt idx="122">
                  <c:v>3.7494499999999995</c:v>
                </c:pt>
                <c:pt idx="123">
                  <c:v>3.7681800000000001</c:v>
                </c:pt>
                <c:pt idx="124">
                  <c:v>3.7764500000000001</c:v>
                </c:pt>
                <c:pt idx="125">
                  <c:v>3.78938</c:v>
                </c:pt>
                <c:pt idx="126">
                  <c:v>3.8041</c:v>
                </c:pt>
                <c:pt idx="127">
                  <c:v>3.81934</c:v>
                </c:pt>
                <c:pt idx="128">
                  <c:v>3.8336199999999998</c:v>
                </c:pt>
                <c:pt idx="129">
                  <c:v>3.84849</c:v>
                </c:pt>
                <c:pt idx="130">
                  <c:v>3.8634200000000001</c:v>
                </c:pt>
                <c:pt idx="131">
                  <c:v>3.8815400000000002</c:v>
                </c:pt>
                <c:pt idx="132">
                  <c:v>3.8976199999999999</c:v>
                </c:pt>
                <c:pt idx="133">
                  <c:v>3.9107599999999998</c:v>
                </c:pt>
                <c:pt idx="134">
                  <c:v>3.9233000000000002</c:v>
                </c:pt>
                <c:pt idx="135">
                  <c:v>3.9332400000000001</c:v>
                </c:pt>
                <c:pt idx="136">
                  <c:v>3.9375300000000002</c:v>
                </c:pt>
                <c:pt idx="137">
                  <c:v>3.9433400000000001</c:v>
                </c:pt>
                <c:pt idx="138">
                  <c:v>3.9554299999999998</c:v>
                </c:pt>
                <c:pt idx="139">
                  <c:v>3.9717500000000001</c:v>
                </c:pt>
                <c:pt idx="140">
                  <c:v>3.9902100000000003</c:v>
                </c:pt>
                <c:pt idx="141">
                  <c:v>4.0113399999999997</c:v>
                </c:pt>
                <c:pt idx="142">
                  <c:v>4.0284199999999997</c:v>
                </c:pt>
                <c:pt idx="143">
                  <c:v>4.0512100000000002</c:v>
                </c:pt>
                <c:pt idx="144">
                  <c:v>4.0607500000000005</c:v>
                </c:pt>
                <c:pt idx="145">
                  <c:v>4.0728999999999997</c:v>
                </c:pt>
                <c:pt idx="146">
                  <c:v>4.0594799999999998</c:v>
                </c:pt>
                <c:pt idx="147">
                  <c:v>4.0493100000000002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51.709799999999994</c:v>
                </c:pt>
                <c:pt idx="1">
                  <c:v>50.626400000000004</c:v>
                </c:pt>
                <c:pt idx="2">
                  <c:v>49.800699999999999</c:v>
                </c:pt>
                <c:pt idx="3">
                  <c:v>49.274499999999996</c:v>
                </c:pt>
                <c:pt idx="4">
                  <c:v>48.868099999999998</c:v>
                </c:pt>
                <c:pt idx="5">
                  <c:v>48.553600000000003</c:v>
                </c:pt>
                <c:pt idx="6">
                  <c:v>47.991599999999998</c:v>
                </c:pt>
                <c:pt idx="7">
                  <c:v>47.230899999999998</c:v>
                </c:pt>
                <c:pt idx="8">
                  <c:v>46.341999999999999</c:v>
                </c:pt>
                <c:pt idx="9">
                  <c:v>45.293599999999998</c:v>
                </c:pt>
                <c:pt idx="10">
                  <c:v>44.075699999999998</c:v>
                </c:pt>
                <c:pt idx="11">
                  <c:v>42.971599999999995</c:v>
                </c:pt>
                <c:pt idx="12">
                  <c:v>42.0291</c:v>
                </c:pt>
                <c:pt idx="13">
                  <c:v>41.2166</c:v>
                </c:pt>
                <c:pt idx="14">
                  <c:v>40.433099999999996</c:v>
                </c:pt>
                <c:pt idx="15">
                  <c:v>39.8765</c:v>
                </c:pt>
                <c:pt idx="16">
                  <c:v>39.630200000000002</c:v>
                </c:pt>
                <c:pt idx="17">
                  <c:v>39.570799999999998</c:v>
                </c:pt>
                <c:pt idx="18">
                  <c:v>39.599600000000002</c:v>
                </c:pt>
                <c:pt idx="19">
                  <c:v>39.668799999999997</c:v>
                </c:pt>
                <c:pt idx="20">
                  <c:v>39.912500000000001</c:v>
                </c:pt>
                <c:pt idx="21">
                  <c:v>40.273199999999996</c:v>
                </c:pt>
                <c:pt idx="22">
                  <c:v>40.705100000000002</c:v>
                </c:pt>
                <c:pt idx="23">
                  <c:v>41.1173</c:v>
                </c:pt>
                <c:pt idx="24">
                  <c:v>41.4709</c:v>
                </c:pt>
                <c:pt idx="25">
                  <c:v>41.675800000000002</c:v>
                </c:pt>
                <c:pt idx="26">
                  <c:v>41.769600000000004</c:v>
                </c:pt>
                <c:pt idx="27">
                  <c:v>41.852499999999999</c:v>
                </c:pt>
                <c:pt idx="28">
                  <c:v>41.974400000000003</c:v>
                </c:pt>
                <c:pt idx="29">
                  <c:v>42.113599999999998</c:v>
                </c:pt>
                <c:pt idx="30">
                  <c:v>42.237499999999997</c:v>
                </c:pt>
                <c:pt idx="31">
                  <c:v>42.337499999999999</c:v>
                </c:pt>
                <c:pt idx="32">
                  <c:v>42.376899999999999</c:v>
                </c:pt>
                <c:pt idx="33">
                  <c:v>42.408200000000001</c:v>
                </c:pt>
                <c:pt idx="34">
                  <c:v>42.5092</c:v>
                </c:pt>
                <c:pt idx="35">
                  <c:v>42.7941</c:v>
                </c:pt>
                <c:pt idx="36">
                  <c:v>43.104799999999997</c:v>
                </c:pt>
                <c:pt idx="37">
                  <c:v>43.474200000000003</c:v>
                </c:pt>
                <c:pt idx="38">
                  <c:v>43.994699999999995</c:v>
                </c:pt>
                <c:pt idx="39">
                  <c:v>44.689900000000002</c:v>
                </c:pt>
                <c:pt idx="40">
                  <c:v>45.456200000000003</c:v>
                </c:pt>
                <c:pt idx="41">
                  <c:v>46.1676</c:v>
                </c:pt>
                <c:pt idx="42">
                  <c:v>46.811100000000003</c:v>
                </c:pt>
                <c:pt idx="43">
                  <c:v>47.390300000000003</c:v>
                </c:pt>
                <c:pt idx="44">
                  <c:v>47.9116</c:v>
                </c:pt>
                <c:pt idx="45">
                  <c:v>48.357199999999999</c:v>
                </c:pt>
                <c:pt idx="46">
                  <c:v>48.761700000000005</c:v>
                </c:pt>
                <c:pt idx="47">
                  <c:v>49.104100000000003</c:v>
                </c:pt>
                <c:pt idx="48">
                  <c:v>49.347099999999998</c:v>
                </c:pt>
                <c:pt idx="49">
                  <c:v>49.564700000000002</c:v>
                </c:pt>
                <c:pt idx="50">
                  <c:v>49.630499999999998</c:v>
                </c:pt>
                <c:pt idx="51">
                  <c:v>49.6935</c:v>
                </c:pt>
                <c:pt idx="52">
                  <c:v>49.759700000000002</c:v>
                </c:pt>
                <c:pt idx="53">
                  <c:v>49.927700000000002</c:v>
                </c:pt>
                <c:pt idx="54">
                  <c:v>50.094700000000003</c:v>
                </c:pt>
                <c:pt idx="55">
                  <c:v>50.316700000000004</c:v>
                </c:pt>
                <c:pt idx="56">
                  <c:v>50.5364</c:v>
                </c:pt>
                <c:pt idx="57">
                  <c:v>50.788199999999996</c:v>
                </c:pt>
                <c:pt idx="58">
                  <c:v>51.019099999999995</c:v>
                </c:pt>
                <c:pt idx="59">
                  <c:v>51.2181</c:v>
                </c:pt>
                <c:pt idx="60">
                  <c:v>51.475800000000007</c:v>
                </c:pt>
                <c:pt idx="61">
                  <c:v>51.679299999999998</c:v>
                </c:pt>
                <c:pt idx="62">
                  <c:v>51.883400000000002</c:v>
                </c:pt>
                <c:pt idx="63">
                  <c:v>52.1143</c:v>
                </c:pt>
                <c:pt idx="64">
                  <c:v>52.393599999999992</c:v>
                </c:pt>
                <c:pt idx="65">
                  <c:v>52.698599999999999</c:v>
                </c:pt>
                <c:pt idx="66">
                  <c:v>53.028100000000002</c:v>
                </c:pt>
                <c:pt idx="67">
                  <c:v>53.297000000000004</c:v>
                </c:pt>
                <c:pt idx="68">
                  <c:v>53.441099999999999</c:v>
                </c:pt>
                <c:pt idx="69">
                  <c:v>53.415199999999999</c:v>
                </c:pt>
                <c:pt idx="70">
                  <c:v>53.328499999999998</c:v>
                </c:pt>
                <c:pt idx="71">
                  <c:v>53.299099999999996</c:v>
                </c:pt>
                <c:pt idx="72">
                  <c:v>52.876300000000001</c:v>
                </c:pt>
                <c:pt idx="73">
                  <c:v>52.446400000000004</c:v>
                </c:pt>
                <c:pt idx="74">
                  <c:v>51.844100000000005</c:v>
                </c:pt>
                <c:pt idx="75">
                  <c:v>51.026600000000002</c:v>
                </c:pt>
                <c:pt idx="76">
                  <c:v>50.190500000000007</c:v>
                </c:pt>
                <c:pt idx="77">
                  <c:v>49.409500000000001</c:v>
                </c:pt>
                <c:pt idx="78">
                  <c:v>48.706700000000005</c:v>
                </c:pt>
                <c:pt idx="79">
                  <c:v>48.187600000000003</c:v>
                </c:pt>
                <c:pt idx="80">
                  <c:v>47.764699999999998</c:v>
                </c:pt>
                <c:pt idx="81">
                  <c:v>47.361499999999999</c:v>
                </c:pt>
                <c:pt idx="82">
                  <c:v>46.863999999999997</c:v>
                </c:pt>
                <c:pt idx="83">
                  <c:v>46.472200000000001</c:v>
                </c:pt>
                <c:pt idx="84">
                  <c:v>46.28</c:v>
                </c:pt>
                <c:pt idx="85">
                  <c:v>46.203699999999998</c:v>
                </c:pt>
                <c:pt idx="86">
                  <c:v>46.097100000000005</c:v>
                </c:pt>
                <c:pt idx="87">
                  <c:v>46.040900000000001</c:v>
                </c:pt>
                <c:pt idx="88">
                  <c:v>46.138400000000004</c:v>
                </c:pt>
                <c:pt idx="89">
                  <c:v>46.2151</c:v>
                </c:pt>
                <c:pt idx="90">
                  <c:v>46.266500000000001</c:v>
                </c:pt>
                <c:pt idx="91">
                  <c:v>46.341100000000004</c:v>
                </c:pt>
                <c:pt idx="92">
                  <c:v>46.445900000000002</c:v>
                </c:pt>
                <c:pt idx="93">
                  <c:v>46.509299999999996</c:v>
                </c:pt>
                <c:pt idx="94">
                  <c:v>46.5244</c:v>
                </c:pt>
                <c:pt idx="95">
                  <c:v>46.488199999999999</c:v>
                </c:pt>
                <c:pt idx="96">
                  <c:v>46.422000000000004</c:v>
                </c:pt>
                <c:pt idx="97">
                  <c:v>46.331099999999999</c:v>
                </c:pt>
                <c:pt idx="98">
                  <c:v>46.251199999999997</c:v>
                </c:pt>
                <c:pt idx="99">
                  <c:v>46.217799999999997</c:v>
                </c:pt>
                <c:pt idx="100">
                  <c:v>46.251199999999997</c:v>
                </c:pt>
                <c:pt idx="101">
                  <c:v>46.363300000000002</c:v>
                </c:pt>
                <c:pt idx="102">
                  <c:v>46.5197</c:v>
                </c:pt>
                <c:pt idx="103">
                  <c:v>46.714399999999998</c:v>
                </c:pt>
                <c:pt idx="104">
                  <c:v>46.854600000000005</c:v>
                </c:pt>
                <c:pt idx="105">
                  <c:v>46.985399999999998</c:v>
                </c:pt>
                <c:pt idx="106">
                  <c:v>47.211399999999998</c:v>
                </c:pt>
                <c:pt idx="107">
                  <c:v>47.578099999999999</c:v>
                </c:pt>
                <c:pt idx="108">
                  <c:v>47.946800000000003</c:v>
                </c:pt>
                <c:pt idx="109">
                  <c:v>48.207299999999996</c:v>
                </c:pt>
                <c:pt idx="110">
                  <c:v>48.423500000000004</c:v>
                </c:pt>
                <c:pt idx="111">
                  <c:v>48.646099999999997</c:v>
                </c:pt>
                <c:pt idx="112">
                  <c:v>48.782499999999999</c:v>
                </c:pt>
                <c:pt idx="113">
                  <c:v>48.845300000000002</c:v>
                </c:pt>
                <c:pt idx="114">
                  <c:v>48.889400000000002</c:v>
                </c:pt>
                <c:pt idx="115">
                  <c:v>48.845399999999998</c:v>
                </c:pt>
                <c:pt idx="116">
                  <c:v>48.729799999999997</c:v>
                </c:pt>
                <c:pt idx="117">
                  <c:v>48.508000000000003</c:v>
                </c:pt>
                <c:pt idx="118">
                  <c:v>48.306699999999999</c:v>
                </c:pt>
                <c:pt idx="119">
                  <c:v>48.017800000000001</c:v>
                </c:pt>
                <c:pt idx="120">
                  <c:v>47.6751</c:v>
                </c:pt>
                <c:pt idx="121">
                  <c:v>47.2637</c:v>
                </c:pt>
                <c:pt idx="122">
                  <c:v>46.861799999999995</c:v>
                </c:pt>
                <c:pt idx="123">
                  <c:v>46.478400000000001</c:v>
                </c:pt>
                <c:pt idx="124">
                  <c:v>46.360500000000002</c:v>
                </c:pt>
                <c:pt idx="125">
                  <c:v>46.26</c:v>
                </c:pt>
                <c:pt idx="126">
                  <c:v>46.161499999999997</c:v>
                </c:pt>
                <c:pt idx="127">
                  <c:v>46.067500000000003</c:v>
                </c:pt>
                <c:pt idx="128">
                  <c:v>45.974900000000005</c:v>
                </c:pt>
                <c:pt idx="129">
                  <c:v>45.874299999999998</c:v>
                </c:pt>
                <c:pt idx="130">
                  <c:v>45.768100000000004</c:v>
                </c:pt>
                <c:pt idx="131">
                  <c:v>45.646100000000004</c:v>
                </c:pt>
                <c:pt idx="132">
                  <c:v>45.522199999999998</c:v>
                </c:pt>
                <c:pt idx="133">
                  <c:v>45.409399999999998</c:v>
                </c:pt>
                <c:pt idx="134">
                  <c:v>45.322299999999998</c:v>
                </c:pt>
                <c:pt idx="135">
                  <c:v>45.235500000000002</c:v>
                </c:pt>
                <c:pt idx="136">
                  <c:v>45.155200000000001</c:v>
                </c:pt>
                <c:pt idx="137">
                  <c:v>45.009300000000003</c:v>
                </c:pt>
                <c:pt idx="138">
                  <c:v>44.768000000000001</c:v>
                </c:pt>
                <c:pt idx="139">
                  <c:v>44.451599999999999</c:v>
                </c:pt>
                <c:pt idx="140">
                  <c:v>44.143500000000003</c:v>
                </c:pt>
                <c:pt idx="141">
                  <c:v>43.807899999999997</c:v>
                </c:pt>
                <c:pt idx="142">
                  <c:v>43.508299999999998</c:v>
                </c:pt>
                <c:pt idx="143">
                  <c:v>43.069000000000003</c:v>
                </c:pt>
                <c:pt idx="144">
                  <c:v>42.607299999999995</c:v>
                </c:pt>
                <c:pt idx="145">
                  <c:v>42.271500000000003</c:v>
                </c:pt>
                <c:pt idx="146">
                  <c:v>42.238</c:v>
                </c:pt>
                <c:pt idx="147">
                  <c:v>42.129399999999997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2.6637200000000001</c:v>
                </c:pt>
                <c:pt idx="1">
                  <c:v>2.7526999999999999</c:v>
                </c:pt>
                <c:pt idx="2">
                  <c:v>2.84049</c:v>
                </c:pt>
                <c:pt idx="3">
                  <c:v>2.92591</c:v>
                </c:pt>
                <c:pt idx="4">
                  <c:v>3.01118</c:v>
                </c:pt>
                <c:pt idx="5">
                  <c:v>3.09558</c:v>
                </c:pt>
                <c:pt idx="6">
                  <c:v>3.1823899999999998</c:v>
                </c:pt>
                <c:pt idx="7">
                  <c:v>3.2720500000000001</c:v>
                </c:pt>
                <c:pt idx="8">
                  <c:v>3.3650799999999998</c:v>
                </c:pt>
                <c:pt idx="9">
                  <c:v>3.4586800000000002</c:v>
                </c:pt>
                <c:pt idx="10">
                  <c:v>3.5542600000000002</c:v>
                </c:pt>
                <c:pt idx="11">
                  <c:v>3.64567</c:v>
                </c:pt>
                <c:pt idx="12">
                  <c:v>3.73291</c:v>
                </c:pt>
                <c:pt idx="13">
                  <c:v>3.8202699999999998</c:v>
                </c:pt>
                <c:pt idx="14">
                  <c:v>3.9090999999999996</c:v>
                </c:pt>
                <c:pt idx="15">
                  <c:v>3.9889599999999996</c:v>
                </c:pt>
                <c:pt idx="16">
                  <c:v>4.0594700000000001</c:v>
                </c:pt>
                <c:pt idx="17">
                  <c:v>4.1210599999999999</c:v>
                </c:pt>
                <c:pt idx="18">
                  <c:v>4.1763000000000003</c:v>
                </c:pt>
                <c:pt idx="19">
                  <c:v>4.2244399999999995</c:v>
                </c:pt>
                <c:pt idx="20">
                  <c:v>4.2656400000000003</c:v>
                </c:pt>
                <c:pt idx="21">
                  <c:v>4.3013700000000004</c:v>
                </c:pt>
                <c:pt idx="22">
                  <c:v>4.3306399999999998</c:v>
                </c:pt>
                <c:pt idx="23">
                  <c:v>4.3511100000000003</c:v>
                </c:pt>
                <c:pt idx="24">
                  <c:v>4.3663299999999996</c:v>
                </c:pt>
                <c:pt idx="25">
                  <c:v>4.37087</c:v>
                </c:pt>
                <c:pt idx="26">
                  <c:v>4.3691200000000006</c:v>
                </c:pt>
                <c:pt idx="27">
                  <c:v>4.3666</c:v>
                </c:pt>
                <c:pt idx="28">
                  <c:v>4.3661799999999999</c:v>
                </c:pt>
                <c:pt idx="29">
                  <c:v>4.3674600000000003</c:v>
                </c:pt>
                <c:pt idx="30">
                  <c:v>4.3662400000000003</c:v>
                </c:pt>
                <c:pt idx="31">
                  <c:v>4.3605700000000001</c:v>
                </c:pt>
                <c:pt idx="32">
                  <c:v>4.3486099999999999</c:v>
                </c:pt>
                <c:pt idx="33">
                  <c:v>4.3317199999999998</c:v>
                </c:pt>
                <c:pt idx="34">
                  <c:v>4.3097500000000002</c:v>
                </c:pt>
                <c:pt idx="35">
                  <c:v>4.2854900000000002</c:v>
                </c:pt>
                <c:pt idx="36">
                  <c:v>4.2556799999999999</c:v>
                </c:pt>
                <c:pt idx="37">
                  <c:v>4.22384</c:v>
                </c:pt>
                <c:pt idx="38">
                  <c:v>4.1905299999999999</c:v>
                </c:pt>
                <c:pt idx="39">
                  <c:v>4.1529300000000005</c:v>
                </c:pt>
                <c:pt idx="40">
                  <c:v>4.1178600000000003</c:v>
                </c:pt>
                <c:pt idx="41">
                  <c:v>4.0865400000000003</c:v>
                </c:pt>
                <c:pt idx="42">
                  <c:v>4.0551900000000005</c:v>
                </c:pt>
                <c:pt idx="43">
                  <c:v>4.0201900000000004</c:v>
                </c:pt>
                <c:pt idx="44">
                  <c:v>3.98339</c:v>
                </c:pt>
                <c:pt idx="45">
                  <c:v>3.9500099999999998</c:v>
                </c:pt>
                <c:pt idx="46">
                  <c:v>3.9181599999999999</c:v>
                </c:pt>
                <c:pt idx="47">
                  <c:v>3.8904699999999997</c:v>
                </c:pt>
                <c:pt idx="48">
                  <c:v>3.86876</c:v>
                </c:pt>
                <c:pt idx="49">
                  <c:v>3.8477299999999999</c:v>
                </c:pt>
                <c:pt idx="50">
                  <c:v>3.8375300000000001</c:v>
                </c:pt>
                <c:pt idx="51">
                  <c:v>3.8232899999999996</c:v>
                </c:pt>
                <c:pt idx="52">
                  <c:v>3.8074400000000002</c:v>
                </c:pt>
                <c:pt idx="53">
                  <c:v>3.7831399999999999</c:v>
                </c:pt>
                <c:pt idx="54">
                  <c:v>3.7663799999999998</c:v>
                </c:pt>
                <c:pt idx="55">
                  <c:v>3.7454799999999997</c:v>
                </c:pt>
                <c:pt idx="56">
                  <c:v>3.7246099999999998</c:v>
                </c:pt>
                <c:pt idx="57">
                  <c:v>3.7016999999999998</c:v>
                </c:pt>
                <c:pt idx="58">
                  <c:v>3.6800100000000002</c:v>
                </c:pt>
                <c:pt idx="59">
                  <c:v>3.6566100000000001</c:v>
                </c:pt>
                <c:pt idx="60">
                  <c:v>3.6275900000000001</c:v>
                </c:pt>
                <c:pt idx="61">
                  <c:v>3.6106100000000003</c:v>
                </c:pt>
                <c:pt idx="62">
                  <c:v>3.5900500000000002</c:v>
                </c:pt>
                <c:pt idx="63">
                  <c:v>3.5698999999999996</c:v>
                </c:pt>
                <c:pt idx="64">
                  <c:v>3.5534400000000002</c:v>
                </c:pt>
                <c:pt idx="65">
                  <c:v>3.5321899999999999</c:v>
                </c:pt>
                <c:pt idx="66">
                  <c:v>3.5117799999999999</c:v>
                </c:pt>
                <c:pt idx="67">
                  <c:v>3.4929500000000004</c:v>
                </c:pt>
                <c:pt idx="68">
                  <c:v>3.4833099999999999</c:v>
                </c:pt>
                <c:pt idx="69">
                  <c:v>3.4830899999999998</c:v>
                </c:pt>
                <c:pt idx="70">
                  <c:v>3.4855599999999995</c:v>
                </c:pt>
                <c:pt idx="71">
                  <c:v>3.4847099999999998</c:v>
                </c:pt>
                <c:pt idx="72">
                  <c:v>3.5005599999999997</c:v>
                </c:pt>
                <c:pt idx="73">
                  <c:v>3.5139999999999998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51.709799999999994</c:v>
                </c:pt>
                <c:pt idx="1">
                  <c:v>50.626400000000004</c:v>
                </c:pt>
                <c:pt idx="2">
                  <c:v>49.800699999999999</c:v>
                </c:pt>
                <c:pt idx="3">
                  <c:v>49.274499999999996</c:v>
                </c:pt>
                <c:pt idx="4">
                  <c:v>48.868099999999998</c:v>
                </c:pt>
                <c:pt idx="5">
                  <c:v>48.553600000000003</c:v>
                </c:pt>
                <c:pt idx="6">
                  <c:v>47.991599999999998</c:v>
                </c:pt>
                <c:pt idx="7">
                  <c:v>47.230899999999998</c:v>
                </c:pt>
                <c:pt idx="8">
                  <c:v>46.341999999999999</c:v>
                </c:pt>
                <c:pt idx="9">
                  <c:v>45.293599999999998</c:v>
                </c:pt>
                <c:pt idx="10">
                  <c:v>44.075699999999998</c:v>
                </c:pt>
                <c:pt idx="11">
                  <c:v>42.971599999999995</c:v>
                </c:pt>
                <c:pt idx="12">
                  <c:v>42.0291</c:v>
                </c:pt>
                <c:pt idx="13">
                  <c:v>41.2166</c:v>
                </c:pt>
                <c:pt idx="14">
                  <c:v>40.433099999999996</c:v>
                </c:pt>
                <c:pt idx="15">
                  <c:v>39.8765</c:v>
                </c:pt>
                <c:pt idx="16">
                  <c:v>39.630200000000002</c:v>
                </c:pt>
                <c:pt idx="17">
                  <c:v>39.570799999999998</c:v>
                </c:pt>
                <c:pt idx="18">
                  <c:v>39.599600000000002</c:v>
                </c:pt>
                <c:pt idx="19">
                  <c:v>39.668799999999997</c:v>
                </c:pt>
                <c:pt idx="20">
                  <c:v>39.912500000000001</c:v>
                </c:pt>
                <c:pt idx="21">
                  <c:v>40.273199999999996</c:v>
                </c:pt>
                <c:pt idx="22">
                  <c:v>40.705100000000002</c:v>
                </c:pt>
                <c:pt idx="23">
                  <c:v>41.1173</c:v>
                </c:pt>
                <c:pt idx="24">
                  <c:v>41.4709</c:v>
                </c:pt>
                <c:pt idx="25">
                  <c:v>41.675800000000002</c:v>
                </c:pt>
                <c:pt idx="26">
                  <c:v>41.769600000000004</c:v>
                </c:pt>
                <c:pt idx="27">
                  <c:v>41.852499999999999</c:v>
                </c:pt>
                <c:pt idx="28">
                  <c:v>41.974400000000003</c:v>
                </c:pt>
                <c:pt idx="29">
                  <c:v>42.113599999999998</c:v>
                </c:pt>
                <c:pt idx="30">
                  <c:v>42.237499999999997</c:v>
                </c:pt>
                <c:pt idx="31">
                  <c:v>42.337499999999999</c:v>
                </c:pt>
                <c:pt idx="32">
                  <c:v>42.376899999999999</c:v>
                </c:pt>
                <c:pt idx="33">
                  <c:v>42.408200000000001</c:v>
                </c:pt>
                <c:pt idx="34">
                  <c:v>42.5092</c:v>
                </c:pt>
                <c:pt idx="35">
                  <c:v>42.7941</c:v>
                </c:pt>
                <c:pt idx="36">
                  <c:v>43.104799999999997</c:v>
                </c:pt>
                <c:pt idx="37">
                  <c:v>43.474200000000003</c:v>
                </c:pt>
                <c:pt idx="38">
                  <c:v>43.994699999999995</c:v>
                </c:pt>
                <c:pt idx="39">
                  <c:v>44.689900000000002</c:v>
                </c:pt>
                <c:pt idx="40">
                  <c:v>45.456200000000003</c:v>
                </c:pt>
                <c:pt idx="41">
                  <c:v>46.1676</c:v>
                </c:pt>
                <c:pt idx="42">
                  <c:v>46.811100000000003</c:v>
                </c:pt>
                <c:pt idx="43">
                  <c:v>47.390300000000003</c:v>
                </c:pt>
                <c:pt idx="44">
                  <c:v>47.9116</c:v>
                </c:pt>
                <c:pt idx="45">
                  <c:v>48.357199999999999</c:v>
                </c:pt>
                <c:pt idx="46">
                  <c:v>48.761700000000005</c:v>
                </c:pt>
                <c:pt idx="47">
                  <c:v>49.104100000000003</c:v>
                </c:pt>
                <c:pt idx="48">
                  <c:v>49.347099999999998</c:v>
                </c:pt>
                <c:pt idx="49">
                  <c:v>49.564700000000002</c:v>
                </c:pt>
                <c:pt idx="50">
                  <c:v>49.630499999999998</c:v>
                </c:pt>
                <c:pt idx="51">
                  <c:v>49.6935</c:v>
                </c:pt>
                <c:pt idx="52">
                  <c:v>49.759700000000002</c:v>
                </c:pt>
                <c:pt idx="53">
                  <c:v>49.927700000000002</c:v>
                </c:pt>
                <c:pt idx="54">
                  <c:v>50.094700000000003</c:v>
                </c:pt>
                <c:pt idx="55">
                  <c:v>50.316700000000004</c:v>
                </c:pt>
                <c:pt idx="56">
                  <c:v>50.5364</c:v>
                </c:pt>
                <c:pt idx="57">
                  <c:v>50.788199999999996</c:v>
                </c:pt>
                <c:pt idx="58">
                  <c:v>51.019099999999995</c:v>
                </c:pt>
                <c:pt idx="59">
                  <c:v>51.2181</c:v>
                </c:pt>
                <c:pt idx="60">
                  <c:v>51.475800000000007</c:v>
                </c:pt>
                <c:pt idx="61">
                  <c:v>51.679299999999998</c:v>
                </c:pt>
                <c:pt idx="62">
                  <c:v>51.883400000000002</c:v>
                </c:pt>
                <c:pt idx="63">
                  <c:v>52.1143</c:v>
                </c:pt>
                <c:pt idx="64">
                  <c:v>52.393599999999992</c:v>
                </c:pt>
                <c:pt idx="65">
                  <c:v>52.698599999999999</c:v>
                </c:pt>
                <c:pt idx="66">
                  <c:v>53.028100000000002</c:v>
                </c:pt>
                <c:pt idx="67">
                  <c:v>53.297000000000004</c:v>
                </c:pt>
                <c:pt idx="68">
                  <c:v>53.441099999999999</c:v>
                </c:pt>
                <c:pt idx="69">
                  <c:v>53.415199999999999</c:v>
                </c:pt>
                <c:pt idx="70">
                  <c:v>53.328499999999998</c:v>
                </c:pt>
                <c:pt idx="71">
                  <c:v>53.299099999999996</c:v>
                </c:pt>
                <c:pt idx="72">
                  <c:v>52.876300000000001</c:v>
                </c:pt>
                <c:pt idx="73">
                  <c:v>52.446400000000004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3.5139999999999998</c:v>
                </c:pt>
                <c:pt idx="1">
                  <c:v>3.5342500000000001</c:v>
                </c:pt>
                <c:pt idx="2">
                  <c:v>3.5628199999999999</c:v>
                </c:pt>
                <c:pt idx="3">
                  <c:v>3.5935099999999998</c:v>
                </c:pt>
                <c:pt idx="4">
                  <c:v>3.6263099999999997</c:v>
                </c:pt>
                <c:pt idx="5">
                  <c:v>3.65699</c:v>
                </c:pt>
                <c:pt idx="6">
                  <c:v>3.6846399999999999</c:v>
                </c:pt>
                <c:pt idx="7">
                  <c:v>3.70865</c:v>
                </c:pt>
                <c:pt idx="8">
                  <c:v>3.7372300000000003</c:v>
                </c:pt>
                <c:pt idx="9">
                  <c:v>3.7675399999999999</c:v>
                </c:pt>
                <c:pt idx="10">
                  <c:v>3.8014799999999997</c:v>
                </c:pt>
                <c:pt idx="11">
                  <c:v>3.83508</c:v>
                </c:pt>
                <c:pt idx="12">
                  <c:v>3.8678900000000001</c:v>
                </c:pt>
                <c:pt idx="13">
                  <c:v>3.8990999999999998</c:v>
                </c:pt>
                <c:pt idx="14">
                  <c:v>3.9234999999999998</c:v>
                </c:pt>
                <c:pt idx="15">
                  <c:v>3.9455400000000003</c:v>
                </c:pt>
                <c:pt idx="16">
                  <c:v>3.9641599999999997</c:v>
                </c:pt>
                <c:pt idx="17">
                  <c:v>3.9762300000000002</c:v>
                </c:pt>
                <c:pt idx="18">
                  <c:v>3.98617</c:v>
                </c:pt>
                <c:pt idx="19">
                  <c:v>3.9957700000000003</c:v>
                </c:pt>
                <c:pt idx="20">
                  <c:v>4.00366</c:v>
                </c:pt>
                <c:pt idx="21">
                  <c:v>4.0079199999999995</c:v>
                </c:pt>
                <c:pt idx="22">
                  <c:v>4.0085100000000002</c:v>
                </c:pt>
                <c:pt idx="23">
                  <c:v>4.00854</c:v>
                </c:pt>
                <c:pt idx="24">
                  <c:v>3.99925</c:v>
                </c:pt>
                <c:pt idx="25">
                  <c:v>3.9844299999999997</c:v>
                </c:pt>
                <c:pt idx="26">
                  <c:v>3.9649400000000004</c:v>
                </c:pt>
                <c:pt idx="27">
                  <c:v>3.93628</c:v>
                </c:pt>
                <c:pt idx="28">
                  <c:v>3.9051900000000002</c:v>
                </c:pt>
                <c:pt idx="29">
                  <c:v>3.8734700000000002</c:v>
                </c:pt>
                <c:pt idx="30">
                  <c:v>3.8446399999999996</c:v>
                </c:pt>
                <c:pt idx="31">
                  <c:v>3.8194099999999995</c:v>
                </c:pt>
                <c:pt idx="32">
                  <c:v>3.7976300000000003</c:v>
                </c:pt>
                <c:pt idx="33">
                  <c:v>3.7729200000000001</c:v>
                </c:pt>
                <c:pt idx="34">
                  <c:v>3.7475100000000001</c:v>
                </c:pt>
                <c:pt idx="35">
                  <c:v>3.7255700000000003</c:v>
                </c:pt>
                <c:pt idx="36">
                  <c:v>3.7079200000000001</c:v>
                </c:pt>
                <c:pt idx="37">
                  <c:v>3.6950599999999998</c:v>
                </c:pt>
                <c:pt idx="38">
                  <c:v>3.6842299999999999</c:v>
                </c:pt>
                <c:pt idx="39">
                  <c:v>3.6764099999999997</c:v>
                </c:pt>
                <c:pt idx="40">
                  <c:v>3.6707700000000001</c:v>
                </c:pt>
                <c:pt idx="41">
                  <c:v>3.6667399999999999</c:v>
                </c:pt>
                <c:pt idx="42">
                  <c:v>3.6685699999999999</c:v>
                </c:pt>
                <c:pt idx="43">
                  <c:v>3.6737199999999999</c:v>
                </c:pt>
                <c:pt idx="44">
                  <c:v>3.6832900000000004</c:v>
                </c:pt>
                <c:pt idx="45">
                  <c:v>3.6913400000000003</c:v>
                </c:pt>
                <c:pt idx="46">
                  <c:v>3.7028600000000003</c:v>
                </c:pt>
                <c:pt idx="47">
                  <c:v>3.7163900000000001</c:v>
                </c:pt>
                <c:pt idx="48">
                  <c:v>3.7314799999999999</c:v>
                </c:pt>
                <c:pt idx="49">
                  <c:v>3.7494499999999995</c:v>
                </c:pt>
                <c:pt idx="50">
                  <c:v>3.7681800000000001</c:v>
                </c:pt>
                <c:pt idx="51">
                  <c:v>3.7764500000000001</c:v>
                </c:pt>
                <c:pt idx="52">
                  <c:v>3.78938</c:v>
                </c:pt>
                <c:pt idx="53">
                  <c:v>3.8041</c:v>
                </c:pt>
                <c:pt idx="54">
                  <c:v>3.81934</c:v>
                </c:pt>
                <c:pt idx="55">
                  <c:v>3.8336199999999998</c:v>
                </c:pt>
                <c:pt idx="56">
                  <c:v>3.84849</c:v>
                </c:pt>
                <c:pt idx="57">
                  <c:v>3.8634200000000001</c:v>
                </c:pt>
                <c:pt idx="58">
                  <c:v>3.8815400000000002</c:v>
                </c:pt>
                <c:pt idx="59">
                  <c:v>3.8976199999999999</c:v>
                </c:pt>
                <c:pt idx="60">
                  <c:v>3.9107599999999998</c:v>
                </c:pt>
                <c:pt idx="61">
                  <c:v>3.9233000000000002</c:v>
                </c:pt>
                <c:pt idx="62">
                  <c:v>3.9332400000000001</c:v>
                </c:pt>
                <c:pt idx="63">
                  <c:v>3.9375300000000002</c:v>
                </c:pt>
                <c:pt idx="64">
                  <c:v>3.9433400000000001</c:v>
                </c:pt>
                <c:pt idx="65">
                  <c:v>3.9554299999999998</c:v>
                </c:pt>
                <c:pt idx="66">
                  <c:v>3.9717500000000001</c:v>
                </c:pt>
                <c:pt idx="67">
                  <c:v>3.9902100000000003</c:v>
                </c:pt>
                <c:pt idx="68">
                  <c:v>4.0113399999999997</c:v>
                </c:pt>
                <c:pt idx="69">
                  <c:v>4.0284199999999997</c:v>
                </c:pt>
                <c:pt idx="70">
                  <c:v>4.0512100000000002</c:v>
                </c:pt>
                <c:pt idx="71">
                  <c:v>4.0607500000000005</c:v>
                </c:pt>
                <c:pt idx="72">
                  <c:v>4.0728999999999997</c:v>
                </c:pt>
                <c:pt idx="73">
                  <c:v>4.0594799999999998</c:v>
                </c:pt>
                <c:pt idx="74">
                  <c:v>4.0493100000000002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52.446400000000004</c:v>
                </c:pt>
                <c:pt idx="1">
                  <c:v>51.844100000000005</c:v>
                </c:pt>
                <c:pt idx="2">
                  <c:v>51.026600000000002</c:v>
                </c:pt>
                <c:pt idx="3">
                  <c:v>50.190500000000007</c:v>
                </c:pt>
                <c:pt idx="4">
                  <c:v>49.409500000000001</c:v>
                </c:pt>
                <c:pt idx="5">
                  <c:v>48.706700000000005</c:v>
                </c:pt>
                <c:pt idx="6">
                  <c:v>48.187600000000003</c:v>
                </c:pt>
                <c:pt idx="7">
                  <c:v>47.764699999999998</c:v>
                </c:pt>
                <c:pt idx="8">
                  <c:v>47.361499999999999</c:v>
                </c:pt>
                <c:pt idx="9">
                  <c:v>46.863999999999997</c:v>
                </c:pt>
                <c:pt idx="10">
                  <c:v>46.472200000000001</c:v>
                </c:pt>
                <c:pt idx="11">
                  <c:v>46.28</c:v>
                </c:pt>
                <c:pt idx="12">
                  <c:v>46.203699999999998</c:v>
                </c:pt>
                <c:pt idx="13">
                  <c:v>46.097100000000005</c:v>
                </c:pt>
                <c:pt idx="14">
                  <c:v>46.040900000000001</c:v>
                </c:pt>
                <c:pt idx="15">
                  <c:v>46.138400000000004</c:v>
                </c:pt>
                <c:pt idx="16">
                  <c:v>46.2151</c:v>
                </c:pt>
                <c:pt idx="17">
                  <c:v>46.266500000000001</c:v>
                </c:pt>
                <c:pt idx="18">
                  <c:v>46.341100000000004</c:v>
                </c:pt>
                <c:pt idx="19">
                  <c:v>46.445900000000002</c:v>
                </c:pt>
                <c:pt idx="20">
                  <c:v>46.509299999999996</c:v>
                </c:pt>
                <c:pt idx="21">
                  <c:v>46.5244</c:v>
                </c:pt>
                <c:pt idx="22">
                  <c:v>46.488199999999999</c:v>
                </c:pt>
                <c:pt idx="23">
                  <c:v>46.422000000000004</c:v>
                </c:pt>
                <c:pt idx="24">
                  <c:v>46.331099999999999</c:v>
                </c:pt>
                <c:pt idx="25">
                  <c:v>46.251199999999997</c:v>
                </c:pt>
                <c:pt idx="26">
                  <c:v>46.217799999999997</c:v>
                </c:pt>
                <c:pt idx="27">
                  <c:v>46.251199999999997</c:v>
                </c:pt>
                <c:pt idx="28">
                  <c:v>46.363300000000002</c:v>
                </c:pt>
                <c:pt idx="29">
                  <c:v>46.5197</c:v>
                </c:pt>
                <c:pt idx="30">
                  <c:v>46.714399999999998</c:v>
                </c:pt>
                <c:pt idx="31">
                  <c:v>46.854600000000005</c:v>
                </c:pt>
                <c:pt idx="32">
                  <c:v>46.985399999999998</c:v>
                </c:pt>
                <c:pt idx="33">
                  <c:v>47.211399999999998</c:v>
                </c:pt>
                <c:pt idx="34">
                  <c:v>47.578099999999999</c:v>
                </c:pt>
                <c:pt idx="35">
                  <c:v>47.946800000000003</c:v>
                </c:pt>
                <c:pt idx="36">
                  <c:v>48.207299999999996</c:v>
                </c:pt>
                <c:pt idx="37">
                  <c:v>48.423500000000004</c:v>
                </c:pt>
                <c:pt idx="38">
                  <c:v>48.646099999999997</c:v>
                </c:pt>
                <c:pt idx="39">
                  <c:v>48.782499999999999</c:v>
                </c:pt>
                <c:pt idx="40">
                  <c:v>48.845300000000002</c:v>
                </c:pt>
                <c:pt idx="41">
                  <c:v>48.889400000000002</c:v>
                </c:pt>
                <c:pt idx="42">
                  <c:v>48.845399999999998</c:v>
                </c:pt>
                <c:pt idx="43">
                  <c:v>48.729799999999997</c:v>
                </c:pt>
                <c:pt idx="44">
                  <c:v>48.508000000000003</c:v>
                </c:pt>
                <c:pt idx="45">
                  <c:v>48.306699999999999</c:v>
                </c:pt>
                <c:pt idx="46">
                  <c:v>48.017800000000001</c:v>
                </c:pt>
                <c:pt idx="47">
                  <c:v>47.6751</c:v>
                </c:pt>
                <c:pt idx="48">
                  <c:v>47.2637</c:v>
                </c:pt>
                <c:pt idx="49">
                  <c:v>46.861799999999995</c:v>
                </c:pt>
                <c:pt idx="50">
                  <c:v>46.478400000000001</c:v>
                </c:pt>
                <c:pt idx="51">
                  <c:v>46.360500000000002</c:v>
                </c:pt>
                <c:pt idx="52">
                  <c:v>46.26</c:v>
                </c:pt>
                <c:pt idx="53">
                  <c:v>46.161499999999997</c:v>
                </c:pt>
                <c:pt idx="54">
                  <c:v>46.067500000000003</c:v>
                </c:pt>
                <c:pt idx="55">
                  <c:v>45.974900000000005</c:v>
                </c:pt>
                <c:pt idx="56">
                  <c:v>45.874299999999998</c:v>
                </c:pt>
                <c:pt idx="57">
                  <c:v>45.768100000000004</c:v>
                </c:pt>
                <c:pt idx="58">
                  <c:v>45.646100000000004</c:v>
                </c:pt>
                <c:pt idx="59">
                  <c:v>45.522199999999998</c:v>
                </c:pt>
                <c:pt idx="60">
                  <c:v>45.409399999999998</c:v>
                </c:pt>
                <c:pt idx="61">
                  <c:v>45.322299999999998</c:v>
                </c:pt>
                <c:pt idx="62">
                  <c:v>45.235500000000002</c:v>
                </c:pt>
                <c:pt idx="63">
                  <c:v>45.155200000000001</c:v>
                </c:pt>
                <c:pt idx="64">
                  <c:v>45.009300000000003</c:v>
                </c:pt>
                <c:pt idx="65">
                  <c:v>44.768000000000001</c:v>
                </c:pt>
                <c:pt idx="66">
                  <c:v>44.451599999999999</c:v>
                </c:pt>
                <c:pt idx="67">
                  <c:v>44.143500000000003</c:v>
                </c:pt>
                <c:pt idx="68">
                  <c:v>43.807899999999997</c:v>
                </c:pt>
                <c:pt idx="69">
                  <c:v>43.508299999999998</c:v>
                </c:pt>
                <c:pt idx="70">
                  <c:v>43.069000000000003</c:v>
                </c:pt>
                <c:pt idx="71">
                  <c:v>42.607299999999995</c:v>
                </c:pt>
                <c:pt idx="72">
                  <c:v>42.271500000000003</c:v>
                </c:pt>
                <c:pt idx="73">
                  <c:v>42.238</c:v>
                </c:pt>
                <c:pt idx="74">
                  <c:v>42.129399999999997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3.8214206756756757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46.713351351351335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3.8427847297297308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46.571177027026998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3.8427847297297308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46.571177027026998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0.19408031316283755</c:v>
                </c:pt>
                <c:pt idx="1">
                  <c:v>0.31575994306306465</c:v>
                </c:pt>
                <c:pt idx="2">
                  <c:v>0.49015974377409788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0.40949799999999997</c:v>
                </c:pt>
                <c:pt idx="2">
                  <c:v>0.81644000000000005</c:v>
                </c:pt>
                <c:pt idx="3">
                  <c:v>1.2219500000000001</c:v>
                </c:pt>
                <c:pt idx="4">
                  <c:v>1.6272599999999999</c:v>
                </c:pt>
                <c:pt idx="5">
                  <c:v>2.0316399999999999</c:v>
                </c:pt>
                <c:pt idx="6">
                  <c:v>2.4409299999999998</c:v>
                </c:pt>
                <c:pt idx="7">
                  <c:v>2.8479199999999998</c:v>
                </c:pt>
                <c:pt idx="8">
                  <c:v>3.2521499999999999</c:v>
                </c:pt>
                <c:pt idx="9">
                  <c:v>3.6577799999999998</c:v>
                </c:pt>
                <c:pt idx="10">
                  <c:v>4.0630199999999999</c:v>
                </c:pt>
                <c:pt idx="11">
                  <c:v>4.4715400000000001</c:v>
                </c:pt>
                <c:pt idx="12">
                  <c:v>4.8794599999999999</c:v>
                </c:pt>
                <c:pt idx="13">
                  <c:v>5.2852499999999996</c:v>
                </c:pt>
                <c:pt idx="14">
                  <c:v>5.6887499999999998</c:v>
                </c:pt>
                <c:pt idx="15">
                  <c:v>6.0955700000000004</c:v>
                </c:pt>
                <c:pt idx="16">
                  <c:v>6.5057600000000004</c:v>
                </c:pt>
                <c:pt idx="17">
                  <c:v>6.9099700000000004</c:v>
                </c:pt>
                <c:pt idx="18">
                  <c:v>7.3155900000000003</c:v>
                </c:pt>
                <c:pt idx="19">
                  <c:v>7.7207100000000004</c:v>
                </c:pt>
                <c:pt idx="20">
                  <c:v>8.1276600000000006</c:v>
                </c:pt>
                <c:pt idx="21">
                  <c:v>8.5335800000000006</c:v>
                </c:pt>
                <c:pt idx="22">
                  <c:v>8.9401499999999992</c:v>
                </c:pt>
                <c:pt idx="23">
                  <c:v>9.3497599999999998</c:v>
                </c:pt>
                <c:pt idx="24">
                  <c:v>9.7508900000000001</c:v>
                </c:pt>
                <c:pt idx="25">
                  <c:v>10.1608</c:v>
                </c:pt>
                <c:pt idx="26">
                  <c:v>10.5656</c:v>
                </c:pt>
                <c:pt idx="27">
                  <c:v>10.969900000000001</c:v>
                </c:pt>
                <c:pt idx="28">
                  <c:v>11.3779</c:v>
                </c:pt>
                <c:pt idx="29">
                  <c:v>11.784000000000001</c:v>
                </c:pt>
                <c:pt idx="30">
                  <c:v>12.191800000000001</c:v>
                </c:pt>
                <c:pt idx="31">
                  <c:v>12.597300000000001</c:v>
                </c:pt>
                <c:pt idx="32">
                  <c:v>13.0023</c:v>
                </c:pt>
                <c:pt idx="33">
                  <c:v>13.408799999999999</c:v>
                </c:pt>
                <c:pt idx="34">
                  <c:v>13.8164</c:v>
                </c:pt>
                <c:pt idx="35">
                  <c:v>14.224299999999999</c:v>
                </c:pt>
                <c:pt idx="36">
                  <c:v>14.6282</c:v>
                </c:pt>
                <c:pt idx="37">
                  <c:v>15.033300000000001</c:v>
                </c:pt>
                <c:pt idx="38">
                  <c:v>15.4414</c:v>
                </c:pt>
                <c:pt idx="39">
                  <c:v>15.849</c:v>
                </c:pt>
                <c:pt idx="40">
                  <c:v>16.255500000000001</c:v>
                </c:pt>
                <c:pt idx="41">
                  <c:v>16.660399999999999</c:v>
                </c:pt>
                <c:pt idx="42">
                  <c:v>17.063700000000001</c:v>
                </c:pt>
                <c:pt idx="43">
                  <c:v>17.473199999999999</c:v>
                </c:pt>
                <c:pt idx="44">
                  <c:v>17.8765</c:v>
                </c:pt>
                <c:pt idx="45">
                  <c:v>18.285900000000002</c:v>
                </c:pt>
                <c:pt idx="46">
                  <c:v>18.6921</c:v>
                </c:pt>
                <c:pt idx="47">
                  <c:v>19.096900000000002</c:v>
                </c:pt>
                <c:pt idx="48">
                  <c:v>19.501999999999999</c:v>
                </c:pt>
                <c:pt idx="49">
                  <c:v>19.908100000000001</c:v>
                </c:pt>
                <c:pt idx="50">
                  <c:v>20.3139</c:v>
                </c:pt>
                <c:pt idx="51">
                  <c:v>20.721599999999999</c:v>
                </c:pt>
                <c:pt idx="52">
                  <c:v>21.1294</c:v>
                </c:pt>
                <c:pt idx="53">
                  <c:v>21.5367</c:v>
                </c:pt>
                <c:pt idx="54">
                  <c:v>21.940799999999999</c:v>
                </c:pt>
                <c:pt idx="55">
                  <c:v>22.345099999999999</c:v>
                </c:pt>
                <c:pt idx="56">
                  <c:v>22.750399999999999</c:v>
                </c:pt>
                <c:pt idx="57">
                  <c:v>23.1615</c:v>
                </c:pt>
                <c:pt idx="58">
                  <c:v>23.5669</c:v>
                </c:pt>
                <c:pt idx="59">
                  <c:v>23.973800000000001</c:v>
                </c:pt>
                <c:pt idx="60">
                  <c:v>24.3782</c:v>
                </c:pt>
                <c:pt idx="61">
                  <c:v>24.783100000000001</c:v>
                </c:pt>
                <c:pt idx="62">
                  <c:v>25.191400000000002</c:v>
                </c:pt>
                <c:pt idx="63">
                  <c:v>25.5975</c:v>
                </c:pt>
                <c:pt idx="64">
                  <c:v>26.002300000000002</c:v>
                </c:pt>
                <c:pt idx="65">
                  <c:v>26.409099999999999</c:v>
                </c:pt>
                <c:pt idx="66">
                  <c:v>26.814299999999999</c:v>
                </c:pt>
                <c:pt idx="67">
                  <c:v>27.2225</c:v>
                </c:pt>
                <c:pt idx="68">
                  <c:v>27.628499999999999</c:v>
                </c:pt>
                <c:pt idx="69">
                  <c:v>28.036799999999999</c:v>
                </c:pt>
                <c:pt idx="70">
                  <c:v>28.4436</c:v>
                </c:pt>
                <c:pt idx="71">
                  <c:v>28.8444</c:v>
                </c:pt>
                <c:pt idx="72">
                  <c:v>29.254300000000001</c:v>
                </c:pt>
                <c:pt idx="73">
                  <c:v>29.660499999999999</c:v>
                </c:pt>
                <c:pt idx="74">
                  <c:v>30.066299999999998</c:v>
                </c:pt>
                <c:pt idx="75">
                  <c:v>30.552900000000001</c:v>
                </c:pt>
                <c:pt idx="76">
                  <c:v>30.9404</c:v>
                </c:pt>
                <c:pt idx="77">
                  <c:v>31.332000000000001</c:v>
                </c:pt>
                <c:pt idx="78">
                  <c:v>31.736699999999999</c:v>
                </c:pt>
                <c:pt idx="79">
                  <c:v>32.142000000000003</c:v>
                </c:pt>
                <c:pt idx="80">
                  <c:v>32.547600000000003</c:v>
                </c:pt>
                <c:pt idx="81">
                  <c:v>32.957799999999999</c:v>
                </c:pt>
                <c:pt idx="82">
                  <c:v>33.361400000000003</c:v>
                </c:pt>
                <c:pt idx="83">
                  <c:v>33.767299999999999</c:v>
                </c:pt>
                <c:pt idx="84">
                  <c:v>34.175600000000003</c:v>
                </c:pt>
                <c:pt idx="85">
                  <c:v>34.583199999999998</c:v>
                </c:pt>
                <c:pt idx="86">
                  <c:v>34.985799999999998</c:v>
                </c:pt>
                <c:pt idx="87">
                  <c:v>35.391800000000003</c:v>
                </c:pt>
                <c:pt idx="88">
                  <c:v>35.799500000000002</c:v>
                </c:pt>
                <c:pt idx="89">
                  <c:v>36.208399999999997</c:v>
                </c:pt>
                <c:pt idx="90">
                  <c:v>36.612400000000001</c:v>
                </c:pt>
                <c:pt idx="91">
                  <c:v>37.020299999999999</c:v>
                </c:pt>
                <c:pt idx="92">
                  <c:v>37.425199999999997</c:v>
                </c:pt>
                <c:pt idx="93">
                  <c:v>37.832299999999996</c:v>
                </c:pt>
                <c:pt idx="94">
                  <c:v>38.240200000000002</c:v>
                </c:pt>
                <c:pt idx="95">
                  <c:v>38.645099999999999</c:v>
                </c:pt>
                <c:pt idx="96">
                  <c:v>39.051400000000001</c:v>
                </c:pt>
                <c:pt idx="97">
                  <c:v>39.455599999999997</c:v>
                </c:pt>
                <c:pt idx="98">
                  <c:v>39.859900000000003</c:v>
                </c:pt>
                <c:pt idx="99">
                  <c:v>40.269599999999997</c:v>
                </c:pt>
                <c:pt idx="100">
                  <c:v>40.677399999999999</c:v>
                </c:pt>
                <c:pt idx="101">
                  <c:v>41.080500000000001</c:v>
                </c:pt>
                <c:pt idx="102">
                  <c:v>41.487699999999997</c:v>
                </c:pt>
                <c:pt idx="103">
                  <c:v>41.891399999999997</c:v>
                </c:pt>
                <c:pt idx="104">
                  <c:v>42.3001</c:v>
                </c:pt>
                <c:pt idx="105">
                  <c:v>42.707900000000002</c:v>
                </c:pt>
                <c:pt idx="106">
                  <c:v>43.113</c:v>
                </c:pt>
                <c:pt idx="107">
                  <c:v>43.5167</c:v>
                </c:pt>
                <c:pt idx="108">
                  <c:v>43.925199999999997</c:v>
                </c:pt>
                <c:pt idx="109">
                  <c:v>44.3322</c:v>
                </c:pt>
                <c:pt idx="110">
                  <c:v>44.739199999999997</c:v>
                </c:pt>
                <c:pt idx="111">
                  <c:v>45.142499999999998</c:v>
                </c:pt>
                <c:pt idx="112">
                  <c:v>45.548299999999998</c:v>
                </c:pt>
                <c:pt idx="113">
                  <c:v>45.955500000000001</c:v>
                </c:pt>
                <c:pt idx="114">
                  <c:v>46.362299999999998</c:v>
                </c:pt>
                <c:pt idx="115">
                  <c:v>46.765900000000002</c:v>
                </c:pt>
                <c:pt idx="116">
                  <c:v>47.1723</c:v>
                </c:pt>
                <c:pt idx="117">
                  <c:v>47.581000000000003</c:v>
                </c:pt>
                <c:pt idx="118">
                  <c:v>47.989800000000002</c:v>
                </c:pt>
                <c:pt idx="119">
                  <c:v>48.3917</c:v>
                </c:pt>
                <c:pt idx="120">
                  <c:v>48.796999999999997</c:v>
                </c:pt>
                <c:pt idx="121">
                  <c:v>49.2042</c:v>
                </c:pt>
                <c:pt idx="122">
                  <c:v>49.612400000000001</c:v>
                </c:pt>
                <c:pt idx="123">
                  <c:v>50.015999999999998</c:v>
                </c:pt>
                <c:pt idx="124">
                  <c:v>50.424300000000002</c:v>
                </c:pt>
                <c:pt idx="125">
                  <c:v>50.830399999999997</c:v>
                </c:pt>
                <c:pt idx="126">
                  <c:v>51.236499999999999</c:v>
                </c:pt>
                <c:pt idx="127">
                  <c:v>51.641800000000003</c:v>
                </c:pt>
                <c:pt idx="128">
                  <c:v>52.0533</c:v>
                </c:pt>
                <c:pt idx="129">
                  <c:v>52.455399999999997</c:v>
                </c:pt>
                <c:pt idx="130">
                  <c:v>52.862099999999998</c:v>
                </c:pt>
                <c:pt idx="131">
                  <c:v>53.268000000000001</c:v>
                </c:pt>
                <c:pt idx="132">
                  <c:v>53.6721</c:v>
                </c:pt>
                <c:pt idx="133">
                  <c:v>54.082799999999999</c:v>
                </c:pt>
                <c:pt idx="134">
                  <c:v>54.486499999999999</c:v>
                </c:pt>
                <c:pt idx="135">
                  <c:v>54.890700000000002</c:v>
                </c:pt>
                <c:pt idx="136">
                  <c:v>55.297400000000003</c:v>
                </c:pt>
                <c:pt idx="137">
                  <c:v>55.707599999999999</c:v>
                </c:pt>
                <c:pt idx="138">
                  <c:v>56.113700000000001</c:v>
                </c:pt>
                <c:pt idx="139">
                  <c:v>56.5184</c:v>
                </c:pt>
                <c:pt idx="140">
                  <c:v>56.924399999999999</c:v>
                </c:pt>
                <c:pt idx="141">
                  <c:v>57.331000000000003</c:v>
                </c:pt>
                <c:pt idx="142">
                  <c:v>57.737499999999997</c:v>
                </c:pt>
                <c:pt idx="143">
                  <c:v>58.1434</c:v>
                </c:pt>
                <c:pt idx="144">
                  <c:v>58.552900000000001</c:v>
                </c:pt>
                <c:pt idx="145">
                  <c:v>58.954599999999999</c:v>
                </c:pt>
                <c:pt idx="146">
                  <c:v>59.360500000000002</c:v>
                </c:pt>
                <c:pt idx="147">
                  <c:v>59.768099999999997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2.6637200000000001</c:v>
                </c:pt>
                <c:pt idx="1">
                  <c:v>2.7526999999999999</c:v>
                </c:pt>
                <c:pt idx="2">
                  <c:v>2.84049</c:v>
                </c:pt>
                <c:pt idx="3">
                  <c:v>2.92591</c:v>
                </c:pt>
                <c:pt idx="4">
                  <c:v>3.01118</c:v>
                </c:pt>
                <c:pt idx="5">
                  <c:v>3.09558</c:v>
                </c:pt>
                <c:pt idx="6">
                  <c:v>3.1823899999999998</c:v>
                </c:pt>
                <c:pt idx="7">
                  <c:v>3.2720500000000001</c:v>
                </c:pt>
                <c:pt idx="8">
                  <c:v>3.3650799999999998</c:v>
                </c:pt>
                <c:pt idx="9">
                  <c:v>3.4586800000000002</c:v>
                </c:pt>
                <c:pt idx="10">
                  <c:v>3.5542600000000002</c:v>
                </c:pt>
                <c:pt idx="11">
                  <c:v>3.64567</c:v>
                </c:pt>
                <c:pt idx="12">
                  <c:v>3.73291</c:v>
                </c:pt>
                <c:pt idx="13">
                  <c:v>3.8202699999999998</c:v>
                </c:pt>
                <c:pt idx="14">
                  <c:v>3.9090999999999996</c:v>
                </c:pt>
                <c:pt idx="15">
                  <c:v>3.9889599999999996</c:v>
                </c:pt>
                <c:pt idx="16">
                  <c:v>4.0594700000000001</c:v>
                </c:pt>
                <c:pt idx="17">
                  <c:v>4.1210599999999999</c:v>
                </c:pt>
                <c:pt idx="18">
                  <c:v>4.1763000000000003</c:v>
                </c:pt>
                <c:pt idx="19">
                  <c:v>4.2244399999999995</c:v>
                </c:pt>
                <c:pt idx="20">
                  <c:v>4.2656400000000003</c:v>
                </c:pt>
                <c:pt idx="21">
                  <c:v>4.3013700000000004</c:v>
                </c:pt>
                <c:pt idx="22">
                  <c:v>4.3306399999999998</c:v>
                </c:pt>
                <c:pt idx="23">
                  <c:v>4.3511100000000003</c:v>
                </c:pt>
                <c:pt idx="24">
                  <c:v>4.3663299999999996</c:v>
                </c:pt>
                <c:pt idx="25">
                  <c:v>4.37087</c:v>
                </c:pt>
                <c:pt idx="26">
                  <c:v>4.3691200000000006</c:v>
                </c:pt>
                <c:pt idx="27">
                  <c:v>4.3666</c:v>
                </c:pt>
                <c:pt idx="28">
                  <c:v>4.3661799999999999</c:v>
                </c:pt>
                <c:pt idx="29">
                  <c:v>4.3674600000000003</c:v>
                </c:pt>
                <c:pt idx="30">
                  <c:v>4.3662400000000003</c:v>
                </c:pt>
                <c:pt idx="31">
                  <c:v>4.3605700000000001</c:v>
                </c:pt>
                <c:pt idx="32">
                  <c:v>4.3486099999999999</c:v>
                </c:pt>
                <c:pt idx="33">
                  <c:v>4.3317199999999998</c:v>
                </c:pt>
                <c:pt idx="34">
                  <c:v>4.3097500000000002</c:v>
                </c:pt>
                <c:pt idx="35">
                  <c:v>4.2854900000000002</c:v>
                </c:pt>
                <c:pt idx="36">
                  <c:v>4.2556799999999999</c:v>
                </c:pt>
                <c:pt idx="37">
                  <c:v>4.22384</c:v>
                </c:pt>
                <c:pt idx="38">
                  <c:v>4.1905299999999999</c:v>
                </c:pt>
                <c:pt idx="39">
                  <c:v>4.1529300000000005</c:v>
                </c:pt>
                <c:pt idx="40">
                  <c:v>4.1178600000000003</c:v>
                </c:pt>
                <c:pt idx="41">
                  <c:v>4.0865400000000003</c:v>
                </c:pt>
                <c:pt idx="42">
                  <c:v>4.0551900000000005</c:v>
                </c:pt>
                <c:pt idx="43">
                  <c:v>4.0201900000000004</c:v>
                </c:pt>
                <c:pt idx="44">
                  <c:v>3.98339</c:v>
                </c:pt>
                <c:pt idx="45">
                  <c:v>3.9500099999999998</c:v>
                </c:pt>
                <c:pt idx="46">
                  <c:v>3.9181599999999999</c:v>
                </c:pt>
                <c:pt idx="47">
                  <c:v>3.8904699999999997</c:v>
                </c:pt>
                <c:pt idx="48">
                  <c:v>3.86876</c:v>
                </c:pt>
                <c:pt idx="49">
                  <c:v>3.8477299999999999</c:v>
                </c:pt>
                <c:pt idx="50">
                  <c:v>3.8375300000000001</c:v>
                </c:pt>
                <c:pt idx="51">
                  <c:v>3.8232899999999996</c:v>
                </c:pt>
                <c:pt idx="52">
                  <c:v>3.8074400000000002</c:v>
                </c:pt>
                <c:pt idx="53">
                  <c:v>3.7831399999999999</c:v>
                </c:pt>
                <c:pt idx="54">
                  <c:v>3.7663799999999998</c:v>
                </c:pt>
                <c:pt idx="55">
                  <c:v>3.7454799999999997</c:v>
                </c:pt>
                <c:pt idx="56">
                  <c:v>3.7246099999999998</c:v>
                </c:pt>
                <c:pt idx="57">
                  <c:v>3.7016999999999998</c:v>
                </c:pt>
                <c:pt idx="58">
                  <c:v>3.6800100000000002</c:v>
                </c:pt>
                <c:pt idx="59">
                  <c:v>3.6566100000000001</c:v>
                </c:pt>
                <c:pt idx="60">
                  <c:v>3.6275900000000001</c:v>
                </c:pt>
                <c:pt idx="61">
                  <c:v>3.6106100000000003</c:v>
                </c:pt>
                <c:pt idx="62">
                  <c:v>3.5900500000000002</c:v>
                </c:pt>
                <c:pt idx="63">
                  <c:v>3.5698999999999996</c:v>
                </c:pt>
                <c:pt idx="64">
                  <c:v>3.5534400000000002</c:v>
                </c:pt>
                <c:pt idx="65">
                  <c:v>3.5321899999999999</c:v>
                </c:pt>
                <c:pt idx="66">
                  <c:v>3.5117799999999999</c:v>
                </c:pt>
                <c:pt idx="67">
                  <c:v>3.4929500000000004</c:v>
                </c:pt>
                <c:pt idx="68">
                  <c:v>3.4833099999999999</c:v>
                </c:pt>
                <c:pt idx="69">
                  <c:v>3.4830899999999998</c:v>
                </c:pt>
                <c:pt idx="70">
                  <c:v>3.4855599999999995</c:v>
                </c:pt>
                <c:pt idx="71">
                  <c:v>3.4847099999999998</c:v>
                </c:pt>
                <c:pt idx="72">
                  <c:v>3.5005599999999997</c:v>
                </c:pt>
                <c:pt idx="73">
                  <c:v>3.5139999999999998</c:v>
                </c:pt>
                <c:pt idx="74">
                  <c:v>3.5342500000000001</c:v>
                </c:pt>
                <c:pt idx="75">
                  <c:v>3.5628199999999999</c:v>
                </c:pt>
                <c:pt idx="76">
                  <c:v>3.5935099999999998</c:v>
                </c:pt>
                <c:pt idx="77">
                  <c:v>3.6263099999999997</c:v>
                </c:pt>
                <c:pt idx="78">
                  <c:v>3.65699</c:v>
                </c:pt>
                <c:pt idx="79">
                  <c:v>3.6846399999999999</c:v>
                </c:pt>
                <c:pt idx="80">
                  <c:v>3.70865</c:v>
                </c:pt>
                <c:pt idx="81">
                  <c:v>3.7372300000000003</c:v>
                </c:pt>
                <c:pt idx="82">
                  <c:v>3.7675399999999999</c:v>
                </c:pt>
                <c:pt idx="83">
                  <c:v>3.8014799999999997</c:v>
                </c:pt>
                <c:pt idx="84">
                  <c:v>3.83508</c:v>
                </c:pt>
                <c:pt idx="85">
                  <c:v>3.8678900000000001</c:v>
                </c:pt>
                <c:pt idx="86">
                  <c:v>3.8990999999999998</c:v>
                </c:pt>
                <c:pt idx="87">
                  <c:v>3.9234999999999998</c:v>
                </c:pt>
                <c:pt idx="88">
                  <c:v>3.9455400000000003</c:v>
                </c:pt>
                <c:pt idx="89">
                  <c:v>3.9641599999999997</c:v>
                </c:pt>
                <c:pt idx="90">
                  <c:v>3.9762300000000002</c:v>
                </c:pt>
                <c:pt idx="91">
                  <c:v>3.98617</c:v>
                </c:pt>
                <c:pt idx="92">
                  <c:v>3.9957700000000003</c:v>
                </c:pt>
                <c:pt idx="93">
                  <c:v>4.00366</c:v>
                </c:pt>
                <c:pt idx="94">
                  <c:v>4.0079199999999995</c:v>
                </c:pt>
                <c:pt idx="95">
                  <c:v>4.0085100000000002</c:v>
                </c:pt>
                <c:pt idx="96">
                  <c:v>4.00854</c:v>
                </c:pt>
                <c:pt idx="97">
                  <c:v>3.99925</c:v>
                </c:pt>
                <c:pt idx="98">
                  <c:v>3.9844299999999997</c:v>
                </c:pt>
                <c:pt idx="99">
                  <c:v>3.9649400000000004</c:v>
                </c:pt>
                <c:pt idx="100">
                  <c:v>3.93628</c:v>
                </c:pt>
                <c:pt idx="101">
                  <c:v>3.9051900000000002</c:v>
                </c:pt>
                <c:pt idx="102">
                  <c:v>3.8734700000000002</c:v>
                </c:pt>
                <c:pt idx="103">
                  <c:v>3.8446399999999996</c:v>
                </c:pt>
                <c:pt idx="104">
                  <c:v>3.8194099999999995</c:v>
                </c:pt>
                <c:pt idx="105">
                  <c:v>3.7976300000000003</c:v>
                </c:pt>
                <c:pt idx="106">
                  <c:v>3.7729200000000001</c:v>
                </c:pt>
                <c:pt idx="107">
                  <c:v>3.7475100000000001</c:v>
                </c:pt>
                <c:pt idx="108">
                  <c:v>3.7255700000000003</c:v>
                </c:pt>
                <c:pt idx="109">
                  <c:v>3.7079200000000001</c:v>
                </c:pt>
                <c:pt idx="110">
                  <c:v>3.6950599999999998</c:v>
                </c:pt>
                <c:pt idx="111">
                  <c:v>3.6842299999999999</c:v>
                </c:pt>
                <c:pt idx="112">
                  <c:v>3.6764099999999997</c:v>
                </c:pt>
                <c:pt idx="113">
                  <c:v>3.6707700000000001</c:v>
                </c:pt>
                <c:pt idx="114">
                  <c:v>3.6667399999999999</c:v>
                </c:pt>
                <c:pt idx="115">
                  <c:v>3.6685699999999999</c:v>
                </c:pt>
                <c:pt idx="116">
                  <c:v>3.6737199999999999</c:v>
                </c:pt>
                <c:pt idx="117">
                  <c:v>3.6832900000000004</c:v>
                </c:pt>
                <c:pt idx="118">
                  <c:v>3.6913400000000003</c:v>
                </c:pt>
                <c:pt idx="119">
                  <c:v>3.7028600000000003</c:v>
                </c:pt>
                <c:pt idx="120">
                  <c:v>3.7163900000000001</c:v>
                </c:pt>
                <c:pt idx="121">
                  <c:v>3.7314799999999999</c:v>
                </c:pt>
                <c:pt idx="122">
                  <c:v>3.7494499999999995</c:v>
                </c:pt>
                <c:pt idx="123">
                  <c:v>3.7681800000000001</c:v>
                </c:pt>
                <c:pt idx="124">
                  <c:v>3.7764500000000001</c:v>
                </c:pt>
                <c:pt idx="125">
                  <c:v>3.78938</c:v>
                </c:pt>
                <c:pt idx="126">
                  <c:v>3.8041</c:v>
                </c:pt>
                <c:pt idx="127">
                  <c:v>3.81934</c:v>
                </c:pt>
                <c:pt idx="128">
                  <c:v>3.8336199999999998</c:v>
                </c:pt>
                <c:pt idx="129">
                  <c:v>3.84849</c:v>
                </c:pt>
                <c:pt idx="130">
                  <c:v>3.8634200000000001</c:v>
                </c:pt>
                <c:pt idx="131">
                  <c:v>3.8815400000000002</c:v>
                </c:pt>
                <c:pt idx="132">
                  <c:v>3.8976199999999999</c:v>
                </c:pt>
                <c:pt idx="133">
                  <c:v>3.9107599999999998</c:v>
                </c:pt>
                <c:pt idx="134">
                  <c:v>3.9233000000000002</c:v>
                </c:pt>
                <c:pt idx="135">
                  <c:v>3.9332400000000001</c:v>
                </c:pt>
                <c:pt idx="136">
                  <c:v>3.9375300000000002</c:v>
                </c:pt>
                <c:pt idx="137">
                  <c:v>3.9433400000000001</c:v>
                </c:pt>
                <c:pt idx="138">
                  <c:v>3.9554299999999998</c:v>
                </c:pt>
                <c:pt idx="139">
                  <c:v>3.9717500000000001</c:v>
                </c:pt>
                <c:pt idx="140">
                  <c:v>3.9902100000000003</c:v>
                </c:pt>
                <c:pt idx="141">
                  <c:v>4.0113399999999997</c:v>
                </c:pt>
                <c:pt idx="142">
                  <c:v>4.0284199999999997</c:v>
                </c:pt>
                <c:pt idx="143">
                  <c:v>4.0512100000000002</c:v>
                </c:pt>
                <c:pt idx="144">
                  <c:v>4.0607500000000005</c:v>
                </c:pt>
                <c:pt idx="145">
                  <c:v>4.0728999999999997</c:v>
                </c:pt>
                <c:pt idx="146">
                  <c:v>4.0594799999999998</c:v>
                </c:pt>
                <c:pt idx="147">
                  <c:v>4.0493100000000002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0.40949799999999997</c:v>
                </c:pt>
                <c:pt idx="2">
                  <c:v>0.81644000000000005</c:v>
                </c:pt>
                <c:pt idx="3">
                  <c:v>1.2219500000000001</c:v>
                </c:pt>
                <c:pt idx="4">
                  <c:v>1.6272599999999999</c:v>
                </c:pt>
                <c:pt idx="5">
                  <c:v>2.0316399999999999</c:v>
                </c:pt>
                <c:pt idx="6">
                  <c:v>2.4409299999999998</c:v>
                </c:pt>
                <c:pt idx="7">
                  <c:v>2.8479199999999998</c:v>
                </c:pt>
                <c:pt idx="8">
                  <c:v>3.2521499999999999</c:v>
                </c:pt>
                <c:pt idx="9">
                  <c:v>3.6577799999999998</c:v>
                </c:pt>
                <c:pt idx="10">
                  <c:v>4.0630199999999999</c:v>
                </c:pt>
                <c:pt idx="11">
                  <c:v>4.4715400000000001</c:v>
                </c:pt>
                <c:pt idx="12">
                  <c:v>4.8794599999999999</c:v>
                </c:pt>
                <c:pt idx="13">
                  <c:v>5.2852499999999996</c:v>
                </c:pt>
                <c:pt idx="14">
                  <c:v>5.6887499999999998</c:v>
                </c:pt>
                <c:pt idx="15">
                  <c:v>6.0955700000000004</c:v>
                </c:pt>
                <c:pt idx="16">
                  <c:v>6.5057600000000004</c:v>
                </c:pt>
                <c:pt idx="17">
                  <c:v>6.9099700000000004</c:v>
                </c:pt>
                <c:pt idx="18">
                  <c:v>7.3155900000000003</c:v>
                </c:pt>
                <c:pt idx="19">
                  <c:v>7.7207100000000004</c:v>
                </c:pt>
                <c:pt idx="20">
                  <c:v>8.1276600000000006</c:v>
                </c:pt>
                <c:pt idx="21">
                  <c:v>8.5335800000000006</c:v>
                </c:pt>
                <c:pt idx="22">
                  <c:v>8.9401499999999992</c:v>
                </c:pt>
                <c:pt idx="23">
                  <c:v>9.3497599999999998</c:v>
                </c:pt>
                <c:pt idx="24">
                  <c:v>9.7508900000000001</c:v>
                </c:pt>
                <c:pt idx="25">
                  <c:v>10.1608</c:v>
                </c:pt>
                <c:pt idx="26">
                  <c:v>10.5656</c:v>
                </c:pt>
                <c:pt idx="27">
                  <c:v>10.969900000000001</c:v>
                </c:pt>
                <c:pt idx="28">
                  <c:v>11.3779</c:v>
                </c:pt>
                <c:pt idx="29">
                  <c:v>11.784000000000001</c:v>
                </c:pt>
                <c:pt idx="30">
                  <c:v>12.191800000000001</c:v>
                </c:pt>
                <c:pt idx="31">
                  <c:v>12.597300000000001</c:v>
                </c:pt>
                <c:pt idx="32">
                  <c:v>13.0023</c:v>
                </c:pt>
                <c:pt idx="33">
                  <c:v>13.408799999999999</c:v>
                </c:pt>
                <c:pt idx="34">
                  <c:v>13.8164</c:v>
                </c:pt>
                <c:pt idx="35">
                  <c:v>14.224299999999999</c:v>
                </c:pt>
                <c:pt idx="36">
                  <c:v>14.6282</c:v>
                </c:pt>
                <c:pt idx="37">
                  <c:v>15.033300000000001</c:v>
                </c:pt>
                <c:pt idx="38">
                  <c:v>15.4414</c:v>
                </c:pt>
                <c:pt idx="39">
                  <c:v>15.849</c:v>
                </c:pt>
                <c:pt idx="40">
                  <c:v>16.255500000000001</c:v>
                </c:pt>
                <c:pt idx="41">
                  <c:v>16.660399999999999</c:v>
                </c:pt>
                <c:pt idx="42">
                  <c:v>17.063700000000001</c:v>
                </c:pt>
                <c:pt idx="43">
                  <c:v>17.473199999999999</c:v>
                </c:pt>
                <c:pt idx="44">
                  <c:v>17.8765</c:v>
                </c:pt>
                <c:pt idx="45">
                  <c:v>18.285900000000002</c:v>
                </c:pt>
                <c:pt idx="46">
                  <c:v>18.6921</c:v>
                </c:pt>
                <c:pt idx="47">
                  <c:v>19.096900000000002</c:v>
                </c:pt>
                <c:pt idx="48">
                  <c:v>19.501999999999999</c:v>
                </c:pt>
                <c:pt idx="49">
                  <c:v>19.908100000000001</c:v>
                </c:pt>
                <c:pt idx="50">
                  <c:v>20.3139</c:v>
                </c:pt>
                <c:pt idx="51">
                  <c:v>20.721599999999999</c:v>
                </c:pt>
                <c:pt idx="52">
                  <c:v>21.1294</c:v>
                </c:pt>
                <c:pt idx="53">
                  <c:v>21.5367</c:v>
                </c:pt>
                <c:pt idx="54">
                  <c:v>21.940799999999999</c:v>
                </c:pt>
                <c:pt idx="55">
                  <c:v>22.345099999999999</c:v>
                </c:pt>
                <c:pt idx="56">
                  <c:v>22.750399999999999</c:v>
                </c:pt>
                <c:pt idx="57">
                  <c:v>23.1615</c:v>
                </c:pt>
                <c:pt idx="58">
                  <c:v>23.5669</c:v>
                </c:pt>
                <c:pt idx="59">
                  <c:v>23.973800000000001</c:v>
                </c:pt>
                <c:pt idx="60">
                  <c:v>24.3782</c:v>
                </c:pt>
                <c:pt idx="61">
                  <c:v>24.783100000000001</c:v>
                </c:pt>
                <c:pt idx="62">
                  <c:v>25.191400000000002</c:v>
                </c:pt>
                <c:pt idx="63">
                  <c:v>25.5975</c:v>
                </c:pt>
                <c:pt idx="64">
                  <c:v>26.002300000000002</c:v>
                </c:pt>
                <c:pt idx="65">
                  <c:v>26.409099999999999</c:v>
                </c:pt>
                <c:pt idx="66">
                  <c:v>26.814299999999999</c:v>
                </c:pt>
                <c:pt idx="67">
                  <c:v>27.2225</c:v>
                </c:pt>
                <c:pt idx="68">
                  <c:v>27.628499999999999</c:v>
                </c:pt>
                <c:pt idx="69">
                  <c:v>28.036799999999999</c:v>
                </c:pt>
                <c:pt idx="70">
                  <c:v>28.4436</c:v>
                </c:pt>
                <c:pt idx="71">
                  <c:v>28.8444</c:v>
                </c:pt>
                <c:pt idx="72">
                  <c:v>29.254300000000001</c:v>
                </c:pt>
                <c:pt idx="73">
                  <c:v>29.660499999999999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2.6637200000000001</c:v>
                </c:pt>
                <c:pt idx="1">
                  <c:v>2.7526999999999999</c:v>
                </c:pt>
                <c:pt idx="2">
                  <c:v>2.84049</c:v>
                </c:pt>
                <c:pt idx="3">
                  <c:v>2.92591</c:v>
                </c:pt>
                <c:pt idx="4">
                  <c:v>3.01118</c:v>
                </c:pt>
                <c:pt idx="5">
                  <c:v>3.09558</c:v>
                </c:pt>
                <c:pt idx="6">
                  <c:v>3.1823899999999998</c:v>
                </c:pt>
                <c:pt idx="7">
                  <c:v>3.2720500000000001</c:v>
                </c:pt>
                <c:pt idx="8">
                  <c:v>3.3650799999999998</c:v>
                </c:pt>
                <c:pt idx="9">
                  <c:v>3.4586800000000002</c:v>
                </c:pt>
                <c:pt idx="10">
                  <c:v>3.5542600000000002</c:v>
                </c:pt>
                <c:pt idx="11">
                  <c:v>3.64567</c:v>
                </c:pt>
                <c:pt idx="12">
                  <c:v>3.73291</c:v>
                </c:pt>
                <c:pt idx="13">
                  <c:v>3.8202699999999998</c:v>
                </c:pt>
                <c:pt idx="14">
                  <c:v>3.9090999999999996</c:v>
                </c:pt>
                <c:pt idx="15">
                  <c:v>3.9889599999999996</c:v>
                </c:pt>
                <c:pt idx="16">
                  <c:v>4.0594700000000001</c:v>
                </c:pt>
                <c:pt idx="17">
                  <c:v>4.1210599999999999</c:v>
                </c:pt>
                <c:pt idx="18">
                  <c:v>4.1763000000000003</c:v>
                </c:pt>
                <c:pt idx="19">
                  <c:v>4.2244399999999995</c:v>
                </c:pt>
                <c:pt idx="20">
                  <c:v>4.2656400000000003</c:v>
                </c:pt>
                <c:pt idx="21">
                  <c:v>4.3013700000000004</c:v>
                </c:pt>
                <c:pt idx="22">
                  <c:v>4.3306399999999998</c:v>
                </c:pt>
                <c:pt idx="23">
                  <c:v>4.3511100000000003</c:v>
                </c:pt>
                <c:pt idx="24">
                  <c:v>4.3663299999999996</c:v>
                </c:pt>
                <c:pt idx="25">
                  <c:v>4.37087</c:v>
                </c:pt>
                <c:pt idx="26">
                  <c:v>4.3691200000000006</c:v>
                </c:pt>
                <c:pt idx="27">
                  <c:v>4.3666</c:v>
                </c:pt>
                <c:pt idx="28">
                  <c:v>4.3661799999999999</c:v>
                </c:pt>
                <c:pt idx="29">
                  <c:v>4.3674600000000003</c:v>
                </c:pt>
                <c:pt idx="30">
                  <c:v>4.3662400000000003</c:v>
                </c:pt>
                <c:pt idx="31">
                  <c:v>4.3605700000000001</c:v>
                </c:pt>
                <c:pt idx="32">
                  <c:v>4.3486099999999999</c:v>
                </c:pt>
                <c:pt idx="33">
                  <c:v>4.3317199999999998</c:v>
                </c:pt>
                <c:pt idx="34">
                  <c:v>4.3097500000000002</c:v>
                </c:pt>
                <c:pt idx="35">
                  <c:v>4.2854900000000002</c:v>
                </c:pt>
                <c:pt idx="36">
                  <c:v>4.2556799999999999</c:v>
                </c:pt>
                <c:pt idx="37">
                  <c:v>4.22384</c:v>
                </c:pt>
                <c:pt idx="38">
                  <c:v>4.1905299999999999</c:v>
                </c:pt>
                <c:pt idx="39">
                  <c:v>4.1529300000000005</c:v>
                </c:pt>
                <c:pt idx="40">
                  <c:v>4.1178600000000003</c:v>
                </c:pt>
                <c:pt idx="41">
                  <c:v>4.0865400000000003</c:v>
                </c:pt>
                <c:pt idx="42">
                  <c:v>4.0551900000000005</c:v>
                </c:pt>
                <c:pt idx="43">
                  <c:v>4.0201900000000004</c:v>
                </c:pt>
                <c:pt idx="44">
                  <c:v>3.98339</c:v>
                </c:pt>
                <c:pt idx="45">
                  <c:v>3.9500099999999998</c:v>
                </c:pt>
                <c:pt idx="46">
                  <c:v>3.9181599999999999</c:v>
                </c:pt>
                <c:pt idx="47">
                  <c:v>3.8904699999999997</c:v>
                </c:pt>
                <c:pt idx="48">
                  <c:v>3.86876</c:v>
                </c:pt>
                <c:pt idx="49">
                  <c:v>3.8477299999999999</c:v>
                </c:pt>
                <c:pt idx="50">
                  <c:v>3.8375300000000001</c:v>
                </c:pt>
                <c:pt idx="51">
                  <c:v>3.8232899999999996</c:v>
                </c:pt>
                <c:pt idx="52">
                  <c:v>3.8074400000000002</c:v>
                </c:pt>
                <c:pt idx="53">
                  <c:v>3.7831399999999999</c:v>
                </c:pt>
                <c:pt idx="54">
                  <c:v>3.7663799999999998</c:v>
                </c:pt>
                <c:pt idx="55">
                  <c:v>3.7454799999999997</c:v>
                </c:pt>
                <c:pt idx="56">
                  <c:v>3.7246099999999998</c:v>
                </c:pt>
                <c:pt idx="57">
                  <c:v>3.7016999999999998</c:v>
                </c:pt>
                <c:pt idx="58">
                  <c:v>3.6800100000000002</c:v>
                </c:pt>
                <c:pt idx="59">
                  <c:v>3.6566100000000001</c:v>
                </c:pt>
                <c:pt idx="60">
                  <c:v>3.6275900000000001</c:v>
                </c:pt>
                <c:pt idx="61">
                  <c:v>3.6106100000000003</c:v>
                </c:pt>
                <c:pt idx="62">
                  <c:v>3.5900500000000002</c:v>
                </c:pt>
                <c:pt idx="63">
                  <c:v>3.5698999999999996</c:v>
                </c:pt>
                <c:pt idx="64">
                  <c:v>3.5534400000000002</c:v>
                </c:pt>
                <c:pt idx="65">
                  <c:v>3.5321899999999999</c:v>
                </c:pt>
                <c:pt idx="66">
                  <c:v>3.5117799999999999</c:v>
                </c:pt>
                <c:pt idx="67">
                  <c:v>3.4929500000000004</c:v>
                </c:pt>
                <c:pt idx="68">
                  <c:v>3.4833099999999999</c:v>
                </c:pt>
                <c:pt idx="69">
                  <c:v>3.4830899999999998</c:v>
                </c:pt>
                <c:pt idx="70">
                  <c:v>3.4855599999999995</c:v>
                </c:pt>
                <c:pt idx="71">
                  <c:v>3.4847099999999998</c:v>
                </c:pt>
                <c:pt idx="72">
                  <c:v>3.5005599999999997</c:v>
                </c:pt>
                <c:pt idx="73">
                  <c:v>3.5139999999999998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29.660499999999999</c:v>
                </c:pt>
                <c:pt idx="1">
                  <c:v>30.066299999999998</c:v>
                </c:pt>
                <c:pt idx="2">
                  <c:v>30.552900000000001</c:v>
                </c:pt>
                <c:pt idx="3">
                  <c:v>30.9404</c:v>
                </c:pt>
                <c:pt idx="4">
                  <c:v>31.332000000000001</c:v>
                </c:pt>
                <c:pt idx="5">
                  <c:v>31.736699999999999</c:v>
                </c:pt>
                <c:pt idx="6">
                  <c:v>32.142000000000003</c:v>
                </c:pt>
                <c:pt idx="7">
                  <c:v>32.547600000000003</c:v>
                </c:pt>
                <c:pt idx="8">
                  <c:v>32.957799999999999</c:v>
                </c:pt>
                <c:pt idx="9">
                  <c:v>33.361400000000003</c:v>
                </c:pt>
                <c:pt idx="10">
                  <c:v>33.767299999999999</c:v>
                </c:pt>
                <c:pt idx="11">
                  <c:v>34.175600000000003</c:v>
                </c:pt>
                <c:pt idx="12">
                  <c:v>34.583199999999998</c:v>
                </c:pt>
                <c:pt idx="13">
                  <c:v>34.985799999999998</c:v>
                </c:pt>
                <c:pt idx="14">
                  <c:v>35.391800000000003</c:v>
                </c:pt>
                <c:pt idx="15">
                  <c:v>35.799500000000002</c:v>
                </c:pt>
                <c:pt idx="16">
                  <c:v>36.208399999999997</c:v>
                </c:pt>
                <c:pt idx="17">
                  <c:v>36.612400000000001</c:v>
                </c:pt>
                <c:pt idx="18">
                  <c:v>37.020299999999999</c:v>
                </c:pt>
                <c:pt idx="19">
                  <c:v>37.425199999999997</c:v>
                </c:pt>
                <c:pt idx="20">
                  <c:v>37.832299999999996</c:v>
                </c:pt>
                <c:pt idx="21">
                  <c:v>38.240200000000002</c:v>
                </c:pt>
                <c:pt idx="22">
                  <c:v>38.645099999999999</c:v>
                </c:pt>
                <c:pt idx="23">
                  <c:v>39.051400000000001</c:v>
                </c:pt>
                <c:pt idx="24">
                  <c:v>39.455599999999997</c:v>
                </c:pt>
                <c:pt idx="25">
                  <c:v>39.859900000000003</c:v>
                </c:pt>
                <c:pt idx="26">
                  <c:v>40.269599999999997</c:v>
                </c:pt>
                <c:pt idx="27">
                  <c:v>40.677399999999999</c:v>
                </c:pt>
                <c:pt idx="28">
                  <c:v>41.080500000000001</c:v>
                </c:pt>
                <c:pt idx="29">
                  <c:v>41.487699999999997</c:v>
                </c:pt>
                <c:pt idx="30">
                  <c:v>41.891399999999997</c:v>
                </c:pt>
                <c:pt idx="31">
                  <c:v>42.3001</c:v>
                </c:pt>
                <c:pt idx="32">
                  <c:v>42.707900000000002</c:v>
                </c:pt>
                <c:pt idx="33">
                  <c:v>43.113</c:v>
                </c:pt>
                <c:pt idx="34">
                  <c:v>43.5167</c:v>
                </c:pt>
                <c:pt idx="35">
                  <c:v>43.925199999999997</c:v>
                </c:pt>
                <c:pt idx="36">
                  <c:v>44.3322</c:v>
                </c:pt>
                <c:pt idx="37">
                  <c:v>44.739199999999997</c:v>
                </c:pt>
                <c:pt idx="38">
                  <c:v>45.142499999999998</c:v>
                </c:pt>
                <c:pt idx="39">
                  <c:v>45.548299999999998</c:v>
                </c:pt>
                <c:pt idx="40">
                  <c:v>45.955500000000001</c:v>
                </c:pt>
                <c:pt idx="41">
                  <c:v>46.362299999999998</c:v>
                </c:pt>
                <c:pt idx="42">
                  <c:v>46.765900000000002</c:v>
                </c:pt>
                <c:pt idx="43">
                  <c:v>47.1723</c:v>
                </c:pt>
                <c:pt idx="44">
                  <c:v>47.581000000000003</c:v>
                </c:pt>
                <c:pt idx="45">
                  <c:v>47.989800000000002</c:v>
                </c:pt>
                <c:pt idx="46">
                  <c:v>48.3917</c:v>
                </c:pt>
                <c:pt idx="47">
                  <c:v>48.796999999999997</c:v>
                </c:pt>
                <c:pt idx="48">
                  <c:v>49.2042</c:v>
                </c:pt>
                <c:pt idx="49">
                  <c:v>49.612400000000001</c:v>
                </c:pt>
                <c:pt idx="50">
                  <c:v>50.015999999999998</c:v>
                </c:pt>
                <c:pt idx="51">
                  <c:v>50.424300000000002</c:v>
                </c:pt>
                <c:pt idx="52">
                  <c:v>50.830399999999997</c:v>
                </c:pt>
                <c:pt idx="53">
                  <c:v>51.236499999999999</c:v>
                </c:pt>
                <c:pt idx="54">
                  <c:v>51.641800000000003</c:v>
                </c:pt>
                <c:pt idx="55">
                  <c:v>52.0533</c:v>
                </c:pt>
                <c:pt idx="56">
                  <c:v>52.455399999999997</c:v>
                </c:pt>
                <c:pt idx="57">
                  <c:v>52.862099999999998</c:v>
                </c:pt>
                <c:pt idx="58">
                  <c:v>53.268000000000001</c:v>
                </c:pt>
                <c:pt idx="59">
                  <c:v>53.6721</c:v>
                </c:pt>
                <c:pt idx="60">
                  <c:v>54.082799999999999</c:v>
                </c:pt>
                <c:pt idx="61">
                  <c:v>54.486499999999999</c:v>
                </c:pt>
                <c:pt idx="62">
                  <c:v>54.890700000000002</c:v>
                </c:pt>
                <c:pt idx="63">
                  <c:v>55.297400000000003</c:v>
                </c:pt>
                <c:pt idx="64">
                  <c:v>55.707599999999999</c:v>
                </c:pt>
                <c:pt idx="65">
                  <c:v>56.113700000000001</c:v>
                </c:pt>
                <c:pt idx="66">
                  <c:v>56.5184</c:v>
                </c:pt>
                <c:pt idx="67">
                  <c:v>56.924399999999999</c:v>
                </c:pt>
                <c:pt idx="68">
                  <c:v>57.331000000000003</c:v>
                </c:pt>
                <c:pt idx="69">
                  <c:v>57.737499999999997</c:v>
                </c:pt>
                <c:pt idx="70">
                  <c:v>58.1434</c:v>
                </c:pt>
                <c:pt idx="71">
                  <c:v>58.552900000000001</c:v>
                </c:pt>
                <c:pt idx="72">
                  <c:v>58.954599999999999</c:v>
                </c:pt>
                <c:pt idx="73">
                  <c:v>59.360500000000002</c:v>
                </c:pt>
                <c:pt idx="74">
                  <c:v>59.768099999999997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3.5139999999999998</c:v>
                </c:pt>
                <c:pt idx="1">
                  <c:v>3.5342500000000001</c:v>
                </c:pt>
                <c:pt idx="2">
                  <c:v>3.5628199999999999</c:v>
                </c:pt>
                <c:pt idx="3">
                  <c:v>3.5935099999999998</c:v>
                </c:pt>
                <c:pt idx="4">
                  <c:v>3.6263099999999997</c:v>
                </c:pt>
                <c:pt idx="5">
                  <c:v>3.65699</c:v>
                </c:pt>
                <c:pt idx="6">
                  <c:v>3.6846399999999999</c:v>
                </c:pt>
                <c:pt idx="7">
                  <c:v>3.70865</c:v>
                </c:pt>
                <c:pt idx="8">
                  <c:v>3.7372300000000003</c:v>
                </c:pt>
                <c:pt idx="9">
                  <c:v>3.7675399999999999</c:v>
                </c:pt>
                <c:pt idx="10">
                  <c:v>3.8014799999999997</c:v>
                </c:pt>
                <c:pt idx="11">
                  <c:v>3.83508</c:v>
                </c:pt>
                <c:pt idx="12">
                  <c:v>3.8678900000000001</c:v>
                </c:pt>
                <c:pt idx="13">
                  <c:v>3.8990999999999998</c:v>
                </c:pt>
                <c:pt idx="14">
                  <c:v>3.9234999999999998</c:v>
                </c:pt>
                <c:pt idx="15">
                  <c:v>3.9455400000000003</c:v>
                </c:pt>
                <c:pt idx="16">
                  <c:v>3.9641599999999997</c:v>
                </c:pt>
                <c:pt idx="17">
                  <c:v>3.9762300000000002</c:v>
                </c:pt>
                <c:pt idx="18">
                  <c:v>3.98617</c:v>
                </c:pt>
                <c:pt idx="19">
                  <c:v>3.9957700000000003</c:v>
                </c:pt>
                <c:pt idx="20">
                  <c:v>4.00366</c:v>
                </c:pt>
                <c:pt idx="21">
                  <c:v>4.0079199999999995</c:v>
                </c:pt>
                <c:pt idx="22">
                  <c:v>4.0085100000000002</c:v>
                </c:pt>
                <c:pt idx="23">
                  <c:v>4.00854</c:v>
                </c:pt>
                <c:pt idx="24">
                  <c:v>3.99925</c:v>
                </c:pt>
                <c:pt idx="25">
                  <c:v>3.9844299999999997</c:v>
                </c:pt>
                <c:pt idx="26">
                  <c:v>3.9649400000000004</c:v>
                </c:pt>
                <c:pt idx="27">
                  <c:v>3.93628</c:v>
                </c:pt>
                <c:pt idx="28">
                  <c:v>3.9051900000000002</c:v>
                </c:pt>
                <c:pt idx="29">
                  <c:v>3.8734700000000002</c:v>
                </c:pt>
                <c:pt idx="30">
                  <c:v>3.8446399999999996</c:v>
                </c:pt>
                <c:pt idx="31">
                  <c:v>3.8194099999999995</c:v>
                </c:pt>
                <c:pt idx="32">
                  <c:v>3.7976300000000003</c:v>
                </c:pt>
                <c:pt idx="33">
                  <c:v>3.7729200000000001</c:v>
                </c:pt>
                <c:pt idx="34">
                  <c:v>3.7475100000000001</c:v>
                </c:pt>
                <c:pt idx="35">
                  <c:v>3.7255700000000003</c:v>
                </c:pt>
                <c:pt idx="36">
                  <c:v>3.7079200000000001</c:v>
                </c:pt>
                <c:pt idx="37">
                  <c:v>3.6950599999999998</c:v>
                </c:pt>
                <c:pt idx="38">
                  <c:v>3.6842299999999999</c:v>
                </c:pt>
                <c:pt idx="39">
                  <c:v>3.6764099999999997</c:v>
                </c:pt>
                <c:pt idx="40">
                  <c:v>3.6707700000000001</c:v>
                </c:pt>
                <c:pt idx="41">
                  <c:v>3.6667399999999999</c:v>
                </c:pt>
                <c:pt idx="42">
                  <c:v>3.6685699999999999</c:v>
                </c:pt>
                <c:pt idx="43">
                  <c:v>3.6737199999999999</c:v>
                </c:pt>
                <c:pt idx="44">
                  <c:v>3.6832900000000004</c:v>
                </c:pt>
                <c:pt idx="45">
                  <c:v>3.6913400000000003</c:v>
                </c:pt>
                <c:pt idx="46">
                  <c:v>3.7028600000000003</c:v>
                </c:pt>
                <c:pt idx="47">
                  <c:v>3.7163900000000001</c:v>
                </c:pt>
                <c:pt idx="48">
                  <c:v>3.7314799999999999</c:v>
                </c:pt>
                <c:pt idx="49">
                  <c:v>3.7494499999999995</c:v>
                </c:pt>
                <c:pt idx="50">
                  <c:v>3.7681800000000001</c:v>
                </c:pt>
                <c:pt idx="51">
                  <c:v>3.7764500000000001</c:v>
                </c:pt>
                <c:pt idx="52">
                  <c:v>3.78938</c:v>
                </c:pt>
                <c:pt idx="53">
                  <c:v>3.8041</c:v>
                </c:pt>
                <c:pt idx="54">
                  <c:v>3.81934</c:v>
                </c:pt>
                <c:pt idx="55">
                  <c:v>3.8336199999999998</c:v>
                </c:pt>
                <c:pt idx="56">
                  <c:v>3.84849</c:v>
                </c:pt>
                <c:pt idx="57">
                  <c:v>3.8634200000000001</c:v>
                </c:pt>
                <c:pt idx="58">
                  <c:v>3.8815400000000002</c:v>
                </c:pt>
                <c:pt idx="59">
                  <c:v>3.8976199999999999</c:v>
                </c:pt>
                <c:pt idx="60">
                  <c:v>3.9107599999999998</c:v>
                </c:pt>
                <c:pt idx="61">
                  <c:v>3.9233000000000002</c:v>
                </c:pt>
                <c:pt idx="62">
                  <c:v>3.9332400000000001</c:v>
                </c:pt>
                <c:pt idx="63">
                  <c:v>3.9375300000000002</c:v>
                </c:pt>
                <c:pt idx="64">
                  <c:v>3.9433400000000001</c:v>
                </c:pt>
                <c:pt idx="65">
                  <c:v>3.9554299999999998</c:v>
                </c:pt>
                <c:pt idx="66">
                  <c:v>3.9717500000000001</c:v>
                </c:pt>
                <c:pt idx="67">
                  <c:v>3.9902100000000003</c:v>
                </c:pt>
                <c:pt idx="68">
                  <c:v>4.0113399999999997</c:v>
                </c:pt>
                <c:pt idx="69">
                  <c:v>4.0284199999999997</c:v>
                </c:pt>
                <c:pt idx="70">
                  <c:v>4.0512100000000002</c:v>
                </c:pt>
                <c:pt idx="71">
                  <c:v>4.0607500000000005</c:v>
                </c:pt>
                <c:pt idx="72">
                  <c:v>4.0728999999999997</c:v>
                </c:pt>
                <c:pt idx="73">
                  <c:v>4.0594799999999998</c:v>
                </c:pt>
                <c:pt idx="74">
                  <c:v>4.0493100000000002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14.942024999999999</c:v>
                </c:pt>
                <c:pt idx="1">
                  <c:v>44.826074999999996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3.8214206756756757</c:v>
                </c:pt>
                <c:pt idx="1">
                  <c:v>3.8427847297297308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0.40949799999999997</c:v>
                </c:pt>
                <c:pt idx="2">
                  <c:v>0.81644000000000005</c:v>
                </c:pt>
                <c:pt idx="3">
                  <c:v>1.2219500000000001</c:v>
                </c:pt>
                <c:pt idx="4">
                  <c:v>1.6272599999999999</c:v>
                </c:pt>
                <c:pt idx="5">
                  <c:v>2.0316399999999999</c:v>
                </c:pt>
                <c:pt idx="6">
                  <c:v>2.4409299999999998</c:v>
                </c:pt>
                <c:pt idx="7">
                  <c:v>2.8479199999999998</c:v>
                </c:pt>
                <c:pt idx="8">
                  <c:v>3.2521499999999999</c:v>
                </c:pt>
                <c:pt idx="9">
                  <c:v>3.6577799999999998</c:v>
                </c:pt>
                <c:pt idx="10">
                  <c:v>4.0630199999999999</c:v>
                </c:pt>
                <c:pt idx="11">
                  <c:v>4.4715400000000001</c:v>
                </c:pt>
                <c:pt idx="12">
                  <c:v>4.8794599999999999</c:v>
                </c:pt>
                <c:pt idx="13">
                  <c:v>5.2852499999999996</c:v>
                </c:pt>
                <c:pt idx="14">
                  <c:v>5.6887499999999998</c:v>
                </c:pt>
                <c:pt idx="15">
                  <c:v>6.0955700000000004</c:v>
                </c:pt>
                <c:pt idx="16">
                  <c:v>6.5057600000000004</c:v>
                </c:pt>
                <c:pt idx="17">
                  <c:v>6.9099700000000004</c:v>
                </c:pt>
                <c:pt idx="18">
                  <c:v>7.3155900000000003</c:v>
                </c:pt>
                <c:pt idx="19">
                  <c:v>7.7207100000000004</c:v>
                </c:pt>
                <c:pt idx="20">
                  <c:v>8.1276600000000006</c:v>
                </c:pt>
                <c:pt idx="21">
                  <c:v>8.5335800000000006</c:v>
                </c:pt>
                <c:pt idx="22">
                  <c:v>8.9401499999999992</c:v>
                </c:pt>
                <c:pt idx="23">
                  <c:v>9.3497599999999998</c:v>
                </c:pt>
                <c:pt idx="24">
                  <c:v>9.7508900000000001</c:v>
                </c:pt>
                <c:pt idx="25">
                  <c:v>10.1608</c:v>
                </c:pt>
                <c:pt idx="26">
                  <c:v>10.5656</c:v>
                </c:pt>
                <c:pt idx="27">
                  <c:v>10.969900000000001</c:v>
                </c:pt>
                <c:pt idx="28">
                  <c:v>11.3779</c:v>
                </c:pt>
                <c:pt idx="29">
                  <c:v>11.784000000000001</c:v>
                </c:pt>
                <c:pt idx="30">
                  <c:v>12.191800000000001</c:v>
                </c:pt>
                <c:pt idx="31">
                  <c:v>12.597300000000001</c:v>
                </c:pt>
                <c:pt idx="32">
                  <c:v>13.0023</c:v>
                </c:pt>
                <c:pt idx="33">
                  <c:v>13.408799999999999</c:v>
                </c:pt>
                <c:pt idx="34">
                  <c:v>13.8164</c:v>
                </c:pt>
                <c:pt idx="35">
                  <c:v>14.224299999999999</c:v>
                </c:pt>
                <c:pt idx="36">
                  <c:v>14.6282</c:v>
                </c:pt>
                <c:pt idx="37">
                  <c:v>15.033300000000001</c:v>
                </c:pt>
                <c:pt idx="38">
                  <c:v>15.4414</c:v>
                </c:pt>
                <c:pt idx="39">
                  <c:v>15.849</c:v>
                </c:pt>
                <c:pt idx="40">
                  <c:v>16.255500000000001</c:v>
                </c:pt>
                <c:pt idx="41">
                  <c:v>16.660399999999999</c:v>
                </c:pt>
                <c:pt idx="42">
                  <c:v>17.063700000000001</c:v>
                </c:pt>
                <c:pt idx="43">
                  <c:v>17.473199999999999</c:v>
                </c:pt>
                <c:pt idx="44">
                  <c:v>17.8765</c:v>
                </c:pt>
                <c:pt idx="45">
                  <c:v>18.285900000000002</c:v>
                </c:pt>
                <c:pt idx="46">
                  <c:v>18.6921</c:v>
                </c:pt>
                <c:pt idx="47">
                  <c:v>19.096900000000002</c:v>
                </c:pt>
                <c:pt idx="48">
                  <c:v>19.501999999999999</c:v>
                </c:pt>
                <c:pt idx="49">
                  <c:v>19.908100000000001</c:v>
                </c:pt>
                <c:pt idx="50">
                  <c:v>20.3139</c:v>
                </c:pt>
                <c:pt idx="51">
                  <c:v>20.721599999999999</c:v>
                </c:pt>
                <c:pt idx="52">
                  <c:v>21.1294</c:v>
                </c:pt>
                <c:pt idx="53">
                  <c:v>21.5367</c:v>
                </c:pt>
                <c:pt idx="54">
                  <c:v>21.940799999999999</c:v>
                </c:pt>
                <c:pt idx="55">
                  <c:v>22.345099999999999</c:v>
                </c:pt>
                <c:pt idx="56">
                  <c:v>22.750399999999999</c:v>
                </c:pt>
                <c:pt idx="57">
                  <c:v>23.1615</c:v>
                </c:pt>
                <c:pt idx="58">
                  <c:v>23.5669</c:v>
                </c:pt>
                <c:pt idx="59">
                  <c:v>23.973800000000001</c:v>
                </c:pt>
                <c:pt idx="60">
                  <c:v>24.3782</c:v>
                </c:pt>
                <c:pt idx="61">
                  <c:v>24.783100000000001</c:v>
                </c:pt>
                <c:pt idx="62">
                  <c:v>25.191400000000002</c:v>
                </c:pt>
                <c:pt idx="63">
                  <c:v>25.5975</c:v>
                </c:pt>
                <c:pt idx="64">
                  <c:v>26.002300000000002</c:v>
                </c:pt>
                <c:pt idx="65">
                  <c:v>26.409099999999999</c:v>
                </c:pt>
                <c:pt idx="66">
                  <c:v>26.814299999999999</c:v>
                </c:pt>
                <c:pt idx="67">
                  <c:v>27.2225</c:v>
                </c:pt>
                <c:pt idx="68">
                  <c:v>27.628499999999999</c:v>
                </c:pt>
                <c:pt idx="69">
                  <c:v>28.036799999999999</c:v>
                </c:pt>
                <c:pt idx="70">
                  <c:v>28.4436</c:v>
                </c:pt>
                <c:pt idx="71">
                  <c:v>28.8444</c:v>
                </c:pt>
                <c:pt idx="72">
                  <c:v>29.254300000000001</c:v>
                </c:pt>
                <c:pt idx="73">
                  <c:v>29.660499999999999</c:v>
                </c:pt>
                <c:pt idx="74">
                  <c:v>30.066299999999998</c:v>
                </c:pt>
                <c:pt idx="75">
                  <c:v>30.552900000000001</c:v>
                </c:pt>
                <c:pt idx="76">
                  <c:v>30.9404</c:v>
                </c:pt>
                <c:pt idx="77">
                  <c:v>31.332000000000001</c:v>
                </c:pt>
                <c:pt idx="78">
                  <c:v>31.736699999999999</c:v>
                </c:pt>
                <c:pt idx="79">
                  <c:v>32.142000000000003</c:v>
                </c:pt>
                <c:pt idx="80">
                  <c:v>32.547600000000003</c:v>
                </c:pt>
                <c:pt idx="81">
                  <c:v>32.957799999999999</c:v>
                </c:pt>
                <c:pt idx="82">
                  <c:v>33.361400000000003</c:v>
                </c:pt>
                <c:pt idx="83">
                  <c:v>33.767299999999999</c:v>
                </c:pt>
                <c:pt idx="84">
                  <c:v>34.175600000000003</c:v>
                </c:pt>
                <c:pt idx="85">
                  <c:v>34.583199999999998</c:v>
                </c:pt>
                <c:pt idx="86">
                  <c:v>34.985799999999998</c:v>
                </c:pt>
                <c:pt idx="87">
                  <c:v>35.391800000000003</c:v>
                </c:pt>
                <c:pt idx="88">
                  <c:v>35.799500000000002</c:v>
                </c:pt>
                <c:pt idx="89">
                  <c:v>36.208399999999997</c:v>
                </c:pt>
                <c:pt idx="90">
                  <c:v>36.612400000000001</c:v>
                </c:pt>
                <c:pt idx="91">
                  <c:v>37.020299999999999</c:v>
                </c:pt>
                <c:pt idx="92">
                  <c:v>37.425199999999997</c:v>
                </c:pt>
                <c:pt idx="93">
                  <c:v>37.832299999999996</c:v>
                </c:pt>
                <c:pt idx="94">
                  <c:v>38.240200000000002</c:v>
                </c:pt>
                <c:pt idx="95">
                  <c:v>38.645099999999999</c:v>
                </c:pt>
                <c:pt idx="96">
                  <c:v>39.051400000000001</c:v>
                </c:pt>
                <c:pt idx="97">
                  <c:v>39.455599999999997</c:v>
                </c:pt>
                <c:pt idx="98">
                  <c:v>39.859900000000003</c:v>
                </c:pt>
                <c:pt idx="99">
                  <c:v>40.269599999999997</c:v>
                </c:pt>
                <c:pt idx="100">
                  <c:v>40.677399999999999</c:v>
                </c:pt>
                <c:pt idx="101">
                  <c:v>41.080500000000001</c:v>
                </c:pt>
                <c:pt idx="102">
                  <c:v>41.487699999999997</c:v>
                </c:pt>
                <c:pt idx="103">
                  <c:v>41.891399999999997</c:v>
                </c:pt>
                <c:pt idx="104">
                  <c:v>42.3001</c:v>
                </c:pt>
                <c:pt idx="105">
                  <c:v>42.707900000000002</c:v>
                </c:pt>
                <c:pt idx="106">
                  <c:v>43.113</c:v>
                </c:pt>
                <c:pt idx="107">
                  <c:v>43.5167</c:v>
                </c:pt>
                <c:pt idx="108">
                  <c:v>43.925199999999997</c:v>
                </c:pt>
                <c:pt idx="109">
                  <c:v>44.3322</c:v>
                </c:pt>
                <c:pt idx="110">
                  <c:v>44.739199999999997</c:v>
                </c:pt>
                <c:pt idx="111">
                  <c:v>45.142499999999998</c:v>
                </c:pt>
                <c:pt idx="112">
                  <c:v>45.548299999999998</c:v>
                </c:pt>
                <c:pt idx="113">
                  <c:v>45.955500000000001</c:v>
                </c:pt>
                <c:pt idx="114">
                  <c:v>46.362299999999998</c:v>
                </c:pt>
                <c:pt idx="115">
                  <c:v>46.765900000000002</c:v>
                </c:pt>
                <c:pt idx="116">
                  <c:v>47.1723</c:v>
                </c:pt>
                <c:pt idx="117">
                  <c:v>47.581000000000003</c:v>
                </c:pt>
                <c:pt idx="118">
                  <c:v>47.989800000000002</c:v>
                </c:pt>
                <c:pt idx="119">
                  <c:v>48.3917</c:v>
                </c:pt>
                <c:pt idx="120">
                  <c:v>48.796999999999997</c:v>
                </c:pt>
                <c:pt idx="121">
                  <c:v>49.2042</c:v>
                </c:pt>
                <c:pt idx="122">
                  <c:v>49.612400000000001</c:v>
                </c:pt>
                <c:pt idx="123">
                  <c:v>50.015999999999998</c:v>
                </c:pt>
                <c:pt idx="124">
                  <c:v>50.424300000000002</c:v>
                </c:pt>
                <c:pt idx="125">
                  <c:v>50.830399999999997</c:v>
                </c:pt>
                <c:pt idx="126">
                  <c:v>51.236499999999999</c:v>
                </c:pt>
                <c:pt idx="127">
                  <c:v>51.641800000000003</c:v>
                </c:pt>
                <c:pt idx="128">
                  <c:v>52.0533</c:v>
                </c:pt>
                <c:pt idx="129">
                  <c:v>52.455399999999997</c:v>
                </c:pt>
                <c:pt idx="130">
                  <c:v>52.862099999999998</c:v>
                </c:pt>
                <c:pt idx="131">
                  <c:v>53.268000000000001</c:v>
                </c:pt>
                <c:pt idx="132">
                  <c:v>53.6721</c:v>
                </c:pt>
                <c:pt idx="133">
                  <c:v>54.082799999999999</c:v>
                </c:pt>
                <c:pt idx="134">
                  <c:v>54.486499999999999</c:v>
                </c:pt>
                <c:pt idx="135">
                  <c:v>54.890700000000002</c:v>
                </c:pt>
                <c:pt idx="136">
                  <c:v>55.297400000000003</c:v>
                </c:pt>
                <c:pt idx="137">
                  <c:v>55.707599999999999</c:v>
                </c:pt>
                <c:pt idx="138">
                  <c:v>56.113700000000001</c:v>
                </c:pt>
                <c:pt idx="139">
                  <c:v>56.5184</c:v>
                </c:pt>
                <c:pt idx="140">
                  <c:v>56.924399999999999</c:v>
                </c:pt>
                <c:pt idx="141">
                  <c:v>57.331000000000003</c:v>
                </c:pt>
                <c:pt idx="142">
                  <c:v>57.737499999999997</c:v>
                </c:pt>
                <c:pt idx="143">
                  <c:v>58.1434</c:v>
                </c:pt>
                <c:pt idx="144">
                  <c:v>58.552900000000001</c:v>
                </c:pt>
                <c:pt idx="145">
                  <c:v>58.954599999999999</c:v>
                </c:pt>
                <c:pt idx="146">
                  <c:v>59.360500000000002</c:v>
                </c:pt>
                <c:pt idx="147">
                  <c:v>59.768099999999997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51.709799999999994</c:v>
                </c:pt>
                <c:pt idx="1">
                  <c:v>50.626400000000004</c:v>
                </c:pt>
                <c:pt idx="2">
                  <c:v>49.800699999999999</c:v>
                </c:pt>
                <c:pt idx="3">
                  <c:v>49.274499999999996</c:v>
                </c:pt>
                <c:pt idx="4">
                  <c:v>48.868099999999998</c:v>
                </c:pt>
                <c:pt idx="5">
                  <c:v>48.553600000000003</c:v>
                </c:pt>
                <c:pt idx="6">
                  <c:v>47.991599999999998</c:v>
                </c:pt>
                <c:pt idx="7">
                  <c:v>47.230899999999998</c:v>
                </c:pt>
                <c:pt idx="8">
                  <c:v>46.341999999999999</c:v>
                </c:pt>
                <c:pt idx="9">
                  <c:v>45.293599999999998</c:v>
                </c:pt>
                <c:pt idx="10">
                  <c:v>44.075699999999998</c:v>
                </c:pt>
                <c:pt idx="11">
                  <c:v>42.971599999999995</c:v>
                </c:pt>
                <c:pt idx="12">
                  <c:v>42.0291</c:v>
                </c:pt>
                <c:pt idx="13">
                  <c:v>41.2166</c:v>
                </c:pt>
                <c:pt idx="14">
                  <c:v>40.433099999999996</c:v>
                </c:pt>
                <c:pt idx="15">
                  <c:v>39.8765</c:v>
                </c:pt>
                <c:pt idx="16">
                  <c:v>39.630200000000002</c:v>
                </c:pt>
                <c:pt idx="17">
                  <c:v>39.570799999999998</c:v>
                </c:pt>
                <c:pt idx="18">
                  <c:v>39.599600000000002</c:v>
                </c:pt>
                <c:pt idx="19">
                  <c:v>39.668799999999997</c:v>
                </c:pt>
                <c:pt idx="20">
                  <c:v>39.912500000000001</c:v>
                </c:pt>
                <c:pt idx="21">
                  <c:v>40.273199999999996</c:v>
                </c:pt>
                <c:pt idx="22">
                  <c:v>40.705100000000002</c:v>
                </c:pt>
                <c:pt idx="23">
                  <c:v>41.1173</c:v>
                </c:pt>
                <c:pt idx="24">
                  <c:v>41.4709</c:v>
                </c:pt>
                <c:pt idx="25">
                  <c:v>41.675800000000002</c:v>
                </c:pt>
                <c:pt idx="26">
                  <c:v>41.769600000000004</c:v>
                </c:pt>
                <c:pt idx="27">
                  <c:v>41.852499999999999</c:v>
                </c:pt>
                <c:pt idx="28">
                  <c:v>41.974400000000003</c:v>
                </c:pt>
                <c:pt idx="29">
                  <c:v>42.113599999999998</c:v>
                </c:pt>
                <c:pt idx="30">
                  <c:v>42.237499999999997</c:v>
                </c:pt>
                <c:pt idx="31">
                  <c:v>42.337499999999999</c:v>
                </c:pt>
                <c:pt idx="32">
                  <c:v>42.376899999999999</c:v>
                </c:pt>
                <c:pt idx="33">
                  <c:v>42.408200000000001</c:v>
                </c:pt>
                <c:pt idx="34">
                  <c:v>42.5092</c:v>
                </c:pt>
                <c:pt idx="35">
                  <c:v>42.7941</c:v>
                </c:pt>
                <c:pt idx="36">
                  <c:v>43.104799999999997</c:v>
                </c:pt>
                <c:pt idx="37">
                  <c:v>43.474200000000003</c:v>
                </c:pt>
                <c:pt idx="38">
                  <c:v>43.994699999999995</c:v>
                </c:pt>
                <c:pt idx="39">
                  <c:v>44.689900000000002</c:v>
                </c:pt>
                <c:pt idx="40">
                  <c:v>45.456200000000003</c:v>
                </c:pt>
                <c:pt idx="41">
                  <c:v>46.1676</c:v>
                </c:pt>
                <c:pt idx="42">
                  <c:v>46.811100000000003</c:v>
                </c:pt>
                <c:pt idx="43">
                  <c:v>47.390300000000003</c:v>
                </c:pt>
                <c:pt idx="44">
                  <c:v>47.9116</c:v>
                </c:pt>
                <c:pt idx="45">
                  <c:v>48.357199999999999</c:v>
                </c:pt>
                <c:pt idx="46">
                  <c:v>48.761700000000005</c:v>
                </c:pt>
                <c:pt idx="47">
                  <c:v>49.104100000000003</c:v>
                </c:pt>
                <c:pt idx="48">
                  <c:v>49.347099999999998</c:v>
                </c:pt>
                <c:pt idx="49">
                  <c:v>49.564700000000002</c:v>
                </c:pt>
                <c:pt idx="50">
                  <c:v>49.630499999999998</c:v>
                </c:pt>
                <c:pt idx="51">
                  <c:v>49.6935</c:v>
                </c:pt>
                <c:pt idx="52">
                  <c:v>49.759700000000002</c:v>
                </c:pt>
                <c:pt idx="53">
                  <c:v>49.927700000000002</c:v>
                </c:pt>
                <c:pt idx="54">
                  <c:v>50.094700000000003</c:v>
                </c:pt>
                <c:pt idx="55">
                  <c:v>50.316700000000004</c:v>
                </c:pt>
                <c:pt idx="56">
                  <c:v>50.5364</c:v>
                </c:pt>
                <c:pt idx="57">
                  <c:v>50.788199999999996</c:v>
                </c:pt>
                <c:pt idx="58">
                  <c:v>51.019099999999995</c:v>
                </c:pt>
                <c:pt idx="59">
                  <c:v>51.2181</c:v>
                </c:pt>
                <c:pt idx="60">
                  <c:v>51.475800000000007</c:v>
                </c:pt>
                <c:pt idx="61">
                  <c:v>51.679299999999998</c:v>
                </c:pt>
                <c:pt idx="62">
                  <c:v>51.883400000000002</c:v>
                </c:pt>
                <c:pt idx="63">
                  <c:v>52.1143</c:v>
                </c:pt>
                <c:pt idx="64">
                  <c:v>52.393599999999992</c:v>
                </c:pt>
                <c:pt idx="65">
                  <c:v>52.698599999999999</c:v>
                </c:pt>
                <c:pt idx="66">
                  <c:v>53.028100000000002</c:v>
                </c:pt>
                <c:pt idx="67">
                  <c:v>53.297000000000004</c:v>
                </c:pt>
                <c:pt idx="68">
                  <c:v>53.441099999999999</c:v>
                </c:pt>
                <c:pt idx="69">
                  <c:v>53.415199999999999</c:v>
                </c:pt>
                <c:pt idx="70">
                  <c:v>53.328499999999998</c:v>
                </c:pt>
                <c:pt idx="71">
                  <c:v>53.299099999999996</c:v>
                </c:pt>
                <c:pt idx="72">
                  <c:v>52.876300000000001</c:v>
                </c:pt>
                <c:pt idx="73">
                  <c:v>52.446400000000004</c:v>
                </c:pt>
                <c:pt idx="74">
                  <c:v>51.844100000000005</c:v>
                </c:pt>
                <c:pt idx="75">
                  <c:v>51.026600000000002</c:v>
                </c:pt>
                <c:pt idx="76">
                  <c:v>50.190500000000007</c:v>
                </c:pt>
                <c:pt idx="77">
                  <c:v>49.409500000000001</c:v>
                </c:pt>
                <c:pt idx="78">
                  <c:v>48.706700000000005</c:v>
                </c:pt>
                <c:pt idx="79">
                  <c:v>48.187600000000003</c:v>
                </c:pt>
                <c:pt idx="80">
                  <c:v>47.764699999999998</c:v>
                </c:pt>
                <c:pt idx="81">
                  <c:v>47.361499999999999</c:v>
                </c:pt>
                <c:pt idx="82">
                  <c:v>46.863999999999997</c:v>
                </c:pt>
                <c:pt idx="83">
                  <c:v>46.472200000000001</c:v>
                </c:pt>
                <c:pt idx="84">
                  <c:v>46.28</c:v>
                </c:pt>
                <c:pt idx="85">
                  <c:v>46.203699999999998</c:v>
                </c:pt>
                <c:pt idx="86">
                  <c:v>46.097100000000005</c:v>
                </c:pt>
                <c:pt idx="87">
                  <c:v>46.040900000000001</c:v>
                </c:pt>
                <c:pt idx="88">
                  <c:v>46.138400000000004</c:v>
                </c:pt>
                <c:pt idx="89">
                  <c:v>46.2151</c:v>
                </c:pt>
                <c:pt idx="90">
                  <c:v>46.266500000000001</c:v>
                </c:pt>
                <c:pt idx="91">
                  <c:v>46.341100000000004</c:v>
                </c:pt>
                <c:pt idx="92">
                  <c:v>46.445900000000002</c:v>
                </c:pt>
                <c:pt idx="93">
                  <c:v>46.509299999999996</c:v>
                </c:pt>
                <c:pt idx="94">
                  <c:v>46.5244</c:v>
                </c:pt>
                <c:pt idx="95">
                  <c:v>46.488199999999999</c:v>
                </c:pt>
                <c:pt idx="96">
                  <c:v>46.422000000000004</c:v>
                </c:pt>
                <c:pt idx="97">
                  <c:v>46.331099999999999</c:v>
                </c:pt>
                <c:pt idx="98">
                  <c:v>46.251199999999997</c:v>
                </c:pt>
                <c:pt idx="99">
                  <c:v>46.217799999999997</c:v>
                </c:pt>
                <c:pt idx="100">
                  <c:v>46.251199999999997</c:v>
                </c:pt>
                <c:pt idx="101">
                  <c:v>46.363300000000002</c:v>
                </c:pt>
                <c:pt idx="102">
                  <c:v>46.5197</c:v>
                </c:pt>
                <c:pt idx="103">
                  <c:v>46.714399999999998</c:v>
                </c:pt>
                <c:pt idx="104">
                  <c:v>46.854600000000005</c:v>
                </c:pt>
                <c:pt idx="105">
                  <c:v>46.985399999999998</c:v>
                </c:pt>
                <c:pt idx="106">
                  <c:v>47.211399999999998</c:v>
                </c:pt>
                <c:pt idx="107">
                  <c:v>47.578099999999999</c:v>
                </c:pt>
                <c:pt idx="108">
                  <c:v>47.946800000000003</c:v>
                </c:pt>
                <c:pt idx="109">
                  <c:v>48.207299999999996</c:v>
                </c:pt>
                <c:pt idx="110">
                  <c:v>48.423500000000004</c:v>
                </c:pt>
                <c:pt idx="111">
                  <c:v>48.646099999999997</c:v>
                </c:pt>
                <c:pt idx="112">
                  <c:v>48.782499999999999</c:v>
                </c:pt>
                <c:pt idx="113">
                  <c:v>48.845300000000002</c:v>
                </c:pt>
                <c:pt idx="114">
                  <c:v>48.889400000000002</c:v>
                </c:pt>
                <c:pt idx="115">
                  <c:v>48.845399999999998</c:v>
                </c:pt>
                <c:pt idx="116">
                  <c:v>48.729799999999997</c:v>
                </c:pt>
                <c:pt idx="117">
                  <c:v>48.508000000000003</c:v>
                </c:pt>
                <c:pt idx="118">
                  <c:v>48.306699999999999</c:v>
                </c:pt>
                <c:pt idx="119">
                  <c:v>48.017800000000001</c:v>
                </c:pt>
                <c:pt idx="120">
                  <c:v>47.6751</c:v>
                </c:pt>
                <c:pt idx="121">
                  <c:v>47.2637</c:v>
                </c:pt>
                <c:pt idx="122">
                  <c:v>46.861799999999995</c:v>
                </c:pt>
                <c:pt idx="123">
                  <c:v>46.478400000000001</c:v>
                </c:pt>
                <c:pt idx="124">
                  <c:v>46.360500000000002</c:v>
                </c:pt>
                <c:pt idx="125">
                  <c:v>46.26</c:v>
                </c:pt>
                <c:pt idx="126">
                  <c:v>46.161499999999997</c:v>
                </c:pt>
                <c:pt idx="127">
                  <c:v>46.067500000000003</c:v>
                </c:pt>
                <c:pt idx="128">
                  <c:v>45.974900000000005</c:v>
                </c:pt>
                <c:pt idx="129">
                  <c:v>45.874299999999998</c:v>
                </c:pt>
                <c:pt idx="130">
                  <c:v>45.768100000000004</c:v>
                </c:pt>
                <c:pt idx="131">
                  <c:v>45.646100000000004</c:v>
                </c:pt>
                <c:pt idx="132">
                  <c:v>45.522199999999998</c:v>
                </c:pt>
                <c:pt idx="133">
                  <c:v>45.409399999999998</c:v>
                </c:pt>
                <c:pt idx="134">
                  <c:v>45.322299999999998</c:v>
                </c:pt>
                <c:pt idx="135">
                  <c:v>45.235500000000002</c:v>
                </c:pt>
                <c:pt idx="136">
                  <c:v>45.155200000000001</c:v>
                </c:pt>
                <c:pt idx="137">
                  <c:v>45.009300000000003</c:v>
                </c:pt>
                <c:pt idx="138">
                  <c:v>44.768000000000001</c:v>
                </c:pt>
                <c:pt idx="139">
                  <c:v>44.451599999999999</c:v>
                </c:pt>
                <c:pt idx="140">
                  <c:v>44.143500000000003</c:v>
                </c:pt>
                <c:pt idx="141">
                  <c:v>43.807899999999997</c:v>
                </c:pt>
                <c:pt idx="142">
                  <c:v>43.508299999999998</c:v>
                </c:pt>
                <c:pt idx="143">
                  <c:v>43.069000000000003</c:v>
                </c:pt>
                <c:pt idx="144">
                  <c:v>42.607299999999995</c:v>
                </c:pt>
                <c:pt idx="145">
                  <c:v>42.271500000000003</c:v>
                </c:pt>
                <c:pt idx="146">
                  <c:v>42.238</c:v>
                </c:pt>
                <c:pt idx="147">
                  <c:v>42.129399999999997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0.40949799999999997</c:v>
                </c:pt>
                <c:pt idx="2">
                  <c:v>0.81644000000000005</c:v>
                </c:pt>
                <c:pt idx="3">
                  <c:v>1.2219500000000001</c:v>
                </c:pt>
                <c:pt idx="4">
                  <c:v>1.6272599999999999</c:v>
                </c:pt>
                <c:pt idx="5">
                  <c:v>2.0316399999999999</c:v>
                </c:pt>
                <c:pt idx="6">
                  <c:v>2.4409299999999998</c:v>
                </c:pt>
                <c:pt idx="7">
                  <c:v>2.8479199999999998</c:v>
                </c:pt>
                <c:pt idx="8">
                  <c:v>3.2521499999999999</c:v>
                </c:pt>
                <c:pt idx="9">
                  <c:v>3.6577799999999998</c:v>
                </c:pt>
                <c:pt idx="10">
                  <c:v>4.0630199999999999</c:v>
                </c:pt>
                <c:pt idx="11">
                  <c:v>4.4715400000000001</c:v>
                </c:pt>
                <c:pt idx="12">
                  <c:v>4.8794599999999999</c:v>
                </c:pt>
                <c:pt idx="13">
                  <c:v>5.2852499999999996</c:v>
                </c:pt>
                <c:pt idx="14">
                  <c:v>5.6887499999999998</c:v>
                </c:pt>
                <c:pt idx="15">
                  <c:v>6.0955700000000004</c:v>
                </c:pt>
                <c:pt idx="16">
                  <c:v>6.5057600000000004</c:v>
                </c:pt>
                <c:pt idx="17">
                  <c:v>6.9099700000000004</c:v>
                </c:pt>
                <c:pt idx="18">
                  <c:v>7.3155900000000003</c:v>
                </c:pt>
                <c:pt idx="19">
                  <c:v>7.7207100000000004</c:v>
                </c:pt>
                <c:pt idx="20">
                  <c:v>8.1276600000000006</c:v>
                </c:pt>
                <c:pt idx="21">
                  <c:v>8.5335800000000006</c:v>
                </c:pt>
                <c:pt idx="22">
                  <c:v>8.9401499999999992</c:v>
                </c:pt>
                <c:pt idx="23">
                  <c:v>9.3497599999999998</c:v>
                </c:pt>
                <c:pt idx="24">
                  <c:v>9.7508900000000001</c:v>
                </c:pt>
                <c:pt idx="25">
                  <c:v>10.1608</c:v>
                </c:pt>
                <c:pt idx="26">
                  <c:v>10.5656</c:v>
                </c:pt>
                <c:pt idx="27">
                  <c:v>10.969900000000001</c:v>
                </c:pt>
                <c:pt idx="28">
                  <c:v>11.3779</c:v>
                </c:pt>
                <c:pt idx="29">
                  <c:v>11.784000000000001</c:v>
                </c:pt>
                <c:pt idx="30">
                  <c:v>12.191800000000001</c:v>
                </c:pt>
                <c:pt idx="31">
                  <c:v>12.597300000000001</c:v>
                </c:pt>
                <c:pt idx="32">
                  <c:v>13.0023</c:v>
                </c:pt>
                <c:pt idx="33">
                  <c:v>13.408799999999999</c:v>
                </c:pt>
                <c:pt idx="34">
                  <c:v>13.8164</c:v>
                </c:pt>
                <c:pt idx="35">
                  <c:v>14.224299999999999</c:v>
                </c:pt>
                <c:pt idx="36">
                  <c:v>14.6282</c:v>
                </c:pt>
                <c:pt idx="37">
                  <c:v>15.033300000000001</c:v>
                </c:pt>
                <c:pt idx="38">
                  <c:v>15.4414</c:v>
                </c:pt>
                <c:pt idx="39">
                  <c:v>15.849</c:v>
                </c:pt>
                <c:pt idx="40">
                  <c:v>16.255500000000001</c:v>
                </c:pt>
                <c:pt idx="41">
                  <c:v>16.660399999999999</c:v>
                </c:pt>
                <c:pt idx="42">
                  <c:v>17.063700000000001</c:v>
                </c:pt>
                <c:pt idx="43">
                  <c:v>17.473199999999999</c:v>
                </c:pt>
                <c:pt idx="44">
                  <c:v>17.8765</c:v>
                </c:pt>
                <c:pt idx="45">
                  <c:v>18.285900000000002</c:v>
                </c:pt>
                <c:pt idx="46">
                  <c:v>18.6921</c:v>
                </c:pt>
                <c:pt idx="47">
                  <c:v>19.096900000000002</c:v>
                </c:pt>
                <c:pt idx="48">
                  <c:v>19.501999999999999</c:v>
                </c:pt>
                <c:pt idx="49">
                  <c:v>19.908100000000001</c:v>
                </c:pt>
                <c:pt idx="50">
                  <c:v>20.3139</c:v>
                </c:pt>
                <c:pt idx="51">
                  <c:v>20.721599999999999</c:v>
                </c:pt>
                <c:pt idx="52">
                  <c:v>21.1294</c:v>
                </c:pt>
                <c:pt idx="53">
                  <c:v>21.5367</c:v>
                </c:pt>
                <c:pt idx="54">
                  <c:v>21.940799999999999</c:v>
                </c:pt>
                <c:pt idx="55">
                  <c:v>22.345099999999999</c:v>
                </c:pt>
                <c:pt idx="56">
                  <c:v>22.750399999999999</c:v>
                </c:pt>
                <c:pt idx="57">
                  <c:v>23.1615</c:v>
                </c:pt>
                <c:pt idx="58">
                  <c:v>23.5669</c:v>
                </c:pt>
                <c:pt idx="59">
                  <c:v>23.973800000000001</c:v>
                </c:pt>
                <c:pt idx="60">
                  <c:v>24.3782</c:v>
                </c:pt>
                <c:pt idx="61">
                  <c:v>24.783100000000001</c:v>
                </c:pt>
                <c:pt idx="62">
                  <c:v>25.191400000000002</c:v>
                </c:pt>
                <c:pt idx="63">
                  <c:v>25.5975</c:v>
                </c:pt>
                <c:pt idx="64">
                  <c:v>26.002300000000002</c:v>
                </c:pt>
                <c:pt idx="65">
                  <c:v>26.409099999999999</c:v>
                </c:pt>
                <c:pt idx="66">
                  <c:v>26.814299999999999</c:v>
                </c:pt>
                <c:pt idx="67">
                  <c:v>27.2225</c:v>
                </c:pt>
                <c:pt idx="68">
                  <c:v>27.628499999999999</c:v>
                </c:pt>
                <c:pt idx="69">
                  <c:v>28.036799999999999</c:v>
                </c:pt>
                <c:pt idx="70">
                  <c:v>28.4436</c:v>
                </c:pt>
                <c:pt idx="71">
                  <c:v>28.8444</c:v>
                </c:pt>
                <c:pt idx="72">
                  <c:v>29.254300000000001</c:v>
                </c:pt>
                <c:pt idx="73">
                  <c:v>29.660499999999999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51.709799999999994</c:v>
                </c:pt>
                <c:pt idx="1">
                  <c:v>50.626400000000004</c:v>
                </c:pt>
                <c:pt idx="2">
                  <c:v>49.800699999999999</c:v>
                </c:pt>
                <c:pt idx="3">
                  <c:v>49.274499999999996</c:v>
                </c:pt>
                <c:pt idx="4">
                  <c:v>48.868099999999998</c:v>
                </c:pt>
                <c:pt idx="5">
                  <c:v>48.553600000000003</c:v>
                </c:pt>
                <c:pt idx="6">
                  <c:v>47.991599999999998</c:v>
                </c:pt>
                <c:pt idx="7">
                  <c:v>47.230899999999998</c:v>
                </c:pt>
                <c:pt idx="8">
                  <c:v>46.341999999999999</c:v>
                </c:pt>
                <c:pt idx="9">
                  <c:v>45.293599999999998</c:v>
                </c:pt>
                <c:pt idx="10">
                  <c:v>44.075699999999998</c:v>
                </c:pt>
                <c:pt idx="11">
                  <c:v>42.971599999999995</c:v>
                </c:pt>
                <c:pt idx="12">
                  <c:v>42.0291</c:v>
                </c:pt>
                <c:pt idx="13">
                  <c:v>41.2166</c:v>
                </c:pt>
                <c:pt idx="14">
                  <c:v>40.433099999999996</c:v>
                </c:pt>
                <c:pt idx="15">
                  <c:v>39.8765</c:v>
                </c:pt>
                <c:pt idx="16">
                  <c:v>39.630200000000002</c:v>
                </c:pt>
                <c:pt idx="17">
                  <c:v>39.570799999999998</c:v>
                </c:pt>
                <c:pt idx="18">
                  <c:v>39.599600000000002</c:v>
                </c:pt>
                <c:pt idx="19">
                  <c:v>39.668799999999997</c:v>
                </c:pt>
                <c:pt idx="20">
                  <c:v>39.912500000000001</c:v>
                </c:pt>
                <c:pt idx="21">
                  <c:v>40.273199999999996</c:v>
                </c:pt>
                <c:pt idx="22">
                  <c:v>40.705100000000002</c:v>
                </c:pt>
                <c:pt idx="23">
                  <c:v>41.1173</c:v>
                </c:pt>
                <c:pt idx="24">
                  <c:v>41.4709</c:v>
                </c:pt>
                <c:pt idx="25">
                  <c:v>41.675800000000002</c:v>
                </c:pt>
                <c:pt idx="26">
                  <c:v>41.769600000000004</c:v>
                </c:pt>
                <c:pt idx="27">
                  <c:v>41.852499999999999</c:v>
                </c:pt>
                <c:pt idx="28">
                  <c:v>41.974400000000003</c:v>
                </c:pt>
                <c:pt idx="29">
                  <c:v>42.113599999999998</c:v>
                </c:pt>
                <c:pt idx="30">
                  <c:v>42.237499999999997</c:v>
                </c:pt>
                <c:pt idx="31">
                  <c:v>42.337499999999999</c:v>
                </c:pt>
                <c:pt idx="32">
                  <c:v>42.376899999999999</c:v>
                </c:pt>
                <c:pt idx="33">
                  <c:v>42.408200000000001</c:v>
                </c:pt>
                <c:pt idx="34">
                  <c:v>42.5092</c:v>
                </c:pt>
                <c:pt idx="35">
                  <c:v>42.7941</c:v>
                </c:pt>
                <c:pt idx="36">
                  <c:v>43.104799999999997</c:v>
                </c:pt>
                <c:pt idx="37">
                  <c:v>43.474200000000003</c:v>
                </c:pt>
                <c:pt idx="38">
                  <c:v>43.994699999999995</c:v>
                </c:pt>
                <c:pt idx="39">
                  <c:v>44.689900000000002</c:v>
                </c:pt>
                <c:pt idx="40">
                  <c:v>45.456200000000003</c:v>
                </c:pt>
                <c:pt idx="41">
                  <c:v>46.1676</c:v>
                </c:pt>
                <c:pt idx="42">
                  <c:v>46.811100000000003</c:v>
                </c:pt>
                <c:pt idx="43">
                  <c:v>47.390300000000003</c:v>
                </c:pt>
                <c:pt idx="44">
                  <c:v>47.9116</c:v>
                </c:pt>
                <c:pt idx="45">
                  <c:v>48.357199999999999</c:v>
                </c:pt>
                <c:pt idx="46">
                  <c:v>48.761700000000005</c:v>
                </c:pt>
                <c:pt idx="47">
                  <c:v>49.104100000000003</c:v>
                </c:pt>
                <c:pt idx="48">
                  <c:v>49.347099999999998</c:v>
                </c:pt>
                <c:pt idx="49">
                  <c:v>49.564700000000002</c:v>
                </c:pt>
                <c:pt idx="50">
                  <c:v>49.630499999999998</c:v>
                </c:pt>
                <c:pt idx="51">
                  <c:v>49.6935</c:v>
                </c:pt>
                <c:pt idx="52">
                  <c:v>49.759700000000002</c:v>
                </c:pt>
                <c:pt idx="53">
                  <c:v>49.927700000000002</c:v>
                </c:pt>
                <c:pt idx="54">
                  <c:v>50.094700000000003</c:v>
                </c:pt>
                <c:pt idx="55">
                  <c:v>50.316700000000004</c:v>
                </c:pt>
                <c:pt idx="56">
                  <c:v>50.5364</c:v>
                </c:pt>
                <c:pt idx="57">
                  <c:v>50.788199999999996</c:v>
                </c:pt>
                <c:pt idx="58">
                  <c:v>51.019099999999995</c:v>
                </c:pt>
                <c:pt idx="59">
                  <c:v>51.2181</c:v>
                </c:pt>
                <c:pt idx="60">
                  <c:v>51.475800000000007</c:v>
                </c:pt>
                <c:pt idx="61">
                  <c:v>51.679299999999998</c:v>
                </c:pt>
                <c:pt idx="62">
                  <c:v>51.883400000000002</c:v>
                </c:pt>
                <c:pt idx="63">
                  <c:v>52.1143</c:v>
                </c:pt>
                <c:pt idx="64">
                  <c:v>52.393599999999992</c:v>
                </c:pt>
                <c:pt idx="65">
                  <c:v>52.698599999999999</c:v>
                </c:pt>
                <c:pt idx="66">
                  <c:v>53.028100000000002</c:v>
                </c:pt>
                <c:pt idx="67">
                  <c:v>53.297000000000004</c:v>
                </c:pt>
                <c:pt idx="68">
                  <c:v>53.441099999999999</c:v>
                </c:pt>
                <c:pt idx="69">
                  <c:v>53.415199999999999</c:v>
                </c:pt>
                <c:pt idx="70">
                  <c:v>53.328499999999998</c:v>
                </c:pt>
                <c:pt idx="71">
                  <c:v>53.299099999999996</c:v>
                </c:pt>
                <c:pt idx="72">
                  <c:v>52.876300000000001</c:v>
                </c:pt>
                <c:pt idx="73">
                  <c:v>52.446400000000004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29.660499999999999</c:v>
                </c:pt>
                <c:pt idx="1">
                  <c:v>30.066299999999998</c:v>
                </c:pt>
                <c:pt idx="2">
                  <c:v>30.552900000000001</c:v>
                </c:pt>
                <c:pt idx="3">
                  <c:v>30.9404</c:v>
                </c:pt>
                <c:pt idx="4">
                  <c:v>31.332000000000001</c:v>
                </c:pt>
                <c:pt idx="5">
                  <c:v>31.736699999999999</c:v>
                </c:pt>
                <c:pt idx="6">
                  <c:v>32.142000000000003</c:v>
                </c:pt>
                <c:pt idx="7">
                  <c:v>32.547600000000003</c:v>
                </c:pt>
                <c:pt idx="8">
                  <c:v>32.957799999999999</c:v>
                </c:pt>
                <c:pt idx="9">
                  <c:v>33.361400000000003</c:v>
                </c:pt>
                <c:pt idx="10">
                  <c:v>33.767299999999999</c:v>
                </c:pt>
                <c:pt idx="11">
                  <c:v>34.175600000000003</c:v>
                </c:pt>
                <c:pt idx="12">
                  <c:v>34.583199999999998</c:v>
                </c:pt>
                <c:pt idx="13">
                  <c:v>34.985799999999998</c:v>
                </c:pt>
                <c:pt idx="14">
                  <c:v>35.391800000000003</c:v>
                </c:pt>
                <c:pt idx="15">
                  <c:v>35.799500000000002</c:v>
                </c:pt>
                <c:pt idx="16">
                  <c:v>36.208399999999997</c:v>
                </c:pt>
                <c:pt idx="17">
                  <c:v>36.612400000000001</c:v>
                </c:pt>
                <c:pt idx="18">
                  <c:v>37.020299999999999</c:v>
                </c:pt>
                <c:pt idx="19">
                  <c:v>37.425199999999997</c:v>
                </c:pt>
                <c:pt idx="20">
                  <c:v>37.832299999999996</c:v>
                </c:pt>
                <c:pt idx="21">
                  <c:v>38.240200000000002</c:v>
                </c:pt>
                <c:pt idx="22">
                  <c:v>38.645099999999999</c:v>
                </c:pt>
                <c:pt idx="23">
                  <c:v>39.051400000000001</c:v>
                </c:pt>
                <c:pt idx="24">
                  <c:v>39.455599999999997</c:v>
                </c:pt>
                <c:pt idx="25">
                  <c:v>39.859900000000003</c:v>
                </c:pt>
                <c:pt idx="26">
                  <c:v>40.269599999999997</c:v>
                </c:pt>
                <c:pt idx="27">
                  <c:v>40.677399999999999</c:v>
                </c:pt>
                <c:pt idx="28">
                  <c:v>41.080500000000001</c:v>
                </c:pt>
                <c:pt idx="29">
                  <c:v>41.487699999999997</c:v>
                </c:pt>
                <c:pt idx="30">
                  <c:v>41.891399999999997</c:v>
                </c:pt>
                <c:pt idx="31">
                  <c:v>42.3001</c:v>
                </c:pt>
                <c:pt idx="32">
                  <c:v>42.707900000000002</c:v>
                </c:pt>
                <c:pt idx="33">
                  <c:v>43.113</c:v>
                </c:pt>
                <c:pt idx="34">
                  <c:v>43.5167</c:v>
                </c:pt>
                <c:pt idx="35">
                  <c:v>43.925199999999997</c:v>
                </c:pt>
                <c:pt idx="36">
                  <c:v>44.3322</c:v>
                </c:pt>
                <c:pt idx="37">
                  <c:v>44.739199999999997</c:v>
                </c:pt>
                <c:pt idx="38">
                  <c:v>45.142499999999998</c:v>
                </c:pt>
                <c:pt idx="39">
                  <c:v>45.548299999999998</c:v>
                </c:pt>
                <c:pt idx="40">
                  <c:v>45.955500000000001</c:v>
                </c:pt>
                <c:pt idx="41">
                  <c:v>46.362299999999998</c:v>
                </c:pt>
                <c:pt idx="42">
                  <c:v>46.765900000000002</c:v>
                </c:pt>
                <c:pt idx="43">
                  <c:v>47.1723</c:v>
                </c:pt>
                <c:pt idx="44">
                  <c:v>47.581000000000003</c:v>
                </c:pt>
                <c:pt idx="45">
                  <c:v>47.989800000000002</c:v>
                </c:pt>
                <c:pt idx="46">
                  <c:v>48.3917</c:v>
                </c:pt>
                <c:pt idx="47">
                  <c:v>48.796999999999997</c:v>
                </c:pt>
                <c:pt idx="48">
                  <c:v>49.2042</c:v>
                </c:pt>
                <c:pt idx="49">
                  <c:v>49.612400000000001</c:v>
                </c:pt>
                <c:pt idx="50">
                  <c:v>50.015999999999998</c:v>
                </c:pt>
                <c:pt idx="51">
                  <c:v>50.424300000000002</c:v>
                </c:pt>
                <c:pt idx="52">
                  <c:v>50.830399999999997</c:v>
                </c:pt>
                <c:pt idx="53">
                  <c:v>51.236499999999999</c:v>
                </c:pt>
                <c:pt idx="54">
                  <c:v>51.641800000000003</c:v>
                </c:pt>
                <c:pt idx="55">
                  <c:v>52.0533</c:v>
                </c:pt>
                <c:pt idx="56">
                  <c:v>52.455399999999997</c:v>
                </c:pt>
                <c:pt idx="57">
                  <c:v>52.862099999999998</c:v>
                </c:pt>
                <c:pt idx="58">
                  <c:v>53.268000000000001</c:v>
                </c:pt>
                <c:pt idx="59">
                  <c:v>53.6721</c:v>
                </c:pt>
                <c:pt idx="60">
                  <c:v>54.082799999999999</c:v>
                </c:pt>
                <c:pt idx="61">
                  <c:v>54.486499999999999</c:v>
                </c:pt>
                <c:pt idx="62">
                  <c:v>54.890700000000002</c:v>
                </c:pt>
                <c:pt idx="63">
                  <c:v>55.297400000000003</c:v>
                </c:pt>
                <c:pt idx="64">
                  <c:v>55.707599999999999</c:v>
                </c:pt>
                <c:pt idx="65">
                  <c:v>56.113700000000001</c:v>
                </c:pt>
                <c:pt idx="66">
                  <c:v>56.5184</c:v>
                </c:pt>
                <c:pt idx="67">
                  <c:v>56.924399999999999</c:v>
                </c:pt>
                <c:pt idx="68">
                  <c:v>57.331000000000003</c:v>
                </c:pt>
                <c:pt idx="69">
                  <c:v>57.737499999999997</c:v>
                </c:pt>
                <c:pt idx="70">
                  <c:v>58.1434</c:v>
                </c:pt>
                <c:pt idx="71">
                  <c:v>58.552900000000001</c:v>
                </c:pt>
                <c:pt idx="72">
                  <c:v>58.954599999999999</c:v>
                </c:pt>
                <c:pt idx="73">
                  <c:v>59.360500000000002</c:v>
                </c:pt>
                <c:pt idx="74">
                  <c:v>59.768099999999997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52.446400000000004</c:v>
                </c:pt>
                <c:pt idx="1">
                  <c:v>51.844100000000005</c:v>
                </c:pt>
                <c:pt idx="2">
                  <c:v>51.026600000000002</c:v>
                </c:pt>
                <c:pt idx="3">
                  <c:v>50.190500000000007</c:v>
                </c:pt>
                <c:pt idx="4">
                  <c:v>49.409500000000001</c:v>
                </c:pt>
                <c:pt idx="5">
                  <c:v>48.706700000000005</c:v>
                </c:pt>
                <c:pt idx="6">
                  <c:v>48.187600000000003</c:v>
                </c:pt>
                <c:pt idx="7">
                  <c:v>47.764699999999998</c:v>
                </c:pt>
                <c:pt idx="8">
                  <c:v>47.361499999999999</c:v>
                </c:pt>
                <c:pt idx="9">
                  <c:v>46.863999999999997</c:v>
                </c:pt>
                <c:pt idx="10">
                  <c:v>46.472200000000001</c:v>
                </c:pt>
                <c:pt idx="11">
                  <c:v>46.28</c:v>
                </c:pt>
                <c:pt idx="12">
                  <c:v>46.203699999999998</c:v>
                </c:pt>
                <c:pt idx="13">
                  <c:v>46.097100000000005</c:v>
                </c:pt>
                <c:pt idx="14">
                  <c:v>46.040900000000001</c:v>
                </c:pt>
                <c:pt idx="15">
                  <c:v>46.138400000000004</c:v>
                </c:pt>
                <c:pt idx="16">
                  <c:v>46.2151</c:v>
                </c:pt>
                <c:pt idx="17">
                  <c:v>46.266500000000001</c:v>
                </c:pt>
                <c:pt idx="18">
                  <c:v>46.341100000000004</c:v>
                </c:pt>
                <c:pt idx="19">
                  <c:v>46.445900000000002</c:v>
                </c:pt>
                <c:pt idx="20">
                  <c:v>46.509299999999996</c:v>
                </c:pt>
                <c:pt idx="21">
                  <c:v>46.5244</c:v>
                </c:pt>
                <c:pt idx="22">
                  <c:v>46.488199999999999</c:v>
                </c:pt>
                <c:pt idx="23">
                  <c:v>46.422000000000004</c:v>
                </c:pt>
                <c:pt idx="24">
                  <c:v>46.331099999999999</c:v>
                </c:pt>
                <c:pt idx="25">
                  <c:v>46.251199999999997</c:v>
                </c:pt>
                <c:pt idx="26">
                  <c:v>46.217799999999997</c:v>
                </c:pt>
                <c:pt idx="27">
                  <c:v>46.251199999999997</c:v>
                </c:pt>
                <c:pt idx="28">
                  <c:v>46.363300000000002</c:v>
                </c:pt>
                <c:pt idx="29">
                  <c:v>46.5197</c:v>
                </c:pt>
                <c:pt idx="30">
                  <c:v>46.714399999999998</c:v>
                </c:pt>
                <c:pt idx="31">
                  <c:v>46.854600000000005</c:v>
                </c:pt>
                <c:pt idx="32">
                  <c:v>46.985399999999998</c:v>
                </c:pt>
                <c:pt idx="33">
                  <c:v>47.211399999999998</c:v>
                </c:pt>
                <c:pt idx="34">
                  <c:v>47.578099999999999</c:v>
                </c:pt>
                <c:pt idx="35">
                  <c:v>47.946800000000003</c:v>
                </c:pt>
                <c:pt idx="36">
                  <c:v>48.207299999999996</c:v>
                </c:pt>
                <c:pt idx="37">
                  <c:v>48.423500000000004</c:v>
                </c:pt>
                <c:pt idx="38">
                  <c:v>48.646099999999997</c:v>
                </c:pt>
                <c:pt idx="39">
                  <c:v>48.782499999999999</c:v>
                </c:pt>
                <c:pt idx="40">
                  <c:v>48.845300000000002</c:v>
                </c:pt>
                <c:pt idx="41">
                  <c:v>48.889400000000002</c:v>
                </c:pt>
                <c:pt idx="42">
                  <c:v>48.845399999999998</c:v>
                </c:pt>
                <c:pt idx="43">
                  <c:v>48.729799999999997</c:v>
                </c:pt>
                <c:pt idx="44">
                  <c:v>48.508000000000003</c:v>
                </c:pt>
                <c:pt idx="45">
                  <c:v>48.306699999999999</c:v>
                </c:pt>
                <c:pt idx="46">
                  <c:v>48.017800000000001</c:v>
                </c:pt>
                <c:pt idx="47">
                  <c:v>47.6751</c:v>
                </c:pt>
                <c:pt idx="48">
                  <c:v>47.2637</c:v>
                </c:pt>
                <c:pt idx="49">
                  <c:v>46.861799999999995</c:v>
                </c:pt>
                <c:pt idx="50">
                  <c:v>46.478400000000001</c:v>
                </c:pt>
                <c:pt idx="51">
                  <c:v>46.360500000000002</c:v>
                </c:pt>
                <c:pt idx="52">
                  <c:v>46.26</c:v>
                </c:pt>
                <c:pt idx="53">
                  <c:v>46.161499999999997</c:v>
                </c:pt>
                <c:pt idx="54">
                  <c:v>46.067500000000003</c:v>
                </c:pt>
                <c:pt idx="55">
                  <c:v>45.974900000000005</c:v>
                </c:pt>
                <c:pt idx="56">
                  <c:v>45.874299999999998</c:v>
                </c:pt>
                <c:pt idx="57">
                  <c:v>45.768100000000004</c:v>
                </c:pt>
                <c:pt idx="58">
                  <c:v>45.646100000000004</c:v>
                </c:pt>
                <c:pt idx="59">
                  <c:v>45.522199999999998</c:v>
                </c:pt>
                <c:pt idx="60">
                  <c:v>45.409399999999998</c:v>
                </c:pt>
                <c:pt idx="61">
                  <c:v>45.322299999999998</c:v>
                </c:pt>
                <c:pt idx="62">
                  <c:v>45.235500000000002</c:v>
                </c:pt>
                <c:pt idx="63">
                  <c:v>45.155200000000001</c:v>
                </c:pt>
                <c:pt idx="64">
                  <c:v>45.009300000000003</c:v>
                </c:pt>
                <c:pt idx="65">
                  <c:v>44.768000000000001</c:v>
                </c:pt>
                <c:pt idx="66">
                  <c:v>44.451599999999999</c:v>
                </c:pt>
                <c:pt idx="67">
                  <c:v>44.143500000000003</c:v>
                </c:pt>
                <c:pt idx="68">
                  <c:v>43.807899999999997</c:v>
                </c:pt>
                <c:pt idx="69">
                  <c:v>43.508299999999998</c:v>
                </c:pt>
                <c:pt idx="70">
                  <c:v>43.069000000000003</c:v>
                </c:pt>
                <c:pt idx="71">
                  <c:v>42.607299999999995</c:v>
                </c:pt>
                <c:pt idx="72">
                  <c:v>42.271500000000003</c:v>
                </c:pt>
                <c:pt idx="73">
                  <c:v>42.238</c:v>
                </c:pt>
                <c:pt idx="74">
                  <c:v>42.129399999999997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14.942024999999999</c:v>
                </c:pt>
                <c:pt idx="1">
                  <c:v>44.826074999999996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46.713351351351335</c:v>
                </c:pt>
                <c:pt idx="1">
                  <c:v>46.571177027026998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42.017800000000001</c:v>
                </c:pt>
                <c:pt idx="1">
                  <c:v>26.005600000000001</c:v>
                </c:pt>
                <c:pt idx="2">
                  <c:v>26.149100000000001</c:v>
                </c:pt>
                <c:pt idx="3">
                  <c:v>31.528700000000001</c:v>
                </c:pt>
                <c:pt idx="4">
                  <c:v>50.969000000000001</c:v>
                </c:pt>
                <c:pt idx="5">
                  <c:v>80.046999999999997</c:v>
                </c:pt>
                <c:pt idx="6">
                  <c:v>28.3171</c:v>
                </c:pt>
                <c:pt idx="7">
                  <c:v>65.384500000000003</c:v>
                </c:pt>
                <c:pt idx="8">
                  <c:v>18.5215</c:v>
                </c:pt>
                <c:pt idx="9">
                  <c:v>28.8733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40.9084</c:v>
                </c:pt>
                <c:pt idx="1">
                  <c:v>30.229700000000001</c:v>
                </c:pt>
                <c:pt idx="2">
                  <c:v>22.019600000000001</c:v>
                </c:pt>
                <c:pt idx="3">
                  <c:v>31.0123</c:v>
                </c:pt>
                <c:pt idx="4">
                  <c:v>54.2134</c:v>
                </c:pt>
                <c:pt idx="5">
                  <c:v>75.471199999999996</c:v>
                </c:pt>
                <c:pt idx="6">
                  <c:v>26.932700000000001</c:v>
                </c:pt>
                <c:pt idx="7">
                  <c:v>64.754000000000005</c:v>
                </c:pt>
                <c:pt idx="8">
                  <c:v>18.337700000000002</c:v>
                </c:pt>
                <c:pt idx="9">
                  <c:v>24.972100000000001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0.50474699039820448</c:v>
                </c:pt>
                <c:pt idx="1">
                  <c:v>0.28234238168013004</c:v>
                </c:pt>
                <c:pt idx="2">
                  <c:v>0.21291062792166546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714</c:v>
                </c:pt>
                <c:pt idx="7">
                  <c:v>0</c:v>
                </c:pt>
                <c:pt idx="8">
                  <c:v>1196</c:v>
                </c:pt>
                <c:pt idx="9">
                  <c:v>0</c:v>
                </c:pt>
                <c:pt idx="10">
                  <c:v>0</c:v>
                </c:pt>
                <c:pt idx="11">
                  <c:v>3609</c:v>
                </c:pt>
                <c:pt idx="12">
                  <c:v>0</c:v>
                </c:pt>
                <c:pt idx="13">
                  <c:v>8605</c:v>
                </c:pt>
                <c:pt idx="14">
                  <c:v>0</c:v>
                </c:pt>
                <c:pt idx="15">
                  <c:v>0</c:v>
                </c:pt>
                <c:pt idx="16">
                  <c:v>11615</c:v>
                </c:pt>
                <c:pt idx="17">
                  <c:v>0</c:v>
                </c:pt>
                <c:pt idx="18">
                  <c:v>0</c:v>
                </c:pt>
                <c:pt idx="19">
                  <c:v>15055</c:v>
                </c:pt>
                <c:pt idx="20">
                  <c:v>0</c:v>
                </c:pt>
                <c:pt idx="21">
                  <c:v>15673</c:v>
                </c:pt>
                <c:pt idx="22">
                  <c:v>0</c:v>
                </c:pt>
                <c:pt idx="23">
                  <c:v>0</c:v>
                </c:pt>
                <c:pt idx="24">
                  <c:v>18638</c:v>
                </c:pt>
                <c:pt idx="25">
                  <c:v>0</c:v>
                </c:pt>
                <c:pt idx="26">
                  <c:v>23184</c:v>
                </c:pt>
                <c:pt idx="27">
                  <c:v>0</c:v>
                </c:pt>
                <c:pt idx="28">
                  <c:v>0</c:v>
                </c:pt>
                <c:pt idx="29">
                  <c:v>30923</c:v>
                </c:pt>
                <c:pt idx="30">
                  <c:v>0</c:v>
                </c:pt>
                <c:pt idx="31">
                  <c:v>34013</c:v>
                </c:pt>
                <c:pt idx="32">
                  <c:v>0</c:v>
                </c:pt>
                <c:pt idx="33">
                  <c:v>0</c:v>
                </c:pt>
                <c:pt idx="34">
                  <c:v>32774</c:v>
                </c:pt>
                <c:pt idx="35">
                  <c:v>0</c:v>
                </c:pt>
                <c:pt idx="36">
                  <c:v>0</c:v>
                </c:pt>
                <c:pt idx="37">
                  <c:v>34845</c:v>
                </c:pt>
                <c:pt idx="38">
                  <c:v>0</c:v>
                </c:pt>
                <c:pt idx="39">
                  <c:v>38062</c:v>
                </c:pt>
                <c:pt idx="40">
                  <c:v>0</c:v>
                </c:pt>
                <c:pt idx="41">
                  <c:v>0</c:v>
                </c:pt>
                <c:pt idx="42">
                  <c:v>41888</c:v>
                </c:pt>
                <c:pt idx="43">
                  <c:v>0</c:v>
                </c:pt>
                <c:pt idx="44">
                  <c:v>43330</c:v>
                </c:pt>
                <c:pt idx="45">
                  <c:v>0</c:v>
                </c:pt>
                <c:pt idx="46">
                  <c:v>0</c:v>
                </c:pt>
                <c:pt idx="47">
                  <c:v>38752</c:v>
                </c:pt>
                <c:pt idx="48">
                  <c:v>0</c:v>
                </c:pt>
                <c:pt idx="49">
                  <c:v>37682</c:v>
                </c:pt>
                <c:pt idx="50">
                  <c:v>0</c:v>
                </c:pt>
                <c:pt idx="51">
                  <c:v>0</c:v>
                </c:pt>
                <c:pt idx="52">
                  <c:v>36771</c:v>
                </c:pt>
                <c:pt idx="53">
                  <c:v>0</c:v>
                </c:pt>
                <c:pt idx="54">
                  <c:v>0</c:v>
                </c:pt>
                <c:pt idx="55">
                  <c:v>35779</c:v>
                </c:pt>
                <c:pt idx="56">
                  <c:v>0</c:v>
                </c:pt>
                <c:pt idx="57">
                  <c:v>37532</c:v>
                </c:pt>
                <c:pt idx="58">
                  <c:v>0</c:v>
                </c:pt>
                <c:pt idx="59">
                  <c:v>0</c:v>
                </c:pt>
                <c:pt idx="60">
                  <c:v>34590</c:v>
                </c:pt>
                <c:pt idx="61">
                  <c:v>0</c:v>
                </c:pt>
                <c:pt idx="62">
                  <c:v>37715</c:v>
                </c:pt>
                <c:pt idx="63">
                  <c:v>0</c:v>
                </c:pt>
                <c:pt idx="64">
                  <c:v>0</c:v>
                </c:pt>
                <c:pt idx="65">
                  <c:v>40635</c:v>
                </c:pt>
                <c:pt idx="66">
                  <c:v>0</c:v>
                </c:pt>
                <c:pt idx="67">
                  <c:v>43356</c:v>
                </c:pt>
                <c:pt idx="68">
                  <c:v>0</c:v>
                </c:pt>
                <c:pt idx="69">
                  <c:v>0</c:v>
                </c:pt>
                <c:pt idx="70">
                  <c:v>51851</c:v>
                </c:pt>
                <c:pt idx="71">
                  <c:v>0</c:v>
                </c:pt>
                <c:pt idx="72">
                  <c:v>0</c:v>
                </c:pt>
                <c:pt idx="73">
                  <c:v>63390</c:v>
                </c:pt>
                <c:pt idx="74">
                  <c:v>0</c:v>
                </c:pt>
                <c:pt idx="75">
                  <c:v>71349</c:v>
                </c:pt>
                <c:pt idx="76">
                  <c:v>0</c:v>
                </c:pt>
                <c:pt idx="77">
                  <c:v>0</c:v>
                </c:pt>
                <c:pt idx="78">
                  <c:v>79033</c:v>
                </c:pt>
                <c:pt idx="79">
                  <c:v>0</c:v>
                </c:pt>
                <c:pt idx="80">
                  <c:v>76786</c:v>
                </c:pt>
                <c:pt idx="81">
                  <c:v>0</c:v>
                </c:pt>
                <c:pt idx="82">
                  <c:v>0</c:v>
                </c:pt>
                <c:pt idx="83">
                  <c:v>78620</c:v>
                </c:pt>
                <c:pt idx="84">
                  <c:v>0</c:v>
                </c:pt>
                <c:pt idx="85">
                  <c:v>0</c:v>
                </c:pt>
                <c:pt idx="86">
                  <c:v>91453</c:v>
                </c:pt>
                <c:pt idx="87">
                  <c:v>0</c:v>
                </c:pt>
                <c:pt idx="88">
                  <c:v>100559</c:v>
                </c:pt>
                <c:pt idx="89">
                  <c:v>0</c:v>
                </c:pt>
                <c:pt idx="90">
                  <c:v>0</c:v>
                </c:pt>
                <c:pt idx="91">
                  <c:v>99341</c:v>
                </c:pt>
                <c:pt idx="92">
                  <c:v>0</c:v>
                </c:pt>
                <c:pt idx="93">
                  <c:v>111048</c:v>
                </c:pt>
                <c:pt idx="94">
                  <c:v>0</c:v>
                </c:pt>
                <c:pt idx="95">
                  <c:v>0</c:v>
                </c:pt>
                <c:pt idx="96">
                  <c:v>120979</c:v>
                </c:pt>
                <c:pt idx="97">
                  <c:v>0</c:v>
                </c:pt>
                <c:pt idx="98">
                  <c:v>129889</c:v>
                </c:pt>
                <c:pt idx="99">
                  <c:v>0</c:v>
                </c:pt>
                <c:pt idx="100">
                  <c:v>0</c:v>
                </c:pt>
                <c:pt idx="101">
                  <c:v>135327</c:v>
                </c:pt>
                <c:pt idx="102">
                  <c:v>0</c:v>
                </c:pt>
                <c:pt idx="103">
                  <c:v>0</c:v>
                </c:pt>
                <c:pt idx="104">
                  <c:v>132444</c:v>
                </c:pt>
                <c:pt idx="105">
                  <c:v>0</c:v>
                </c:pt>
                <c:pt idx="106">
                  <c:v>142188</c:v>
                </c:pt>
                <c:pt idx="107">
                  <c:v>0</c:v>
                </c:pt>
                <c:pt idx="108">
                  <c:v>0</c:v>
                </c:pt>
                <c:pt idx="109">
                  <c:v>138612</c:v>
                </c:pt>
                <c:pt idx="110">
                  <c:v>0</c:v>
                </c:pt>
                <c:pt idx="111">
                  <c:v>146477</c:v>
                </c:pt>
                <c:pt idx="112">
                  <c:v>0</c:v>
                </c:pt>
                <c:pt idx="113">
                  <c:v>0</c:v>
                </c:pt>
                <c:pt idx="114">
                  <c:v>149397</c:v>
                </c:pt>
                <c:pt idx="115">
                  <c:v>0</c:v>
                </c:pt>
                <c:pt idx="116">
                  <c:v>145833</c:v>
                </c:pt>
                <c:pt idx="117">
                  <c:v>0</c:v>
                </c:pt>
                <c:pt idx="118">
                  <c:v>0</c:v>
                </c:pt>
                <c:pt idx="119">
                  <c:v>134093</c:v>
                </c:pt>
                <c:pt idx="120">
                  <c:v>0</c:v>
                </c:pt>
                <c:pt idx="121">
                  <c:v>0</c:v>
                </c:pt>
                <c:pt idx="122">
                  <c:v>116454</c:v>
                </c:pt>
                <c:pt idx="123">
                  <c:v>0</c:v>
                </c:pt>
                <c:pt idx="124">
                  <c:v>102863</c:v>
                </c:pt>
                <c:pt idx="125">
                  <c:v>0</c:v>
                </c:pt>
                <c:pt idx="126">
                  <c:v>0</c:v>
                </c:pt>
                <c:pt idx="127">
                  <c:v>94897</c:v>
                </c:pt>
                <c:pt idx="128">
                  <c:v>0</c:v>
                </c:pt>
                <c:pt idx="129">
                  <c:v>82822</c:v>
                </c:pt>
                <c:pt idx="130">
                  <c:v>0</c:v>
                </c:pt>
                <c:pt idx="131">
                  <c:v>0</c:v>
                </c:pt>
                <c:pt idx="132">
                  <c:v>72551</c:v>
                </c:pt>
                <c:pt idx="133">
                  <c:v>0</c:v>
                </c:pt>
                <c:pt idx="134">
                  <c:v>61457</c:v>
                </c:pt>
                <c:pt idx="135">
                  <c:v>0</c:v>
                </c:pt>
                <c:pt idx="136">
                  <c:v>0</c:v>
                </c:pt>
                <c:pt idx="137">
                  <c:v>53272</c:v>
                </c:pt>
                <c:pt idx="138">
                  <c:v>0</c:v>
                </c:pt>
                <c:pt idx="139">
                  <c:v>0</c:v>
                </c:pt>
                <c:pt idx="140">
                  <c:v>44312</c:v>
                </c:pt>
                <c:pt idx="141">
                  <c:v>0</c:v>
                </c:pt>
                <c:pt idx="142">
                  <c:v>41218</c:v>
                </c:pt>
                <c:pt idx="143">
                  <c:v>0</c:v>
                </c:pt>
                <c:pt idx="144">
                  <c:v>0</c:v>
                </c:pt>
                <c:pt idx="145">
                  <c:v>33029</c:v>
                </c:pt>
                <c:pt idx="146">
                  <c:v>0</c:v>
                </c:pt>
                <c:pt idx="147">
                  <c:v>26781</c:v>
                </c:pt>
                <c:pt idx="148">
                  <c:v>0</c:v>
                </c:pt>
                <c:pt idx="149">
                  <c:v>0</c:v>
                </c:pt>
                <c:pt idx="150">
                  <c:v>22516</c:v>
                </c:pt>
                <c:pt idx="151">
                  <c:v>0</c:v>
                </c:pt>
                <c:pt idx="152">
                  <c:v>17916</c:v>
                </c:pt>
                <c:pt idx="153">
                  <c:v>0</c:v>
                </c:pt>
                <c:pt idx="154">
                  <c:v>0</c:v>
                </c:pt>
                <c:pt idx="155">
                  <c:v>14964</c:v>
                </c:pt>
                <c:pt idx="156">
                  <c:v>0</c:v>
                </c:pt>
                <c:pt idx="157">
                  <c:v>0</c:v>
                </c:pt>
                <c:pt idx="158">
                  <c:v>12857</c:v>
                </c:pt>
                <c:pt idx="159">
                  <c:v>0</c:v>
                </c:pt>
                <c:pt idx="160">
                  <c:v>7635</c:v>
                </c:pt>
                <c:pt idx="161">
                  <c:v>0</c:v>
                </c:pt>
                <c:pt idx="162">
                  <c:v>0</c:v>
                </c:pt>
                <c:pt idx="163">
                  <c:v>7246</c:v>
                </c:pt>
                <c:pt idx="164">
                  <c:v>0</c:v>
                </c:pt>
                <c:pt idx="165">
                  <c:v>4397</c:v>
                </c:pt>
                <c:pt idx="166">
                  <c:v>0</c:v>
                </c:pt>
                <c:pt idx="167">
                  <c:v>0</c:v>
                </c:pt>
                <c:pt idx="168">
                  <c:v>2403</c:v>
                </c:pt>
                <c:pt idx="169">
                  <c:v>0</c:v>
                </c:pt>
                <c:pt idx="170">
                  <c:v>0</c:v>
                </c:pt>
                <c:pt idx="171">
                  <c:v>1393</c:v>
                </c:pt>
                <c:pt idx="172">
                  <c:v>0</c:v>
                </c:pt>
                <c:pt idx="173">
                  <c:v>1390</c:v>
                </c:pt>
                <c:pt idx="174">
                  <c:v>0</c:v>
                </c:pt>
                <c:pt idx="175">
                  <c:v>0</c:v>
                </c:pt>
                <c:pt idx="176">
                  <c:v>1378</c:v>
                </c:pt>
                <c:pt idx="177">
                  <c:v>0</c:v>
                </c:pt>
                <c:pt idx="178">
                  <c:v>684</c:v>
                </c:pt>
                <c:pt idx="179">
                  <c:v>0</c:v>
                </c:pt>
                <c:pt idx="180">
                  <c:v>0</c:v>
                </c:pt>
                <c:pt idx="181">
                  <c:v>1150</c:v>
                </c:pt>
                <c:pt idx="182">
                  <c:v>0</c:v>
                </c:pt>
                <c:pt idx="183">
                  <c:v>642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4030</c:v>
                </c:pt>
                <c:pt idx="7">
                  <c:v>0</c:v>
                </c:pt>
                <c:pt idx="8">
                  <c:v>5157</c:v>
                </c:pt>
                <c:pt idx="9">
                  <c:v>0</c:v>
                </c:pt>
                <c:pt idx="10">
                  <c:v>0</c:v>
                </c:pt>
                <c:pt idx="11">
                  <c:v>6866</c:v>
                </c:pt>
                <c:pt idx="12">
                  <c:v>0</c:v>
                </c:pt>
                <c:pt idx="13">
                  <c:v>7740</c:v>
                </c:pt>
                <c:pt idx="14">
                  <c:v>0</c:v>
                </c:pt>
                <c:pt idx="15">
                  <c:v>0</c:v>
                </c:pt>
                <c:pt idx="16">
                  <c:v>8608</c:v>
                </c:pt>
                <c:pt idx="17">
                  <c:v>0</c:v>
                </c:pt>
                <c:pt idx="18">
                  <c:v>0</c:v>
                </c:pt>
                <c:pt idx="19">
                  <c:v>9362</c:v>
                </c:pt>
                <c:pt idx="20">
                  <c:v>0</c:v>
                </c:pt>
                <c:pt idx="21">
                  <c:v>12724</c:v>
                </c:pt>
                <c:pt idx="22">
                  <c:v>0</c:v>
                </c:pt>
                <c:pt idx="23">
                  <c:v>0</c:v>
                </c:pt>
                <c:pt idx="24">
                  <c:v>18428</c:v>
                </c:pt>
                <c:pt idx="25">
                  <c:v>0</c:v>
                </c:pt>
                <c:pt idx="26">
                  <c:v>24146</c:v>
                </c:pt>
                <c:pt idx="27">
                  <c:v>0</c:v>
                </c:pt>
                <c:pt idx="28">
                  <c:v>0</c:v>
                </c:pt>
                <c:pt idx="29">
                  <c:v>30873</c:v>
                </c:pt>
                <c:pt idx="30">
                  <c:v>0</c:v>
                </c:pt>
                <c:pt idx="31">
                  <c:v>30807</c:v>
                </c:pt>
                <c:pt idx="32">
                  <c:v>0</c:v>
                </c:pt>
                <c:pt idx="33">
                  <c:v>0</c:v>
                </c:pt>
                <c:pt idx="34">
                  <c:v>29452</c:v>
                </c:pt>
                <c:pt idx="35">
                  <c:v>0</c:v>
                </c:pt>
                <c:pt idx="36">
                  <c:v>0</c:v>
                </c:pt>
                <c:pt idx="37">
                  <c:v>26601</c:v>
                </c:pt>
                <c:pt idx="38">
                  <c:v>0</c:v>
                </c:pt>
                <c:pt idx="39">
                  <c:v>27385</c:v>
                </c:pt>
                <c:pt idx="40">
                  <c:v>0</c:v>
                </c:pt>
                <c:pt idx="41">
                  <c:v>0</c:v>
                </c:pt>
                <c:pt idx="42">
                  <c:v>24997</c:v>
                </c:pt>
                <c:pt idx="43">
                  <c:v>0</c:v>
                </c:pt>
                <c:pt idx="44">
                  <c:v>23179</c:v>
                </c:pt>
                <c:pt idx="45">
                  <c:v>0</c:v>
                </c:pt>
                <c:pt idx="46">
                  <c:v>0</c:v>
                </c:pt>
                <c:pt idx="47">
                  <c:v>21063</c:v>
                </c:pt>
                <c:pt idx="48">
                  <c:v>0</c:v>
                </c:pt>
                <c:pt idx="49">
                  <c:v>22198</c:v>
                </c:pt>
                <c:pt idx="50">
                  <c:v>0</c:v>
                </c:pt>
                <c:pt idx="51">
                  <c:v>0</c:v>
                </c:pt>
                <c:pt idx="52">
                  <c:v>25034</c:v>
                </c:pt>
                <c:pt idx="53">
                  <c:v>0</c:v>
                </c:pt>
                <c:pt idx="54">
                  <c:v>0</c:v>
                </c:pt>
                <c:pt idx="55">
                  <c:v>27067</c:v>
                </c:pt>
                <c:pt idx="56">
                  <c:v>0</c:v>
                </c:pt>
                <c:pt idx="57">
                  <c:v>30580</c:v>
                </c:pt>
                <c:pt idx="58">
                  <c:v>0</c:v>
                </c:pt>
                <c:pt idx="59">
                  <c:v>0</c:v>
                </c:pt>
                <c:pt idx="60">
                  <c:v>36402</c:v>
                </c:pt>
                <c:pt idx="61">
                  <c:v>0</c:v>
                </c:pt>
                <c:pt idx="62">
                  <c:v>41854</c:v>
                </c:pt>
                <c:pt idx="63">
                  <c:v>0</c:v>
                </c:pt>
                <c:pt idx="64">
                  <c:v>0</c:v>
                </c:pt>
                <c:pt idx="65">
                  <c:v>49049</c:v>
                </c:pt>
                <c:pt idx="66">
                  <c:v>0</c:v>
                </c:pt>
                <c:pt idx="67">
                  <c:v>59236</c:v>
                </c:pt>
                <c:pt idx="68">
                  <c:v>0</c:v>
                </c:pt>
                <c:pt idx="69">
                  <c:v>0</c:v>
                </c:pt>
                <c:pt idx="70">
                  <c:v>71203</c:v>
                </c:pt>
                <c:pt idx="71">
                  <c:v>0</c:v>
                </c:pt>
                <c:pt idx="72">
                  <c:v>0</c:v>
                </c:pt>
                <c:pt idx="73">
                  <c:v>79843</c:v>
                </c:pt>
                <c:pt idx="74">
                  <c:v>0</c:v>
                </c:pt>
                <c:pt idx="75">
                  <c:v>87899</c:v>
                </c:pt>
                <c:pt idx="76">
                  <c:v>0</c:v>
                </c:pt>
                <c:pt idx="77">
                  <c:v>0</c:v>
                </c:pt>
                <c:pt idx="78">
                  <c:v>90112</c:v>
                </c:pt>
                <c:pt idx="79">
                  <c:v>0</c:v>
                </c:pt>
                <c:pt idx="80">
                  <c:v>99627</c:v>
                </c:pt>
                <c:pt idx="81">
                  <c:v>0</c:v>
                </c:pt>
                <c:pt idx="82">
                  <c:v>0</c:v>
                </c:pt>
                <c:pt idx="83">
                  <c:v>111169</c:v>
                </c:pt>
                <c:pt idx="84">
                  <c:v>0</c:v>
                </c:pt>
                <c:pt idx="85">
                  <c:v>0</c:v>
                </c:pt>
                <c:pt idx="86">
                  <c:v>124894</c:v>
                </c:pt>
                <c:pt idx="87">
                  <c:v>0</c:v>
                </c:pt>
                <c:pt idx="88">
                  <c:v>141310</c:v>
                </c:pt>
                <c:pt idx="89">
                  <c:v>0</c:v>
                </c:pt>
                <c:pt idx="90">
                  <c:v>0</c:v>
                </c:pt>
                <c:pt idx="91">
                  <c:v>158647</c:v>
                </c:pt>
                <c:pt idx="92">
                  <c:v>0</c:v>
                </c:pt>
                <c:pt idx="93">
                  <c:v>180835</c:v>
                </c:pt>
                <c:pt idx="94">
                  <c:v>0</c:v>
                </c:pt>
                <c:pt idx="95">
                  <c:v>0</c:v>
                </c:pt>
                <c:pt idx="96">
                  <c:v>194620</c:v>
                </c:pt>
                <c:pt idx="97">
                  <c:v>0</c:v>
                </c:pt>
                <c:pt idx="98">
                  <c:v>215999</c:v>
                </c:pt>
                <c:pt idx="99">
                  <c:v>0</c:v>
                </c:pt>
                <c:pt idx="100">
                  <c:v>0</c:v>
                </c:pt>
                <c:pt idx="101">
                  <c:v>215834</c:v>
                </c:pt>
                <c:pt idx="102">
                  <c:v>0</c:v>
                </c:pt>
                <c:pt idx="103">
                  <c:v>0</c:v>
                </c:pt>
                <c:pt idx="104">
                  <c:v>214032</c:v>
                </c:pt>
                <c:pt idx="105">
                  <c:v>0</c:v>
                </c:pt>
                <c:pt idx="106">
                  <c:v>196681</c:v>
                </c:pt>
                <c:pt idx="107">
                  <c:v>0</c:v>
                </c:pt>
                <c:pt idx="108">
                  <c:v>0</c:v>
                </c:pt>
                <c:pt idx="109">
                  <c:v>188242</c:v>
                </c:pt>
                <c:pt idx="110">
                  <c:v>0</c:v>
                </c:pt>
                <c:pt idx="111">
                  <c:v>187288</c:v>
                </c:pt>
                <c:pt idx="112">
                  <c:v>0</c:v>
                </c:pt>
                <c:pt idx="113">
                  <c:v>0</c:v>
                </c:pt>
                <c:pt idx="114">
                  <c:v>179117</c:v>
                </c:pt>
                <c:pt idx="115">
                  <c:v>0</c:v>
                </c:pt>
                <c:pt idx="116">
                  <c:v>166013</c:v>
                </c:pt>
                <c:pt idx="117">
                  <c:v>0</c:v>
                </c:pt>
                <c:pt idx="118">
                  <c:v>0</c:v>
                </c:pt>
                <c:pt idx="119">
                  <c:v>144217</c:v>
                </c:pt>
                <c:pt idx="120">
                  <c:v>0</c:v>
                </c:pt>
                <c:pt idx="121">
                  <c:v>0</c:v>
                </c:pt>
                <c:pt idx="122">
                  <c:v>127786</c:v>
                </c:pt>
                <c:pt idx="123">
                  <c:v>0</c:v>
                </c:pt>
                <c:pt idx="124">
                  <c:v>117294</c:v>
                </c:pt>
                <c:pt idx="125">
                  <c:v>0</c:v>
                </c:pt>
                <c:pt idx="126">
                  <c:v>0</c:v>
                </c:pt>
                <c:pt idx="127">
                  <c:v>95114</c:v>
                </c:pt>
                <c:pt idx="128">
                  <c:v>0</c:v>
                </c:pt>
                <c:pt idx="129">
                  <c:v>78405</c:v>
                </c:pt>
                <c:pt idx="130">
                  <c:v>0</c:v>
                </c:pt>
                <c:pt idx="131">
                  <c:v>0</c:v>
                </c:pt>
                <c:pt idx="132">
                  <c:v>61374</c:v>
                </c:pt>
                <c:pt idx="133">
                  <c:v>0</c:v>
                </c:pt>
                <c:pt idx="134">
                  <c:v>47943</c:v>
                </c:pt>
                <c:pt idx="135">
                  <c:v>0</c:v>
                </c:pt>
                <c:pt idx="136">
                  <c:v>0</c:v>
                </c:pt>
                <c:pt idx="137">
                  <c:v>36629</c:v>
                </c:pt>
                <c:pt idx="138">
                  <c:v>0</c:v>
                </c:pt>
                <c:pt idx="139">
                  <c:v>0</c:v>
                </c:pt>
                <c:pt idx="140">
                  <c:v>29542</c:v>
                </c:pt>
                <c:pt idx="141">
                  <c:v>0</c:v>
                </c:pt>
                <c:pt idx="142">
                  <c:v>19442</c:v>
                </c:pt>
                <c:pt idx="143">
                  <c:v>0</c:v>
                </c:pt>
                <c:pt idx="144">
                  <c:v>0</c:v>
                </c:pt>
                <c:pt idx="145">
                  <c:v>15826</c:v>
                </c:pt>
                <c:pt idx="146">
                  <c:v>0</c:v>
                </c:pt>
                <c:pt idx="147">
                  <c:v>13371</c:v>
                </c:pt>
                <c:pt idx="148">
                  <c:v>0</c:v>
                </c:pt>
                <c:pt idx="149">
                  <c:v>0</c:v>
                </c:pt>
                <c:pt idx="150">
                  <c:v>9016</c:v>
                </c:pt>
                <c:pt idx="151">
                  <c:v>0</c:v>
                </c:pt>
                <c:pt idx="152">
                  <c:v>6798</c:v>
                </c:pt>
                <c:pt idx="153">
                  <c:v>0</c:v>
                </c:pt>
                <c:pt idx="154">
                  <c:v>0</c:v>
                </c:pt>
                <c:pt idx="155">
                  <c:v>5939</c:v>
                </c:pt>
                <c:pt idx="156">
                  <c:v>0</c:v>
                </c:pt>
                <c:pt idx="157">
                  <c:v>0</c:v>
                </c:pt>
                <c:pt idx="158">
                  <c:v>4724</c:v>
                </c:pt>
                <c:pt idx="159">
                  <c:v>0</c:v>
                </c:pt>
                <c:pt idx="160">
                  <c:v>3876</c:v>
                </c:pt>
                <c:pt idx="161">
                  <c:v>0</c:v>
                </c:pt>
                <c:pt idx="162">
                  <c:v>0</c:v>
                </c:pt>
                <c:pt idx="163">
                  <c:v>2370</c:v>
                </c:pt>
                <c:pt idx="164">
                  <c:v>0</c:v>
                </c:pt>
                <c:pt idx="165">
                  <c:v>1088</c:v>
                </c:pt>
                <c:pt idx="166">
                  <c:v>0</c:v>
                </c:pt>
                <c:pt idx="167">
                  <c:v>0</c:v>
                </c:pt>
                <c:pt idx="168">
                  <c:v>477</c:v>
                </c:pt>
                <c:pt idx="169">
                  <c:v>0</c:v>
                </c:pt>
                <c:pt idx="170">
                  <c:v>0</c:v>
                </c:pt>
                <c:pt idx="171">
                  <c:v>609</c:v>
                </c:pt>
                <c:pt idx="172">
                  <c:v>0</c:v>
                </c:pt>
                <c:pt idx="173">
                  <c:v>401</c:v>
                </c:pt>
                <c:pt idx="174">
                  <c:v>0</c:v>
                </c:pt>
                <c:pt idx="175">
                  <c:v>0</c:v>
                </c:pt>
                <c:pt idx="176">
                  <c:v>320</c:v>
                </c:pt>
                <c:pt idx="177">
                  <c:v>0</c:v>
                </c:pt>
                <c:pt idx="178">
                  <c:v>88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0.19460374713336329</c:v>
                </c:pt>
                <c:pt idx="1">
                  <c:v>0.32522479814135441</c:v>
                </c:pt>
                <c:pt idx="2">
                  <c:v>0.48017145472528233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0.51224277809491792</c:v>
                </c:pt>
                <c:pt idx="1">
                  <c:v>0.28732354083860895</c:v>
                </c:pt>
                <c:pt idx="2">
                  <c:v>0.20043368106647316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7.0654900000000005</c:v>
                </c:pt>
                <c:pt idx="1">
                  <c:v>9.9695274999999999</c:v>
                </c:pt>
                <c:pt idx="2">
                  <c:v>24.201499999999999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0.40949799999999997</c:v>
                </c:pt>
                <c:pt idx="2">
                  <c:v>0.81644000000000005</c:v>
                </c:pt>
                <c:pt idx="3">
                  <c:v>1.2219500000000001</c:v>
                </c:pt>
                <c:pt idx="4">
                  <c:v>1.6272599999999999</c:v>
                </c:pt>
                <c:pt idx="5">
                  <c:v>2.0316399999999999</c:v>
                </c:pt>
                <c:pt idx="6">
                  <c:v>2.4409299999999998</c:v>
                </c:pt>
                <c:pt idx="7">
                  <c:v>2.8479199999999998</c:v>
                </c:pt>
                <c:pt idx="8">
                  <c:v>3.2521499999999999</c:v>
                </c:pt>
                <c:pt idx="9">
                  <c:v>3.6577799999999998</c:v>
                </c:pt>
                <c:pt idx="10">
                  <c:v>4.0630199999999999</c:v>
                </c:pt>
                <c:pt idx="11">
                  <c:v>4.4715400000000001</c:v>
                </c:pt>
                <c:pt idx="12">
                  <c:v>4.8794599999999999</c:v>
                </c:pt>
                <c:pt idx="13">
                  <c:v>5.2852499999999996</c:v>
                </c:pt>
                <c:pt idx="14">
                  <c:v>5.6887499999999998</c:v>
                </c:pt>
                <c:pt idx="15">
                  <c:v>6.0955700000000004</c:v>
                </c:pt>
                <c:pt idx="16">
                  <c:v>6.5057600000000004</c:v>
                </c:pt>
                <c:pt idx="17">
                  <c:v>6.9099700000000004</c:v>
                </c:pt>
                <c:pt idx="18">
                  <c:v>7.3155900000000003</c:v>
                </c:pt>
                <c:pt idx="19">
                  <c:v>7.7207100000000004</c:v>
                </c:pt>
                <c:pt idx="20">
                  <c:v>8.1276600000000006</c:v>
                </c:pt>
                <c:pt idx="21">
                  <c:v>8.5335800000000006</c:v>
                </c:pt>
                <c:pt idx="22">
                  <c:v>8.9401499999999992</c:v>
                </c:pt>
                <c:pt idx="23">
                  <c:v>9.3497599999999998</c:v>
                </c:pt>
                <c:pt idx="24">
                  <c:v>9.7508900000000001</c:v>
                </c:pt>
                <c:pt idx="25">
                  <c:v>10.1608</c:v>
                </c:pt>
                <c:pt idx="26">
                  <c:v>10.5656</c:v>
                </c:pt>
                <c:pt idx="27">
                  <c:v>10.969900000000001</c:v>
                </c:pt>
                <c:pt idx="28">
                  <c:v>11.3779</c:v>
                </c:pt>
                <c:pt idx="29">
                  <c:v>11.784000000000001</c:v>
                </c:pt>
                <c:pt idx="30">
                  <c:v>12.191800000000001</c:v>
                </c:pt>
                <c:pt idx="31">
                  <c:v>12.597300000000001</c:v>
                </c:pt>
                <c:pt idx="32">
                  <c:v>13.0023</c:v>
                </c:pt>
                <c:pt idx="33">
                  <c:v>13.408799999999999</c:v>
                </c:pt>
                <c:pt idx="34">
                  <c:v>13.8164</c:v>
                </c:pt>
                <c:pt idx="35">
                  <c:v>14.224299999999999</c:v>
                </c:pt>
                <c:pt idx="36">
                  <c:v>14.6282</c:v>
                </c:pt>
                <c:pt idx="37">
                  <c:v>15.033300000000001</c:v>
                </c:pt>
                <c:pt idx="38">
                  <c:v>15.4414</c:v>
                </c:pt>
                <c:pt idx="39">
                  <c:v>15.849</c:v>
                </c:pt>
                <c:pt idx="40">
                  <c:v>16.255500000000001</c:v>
                </c:pt>
                <c:pt idx="41">
                  <c:v>16.660399999999999</c:v>
                </c:pt>
                <c:pt idx="42">
                  <c:v>17.063700000000001</c:v>
                </c:pt>
                <c:pt idx="43">
                  <c:v>17.473199999999999</c:v>
                </c:pt>
                <c:pt idx="44">
                  <c:v>17.8765</c:v>
                </c:pt>
                <c:pt idx="45">
                  <c:v>18.285900000000002</c:v>
                </c:pt>
                <c:pt idx="46">
                  <c:v>18.6921</c:v>
                </c:pt>
                <c:pt idx="47">
                  <c:v>19.096900000000002</c:v>
                </c:pt>
                <c:pt idx="48">
                  <c:v>19.501999999999999</c:v>
                </c:pt>
                <c:pt idx="49">
                  <c:v>19.908100000000001</c:v>
                </c:pt>
                <c:pt idx="50">
                  <c:v>20.3139</c:v>
                </c:pt>
                <c:pt idx="51">
                  <c:v>20.721599999999999</c:v>
                </c:pt>
                <c:pt idx="52">
                  <c:v>21.1294</c:v>
                </c:pt>
                <c:pt idx="53">
                  <c:v>21.5367</c:v>
                </c:pt>
                <c:pt idx="54">
                  <c:v>21.940799999999999</c:v>
                </c:pt>
                <c:pt idx="55">
                  <c:v>22.345099999999999</c:v>
                </c:pt>
                <c:pt idx="56">
                  <c:v>22.750399999999999</c:v>
                </c:pt>
                <c:pt idx="57">
                  <c:v>23.1615</c:v>
                </c:pt>
                <c:pt idx="58">
                  <c:v>23.5669</c:v>
                </c:pt>
                <c:pt idx="59">
                  <c:v>23.973800000000001</c:v>
                </c:pt>
                <c:pt idx="60">
                  <c:v>24.3782</c:v>
                </c:pt>
                <c:pt idx="61">
                  <c:v>24.783100000000001</c:v>
                </c:pt>
                <c:pt idx="62">
                  <c:v>25.191400000000002</c:v>
                </c:pt>
                <c:pt idx="63">
                  <c:v>25.5975</c:v>
                </c:pt>
                <c:pt idx="64">
                  <c:v>26.002300000000002</c:v>
                </c:pt>
                <c:pt idx="65">
                  <c:v>26.409099999999999</c:v>
                </c:pt>
                <c:pt idx="66">
                  <c:v>26.814299999999999</c:v>
                </c:pt>
                <c:pt idx="67">
                  <c:v>27.2225</c:v>
                </c:pt>
                <c:pt idx="68">
                  <c:v>27.628499999999999</c:v>
                </c:pt>
                <c:pt idx="69">
                  <c:v>28.036799999999999</c:v>
                </c:pt>
                <c:pt idx="70">
                  <c:v>28.4436</c:v>
                </c:pt>
                <c:pt idx="71">
                  <c:v>28.8444</c:v>
                </c:pt>
                <c:pt idx="72">
                  <c:v>29.254300000000001</c:v>
                </c:pt>
                <c:pt idx="73">
                  <c:v>29.660499999999999</c:v>
                </c:pt>
                <c:pt idx="74">
                  <c:v>30.066299999999998</c:v>
                </c:pt>
                <c:pt idx="75">
                  <c:v>30.552900000000001</c:v>
                </c:pt>
                <c:pt idx="76">
                  <c:v>30.9404</c:v>
                </c:pt>
                <c:pt idx="77">
                  <c:v>31.332000000000001</c:v>
                </c:pt>
                <c:pt idx="78">
                  <c:v>31.736699999999999</c:v>
                </c:pt>
                <c:pt idx="79">
                  <c:v>32.142000000000003</c:v>
                </c:pt>
                <c:pt idx="80">
                  <c:v>32.547600000000003</c:v>
                </c:pt>
                <c:pt idx="81">
                  <c:v>32.957799999999999</c:v>
                </c:pt>
                <c:pt idx="82">
                  <c:v>33.361400000000003</c:v>
                </c:pt>
                <c:pt idx="83">
                  <c:v>33.767299999999999</c:v>
                </c:pt>
                <c:pt idx="84">
                  <c:v>34.175600000000003</c:v>
                </c:pt>
                <c:pt idx="85">
                  <c:v>34.583199999999998</c:v>
                </c:pt>
                <c:pt idx="86">
                  <c:v>34.985799999999998</c:v>
                </c:pt>
                <c:pt idx="87">
                  <c:v>35.391800000000003</c:v>
                </c:pt>
                <c:pt idx="88">
                  <c:v>35.799500000000002</c:v>
                </c:pt>
                <c:pt idx="89">
                  <c:v>36.208399999999997</c:v>
                </c:pt>
                <c:pt idx="90">
                  <c:v>36.612400000000001</c:v>
                </c:pt>
                <c:pt idx="91">
                  <c:v>37.020299999999999</c:v>
                </c:pt>
                <c:pt idx="92">
                  <c:v>37.425199999999997</c:v>
                </c:pt>
                <c:pt idx="93">
                  <c:v>37.832299999999996</c:v>
                </c:pt>
                <c:pt idx="94">
                  <c:v>38.240200000000002</c:v>
                </c:pt>
                <c:pt idx="95">
                  <c:v>38.645099999999999</c:v>
                </c:pt>
                <c:pt idx="96">
                  <c:v>39.051400000000001</c:v>
                </c:pt>
                <c:pt idx="97">
                  <c:v>39.455599999999997</c:v>
                </c:pt>
                <c:pt idx="98">
                  <c:v>39.859900000000003</c:v>
                </c:pt>
                <c:pt idx="99">
                  <c:v>40.269599999999997</c:v>
                </c:pt>
                <c:pt idx="100">
                  <c:v>40.677399999999999</c:v>
                </c:pt>
                <c:pt idx="101">
                  <c:v>41.080500000000001</c:v>
                </c:pt>
                <c:pt idx="102">
                  <c:v>41.487699999999997</c:v>
                </c:pt>
                <c:pt idx="103">
                  <c:v>41.891399999999997</c:v>
                </c:pt>
                <c:pt idx="104">
                  <c:v>42.3001</c:v>
                </c:pt>
                <c:pt idx="105">
                  <c:v>42.707900000000002</c:v>
                </c:pt>
                <c:pt idx="106">
                  <c:v>43.113</c:v>
                </c:pt>
                <c:pt idx="107">
                  <c:v>43.5167</c:v>
                </c:pt>
                <c:pt idx="108">
                  <c:v>43.925199999999997</c:v>
                </c:pt>
                <c:pt idx="109">
                  <c:v>44.3322</c:v>
                </c:pt>
                <c:pt idx="110">
                  <c:v>44.739199999999997</c:v>
                </c:pt>
                <c:pt idx="111">
                  <c:v>45.142499999999998</c:v>
                </c:pt>
                <c:pt idx="112">
                  <c:v>45.548299999999998</c:v>
                </c:pt>
                <c:pt idx="113">
                  <c:v>45.955500000000001</c:v>
                </c:pt>
                <c:pt idx="114">
                  <c:v>46.362299999999998</c:v>
                </c:pt>
                <c:pt idx="115">
                  <c:v>46.765900000000002</c:v>
                </c:pt>
                <c:pt idx="116">
                  <c:v>47.1723</c:v>
                </c:pt>
                <c:pt idx="117">
                  <c:v>47.581000000000003</c:v>
                </c:pt>
                <c:pt idx="118">
                  <c:v>47.989800000000002</c:v>
                </c:pt>
                <c:pt idx="119">
                  <c:v>48.3917</c:v>
                </c:pt>
                <c:pt idx="120">
                  <c:v>48.796999999999997</c:v>
                </c:pt>
                <c:pt idx="121">
                  <c:v>49.2042</c:v>
                </c:pt>
                <c:pt idx="122">
                  <c:v>49.612400000000001</c:v>
                </c:pt>
                <c:pt idx="123">
                  <c:v>50.015999999999998</c:v>
                </c:pt>
                <c:pt idx="124">
                  <c:v>50.424300000000002</c:v>
                </c:pt>
                <c:pt idx="125">
                  <c:v>50.830399999999997</c:v>
                </c:pt>
                <c:pt idx="126">
                  <c:v>51.236499999999999</c:v>
                </c:pt>
                <c:pt idx="127">
                  <c:v>51.641800000000003</c:v>
                </c:pt>
                <c:pt idx="128">
                  <c:v>52.0533</c:v>
                </c:pt>
                <c:pt idx="129">
                  <c:v>52.455399999999997</c:v>
                </c:pt>
                <c:pt idx="130">
                  <c:v>52.862099999999998</c:v>
                </c:pt>
                <c:pt idx="131">
                  <c:v>53.268000000000001</c:v>
                </c:pt>
                <c:pt idx="132">
                  <c:v>53.6721</c:v>
                </c:pt>
                <c:pt idx="133">
                  <c:v>54.082799999999999</c:v>
                </c:pt>
                <c:pt idx="134">
                  <c:v>54.486499999999999</c:v>
                </c:pt>
                <c:pt idx="135">
                  <c:v>54.890700000000002</c:v>
                </c:pt>
                <c:pt idx="136">
                  <c:v>55.297400000000003</c:v>
                </c:pt>
                <c:pt idx="137">
                  <c:v>55.707599999999999</c:v>
                </c:pt>
                <c:pt idx="138">
                  <c:v>56.113700000000001</c:v>
                </c:pt>
                <c:pt idx="139">
                  <c:v>56.5184</c:v>
                </c:pt>
                <c:pt idx="140">
                  <c:v>56.924399999999999</c:v>
                </c:pt>
                <c:pt idx="141">
                  <c:v>57.331000000000003</c:v>
                </c:pt>
                <c:pt idx="142">
                  <c:v>57.737499999999997</c:v>
                </c:pt>
                <c:pt idx="143">
                  <c:v>58.1434</c:v>
                </c:pt>
                <c:pt idx="144">
                  <c:v>58.552900000000001</c:v>
                </c:pt>
                <c:pt idx="145">
                  <c:v>58.954599999999999</c:v>
                </c:pt>
                <c:pt idx="146">
                  <c:v>59.360500000000002</c:v>
                </c:pt>
                <c:pt idx="147">
                  <c:v>59.768099999999997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2.6637200000000001</c:v>
                </c:pt>
                <c:pt idx="1">
                  <c:v>2.7526999999999999</c:v>
                </c:pt>
                <c:pt idx="2">
                  <c:v>2.84049</c:v>
                </c:pt>
                <c:pt idx="3">
                  <c:v>2.92591</c:v>
                </c:pt>
                <c:pt idx="4">
                  <c:v>3.01118</c:v>
                </c:pt>
                <c:pt idx="5">
                  <c:v>3.09558</c:v>
                </c:pt>
                <c:pt idx="6">
                  <c:v>3.1823899999999998</c:v>
                </c:pt>
                <c:pt idx="7">
                  <c:v>3.2720500000000001</c:v>
                </c:pt>
                <c:pt idx="8">
                  <c:v>3.3650799999999998</c:v>
                </c:pt>
                <c:pt idx="9">
                  <c:v>3.4586800000000002</c:v>
                </c:pt>
                <c:pt idx="10">
                  <c:v>3.5542600000000002</c:v>
                </c:pt>
                <c:pt idx="11">
                  <c:v>3.64567</c:v>
                </c:pt>
                <c:pt idx="12">
                  <c:v>3.73291</c:v>
                </c:pt>
                <c:pt idx="13">
                  <c:v>3.8202699999999998</c:v>
                </c:pt>
                <c:pt idx="14">
                  <c:v>3.9090999999999996</c:v>
                </c:pt>
                <c:pt idx="15">
                  <c:v>3.9889599999999996</c:v>
                </c:pt>
                <c:pt idx="16">
                  <c:v>4.0594700000000001</c:v>
                </c:pt>
                <c:pt idx="17">
                  <c:v>4.1210599999999999</c:v>
                </c:pt>
                <c:pt idx="18">
                  <c:v>4.1763000000000003</c:v>
                </c:pt>
                <c:pt idx="19">
                  <c:v>4.2244399999999995</c:v>
                </c:pt>
                <c:pt idx="20">
                  <c:v>4.2656400000000003</c:v>
                </c:pt>
                <c:pt idx="21">
                  <c:v>4.3013700000000004</c:v>
                </c:pt>
                <c:pt idx="22">
                  <c:v>4.3306399999999998</c:v>
                </c:pt>
                <c:pt idx="23">
                  <c:v>4.3511100000000003</c:v>
                </c:pt>
                <c:pt idx="24">
                  <c:v>4.3663299999999996</c:v>
                </c:pt>
                <c:pt idx="25">
                  <c:v>4.37087</c:v>
                </c:pt>
                <c:pt idx="26">
                  <c:v>4.3691200000000006</c:v>
                </c:pt>
                <c:pt idx="27">
                  <c:v>4.3666</c:v>
                </c:pt>
                <c:pt idx="28">
                  <c:v>4.3661799999999999</c:v>
                </c:pt>
                <c:pt idx="29">
                  <c:v>4.3674600000000003</c:v>
                </c:pt>
                <c:pt idx="30">
                  <c:v>4.3662400000000003</c:v>
                </c:pt>
                <c:pt idx="31">
                  <c:v>4.3605700000000001</c:v>
                </c:pt>
                <c:pt idx="32">
                  <c:v>4.3486099999999999</c:v>
                </c:pt>
                <c:pt idx="33">
                  <c:v>4.3317199999999998</c:v>
                </c:pt>
                <c:pt idx="34">
                  <c:v>4.3097500000000002</c:v>
                </c:pt>
                <c:pt idx="35">
                  <c:v>4.2854900000000002</c:v>
                </c:pt>
                <c:pt idx="36">
                  <c:v>4.2556799999999999</c:v>
                </c:pt>
                <c:pt idx="37">
                  <c:v>4.22384</c:v>
                </c:pt>
                <c:pt idx="38">
                  <c:v>4.1905299999999999</c:v>
                </c:pt>
                <c:pt idx="39">
                  <c:v>4.1529300000000005</c:v>
                </c:pt>
                <c:pt idx="40">
                  <c:v>4.1178600000000003</c:v>
                </c:pt>
                <c:pt idx="41">
                  <c:v>4.0865400000000003</c:v>
                </c:pt>
                <c:pt idx="42">
                  <c:v>4.0551900000000005</c:v>
                </c:pt>
                <c:pt idx="43">
                  <c:v>4.0201900000000004</c:v>
                </c:pt>
                <c:pt idx="44">
                  <c:v>3.98339</c:v>
                </c:pt>
                <c:pt idx="45">
                  <c:v>3.9500099999999998</c:v>
                </c:pt>
                <c:pt idx="46">
                  <c:v>3.9181599999999999</c:v>
                </c:pt>
                <c:pt idx="47">
                  <c:v>3.8904699999999997</c:v>
                </c:pt>
                <c:pt idx="48">
                  <c:v>3.86876</c:v>
                </c:pt>
                <c:pt idx="49">
                  <c:v>3.8477299999999999</c:v>
                </c:pt>
                <c:pt idx="50">
                  <c:v>3.8375300000000001</c:v>
                </c:pt>
                <c:pt idx="51">
                  <c:v>3.8232899999999996</c:v>
                </c:pt>
                <c:pt idx="52">
                  <c:v>3.8074400000000002</c:v>
                </c:pt>
                <c:pt idx="53">
                  <c:v>3.7831399999999999</c:v>
                </c:pt>
                <c:pt idx="54">
                  <c:v>3.7663799999999998</c:v>
                </c:pt>
                <c:pt idx="55">
                  <c:v>3.7454799999999997</c:v>
                </c:pt>
                <c:pt idx="56">
                  <c:v>3.7246099999999998</c:v>
                </c:pt>
                <c:pt idx="57">
                  <c:v>3.7016999999999998</c:v>
                </c:pt>
                <c:pt idx="58">
                  <c:v>3.6800100000000002</c:v>
                </c:pt>
                <c:pt idx="59">
                  <c:v>3.6566100000000001</c:v>
                </c:pt>
                <c:pt idx="60">
                  <c:v>3.6275900000000001</c:v>
                </c:pt>
                <c:pt idx="61">
                  <c:v>3.6106100000000003</c:v>
                </c:pt>
                <c:pt idx="62">
                  <c:v>3.5900500000000002</c:v>
                </c:pt>
                <c:pt idx="63">
                  <c:v>3.5698999999999996</c:v>
                </c:pt>
                <c:pt idx="64">
                  <c:v>3.5534400000000002</c:v>
                </c:pt>
                <c:pt idx="65">
                  <c:v>3.5321899999999999</c:v>
                </c:pt>
                <c:pt idx="66">
                  <c:v>3.5117799999999999</c:v>
                </c:pt>
                <c:pt idx="67">
                  <c:v>3.4929500000000004</c:v>
                </c:pt>
                <c:pt idx="68">
                  <c:v>3.4833099999999999</c:v>
                </c:pt>
                <c:pt idx="69">
                  <c:v>3.4830899999999998</c:v>
                </c:pt>
                <c:pt idx="70">
                  <c:v>3.4855599999999995</c:v>
                </c:pt>
                <c:pt idx="71">
                  <c:v>3.4847099999999998</c:v>
                </c:pt>
                <c:pt idx="72">
                  <c:v>3.5005599999999997</c:v>
                </c:pt>
                <c:pt idx="73">
                  <c:v>3.5139999999999998</c:v>
                </c:pt>
                <c:pt idx="74">
                  <c:v>3.5342500000000001</c:v>
                </c:pt>
                <c:pt idx="75">
                  <c:v>3.5628199999999999</c:v>
                </c:pt>
                <c:pt idx="76">
                  <c:v>3.5935099999999998</c:v>
                </c:pt>
                <c:pt idx="77">
                  <c:v>3.6263099999999997</c:v>
                </c:pt>
                <c:pt idx="78">
                  <c:v>3.65699</c:v>
                </c:pt>
                <c:pt idx="79">
                  <c:v>3.6846399999999999</c:v>
                </c:pt>
                <c:pt idx="80">
                  <c:v>3.70865</c:v>
                </c:pt>
                <c:pt idx="81">
                  <c:v>3.7372300000000003</c:v>
                </c:pt>
                <c:pt idx="82">
                  <c:v>3.7675399999999999</c:v>
                </c:pt>
                <c:pt idx="83">
                  <c:v>3.8014799999999997</c:v>
                </c:pt>
                <c:pt idx="84">
                  <c:v>3.83508</c:v>
                </c:pt>
                <c:pt idx="85">
                  <c:v>3.8678900000000001</c:v>
                </c:pt>
                <c:pt idx="86">
                  <c:v>3.8990999999999998</c:v>
                </c:pt>
                <c:pt idx="87">
                  <c:v>3.9234999999999998</c:v>
                </c:pt>
                <c:pt idx="88">
                  <c:v>3.9455400000000003</c:v>
                </c:pt>
                <c:pt idx="89">
                  <c:v>3.9641599999999997</c:v>
                </c:pt>
                <c:pt idx="90">
                  <c:v>3.9762300000000002</c:v>
                </c:pt>
                <c:pt idx="91">
                  <c:v>3.98617</c:v>
                </c:pt>
                <c:pt idx="92">
                  <c:v>3.9957700000000003</c:v>
                </c:pt>
                <c:pt idx="93">
                  <c:v>4.00366</c:v>
                </c:pt>
                <c:pt idx="94">
                  <c:v>4.0079199999999995</c:v>
                </c:pt>
                <c:pt idx="95">
                  <c:v>4.0085100000000002</c:v>
                </c:pt>
                <c:pt idx="96">
                  <c:v>4.00854</c:v>
                </c:pt>
                <c:pt idx="97">
                  <c:v>3.99925</c:v>
                </c:pt>
                <c:pt idx="98">
                  <c:v>3.9844299999999997</c:v>
                </c:pt>
                <c:pt idx="99">
                  <c:v>3.9649400000000004</c:v>
                </c:pt>
                <c:pt idx="100">
                  <c:v>3.93628</c:v>
                </c:pt>
                <c:pt idx="101">
                  <c:v>3.9051900000000002</c:v>
                </c:pt>
                <c:pt idx="102">
                  <c:v>3.8734700000000002</c:v>
                </c:pt>
                <c:pt idx="103">
                  <c:v>3.8446399999999996</c:v>
                </c:pt>
                <c:pt idx="104">
                  <c:v>3.8194099999999995</c:v>
                </c:pt>
                <c:pt idx="105">
                  <c:v>3.7976300000000003</c:v>
                </c:pt>
                <c:pt idx="106">
                  <c:v>3.7729200000000001</c:v>
                </c:pt>
                <c:pt idx="107">
                  <c:v>3.7475100000000001</c:v>
                </c:pt>
                <c:pt idx="108">
                  <c:v>3.7255700000000003</c:v>
                </c:pt>
                <c:pt idx="109">
                  <c:v>3.7079200000000001</c:v>
                </c:pt>
                <c:pt idx="110">
                  <c:v>3.6950599999999998</c:v>
                </c:pt>
                <c:pt idx="111">
                  <c:v>3.6842299999999999</c:v>
                </c:pt>
                <c:pt idx="112">
                  <c:v>3.6764099999999997</c:v>
                </c:pt>
                <c:pt idx="113">
                  <c:v>3.6707700000000001</c:v>
                </c:pt>
                <c:pt idx="114">
                  <c:v>3.6667399999999999</c:v>
                </c:pt>
                <c:pt idx="115">
                  <c:v>3.6685699999999999</c:v>
                </c:pt>
                <c:pt idx="116">
                  <c:v>3.6737199999999999</c:v>
                </c:pt>
                <c:pt idx="117">
                  <c:v>3.6832900000000004</c:v>
                </c:pt>
                <c:pt idx="118">
                  <c:v>3.6913400000000003</c:v>
                </c:pt>
                <c:pt idx="119">
                  <c:v>3.7028600000000003</c:v>
                </c:pt>
                <c:pt idx="120">
                  <c:v>3.7163900000000001</c:v>
                </c:pt>
                <c:pt idx="121">
                  <c:v>3.7314799999999999</c:v>
                </c:pt>
                <c:pt idx="122">
                  <c:v>3.7494499999999995</c:v>
                </c:pt>
                <c:pt idx="123">
                  <c:v>3.7681800000000001</c:v>
                </c:pt>
                <c:pt idx="124">
                  <c:v>3.7764500000000001</c:v>
                </c:pt>
                <c:pt idx="125">
                  <c:v>3.78938</c:v>
                </c:pt>
                <c:pt idx="126">
                  <c:v>3.8041</c:v>
                </c:pt>
                <c:pt idx="127">
                  <c:v>3.81934</c:v>
                </c:pt>
                <c:pt idx="128">
                  <c:v>3.8336199999999998</c:v>
                </c:pt>
                <c:pt idx="129">
                  <c:v>3.84849</c:v>
                </c:pt>
                <c:pt idx="130">
                  <c:v>3.8634200000000001</c:v>
                </c:pt>
                <c:pt idx="131">
                  <c:v>3.8815400000000002</c:v>
                </c:pt>
                <c:pt idx="132">
                  <c:v>3.8976199999999999</c:v>
                </c:pt>
                <c:pt idx="133">
                  <c:v>3.9107599999999998</c:v>
                </c:pt>
                <c:pt idx="134">
                  <c:v>3.9233000000000002</c:v>
                </c:pt>
                <c:pt idx="135">
                  <c:v>3.9332400000000001</c:v>
                </c:pt>
                <c:pt idx="136">
                  <c:v>3.9375300000000002</c:v>
                </c:pt>
                <c:pt idx="137">
                  <c:v>3.9433400000000001</c:v>
                </c:pt>
                <c:pt idx="138">
                  <c:v>3.9554299999999998</c:v>
                </c:pt>
                <c:pt idx="139">
                  <c:v>3.9717500000000001</c:v>
                </c:pt>
                <c:pt idx="140">
                  <c:v>3.9902100000000003</c:v>
                </c:pt>
                <c:pt idx="141">
                  <c:v>4.0113399999999997</c:v>
                </c:pt>
                <c:pt idx="142">
                  <c:v>4.0284199999999997</c:v>
                </c:pt>
                <c:pt idx="143">
                  <c:v>4.0512100000000002</c:v>
                </c:pt>
                <c:pt idx="144">
                  <c:v>4.0607500000000005</c:v>
                </c:pt>
                <c:pt idx="145">
                  <c:v>4.0728999999999997</c:v>
                </c:pt>
                <c:pt idx="146">
                  <c:v>4.0594799999999998</c:v>
                </c:pt>
                <c:pt idx="147">
                  <c:v>4.0493100000000002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0.40949799999999997</c:v>
                </c:pt>
                <c:pt idx="2">
                  <c:v>0.81644000000000005</c:v>
                </c:pt>
                <c:pt idx="3">
                  <c:v>1.2219500000000001</c:v>
                </c:pt>
                <c:pt idx="4">
                  <c:v>1.6272599999999999</c:v>
                </c:pt>
                <c:pt idx="5">
                  <c:v>2.0316399999999999</c:v>
                </c:pt>
                <c:pt idx="6">
                  <c:v>2.4409299999999998</c:v>
                </c:pt>
                <c:pt idx="7">
                  <c:v>2.8479199999999998</c:v>
                </c:pt>
                <c:pt idx="8">
                  <c:v>3.2521499999999999</c:v>
                </c:pt>
                <c:pt idx="9">
                  <c:v>3.6577799999999998</c:v>
                </c:pt>
                <c:pt idx="10">
                  <c:v>4.0630199999999999</c:v>
                </c:pt>
                <c:pt idx="11">
                  <c:v>4.4715400000000001</c:v>
                </c:pt>
                <c:pt idx="12">
                  <c:v>4.8794599999999999</c:v>
                </c:pt>
                <c:pt idx="13">
                  <c:v>5.2852499999999996</c:v>
                </c:pt>
                <c:pt idx="14">
                  <c:v>5.6887499999999998</c:v>
                </c:pt>
                <c:pt idx="15">
                  <c:v>6.0955700000000004</c:v>
                </c:pt>
                <c:pt idx="16">
                  <c:v>6.5057600000000004</c:v>
                </c:pt>
                <c:pt idx="17">
                  <c:v>6.9099700000000004</c:v>
                </c:pt>
                <c:pt idx="18">
                  <c:v>7.3155900000000003</c:v>
                </c:pt>
                <c:pt idx="19">
                  <c:v>7.7207100000000004</c:v>
                </c:pt>
                <c:pt idx="20">
                  <c:v>8.1276600000000006</c:v>
                </c:pt>
                <c:pt idx="21">
                  <c:v>8.5335800000000006</c:v>
                </c:pt>
                <c:pt idx="22">
                  <c:v>8.9401499999999992</c:v>
                </c:pt>
                <c:pt idx="23">
                  <c:v>9.3497599999999998</c:v>
                </c:pt>
                <c:pt idx="24">
                  <c:v>9.7508900000000001</c:v>
                </c:pt>
                <c:pt idx="25">
                  <c:v>10.1608</c:v>
                </c:pt>
                <c:pt idx="26">
                  <c:v>10.5656</c:v>
                </c:pt>
                <c:pt idx="27">
                  <c:v>10.969900000000001</c:v>
                </c:pt>
                <c:pt idx="28">
                  <c:v>11.3779</c:v>
                </c:pt>
                <c:pt idx="29">
                  <c:v>11.784000000000001</c:v>
                </c:pt>
                <c:pt idx="30">
                  <c:v>12.191800000000001</c:v>
                </c:pt>
                <c:pt idx="31">
                  <c:v>12.597300000000001</c:v>
                </c:pt>
                <c:pt idx="32">
                  <c:v>13.0023</c:v>
                </c:pt>
                <c:pt idx="33">
                  <c:v>13.408799999999999</c:v>
                </c:pt>
                <c:pt idx="34">
                  <c:v>13.8164</c:v>
                </c:pt>
                <c:pt idx="35">
                  <c:v>14.224299999999999</c:v>
                </c:pt>
                <c:pt idx="36">
                  <c:v>14.6282</c:v>
                </c:pt>
                <c:pt idx="37">
                  <c:v>15.033300000000001</c:v>
                </c:pt>
                <c:pt idx="38">
                  <c:v>15.4414</c:v>
                </c:pt>
                <c:pt idx="39">
                  <c:v>15.849</c:v>
                </c:pt>
                <c:pt idx="40">
                  <c:v>16.255500000000001</c:v>
                </c:pt>
                <c:pt idx="41">
                  <c:v>16.660399999999999</c:v>
                </c:pt>
                <c:pt idx="42">
                  <c:v>17.063700000000001</c:v>
                </c:pt>
                <c:pt idx="43">
                  <c:v>17.473199999999999</c:v>
                </c:pt>
                <c:pt idx="44">
                  <c:v>17.8765</c:v>
                </c:pt>
                <c:pt idx="45">
                  <c:v>18.285900000000002</c:v>
                </c:pt>
                <c:pt idx="46">
                  <c:v>18.6921</c:v>
                </c:pt>
                <c:pt idx="47">
                  <c:v>19.096900000000002</c:v>
                </c:pt>
                <c:pt idx="48">
                  <c:v>19.501999999999999</c:v>
                </c:pt>
                <c:pt idx="49">
                  <c:v>19.908100000000001</c:v>
                </c:pt>
                <c:pt idx="50">
                  <c:v>20.3139</c:v>
                </c:pt>
                <c:pt idx="51">
                  <c:v>20.721599999999999</c:v>
                </c:pt>
                <c:pt idx="52">
                  <c:v>21.1294</c:v>
                </c:pt>
                <c:pt idx="53">
                  <c:v>21.5367</c:v>
                </c:pt>
                <c:pt idx="54">
                  <c:v>21.940799999999999</c:v>
                </c:pt>
                <c:pt idx="55">
                  <c:v>22.345099999999999</c:v>
                </c:pt>
                <c:pt idx="56">
                  <c:v>22.750399999999999</c:v>
                </c:pt>
                <c:pt idx="57">
                  <c:v>23.1615</c:v>
                </c:pt>
                <c:pt idx="58">
                  <c:v>23.5669</c:v>
                </c:pt>
                <c:pt idx="59">
                  <c:v>23.973800000000001</c:v>
                </c:pt>
                <c:pt idx="60">
                  <c:v>24.3782</c:v>
                </c:pt>
                <c:pt idx="61">
                  <c:v>24.783100000000001</c:v>
                </c:pt>
                <c:pt idx="62">
                  <c:v>25.191400000000002</c:v>
                </c:pt>
                <c:pt idx="63">
                  <c:v>25.5975</c:v>
                </c:pt>
                <c:pt idx="64">
                  <c:v>26.002300000000002</c:v>
                </c:pt>
                <c:pt idx="65">
                  <c:v>26.409099999999999</c:v>
                </c:pt>
                <c:pt idx="66">
                  <c:v>26.814299999999999</c:v>
                </c:pt>
                <c:pt idx="67">
                  <c:v>27.2225</c:v>
                </c:pt>
                <c:pt idx="68">
                  <c:v>27.628499999999999</c:v>
                </c:pt>
                <c:pt idx="69">
                  <c:v>28.036799999999999</c:v>
                </c:pt>
                <c:pt idx="70">
                  <c:v>28.4436</c:v>
                </c:pt>
                <c:pt idx="71">
                  <c:v>28.8444</c:v>
                </c:pt>
                <c:pt idx="72">
                  <c:v>29.254300000000001</c:v>
                </c:pt>
                <c:pt idx="73">
                  <c:v>29.660499999999999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2.6637200000000001</c:v>
                </c:pt>
                <c:pt idx="1">
                  <c:v>2.7526999999999999</c:v>
                </c:pt>
                <c:pt idx="2">
                  <c:v>2.84049</c:v>
                </c:pt>
                <c:pt idx="3">
                  <c:v>2.92591</c:v>
                </c:pt>
                <c:pt idx="4">
                  <c:v>3.01118</c:v>
                </c:pt>
                <c:pt idx="5">
                  <c:v>3.09558</c:v>
                </c:pt>
                <c:pt idx="6">
                  <c:v>3.1823899999999998</c:v>
                </c:pt>
                <c:pt idx="7">
                  <c:v>3.2720500000000001</c:v>
                </c:pt>
                <c:pt idx="8">
                  <c:v>3.3650799999999998</c:v>
                </c:pt>
                <c:pt idx="9">
                  <c:v>3.4586800000000002</c:v>
                </c:pt>
                <c:pt idx="10">
                  <c:v>3.5542600000000002</c:v>
                </c:pt>
                <c:pt idx="11">
                  <c:v>3.64567</c:v>
                </c:pt>
                <c:pt idx="12">
                  <c:v>3.73291</c:v>
                </c:pt>
                <c:pt idx="13">
                  <c:v>3.8202699999999998</c:v>
                </c:pt>
                <c:pt idx="14">
                  <c:v>3.9090999999999996</c:v>
                </c:pt>
                <c:pt idx="15">
                  <c:v>3.9889599999999996</c:v>
                </c:pt>
                <c:pt idx="16">
                  <c:v>4.0594700000000001</c:v>
                </c:pt>
                <c:pt idx="17">
                  <c:v>4.1210599999999999</c:v>
                </c:pt>
                <c:pt idx="18">
                  <c:v>4.1763000000000003</c:v>
                </c:pt>
                <c:pt idx="19">
                  <c:v>4.2244399999999995</c:v>
                </c:pt>
                <c:pt idx="20">
                  <c:v>4.2656400000000003</c:v>
                </c:pt>
                <c:pt idx="21">
                  <c:v>4.3013700000000004</c:v>
                </c:pt>
                <c:pt idx="22">
                  <c:v>4.3306399999999998</c:v>
                </c:pt>
                <c:pt idx="23">
                  <c:v>4.3511100000000003</c:v>
                </c:pt>
                <c:pt idx="24">
                  <c:v>4.3663299999999996</c:v>
                </c:pt>
                <c:pt idx="25">
                  <c:v>4.37087</c:v>
                </c:pt>
                <c:pt idx="26">
                  <c:v>4.3691200000000006</c:v>
                </c:pt>
                <c:pt idx="27">
                  <c:v>4.3666</c:v>
                </c:pt>
                <c:pt idx="28">
                  <c:v>4.3661799999999999</c:v>
                </c:pt>
                <c:pt idx="29">
                  <c:v>4.3674600000000003</c:v>
                </c:pt>
                <c:pt idx="30">
                  <c:v>4.3662400000000003</c:v>
                </c:pt>
                <c:pt idx="31">
                  <c:v>4.3605700000000001</c:v>
                </c:pt>
                <c:pt idx="32">
                  <c:v>4.3486099999999999</c:v>
                </c:pt>
                <c:pt idx="33">
                  <c:v>4.3317199999999998</c:v>
                </c:pt>
                <c:pt idx="34">
                  <c:v>4.3097500000000002</c:v>
                </c:pt>
                <c:pt idx="35">
                  <c:v>4.2854900000000002</c:v>
                </c:pt>
                <c:pt idx="36">
                  <c:v>4.2556799999999999</c:v>
                </c:pt>
                <c:pt idx="37">
                  <c:v>4.22384</c:v>
                </c:pt>
                <c:pt idx="38">
                  <c:v>4.1905299999999999</c:v>
                </c:pt>
                <c:pt idx="39">
                  <c:v>4.1529300000000005</c:v>
                </c:pt>
                <c:pt idx="40">
                  <c:v>4.1178600000000003</c:v>
                </c:pt>
                <c:pt idx="41">
                  <c:v>4.0865400000000003</c:v>
                </c:pt>
                <c:pt idx="42">
                  <c:v>4.0551900000000005</c:v>
                </c:pt>
                <c:pt idx="43">
                  <c:v>4.0201900000000004</c:v>
                </c:pt>
                <c:pt idx="44">
                  <c:v>3.98339</c:v>
                </c:pt>
                <c:pt idx="45">
                  <c:v>3.9500099999999998</c:v>
                </c:pt>
                <c:pt idx="46">
                  <c:v>3.9181599999999999</c:v>
                </c:pt>
                <c:pt idx="47">
                  <c:v>3.8904699999999997</c:v>
                </c:pt>
                <c:pt idx="48">
                  <c:v>3.86876</c:v>
                </c:pt>
                <c:pt idx="49">
                  <c:v>3.8477299999999999</c:v>
                </c:pt>
                <c:pt idx="50">
                  <c:v>3.8375300000000001</c:v>
                </c:pt>
                <c:pt idx="51">
                  <c:v>3.8232899999999996</c:v>
                </c:pt>
                <c:pt idx="52">
                  <c:v>3.8074400000000002</c:v>
                </c:pt>
                <c:pt idx="53">
                  <c:v>3.7831399999999999</c:v>
                </c:pt>
                <c:pt idx="54">
                  <c:v>3.7663799999999998</c:v>
                </c:pt>
                <c:pt idx="55">
                  <c:v>3.7454799999999997</c:v>
                </c:pt>
                <c:pt idx="56">
                  <c:v>3.7246099999999998</c:v>
                </c:pt>
                <c:pt idx="57">
                  <c:v>3.7016999999999998</c:v>
                </c:pt>
                <c:pt idx="58">
                  <c:v>3.6800100000000002</c:v>
                </c:pt>
                <c:pt idx="59">
                  <c:v>3.6566100000000001</c:v>
                </c:pt>
                <c:pt idx="60">
                  <c:v>3.6275900000000001</c:v>
                </c:pt>
                <c:pt idx="61">
                  <c:v>3.6106100000000003</c:v>
                </c:pt>
                <c:pt idx="62">
                  <c:v>3.5900500000000002</c:v>
                </c:pt>
                <c:pt idx="63">
                  <c:v>3.5698999999999996</c:v>
                </c:pt>
                <c:pt idx="64">
                  <c:v>3.5534400000000002</c:v>
                </c:pt>
                <c:pt idx="65">
                  <c:v>3.5321899999999999</c:v>
                </c:pt>
                <c:pt idx="66">
                  <c:v>3.5117799999999999</c:v>
                </c:pt>
                <c:pt idx="67">
                  <c:v>3.4929500000000004</c:v>
                </c:pt>
                <c:pt idx="68">
                  <c:v>3.4833099999999999</c:v>
                </c:pt>
                <c:pt idx="69">
                  <c:v>3.4830899999999998</c:v>
                </c:pt>
                <c:pt idx="70">
                  <c:v>3.4855599999999995</c:v>
                </c:pt>
                <c:pt idx="71">
                  <c:v>3.4847099999999998</c:v>
                </c:pt>
                <c:pt idx="72">
                  <c:v>3.5005599999999997</c:v>
                </c:pt>
                <c:pt idx="73">
                  <c:v>3.5139999999999998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29.660499999999999</c:v>
                </c:pt>
                <c:pt idx="1">
                  <c:v>30.066299999999998</c:v>
                </c:pt>
                <c:pt idx="2">
                  <c:v>30.552900000000001</c:v>
                </c:pt>
                <c:pt idx="3">
                  <c:v>30.9404</c:v>
                </c:pt>
                <c:pt idx="4">
                  <c:v>31.332000000000001</c:v>
                </c:pt>
                <c:pt idx="5">
                  <c:v>31.736699999999999</c:v>
                </c:pt>
                <c:pt idx="6">
                  <c:v>32.142000000000003</c:v>
                </c:pt>
                <c:pt idx="7">
                  <c:v>32.547600000000003</c:v>
                </c:pt>
                <c:pt idx="8">
                  <c:v>32.957799999999999</c:v>
                </c:pt>
                <c:pt idx="9">
                  <c:v>33.361400000000003</c:v>
                </c:pt>
                <c:pt idx="10">
                  <c:v>33.767299999999999</c:v>
                </c:pt>
                <c:pt idx="11">
                  <c:v>34.175600000000003</c:v>
                </c:pt>
                <c:pt idx="12">
                  <c:v>34.583199999999998</c:v>
                </c:pt>
                <c:pt idx="13">
                  <c:v>34.985799999999998</c:v>
                </c:pt>
                <c:pt idx="14">
                  <c:v>35.391800000000003</c:v>
                </c:pt>
                <c:pt idx="15">
                  <c:v>35.799500000000002</c:v>
                </c:pt>
                <c:pt idx="16">
                  <c:v>36.208399999999997</c:v>
                </c:pt>
                <c:pt idx="17">
                  <c:v>36.612400000000001</c:v>
                </c:pt>
                <c:pt idx="18">
                  <c:v>37.020299999999999</c:v>
                </c:pt>
                <c:pt idx="19">
                  <c:v>37.425199999999997</c:v>
                </c:pt>
                <c:pt idx="20">
                  <c:v>37.832299999999996</c:v>
                </c:pt>
                <c:pt idx="21">
                  <c:v>38.240200000000002</c:v>
                </c:pt>
                <c:pt idx="22">
                  <c:v>38.645099999999999</c:v>
                </c:pt>
                <c:pt idx="23">
                  <c:v>39.051400000000001</c:v>
                </c:pt>
                <c:pt idx="24">
                  <c:v>39.455599999999997</c:v>
                </c:pt>
                <c:pt idx="25">
                  <c:v>39.859900000000003</c:v>
                </c:pt>
                <c:pt idx="26">
                  <c:v>40.269599999999997</c:v>
                </c:pt>
                <c:pt idx="27">
                  <c:v>40.677399999999999</c:v>
                </c:pt>
                <c:pt idx="28">
                  <c:v>41.080500000000001</c:v>
                </c:pt>
                <c:pt idx="29">
                  <c:v>41.487699999999997</c:v>
                </c:pt>
                <c:pt idx="30">
                  <c:v>41.891399999999997</c:v>
                </c:pt>
                <c:pt idx="31">
                  <c:v>42.3001</c:v>
                </c:pt>
                <c:pt idx="32">
                  <c:v>42.707900000000002</c:v>
                </c:pt>
                <c:pt idx="33">
                  <c:v>43.113</c:v>
                </c:pt>
                <c:pt idx="34">
                  <c:v>43.5167</c:v>
                </c:pt>
                <c:pt idx="35">
                  <c:v>43.925199999999997</c:v>
                </c:pt>
                <c:pt idx="36">
                  <c:v>44.3322</c:v>
                </c:pt>
                <c:pt idx="37">
                  <c:v>44.739199999999997</c:v>
                </c:pt>
                <c:pt idx="38">
                  <c:v>45.142499999999998</c:v>
                </c:pt>
                <c:pt idx="39">
                  <c:v>45.548299999999998</c:v>
                </c:pt>
                <c:pt idx="40">
                  <c:v>45.955500000000001</c:v>
                </c:pt>
                <c:pt idx="41">
                  <c:v>46.362299999999998</c:v>
                </c:pt>
                <c:pt idx="42">
                  <c:v>46.765900000000002</c:v>
                </c:pt>
                <c:pt idx="43">
                  <c:v>47.1723</c:v>
                </c:pt>
                <c:pt idx="44">
                  <c:v>47.581000000000003</c:v>
                </c:pt>
                <c:pt idx="45">
                  <c:v>47.989800000000002</c:v>
                </c:pt>
                <c:pt idx="46">
                  <c:v>48.3917</c:v>
                </c:pt>
                <c:pt idx="47">
                  <c:v>48.796999999999997</c:v>
                </c:pt>
                <c:pt idx="48">
                  <c:v>49.2042</c:v>
                </c:pt>
                <c:pt idx="49">
                  <c:v>49.612400000000001</c:v>
                </c:pt>
                <c:pt idx="50">
                  <c:v>50.015999999999998</c:v>
                </c:pt>
                <c:pt idx="51">
                  <c:v>50.424300000000002</c:v>
                </c:pt>
                <c:pt idx="52">
                  <c:v>50.830399999999997</c:v>
                </c:pt>
                <c:pt idx="53">
                  <c:v>51.236499999999999</c:v>
                </c:pt>
                <c:pt idx="54">
                  <c:v>51.641800000000003</c:v>
                </c:pt>
                <c:pt idx="55">
                  <c:v>52.0533</c:v>
                </c:pt>
                <c:pt idx="56">
                  <c:v>52.455399999999997</c:v>
                </c:pt>
                <c:pt idx="57">
                  <c:v>52.862099999999998</c:v>
                </c:pt>
                <c:pt idx="58">
                  <c:v>53.268000000000001</c:v>
                </c:pt>
                <c:pt idx="59">
                  <c:v>53.6721</c:v>
                </c:pt>
                <c:pt idx="60">
                  <c:v>54.082799999999999</c:v>
                </c:pt>
                <c:pt idx="61">
                  <c:v>54.486499999999999</c:v>
                </c:pt>
                <c:pt idx="62">
                  <c:v>54.890700000000002</c:v>
                </c:pt>
                <c:pt idx="63">
                  <c:v>55.297400000000003</c:v>
                </c:pt>
                <c:pt idx="64">
                  <c:v>55.707599999999999</c:v>
                </c:pt>
                <c:pt idx="65">
                  <c:v>56.113700000000001</c:v>
                </c:pt>
                <c:pt idx="66">
                  <c:v>56.5184</c:v>
                </c:pt>
                <c:pt idx="67">
                  <c:v>56.924399999999999</c:v>
                </c:pt>
                <c:pt idx="68">
                  <c:v>57.331000000000003</c:v>
                </c:pt>
                <c:pt idx="69">
                  <c:v>57.737499999999997</c:v>
                </c:pt>
                <c:pt idx="70">
                  <c:v>58.1434</c:v>
                </c:pt>
                <c:pt idx="71">
                  <c:v>58.552900000000001</c:v>
                </c:pt>
                <c:pt idx="72">
                  <c:v>58.954599999999999</c:v>
                </c:pt>
                <c:pt idx="73">
                  <c:v>59.360500000000002</c:v>
                </c:pt>
                <c:pt idx="74">
                  <c:v>59.768099999999997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3.5139999999999998</c:v>
                </c:pt>
                <c:pt idx="1">
                  <c:v>3.5342500000000001</c:v>
                </c:pt>
                <c:pt idx="2">
                  <c:v>3.5628199999999999</c:v>
                </c:pt>
                <c:pt idx="3">
                  <c:v>3.5935099999999998</c:v>
                </c:pt>
                <c:pt idx="4">
                  <c:v>3.6263099999999997</c:v>
                </c:pt>
                <c:pt idx="5">
                  <c:v>3.65699</c:v>
                </c:pt>
                <c:pt idx="6">
                  <c:v>3.6846399999999999</c:v>
                </c:pt>
                <c:pt idx="7">
                  <c:v>3.70865</c:v>
                </c:pt>
                <c:pt idx="8">
                  <c:v>3.7372300000000003</c:v>
                </c:pt>
                <c:pt idx="9">
                  <c:v>3.7675399999999999</c:v>
                </c:pt>
                <c:pt idx="10">
                  <c:v>3.8014799999999997</c:v>
                </c:pt>
                <c:pt idx="11">
                  <c:v>3.83508</c:v>
                </c:pt>
                <c:pt idx="12">
                  <c:v>3.8678900000000001</c:v>
                </c:pt>
                <c:pt idx="13">
                  <c:v>3.8990999999999998</c:v>
                </c:pt>
                <c:pt idx="14">
                  <c:v>3.9234999999999998</c:v>
                </c:pt>
                <c:pt idx="15">
                  <c:v>3.9455400000000003</c:v>
                </c:pt>
                <c:pt idx="16">
                  <c:v>3.9641599999999997</c:v>
                </c:pt>
                <c:pt idx="17">
                  <c:v>3.9762300000000002</c:v>
                </c:pt>
                <c:pt idx="18">
                  <c:v>3.98617</c:v>
                </c:pt>
                <c:pt idx="19">
                  <c:v>3.9957700000000003</c:v>
                </c:pt>
                <c:pt idx="20">
                  <c:v>4.00366</c:v>
                </c:pt>
                <c:pt idx="21">
                  <c:v>4.0079199999999995</c:v>
                </c:pt>
                <c:pt idx="22">
                  <c:v>4.0085100000000002</c:v>
                </c:pt>
                <c:pt idx="23">
                  <c:v>4.00854</c:v>
                </c:pt>
                <c:pt idx="24">
                  <c:v>3.99925</c:v>
                </c:pt>
                <c:pt idx="25">
                  <c:v>3.9844299999999997</c:v>
                </c:pt>
                <c:pt idx="26">
                  <c:v>3.9649400000000004</c:v>
                </c:pt>
                <c:pt idx="27">
                  <c:v>3.93628</c:v>
                </c:pt>
                <c:pt idx="28">
                  <c:v>3.9051900000000002</c:v>
                </c:pt>
                <c:pt idx="29">
                  <c:v>3.8734700000000002</c:v>
                </c:pt>
                <c:pt idx="30">
                  <c:v>3.8446399999999996</c:v>
                </c:pt>
                <c:pt idx="31">
                  <c:v>3.8194099999999995</c:v>
                </c:pt>
                <c:pt idx="32">
                  <c:v>3.7976300000000003</c:v>
                </c:pt>
                <c:pt idx="33">
                  <c:v>3.7729200000000001</c:v>
                </c:pt>
                <c:pt idx="34">
                  <c:v>3.7475100000000001</c:v>
                </c:pt>
                <c:pt idx="35">
                  <c:v>3.7255700000000003</c:v>
                </c:pt>
                <c:pt idx="36">
                  <c:v>3.7079200000000001</c:v>
                </c:pt>
                <c:pt idx="37">
                  <c:v>3.6950599999999998</c:v>
                </c:pt>
                <c:pt idx="38">
                  <c:v>3.6842299999999999</c:v>
                </c:pt>
                <c:pt idx="39">
                  <c:v>3.6764099999999997</c:v>
                </c:pt>
                <c:pt idx="40">
                  <c:v>3.6707700000000001</c:v>
                </c:pt>
                <c:pt idx="41">
                  <c:v>3.6667399999999999</c:v>
                </c:pt>
                <c:pt idx="42">
                  <c:v>3.6685699999999999</c:v>
                </c:pt>
                <c:pt idx="43">
                  <c:v>3.6737199999999999</c:v>
                </c:pt>
                <c:pt idx="44">
                  <c:v>3.6832900000000004</c:v>
                </c:pt>
                <c:pt idx="45">
                  <c:v>3.6913400000000003</c:v>
                </c:pt>
                <c:pt idx="46">
                  <c:v>3.7028600000000003</c:v>
                </c:pt>
                <c:pt idx="47">
                  <c:v>3.7163900000000001</c:v>
                </c:pt>
                <c:pt idx="48">
                  <c:v>3.7314799999999999</c:v>
                </c:pt>
                <c:pt idx="49">
                  <c:v>3.7494499999999995</c:v>
                </c:pt>
                <c:pt idx="50">
                  <c:v>3.7681800000000001</c:v>
                </c:pt>
                <c:pt idx="51">
                  <c:v>3.7764500000000001</c:v>
                </c:pt>
                <c:pt idx="52">
                  <c:v>3.78938</c:v>
                </c:pt>
                <c:pt idx="53">
                  <c:v>3.8041</c:v>
                </c:pt>
                <c:pt idx="54">
                  <c:v>3.81934</c:v>
                </c:pt>
                <c:pt idx="55">
                  <c:v>3.8336199999999998</c:v>
                </c:pt>
                <c:pt idx="56">
                  <c:v>3.84849</c:v>
                </c:pt>
                <c:pt idx="57">
                  <c:v>3.8634200000000001</c:v>
                </c:pt>
                <c:pt idx="58">
                  <c:v>3.8815400000000002</c:v>
                </c:pt>
                <c:pt idx="59">
                  <c:v>3.8976199999999999</c:v>
                </c:pt>
                <c:pt idx="60">
                  <c:v>3.9107599999999998</c:v>
                </c:pt>
                <c:pt idx="61">
                  <c:v>3.9233000000000002</c:v>
                </c:pt>
                <c:pt idx="62">
                  <c:v>3.9332400000000001</c:v>
                </c:pt>
                <c:pt idx="63">
                  <c:v>3.9375300000000002</c:v>
                </c:pt>
                <c:pt idx="64">
                  <c:v>3.9433400000000001</c:v>
                </c:pt>
                <c:pt idx="65">
                  <c:v>3.9554299999999998</c:v>
                </c:pt>
                <c:pt idx="66">
                  <c:v>3.9717500000000001</c:v>
                </c:pt>
                <c:pt idx="67">
                  <c:v>3.9902100000000003</c:v>
                </c:pt>
                <c:pt idx="68">
                  <c:v>4.0113399999999997</c:v>
                </c:pt>
                <c:pt idx="69">
                  <c:v>4.0284199999999997</c:v>
                </c:pt>
                <c:pt idx="70">
                  <c:v>4.0512100000000002</c:v>
                </c:pt>
                <c:pt idx="71">
                  <c:v>4.0607500000000005</c:v>
                </c:pt>
                <c:pt idx="72">
                  <c:v>4.0728999999999997</c:v>
                </c:pt>
                <c:pt idx="73">
                  <c:v>4.0594799999999998</c:v>
                </c:pt>
                <c:pt idx="74">
                  <c:v>4.0493100000000002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14.942024999999999</c:v>
                </c:pt>
                <c:pt idx="1">
                  <c:v>44.826074999999996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3.8214206756756757</c:v>
                </c:pt>
                <c:pt idx="1">
                  <c:v>3.8427847297297308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0.40949799999999997</c:v>
                </c:pt>
                <c:pt idx="2">
                  <c:v>0.81644000000000005</c:v>
                </c:pt>
                <c:pt idx="3">
                  <c:v>1.2219500000000001</c:v>
                </c:pt>
                <c:pt idx="4">
                  <c:v>1.6272599999999999</c:v>
                </c:pt>
                <c:pt idx="5">
                  <c:v>2.0316399999999999</c:v>
                </c:pt>
                <c:pt idx="6">
                  <c:v>2.4409299999999998</c:v>
                </c:pt>
                <c:pt idx="7">
                  <c:v>2.8479199999999998</c:v>
                </c:pt>
                <c:pt idx="8">
                  <c:v>3.2521499999999999</c:v>
                </c:pt>
                <c:pt idx="9">
                  <c:v>3.6577799999999998</c:v>
                </c:pt>
                <c:pt idx="10">
                  <c:v>4.0630199999999999</c:v>
                </c:pt>
                <c:pt idx="11">
                  <c:v>4.4715400000000001</c:v>
                </c:pt>
                <c:pt idx="12">
                  <c:v>4.8794599999999999</c:v>
                </c:pt>
                <c:pt idx="13">
                  <c:v>5.2852499999999996</c:v>
                </c:pt>
                <c:pt idx="14">
                  <c:v>5.6887499999999998</c:v>
                </c:pt>
                <c:pt idx="15">
                  <c:v>6.0955700000000004</c:v>
                </c:pt>
                <c:pt idx="16">
                  <c:v>6.5057600000000004</c:v>
                </c:pt>
                <c:pt idx="17">
                  <c:v>6.9099700000000004</c:v>
                </c:pt>
                <c:pt idx="18">
                  <c:v>7.3155900000000003</c:v>
                </c:pt>
                <c:pt idx="19">
                  <c:v>7.7207100000000004</c:v>
                </c:pt>
                <c:pt idx="20">
                  <c:v>8.1276600000000006</c:v>
                </c:pt>
                <c:pt idx="21">
                  <c:v>8.5335800000000006</c:v>
                </c:pt>
                <c:pt idx="22">
                  <c:v>8.9401499999999992</c:v>
                </c:pt>
                <c:pt idx="23">
                  <c:v>9.3497599999999998</c:v>
                </c:pt>
                <c:pt idx="24">
                  <c:v>9.7508900000000001</c:v>
                </c:pt>
                <c:pt idx="25">
                  <c:v>10.1608</c:v>
                </c:pt>
                <c:pt idx="26">
                  <c:v>10.5656</c:v>
                </c:pt>
                <c:pt idx="27">
                  <c:v>10.969900000000001</c:v>
                </c:pt>
                <c:pt idx="28">
                  <c:v>11.3779</c:v>
                </c:pt>
                <c:pt idx="29">
                  <c:v>11.784000000000001</c:v>
                </c:pt>
                <c:pt idx="30">
                  <c:v>12.191800000000001</c:v>
                </c:pt>
                <c:pt idx="31">
                  <c:v>12.597300000000001</c:v>
                </c:pt>
                <c:pt idx="32">
                  <c:v>13.0023</c:v>
                </c:pt>
                <c:pt idx="33">
                  <c:v>13.408799999999999</c:v>
                </c:pt>
                <c:pt idx="34">
                  <c:v>13.8164</c:v>
                </c:pt>
                <c:pt idx="35">
                  <c:v>14.224299999999999</c:v>
                </c:pt>
                <c:pt idx="36">
                  <c:v>14.6282</c:v>
                </c:pt>
                <c:pt idx="37">
                  <c:v>15.033300000000001</c:v>
                </c:pt>
                <c:pt idx="38">
                  <c:v>15.4414</c:v>
                </c:pt>
                <c:pt idx="39">
                  <c:v>15.849</c:v>
                </c:pt>
                <c:pt idx="40">
                  <c:v>16.255500000000001</c:v>
                </c:pt>
                <c:pt idx="41">
                  <c:v>16.660399999999999</c:v>
                </c:pt>
                <c:pt idx="42">
                  <c:v>17.063700000000001</c:v>
                </c:pt>
                <c:pt idx="43">
                  <c:v>17.473199999999999</c:v>
                </c:pt>
                <c:pt idx="44">
                  <c:v>17.8765</c:v>
                </c:pt>
                <c:pt idx="45">
                  <c:v>18.285900000000002</c:v>
                </c:pt>
                <c:pt idx="46">
                  <c:v>18.6921</c:v>
                </c:pt>
                <c:pt idx="47">
                  <c:v>19.096900000000002</c:v>
                </c:pt>
                <c:pt idx="48">
                  <c:v>19.501999999999999</c:v>
                </c:pt>
                <c:pt idx="49">
                  <c:v>19.908100000000001</c:v>
                </c:pt>
                <c:pt idx="50">
                  <c:v>20.3139</c:v>
                </c:pt>
                <c:pt idx="51">
                  <c:v>20.721599999999999</c:v>
                </c:pt>
                <c:pt idx="52">
                  <c:v>21.1294</c:v>
                </c:pt>
                <c:pt idx="53">
                  <c:v>21.5367</c:v>
                </c:pt>
                <c:pt idx="54">
                  <c:v>21.940799999999999</c:v>
                </c:pt>
                <c:pt idx="55">
                  <c:v>22.345099999999999</c:v>
                </c:pt>
                <c:pt idx="56">
                  <c:v>22.750399999999999</c:v>
                </c:pt>
                <c:pt idx="57">
                  <c:v>23.1615</c:v>
                </c:pt>
                <c:pt idx="58">
                  <c:v>23.5669</c:v>
                </c:pt>
                <c:pt idx="59">
                  <c:v>23.973800000000001</c:v>
                </c:pt>
                <c:pt idx="60">
                  <c:v>24.3782</c:v>
                </c:pt>
                <c:pt idx="61">
                  <c:v>24.783100000000001</c:v>
                </c:pt>
                <c:pt idx="62">
                  <c:v>25.191400000000002</c:v>
                </c:pt>
                <c:pt idx="63">
                  <c:v>25.5975</c:v>
                </c:pt>
                <c:pt idx="64">
                  <c:v>26.002300000000002</c:v>
                </c:pt>
                <c:pt idx="65">
                  <c:v>26.409099999999999</c:v>
                </c:pt>
                <c:pt idx="66">
                  <c:v>26.814299999999999</c:v>
                </c:pt>
                <c:pt idx="67">
                  <c:v>27.2225</c:v>
                </c:pt>
                <c:pt idx="68">
                  <c:v>27.628499999999999</c:v>
                </c:pt>
                <c:pt idx="69">
                  <c:v>28.036799999999999</c:v>
                </c:pt>
                <c:pt idx="70">
                  <c:v>28.4436</c:v>
                </c:pt>
                <c:pt idx="71">
                  <c:v>28.8444</c:v>
                </c:pt>
                <c:pt idx="72">
                  <c:v>29.254300000000001</c:v>
                </c:pt>
                <c:pt idx="73">
                  <c:v>29.660499999999999</c:v>
                </c:pt>
                <c:pt idx="74">
                  <c:v>30.066299999999998</c:v>
                </c:pt>
                <c:pt idx="75">
                  <c:v>30.552900000000001</c:v>
                </c:pt>
                <c:pt idx="76">
                  <c:v>30.9404</c:v>
                </c:pt>
                <c:pt idx="77">
                  <c:v>31.332000000000001</c:v>
                </c:pt>
                <c:pt idx="78">
                  <c:v>31.736699999999999</c:v>
                </c:pt>
                <c:pt idx="79">
                  <c:v>32.142000000000003</c:v>
                </c:pt>
                <c:pt idx="80">
                  <c:v>32.547600000000003</c:v>
                </c:pt>
                <c:pt idx="81">
                  <c:v>32.957799999999999</c:v>
                </c:pt>
                <c:pt idx="82">
                  <c:v>33.361400000000003</c:v>
                </c:pt>
                <c:pt idx="83">
                  <c:v>33.767299999999999</c:v>
                </c:pt>
                <c:pt idx="84">
                  <c:v>34.175600000000003</c:v>
                </c:pt>
                <c:pt idx="85">
                  <c:v>34.583199999999998</c:v>
                </c:pt>
                <c:pt idx="86">
                  <c:v>34.985799999999998</c:v>
                </c:pt>
                <c:pt idx="87">
                  <c:v>35.391800000000003</c:v>
                </c:pt>
                <c:pt idx="88">
                  <c:v>35.799500000000002</c:v>
                </c:pt>
                <c:pt idx="89">
                  <c:v>36.208399999999997</c:v>
                </c:pt>
                <c:pt idx="90">
                  <c:v>36.612400000000001</c:v>
                </c:pt>
                <c:pt idx="91">
                  <c:v>37.020299999999999</c:v>
                </c:pt>
                <c:pt idx="92">
                  <c:v>37.425199999999997</c:v>
                </c:pt>
                <c:pt idx="93">
                  <c:v>37.832299999999996</c:v>
                </c:pt>
                <c:pt idx="94">
                  <c:v>38.240200000000002</c:v>
                </c:pt>
                <c:pt idx="95">
                  <c:v>38.645099999999999</c:v>
                </c:pt>
                <c:pt idx="96">
                  <c:v>39.051400000000001</c:v>
                </c:pt>
                <c:pt idx="97">
                  <c:v>39.455599999999997</c:v>
                </c:pt>
                <c:pt idx="98">
                  <c:v>39.859900000000003</c:v>
                </c:pt>
                <c:pt idx="99">
                  <c:v>40.269599999999997</c:v>
                </c:pt>
                <c:pt idx="100">
                  <c:v>40.677399999999999</c:v>
                </c:pt>
                <c:pt idx="101">
                  <c:v>41.080500000000001</c:v>
                </c:pt>
                <c:pt idx="102">
                  <c:v>41.487699999999997</c:v>
                </c:pt>
                <c:pt idx="103">
                  <c:v>41.891399999999997</c:v>
                </c:pt>
                <c:pt idx="104">
                  <c:v>42.3001</c:v>
                </c:pt>
                <c:pt idx="105">
                  <c:v>42.707900000000002</c:v>
                </c:pt>
                <c:pt idx="106">
                  <c:v>43.113</c:v>
                </c:pt>
                <c:pt idx="107">
                  <c:v>43.5167</c:v>
                </c:pt>
                <c:pt idx="108">
                  <c:v>43.925199999999997</c:v>
                </c:pt>
                <c:pt idx="109">
                  <c:v>44.3322</c:v>
                </c:pt>
                <c:pt idx="110">
                  <c:v>44.739199999999997</c:v>
                </c:pt>
                <c:pt idx="111">
                  <c:v>45.142499999999998</c:v>
                </c:pt>
                <c:pt idx="112">
                  <c:v>45.548299999999998</c:v>
                </c:pt>
                <c:pt idx="113">
                  <c:v>45.955500000000001</c:v>
                </c:pt>
                <c:pt idx="114">
                  <c:v>46.362299999999998</c:v>
                </c:pt>
                <c:pt idx="115">
                  <c:v>46.765900000000002</c:v>
                </c:pt>
                <c:pt idx="116">
                  <c:v>47.1723</c:v>
                </c:pt>
                <c:pt idx="117">
                  <c:v>47.581000000000003</c:v>
                </c:pt>
                <c:pt idx="118">
                  <c:v>47.989800000000002</c:v>
                </c:pt>
                <c:pt idx="119">
                  <c:v>48.3917</c:v>
                </c:pt>
                <c:pt idx="120">
                  <c:v>48.796999999999997</c:v>
                </c:pt>
                <c:pt idx="121">
                  <c:v>49.2042</c:v>
                </c:pt>
                <c:pt idx="122">
                  <c:v>49.612400000000001</c:v>
                </c:pt>
                <c:pt idx="123">
                  <c:v>50.015999999999998</c:v>
                </c:pt>
                <c:pt idx="124">
                  <c:v>50.424300000000002</c:v>
                </c:pt>
                <c:pt idx="125">
                  <c:v>50.830399999999997</c:v>
                </c:pt>
                <c:pt idx="126">
                  <c:v>51.236499999999999</c:v>
                </c:pt>
                <c:pt idx="127">
                  <c:v>51.641800000000003</c:v>
                </c:pt>
                <c:pt idx="128">
                  <c:v>52.0533</c:v>
                </c:pt>
                <c:pt idx="129">
                  <c:v>52.455399999999997</c:v>
                </c:pt>
                <c:pt idx="130">
                  <c:v>52.862099999999998</c:v>
                </c:pt>
                <c:pt idx="131">
                  <c:v>53.268000000000001</c:v>
                </c:pt>
                <c:pt idx="132">
                  <c:v>53.6721</c:v>
                </c:pt>
                <c:pt idx="133">
                  <c:v>54.082799999999999</c:v>
                </c:pt>
                <c:pt idx="134">
                  <c:v>54.486499999999999</c:v>
                </c:pt>
                <c:pt idx="135">
                  <c:v>54.890700000000002</c:v>
                </c:pt>
                <c:pt idx="136">
                  <c:v>55.297400000000003</c:v>
                </c:pt>
                <c:pt idx="137">
                  <c:v>55.707599999999999</c:v>
                </c:pt>
                <c:pt idx="138">
                  <c:v>56.113700000000001</c:v>
                </c:pt>
                <c:pt idx="139">
                  <c:v>56.5184</c:v>
                </c:pt>
                <c:pt idx="140">
                  <c:v>56.924399999999999</c:v>
                </c:pt>
                <c:pt idx="141">
                  <c:v>57.331000000000003</c:v>
                </c:pt>
                <c:pt idx="142">
                  <c:v>57.737499999999997</c:v>
                </c:pt>
                <c:pt idx="143">
                  <c:v>58.1434</c:v>
                </c:pt>
                <c:pt idx="144">
                  <c:v>58.552900000000001</c:v>
                </c:pt>
                <c:pt idx="145">
                  <c:v>58.954599999999999</c:v>
                </c:pt>
                <c:pt idx="146">
                  <c:v>59.360500000000002</c:v>
                </c:pt>
                <c:pt idx="147">
                  <c:v>59.768099999999997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51.709799999999994</c:v>
                </c:pt>
                <c:pt idx="1">
                  <c:v>50.626400000000004</c:v>
                </c:pt>
                <c:pt idx="2">
                  <c:v>49.800699999999999</c:v>
                </c:pt>
                <c:pt idx="3">
                  <c:v>49.274499999999996</c:v>
                </c:pt>
                <c:pt idx="4">
                  <c:v>48.868099999999998</c:v>
                </c:pt>
                <c:pt idx="5">
                  <c:v>48.553600000000003</c:v>
                </c:pt>
                <c:pt idx="6">
                  <c:v>47.991599999999998</c:v>
                </c:pt>
                <c:pt idx="7">
                  <c:v>47.230899999999998</c:v>
                </c:pt>
                <c:pt idx="8">
                  <c:v>46.341999999999999</c:v>
                </c:pt>
                <c:pt idx="9">
                  <c:v>45.293599999999998</c:v>
                </c:pt>
                <c:pt idx="10">
                  <c:v>44.075699999999998</c:v>
                </c:pt>
                <c:pt idx="11">
                  <c:v>42.971599999999995</c:v>
                </c:pt>
                <c:pt idx="12">
                  <c:v>42.0291</c:v>
                </c:pt>
                <c:pt idx="13">
                  <c:v>41.2166</c:v>
                </c:pt>
                <c:pt idx="14">
                  <c:v>40.433099999999996</c:v>
                </c:pt>
                <c:pt idx="15">
                  <c:v>39.8765</c:v>
                </c:pt>
                <c:pt idx="16">
                  <c:v>39.630200000000002</c:v>
                </c:pt>
                <c:pt idx="17">
                  <c:v>39.570799999999998</c:v>
                </c:pt>
                <c:pt idx="18">
                  <c:v>39.599600000000002</c:v>
                </c:pt>
                <c:pt idx="19">
                  <c:v>39.668799999999997</c:v>
                </c:pt>
                <c:pt idx="20">
                  <c:v>39.912500000000001</c:v>
                </c:pt>
                <c:pt idx="21">
                  <c:v>40.273199999999996</c:v>
                </c:pt>
                <c:pt idx="22">
                  <c:v>40.705100000000002</c:v>
                </c:pt>
                <c:pt idx="23">
                  <c:v>41.1173</c:v>
                </c:pt>
                <c:pt idx="24">
                  <c:v>41.4709</c:v>
                </c:pt>
                <c:pt idx="25">
                  <c:v>41.675800000000002</c:v>
                </c:pt>
                <c:pt idx="26">
                  <c:v>41.769600000000004</c:v>
                </c:pt>
                <c:pt idx="27">
                  <c:v>41.852499999999999</c:v>
                </c:pt>
                <c:pt idx="28">
                  <c:v>41.974400000000003</c:v>
                </c:pt>
                <c:pt idx="29">
                  <c:v>42.113599999999998</c:v>
                </c:pt>
                <c:pt idx="30">
                  <c:v>42.237499999999997</c:v>
                </c:pt>
                <c:pt idx="31">
                  <c:v>42.337499999999999</c:v>
                </c:pt>
                <c:pt idx="32">
                  <c:v>42.376899999999999</c:v>
                </c:pt>
                <c:pt idx="33">
                  <c:v>42.408200000000001</c:v>
                </c:pt>
                <c:pt idx="34">
                  <c:v>42.5092</c:v>
                </c:pt>
                <c:pt idx="35">
                  <c:v>42.7941</c:v>
                </c:pt>
                <c:pt idx="36">
                  <c:v>43.104799999999997</c:v>
                </c:pt>
                <c:pt idx="37">
                  <c:v>43.474200000000003</c:v>
                </c:pt>
                <c:pt idx="38">
                  <c:v>43.994699999999995</c:v>
                </c:pt>
                <c:pt idx="39">
                  <c:v>44.689900000000002</c:v>
                </c:pt>
                <c:pt idx="40">
                  <c:v>45.456200000000003</c:v>
                </c:pt>
                <c:pt idx="41">
                  <c:v>46.1676</c:v>
                </c:pt>
                <c:pt idx="42">
                  <c:v>46.811100000000003</c:v>
                </c:pt>
                <c:pt idx="43">
                  <c:v>47.390300000000003</c:v>
                </c:pt>
                <c:pt idx="44">
                  <c:v>47.9116</c:v>
                </c:pt>
                <c:pt idx="45">
                  <c:v>48.357199999999999</c:v>
                </c:pt>
                <c:pt idx="46">
                  <c:v>48.761700000000005</c:v>
                </c:pt>
                <c:pt idx="47">
                  <c:v>49.104100000000003</c:v>
                </c:pt>
                <c:pt idx="48">
                  <c:v>49.347099999999998</c:v>
                </c:pt>
                <c:pt idx="49">
                  <c:v>49.564700000000002</c:v>
                </c:pt>
                <c:pt idx="50">
                  <c:v>49.630499999999998</c:v>
                </c:pt>
                <c:pt idx="51">
                  <c:v>49.6935</c:v>
                </c:pt>
                <c:pt idx="52">
                  <c:v>49.759700000000002</c:v>
                </c:pt>
                <c:pt idx="53">
                  <c:v>49.927700000000002</c:v>
                </c:pt>
                <c:pt idx="54">
                  <c:v>50.094700000000003</c:v>
                </c:pt>
                <c:pt idx="55">
                  <c:v>50.316700000000004</c:v>
                </c:pt>
                <c:pt idx="56">
                  <c:v>50.5364</c:v>
                </c:pt>
                <c:pt idx="57">
                  <c:v>50.788199999999996</c:v>
                </c:pt>
                <c:pt idx="58">
                  <c:v>51.019099999999995</c:v>
                </c:pt>
                <c:pt idx="59">
                  <c:v>51.2181</c:v>
                </c:pt>
                <c:pt idx="60">
                  <c:v>51.475800000000007</c:v>
                </c:pt>
                <c:pt idx="61">
                  <c:v>51.679299999999998</c:v>
                </c:pt>
                <c:pt idx="62">
                  <c:v>51.883400000000002</c:v>
                </c:pt>
                <c:pt idx="63">
                  <c:v>52.1143</c:v>
                </c:pt>
                <c:pt idx="64">
                  <c:v>52.393599999999992</c:v>
                </c:pt>
                <c:pt idx="65">
                  <c:v>52.698599999999999</c:v>
                </c:pt>
                <c:pt idx="66">
                  <c:v>53.028100000000002</c:v>
                </c:pt>
                <c:pt idx="67">
                  <c:v>53.297000000000004</c:v>
                </c:pt>
                <c:pt idx="68">
                  <c:v>53.441099999999999</c:v>
                </c:pt>
                <c:pt idx="69">
                  <c:v>53.415199999999999</c:v>
                </c:pt>
                <c:pt idx="70">
                  <c:v>53.328499999999998</c:v>
                </c:pt>
                <c:pt idx="71">
                  <c:v>53.299099999999996</c:v>
                </c:pt>
                <c:pt idx="72">
                  <c:v>52.876300000000001</c:v>
                </c:pt>
                <c:pt idx="73">
                  <c:v>52.446400000000004</c:v>
                </c:pt>
                <c:pt idx="74">
                  <c:v>51.844100000000005</c:v>
                </c:pt>
                <c:pt idx="75">
                  <c:v>51.026600000000002</c:v>
                </c:pt>
                <c:pt idx="76">
                  <c:v>50.190500000000007</c:v>
                </c:pt>
                <c:pt idx="77">
                  <c:v>49.409500000000001</c:v>
                </c:pt>
                <c:pt idx="78">
                  <c:v>48.706700000000005</c:v>
                </c:pt>
                <c:pt idx="79">
                  <c:v>48.187600000000003</c:v>
                </c:pt>
                <c:pt idx="80">
                  <c:v>47.764699999999998</c:v>
                </c:pt>
                <c:pt idx="81">
                  <c:v>47.361499999999999</c:v>
                </c:pt>
                <c:pt idx="82">
                  <c:v>46.863999999999997</c:v>
                </c:pt>
                <c:pt idx="83">
                  <c:v>46.472200000000001</c:v>
                </c:pt>
                <c:pt idx="84">
                  <c:v>46.28</c:v>
                </c:pt>
                <c:pt idx="85">
                  <c:v>46.203699999999998</c:v>
                </c:pt>
                <c:pt idx="86">
                  <c:v>46.097100000000005</c:v>
                </c:pt>
                <c:pt idx="87">
                  <c:v>46.040900000000001</c:v>
                </c:pt>
                <c:pt idx="88">
                  <c:v>46.138400000000004</c:v>
                </c:pt>
                <c:pt idx="89">
                  <c:v>46.2151</c:v>
                </c:pt>
                <c:pt idx="90">
                  <c:v>46.266500000000001</c:v>
                </c:pt>
                <c:pt idx="91">
                  <c:v>46.341100000000004</c:v>
                </c:pt>
                <c:pt idx="92">
                  <c:v>46.445900000000002</c:v>
                </c:pt>
                <c:pt idx="93">
                  <c:v>46.509299999999996</c:v>
                </c:pt>
                <c:pt idx="94">
                  <c:v>46.5244</c:v>
                </c:pt>
                <c:pt idx="95">
                  <c:v>46.488199999999999</c:v>
                </c:pt>
                <c:pt idx="96">
                  <c:v>46.422000000000004</c:v>
                </c:pt>
                <c:pt idx="97">
                  <c:v>46.331099999999999</c:v>
                </c:pt>
                <c:pt idx="98">
                  <c:v>46.251199999999997</c:v>
                </c:pt>
                <c:pt idx="99">
                  <c:v>46.217799999999997</c:v>
                </c:pt>
                <c:pt idx="100">
                  <c:v>46.251199999999997</c:v>
                </c:pt>
                <c:pt idx="101">
                  <c:v>46.363300000000002</c:v>
                </c:pt>
                <c:pt idx="102">
                  <c:v>46.5197</c:v>
                </c:pt>
                <c:pt idx="103">
                  <c:v>46.714399999999998</c:v>
                </c:pt>
                <c:pt idx="104">
                  <c:v>46.854600000000005</c:v>
                </c:pt>
                <c:pt idx="105">
                  <c:v>46.985399999999998</c:v>
                </c:pt>
                <c:pt idx="106">
                  <c:v>47.211399999999998</c:v>
                </c:pt>
                <c:pt idx="107">
                  <c:v>47.578099999999999</c:v>
                </c:pt>
                <c:pt idx="108">
                  <c:v>47.946800000000003</c:v>
                </c:pt>
                <c:pt idx="109">
                  <c:v>48.207299999999996</c:v>
                </c:pt>
                <c:pt idx="110">
                  <c:v>48.423500000000004</c:v>
                </c:pt>
                <c:pt idx="111">
                  <c:v>48.646099999999997</c:v>
                </c:pt>
                <c:pt idx="112">
                  <c:v>48.782499999999999</c:v>
                </c:pt>
                <c:pt idx="113">
                  <c:v>48.845300000000002</c:v>
                </c:pt>
                <c:pt idx="114">
                  <c:v>48.889400000000002</c:v>
                </c:pt>
                <c:pt idx="115">
                  <c:v>48.845399999999998</c:v>
                </c:pt>
                <c:pt idx="116">
                  <c:v>48.729799999999997</c:v>
                </c:pt>
                <c:pt idx="117">
                  <c:v>48.508000000000003</c:v>
                </c:pt>
                <c:pt idx="118">
                  <c:v>48.306699999999999</c:v>
                </c:pt>
                <c:pt idx="119">
                  <c:v>48.017800000000001</c:v>
                </c:pt>
                <c:pt idx="120">
                  <c:v>47.6751</c:v>
                </c:pt>
                <c:pt idx="121">
                  <c:v>47.2637</c:v>
                </c:pt>
                <c:pt idx="122">
                  <c:v>46.861799999999995</c:v>
                </c:pt>
                <c:pt idx="123">
                  <c:v>46.478400000000001</c:v>
                </c:pt>
                <c:pt idx="124">
                  <c:v>46.360500000000002</c:v>
                </c:pt>
                <c:pt idx="125">
                  <c:v>46.26</c:v>
                </c:pt>
                <c:pt idx="126">
                  <c:v>46.161499999999997</c:v>
                </c:pt>
                <c:pt idx="127">
                  <c:v>46.067500000000003</c:v>
                </c:pt>
                <c:pt idx="128">
                  <c:v>45.974900000000005</c:v>
                </c:pt>
                <c:pt idx="129">
                  <c:v>45.874299999999998</c:v>
                </c:pt>
                <c:pt idx="130">
                  <c:v>45.768100000000004</c:v>
                </c:pt>
                <c:pt idx="131">
                  <c:v>45.646100000000004</c:v>
                </c:pt>
                <c:pt idx="132">
                  <c:v>45.522199999999998</c:v>
                </c:pt>
                <c:pt idx="133">
                  <c:v>45.409399999999998</c:v>
                </c:pt>
                <c:pt idx="134">
                  <c:v>45.322299999999998</c:v>
                </c:pt>
                <c:pt idx="135">
                  <c:v>45.235500000000002</c:v>
                </c:pt>
                <c:pt idx="136">
                  <c:v>45.155200000000001</c:v>
                </c:pt>
                <c:pt idx="137">
                  <c:v>45.009300000000003</c:v>
                </c:pt>
                <c:pt idx="138">
                  <c:v>44.768000000000001</c:v>
                </c:pt>
                <c:pt idx="139">
                  <c:v>44.451599999999999</c:v>
                </c:pt>
                <c:pt idx="140">
                  <c:v>44.143500000000003</c:v>
                </c:pt>
                <c:pt idx="141">
                  <c:v>43.807899999999997</c:v>
                </c:pt>
                <c:pt idx="142">
                  <c:v>43.508299999999998</c:v>
                </c:pt>
                <c:pt idx="143">
                  <c:v>43.069000000000003</c:v>
                </c:pt>
                <c:pt idx="144">
                  <c:v>42.607299999999995</c:v>
                </c:pt>
                <c:pt idx="145">
                  <c:v>42.271500000000003</c:v>
                </c:pt>
                <c:pt idx="146">
                  <c:v>42.238</c:v>
                </c:pt>
                <c:pt idx="147">
                  <c:v>42.129399999999997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0.40949799999999997</c:v>
                </c:pt>
                <c:pt idx="2">
                  <c:v>0.81644000000000005</c:v>
                </c:pt>
                <c:pt idx="3">
                  <c:v>1.2219500000000001</c:v>
                </c:pt>
                <c:pt idx="4">
                  <c:v>1.6272599999999999</c:v>
                </c:pt>
                <c:pt idx="5">
                  <c:v>2.0316399999999999</c:v>
                </c:pt>
                <c:pt idx="6">
                  <c:v>2.4409299999999998</c:v>
                </c:pt>
                <c:pt idx="7">
                  <c:v>2.8479199999999998</c:v>
                </c:pt>
                <c:pt idx="8">
                  <c:v>3.2521499999999999</c:v>
                </c:pt>
                <c:pt idx="9">
                  <c:v>3.6577799999999998</c:v>
                </c:pt>
                <c:pt idx="10">
                  <c:v>4.0630199999999999</c:v>
                </c:pt>
                <c:pt idx="11">
                  <c:v>4.4715400000000001</c:v>
                </c:pt>
                <c:pt idx="12">
                  <c:v>4.8794599999999999</c:v>
                </c:pt>
                <c:pt idx="13">
                  <c:v>5.2852499999999996</c:v>
                </c:pt>
                <c:pt idx="14">
                  <c:v>5.6887499999999998</c:v>
                </c:pt>
                <c:pt idx="15">
                  <c:v>6.0955700000000004</c:v>
                </c:pt>
                <c:pt idx="16">
                  <c:v>6.5057600000000004</c:v>
                </c:pt>
                <c:pt idx="17">
                  <c:v>6.9099700000000004</c:v>
                </c:pt>
                <c:pt idx="18">
                  <c:v>7.3155900000000003</c:v>
                </c:pt>
                <c:pt idx="19">
                  <c:v>7.7207100000000004</c:v>
                </c:pt>
                <c:pt idx="20">
                  <c:v>8.1276600000000006</c:v>
                </c:pt>
                <c:pt idx="21">
                  <c:v>8.5335800000000006</c:v>
                </c:pt>
                <c:pt idx="22">
                  <c:v>8.9401499999999992</c:v>
                </c:pt>
                <c:pt idx="23">
                  <c:v>9.3497599999999998</c:v>
                </c:pt>
                <c:pt idx="24">
                  <c:v>9.7508900000000001</c:v>
                </c:pt>
                <c:pt idx="25">
                  <c:v>10.1608</c:v>
                </c:pt>
                <c:pt idx="26">
                  <c:v>10.5656</c:v>
                </c:pt>
                <c:pt idx="27">
                  <c:v>10.969900000000001</c:v>
                </c:pt>
                <c:pt idx="28">
                  <c:v>11.3779</c:v>
                </c:pt>
                <c:pt idx="29">
                  <c:v>11.784000000000001</c:v>
                </c:pt>
                <c:pt idx="30">
                  <c:v>12.191800000000001</c:v>
                </c:pt>
                <c:pt idx="31">
                  <c:v>12.597300000000001</c:v>
                </c:pt>
                <c:pt idx="32">
                  <c:v>13.0023</c:v>
                </c:pt>
                <c:pt idx="33">
                  <c:v>13.408799999999999</c:v>
                </c:pt>
                <c:pt idx="34">
                  <c:v>13.8164</c:v>
                </c:pt>
                <c:pt idx="35">
                  <c:v>14.224299999999999</c:v>
                </c:pt>
                <c:pt idx="36">
                  <c:v>14.6282</c:v>
                </c:pt>
                <c:pt idx="37">
                  <c:v>15.033300000000001</c:v>
                </c:pt>
                <c:pt idx="38">
                  <c:v>15.4414</c:v>
                </c:pt>
                <c:pt idx="39">
                  <c:v>15.849</c:v>
                </c:pt>
                <c:pt idx="40">
                  <c:v>16.255500000000001</c:v>
                </c:pt>
                <c:pt idx="41">
                  <c:v>16.660399999999999</c:v>
                </c:pt>
                <c:pt idx="42">
                  <c:v>17.063700000000001</c:v>
                </c:pt>
                <c:pt idx="43">
                  <c:v>17.473199999999999</c:v>
                </c:pt>
                <c:pt idx="44">
                  <c:v>17.8765</c:v>
                </c:pt>
                <c:pt idx="45">
                  <c:v>18.285900000000002</c:v>
                </c:pt>
                <c:pt idx="46">
                  <c:v>18.6921</c:v>
                </c:pt>
                <c:pt idx="47">
                  <c:v>19.096900000000002</c:v>
                </c:pt>
                <c:pt idx="48">
                  <c:v>19.501999999999999</c:v>
                </c:pt>
                <c:pt idx="49">
                  <c:v>19.908100000000001</c:v>
                </c:pt>
                <c:pt idx="50">
                  <c:v>20.3139</c:v>
                </c:pt>
                <c:pt idx="51">
                  <c:v>20.721599999999999</c:v>
                </c:pt>
                <c:pt idx="52">
                  <c:v>21.1294</c:v>
                </c:pt>
                <c:pt idx="53">
                  <c:v>21.5367</c:v>
                </c:pt>
                <c:pt idx="54">
                  <c:v>21.940799999999999</c:v>
                </c:pt>
                <c:pt idx="55">
                  <c:v>22.345099999999999</c:v>
                </c:pt>
                <c:pt idx="56">
                  <c:v>22.750399999999999</c:v>
                </c:pt>
                <c:pt idx="57">
                  <c:v>23.1615</c:v>
                </c:pt>
                <c:pt idx="58">
                  <c:v>23.5669</c:v>
                </c:pt>
                <c:pt idx="59">
                  <c:v>23.973800000000001</c:v>
                </c:pt>
                <c:pt idx="60">
                  <c:v>24.3782</c:v>
                </c:pt>
                <c:pt idx="61">
                  <c:v>24.783100000000001</c:v>
                </c:pt>
                <c:pt idx="62">
                  <c:v>25.191400000000002</c:v>
                </c:pt>
                <c:pt idx="63">
                  <c:v>25.5975</c:v>
                </c:pt>
                <c:pt idx="64">
                  <c:v>26.002300000000002</c:v>
                </c:pt>
                <c:pt idx="65">
                  <c:v>26.409099999999999</c:v>
                </c:pt>
                <c:pt idx="66">
                  <c:v>26.814299999999999</c:v>
                </c:pt>
                <c:pt idx="67">
                  <c:v>27.2225</c:v>
                </c:pt>
                <c:pt idx="68">
                  <c:v>27.628499999999999</c:v>
                </c:pt>
                <c:pt idx="69">
                  <c:v>28.036799999999999</c:v>
                </c:pt>
                <c:pt idx="70">
                  <c:v>28.4436</c:v>
                </c:pt>
                <c:pt idx="71">
                  <c:v>28.8444</c:v>
                </c:pt>
                <c:pt idx="72">
                  <c:v>29.254300000000001</c:v>
                </c:pt>
                <c:pt idx="73">
                  <c:v>29.660499999999999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51.709799999999994</c:v>
                </c:pt>
                <c:pt idx="1">
                  <c:v>50.626400000000004</c:v>
                </c:pt>
                <c:pt idx="2">
                  <c:v>49.800699999999999</c:v>
                </c:pt>
                <c:pt idx="3">
                  <c:v>49.274499999999996</c:v>
                </c:pt>
                <c:pt idx="4">
                  <c:v>48.868099999999998</c:v>
                </c:pt>
                <c:pt idx="5">
                  <c:v>48.553600000000003</c:v>
                </c:pt>
                <c:pt idx="6">
                  <c:v>47.991599999999998</c:v>
                </c:pt>
                <c:pt idx="7">
                  <c:v>47.230899999999998</c:v>
                </c:pt>
                <c:pt idx="8">
                  <c:v>46.341999999999999</c:v>
                </c:pt>
                <c:pt idx="9">
                  <c:v>45.293599999999998</c:v>
                </c:pt>
                <c:pt idx="10">
                  <c:v>44.075699999999998</c:v>
                </c:pt>
                <c:pt idx="11">
                  <c:v>42.971599999999995</c:v>
                </c:pt>
                <c:pt idx="12">
                  <c:v>42.0291</c:v>
                </c:pt>
                <c:pt idx="13">
                  <c:v>41.2166</c:v>
                </c:pt>
                <c:pt idx="14">
                  <c:v>40.433099999999996</c:v>
                </c:pt>
                <c:pt idx="15">
                  <c:v>39.8765</c:v>
                </c:pt>
                <c:pt idx="16">
                  <c:v>39.630200000000002</c:v>
                </c:pt>
                <c:pt idx="17">
                  <c:v>39.570799999999998</c:v>
                </c:pt>
                <c:pt idx="18">
                  <c:v>39.599600000000002</c:v>
                </c:pt>
                <c:pt idx="19">
                  <c:v>39.668799999999997</c:v>
                </c:pt>
                <c:pt idx="20">
                  <c:v>39.912500000000001</c:v>
                </c:pt>
                <c:pt idx="21">
                  <c:v>40.273199999999996</c:v>
                </c:pt>
                <c:pt idx="22">
                  <c:v>40.705100000000002</c:v>
                </c:pt>
                <c:pt idx="23">
                  <c:v>41.1173</c:v>
                </c:pt>
                <c:pt idx="24">
                  <c:v>41.4709</c:v>
                </c:pt>
                <c:pt idx="25">
                  <c:v>41.675800000000002</c:v>
                </c:pt>
                <c:pt idx="26">
                  <c:v>41.769600000000004</c:v>
                </c:pt>
                <c:pt idx="27">
                  <c:v>41.852499999999999</c:v>
                </c:pt>
                <c:pt idx="28">
                  <c:v>41.974400000000003</c:v>
                </c:pt>
                <c:pt idx="29">
                  <c:v>42.113599999999998</c:v>
                </c:pt>
                <c:pt idx="30">
                  <c:v>42.237499999999997</c:v>
                </c:pt>
                <c:pt idx="31">
                  <c:v>42.337499999999999</c:v>
                </c:pt>
                <c:pt idx="32">
                  <c:v>42.376899999999999</c:v>
                </c:pt>
                <c:pt idx="33">
                  <c:v>42.408200000000001</c:v>
                </c:pt>
                <c:pt idx="34">
                  <c:v>42.5092</c:v>
                </c:pt>
                <c:pt idx="35">
                  <c:v>42.7941</c:v>
                </c:pt>
                <c:pt idx="36">
                  <c:v>43.104799999999997</c:v>
                </c:pt>
                <c:pt idx="37">
                  <c:v>43.474200000000003</c:v>
                </c:pt>
                <c:pt idx="38">
                  <c:v>43.994699999999995</c:v>
                </c:pt>
                <c:pt idx="39">
                  <c:v>44.689900000000002</c:v>
                </c:pt>
                <c:pt idx="40">
                  <c:v>45.456200000000003</c:v>
                </c:pt>
                <c:pt idx="41">
                  <c:v>46.1676</c:v>
                </c:pt>
                <c:pt idx="42">
                  <c:v>46.811100000000003</c:v>
                </c:pt>
                <c:pt idx="43">
                  <c:v>47.390300000000003</c:v>
                </c:pt>
                <c:pt idx="44">
                  <c:v>47.9116</c:v>
                </c:pt>
                <c:pt idx="45">
                  <c:v>48.357199999999999</c:v>
                </c:pt>
                <c:pt idx="46">
                  <c:v>48.761700000000005</c:v>
                </c:pt>
                <c:pt idx="47">
                  <c:v>49.104100000000003</c:v>
                </c:pt>
                <c:pt idx="48">
                  <c:v>49.347099999999998</c:v>
                </c:pt>
                <c:pt idx="49">
                  <c:v>49.564700000000002</c:v>
                </c:pt>
                <c:pt idx="50">
                  <c:v>49.630499999999998</c:v>
                </c:pt>
                <c:pt idx="51">
                  <c:v>49.6935</c:v>
                </c:pt>
                <c:pt idx="52">
                  <c:v>49.759700000000002</c:v>
                </c:pt>
                <c:pt idx="53">
                  <c:v>49.927700000000002</c:v>
                </c:pt>
                <c:pt idx="54">
                  <c:v>50.094700000000003</c:v>
                </c:pt>
                <c:pt idx="55">
                  <c:v>50.316700000000004</c:v>
                </c:pt>
                <c:pt idx="56">
                  <c:v>50.5364</c:v>
                </c:pt>
                <c:pt idx="57">
                  <c:v>50.788199999999996</c:v>
                </c:pt>
                <c:pt idx="58">
                  <c:v>51.019099999999995</c:v>
                </c:pt>
                <c:pt idx="59">
                  <c:v>51.2181</c:v>
                </c:pt>
                <c:pt idx="60">
                  <c:v>51.475800000000007</c:v>
                </c:pt>
                <c:pt idx="61">
                  <c:v>51.679299999999998</c:v>
                </c:pt>
                <c:pt idx="62">
                  <c:v>51.883400000000002</c:v>
                </c:pt>
                <c:pt idx="63">
                  <c:v>52.1143</c:v>
                </c:pt>
                <c:pt idx="64">
                  <c:v>52.393599999999992</c:v>
                </c:pt>
                <c:pt idx="65">
                  <c:v>52.698599999999999</c:v>
                </c:pt>
                <c:pt idx="66">
                  <c:v>53.028100000000002</c:v>
                </c:pt>
                <c:pt idx="67">
                  <c:v>53.297000000000004</c:v>
                </c:pt>
                <c:pt idx="68">
                  <c:v>53.441099999999999</c:v>
                </c:pt>
                <c:pt idx="69">
                  <c:v>53.415199999999999</c:v>
                </c:pt>
                <c:pt idx="70">
                  <c:v>53.328499999999998</c:v>
                </c:pt>
                <c:pt idx="71">
                  <c:v>53.299099999999996</c:v>
                </c:pt>
                <c:pt idx="72">
                  <c:v>52.876300000000001</c:v>
                </c:pt>
                <c:pt idx="73">
                  <c:v>52.446400000000004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29.660499999999999</c:v>
                </c:pt>
                <c:pt idx="1">
                  <c:v>30.066299999999998</c:v>
                </c:pt>
                <c:pt idx="2">
                  <c:v>30.552900000000001</c:v>
                </c:pt>
                <c:pt idx="3">
                  <c:v>30.9404</c:v>
                </c:pt>
                <c:pt idx="4">
                  <c:v>31.332000000000001</c:v>
                </c:pt>
                <c:pt idx="5">
                  <c:v>31.736699999999999</c:v>
                </c:pt>
                <c:pt idx="6">
                  <c:v>32.142000000000003</c:v>
                </c:pt>
                <c:pt idx="7">
                  <c:v>32.547600000000003</c:v>
                </c:pt>
                <c:pt idx="8">
                  <c:v>32.957799999999999</c:v>
                </c:pt>
                <c:pt idx="9">
                  <c:v>33.361400000000003</c:v>
                </c:pt>
                <c:pt idx="10">
                  <c:v>33.767299999999999</c:v>
                </c:pt>
                <c:pt idx="11">
                  <c:v>34.175600000000003</c:v>
                </c:pt>
                <c:pt idx="12">
                  <c:v>34.583199999999998</c:v>
                </c:pt>
                <c:pt idx="13">
                  <c:v>34.985799999999998</c:v>
                </c:pt>
                <c:pt idx="14">
                  <c:v>35.391800000000003</c:v>
                </c:pt>
                <c:pt idx="15">
                  <c:v>35.799500000000002</c:v>
                </c:pt>
                <c:pt idx="16">
                  <c:v>36.208399999999997</c:v>
                </c:pt>
                <c:pt idx="17">
                  <c:v>36.612400000000001</c:v>
                </c:pt>
                <c:pt idx="18">
                  <c:v>37.020299999999999</c:v>
                </c:pt>
                <c:pt idx="19">
                  <c:v>37.425199999999997</c:v>
                </c:pt>
                <c:pt idx="20">
                  <c:v>37.832299999999996</c:v>
                </c:pt>
                <c:pt idx="21">
                  <c:v>38.240200000000002</c:v>
                </c:pt>
                <c:pt idx="22">
                  <c:v>38.645099999999999</c:v>
                </c:pt>
                <c:pt idx="23">
                  <c:v>39.051400000000001</c:v>
                </c:pt>
                <c:pt idx="24">
                  <c:v>39.455599999999997</c:v>
                </c:pt>
                <c:pt idx="25">
                  <c:v>39.859900000000003</c:v>
                </c:pt>
                <c:pt idx="26">
                  <c:v>40.269599999999997</c:v>
                </c:pt>
                <c:pt idx="27">
                  <c:v>40.677399999999999</c:v>
                </c:pt>
                <c:pt idx="28">
                  <c:v>41.080500000000001</c:v>
                </c:pt>
                <c:pt idx="29">
                  <c:v>41.487699999999997</c:v>
                </c:pt>
                <c:pt idx="30">
                  <c:v>41.891399999999997</c:v>
                </c:pt>
                <c:pt idx="31">
                  <c:v>42.3001</c:v>
                </c:pt>
                <c:pt idx="32">
                  <c:v>42.707900000000002</c:v>
                </c:pt>
                <c:pt idx="33">
                  <c:v>43.113</c:v>
                </c:pt>
                <c:pt idx="34">
                  <c:v>43.5167</c:v>
                </c:pt>
                <c:pt idx="35">
                  <c:v>43.925199999999997</c:v>
                </c:pt>
                <c:pt idx="36">
                  <c:v>44.3322</c:v>
                </c:pt>
                <c:pt idx="37">
                  <c:v>44.739199999999997</c:v>
                </c:pt>
                <c:pt idx="38">
                  <c:v>45.142499999999998</c:v>
                </c:pt>
                <c:pt idx="39">
                  <c:v>45.548299999999998</c:v>
                </c:pt>
                <c:pt idx="40">
                  <c:v>45.955500000000001</c:v>
                </c:pt>
                <c:pt idx="41">
                  <c:v>46.362299999999998</c:v>
                </c:pt>
                <c:pt idx="42">
                  <c:v>46.765900000000002</c:v>
                </c:pt>
                <c:pt idx="43">
                  <c:v>47.1723</c:v>
                </c:pt>
                <c:pt idx="44">
                  <c:v>47.581000000000003</c:v>
                </c:pt>
                <c:pt idx="45">
                  <c:v>47.989800000000002</c:v>
                </c:pt>
                <c:pt idx="46">
                  <c:v>48.3917</c:v>
                </c:pt>
                <c:pt idx="47">
                  <c:v>48.796999999999997</c:v>
                </c:pt>
                <c:pt idx="48">
                  <c:v>49.2042</c:v>
                </c:pt>
                <c:pt idx="49">
                  <c:v>49.612400000000001</c:v>
                </c:pt>
                <c:pt idx="50">
                  <c:v>50.015999999999998</c:v>
                </c:pt>
                <c:pt idx="51">
                  <c:v>50.424300000000002</c:v>
                </c:pt>
                <c:pt idx="52">
                  <c:v>50.830399999999997</c:v>
                </c:pt>
                <c:pt idx="53">
                  <c:v>51.236499999999999</c:v>
                </c:pt>
                <c:pt idx="54">
                  <c:v>51.641800000000003</c:v>
                </c:pt>
                <c:pt idx="55">
                  <c:v>52.0533</c:v>
                </c:pt>
                <c:pt idx="56">
                  <c:v>52.455399999999997</c:v>
                </c:pt>
                <c:pt idx="57">
                  <c:v>52.862099999999998</c:v>
                </c:pt>
                <c:pt idx="58">
                  <c:v>53.268000000000001</c:v>
                </c:pt>
                <c:pt idx="59">
                  <c:v>53.6721</c:v>
                </c:pt>
                <c:pt idx="60">
                  <c:v>54.082799999999999</c:v>
                </c:pt>
                <c:pt idx="61">
                  <c:v>54.486499999999999</c:v>
                </c:pt>
                <c:pt idx="62">
                  <c:v>54.890700000000002</c:v>
                </c:pt>
                <c:pt idx="63">
                  <c:v>55.297400000000003</c:v>
                </c:pt>
                <c:pt idx="64">
                  <c:v>55.707599999999999</c:v>
                </c:pt>
                <c:pt idx="65">
                  <c:v>56.113700000000001</c:v>
                </c:pt>
                <c:pt idx="66">
                  <c:v>56.5184</c:v>
                </c:pt>
                <c:pt idx="67">
                  <c:v>56.924399999999999</c:v>
                </c:pt>
                <c:pt idx="68">
                  <c:v>57.331000000000003</c:v>
                </c:pt>
                <c:pt idx="69">
                  <c:v>57.737499999999997</c:v>
                </c:pt>
                <c:pt idx="70">
                  <c:v>58.1434</c:v>
                </c:pt>
                <c:pt idx="71">
                  <c:v>58.552900000000001</c:v>
                </c:pt>
                <c:pt idx="72">
                  <c:v>58.954599999999999</c:v>
                </c:pt>
                <c:pt idx="73">
                  <c:v>59.360500000000002</c:v>
                </c:pt>
                <c:pt idx="74">
                  <c:v>59.768099999999997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52.446400000000004</c:v>
                </c:pt>
                <c:pt idx="1">
                  <c:v>51.844100000000005</c:v>
                </c:pt>
                <c:pt idx="2">
                  <c:v>51.026600000000002</c:v>
                </c:pt>
                <c:pt idx="3">
                  <c:v>50.190500000000007</c:v>
                </c:pt>
                <c:pt idx="4">
                  <c:v>49.409500000000001</c:v>
                </c:pt>
                <c:pt idx="5">
                  <c:v>48.706700000000005</c:v>
                </c:pt>
                <c:pt idx="6">
                  <c:v>48.187600000000003</c:v>
                </c:pt>
                <c:pt idx="7">
                  <c:v>47.764699999999998</c:v>
                </c:pt>
                <c:pt idx="8">
                  <c:v>47.361499999999999</c:v>
                </c:pt>
                <c:pt idx="9">
                  <c:v>46.863999999999997</c:v>
                </c:pt>
                <c:pt idx="10">
                  <c:v>46.472200000000001</c:v>
                </c:pt>
                <c:pt idx="11">
                  <c:v>46.28</c:v>
                </c:pt>
                <c:pt idx="12">
                  <c:v>46.203699999999998</c:v>
                </c:pt>
                <c:pt idx="13">
                  <c:v>46.097100000000005</c:v>
                </c:pt>
                <c:pt idx="14">
                  <c:v>46.040900000000001</c:v>
                </c:pt>
                <c:pt idx="15">
                  <c:v>46.138400000000004</c:v>
                </c:pt>
                <c:pt idx="16">
                  <c:v>46.2151</c:v>
                </c:pt>
                <c:pt idx="17">
                  <c:v>46.266500000000001</c:v>
                </c:pt>
                <c:pt idx="18">
                  <c:v>46.341100000000004</c:v>
                </c:pt>
                <c:pt idx="19">
                  <c:v>46.445900000000002</c:v>
                </c:pt>
                <c:pt idx="20">
                  <c:v>46.509299999999996</c:v>
                </c:pt>
                <c:pt idx="21">
                  <c:v>46.5244</c:v>
                </c:pt>
                <c:pt idx="22">
                  <c:v>46.488199999999999</c:v>
                </c:pt>
                <c:pt idx="23">
                  <c:v>46.422000000000004</c:v>
                </c:pt>
                <c:pt idx="24">
                  <c:v>46.331099999999999</c:v>
                </c:pt>
                <c:pt idx="25">
                  <c:v>46.251199999999997</c:v>
                </c:pt>
                <c:pt idx="26">
                  <c:v>46.217799999999997</c:v>
                </c:pt>
                <c:pt idx="27">
                  <c:v>46.251199999999997</c:v>
                </c:pt>
                <c:pt idx="28">
                  <c:v>46.363300000000002</c:v>
                </c:pt>
                <c:pt idx="29">
                  <c:v>46.5197</c:v>
                </c:pt>
                <c:pt idx="30">
                  <c:v>46.714399999999998</c:v>
                </c:pt>
                <c:pt idx="31">
                  <c:v>46.854600000000005</c:v>
                </c:pt>
                <c:pt idx="32">
                  <c:v>46.985399999999998</c:v>
                </c:pt>
                <c:pt idx="33">
                  <c:v>47.211399999999998</c:v>
                </c:pt>
                <c:pt idx="34">
                  <c:v>47.578099999999999</c:v>
                </c:pt>
                <c:pt idx="35">
                  <c:v>47.946800000000003</c:v>
                </c:pt>
                <c:pt idx="36">
                  <c:v>48.207299999999996</c:v>
                </c:pt>
                <c:pt idx="37">
                  <c:v>48.423500000000004</c:v>
                </c:pt>
                <c:pt idx="38">
                  <c:v>48.646099999999997</c:v>
                </c:pt>
                <c:pt idx="39">
                  <c:v>48.782499999999999</c:v>
                </c:pt>
                <c:pt idx="40">
                  <c:v>48.845300000000002</c:v>
                </c:pt>
                <c:pt idx="41">
                  <c:v>48.889400000000002</c:v>
                </c:pt>
                <c:pt idx="42">
                  <c:v>48.845399999999998</c:v>
                </c:pt>
                <c:pt idx="43">
                  <c:v>48.729799999999997</c:v>
                </c:pt>
                <c:pt idx="44">
                  <c:v>48.508000000000003</c:v>
                </c:pt>
                <c:pt idx="45">
                  <c:v>48.306699999999999</c:v>
                </c:pt>
                <c:pt idx="46">
                  <c:v>48.017800000000001</c:v>
                </c:pt>
                <c:pt idx="47">
                  <c:v>47.6751</c:v>
                </c:pt>
                <c:pt idx="48">
                  <c:v>47.2637</c:v>
                </c:pt>
                <c:pt idx="49">
                  <c:v>46.861799999999995</c:v>
                </c:pt>
                <c:pt idx="50">
                  <c:v>46.478400000000001</c:v>
                </c:pt>
                <c:pt idx="51">
                  <c:v>46.360500000000002</c:v>
                </c:pt>
                <c:pt idx="52">
                  <c:v>46.26</c:v>
                </c:pt>
                <c:pt idx="53">
                  <c:v>46.161499999999997</c:v>
                </c:pt>
                <c:pt idx="54">
                  <c:v>46.067500000000003</c:v>
                </c:pt>
                <c:pt idx="55">
                  <c:v>45.974900000000005</c:v>
                </c:pt>
                <c:pt idx="56">
                  <c:v>45.874299999999998</c:v>
                </c:pt>
                <c:pt idx="57">
                  <c:v>45.768100000000004</c:v>
                </c:pt>
                <c:pt idx="58">
                  <c:v>45.646100000000004</c:v>
                </c:pt>
                <c:pt idx="59">
                  <c:v>45.522199999999998</c:v>
                </c:pt>
                <c:pt idx="60">
                  <c:v>45.409399999999998</c:v>
                </c:pt>
                <c:pt idx="61">
                  <c:v>45.322299999999998</c:v>
                </c:pt>
                <c:pt idx="62">
                  <c:v>45.235500000000002</c:v>
                </c:pt>
                <c:pt idx="63">
                  <c:v>45.155200000000001</c:v>
                </c:pt>
                <c:pt idx="64">
                  <c:v>45.009300000000003</c:v>
                </c:pt>
                <c:pt idx="65">
                  <c:v>44.768000000000001</c:v>
                </c:pt>
                <c:pt idx="66">
                  <c:v>44.451599999999999</c:v>
                </c:pt>
                <c:pt idx="67">
                  <c:v>44.143500000000003</c:v>
                </c:pt>
                <c:pt idx="68">
                  <c:v>43.807899999999997</c:v>
                </c:pt>
                <c:pt idx="69">
                  <c:v>43.508299999999998</c:v>
                </c:pt>
                <c:pt idx="70">
                  <c:v>43.069000000000003</c:v>
                </c:pt>
                <c:pt idx="71">
                  <c:v>42.607299999999995</c:v>
                </c:pt>
                <c:pt idx="72">
                  <c:v>42.271500000000003</c:v>
                </c:pt>
                <c:pt idx="73">
                  <c:v>42.238</c:v>
                </c:pt>
                <c:pt idx="74">
                  <c:v>42.129399999999997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14.942024999999999</c:v>
                </c:pt>
                <c:pt idx="1">
                  <c:v>44.826074999999996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46.713351351351335</c:v>
                </c:pt>
                <c:pt idx="1">
                  <c:v>46.571177027026998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2.6637200000000001</c:v>
                </c:pt>
                <c:pt idx="1">
                  <c:v>2.7526999999999999</c:v>
                </c:pt>
                <c:pt idx="2">
                  <c:v>2.84049</c:v>
                </c:pt>
                <c:pt idx="3">
                  <c:v>2.92591</c:v>
                </c:pt>
                <c:pt idx="4">
                  <c:v>3.01118</c:v>
                </c:pt>
                <c:pt idx="5">
                  <c:v>3.09558</c:v>
                </c:pt>
                <c:pt idx="6">
                  <c:v>3.1823899999999998</c:v>
                </c:pt>
                <c:pt idx="7">
                  <c:v>3.2720500000000001</c:v>
                </c:pt>
                <c:pt idx="8">
                  <c:v>3.3650799999999998</c:v>
                </c:pt>
                <c:pt idx="9">
                  <c:v>3.4586800000000002</c:v>
                </c:pt>
                <c:pt idx="10">
                  <c:v>3.5542600000000002</c:v>
                </c:pt>
                <c:pt idx="11">
                  <c:v>3.64567</c:v>
                </c:pt>
                <c:pt idx="12">
                  <c:v>3.73291</c:v>
                </c:pt>
                <c:pt idx="13">
                  <c:v>3.8202699999999998</c:v>
                </c:pt>
                <c:pt idx="14">
                  <c:v>3.9090999999999996</c:v>
                </c:pt>
                <c:pt idx="15">
                  <c:v>3.9889599999999996</c:v>
                </c:pt>
                <c:pt idx="16">
                  <c:v>4.0594700000000001</c:v>
                </c:pt>
                <c:pt idx="17">
                  <c:v>4.1210599999999999</c:v>
                </c:pt>
                <c:pt idx="18">
                  <c:v>4.1763000000000003</c:v>
                </c:pt>
                <c:pt idx="19">
                  <c:v>4.2244399999999995</c:v>
                </c:pt>
                <c:pt idx="20">
                  <c:v>4.2656400000000003</c:v>
                </c:pt>
                <c:pt idx="21">
                  <c:v>4.3013700000000004</c:v>
                </c:pt>
                <c:pt idx="22">
                  <c:v>4.3306399999999998</c:v>
                </c:pt>
                <c:pt idx="23">
                  <c:v>4.3511100000000003</c:v>
                </c:pt>
                <c:pt idx="24">
                  <c:v>4.3663299999999996</c:v>
                </c:pt>
                <c:pt idx="25">
                  <c:v>4.37087</c:v>
                </c:pt>
                <c:pt idx="26">
                  <c:v>4.3691200000000006</c:v>
                </c:pt>
                <c:pt idx="27">
                  <c:v>4.3666</c:v>
                </c:pt>
                <c:pt idx="28">
                  <c:v>4.3661799999999999</c:v>
                </c:pt>
                <c:pt idx="29">
                  <c:v>4.3674600000000003</c:v>
                </c:pt>
                <c:pt idx="30">
                  <c:v>4.3662400000000003</c:v>
                </c:pt>
                <c:pt idx="31">
                  <c:v>4.3605700000000001</c:v>
                </c:pt>
                <c:pt idx="32">
                  <c:v>4.3486099999999999</c:v>
                </c:pt>
                <c:pt idx="33">
                  <c:v>4.3317199999999998</c:v>
                </c:pt>
                <c:pt idx="34">
                  <c:v>4.3097500000000002</c:v>
                </c:pt>
                <c:pt idx="35">
                  <c:v>4.2854900000000002</c:v>
                </c:pt>
                <c:pt idx="36">
                  <c:v>4.2556799999999999</c:v>
                </c:pt>
                <c:pt idx="37">
                  <c:v>4.22384</c:v>
                </c:pt>
                <c:pt idx="38">
                  <c:v>4.1905299999999999</c:v>
                </c:pt>
                <c:pt idx="39">
                  <c:v>4.1529300000000005</c:v>
                </c:pt>
                <c:pt idx="40">
                  <c:v>4.1178600000000003</c:v>
                </c:pt>
                <c:pt idx="41">
                  <c:v>4.0865400000000003</c:v>
                </c:pt>
                <c:pt idx="42">
                  <c:v>4.0551900000000005</c:v>
                </c:pt>
                <c:pt idx="43">
                  <c:v>4.0201900000000004</c:v>
                </c:pt>
                <c:pt idx="44">
                  <c:v>3.98339</c:v>
                </c:pt>
                <c:pt idx="45">
                  <c:v>3.9500099999999998</c:v>
                </c:pt>
                <c:pt idx="46">
                  <c:v>3.9181599999999999</c:v>
                </c:pt>
                <c:pt idx="47">
                  <c:v>3.8904699999999997</c:v>
                </c:pt>
                <c:pt idx="48">
                  <c:v>3.86876</c:v>
                </c:pt>
                <c:pt idx="49">
                  <c:v>3.8477299999999999</c:v>
                </c:pt>
                <c:pt idx="50">
                  <c:v>3.8375300000000001</c:v>
                </c:pt>
                <c:pt idx="51">
                  <c:v>3.8232899999999996</c:v>
                </c:pt>
                <c:pt idx="52">
                  <c:v>3.8074400000000002</c:v>
                </c:pt>
                <c:pt idx="53">
                  <c:v>3.7831399999999999</c:v>
                </c:pt>
                <c:pt idx="54">
                  <c:v>3.7663799999999998</c:v>
                </c:pt>
                <c:pt idx="55">
                  <c:v>3.7454799999999997</c:v>
                </c:pt>
                <c:pt idx="56">
                  <c:v>3.7246099999999998</c:v>
                </c:pt>
                <c:pt idx="57">
                  <c:v>3.7016999999999998</c:v>
                </c:pt>
                <c:pt idx="58">
                  <c:v>3.6800100000000002</c:v>
                </c:pt>
                <c:pt idx="59">
                  <c:v>3.6566100000000001</c:v>
                </c:pt>
                <c:pt idx="60">
                  <c:v>3.6275900000000001</c:v>
                </c:pt>
                <c:pt idx="61">
                  <c:v>3.6106100000000003</c:v>
                </c:pt>
                <c:pt idx="62">
                  <c:v>3.5900500000000002</c:v>
                </c:pt>
                <c:pt idx="63">
                  <c:v>3.5698999999999996</c:v>
                </c:pt>
                <c:pt idx="64">
                  <c:v>3.5534400000000002</c:v>
                </c:pt>
                <c:pt idx="65">
                  <c:v>3.5321899999999999</c:v>
                </c:pt>
                <c:pt idx="66">
                  <c:v>3.5117799999999999</c:v>
                </c:pt>
                <c:pt idx="67">
                  <c:v>3.4929500000000004</c:v>
                </c:pt>
                <c:pt idx="68">
                  <c:v>3.4833099999999999</c:v>
                </c:pt>
                <c:pt idx="69">
                  <c:v>3.4830899999999998</c:v>
                </c:pt>
                <c:pt idx="70">
                  <c:v>3.4855599999999995</c:v>
                </c:pt>
                <c:pt idx="71">
                  <c:v>3.4847099999999998</c:v>
                </c:pt>
                <c:pt idx="72">
                  <c:v>3.5005599999999997</c:v>
                </c:pt>
                <c:pt idx="73">
                  <c:v>3.5139999999999998</c:v>
                </c:pt>
                <c:pt idx="74">
                  <c:v>3.5342500000000001</c:v>
                </c:pt>
                <c:pt idx="75">
                  <c:v>3.5628199999999999</c:v>
                </c:pt>
                <c:pt idx="76">
                  <c:v>3.5935099999999998</c:v>
                </c:pt>
                <c:pt idx="77">
                  <c:v>3.6263099999999997</c:v>
                </c:pt>
                <c:pt idx="78">
                  <c:v>3.65699</c:v>
                </c:pt>
                <c:pt idx="79">
                  <c:v>3.6846399999999999</c:v>
                </c:pt>
                <c:pt idx="80">
                  <c:v>3.70865</c:v>
                </c:pt>
                <c:pt idx="81">
                  <c:v>3.7372300000000003</c:v>
                </c:pt>
                <c:pt idx="82">
                  <c:v>3.7675399999999999</c:v>
                </c:pt>
                <c:pt idx="83">
                  <c:v>3.8014799999999997</c:v>
                </c:pt>
                <c:pt idx="84">
                  <c:v>3.83508</c:v>
                </c:pt>
                <c:pt idx="85">
                  <c:v>3.8678900000000001</c:v>
                </c:pt>
                <c:pt idx="86">
                  <c:v>3.8990999999999998</c:v>
                </c:pt>
                <c:pt idx="87">
                  <c:v>3.9234999999999998</c:v>
                </c:pt>
                <c:pt idx="88">
                  <c:v>3.9455400000000003</c:v>
                </c:pt>
                <c:pt idx="89">
                  <c:v>3.9641599999999997</c:v>
                </c:pt>
                <c:pt idx="90">
                  <c:v>3.9762300000000002</c:v>
                </c:pt>
                <c:pt idx="91">
                  <c:v>3.98617</c:v>
                </c:pt>
                <c:pt idx="92">
                  <c:v>3.9957700000000003</c:v>
                </c:pt>
                <c:pt idx="93">
                  <c:v>4.00366</c:v>
                </c:pt>
                <c:pt idx="94">
                  <c:v>4.0079199999999995</c:v>
                </c:pt>
                <c:pt idx="95">
                  <c:v>4.0085100000000002</c:v>
                </c:pt>
                <c:pt idx="96">
                  <c:v>4.00854</c:v>
                </c:pt>
                <c:pt idx="97">
                  <c:v>3.99925</c:v>
                </c:pt>
                <c:pt idx="98">
                  <c:v>3.9844299999999997</c:v>
                </c:pt>
                <c:pt idx="99">
                  <c:v>3.9649400000000004</c:v>
                </c:pt>
                <c:pt idx="100">
                  <c:v>3.93628</c:v>
                </c:pt>
                <c:pt idx="101">
                  <c:v>3.9051900000000002</c:v>
                </c:pt>
                <c:pt idx="102">
                  <c:v>3.8734700000000002</c:v>
                </c:pt>
                <c:pt idx="103">
                  <c:v>3.8446399999999996</c:v>
                </c:pt>
                <c:pt idx="104">
                  <c:v>3.8194099999999995</c:v>
                </c:pt>
                <c:pt idx="105">
                  <c:v>3.7976300000000003</c:v>
                </c:pt>
                <c:pt idx="106">
                  <c:v>3.7729200000000001</c:v>
                </c:pt>
                <c:pt idx="107">
                  <c:v>3.7475100000000001</c:v>
                </c:pt>
                <c:pt idx="108">
                  <c:v>3.7255700000000003</c:v>
                </c:pt>
                <c:pt idx="109">
                  <c:v>3.7079200000000001</c:v>
                </c:pt>
                <c:pt idx="110">
                  <c:v>3.6950599999999998</c:v>
                </c:pt>
                <c:pt idx="111">
                  <c:v>3.6842299999999999</c:v>
                </c:pt>
                <c:pt idx="112">
                  <c:v>3.6764099999999997</c:v>
                </c:pt>
                <c:pt idx="113">
                  <c:v>3.6707700000000001</c:v>
                </c:pt>
                <c:pt idx="114">
                  <c:v>3.6667399999999999</c:v>
                </c:pt>
                <c:pt idx="115">
                  <c:v>3.6685699999999999</c:v>
                </c:pt>
                <c:pt idx="116">
                  <c:v>3.6737199999999999</c:v>
                </c:pt>
                <c:pt idx="117">
                  <c:v>3.6832900000000004</c:v>
                </c:pt>
                <c:pt idx="118">
                  <c:v>3.6913400000000003</c:v>
                </c:pt>
                <c:pt idx="119">
                  <c:v>3.7028600000000003</c:v>
                </c:pt>
                <c:pt idx="120">
                  <c:v>3.7163900000000001</c:v>
                </c:pt>
                <c:pt idx="121">
                  <c:v>3.7314799999999999</c:v>
                </c:pt>
                <c:pt idx="122">
                  <c:v>3.7494499999999995</c:v>
                </c:pt>
                <c:pt idx="123">
                  <c:v>3.7681800000000001</c:v>
                </c:pt>
                <c:pt idx="124">
                  <c:v>3.7764500000000001</c:v>
                </c:pt>
                <c:pt idx="125">
                  <c:v>3.78938</c:v>
                </c:pt>
                <c:pt idx="126">
                  <c:v>3.8041</c:v>
                </c:pt>
                <c:pt idx="127">
                  <c:v>3.81934</c:v>
                </c:pt>
                <c:pt idx="128">
                  <c:v>3.8336199999999998</c:v>
                </c:pt>
                <c:pt idx="129">
                  <c:v>3.84849</c:v>
                </c:pt>
                <c:pt idx="130">
                  <c:v>3.8634200000000001</c:v>
                </c:pt>
                <c:pt idx="131">
                  <c:v>3.8815400000000002</c:v>
                </c:pt>
                <c:pt idx="132">
                  <c:v>3.8976199999999999</c:v>
                </c:pt>
                <c:pt idx="133">
                  <c:v>3.9107599999999998</c:v>
                </c:pt>
                <c:pt idx="134">
                  <c:v>3.9233000000000002</c:v>
                </c:pt>
                <c:pt idx="135">
                  <c:v>3.9332400000000001</c:v>
                </c:pt>
                <c:pt idx="136">
                  <c:v>3.9375300000000002</c:v>
                </c:pt>
                <c:pt idx="137">
                  <c:v>3.9433400000000001</c:v>
                </c:pt>
                <c:pt idx="138">
                  <c:v>3.9554299999999998</c:v>
                </c:pt>
                <c:pt idx="139">
                  <c:v>3.9717500000000001</c:v>
                </c:pt>
                <c:pt idx="140">
                  <c:v>3.9902100000000003</c:v>
                </c:pt>
                <c:pt idx="141">
                  <c:v>4.0113399999999997</c:v>
                </c:pt>
                <c:pt idx="142">
                  <c:v>4.0284199999999997</c:v>
                </c:pt>
                <c:pt idx="143">
                  <c:v>4.0512100000000002</c:v>
                </c:pt>
                <c:pt idx="144">
                  <c:v>4.0607500000000005</c:v>
                </c:pt>
                <c:pt idx="145">
                  <c:v>4.0728999999999997</c:v>
                </c:pt>
                <c:pt idx="146">
                  <c:v>4.0594799999999998</c:v>
                </c:pt>
                <c:pt idx="147">
                  <c:v>4.0493100000000002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51.709799999999994</c:v>
                </c:pt>
                <c:pt idx="1">
                  <c:v>50.626400000000004</c:v>
                </c:pt>
                <c:pt idx="2">
                  <c:v>49.800699999999999</c:v>
                </c:pt>
                <c:pt idx="3">
                  <c:v>49.274499999999996</c:v>
                </c:pt>
                <c:pt idx="4">
                  <c:v>48.868099999999998</c:v>
                </c:pt>
                <c:pt idx="5">
                  <c:v>48.553600000000003</c:v>
                </c:pt>
                <c:pt idx="6">
                  <c:v>47.991599999999998</c:v>
                </c:pt>
                <c:pt idx="7">
                  <c:v>47.230899999999998</c:v>
                </c:pt>
                <c:pt idx="8">
                  <c:v>46.341999999999999</c:v>
                </c:pt>
                <c:pt idx="9">
                  <c:v>45.293599999999998</c:v>
                </c:pt>
                <c:pt idx="10">
                  <c:v>44.075699999999998</c:v>
                </c:pt>
                <c:pt idx="11">
                  <c:v>42.971599999999995</c:v>
                </c:pt>
                <c:pt idx="12">
                  <c:v>42.0291</c:v>
                </c:pt>
                <c:pt idx="13">
                  <c:v>41.2166</c:v>
                </c:pt>
                <c:pt idx="14">
                  <c:v>40.433099999999996</c:v>
                </c:pt>
                <c:pt idx="15">
                  <c:v>39.8765</c:v>
                </c:pt>
                <c:pt idx="16">
                  <c:v>39.630200000000002</c:v>
                </c:pt>
                <c:pt idx="17">
                  <c:v>39.570799999999998</c:v>
                </c:pt>
                <c:pt idx="18">
                  <c:v>39.599600000000002</c:v>
                </c:pt>
                <c:pt idx="19">
                  <c:v>39.668799999999997</c:v>
                </c:pt>
                <c:pt idx="20">
                  <c:v>39.912500000000001</c:v>
                </c:pt>
                <c:pt idx="21">
                  <c:v>40.273199999999996</c:v>
                </c:pt>
                <c:pt idx="22">
                  <c:v>40.705100000000002</c:v>
                </c:pt>
                <c:pt idx="23">
                  <c:v>41.1173</c:v>
                </c:pt>
                <c:pt idx="24">
                  <c:v>41.4709</c:v>
                </c:pt>
                <c:pt idx="25">
                  <c:v>41.675800000000002</c:v>
                </c:pt>
                <c:pt idx="26">
                  <c:v>41.769600000000004</c:v>
                </c:pt>
                <c:pt idx="27">
                  <c:v>41.852499999999999</c:v>
                </c:pt>
                <c:pt idx="28">
                  <c:v>41.974400000000003</c:v>
                </c:pt>
                <c:pt idx="29">
                  <c:v>42.113599999999998</c:v>
                </c:pt>
                <c:pt idx="30">
                  <c:v>42.237499999999997</c:v>
                </c:pt>
                <c:pt idx="31">
                  <c:v>42.337499999999999</c:v>
                </c:pt>
                <c:pt idx="32">
                  <c:v>42.376899999999999</c:v>
                </c:pt>
                <c:pt idx="33">
                  <c:v>42.408200000000001</c:v>
                </c:pt>
                <c:pt idx="34">
                  <c:v>42.5092</c:v>
                </c:pt>
                <c:pt idx="35">
                  <c:v>42.7941</c:v>
                </c:pt>
                <c:pt idx="36">
                  <c:v>43.104799999999997</c:v>
                </c:pt>
                <c:pt idx="37">
                  <c:v>43.474200000000003</c:v>
                </c:pt>
                <c:pt idx="38">
                  <c:v>43.994699999999995</c:v>
                </c:pt>
                <c:pt idx="39">
                  <c:v>44.689900000000002</c:v>
                </c:pt>
                <c:pt idx="40">
                  <c:v>45.456200000000003</c:v>
                </c:pt>
                <c:pt idx="41">
                  <c:v>46.1676</c:v>
                </c:pt>
                <c:pt idx="42">
                  <c:v>46.811100000000003</c:v>
                </c:pt>
                <c:pt idx="43">
                  <c:v>47.390300000000003</c:v>
                </c:pt>
                <c:pt idx="44">
                  <c:v>47.9116</c:v>
                </c:pt>
                <c:pt idx="45">
                  <c:v>48.357199999999999</c:v>
                </c:pt>
                <c:pt idx="46">
                  <c:v>48.761700000000005</c:v>
                </c:pt>
                <c:pt idx="47">
                  <c:v>49.104100000000003</c:v>
                </c:pt>
                <c:pt idx="48">
                  <c:v>49.347099999999998</c:v>
                </c:pt>
                <c:pt idx="49">
                  <c:v>49.564700000000002</c:v>
                </c:pt>
                <c:pt idx="50">
                  <c:v>49.630499999999998</c:v>
                </c:pt>
                <c:pt idx="51">
                  <c:v>49.6935</c:v>
                </c:pt>
                <c:pt idx="52">
                  <c:v>49.759700000000002</c:v>
                </c:pt>
                <c:pt idx="53">
                  <c:v>49.927700000000002</c:v>
                </c:pt>
                <c:pt idx="54">
                  <c:v>50.094700000000003</c:v>
                </c:pt>
                <c:pt idx="55">
                  <c:v>50.316700000000004</c:v>
                </c:pt>
                <c:pt idx="56">
                  <c:v>50.5364</c:v>
                </c:pt>
                <c:pt idx="57">
                  <c:v>50.788199999999996</c:v>
                </c:pt>
                <c:pt idx="58">
                  <c:v>51.019099999999995</c:v>
                </c:pt>
                <c:pt idx="59">
                  <c:v>51.2181</c:v>
                </c:pt>
                <c:pt idx="60">
                  <c:v>51.475800000000007</c:v>
                </c:pt>
                <c:pt idx="61">
                  <c:v>51.679299999999998</c:v>
                </c:pt>
                <c:pt idx="62">
                  <c:v>51.883400000000002</c:v>
                </c:pt>
                <c:pt idx="63">
                  <c:v>52.1143</c:v>
                </c:pt>
                <c:pt idx="64">
                  <c:v>52.393599999999992</c:v>
                </c:pt>
                <c:pt idx="65">
                  <c:v>52.698599999999999</c:v>
                </c:pt>
                <c:pt idx="66">
                  <c:v>53.028100000000002</c:v>
                </c:pt>
                <c:pt idx="67">
                  <c:v>53.297000000000004</c:v>
                </c:pt>
                <c:pt idx="68">
                  <c:v>53.441099999999999</c:v>
                </c:pt>
                <c:pt idx="69">
                  <c:v>53.415199999999999</c:v>
                </c:pt>
                <c:pt idx="70">
                  <c:v>53.328499999999998</c:v>
                </c:pt>
                <c:pt idx="71">
                  <c:v>53.299099999999996</c:v>
                </c:pt>
                <c:pt idx="72">
                  <c:v>52.876300000000001</c:v>
                </c:pt>
                <c:pt idx="73">
                  <c:v>52.446400000000004</c:v>
                </c:pt>
                <c:pt idx="74">
                  <c:v>51.844100000000005</c:v>
                </c:pt>
                <c:pt idx="75">
                  <c:v>51.026600000000002</c:v>
                </c:pt>
                <c:pt idx="76">
                  <c:v>50.190500000000007</c:v>
                </c:pt>
                <c:pt idx="77">
                  <c:v>49.409500000000001</c:v>
                </c:pt>
                <c:pt idx="78">
                  <c:v>48.706700000000005</c:v>
                </c:pt>
                <c:pt idx="79">
                  <c:v>48.187600000000003</c:v>
                </c:pt>
                <c:pt idx="80">
                  <c:v>47.764699999999998</c:v>
                </c:pt>
                <c:pt idx="81">
                  <c:v>47.361499999999999</c:v>
                </c:pt>
                <c:pt idx="82">
                  <c:v>46.863999999999997</c:v>
                </c:pt>
                <c:pt idx="83">
                  <c:v>46.472200000000001</c:v>
                </c:pt>
                <c:pt idx="84">
                  <c:v>46.28</c:v>
                </c:pt>
                <c:pt idx="85">
                  <c:v>46.203699999999998</c:v>
                </c:pt>
                <c:pt idx="86">
                  <c:v>46.097100000000005</c:v>
                </c:pt>
                <c:pt idx="87">
                  <c:v>46.040900000000001</c:v>
                </c:pt>
                <c:pt idx="88">
                  <c:v>46.138400000000004</c:v>
                </c:pt>
                <c:pt idx="89">
                  <c:v>46.2151</c:v>
                </c:pt>
                <c:pt idx="90">
                  <c:v>46.266500000000001</c:v>
                </c:pt>
                <c:pt idx="91">
                  <c:v>46.341100000000004</c:v>
                </c:pt>
                <c:pt idx="92">
                  <c:v>46.445900000000002</c:v>
                </c:pt>
                <c:pt idx="93">
                  <c:v>46.509299999999996</c:v>
                </c:pt>
                <c:pt idx="94">
                  <c:v>46.5244</c:v>
                </c:pt>
                <c:pt idx="95">
                  <c:v>46.488199999999999</c:v>
                </c:pt>
                <c:pt idx="96">
                  <c:v>46.422000000000004</c:v>
                </c:pt>
                <c:pt idx="97">
                  <c:v>46.331099999999999</c:v>
                </c:pt>
                <c:pt idx="98">
                  <c:v>46.251199999999997</c:v>
                </c:pt>
                <c:pt idx="99">
                  <c:v>46.217799999999997</c:v>
                </c:pt>
                <c:pt idx="100">
                  <c:v>46.251199999999997</c:v>
                </c:pt>
                <c:pt idx="101">
                  <c:v>46.363300000000002</c:v>
                </c:pt>
                <c:pt idx="102">
                  <c:v>46.5197</c:v>
                </c:pt>
                <c:pt idx="103">
                  <c:v>46.714399999999998</c:v>
                </c:pt>
                <c:pt idx="104">
                  <c:v>46.854600000000005</c:v>
                </c:pt>
                <c:pt idx="105">
                  <c:v>46.985399999999998</c:v>
                </c:pt>
                <c:pt idx="106">
                  <c:v>47.211399999999998</c:v>
                </c:pt>
                <c:pt idx="107">
                  <c:v>47.578099999999999</c:v>
                </c:pt>
                <c:pt idx="108">
                  <c:v>47.946800000000003</c:v>
                </c:pt>
                <c:pt idx="109">
                  <c:v>48.207299999999996</c:v>
                </c:pt>
                <c:pt idx="110">
                  <c:v>48.423500000000004</c:v>
                </c:pt>
                <c:pt idx="111">
                  <c:v>48.646099999999997</c:v>
                </c:pt>
                <c:pt idx="112">
                  <c:v>48.782499999999999</c:v>
                </c:pt>
                <c:pt idx="113">
                  <c:v>48.845300000000002</c:v>
                </c:pt>
                <c:pt idx="114">
                  <c:v>48.889400000000002</c:v>
                </c:pt>
                <c:pt idx="115">
                  <c:v>48.845399999999998</c:v>
                </c:pt>
                <c:pt idx="116">
                  <c:v>48.729799999999997</c:v>
                </c:pt>
                <c:pt idx="117">
                  <c:v>48.508000000000003</c:v>
                </c:pt>
                <c:pt idx="118">
                  <c:v>48.306699999999999</c:v>
                </c:pt>
                <c:pt idx="119">
                  <c:v>48.017800000000001</c:v>
                </c:pt>
                <c:pt idx="120">
                  <c:v>47.6751</c:v>
                </c:pt>
                <c:pt idx="121">
                  <c:v>47.2637</c:v>
                </c:pt>
                <c:pt idx="122">
                  <c:v>46.861799999999995</c:v>
                </c:pt>
                <c:pt idx="123">
                  <c:v>46.478400000000001</c:v>
                </c:pt>
                <c:pt idx="124">
                  <c:v>46.360500000000002</c:v>
                </c:pt>
                <c:pt idx="125">
                  <c:v>46.26</c:v>
                </c:pt>
                <c:pt idx="126">
                  <c:v>46.161499999999997</c:v>
                </c:pt>
                <c:pt idx="127">
                  <c:v>46.067500000000003</c:v>
                </c:pt>
                <c:pt idx="128">
                  <c:v>45.974900000000005</c:v>
                </c:pt>
                <c:pt idx="129">
                  <c:v>45.874299999999998</c:v>
                </c:pt>
                <c:pt idx="130">
                  <c:v>45.768100000000004</c:v>
                </c:pt>
                <c:pt idx="131">
                  <c:v>45.646100000000004</c:v>
                </c:pt>
                <c:pt idx="132">
                  <c:v>45.522199999999998</c:v>
                </c:pt>
                <c:pt idx="133">
                  <c:v>45.409399999999998</c:v>
                </c:pt>
                <c:pt idx="134">
                  <c:v>45.322299999999998</c:v>
                </c:pt>
                <c:pt idx="135">
                  <c:v>45.235500000000002</c:v>
                </c:pt>
                <c:pt idx="136">
                  <c:v>45.155200000000001</c:v>
                </c:pt>
                <c:pt idx="137">
                  <c:v>45.009300000000003</c:v>
                </c:pt>
                <c:pt idx="138">
                  <c:v>44.768000000000001</c:v>
                </c:pt>
                <c:pt idx="139">
                  <c:v>44.451599999999999</c:v>
                </c:pt>
                <c:pt idx="140">
                  <c:v>44.143500000000003</c:v>
                </c:pt>
                <c:pt idx="141">
                  <c:v>43.807899999999997</c:v>
                </c:pt>
                <c:pt idx="142">
                  <c:v>43.508299999999998</c:v>
                </c:pt>
                <c:pt idx="143">
                  <c:v>43.069000000000003</c:v>
                </c:pt>
                <c:pt idx="144">
                  <c:v>42.607299999999995</c:v>
                </c:pt>
                <c:pt idx="145">
                  <c:v>42.271500000000003</c:v>
                </c:pt>
                <c:pt idx="146">
                  <c:v>42.238</c:v>
                </c:pt>
                <c:pt idx="147">
                  <c:v>42.129399999999997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2.6637200000000001</c:v>
                </c:pt>
                <c:pt idx="1">
                  <c:v>2.7526999999999999</c:v>
                </c:pt>
                <c:pt idx="2">
                  <c:v>2.84049</c:v>
                </c:pt>
                <c:pt idx="3">
                  <c:v>2.92591</c:v>
                </c:pt>
                <c:pt idx="4">
                  <c:v>3.01118</c:v>
                </c:pt>
                <c:pt idx="5">
                  <c:v>3.09558</c:v>
                </c:pt>
                <c:pt idx="6">
                  <c:v>3.1823899999999998</c:v>
                </c:pt>
                <c:pt idx="7">
                  <c:v>3.2720500000000001</c:v>
                </c:pt>
                <c:pt idx="8">
                  <c:v>3.3650799999999998</c:v>
                </c:pt>
                <c:pt idx="9">
                  <c:v>3.4586800000000002</c:v>
                </c:pt>
                <c:pt idx="10">
                  <c:v>3.5542600000000002</c:v>
                </c:pt>
                <c:pt idx="11">
                  <c:v>3.64567</c:v>
                </c:pt>
                <c:pt idx="12">
                  <c:v>3.73291</c:v>
                </c:pt>
                <c:pt idx="13">
                  <c:v>3.8202699999999998</c:v>
                </c:pt>
                <c:pt idx="14">
                  <c:v>3.9090999999999996</c:v>
                </c:pt>
                <c:pt idx="15">
                  <c:v>3.9889599999999996</c:v>
                </c:pt>
                <c:pt idx="16">
                  <c:v>4.0594700000000001</c:v>
                </c:pt>
                <c:pt idx="17">
                  <c:v>4.1210599999999999</c:v>
                </c:pt>
                <c:pt idx="18">
                  <c:v>4.1763000000000003</c:v>
                </c:pt>
                <c:pt idx="19">
                  <c:v>4.2244399999999995</c:v>
                </c:pt>
                <c:pt idx="20">
                  <c:v>4.2656400000000003</c:v>
                </c:pt>
                <c:pt idx="21">
                  <c:v>4.3013700000000004</c:v>
                </c:pt>
                <c:pt idx="22">
                  <c:v>4.3306399999999998</c:v>
                </c:pt>
                <c:pt idx="23">
                  <c:v>4.3511100000000003</c:v>
                </c:pt>
                <c:pt idx="24">
                  <c:v>4.3663299999999996</c:v>
                </c:pt>
                <c:pt idx="25">
                  <c:v>4.37087</c:v>
                </c:pt>
                <c:pt idx="26">
                  <c:v>4.3691200000000006</c:v>
                </c:pt>
                <c:pt idx="27">
                  <c:v>4.3666</c:v>
                </c:pt>
                <c:pt idx="28">
                  <c:v>4.3661799999999999</c:v>
                </c:pt>
                <c:pt idx="29">
                  <c:v>4.3674600000000003</c:v>
                </c:pt>
                <c:pt idx="30">
                  <c:v>4.3662400000000003</c:v>
                </c:pt>
                <c:pt idx="31">
                  <c:v>4.3605700000000001</c:v>
                </c:pt>
                <c:pt idx="32">
                  <c:v>4.3486099999999999</c:v>
                </c:pt>
                <c:pt idx="33">
                  <c:v>4.3317199999999998</c:v>
                </c:pt>
                <c:pt idx="34">
                  <c:v>4.3097500000000002</c:v>
                </c:pt>
                <c:pt idx="35">
                  <c:v>4.2854900000000002</c:v>
                </c:pt>
                <c:pt idx="36">
                  <c:v>4.2556799999999999</c:v>
                </c:pt>
                <c:pt idx="37">
                  <c:v>4.22384</c:v>
                </c:pt>
                <c:pt idx="38">
                  <c:v>4.1905299999999999</c:v>
                </c:pt>
                <c:pt idx="39">
                  <c:v>4.1529300000000005</c:v>
                </c:pt>
                <c:pt idx="40">
                  <c:v>4.1178600000000003</c:v>
                </c:pt>
                <c:pt idx="41">
                  <c:v>4.0865400000000003</c:v>
                </c:pt>
                <c:pt idx="42">
                  <c:v>4.0551900000000005</c:v>
                </c:pt>
                <c:pt idx="43">
                  <c:v>4.0201900000000004</c:v>
                </c:pt>
                <c:pt idx="44">
                  <c:v>3.98339</c:v>
                </c:pt>
                <c:pt idx="45">
                  <c:v>3.9500099999999998</c:v>
                </c:pt>
                <c:pt idx="46">
                  <c:v>3.9181599999999999</c:v>
                </c:pt>
                <c:pt idx="47">
                  <c:v>3.8904699999999997</c:v>
                </c:pt>
                <c:pt idx="48">
                  <c:v>3.86876</c:v>
                </c:pt>
                <c:pt idx="49">
                  <c:v>3.8477299999999999</c:v>
                </c:pt>
                <c:pt idx="50">
                  <c:v>3.8375300000000001</c:v>
                </c:pt>
                <c:pt idx="51">
                  <c:v>3.8232899999999996</c:v>
                </c:pt>
                <c:pt idx="52">
                  <c:v>3.8074400000000002</c:v>
                </c:pt>
                <c:pt idx="53">
                  <c:v>3.7831399999999999</c:v>
                </c:pt>
                <c:pt idx="54">
                  <c:v>3.7663799999999998</c:v>
                </c:pt>
                <c:pt idx="55">
                  <c:v>3.7454799999999997</c:v>
                </c:pt>
                <c:pt idx="56">
                  <c:v>3.7246099999999998</c:v>
                </c:pt>
                <c:pt idx="57">
                  <c:v>3.7016999999999998</c:v>
                </c:pt>
                <c:pt idx="58">
                  <c:v>3.6800100000000002</c:v>
                </c:pt>
                <c:pt idx="59">
                  <c:v>3.6566100000000001</c:v>
                </c:pt>
                <c:pt idx="60">
                  <c:v>3.6275900000000001</c:v>
                </c:pt>
                <c:pt idx="61">
                  <c:v>3.6106100000000003</c:v>
                </c:pt>
                <c:pt idx="62">
                  <c:v>3.5900500000000002</c:v>
                </c:pt>
                <c:pt idx="63">
                  <c:v>3.5698999999999996</c:v>
                </c:pt>
                <c:pt idx="64">
                  <c:v>3.5534400000000002</c:v>
                </c:pt>
                <c:pt idx="65">
                  <c:v>3.5321899999999999</c:v>
                </c:pt>
                <c:pt idx="66">
                  <c:v>3.5117799999999999</c:v>
                </c:pt>
                <c:pt idx="67">
                  <c:v>3.4929500000000004</c:v>
                </c:pt>
                <c:pt idx="68">
                  <c:v>3.4833099999999999</c:v>
                </c:pt>
                <c:pt idx="69">
                  <c:v>3.4830899999999998</c:v>
                </c:pt>
                <c:pt idx="70">
                  <c:v>3.4855599999999995</c:v>
                </c:pt>
                <c:pt idx="71">
                  <c:v>3.4847099999999998</c:v>
                </c:pt>
                <c:pt idx="72">
                  <c:v>3.5005599999999997</c:v>
                </c:pt>
                <c:pt idx="73">
                  <c:v>3.5139999999999998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51.709799999999994</c:v>
                </c:pt>
                <c:pt idx="1">
                  <c:v>50.626400000000004</c:v>
                </c:pt>
                <c:pt idx="2">
                  <c:v>49.800699999999999</c:v>
                </c:pt>
                <c:pt idx="3">
                  <c:v>49.274499999999996</c:v>
                </c:pt>
                <c:pt idx="4">
                  <c:v>48.868099999999998</c:v>
                </c:pt>
                <c:pt idx="5">
                  <c:v>48.553600000000003</c:v>
                </c:pt>
                <c:pt idx="6">
                  <c:v>47.991599999999998</c:v>
                </c:pt>
                <c:pt idx="7">
                  <c:v>47.230899999999998</c:v>
                </c:pt>
                <c:pt idx="8">
                  <c:v>46.341999999999999</c:v>
                </c:pt>
                <c:pt idx="9">
                  <c:v>45.293599999999998</c:v>
                </c:pt>
                <c:pt idx="10">
                  <c:v>44.075699999999998</c:v>
                </c:pt>
                <c:pt idx="11">
                  <c:v>42.971599999999995</c:v>
                </c:pt>
                <c:pt idx="12">
                  <c:v>42.0291</c:v>
                </c:pt>
                <c:pt idx="13">
                  <c:v>41.2166</c:v>
                </c:pt>
                <c:pt idx="14">
                  <c:v>40.433099999999996</c:v>
                </c:pt>
                <c:pt idx="15">
                  <c:v>39.8765</c:v>
                </c:pt>
                <c:pt idx="16">
                  <c:v>39.630200000000002</c:v>
                </c:pt>
                <c:pt idx="17">
                  <c:v>39.570799999999998</c:v>
                </c:pt>
                <c:pt idx="18">
                  <c:v>39.599600000000002</c:v>
                </c:pt>
                <c:pt idx="19">
                  <c:v>39.668799999999997</c:v>
                </c:pt>
                <c:pt idx="20">
                  <c:v>39.912500000000001</c:v>
                </c:pt>
                <c:pt idx="21">
                  <c:v>40.273199999999996</c:v>
                </c:pt>
                <c:pt idx="22">
                  <c:v>40.705100000000002</c:v>
                </c:pt>
                <c:pt idx="23">
                  <c:v>41.1173</c:v>
                </c:pt>
                <c:pt idx="24">
                  <c:v>41.4709</c:v>
                </c:pt>
                <c:pt idx="25">
                  <c:v>41.675800000000002</c:v>
                </c:pt>
                <c:pt idx="26">
                  <c:v>41.769600000000004</c:v>
                </c:pt>
                <c:pt idx="27">
                  <c:v>41.852499999999999</c:v>
                </c:pt>
                <c:pt idx="28">
                  <c:v>41.974400000000003</c:v>
                </c:pt>
                <c:pt idx="29">
                  <c:v>42.113599999999998</c:v>
                </c:pt>
                <c:pt idx="30">
                  <c:v>42.237499999999997</c:v>
                </c:pt>
                <c:pt idx="31">
                  <c:v>42.337499999999999</c:v>
                </c:pt>
                <c:pt idx="32">
                  <c:v>42.376899999999999</c:v>
                </c:pt>
                <c:pt idx="33">
                  <c:v>42.408200000000001</c:v>
                </c:pt>
                <c:pt idx="34">
                  <c:v>42.5092</c:v>
                </c:pt>
                <c:pt idx="35">
                  <c:v>42.7941</c:v>
                </c:pt>
                <c:pt idx="36">
                  <c:v>43.104799999999997</c:v>
                </c:pt>
                <c:pt idx="37">
                  <c:v>43.474200000000003</c:v>
                </c:pt>
                <c:pt idx="38">
                  <c:v>43.994699999999995</c:v>
                </c:pt>
                <c:pt idx="39">
                  <c:v>44.689900000000002</c:v>
                </c:pt>
                <c:pt idx="40">
                  <c:v>45.456200000000003</c:v>
                </c:pt>
                <c:pt idx="41">
                  <c:v>46.1676</c:v>
                </c:pt>
                <c:pt idx="42">
                  <c:v>46.811100000000003</c:v>
                </c:pt>
                <c:pt idx="43">
                  <c:v>47.390300000000003</c:v>
                </c:pt>
                <c:pt idx="44">
                  <c:v>47.9116</c:v>
                </c:pt>
                <c:pt idx="45">
                  <c:v>48.357199999999999</c:v>
                </c:pt>
                <c:pt idx="46">
                  <c:v>48.761700000000005</c:v>
                </c:pt>
                <c:pt idx="47">
                  <c:v>49.104100000000003</c:v>
                </c:pt>
                <c:pt idx="48">
                  <c:v>49.347099999999998</c:v>
                </c:pt>
                <c:pt idx="49">
                  <c:v>49.564700000000002</c:v>
                </c:pt>
                <c:pt idx="50">
                  <c:v>49.630499999999998</c:v>
                </c:pt>
                <c:pt idx="51">
                  <c:v>49.6935</c:v>
                </c:pt>
                <c:pt idx="52">
                  <c:v>49.759700000000002</c:v>
                </c:pt>
                <c:pt idx="53">
                  <c:v>49.927700000000002</c:v>
                </c:pt>
                <c:pt idx="54">
                  <c:v>50.094700000000003</c:v>
                </c:pt>
                <c:pt idx="55">
                  <c:v>50.316700000000004</c:v>
                </c:pt>
                <c:pt idx="56">
                  <c:v>50.5364</c:v>
                </c:pt>
                <c:pt idx="57">
                  <c:v>50.788199999999996</c:v>
                </c:pt>
                <c:pt idx="58">
                  <c:v>51.019099999999995</c:v>
                </c:pt>
                <c:pt idx="59">
                  <c:v>51.2181</c:v>
                </c:pt>
                <c:pt idx="60">
                  <c:v>51.475800000000007</c:v>
                </c:pt>
                <c:pt idx="61">
                  <c:v>51.679299999999998</c:v>
                </c:pt>
                <c:pt idx="62">
                  <c:v>51.883400000000002</c:v>
                </c:pt>
                <c:pt idx="63">
                  <c:v>52.1143</c:v>
                </c:pt>
                <c:pt idx="64">
                  <c:v>52.393599999999992</c:v>
                </c:pt>
                <c:pt idx="65">
                  <c:v>52.698599999999999</c:v>
                </c:pt>
                <c:pt idx="66">
                  <c:v>53.028100000000002</c:v>
                </c:pt>
                <c:pt idx="67">
                  <c:v>53.297000000000004</c:v>
                </c:pt>
                <c:pt idx="68">
                  <c:v>53.441099999999999</c:v>
                </c:pt>
                <c:pt idx="69">
                  <c:v>53.415199999999999</c:v>
                </c:pt>
                <c:pt idx="70">
                  <c:v>53.328499999999998</c:v>
                </c:pt>
                <c:pt idx="71">
                  <c:v>53.299099999999996</c:v>
                </c:pt>
                <c:pt idx="72">
                  <c:v>52.876300000000001</c:v>
                </c:pt>
                <c:pt idx="73">
                  <c:v>52.446400000000004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3.5139999999999998</c:v>
                </c:pt>
                <c:pt idx="1">
                  <c:v>3.5342500000000001</c:v>
                </c:pt>
                <c:pt idx="2">
                  <c:v>3.5628199999999999</c:v>
                </c:pt>
                <c:pt idx="3">
                  <c:v>3.5935099999999998</c:v>
                </c:pt>
                <c:pt idx="4">
                  <c:v>3.6263099999999997</c:v>
                </c:pt>
                <c:pt idx="5">
                  <c:v>3.65699</c:v>
                </c:pt>
                <c:pt idx="6">
                  <c:v>3.6846399999999999</c:v>
                </c:pt>
                <c:pt idx="7">
                  <c:v>3.70865</c:v>
                </c:pt>
                <c:pt idx="8">
                  <c:v>3.7372300000000003</c:v>
                </c:pt>
                <c:pt idx="9">
                  <c:v>3.7675399999999999</c:v>
                </c:pt>
                <c:pt idx="10">
                  <c:v>3.8014799999999997</c:v>
                </c:pt>
                <c:pt idx="11">
                  <c:v>3.83508</c:v>
                </c:pt>
                <c:pt idx="12">
                  <c:v>3.8678900000000001</c:v>
                </c:pt>
                <c:pt idx="13">
                  <c:v>3.8990999999999998</c:v>
                </c:pt>
                <c:pt idx="14">
                  <c:v>3.9234999999999998</c:v>
                </c:pt>
                <c:pt idx="15">
                  <c:v>3.9455400000000003</c:v>
                </c:pt>
                <c:pt idx="16">
                  <c:v>3.9641599999999997</c:v>
                </c:pt>
                <c:pt idx="17">
                  <c:v>3.9762300000000002</c:v>
                </c:pt>
                <c:pt idx="18">
                  <c:v>3.98617</c:v>
                </c:pt>
                <c:pt idx="19">
                  <c:v>3.9957700000000003</c:v>
                </c:pt>
                <c:pt idx="20">
                  <c:v>4.00366</c:v>
                </c:pt>
                <c:pt idx="21">
                  <c:v>4.0079199999999995</c:v>
                </c:pt>
                <c:pt idx="22">
                  <c:v>4.0085100000000002</c:v>
                </c:pt>
                <c:pt idx="23">
                  <c:v>4.00854</c:v>
                </c:pt>
                <c:pt idx="24">
                  <c:v>3.99925</c:v>
                </c:pt>
                <c:pt idx="25">
                  <c:v>3.9844299999999997</c:v>
                </c:pt>
                <c:pt idx="26">
                  <c:v>3.9649400000000004</c:v>
                </c:pt>
                <c:pt idx="27">
                  <c:v>3.93628</c:v>
                </c:pt>
                <c:pt idx="28">
                  <c:v>3.9051900000000002</c:v>
                </c:pt>
                <c:pt idx="29">
                  <c:v>3.8734700000000002</c:v>
                </c:pt>
                <c:pt idx="30">
                  <c:v>3.8446399999999996</c:v>
                </c:pt>
                <c:pt idx="31">
                  <c:v>3.8194099999999995</c:v>
                </c:pt>
                <c:pt idx="32">
                  <c:v>3.7976300000000003</c:v>
                </c:pt>
                <c:pt idx="33">
                  <c:v>3.7729200000000001</c:v>
                </c:pt>
                <c:pt idx="34">
                  <c:v>3.7475100000000001</c:v>
                </c:pt>
                <c:pt idx="35">
                  <c:v>3.7255700000000003</c:v>
                </c:pt>
                <c:pt idx="36">
                  <c:v>3.7079200000000001</c:v>
                </c:pt>
                <c:pt idx="37">
                  <c:v>3.6950599999999998</c:v>
                </c:pt>
                <c:pt idx="38">
                  <c:v>3.6842299999999999</c:v>
                </c:pt>
                <c:pt idx="39">
                  <c:v>3.6764099999999997</c:v>
                </c:pt>
                <c:pt idx="40">
                  <c:v>3.6707700000000001</c:v>
                </c:pt>
                <c:pt idx="41">
                  <c:v>3.6667399999999999</c:v>
                </c:pt>
                <c:pt idx="42">
                  <c:v>3.6685699999999999</c:v>
                </c:pt>
                <c:pt idx="43">
                  <c:v>3.6737199999999999</c:v>
                </c:pt>
                <c:pt idx="44">
                  <c:v>3.6832900000000004</c:v>
                </c:pt>
                <c:pt idx="45">
                  <c:v>3.6913400000000003</c:v>
                </c:pt>
                <c:pt idx="46">
                  <c:v>3.7028600000000003</c:v>
                </c:pt>
                <c:pt idx="47">
                  <c:v>3.7163900000000001</c:v>
                </c:pt>
                <c:pt idx="48">
                  <c:v>3.7314799999999999</c:v>
                </c:pt>
                <c:pt idx="49">
                  <c:v>3.7494499999999995</c:v>
                </c:pt>
                <c:pt idx="50">
                  <c:v>3.7681800000000001</c:v>
                </c:pt>
                <c:pt idx="51">
                  <c:v>3.7764500000000001</c:v>
                </c:pt>
                <c:pt idx="52">
                  <c:v>3.78938</c:v>
                </c:pt>
                <c:pt idx="53">
                  <c:v>3.8041</c:v>
                </c:pt>
                <c:pt idx="54">
                  <c:v>3.81934</c:v>
                </c:pt>
                <c:pt idx="55">
                  <c:v>3.8336199999999998</c:v>
                </c:pt>
                <c:pt idx="56">
                  <c:v>3.84849</c:v>
                </c:pt>
                <c:pt idx="57">
                  <c:v>3.8634200000000001</c:v>
                </c:pt>
                <c:pt idx="58">
                  <c:v>3.8815400000000002</c:v>
                </c:pt>
                <c:pt idx="59">
                  <c:v>3.8976199999999999</c:v>
                </c:pt>
                <c:pt idx="60">
                  <c:v>3.9107599999999998</c:v>
                </c:pt>
                <c:pt idx="61">
                  <c:v>3.9233000000000002</c:v>
                </c:pt>
                <c:pt idx="62">
                  <c:v>3.9332400000000001</c:v>
                </c:pt>
                <c:pt idx="63">
                  <c:v>3.9375300000000002</c:v>
                </c:pt>
                <c:pt idx="64">
                  <c:v>3.9433400000000001</c:v>
                </c:pt>
                <c:pt idx="65">
                  <c:v>3.9554299999999998</c:v>
                </c:pt>
                <c:pt idx="66">
                  <c:v>3.9717500000000001</c:v>
                </c:pt>
                <c:pt idx="67">
                  <c:v>3.9902100000000003</c:v>
                </c:pt>
                <c:pt idx="68">
                  <c:v>4.0113399999999997</c:v>
                </c:pt>
                <c:pt idx="69">
                  <c:v>4.0284199999999997</c:v>
                </c:pt>
                <c:pt idx="70">
                  <c:v>4.0512100000000002</c:v>
                </c:pt>
                <c:pt idx="71">
                  <c:v>4.0607500000000005</c:v>
                </c:pt>
                <c:pt idx="72">
                  <c:v>4.0728999999999997</c:v>
                </c:pt>
                <c:pt idx="73">
                  <c:v>4.0594799999999998</c:v>
                </c:pt>
                <c:pt idx="74">
                  <c:v>4.0493100000000002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52.446400000000004</c:v>
                </c:pt>
                <c:pt idx="1">
                  <c:v>51.844100000000005</c:v>
                </c:pt>
                <c:pt idx="2">
                  <c:v>51.026600000000002</c:v>
                </c:pt>
                <c:pt idx="3">
                  <c:v>50.190500000000007</c:v>
                </c:pt>
                <c:pt idx="4">
                  <c:v>49.409500000000001</c:v>
                </c:pt>
                <c:pt idx="5">
                  <c:v>48.706700000000005</c:v>
                </c:pt>
                <c:pt idx="6">
                  <c:v>48.187600000000003</c:v>
                </c:pt>
                <c:pt idx="7">
                  <c:v>47.764699999999998</c:v>
                </c:pt>
                <c:pt idx="8">
                  <c:v>47.361499999999999</c:v>
                </c:pt>
                <c:pt idx="9">
                  <c:v>46.863999999999997</c:v>
                </c:pt>
                <c:pt idx="10">
                  <c:v>46.472200000000001</c:v>
                </c:pt>
                <c:pt idx="11">
                  <c:v>46.28</c:v>
                </c:pt>
                <c:pt idx="12">
                  <c:v>46.203699999999998</c:v>
                </c:pt>
                <c:pt idx="13">
                  <c:v>46.097100000000005</c:v>
                </c:pt>
                <c:pt idx="14">
                  <c:v>46.040900000000001</c:v>
                </c:pt>
                <c:pt idx="15">
                  <c:v>46.138400000000004</c:v>
                </c:pt>
                <c:pt idx="16">
                  <c:v>46.2151</c:v>
                </c:pt>
                <c:pt idx="17">
                  <c:v>46.266500000000001</c:v>
                </c:pt>
                <c:pt idx="18">
                  <c:v>46.341100000000004</c:v>
                </c:pt>
                <c:pt idx="19">
                  <c:v>46.445900000000002</c:v>
                </c:pt>
                <c:pt idx="20">
                  <c:v>46.509299999999996</c:v>
                </c:pt>
                <c:pt idx="21">
                  <c:v>46.5244</c:v>
                </c:pt>
                <c:pt idx="22">
                  <c:v>46.488199999999999</c:v>
                </c:pt>
                <c:pt idx="23">
                  <c:v>46.422000000000004</c:v>
                </c:pt>
                <c:pt idx="24">
                  <c:v>46.331099999999999</c:v>
                </c:pt>
                <c:pt idx="25">
                  <c:v>46.251199999999997</c:v>
                </c:pt>
                <c:pt idx="26">
                  <c:v>46.217799999999997</c:v>
                </c:pt>
                <c:pt idx="27">
                  <c:v>46.251199999999997</c:v>
                </c:pt>
                <c:pt idx="28">
                  <c:v>46.363300000000002</c:v>
                </c:pt>
                <c:pt idx="29">
                  <c:v>46.5197</c:v>
                </c:pt>
                <c:pt idx="30">
                  <c:v>46.714399999999998</c:v>
                </c:pt>
                <c:pt idx="31">
                  <c:v>46.854600000000005</c:v>
                </c:pt>
                <c:pt idx="32">
                  <c:v>46.985399999999998</c:v>
                </c:pt>
                <c:pt idx="33">
                  <c:v>47.211399999999998</c:v>
                </c:pt>
                <c:pt idx="34">
                  <c:v>47.578099999999999</c:v>
                </c:pt>
                <c:pt idx="35">
                  <c:v>47.946800000000003</c:v>
                </c:pt>
                <c:pt idx="36">
                  <c:v>48.207299999999996</c:v>
                </c:pt>
                <c:pt idx="37">
                  <c:v>48.423500000000004</c:v>
                </c:pt>
                <c:pt idx="38">
                  <c:v>48.646099999999997</c:v>
                </c:pt>
                <c:pt idx="39">
                  <c:v>48.782499999999999</c:v>
                </c:pt>
                <c:pt idx="40">
                  <c:v>48.845300000000002</c:v>
                </c:pt>
                <c:pt idx="41">
                  <c:v>48.889400000000002</c:v>
                </c:pt>
                <c:pt idx="42">
                  <c:v>48.845399999999998</c:v>
                </c:pt>
                <c:pt idx="43">
                  <c:v>48.729799999999997</c:v>
                </c:pt>
                <c:pt idx="44">
                  <c:v>48.508000000000003</c:v>
                </c:pt>
                <c:pt idx="45">
                  <c:v>48.306699999999999</c:v>
                </c:pt>
                <c:pt idx="46">
                  <c:v>48.017800000000001</c:v>
                </c:pt>
                <c:pt idx="47">
                  <c:v>47.6751</c:v>
                </c:pt>
                <c:pt idx="48">
                  <c:v>47.2637</c:v>
                </c:pt>
                <c:pt idx="49">
                  <c:v>46.861799999999995</c:v>
                </c:pt>
                <c:pt idx="50">
                  <c:v>46.478400000000001</c:v>
                </c:pt>
                <c:pt idx="51">
                  <c:v>46.360500000000002</c:v>
                </c:pt>
                <c:pt idx="52">
                  <c:v>46.26</c:v>
                </c:pt>
                <c:pt idx="53">
                  <c:v>46.161499999999997</c:v>
                </c:pt>
                <c:pt idx="54">
                  <c:v>46.067500000000003</c:v>
                </c:pt>
                <c:pt idx="55">
                  <c:v>45.974900000000005</c:v>
                </c:pt>
                <c:pt idx="56">
                  <c:v>45.874299999999998</c:v>
                </c:pt>
                <c:pt idx="57">
                  <c:v>45.768100000000004</c:v>
                </c:pt>
                <c:pt idx="58">
                  <c:v>45.646100000000004</c:v>
                </c:pt>
                <c:pt idx="59">
                  <c:v>45.522199999999998</c:v>
                </c:pt>
                <c:pt idx="60">
                  <c:v>45.409399999999998</c:v>
                </c:pt>
                <c:pt idx="61">
                  <c:v>45.322299999999998</c:v>
                </c:pt>
                <c:pt idx="62">
                  <c:v>45.235500000000002</c:v>
                </c:pt>
                <c:pt idx="63">
                  <c:v>45.155200000000001</c:v>
                </c:pt>
                <c:pt idx="64">
                  <c:v>45.009300000000003</c:v>
                </c:pt>
                <c:pt idx="65">
                  <c:v>44.768000000000001</c:v>
                </c:pt>
                <c:pt idx="66">
                  <c:v>44.451599999999999</c:v>
                </c:pt>
                <c:pt idx="67">
                  <c:v>44.143500000000003</c:v>
                </c:pt>
                <c:pt idx="68">
                  <c:v>43.807899999999997</c:v>
                </c:pt>
                <c:pt idx="69">
                  <c:v>43.508299999999998</c:v>
                </c:pt>
                <c:pt idx="70">
                  <c:v>43.069000000000003</c:v>
                </c:pt>
                <c:pt idx="71">
                  <c:v>42.607299999999995</c:v>
                </c:pt>
                <c:pt idx="72">
                  <c:v>42.271500000000003</c:v>
                </c:pt>
                <c:pt idx="73">
                  <c:v>42.238</c:v>
                </c:pt>
                <c:pt idx="74">
                  <c:v>42.129399999999997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2.6637200000000001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51.709799999999994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3.8214206756756757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46.713351351351335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3.8427847297297308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46.571177027026998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3.8427847297297308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46.571177027026998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570</v>
      </c>
      <c r="D5" s="151"/>
      <c r="E5" s="151"/>
      <c r="F5" s="152"/>
      <c r="G5" s="48" t="str">
        <f>lang!B27</f>
        <v>编号</v>
      </c>
      <c r="H5" s="150">
        <v>8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569</v>
      </c>
      <c r="D6" s="188"/>
      <c r="E6" s="188"/>
      <c r="F6" s="189"/>
      <c r="G6" s="49" t="str">
        <f>lang!B28</f>
        <v xml:space="preserve"> 日期</v>
      </c>
      <c r="H6" s="172">
        <f>FH_info!A2</f>
        <v>43626.695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30</v>
      </c>
      <c r="D7" s="191"/>
      <c r="E7" s="191"/>
      <c r="F7" s="192"/>
      <c r="G7" s="50" t="str">
        <f>lang!B29</f>
        <v>误差率（%）</v>
      </c>
      <c r="H7" s="175">
        <f>M!B17*1</f>
        <v>15.576499999999999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41.385899999999999</v>
      </c>
      <c r="O8" s="59">
        <f>M!C5*1</f>
        <v>7.6802000000000001</v>
      </c>
      <c r="P8" s="59">
        <f>M!D5*1</f>
        <v>18.557500000000001</v>
      </c>
      <c r="Q8" s="59">
        <f>M!E5*1</f>
        <v>20</v>
      </c>
      <c r="R8" s="59">
        <f>M!F5*1</f>
        <v>15.192</v>
      </c>
      <c r="S8" s="59">
        <f>M!G5*1</f>
        <v>50</v>
      </c>
      <c r="T8" s="59">
        <f>M!H5*1</f>
        <v>52.914299999999997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27.668199999999999</v>
      </c>
      <c r="O9" s="59">
        <f>M!C6*1</f>
        <v>2.3775499999999998</v>
      </c>
      <c r="P9" s="59">
        <f>M!D6*1</f>
        <v>8.5930700000000009</v>
      </c>
      <c r="Q9" s="59">
        <f>M!E6*1</f>
        <v>20</v>
      </c>
      <c r="R9" s="59">
        <f>M!F6*1</f>
        <v>22.814900000000002</v>
      </c>
      <c r="S9" s="59">
        <f>M!G6*1</f>
        <v>40</v>
      </c>
      <c r="T9" s="59">
        <f>M!H6*1</f>
        <v>31.793199999999999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15.192</v>
      </c>
      <c r="D10" s="99">
        <f>N8</f>
        <v>41.385899999999999</v>
      </c>
      <c r="E10" s="100">
        <f>T8</f>
        <v>52.914299999999997</v>
      </c>
      <c r="F10" s="91">
        <f>P8</f>
        <v>18.557500000000001</v>
      </c>
      <c r="G10" s="81" t="str">
        <f>CONCATENATE(M9,"
(20 ~ 40)")</f>
        <v>压力
(20 ~ 40)</v>
      </c>
      <c r="H10" s="98">
        <f>R9</f>
        <v>22.814900000000002</v>
      </c>
      <c r="I10" s="108">
        <f>N9</f>
        <v>27.668199999999999</v>
      </c>
      <c r="J10" s="98">
        <f>T9</f>
        <v>31.793199999999999</v>
      </c>
      <c r="K10" s="92">
        <f>P9</f>
        <v>8.5930700000000009</v>
      </c>
      <c r="L10" s="6"/>
      <c r="M10" s="27" t="str">
        <f>lang!B16</f>
        <v>焦虑</v>
      </c>
      <c r="N10" s="59">
        <f>M!B7*1</f>
        <v>24.257400000000001</v>
      </c>
      <c r="O10" s="59">
        <f>M!C7*1</f>
        <v>6.1684999999999999</v>
      </c>
      <c r="P10" s="59">
        <f>M!D7*1</f>
        <v>25.429400000000001</v>
      </c>
      <c r="Q10" s="59">
        <f>M!E7*1</f>
        <v>15</v>
      </c>
      <c r="R10" s="59">
        <f>M!F7*1</f>
        <v>12.0329</v>
      </c>
      <c r="S10" s="59">
        <f>M!G7*1</f>
        <v>40</v>
      </c>
      <c r="T10" s="59">
        <f>M!H7*1</f>
        <v>49.450200000000002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12.0329</v>
      </c>
      <c r="D11" s="102">
        <f>N10</f>
        <v>24.257400000000001</v>
      </c>
      <c r="E11" s="103">
        <f>T10</f>
        <v>49.450200000000002</v>
      </c>
      <c r="F11" s="94">
        <f>P10</f>
        <v>25.429400000000001</v>
      </c>
      <c r="G11" s="52" t="str">
        <f>CONCATENATE(M11,"
(20 ~ 50)")</f>
        <v>可疑
(20 ~ 50)</v>
      </c>
      <c r="H11" s="101">
        <f>R11</f>
        <v>16.974900000000002</v>
      </c>
      <c r="I11" s="104">
        <f>N11</f>
        <v>31.1999</v>
      </c>
      <c r="J11" s="101">
        <f>T11</f>
        <v>39.265099999999997</v>
      </c>
      <c r="K11" s="95">
        <f>P11</f>
        <v>12.571899999999999</v>
      </c>
      <c r="L11" s="4"/>
      <c r="M11" s="27" t="str">
        <f>lang!B17</f>
        <v>可疑</v>
      </c>
      <c r="N11" s="59">
        <f>M!B8*1</f>
        <v>31.1999</v>
      </c>
      <c r="O11" s="59">
        <f>M!C8*1</f>
        <v>3.9224299999999999</v>
      </c>
      <c r="P11" s="59">
        <f>M!D8*1</f>
        <v>12.571899999999999</v>
      </c>
      <c r="Q11" s="59">
        <f>M!E8*1</f>
        <v>20</v>
      </c>
      <c r="R11" s="59">
        <f>M!F8*1</f>
        <v>16.974900000000002</v>
      </c>
      <c r="S11" s="59">
        <f>M!G8*1</f>
        <v>50</v>
      </c>
      <c r="T11" s="59">
        <f>M!H8*1</f>
        <v>39.265099999999997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34.961799999999997</v>
      </c>
      <c r="D12" s="104">
        <f>N12</f>
        <v>52.652500000000003</v>
      </c>
      <c r="E12" s="101">
        <f>T12</f>
        <v>65.954599999999999</v>
      </c>
      <c r="F12" s="93">
        <f>P12</f>
        <v>12.977399999999999</v>
      </c>
      <c r="G12" s="52" t="str">
        <f>CONCATENATE(M13,"
(40 ~ 100)")</f>
        <v>自信
(40 ~ 100)</v>
      </c>
      <c r="H12" s="101">
        <f>R13</f>
        <v>72.649799999999999</v>
      </c>
      <c r="I12" s="104">
        <f>N13</f>
        <v>77.514899999999997</v>
      </c>
      <c r="J12" s="101">
        <f>T13</f>
        <v>86.026700000000005</v>
      </c>
      <c r="K12" s="95">
        <f>P13</f>
        <v>4.2313700000000001</v>
      </c>
      <c r="L12" s="4"/>
      <c r="M12" s="27" t="str">
        <f>lang!B18</f>
        <v>平衡</v>
      </c>
      <c r="N12" s="59">
        <f>M!B9*1</f>
        <v>52.652500000000003</v>
      </c>
      <c r="O12" s="59">
        <f>M!C9*1</f>
        <v>6.8329000000000004</v>
      </c>
      <c r="P12" s="59">
        <f>M!D9*1</f>
        <v>12.977399999999999</v>
      </c>
      <c r="Q12" s="59">
        <f>M!E9*1</f>
        <v>50</v>
      </c>
      <c r="R12" s="59">
        <f>M!F9*1</f>
        <v>34.961799999999997</v>
      </c>
      <c r="S12" s="59">
        <f>M!G9*1</f>
        <v>100</v>
      </c>
      <c r="T12" s="59">
        <f>M!H9*1</f>
        <v>65.954599999999999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11.408799999999999</v>
      </c>
      <c r="D13" s="102">
        <f>N14</f>
        <v>27.5138</v>
      </c>
      <c r="E13" s="103">
        <f>T14</f>
        <v>36.016199999999998</v>
      </c>
      <c r="F13" s="94">
        <f>P14</f>
        <v>17.8642</v>
      </c>
      <c r="G13" s="52" t="str">
        <f>CONCATENATE(M15,"
(50 ~ 100)")</f>
        <v>自我调节
(50 ~ 100)</v>
      </c>
      <c r="H13" s="101">
        <f>R15</f>
        <v>54.731099999999998</v>
      </c>
      <c r="I13" s="104">
        <f>N15</f>
        <v>65.160499999999999</v>
      </c>
      <c r="J13" s="101">
        <f>T15</f>
        <v>72.4893</v>
      </c>
      <c r="K13" s="95">
        <f>P15</f>
        <v>4.9723100000000002</v>
      </c>
      <c r="L13" s="4"/>
      <c r="M13" s="27" t="str">
        <f>lang!B19</f>
        <v>自信</v>
      </c>
      <c r="N13" s="59">
        <f>M!B10*1</f>
        <v>77.514899999999997</v>
      </c>
      <c r="O13" s="59">
        <f>M!C10*1</f>
        <v>3.2799399999999999</v>
      </c>
      <c r="P13" s="59">
        <f>M!D10*1</f>
        <v>4.2313700000000001</v>
      </c>
      <c r="Q13" s="59">
        <f>M!E10*1</f>
        <v>40</v>
      </c>
      <c r="R13" s="59">
        <f>M!F10*1</f>
        <v>72.649799999999999</v>
      </c>
      <c r="S13" s="59">
        <f>M!G10*1</f>
        <v>100</v>
      </c>
      <c r="T13" s="59">
        <f>M!H10*1</f>
        <v>86.026700000000005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14.0814</v>
      </c>
      <c r="D14" s="106">
        <f>N16</f>
        <v>18.4422</v>
      </c>
      <c r="E14" s="107">
        <f>T16</f>
        <v>27.545999999999999</v>
      </c>
      <c r="F14" s="96">
        <f>P16</f>
        <v>14.6882</v>
      </c>
      <c r="G14" s="112" t="str">
        <f>CONCATENATE(M17,"
(10 ~ 50)")</f>
        <v>神经质
(10 ~ 50)</v>
      </c>
      <c r="H14" s="105">
        <f>R17</f>
        <v>2.0630500000000001</v>
      </c>
      <c r="I14" s="106">
        <f>N17</f>
        <v>27.088200000000001</v>
      </c>
      <c r="J14" s="107">
        <f>T17</f>
        <v>40.419499999999999</v>
      </c>
      <c r="K14" s="97">
        <f>P17</f>
        <v>35.880000000000003</v>
      </c>
      <c r="M14" s="27" t="str">
        <f>lang!B20</f>
        <v>活力</v>
      </c>
      <c r="N14" s="59">
        <f>M!B11*1</f>
        <v>27.5138</v>
      </c>
      <c r="O14" s="59">
        <f>M!C11*1</f>
        <v>4.9151300000000004</v>
      </c>
      <c r="P14" s="59">
        <f>M!D11*1</f>
        <v>17.8642</v>
      </c>
      <c r="Q14" s="59">
        <f>M!E11*1</f>
        <v>10</v>
      </c>
      <c r="R14" s="59">
        <f>M!F11*1</f>
        <v>11.408799999999999</v>
      </c>
      <c r="S14" s="59">
        <f>M!G11*1</f>
        <v>50</v>
      </c>
      <c r="T14" s="59">
        <f>M!H11*1</f>
        <v>36.016199999999998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65.160499999999999</v>
      </c>
      <c r="O15" s="59">
        <f>M!C12*1</f>
        <v>3.2399800000000001</v>
      </c>
      <c r="P15" s="59">
        <f>M!D12*1</f>
        <v>4.9723100000000002</v>
      </c>
      <c r="Q15" s="59">
        <f>M!E12*1</f>
        <v>50</v>
      </c>
      <c r="R15" s="59">
        <f>M!F12*1</f>
        <v>54.731099999999998</v>
      </c>
      <c r="S15" s="59">
        <f>M!G12*1</f>
        <v>100</v>
      </c>
      <c r="T15" s="59">
        <f>M!H12*1</f>
        <v>72.4893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18.4422</v>
      </c>
      <c r="O16" s="59">
        <f>M!C13*1</f>
        <v>2.7088199999999998</v>
      </c>
      <c r="P16" s="59">
        <f>M!D13*1</f>
        <v>14.6882</v>
      </c>
      <c r="Q16" s="59">
        <f>M!E13*1</f>
        <v>10</v>
      </c>
      <c r="R16" s="59">
        <f>M!F13*1</f>
        <v>14.0814</v>
      </c>
      <c r="S16" s="59">
        <f>M!G13*1</f>
        <v>25</v>
      </c>
      <c r="T16" s="59">
        <f>M!H13*1</f>
        <v>27.545999999999999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27.088200000000001</v>
      </c>
      <c r="O17" s="59">
        <f>M!C14*1</f>
        <v>9.7192399999999992</v>
      </c>
      <c r="P17" s="59">
        <f>M!D14*1</f>
        <v>35.880000000000003</v>
      </c>
      <c r="Q17" s="59">
        <f>M!E14*1</f>
        <v>10</v>
      </c>
      <c r="R17" s="59">
        <f>M!F14*1</f>
        <v>2.0630500000000001</v>
      </c>
      <c r="S17" s="59">
        <f>M!G14*1</f>
        <v>50</v>
      </c>
      <c r="T17" s="59">
        <f>M!H14*1</f>
        <v>40.419499999999999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55.710425000000001</v>
      </c>
      <c r="O18" s="22">
        <f>N18/(N18+N19+N20)</f>
        <v>0.50829068147702428</v>
      </c>
      <c r="P18" s="65">
        <f>SUM(P12:P15)/4</f>
        <v>10.01132</v>
      </c>
      <c r="Q18" s="22">
        <f>P18/(P18+P19+P20)</f>
        <v>0.19408031316283755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31.127850000000002</v>
      </c>
      <c r="O19" s="22">
        <f>N19/(N18+N19+N20)</f>
        <v>0.2840042252309975</v>
      </c>
      <c r="P19" s="18">
        <f>SUM(P8:P11)/4</f>
        <v>16.287967500000001</v>
      </c>
      <c r="Q19" s="22">
        <f>P19/(P18+P19+P20)</f>
        <v>0.31575994306306465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22.7652</v>
      </c>
      <c r="O20" s="22">
        <f>N20/(N18+N19+N20)</f>
        <v>0.2077050932919782</v>
      </c>
      <c r="P20" s="18">
        <f>(P16+P17)/2</f>
        <v>25.284100000000002</v>
      </c>
      <c r="Q20" s="22">
        <f>P20/(P18+P19+P20)</f>
        <v>0.49015974377409788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-3.5581486486488401E-3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1.8562292115894512</v>
      </c>
      <c r="D25" s="44" t="str">
        <f>lang!B11</f>
        <v>频率方差</v>
      </c>
      <c r="E25" s="142">
        <f ca="1">FH!L3</f>
        <v>0.5635027619771027</v>
      </c>
      <c r="F25" s="143"/>
      <c r="G25" s="134" t="str">
        <f>lang!B12</f>
        <v>生理变化率</v>
      </c>
      <c r="H25" s="135"/>
      <c r="I25" s="62" t="str">
        <f ca="1">CONCATENATE(info!M7,"-",info!M8)</f>
        <v>39.6-53.4</v>
      </c>
      <c r="J25" s="42" t="str">
        <f>lang!B13</f>
        <v>千卡l/分钟</v>
      </c>
      <c r="K25" s="41" t="str">
        <f ca="1">CONCATENATE(info!M5,"-",info!M6)</f>
        <v>2.7-4.4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52.92</v>
      </c>
      <c r="F28" s="164"/>
      <c r="G28" s="178" t="str">
        <f>lang!B33</f>
        <v>稳定性</v>
      </c>
      <c r="H28" s="179"/>
      <c r="I28" s="180"/>
      <c r="J28" s="181">
        <f>M!B19*100</f>
        <v>48.0075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43626.695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-1.1094000000000008</v>
      </c>
      <c r="O7" s="59">
        <f t="shared" ref="O7:T7" si="2">AG7-X7</f>
        <v>-7.125</v>
      </c>
      <c r="P7" s="59">
        <f t="shared" si="2"/>
        <v>-16.758469999999999</v>
      </c>
      <c r="Q7" s="59">
        <f t="shared" si="2"/>
        <v>0</v>
      </c>
      <c r="R7" s="59">
        <f t="shared" si="2"/>
        <v>20.686300000000003</v>
      </c>
      <c r="S7" s="59">
        <f t="shared" si="2"/>
        <v>0</v>
      </c>
      <c r="T7" s="59">
        <f t="shared" si="2"/>
        <v>-6.0460999999999956</v>
      </c>
      <c r="U7" s="14"/>
      <c r="V7" s="27" t="str">
        <f>M7</f>
        <v>攻击性</v>
      </c>
      <c r="W7" s="59">
        <f>'M1'!B5*1</f>
        <v>42.017800000000001</v>
      </c>
      <c r="X7" s="59">
        <f>'M1'!C5*1</f>
        <v>10.202999999999999</v>
      </c>
      <c r="Y7" s="59">
        <f>'M1'!D5*1</f>
        <v>24.282599999999999</v>
      </c>
      <c r="Z7" s="59">
        <f>'M1'!E5*1</f>
        <v>20</v>
      </c>
      <c r="AA7" s="59">
        <f>'M1'!F5*1</f>
        <v>15.192</v>
      </c>
      <c r="AB7" s="59">
        <f>'M1'!G5*1</f>
        <v>50</v>
      </c>
      <c r="AC7" s="59">
        <f>'M1'!H5*1</f>
        <v>52.914299999999997</v>
      </c>
      <c r="AE7" s="27" t="str">
        <f>V7</f>
        <v>攻击性</v>
      </c>
      <c r="AF7" s="59">
        <f>'M2'!B5*1</f>
        <v>40.9084</v>
      </c>
      <c r="AG7" s="59">
        <f>'M2'!C5*1</f>
        <v>3.0779999999999998</v>
      </c>
      <c r="AH7" s="59">
        <f>'M2'!D5*1</f>
        <v>7.5241300000000004</v>
      </c>
      <c r="AI7" s="59">
        <f>'M2'!E5*1</f>
        <v>20</v>
      </c>
      <c r="AJ7" s="59">
        <f>'M2'!F5*1</f>
        <v>35.878300000000003</v>
      </c>
      <c r="AK7" s="59">
        <f>'M2'!G5*1</f>
        <v>50</v>
      </c>
      <c r="AL7" s="59">
        <f>'M2'!H5*1</f>
        <v>46.868200000000002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4.2241</v>
      </c>
      <c r="O8" s="59">
        <f t="shared" ref="O8:O16" si="5">AG8-X8</f>
        <v>-3.4100000000000019E-2</v>
      </c>
      <c r="P8" s="59">
        <f t="shared" ref="P8:P16" si="6">AH8-Y8</f>
        <v>-0.74448999999999943</v>
      </c>
      <c r="Q8" s="59">
        <f t="shared" ref="Q8:Q16" si="7">AI8-Z8</f>
        <v>0</v>
      </c>
      <c r="R8" s="59">
        <f t="shared" ref="R8:R16" si="8">AJ8-AA8</f>
        <v>4.1339999999999968</v>
      </c>
      <c r="S8" s="59">
        <f t="shared" ref="S8:S16" si="9">AK8-AB8</f>
        <v>0</v>
      </c>
      <c r="T8" s="59">
        <f t="shared" ref="T8:T16" si="10">AL8-AC8</f>
        <v>3.9577999999999989</v>
      </c>
      <c r="U8" s="15"/>
      <c r="V8" s="27" t="str">
        <f t="shared" ref="V8:V16" si="11">M8</f>
        <v>压力</v>
      </c>
      <c r="W8" s="59">
        <f>'M1'!B6*1</f>
        <v>26.005600000000001</v>
      </c>
      <c r="X8" s="59">
        <f>'M1'!C6*1</f>
        <v>1.1756500000000001</v>
      </c>
      <c r="Y8" s="59">
        <f>'M1'!D6*1</f>
        <v>4.5207499999999996</v>
      </c>
      <c r="Z8" s="59">
        <f>'M1'!E6*1</f>
        <v>20</v>
      </c>
      <c r="AA8" s="59">
        <f>'M1'!F6*1</f>
        <v>22.814900000000002</v>
      </c>
      <c r="AB8" s="59">
        <f>'M1'!G6*1</f>
        <v>40</v>
      </c>
      <c r="AC8" s="59">
        <f>'M1'!H6*1</f>
        <v>27.8354</v>
      </c>
      <c r="AE8" s="27" t="str">
        <f t="shared" ref="AE8:AE16" si="12">V8</f>
        <v>压力</v>
      </c>
      <c r="AF8" s="59">
        <f>'M2'!B6*1</f>
        <v>30.229700000000001</v>
      </c>
      <c r="AG8" s="59">
        <f>'M2'!C6*1</f>
        <v>1.1415500000000001</v>
      </c>
      <c r="AH8" s="59">
        <f>'M2'!D6*1</f>
        <v>3.7762600000000002</v>
      </c>
      <c r="AI8" s="59">
        <f>'M2'!E6*1</f>
        <v>20</v>
      </c>
      <c r="AJ8" s="59">
        <f>'M2'!F6*1</f>
        <v>26.948899999999998</v>
      </c>
      <c r="AK8" s="59">
        <f>'M2'!G6*1</f>
        <v>40</v>
      </c>
      <c r="AL8" s="59">
        <f>'M2'!H6*1</f>
        <v>31.793199999999999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20.686300000000003</v>
      </c>
      <c r="D9" s="78">
        <f>N7</f>
        <v>-1.1094000000000008</v>
      </c>
      <c r="E9" s="79">
        <f>T7</f>
        <v>-6.0460999999999956</v>
      </c>
      <c r="F9" s="79">
        <f>P7</f>
        <v>-16.758469999999999</v>
      </c>
      <c r="G9" s="80" t="str">
        <f>CONCATENATE(M8,"
(20 ~ 40)")</f>
        <v>压力
(20 ~ 40)</v>
      </c>
      <c r="H9" s="77">
        <f>R8</f>
        <v>4.1339999999999968</v>
      </c>
      <c r="I9" s="81">
        <f>N8</f>
        <v>4.2241</v>
      </c>
      <c r="J9" s="77">
        <f>T8</f>
        <v>3.9577999999999989</v>
      </c>
      <c r="K9" s="82">
        <f>P8</f>
        <v>-0.74448999999999943</v>
      </c>
      <c r="L9" s="6"/>
      <c r="M9" s="27" t="str">
        <f>lang!B16</f>
        <v>焦虑</v>
      </c>
      <c r="N9" s="59">
        <f t="shared" si="4"/>
        <v>-4.1295000000000002</v>
      </c>
      <c r="O9" s="59">
        <f t="shared" si="5"/>
        <v>-1.4945199999999996</v>
      </c>
      <c r="P9" s="59">
        <f t="shared" si="6"/>
        <v>-1.9248999999999974</v>
      </c>
      <c r="Q9" s="59">
        <f t="shared" si="7"/>
        <v>0</v>
      </c>
      <c r="R9" s="59">
        <f t="shared" si="8"/>
        <v>1.8631000000000011</v>
      </c>
      <c r="S9" s="59">
        <f t="shared" si="9"/>
        <v>0</v>
      </c>
      <c r="T9" s="59">
        <f t="shared" si="10"/>
        <v>-8.976700000000001</v>
      </c>
      <c r="U9" s="14"/>
      <c r="V9" s="27" t="str">
        <f t="shared" si="11"/>
        <v>焦虑</v>
      </c>
      <c r="W9" s="59">
        <f>'M1'!B7*1</f>
        <v>26.149100000000001</v>
      </c>
      <c r="X9" s="59">
        <f>'M1'!C7*1</f>
        <v>6.7797499999999999</v>
      </c>
      <c r="Y9" s="59">
        <f>'M1'!D7*1</f>
        <v>25.927299999999999</v>
      </c>
      <c r="Z9" s="59">
        <f>'M1'!E7*1</f>
        <v>15</v>
      </c>
      <c r="AA9" s="59">
        <f>'M1'!F7*1</f>
        <v>12.0329</v>
      </c>
      <c r="AB9" s="59">
        <f>'M1'!G7*1</f>
        <v>40</v>
      </c>
      <c r="AC9" s="59">
        <f>'M1'!H7*1</f>
        <v>49.450200000000002</v>
      </c>
      <c r="AE9" s="27" t="str">
        <f t="shared" si="12"/>
        <v>焦虑</v>
      </c>
      <c r="AF9" s="59">
        <f>'M2'!B7*1</f>
        <v>22.019600000000001</v>
      </c>
      <c r="AG9" s="59">
        <f>'M2'!C7*1</f>
        <v>5.2852300000000003</v>
      </c>
      <c r="AH9" s="59">
        <f>'M2'!D7*1</f>
        <v>24.002400000000002</v>
      </c>
      <c r="AI9" s="59">
        <f>'M2'!E7*1</f>
        <v>15</v>
      </c>
      <c r="AJ9" s="59">
        <f>'M2'!F7*1</f>
        <v>13.896000000000001</v>
      </c>
      <c r="AK9" s="59">
        <f>'M2'!G7*1</f>
        <v>40</v>
      </c>
      <c r="AL9" s="59">
        <f>'M2'!H7*1</f>
        <v>40.473500000000001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1.8631000000000011</v>
      </c>
      <c r="D10" s="51">
        <f>N9</f>
        <v>-4.1295000000000002</v>
      </c>
      <c r="E10" s="53">
        <f>T9</f>
        <v>-8.976700000000001</v>
      </c>
      <c r="F10" s="53">
        <f>P9</f>
        <v>-1.9248999999999974</v>
      </c>
      <c r="G10" s="73" t="str">
        <f>CONCATENATE(M10,"
(20 ~ 50)")</f>
        <v>可疑
(20 ~ 50)</v>
      </c>
      <c r="H10" s="24">
        <f>R10</f>
        <v>11.631599999999999</v>
      </c>
      <c r="I10" s="52">
        <f>N10</f>
        <v>-0.51640000000000086</v>
      </c>
      <c r="J10" s="24">
        <f>T10</f>
        <v>-2.3185000000000002</v>
      </c>
      <c r="K10" s="25">
        <f>P10</f>
        <v>-11.815479999999999</v>
      </c>
      <c r="L10" s="4"/>
      <c r="M10" s="27" t="str">
        <f>lang!B17</f>
        <v>可疑</v>
      </c>
      <c r="N10" s="59">
        <f t="shared" si="4"/>
        <v>-0.51640000000000086</v>
      </c>
      <c r="O10" s="59">
        <f t="shared" si="5"/>
        <v>-3.7489000000000003</v>
      </c>
      <c r="P10" s="59">
        <f t="shared" si="6"/>
        <v>-11.815479999999999</v>
      </c>
      <c r="Q10" s="59">
        <f t="shared" si="7"/>
        <v>0</v>
      </c>
      <c r="R10" s="59">
        <f t="shared" si="8"/>
        <v>11.631599999999999</v>
      </c>
      <c r="S10" s="59">
        <f t="shared" si="9"/>
        <v>0</v>
      </c>
      <c r="T10" s="59">
        <f t="shared" si="10"/>
        <v>-2.3185000000000002</v>
      </c>
      <c r="U10" s="14"/>
      <c r="V10" s="27" t="str">
        <f t="shared" si="11"/>
        <v>可疑</v>
      </c>
      <c r="W10" s="59">
        <f>'M1'!B8*1</f>
        <v>31.528700000000001</v>
      </c>
      <c r="X10" s="59">
        <f>'M1'!C8*1</f>
        <v>5.1678100000000002</v>
      </c>
      <c r="Y10" s="59">
        <f>'M1'!D8*1</f>
        <v>16.390799999999999</v>
      </c>
      <c r="Z10" s="59">
        <f>'M1'!E8*1</f>
        <v>20</v>
      </c>
      <c r="AA10" s="59">
        <f>'M1'!F8*1</f>
        <v>16.974900000000002</v>
      </c>
      <c r="AB10" s="59">
        <f>'M1'!G8*1</f>
        <v>50</v>
      </c>
      <c r="AC10" s="59">
        <f>'M1'!H8*1</f>
        <v>39.265099999999997</v>
      </c>
      <c r="AE10" s="27" t="str">
        <f t="shared" si="12"/>
        <v>可疑</v>
      </c>
      <c r="AF10" s="59">
        <f>'M2'!B8*1</f>
        <v>31.0123</v>
      </c>
      <c r="AG10" s="59">
        <f>'M2'!C8*1</f>
        <v>1.4189099999999999</v>
      </c>
      <c r="AH10" s="59">
        <f>'M2'!D8*1</f>
        <v>4.5753199999999996</v>
      </c>
      <c r="AI10" s="59">
        <f>'M2'!E8*1</f>
        <v>20</v>
      </c>
      <c r="AJ10" s="59">
        <f>'M2'!F8*1</f>
        <v>28.6065</v>
      </c>
      <c r="AK10" s="59">
        <f>'M2'!G8*1</f>
        <v>50</v>
      </c>
      <c r="AL10" s="59">
        <f>'M2'!H8*1</f>
        <v>36.946599999999997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-3.1768000000000001</v>
      </c>
      <c r="D11" s="52">
        <f>N11</f>
        <v>3.2443999999999988</v>
      </c>
      <c r="E11" s="24">
        <f>T11</f>
        <v>6.6876999999999995</v>
      </c>
      <c r="F11" s="24">
        <f>P11</f>
        <v>1.0940999999999992</v>
      </c>
      <c r="G11" s="73" t="str">
        <f>CONCATENATE(M12,"
(40 ~ 100)")</f>
        <v>自信
(40 ~ 100)</v>
      </c>
      <c r="H11" s="24">
        <f>R12</f>
        <v>-4.6450999999999993</v>
      </c>
      <c r="I11" s="52">
        <f>N12</f>
        <v>-4.575800000000001</v>
      </c>
      <c r="J11" s="24">
        <f>T12</f>
        <v>-8.4433000000000078</v>
      </c>
      <c r="K11" s="25">
        <f>P12</f>
        <v>-1.3428000000000002</v>
      </c>
      <c r="L11" s="4"/>
      <c r="M11" s="27" t="str">
        <f>lang!B18</f>
        <v>平衡</v>
      </c>
      <c r="N11" s="59">
        <f t="shared" si="4"/>
        <v>3.2443999999999988</v>
      </c>
      <c r="O11" s="59">
        <f t="shared" si="5"/>
        <v>0.98010000000000019</v>
      </c>
      <c r="P11" s="59">
        <f t="shared" si="6"/>
        <v>1.0940999999999992</v>
      </c>
      <c r="Q11" s="59">
        <f t="shared" si="7"/>
        <v>0</v>
      </c>
      <c r="R11" s="59">
        <f t="shared" si="8"/>
        <v>-3.1768000000000001</v>
      </c>
      <c r="S11" s="59">
        <f t="shared" si="9"/>
        <v>0</v>
      </c>
      <c r="T11" s="59">
        <f t="shared" si="10"/>
        <v>6.6876999999999995</v>
      </c>
      <c r="U11" s="14"/>
      <c r="V11" s="27" t="str">
        <f t="shared" si="11"/>
        <v>平衡</v>
      </c>
      <c r="W11" s="59">
        <f>'M1'!B9*1</f>
        <v>50.969000000000001</v>
      </c>
      <c r="X11" s="59">
        <f>'M1'!C9*1</f>
        <v>6.0789299999999997</v>
      </c>
      <c r="Y11" s="59">
        <f>'M1'!D9*1</f>
        <v>11.9267</v>
      </c>
      <c r="Z11" s="59">
        <f>'M1'!E9*1</f>
        <v>50</v>
      </c>
      <c r="AA11" s="59">
        <f>'M1'!F9*1</f>
        <v>38.138599999999997</v>
      </c>
      <c r="AB11" s="59">
        <f>'M1'!G9*1</f>
        <v>100</v>
      </c>
      <c r="AC11" s="59">
        <f>'M1'!H9*1</f>
        <v>59.2669</v>
      </c>
      <c r="AE11" s="27" t="str">
        <f t="shared" si="12"/>
        <v>平衡</v>
      </c>
      <c r="AF11" s="59">
        <f>'M2'!B9*1</f>
        <v>54.2134</v>
      </c>
      <c r="AG11" s="59">
        <f>'M2'!C9*1</f>
        <v>7.0590299999999999</v>
      </c>
      <c r="AH11" s="59">
        <f>'M2'!D9*1</f>
        <v>13.020799999999999</v>
      </c>
      <c r="AI11" s="59">
        <f>'M2'!E9*1</f>
        <v>50</v>
      </c>
      <c r="AJ11" s="59">
        <f>'M2'!F9*1</f>
        <v>34.961799999999997</v>
      </c>
      <c r="AK11" s="59">
        <f>'M2'!G9*1</f>
        <v>100</v>
      </c>
      <c r="AL11" s="59">
        <f>'M2'!H9*1</f>
        <v>65.954599999999999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11.917000000000002</v>
      </c>
      <c r="D12" s="51">
        <f>N13</f>
        <v>-1.3843999999999994</v>
      </c>
      <c r="E12" s="53">
        <f>T13</f>
        <v>-4.1135999999999981</v>
      </c>
      <c r="F12" s="53">
        <f>P13</f>
        <v>-14.82967</v>
      </c>
      <c r="G12" s="73" t="str">
        <f>CONCATENATE(M14,"
(50 ~ 100)")</f>
        <v>自我调节
(50 ~ 100)</v>
      </c>
      <c r="H12" s="24">
        <f>R14</f>
        <v>-4.1534000000000049</v>
      </c>
      <c r="I12" s="52">
        <f>N14</f>
        <v>-0.63049999999999784</v>
      </c>
      <c r="J12" s="24">
        <f>T14</f>
        <v>-3.0681000000000012</v>
      </c>
      <c r="K12" s="25">
        <f>P14</f>
        <v>0.78360999999999947</v>
      </c>
      <c r="L12" s="4"/>
      <c r="M12" s="27" t="str">
        <f>lang!B19</f>
        <v>自信</v>
      </c>
      <c r="N12" s="59">
        <f t="shared" si="4"/>
        <v>-4.575800000000001</v>
      </c>
      <c r="O12" s="59">
        <f t="shared" si="5"/>
        <v>-1.1486099999999997</v>
      </c>
      <c r="P12" s="59">
        <f t="shared" si="6"/>
        <v>-1.3428000000000002</v>
      </c>
      <c r="Q12" s="59">
        <f t="shared" si="7"/>
        <v>0</v>
      </c>
      <c r="R12" s="59">
        <f t="shared" si="8"/>
        <v>-4.6450999999999993</v>
      </c>
      <c r="S12" s="59">
        <f t="shared" si="9"/>
        <v>0</v>
      </c>
      <c r="T12" s="59">
        <f t="shared" si="10"/>
        <v>-8.4433000000000078</v>
      </c>
      <c r="U12" s="15"/>
      <c r="V12" s="27" t="str">
        <f t="shared" si="11"/>
        <v>自信</v>
      </c>
      <c r="W12" s="59">
        <f>'M1'!B10*1</f>
        <v>80.046999999999997</v>
      </c>
      <c r="X12" s="59">
        <f>'M1'!C10*1</f>
        <v>2.3647999999999998</v>
      </c>
      <c r="Y12" s="59">
        <f>'M1'!D10*1</f>
        <v>2.9542700000000002</v>
      </c>
      <c r="Z12" s="59">
        <f>'M1'!E10*1</f>
        <v>40</v>
      </c>
      <c r="AA12" s="59">
        <f>'M1'!F10*1</f>
        <v>77.294899999999998</v>
      </c>
      <c r="AB12" s="59">
        <f>'M1'!G10*1</f>
        <v>100</v>
      </c>
      <c r="AC12" s="59">
        <f>'M1'!H10*1</f>
        <v>86.026700000000005</v>
      </c>
      <c r="AE12" s="27" t="str">
        <f t="shared" si="12"/>
        <v>自信</v>
      </c>
      <c r="AF12" s="59">
        <f>'M2'!B10*1</f>
        <v>75.471199999999996</v>
      </c>
      <c r="AG12" s="59">
        <f>'M2'!C10*1</f>
        <v>1.2161900000000001</v>
      </c>
      <c r="AH12" s="59">
        <f>'M2'!D10*1</f>
        <v>1.61147</v>
      </c>
      <c r="AI12" s="59">
        <f>'M2'!E10*1</f>
        <v>40</v>
      </c>
      <c r="AJ12" s="59">
        <f>'M2'!F10*1</f>
        <v>72.649799999999999</v>
      </c>
      <c r="AK12" s="59">
        <f>'M2'!G10*1</f>
        <v>100</v>
      </c>
      <c r="AL12" s="59">
        <f>'M2'!H10*1</f>
        <v>77.583399999999997</v>
      </c>
    </row>
    <row r="13" spans="2:38" ht="25.5" customHeight="1" thickBot="1">
      <c r="B13" s="72" t="str">
        <f>CONCATENATE(M15,"
(10 ~ 25)")</f>
        <v>抑郁
(10 ~ 25)</v>
      </c>
      <c r="C13" s="54">
        <f>R15</f>
        <v>-0.68219999999999992</v>
      </c>
      <c r="D13" s="55">
        <f>N15</f>
        <v>-0.18379999999999797</v>
      </c>
      <c r="E13" s="56">
        <f>T15</f>
        <v>-3.2230999999999987</v>
      </c>
      <c r="F13" s="56">
        <f>P15</f>
        <v>-1.9710999999999999</v>
      </c>
      <c r="G13" s="74" t="str">
        <f>CONCATENATE(M16,"
(10 ~ 50)")</f>
        <v>神经质
(10 ~ 50)</v>
      </c>
      <c r="H13" s="54">
        <f>R16</f>
        <v>1.10033</v>
      </c>
      <c r="I13" s="55">
        <f>N16</f>
        <v>-3.9011999999999993</v>
      </c>
      <c r="J13" s="56">
        <f>T16</f>
        <v>-11.6174</v>
      </c>
      <c r="K13" s="57">
        <f>P16</f>
        <v>-2.1287999999999982</v>
      </c>
      <c r="M13" s="27" t="str">
        <f>lang!B20</f>
        <v>活力</v>
      </c>
      <c r="N13" s="59">
        <f t="shared" si="4"/>
        <v>-1.3843999999999994</v>
      </c>
      <c r="O13" s="59">
        <f t="shared" si="5"/>
        <v>-4.31447</v>
      </c>
      <c r="P13" s="59">
        <f t="shared" si="6"/>
        <v>-14.82967</v>
      </c>
      <c r="Q13" s="59">
        <f t="shared" si="7"/>
        <v>0</v>
      </c>
      <c r="R13" s="59">
        <f t="shared" si="8"/>
        <v>11.917000000000002</v>
      </c>
      <c r="S13" s="59">
        <f t="shared" si="9"/>
        <v>0</v>
      </c>
      <c r="T13" s="59">
        <f t="shared" si="10"/>
        <v>-4.1135999999999981</v>
      </c>
      <c r="U13" s="14"/>
      <c r="V13" s="27" t="str">
        <f t="shared" si="11"/>
        <v>活力</v>
      </c>
      <c r="W13" s="59">
        <f>'M1'!B11*1</f>
        <v>28.3171</v>
      </c>
      <c r="X13" s="59">
        <f>'M1'!C11*1</f>
        <v>6.5548200000000003</v>
      </c>
      <c r="Y13" s="59">
        <f>'M1'!D11*1</f>
        <v>23.148</v>
      </c>
      <c r="Z13" s="59">
        <f>'M1'!E11*1</f>
        <v>10</v>
      </c>
      <c r="AA13" s="59">
        <f>'M1'!F11*1</f>
        <v>11.408799999999999</v>
      </c>
      <c r="AB13" s="59">
        <f>'M1'!G11*1</f>
        <v>50</v>
      </c>
      <c r="AC13" s="59">
        <f>'M1'!H11*1</f>
        <v>36.016199999999998</v>
      </c>
      <c r="AE13" s="27" t="str">
        <f t="shared" si="12"/>
        <v>活力</v>
      </c>
      <c r="AF13" s="59">
        <f>'M2'!B11*1</f>
        <v>26.932700000000001</v>
      </c>
      <c r="AG13" s="59">
        <f>'M2'!C11*1</f>
        <v>2.2403499999999998</v>
      </c>
      <c r="AH13" s="59">
        <f>'M2'!D11*1</f>
        <v>8.3183299999999996</v>
      </c>
      <c r="AI13" s="59">
        <f>'M2'!E11*1</f>
        <v>10</v>
      </c>
      <c r="AJ13" s="59">
        <f>'M2'!F11*1</f>
        <v>23.325800000000001</v>
      </c>
      <c r="AK13" s="59">
        <f>'M2'!G11*1</f>
        <v>50</v>
      </c>
      <c r="AL13" s="59">
        <f>'M2'!H11*1</f>
        <v>31.9026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-0.63049999999999784</v>
      </c>
      <c r="O14" s="59">
        <f t="shared" si="5"/>
        <v>0.47887000000000013</v>
      </c>
      <c r="P14" s="59">
        <f t="shared" si="6"/>
        <v>0.78360999999999947</v>
      </c>
      <c r="Q14" s="59">
        <f t="shared" si="7"/>
        <v>0</v>
      </c>
      <c r="R14" s="59">
        <f t="shared" si="8"/>
        <v>-4.1534000000000049</v>
      </c>
      <c r="S14" s="59">
        <f t="shared" si="9"/>
        <v>0</v>
      </c>
      <c r="T14" s="59">
        <f t="shared" si="10"/>
        <v>-3.0681000000000012</v>
      </c>
      <c r="U14" s="14"/>
      <c r="V14" s="27" t="str">
        <f t="shared" si="11"/>
        <v>自我调节</v>
      </c>
      <c r="W14" s="59">
        <f>'M1'!B12*1</f>
        <v>65.384500000000003</v>
      </c>
      <c r="X14" s="59">
        <f>'M1'!C12*1</f>
        <v>2.9604499999999998</v>
      </c>
      <c r="Y14" s="59">
        <f>'M1'!D12*1</f>
        <v>4.5277500000000002</v>
      </c>
      <c r="Z14" s="59">
        <f>'M1'!E12*1</f>
        <v>50</v>
      </c>
      <c r="AA14" s="59">
        <f>'M1'!F12*1</f>
        <v>58.884500000000003</v>
      </c>
      <c r="AB14" s="59">
        <f>'M1'!G12*1</f>
        <v>100</v>
      </c>
      <c r="AC14" s="59">
        <f>'M1'!H12*1</f>
        <v>72.4893</v>
      </c>
      <c r="AE14" s="27" t="str">
        <f t="shared" si="12"/>
        <v>自我调节</v>
      </c>
      <c r="AF14" s="59">
        <f>'M2'!B12*1</f>
        <v>64.754000000000005</v>
      </c>
      <c r="AG14" s="59">
        <f>'M2'!C12*1</f>
        <v>3.4393199999999999</v>
      </c>
      <c r="AH14" s="59">
        <f>'M2'!D12*1</f>
        <v>5.3113599999999996</v>
      </c>
      <c r="AI14" s="59">
        <f>'M2'!E12*1</f>
        <v>50</v>
      </c>
      <c r="AJ14" s="59">
        <f>'M2'!F12*1</f>
        <v>54.731099999999998</v>
      </c>
      <c r="AK14" s="59">
        <f>'M2'!G12*1</f>
        <v>100</v>
      </c>
      <c r="AL14" s="59">
        <f>'M2'!H12*1</f>
        <v>69.421199999999999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-0.18379999999999797</v>
      </c>
      <c r="O15" s="59">
        <f t="shared" si="5"/>
        <v>-0.39012000000000002</v>
      </c>
      <c r="P15" s="59">
        <f t="shared" si="6"/>
        <v>-1.9710999999999999</v>
      </c>
      <c r="Q15" s="59">
        <f t="shared" si="7"/>
        <v>0</v>
      </c>
      <c r="R15" s="59">
        <f t="shared" si="8"/>
        <v>-0.68219999999999992</v>
      </c>
      <c r="S15" s="59">
        <f t="shared" si="9"/>
        <v>0</v>
      </c>
      <c r="T15" s="59">
        <f t="shared" si="10"/>
        <v>-3.2230999999999987</v>
      </c>
      <c r="U15" s="14"/>
      <c r="V15" s="27" t="str">
        <f t="shared" si="11"/>
        <v>抑郁</v>
      </c>
      <c r="W15" s="59">
        <f>'M1'!B13*1</f>
        <v>18.5215</v>
      </c>
      <c r="X15" s="59">
        <f>'M1'!C13*1</f>
        <v>2.88733</v>
      </c>
      <c r="Y15" s="59">
        <f>'M1'!D13*1</f>
        <v>15.589</v>
      </c>
      <c r="Z15" s="59">
        <f>'M1'!E13*1</f>
        <v>10</v>
      </c>
      <c r="AA15" s="59">
        <f>'M1'!F13*1</f>
        <v>14.7636</v>
      </c>
      <c r="AB15" s="59">
        <f>'M1'!G13*1</f>
        <v>25</v>
      </c>
      <c r="AC15" s="59">
        <f>'M1'!H13*1</f>
        <v>27.545999999999999</v>
      </c>
      <c r="AE15" s="27" t="str">
        <f t="shared" si="12"/>
        <v>抑郁</v>
      </c>
      <c r="AF15" s="59">
        <f>'M2'!B13*1</f>
        <v>18.337700000000002</v>
      </c>
      <c r="AG15" s="59">
        <f>'M2'!C13*1</f>
        <v>2.4972099999999999</v>
      </c>
      <c r="AH15" s="59">
        <f>'M2'!D13*1</f>
        <v>13.617900000000001</v>
      </c>
      <c r="AI15" s="59">
        <f>'M2'!E13*1</f>
        <v>10</v>
      </c>
      <c r="AJ15" s="59">
        <f>'M2'!F13*1</f>
        <v>14.0814</v>
      </c>
      <c r="AK15" s="59">
        <f>'M2'!G13*1</f>
        <v>25</v>
      </c>
      <c r="AL15" s="59">
        <f>'M2'!H13*1</f>
        <v>24.322900000000001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-3.9011999999999993</v>
      </c>
      <c r="O16" s="59">
        <f t="shared" si="5"/>
        <v>-1.9716300000000011</v>
      </c>
      <c r="P16" s="59">
        <f t="shared" si="6"/>
        <v>-2.1287999999999982</v>
      </c>
      <c r="Q16" s="59">
        <f t="shared" si="7"/>
        <v>0</v>
      </c>
      <c r="R16" s="59">
        <f t="shared" si="8"/>
        <v>1.10033</v>
      </c>
      <c r="S16" s="59">
        <f t="shared" si="9"/>
        <v>0</v>
      </c>
      <c r="T16" s="59">
        <f t="shared" si="10"/>
        <v>-11.6174</v>
      </c>
      <c r="U16" s="15"/>
      <c r="V16" s="27" t="str">
        <f t="shared" si="11"/>
        <v>神经质</v>
      </c>
      <c r="W16" s="59">
        <f>'M1'!B14*1</f>
        <v>28.8733</v>
      </c>
      <c r="X16" s="59">
        <f>'M1'!C14*1</f>
        <v>10.658200000000001</v>
      </c>
      <c r="Y16" s="59">
        <f>'M1'!D14*1</f>
        <v>36.913899999999998</v>
      </c>
      <c r="Z16" s="59">
        <f>'M1'!E14*1</f>
        <v>10</v>
      </c>
      <c r="AA16" s="59">
        <f>'M1'!F14*1</f>
        <v>2.0630500000000001</v>
      </c>
      <c r="AB16" s="59">
        <f>'M1'!G14*1</f>
        <v>50</v>
      </c>
      <c r="AC16" s="59">
        <f>'M1'!H14*1</f>
        <v>40.419499999999999</v>
      </c>
      <c r="AE16" s="27" t="str">
        <f t="shared" si="12"/>
        <v>神经质</v>
      </c>
      <c r="AF16" s="59">
        <f>'M2'!B14*1</f>
        <v>24.972100000000001</v>
      </c>
      <c r="AG16" s="59">
        <f>'M2'!C14*1</f>
        <v>8.6865699999999997</v>
      </c>
      <c r="AH16" s="59">
        <f>'M2'!D14*1</f>
        <v>34.7851</v>
      </c>
      <c r="AI16" s="59">
        <f>'M2'!E14*1</f>
        <v>10</v>
      </c>
      <c r="AJ16" s="59">
        <f>'M2'!F14*1</f>
        <v>3.1633800000000001</v>
      </c>
      <c r="AK16" s="59">
        <f>'M2'!G14*1</f>
        <v>50</v>
      </c>
      <c r="AL16" s="59">
        <f>'M2'!H14*1</f>
        <v>28.802099999999999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-0.83657499999999985</v>
      </c>
      <c r="O17" s="22">
        <f>N17/(N17+N18+N19)</f>
        <v>0.25647058823529417</v>
      </c>
      <c r="P17" s="65">
        <f>SUM(P11:P14)/4</f>
        <v>-3.5736900000000005</v>
      </c>
      <c r="Q17" s="22">
        <f>P17/(P17+P18+P19)</f>
        <v>0.26600890619097511</v>
      </c>
      <c r="R17" s="14"/>
      <c r="S17" s="14"/>
      <c r="T17" s="14"/>
      <c r="U17" s="14"/>
      <c r="V17" s="21" t="str">
        <f>M17</f>
        <v>Positive</v>
      </c>
      <c r="W17" s="65">
        <f>SUM(W11:W14)/4</f>
        <v>56.179400000000001</v>
      </c>
      <c r="X17" s="22">
        <f>W17/(W17+W18+W19)</f>
        <v>0.50474699039820448</v>
      </c>
      <c r="Y17" s="65">
        <f>SUM(Y11:Y14)/4</f>
        <v>10.63918</v>
      </c>
      <c r="Z17" s="22">
        <f>Y17/(Y17+Y18+Y19)</f>
        <v>0.19460374713336329</v>
      </c>
      <c r="AA17" s="14"/>
      <c r="AB17" s="14"/>
      <c r="AC17" s="14"/>
      <c r="AE17" s="21" t="str">
        <f>V17</f>
        <v>Positive</v>
      </c>
      <c r="AF17" s="65">
        <f>SUM(AF11:AF14)/4</f>
        <v>55.342825000000005</v>
      </c>
      <c r="AG17" s="22">
        <f>AF17/(AF17+AF18+AF19)</f>
        <v>0.51224277809491792</v>
      </c>
      <c r="AH17" s="65">
        <f>SUM(AH11:AH14)/4</f>
        <v>7.0654900000000005</v>
      </c>
      <c r="AI17" s="22">
        <f>AH17/(AH17+AH18+AH19)</f>
        <v>0.17134060847888039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-0.38280000000000047</v>
      </c>
      <c r="O18" s="22">
        <f>N18/(N17+N18+N19)</f>
        <v>0.11735581529028567</v>
      </c>
      <c r="P18" s="18">
        <f>SUM(P7:P10)/4</f>
        <v>-7.8108349999999991</v>
      </c>
      <c r="Q18" s="22">
        <f>P18/(P17+P18+P19)</f>
        <v>0.58140232498850897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31.425300000000004</v>
      </c>
      <c r="X18" s="22">
        <f>W18/(W17+W18+W19)</f>
        <v>0.28234238168013004</v>
      </c>
      <c r="Y18" s="18">
        <f>SUM(Y7:Y10)/4</f>
        <v>17.780362499999999</v>
      </c>
      <c r="Z18" s="22">
        <f>Y18/(Y17+Y18+Y19)</f>
        <v>0.32522479814135441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31.0425</v>
      </c>
      <c r="AG18" s="22">
        <f>AF18/(AF17+AF18+AF19)</f>
        <v>0.28732354083860895</v>
      </c>
      <c r="AH18" s="18">
        <f>SUM(AH7:AH10)/4</f>
        <v>9.9695274999999999</v>
      </c>
      <c r="AI18" s="22">
        <f>AH18/(AH17+AH18+AH19)</f>
        <v>0.24176453552364111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-2.0424999999999986</v>
      </c>
      <c r="O19" s="22">
        <f>N19/(N17+N18+N19)</f>
        <v>0.62617359647442017</v>
      </c>
      <c r="P19" s="18">
        <f>(P15+P16)/2</f>
        <v>-2.0499499999999991</v>
      </c>
      <c r="Q19" s="22">
        <f>P19/(P17+P18+P19)</f>
        <v>0.15258876882051581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23.697400000000002</v>
      </c>
      <c r="X19" s="22">
        <f>W19/(W17+W18+W19)</f>
        <v>0.21291062792166546</v>
      </c>
      <c r="Y19" s="18">
        <f>(Y15+Y16)/2</f>
        <v>26.251449999999998</v>
      </c>
      <c r="Z19" s="22">
        <f>Y19/(Y17+Y18+Y19)</f>
        <v>0.48017145472528233</v>
      </c>
      <c r="AA19" s="14"/>
      <c r="AB19" s="14"/>
      <c r="AC19" s="14"/>
      <c r="AE19" s="21" t="str">
        <f t="shared" si="14"/>
        <v>Physiological</v>
      </c>
      <c r="AF19" s="18">
        <f>(AF15+AF16)/2</f>
        <v>21.654900000000001</v>
      </c>
      <c r="AG19" s="22">
        <f>AF19/(AF17+AF18+AF19)</f>
        <v>0.20043368106647316</v>
      </c>
      <c r="AH19" s="18">
        <f>(AH15+AH16)/2</f>
        <v>24.201499999999999</v>
      </c>
      <c r="AI19" s="22">
        <f>AH19/(AH17+AH18+AH19)</f>
        <v>0.58689485599747837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1.86/1.85</v>
      </c>
      <c r="D24" s="44" t="str">
        <f>lang!B11</f>
        <v>频率方差</v>
      </c>
      <c r="E24" s="142" t="str">
        <f ca="1">CONCATENATE(ROUND('FH1'!L3,2),"/",ROUND('FH2'!L3,2))</f>
        <v>0.61/0.52</v>
      </c>
      <c r="F24" s="143"/>
      <c r="G24" s="134" t="str">
        <f>lang!B12</f>
        <v>生理变化率</v>
      </c>
      <c r="H24" s="135"/>
      <c r="I24" s="62" t="str">
        <f ca="1">CONCATENATE(info!M7,"-",info!M8)</f>
        <v>39.6-53.4</v>
      </c>
      <c r="J24" s="42" t="str">
        <f>lang!B13</f>
        <v>千卡l/分钟</v>
      </c>
      <c r="K24" s="41" t="str">
        <f ca="1">CONCATENATE(info!M5,"-",info!M6)</f>
        <v>2.7-4.4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-5.391900000000005</v>
      </c>
      <c r="F27" s="164"/>
      <c r="G27" s="178" t="str">
        <f>lang!B33</f>
        <v>稳定性</v>
      </c>
      <c r="H27" s="179"/>
      <c r="I27" s="180"/>
      <c r="J27" s="181">
        <f>dM!B19*100</f>
        <v>-4.012500000000002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-0.69527918109111653</v>
      </c>
      <c r="C2">
        <f t="array" aca="1" ref="C2" ca="1">CORREL(FT_E02,FT_PH02)</f>
        <v>-0.88922963905790287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2.6637200000000001</v>
      </c>
      <c r="G2" s="61">
        <f>IF(FT!B2&lt;&gt;"",FT!B2*100,"")</f>
        <v>51.709799999999994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2.7526999999999999</v>
      </c>
      <c r="G3" s="61">
        <f>IF(FT!B3&lt;&gt;"",FT!B3*100,"")</f>
        <v>50.626400000000004</v>
      </c>
      <c r="H3" s="61">
        <f t="shared" ref="H3:H66" si="1">(IF(F3&lt;&gt;"",1,""))</f>
        <v>1</v>
      </c>
      <c r="I3" t="str">
        <f>IF(FT!B3&lt;&gt;"",FT!E3,"")</f>
        <v>1 [0.409498]</v>
      </c>
      <c r="J3">
        <f>IF(FT!B3&lt;&gt;"",FT!C3,"")</f>
        <v>0.40949799999999997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0.46713351351351334</v>
      </c>
      <c r="V3">
        <f ca="1">AVERAGE(OFFSET(FT!B2,info!$L$3/2,0,info!$L$3/2,1))</f>
        <v>0.46571177027027</v>
      </c>
      <c r="W3">
        <f ca="1">AVERAGE(OFFSET(FT!A2,0,0,info!$L$3/2,1))</f>
        <v>0.38214206756756758</v>
      </c>
      <c r="X3">
        <f ca="1">AVERAGE(OFFSET(FT!A2,info!$L$3/2,0,info!$L$3/2,1))</f>
        <v>0.38427847297297307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2.84049</v>
      </c>
      <c r="G4" s="61">
        <f>IF(FT!B4&lt;&gt;"",FT!B4*100,"")</f>
        <v>49.800699999999999</v>
      </c>
      <c r="H4" s="61">
        <f t="shared" si="1"/>
        <v>1</v>
      </c>
      <c r="I4" t="str">
        <f>IF(FT!B4&lt;&gt;"",FT!E4,"")</f>
        <v>1 [0.816440]</v>
      </c>
      <c r="J4">
        <f>IF(FT!B4&lt;&gt;"",FT!C4,"")</f>
        <v>0.81644000000000005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14.942024999999999</v>
      </c>
      <c r="V4">
        <f>U4*3</f>
        <v>44.826074999999996</v>
      </c>
      <c r="W4">
        <f>U4</f>
        <v>14.942024999999999</v>
      </c>
      <c r="X4">
        <f>V4</f>
        <v>44.826074999999996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2.92591</v>
      </c>
      <c r="G5" s="61">
        <f>IF(FT!B5&lt;&gt;"",FT!B5*100,"")</f>
        <v>49.274499999999996</v>
      </c>
      <c r="H5" s="61">
        <f t="shared" si="1"/>
        <v>1</v>
      </c>
      <c r="I5" t="str">
        <f>IF(FT!B5&lt;&gt;"",FT!E5,"")</f>
        <v>1 [1.221949]</v>
      </c>
      <c r="J5">
        <f>IF(FT!B5&lt;&gt;"",FT!C5,"")</f>
        <v>1.2219500000000001</v>
      </c>
      <c r="K5" t="s">
        <v>53</v>
      </c>
      <c r="L5" s="63">
        <f ca="1">MIN(FT_E)</f>
        <v>2.6637200000000001</v>
      </c>
      <c r="M5" s="63">
        <f ca="1">ROUND(L5,1)</f>
        <v>2.7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46.713351351351335</v>
      </c>
      <c r="V5">
        <f ca="1">V3*100</f>
        <v>46.571177027026998</v>
      </c>
      <c r="W5">
        <f ca="1">W3*10</f>
        <v>3.8214206756756757</v>
      </c>
      <c r="X5">
        <f ca="1">X3*10</f>
        <v>3.8427847297297308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3.01118</v>
      </c>
      <c r="G6" s="61">
        <f>IF(FT!B6&lt;&gt;"",FT!B6*100,"")</f>
        <v>48.868099999999998</v>
      </c>
      <c r="H6" s="61">
        <f t="shared" si="1"/>
        <v>1</v>
      </c>
      <c r="I6" t="str">
        <f>IF(FT!B6&lt;&gt;"",FT!E6,"")</f>
        <v>1 [1.627258]</v>
      </c>
      <c r="J6">
        <f>IF(FT!B6&lt;&gt;"",FT!C6,"")</f>
        <v>1.6272599999999999</v>
      </c>
      <c r="K6" t="s">
        <v>54</v>
      </c>
      <c r="L6" s="63">
        <f ca="1">MAX(FT_E)</f>
        <v>4.37087</v>
      </c>
      <c r="M6" s="63">
        <f ca="1">ROUND(L6,1)</f>
        <v>4.4000000000000004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3.09558</v>
      </c>
      <c r="G7" s="61">
        <f>IF(FT!B7&lt;&gt;"",FT!B7*100,"")</f>
        <v>48.553600000000003</v>
      </c>
      <c r="H7" s="61">
        <f t="shared" si="1"/>
        <v>1</v>
      </c>
      <c r="I7" t="str">
        <f>IF(FT!B7&lt;&gt;"",FT!E7,"")</f>
        <v>1 [2.031637]</v>
      </c>
      <c r="J7">
        <f>IF(FT!B7&lt;&gt;"",FT!C7,"")</f>
        <v>2.0316399999999999</v>
      </c>
      <c r="K7" t="s">
        <v>55</v>
      </c>
      <c r="L7" s="63">
        <f ca="1">MIN(FT_PH)</f>
        <v>39.570799999999998</v>
      </c>
      <c r="M7" s="63">
        <f ca="1">ROUND(L7,1)</f>
        <v>39.6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4732</v>
      </c>
      <c r="D8" s="61">
        <f>FH!B8*1</f>
        <v>4732</v>
      </c>
      <c r="E8">
        <f t="shared" si="3"/>
        <v>6</v>
      </c>
      <c r="F8" s="61">
        <f>IF(FT!A8&lt;&gt;"",FT!A8*10,"")</f>
        <v>3.1823899999999998</v>
      </c>
      <c r="G8" s="61">
        <f>IF(FT!B8&lt;&gt;"",FT!B8*100,"")</f>
        <v>47.991599999999998</v>
      </c>
      <c r="H8" s="61">
        <f t="shared" si="1"/>
        <v>1</v>
      </c>
      <c r="I8" t="str">
        <f>IF(FT!B8&lt;&gt;"",FT!E8,"")</f>
        <v>1 [2.440934]</v>
      </c>
      <c r="J8">
        <f>IF(FT!B8&lt;&gt;"",FT!C8,"")</f>
        <v>2.4409299999999998</v>
      </c>
      <c r="K8" t="s">
        <v>56</v>
      </c>
      <c r="L8" s="63">
        <f ca="1">MAX(FT_PH)</f>
        <v>53.441099999999999</v>
      </c>
      <c r="M8" s="63">
        <f ca="1">ROUND(L8,1)</f>
        <v>53.4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3.2720500000000001</v>
      </c>
      <c r="G9" s="61">
        <f>IF(FT!B9&lt;&gt;"",FT!B9*100,"")</f>
        <v>47.230899999999998</v>
      </c>
      <c r="H9" s="61">
        <f t="shared" si="1"/>
        <v>1</v>
      </c>
      <c r="I9" t="str">
        <f>IF(FT!B9&lt;&gt;"",FT!E9,"")</f>
        <v>1 [2.847924]</v>
      </c>
      <c r="J9">
        <f>IF(FT!B9&lt;&gt;"",FT!C9,"")</f>
        <v>2.8479199999999998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6239</v>
      </c>
      <c r="D10" s="61">
        <f>FH!B10*1</f>
        <v>6239</v>
      </c>
      <c r="E10">
        <f t="shared" si="3"/>
        <v>8</v>
      </c>
      <c r="F10" s="61">
        <f>IF(FT!A10&lt;&gt;"",FT!A10*10,"")</f>
        <v>3.3650799999999998</v>
      </c>
      <c r="G10" s="61">
        <f>IF(FT!B10&lt;&gt;"",FT!B10*100,"")</f>
        <v>46.341999999999999</v>
      </c>
      <c r="H10" s="61">
        <f t="shared" si="1"/>
        <v>1</v>
      </c>
      <c r="I10" t="str">
        <f>IF(FT!B10&lt;&gt;"",FT!E10,"")</f>
        <v>1 [3.252149]</v>
      </c>
      <c r="J10">
        <f>IF(FT!B10&lt;&gt;"",FT!C10,"")</f>
        <v>3.2521499999999999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3.4586800000000002</v>
      </c>
      <c r="G11" s="61">
        <f>IF(FT!B11&lt;&gt;"",FT!B11*100,"")</f>
        <v>45.293599999999998</v>
      </c>
      <c r="H11" s="61">
        <f t="shared" si="1"/>
        <v>1</v>
      </c>
      <c r="I11" t="str">
        <f>IF(FT!B11&lt;&gt;"",FT!E11,"")</f>
        <v>1 [3.657782]</v>
      </c>
      <c r="J11">
        <f>IF(FT!B11&lt;&gt;"",FT!C11,"")</f>
        <v>3.6577799999999998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3.5542600000000002</v>
      </c>
      <c r="G12" s="61">
        <f>IF(FT!B12&lt;&gt;"",FT!B12*100,"")</f>
        <v>44.075699999999998</v>
      </c>
      <c r="H12" s="61">
        <f t="shared" si="1"/>
        <v>1</v>
      </c>
      <c r="I12" t="str">
        <f>IF(FT!B12&lt;&gt;"",FT!E12,"")</f>
        <v>1 [4.063017]</v>
      </c>
      <c r="J12">
        <f>IF(FT!B12&lt;&gt;"",FT!C12,"")</f>
        <v>4.0630199999999999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10346</v>
      </c>
      <c r="D13" s="61">
        <f>FH!B13*1</f>
        <v>10346</v>
      </c>
      <c r="E13">
        <f t="shared" si="3"/>
        <v>11</v>
      </c>
      <c r="F13" s="61">
        <f>IF(FT!A13&lt;&gt;"",FT!A13*10,"")</f>
        <v>3.64567</v>
      </c>
      <c r="G13" s="61">
        <f>IF(FT!B13&lt;&gt;"",FT!B13*100,"")</f>
        <v>42.971599999999995</v>
      </c>
      <c r="H13" s="61">
        <f t="shared" si="1"/>
        <v>1</v>
      </c>
      <c r="I13" t="str">
        <f>IF(FT!B13&lt;&gt;"",FT!E13,"")</f>
        <v>1 [4.471537]</v>
      </c>
      <c r="J13">
        <f>IF(FT!B13&lt;&gt;"",FT!C13,"")</f>
        <v>4.4715400000000001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3.73291</v>
      </c>
      <c r="G14" s="61">
        <f>IF(FT!B14&lt;&gt;"",FT!B14*100,"")</f>
        <v>42.0291</v>
      </c>
      <c r="H14" s="61">
        <f t="shared" si="1"/>
        <v>1</v>
      </c>
      <c r="I14" t="str">
        <f>IF(FT!B14&lt;&gt;"",FT!E14,"")</f>
        <v>1 [4.879462]</v>
      </c>
      <c r="J14">
        <f>IF(FT!B14&lt;&gt;"",FT!C14,"")</f>
        <v>4.8794599999999999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16174</v>
      </c>
      <c r="D15" s="61">
        <f>FH!B15*1</f>
        <v>16174</v>
      </c>
      <c r="E15">
        <f t="shared" si="3"/>
        <v>13</v>
      </c>
      <c r="F15" s="61">
        <f>IF(FT!A15&lt;&gt;"",FT!A15*10,"")</f>
        <v>3.8202699999999998</v>
      </c>
      <c r="G15" s="61">
        <f>IF(FT!B15&lt;&gt;"",FT!B15*100,"")</f>
        <v>41.2166</v>
      </c>
      <c r="H15" s="61">
        <f t="shared" si="1"/>
        <v>1</v>
      </c>
      <c r="I15" t="str">
        <f>IF(FT!B15&lt;&gt;"",FT!E15,"")</f>
        <v>1 [5.285252]</v>
      </c>
      <c r="J15">
        <f>IF(FT!B15&lt;&gt;"",FT!C15,"")</f>
        <v>5.2852499999999996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3.9090999999999996</v>
      </c>
      <c r="G16" s="61">
        <f>IF(FT!B16&lt;&gt;"",FT!B16*100,"")</f>
        <v>40.433099999999996</v>
      </c>
      <c r="H16" s="61">
        <f t="shared" si="1"/>
        <v>1</v>
      </c>
      <c r="I16" t="str">
        <f>IF(FT!B16&lt;&gt;"",FT!E16,"")</f>
        <v>1 [5.688752]</v>
      </c>
      <c r="J16">
        <f>IF(FT!B16&lt;&gt;"",FT!C16,"")</f>
        <v>5.6887499999999998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3.9889599999999996</v>
      </c>
      <c r="G17" s="61">
        <f>IF(FT!B17&lt;&gt;"",FT!B17*100,"")</f>
        <v>39.8765</v>
      </c>
      <c r="H17" s="61">
        <f t="shared" si="1"/>
        <v>1</v>
      </c>
      <c r="I17" t="str">
        <f>IF(FT!B17&lt;&gt;"",FT!E17,"")</f>
        <v>1 [6.095571]</v>
      </c>
      <c r="J17">
        <f>IF(FT!B17&lt;&gt;"",FT!C17,"")</f>
        <v>6.0955700000000004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19959</v>
      </c>
      <c r="D18" s="61">
        <f>FH!B18*1</f>
        <v>19959</v>
      </c>
      <c r="E18">
        <f t="shared" si="3"/>
        <v>16</v>
      </c>
      <c r="F18" s="61">
        <f>IF(FT!A18&lt;&gt;"",FT!A18*10,"")</f>
        <v>4.0594700000000001</v>
      </c>
      <c r="G18" s="61">
        <f>IF(FT!B18&lt;&gt;"",FT!B18*100,"")</f>
        <v>39.630200000000002</v>
      </c>
      <c r="H18" s="61">
        <f t="shared" si="1"/>
        <v>1</v>
      </c>
      <c r="I18" t="str">
        <f>IF(FT!B18&lt;&gt;"",FT!E18,"")</f>
        <v>1 [6.505764]</v>
      </c>
      <c r="J18">
        <f>IF(FT!B18&lt;&gt;"",FT!C18,"")</f>
        <v>6.5057600000000004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4.1210599999999999</v>
      </c>
      <c r="G19" s="61">
        <f>IF(FT!B19&lt;&gt;"",FT!B19*100,"")</f>
        <v>39.570799999999998</v>
      </c>
      <c r="H19" s="61">
        <f t="shared" si="1"/>
        <v>1</v>
      </c>
      <c r="I19" t="str">
        <f>IF(FT!B19&lt;&gt;"",FT!E19,"")</f>
        <v>1 [6.909975]</v>
      </c>
      <c r="J19">
        <f>IF(FT!B19&lt;&gt;"",FT!C19,"")</f>
        <v>6.9099700000000004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4.1763000000000003</v>
      </c>
      <c r="G20" s="61">
        <f>IF(FT!B20&lt;&gt;"",FT!B20*100,"")</f>
        <v>39.599600000000002</v>
      </c>
      <c r="H20" s="61">
        <f t="shared" si="1"/>
        <v>1</v>
      </c>
      <c r="I20" t="str">
        <f>IF(FT!B20&lt;&gt;"",FT!E20,"")</f>
        <v>1 [7.315588]</v>
      </c>
      <c r="J20">
        <f>IF(FT!B20&lt;&gt;"",FT!C20,"")</f>
        <v>7.3155900000000003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24229</v>
      </c>
      <c r="D21" s="61">
        <f>FH!B21*1</f>
        <v>24229</v>
      </c>
      <c r="E21">
        <f t="shared" si="3"/>
        <v>19</v>
      </c>
      <c r="F21" s="61">
        <f>IF(FT!A21&lt;&gt;"",FT!A21*10,"")</f>
        <v>4.2244399999999995</v>
      </c>
      <c r="G21" s="61">
        <f>IF(FT!B21&lt;&gt;"",FT!B21*100,"")</f>
        <v>39.668799999999997</v>
      </c>
      <c r="H21" s="61">
        <f t="shared" si="1"/>
        <v>1</v>
      </c>
      <c r="I21" t="str">
        <f>IF(FT!B21&lt;&gt;"",FT!E21,"")</f>
        <v>1 [7.720706]</v>
      </c>
      <c r="J21">
        <f>IF(FT!B21&lt;&gt;"",FT!C21,"")</f>
        <v>7.7207100000000004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4.2656400000000003</v>
      </c>
      <c r="G22" s="61">
        <f>IF(FT!B22&lt;&gt;"",FT!B22*100,"")</f>
        <v>39.912500000000001</v>
      </c>
      <c r="H22" s="61">
        <f t="shared" si="1"/>
        <v>1</v>
      </c>
      <c r="I22" t="str">
        <f>IF(FT!B22&lt;&gt;"",FT!E22,"")</f>
        <v>1 [8.127659]</v>
      </c>
      <c r="J22">
        <f>IF(FT!B22&lt;&gt;"",FT!C22,"")</f>
        <v>8.1276600000000006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28191</v>
      </c>
      <c r="D23" s="61">
        <f>FH!B23*1</f>
        <v>28191</v>
      </c>
      <c r="E23">
        <f t="shared" si="3"/>
        <v>21</v>
      </c>
      <c r="F23" s="61">
        <f>IF(FT!A23&lt;&gt;"",FT!A23*10,"")</f>
        <v>4.3013700000000004</v>
      </c>
      <c r="G23" s="61">
        <f>IF(FT!B23&lt;&gt;"",FT!B23*100,"")</f>
        <v>40.273199999999996</v>
      </c>
      <c r="H23" s="61">
        <f t="shared" si="1"/>
        <v>1</v>
      </c>
      <c r="I23" t="str">
        <f>IF(FT!B23&lt;&gt;"",FT!E23,"")</f>
        <v>1 [8.533581]</v>
      </c>
      <c r="J23">
        <f>IF(FT!B23&lt;&gt;"",FT!C23,"")</f>
        <v>8.5335800000000006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4.3306399999999998</v>
      </c>
      <c r="G24" s="61">
        <f>IF(FT!B24&lt;&gt;"",FT!B24*100,"")</f>
        <v>40.705100000000002</v>
      </c>
      <c r="H24" s="61">
        <f t="shared" si="1"/>
        <v>1</v>
      </c>
      <c r="I24" t="str">
        <f>IF(FT!B24&lt;&gt;"",FT!E24,"")</f>
        <v>1 [8.940150]</v>
      </c>
      <c r="J24">
        <f>IF(FT!B24&lt;&gt;"",FT!C24,"")</f>
        <v>8.9401499999999992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4.3511100000000003</v>
      </c>
      <c r="G25" s="61">
        <f>IF(FT!B25&lt;&gt;"",FT!B25*100,"")</f>
        <v>41.1173</v>
      </c>
      <c r="H25" s="61">
        <f t="shared" si="1"/>
        <v>1</v>
      </c>
      <c r="I25" t="str">
        <f>IF(FT!B25&lt;&gt;"",FT!E25,"")</f>
        <v>1 [9.349759]</v>
      </c>
      <c r="J25">
        <f>IF(FT!B25&lt;&gt;"",FT!C25,"")</f>
        <v>9.3497599999999998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36726</v>
      </c>
      <c r="D26" s="61">
        <f>FH!B26*1</f>
        <v>36726</v>
      </c>
      <c r="E26">
        <f t="shared" si="3"/>
        <v>24</v>
      </c>
      <c r="F26" s="61">
        <f>IF(FT!A26&lt;&gt;"",FT!A26*10,"")</f>
        <v>4.3663299999999996</v>
      </c>
      <c r="G26" s="61">
        <f>IF(FT!B26&lt;&gt;"",FT!B26*100,"")</f>
        <v>41.4709</v>
      </c>
      <c r="H26" s="61">
        <f t="shared" si="1"/>
        <v>1</v>
      </c>
      <c r="I26" t="str">
        <f>IF(FT!B26&lt;&gt;"",FT!E26,"")</f>
        <v>1 [9.750893]</v>
      </c>
      <c r="J26">
        <f>IF(FT!B26&lt;&gt;"",FT!C26,"")</f>
        <v>9.7508900000000001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4.37087</v>
      </c>
      <c r="G27" s="61">
        <f>IF(FT!B27&lt;&gt;"",FT!B27*100,"")</f>
        <v>41.675800000000002</v>
      </c>
      <c r="H27" s="61">
        <f t="shared" si="1"/>
        <v>1</v>
      </c>
      <c r="I27" t="str">
        <f>IF(FT!B27&lt;&gt;"",FT!E27,"")</f>
        <v>1 [10.160776]</v>
      </c>
      <c r="J27">
        <f>IF(FT!B27&lt;&gt;"",FT!C27,"")</f>
        <v>10.1608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46841</v>
      </c>
      <c r="D28" s="61">
        <f>FH!B28*1</f>
        <v>46841</v>
      </c>
      <c r="E28">
        <f t="shared" si="3"/>
        <v>26</v>
      </c>
      <c r="F28" s="61">
        <f>IF(FT!A28&lt;&gt;"",FT!A28*10,"")</f>
        <v>4.3691200000000006</v>
      </c>
      <c r="G28" s="61">
        <f>IF(FT!B28&lt;&gt;"",FT!B28*100,"")</f>
        <v>41.769600000000004</v>
      </c>
      <c r="H28" s="61">
        <f t="shared" si="1"/>
        <v>1</v>
      </c>
      <c r="I28" t="str">
        <f>IF(FT!B28&lt;&gt;"",FT!E28,"")</f>
        <v>1 [10.565633]</v>
      </c>
      <c r="J28">
        <f>IF(FT!B28&lt;&gt;"",FT!C28,"")</f>
        <v>10.5656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4.3666</v>
      </c>
      <c r="G29" s="61">
        <f>IF(FT!B29&lt;&gt;"",FT!B29*100,"")</f>
        <v>41.852499999999999</v>
      </c>
      <c r="H29" s="61">
        <f t="shared" si="1"/>
        <v>1</v>
      </c>
      <c r="I29" t="str">
        <f>IF(FT!B29&lt;&gt;"",FT!E29,"")</f>
        <v>1 [10.969935]</v>
      </c>
      <c r="J29">
        <f>IF(FT!B29&lt;&gt;"",FT!C29,"")</f>
        <v>10.969900000000001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4.3661799999999999</v>
      </c>
      <c r="G30" s="61">
        <f>IF(FT!B30&lt;&gt;"",FT!B30*100,"")</f>
        <v>41.974400000000003</v>
      </c>
      <c r="H30" s="61">
        <f t="shared" si="1"/>
        <v>1</v>
      </c>
      <c r="I30" t="str">
        <f>IF(FT!B30&lt;&gt;"",FT!E30,"")</f>
        <v>1 [11.377925]</v>
      </c>
      <c r="J30">
        <f>IF(FT!B30&lt;&gt;"",FT!C30,"")</f>
        <v>11.3779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60990</v>
      </c>
      <c r="D31" s="61">
        <f>FH!B31*1</f>
        <v>60990</v>
      </c>
      <c r="E31">
        <f t="shared" si="3"/>
        <v>29</v>
      </c>
      <c r="F31" s="61">
        <f>IF(FT!A31&lt;&gt;"",FT!A31*10,"")</f>
        <v>4.3674600000000003</v>
      </c>
      <c r="G31" s="61">
        <f>IF(FT!B31&lt;&gt;"",FT!B31*100,"")</f>
        <v>42.113599999999998</v>
      </c>
      <c r="H31" s="61">
        <f t="shared" si="1"/>
        <v>1</v>
      </c>
      <c r="I31" t="str">
        <f>IF(FT!B31&lt;&gt;"",FT!E31,"")</f>
        <v>1 [11.784006]</v>
      </c>
      <c r="J31">
        <f>IF(FT!B31&lt;&gt;"",FT!C31,"")</f>
        <v>11.784000000000001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4.3662400000000003</v>
      </c>
      <c r="G32" s="61">
        <f>IF(FT!B32&lt;&gt;"",FT!B32*100,"")</f>
        <v>42.237499999999997</v>
      </c>
      <c r="H32" s="61">
        <f t="shared" si="1"/>
        <v>1</v>
      </c>
      <c r="I32" t="str">
        <f>IF(FT!B32&lt;&gt;"",FT!E32,"")</f>
        <v>1 [12.191802]</v>
      </c>
      <c r="J32">
        <f>IF(FT!B32&lt;&gt;"",FT!C32,"")</f>
        <v>12.191800000000001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64017</v>
      </c>
      <c r="D33" s="61">
        <f>FH!B33*1</f>
        <v>64017</v>
      </c>
      <c r="E33">
        <f t="shared" si="3"/>
        <v>31</v>
      </c>
      <c r="F33" s="61">
        <f>IF(FT!A33&lt;&gt;"",FT!A33*10,"")</f>
        <v>4.3605700000000001</v>
      </c>
      <c r="G33" s="61">
        <f>IF(FT!B33&lt;&gt;"",FT!B33*100,"")</f>
        <v>42.337499999999999</v>
      </c>
      <c r="H33" s="61">
        <f t="shared" si="1"/>
        <v>1</v>
      </c>
      <c r="I33" t="str">
        <f>IF(FT!B33&lt;&gt;"",FT!E33,"")</f>
        <v>1 [12.597349]</v>
      </c>
      <c r="J33">
        <f>IF(FT!B33&lt;&gt;"",FT!C33,"")</f>
        <v>12.597300000000001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4.3486099999999999</v>
      </c>
      <c r="G34" s="61">
        <f>IF(FT!B34&lt;&gt;"",FT!B34*100,"")</f>
        <v>42.376899999999999</v>
      </c>
      <c r="H34" s="61">
        <f t="shared" si="1"/>
        <v>1</v>
      </c>
      <c r="I34" t="str">
        <f>IF(FT!B34&lt;&gt;"",FT!E34,"")</f>
        <v>1 [13.002285]</v>
      </c>
      <c r="J34">
        <f>IF(FT!B34&lt;&gt;"",FT!C34,"")</f>
        <v>13.0023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4.3317199999999998</v>
      </c>
      <c r="G35" s="61">
        <f>IF(FT!B35&lt;&gt;"",FT!B35*100,"")</f>
        <v>42.408200000000001</v>
      </c>
      <c r="H35" s="61">
        <f t="shared" si="1"/>
        <v>1</v>
      </c>
      <c r="I35" t="str">
        <f>IF(FT!B35&lt;&gt;"",FT!E35,"")</f>
        <v>1 [13.408810]</v>
      </c>
      <c r="J35">
        <f>IF(FT!B35&lt;&gt;"",FT!C35,"")</f>
        <v>13.408799999999999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61806</v>
      </c>
      <c r="D36" s="61">
        <f>FH!B36*1</f>
        <v>61806</v>
      </c>
      <c r="E36">
        <f t="shared" si="3"/>
        <v>34</v>
      </c>
      <c r="F36" s="61">
        <f>IF(FT!A36&lt;&gt;"",FT!A36*10,"")</f>
        <v>4.3097500000000002</v>
      </c>
      <c r="G36" s="61">
        <f>IF(FT!B36&lt;&gt;"",FT!B36*100,"")</f>
        <v>42.5092</v>
      </c>
      <c r="H36" s="61">
        <f t="shared" si="1"/>
        <v>1</v>
      </c>
      <c r="I36" t="str">
        <f>IF(FT!B36&lt;&gt;"",FT!E36,"")</f>
        <v>1 [13.816413]</v>
      </c>
      <c r="J36">
        <f>IF(FT!B36&lt;&gt;"",FT!C36,"")</f>
        <v>13.8164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4.2854900000000002</v>
      </c>
      <c r="G37" s="61">
        <f>IF(FT!B37&lt;&gt;"",FT!B37*100,"")</f>
        <v>42.7941</v>
      </c>
      <c r="H37" s="61">
        <f t="shared" si="1"/>
        <v>1</v>
      </c>
      <c r="I37" t="str">
        <f>IF(FT!B37&lt;&gt;"",FT!E37,"")</f>
        <v>1 [14.224303]</v>
      </c>
      <c r="J37">
        <f>IF(FT!B37&lt;&gt;"",FT!C37,"")</f>
        <v>14.224299999999999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4.2556799999999999</v>
      </c>
      <c r="G38" s="61">
        <f>IF(FT!B38&lt;&gt;"",FT!B38*100,"")</f>
        <v>43.104799999999997</v>
      </c>
      <c r="H38" s="61">
        <f t="shared" si="1"/>
        <v>1</v>
      </c>
      <c r="I38" t="str">
        <f>IF(FT!B38&lt;&gt;"",FT!E38,"")</f>
        <v>1 [14.628158]</v>
      </c>
      <c r="J38">
        <f>IF(FT!B38&lt;&gt;"",FT!C38,"")</f>
        <v>14.6282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60826</v>
      </c>
      <c r="D39" s="61">
        <f>FH!B39*1</f>
        <v>60826</v>
      </c>
      <c r="E39">
        <f t="shared" si="3"/>
        <v>37</v>
      </c>
      <c r="F39" s="61">
        <f>IF(FT!A39&lt;&gt;"",FT!A39*10,"")</f>
        <v>4.22384</v>
      </c>
      <c r="G39" s="61">
        <f>IF(FT!B39&lt;&gt;"",FT!B39*100,"")</f>
        <v>43.474200000000003</v>
      </c>
      <c r="H39" s="61">
        <f t="shared" si="1"/>
        <v>1</v>
      </c>
      <c r="I39" t="str">
        <f>IF(FT!B39&lt;&gt;"",FT!E39,"")</f>
        <v>1 [15.033346]</v>
      </c>
      <c r="J39">
        <f>IF(FT!B39&lt;&gt;"",FT!C39,"")</f>
        <v>15.033300000000001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4.1905299999999999</v>
      </c>
      <c r="G40" s="61">
        <f>IF(FT!B40&lt;&gt;"",FT!B40*100,"")</f>
        <v>43.994699999999995</v>
      </c>
      <c r="H40" s="61">
        <f t="shared" si="1"/>
        <v>1</v>
      </c>
      <c r="I40" t="str">
        <f>IF(FT!B40&lt;&gt;"",FT!E40,"")</f>
        <v>1 [15.441436]</v>
      </c>
      <c r="J40">
        <f>IF(FT!B40&lt;&gt;"",FT!C40,"")</f>
        <v>15.4414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64744</v>
      </c>
      <c r="D41" s="61">
        <f>FH!B41*1</f>
        <v>64744</v>
      </c>
      <c r="E41">
        <f t="shared" si="3"/>
        <v>39</v>
      </c>
      <c r="F41" s="61">
        <f>IF(FT!A41&lt;&gt;"",FT!A41*10,"")</f>
        <v>4.1529300000000005</v>
      </c>
      <c r="G41" s="61">
        <f>IF(FT!B41&lt;&gt;"",FT!B41*100,"")</f>
        <v>44.689900000000002</v>
      </c>
      <c r="H41" s="61">
        <f t="shared" si="1"/>
        <v>1</v>
      </c>
      <c r="I41" t="str">
        <f>IF(FT!B41&lt;&gt;"",FT!E41,"")</f>
        <v>1 [15.849010]</v>
      </c>
      <c r="J41">
        <f>IF(FT!B41&lt;&gt;"",FT!C41,"")</f>
        <v>15.849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4.1178600000000003</v>
      </c>
      <c r="G42" s="61">
        <f>IF(FT!B42&lt;&gt;"",FT!B42*100,"")</f>
        <v>45.456200000000003</v>
      </c>
      <c r="H42" s="61">
        <f t="shared" si="1"/>
        <v>1</v>
      </c>
      <c r="I42" t="str">
        <f>IF(FT!B42&lt;&gt;"",FT!E42,"")</f>
        <v>1 [16.255460]</v>
      </c>
      <c r="J42">
        <f>IF(FT!B42&lt;&gt;"",FT!C42,"")</f>
        <v>16.255500000000001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4.0865400000000003</v>
      </c>
      <c r="G43" s="61">
        <f>IF(FT!B43&lt;&gt;"",FT!B43*100,"")</f>
        <v>46.1676</v>
      </c>
      <c r="H43" s="61">
        <f t="shared" si="1"/>
        <v>1</v>
      </c>
      <c r="I43" t="str">
        <f>IF(FT!B43&lt;&gt;"",FT!E43,"")</f>
        <v>1 [16.660351]</v>
      </c>
      <c r="J43">
        <f>IF(FT!B43&lt;&gt;"",FT!C43,"")</f>
        <v>16.660399999999999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66331</v>
      </c>
      <c r="D44" s="61">
        <f>FH!B44*1</f>
        <v>66331</v>
      </c>
      <c r="E44">
        <f t="shared" si="3"/>
        <v>42</v>
      </c>
      <c r="F44" s="61">
        <f>IF(FT!A44&lt;&gt;"",FT!A44*10,"")</f>
        <v>4.0551900000000005</v>
      </c>
      <c r="G44" s="61">
        <f>IF(FT!B44&lt;&gt;"",FT!B44*100,"")</f>
        <v>46.811100000000003</v>
      </c>
      <c r="H44" s="61">
        <f t="shared" si="1"/>
        <v>1</v>
      </c>
      <c r="I44" t="str">
        <f>IF(FT!B44&lt;&gt;"",FT!E44,"")</f>
        <v>1 [17.063747]</v>
      </c>
      <c r="J44">
        <f>IF(FT!B44&lt;&gt;"",FT!C44,"")</f>
        <v>17.063700000000001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4.0201900000000004</v>
      </c>
      <c r="G45" s="61">
        <f>IF(FT!B45&lt;&gt;"",FT!B45*100,"")</f>
        <v>47.390300000000003</v>
      </c>
      <c r="H45" s="61">
        <f t="shared" si="1"/>
        <v>1</v>
      </c>
      <c r="I45" t="str">
        <f>IF(FT!B45&lt;&gt;"",FT!E45,"")</f>
        <v>1 [17.473226]</v>
      </c>
      <c r="J45">
        <f>IF(FT!B45&lt;&gt;"",FT!C45,"")</f>
        <v>17.473199999999999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66199</v>
      </c>
      <c r="D46" s="61">
        <f>FH!B46*1</f>
        <v>66199</v>
      </c>
      <c r="E46">
        <f t="shared" si="3"/>
        <v>44</v>
      </c>
      <c r="F46" s="61">
        <f>IF(FT!A46&lt;&gt;"",FT!A46*10,"")</f>
        <v>3.98339</v>
      </c>
      <c r="G46" s="61">
        <f>IF(FT!B46&lt;&gt;"",FT!B46*100,"")</f>
        <v>47.9116</v>
      </c>
      <c r="H46" s="61">
        <f t="shared" si="1"/>
        <v>1</v>
      </c>
      <c r="I46" t="str">
        <f>IF(FT!B46&lt;&gt;"",FT!E46,"")</f>
        <v>1 [17.876505]</v>
      </c>
      <c r="J46">
        <f>IF(FT!B46&lt;&gt;"",FT!C46,"")</f>
        <v>17.8765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3.9500099999999998</v>
      </c>
      <c r="G47" s="61">
        <f>IF(FT!B47&lt;&gt;"",FT!B47*100,"")</f>
        <v>48.357199999999999</v>
      </c>
      <c r="H47" s="61">
        <f t="shared" si="1"/>
        <v>1</v>
      </c>
      <c r="I47" t="str">
        <f>IF(FT!B47&lt;&gt;"",FT!E47,"")</f>
        <v>1 [18.285866]</v>
      </c>
      <c r="J47">
        <f>IF(FT!B47&lt;&gt;"",FT!C47,"")</f>
        <v>18.285900000000002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3.9181599999999999</v>
      </c>
      <c r="G48" s="61">
        <f>IF(FT!B48&lt;&gt;"",FT!B48*100,"")</f>
        <v>48.761700000000005</v>
      </c>
      <c r="H48" s="61">
        <f t="shared" si="1"/>
        <v>1</v>
      </c>
      <c r="I48" t="str">
        <f>IF(FT!B48&lt;&gt;"",FT!E48,"")</f>
        <v>1 [18.692060]</v>
      </c>
      <c r="J48">
        <f>IF(FT!B48&lt;&gt;"",FT!C48,"")</f>
        <v>18.6921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59538</v>
      </c>
      <c r="D49" s="61">
        <f>FH!B49*1</f>
        <v>59538</v>
      </c>
      <c r="E49">
        <f t="shared" si="3"/>
        <v>47</v>
      </c>
      <c r="F49" s="61">
        <f>IF(FT!A49&lt;&gt;"",FT!A49*10,"")</f>
        <v>3.8904699999999997</v>
      </c>
      <c r="G49" s="61">
        <f>IF(FT!B49&lt;&gt;"",FT!B49*100,"")</f>
        <v>49.104100000000003</v>
      </c>
      <c r="H49" s="61">
        <f t="shared" si="1"/>
        <v>1</v>
      </c>
      <c r="I49" t="str">
        <f>IF(FT!B49&lt;&gt;"",FT!E49,"")</f>
        <v>1 [19.096901]</v>
      </c>
      <c r="J49">
        <f>IF(FT!B49&lt;&gt;"",FT!C49,"")</f>
        <v>19.096900000000002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3.86876</v>
      </c>
      <c r="G50" s="61">
        <f>IF(FT!B50&lt;&gt;"",FT!B50*100,"")</f>
        <v>49.347099999999998</v>
      </c>
      <c r="H50" s="61">
        <f t="shared" si="1"/>
        <v>1</v>
      </c>
      <c r="I50" t="str">
        <f>IF(FT!B50&lt;&gt;"",FT!E50,"")</f>
        <v>1 [19.502045]</v>
      </c>
      <c r="J50">
        <f>IF(FT!B50&lt;&gt;"",FT!C50,"")</f>
        <v>19.501999999999999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59383</v>
      </c>
      <c r="D51" s="61">
        <f>FH!B51*1</f>
        <v>59383</v>
      </c>
      <c r="E51">
        <f t="shared" si="3"/>
        <v>49</v>
      </c>
      <c r="F51" s="61">
        <f>IF(FT!A51&lt;&gt;"",FT!A51*10,"")</f>
        <v>3.8477299999999999</v>
      </c>
      <c r="G51" s="61">
        <f>IF(FT!B51&lt;&gt;"",FT!B51*100,"")</f>
        <v>49.564700000000002</v>
      </c>
      <c r="H51" s="61">
        <f t="shared" si="1"/>
        <v>1</v>
      </c>
      <c r="I51" t="str">
        <f>IF(FT!B51&lt;&gt;"",FT!E51,"")</f>
        <v>1 [19.908112]</v>
      </c>
      <c r="J51">
        <f>IF(FT!B51&lt;&gt;"",FT!C51,"")</f>
        <v>19.908100000000001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3.8375300000000001</v>
      </c>
      <c r="G52" s="61">
        <f>IF(FT!B52&lt;&gt;"",FT!B52*100,"")</f>
        <v>49.630499999999998</v>
      </c>
      <c r="H52" s="61">
        <f t="shared" si="1"/>
        <v>1</v>
      </c>
      <c r="I52" t="str">
        <f>IF(FT!B52&lt;&gt;"",FT!E52,"")</f>
        <v>1 [20.313936]</v>
      </c>
      <c r="J52">
        <f>IF(FT!B52&lt;&gt;"",FT!C52,"")</f>
        <v>20.3139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3.8232899999999996</v>
      </c>
      <c r="G53" s="61">
        <f>IF(FT!B53&lt;&gt;"",FT!B53*100,"")</f>
        <v>49.6935</v>
      </c>
      <c r="H53" s="61">
        <f t="shared" si="1"/>
        <v>1</v>
      </c>
      <c r="I53" t="str">
        <f>IF(FT!B53&lt;&gt;"",FT!E53,"")</f>
        <v>1 [20.721642]</v>
      </c>
      <c r="J53">
        <f>IF(FT!B53&lt;&gt;"",FT!C53,"")</f>
        <v>20.721599999999999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61153</v>
      </c>
      <c r="D54" s="61">
        <f>FH!B54*1</f>
        <v>61153</v>
      </c>
      <c r="E54">
        <f t="shared" si="3"/>
        <v>52</v>
      </c>
      <c r="F54" s="61">
        <f>IF(FT!A54&lt;&gt;"",FT!A54*10,"")</f>
        <v>3.8074400000000002</v>
      </c>
      <c r="G54" s="61">
        <f>IF(FT!B54&lt;&gt;"",FT!B54*100,"")</f>
        <v>49.759700000000002</v>
      </c>
      <c r="H54" s="61">
        <f t="shared" si="1"/>
        <v>1</v>
      </c>
      <c r="I54" t="str">
        <f>IF(FT!B54&lt;&gt;"",FT!E54,"")</f>
        <v>1 [21.129427]</v>
      </c>
      <c r="J54">
        <f>IF(FT!B54&lt;&gt;"",FT!C54,"")</f>
        <v>21.1294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3.7831399999999999</v>
      </c>
      <c r="G55" s="61">
        <f>IF(FT!B55&lt;&gt;"",FT!B55*100,"")</f>
        <v>49.927700000000002</v>
      </c>
      <c r="H55" s="61">
        <f t="shared" si="1"/>
        <v>1</v>
      </c>
      <c r="I55" t="str">
        <f>IF(FT!B55&lt;&gt;"",FT!E55,"")</f>
        <v>1 [21.536668]</v>
      </c>
      <c r="J55">
        <f>IF(FT!B55&lt;&gt;"",FT!C55,"")</f>
        <v>21.5367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3.7663799999999998</v>
      </c>
      <c r="G56" s="61">
        <f>IF(FT!B56&lt;&gt;"",FT!B56*100,"")</f>
        <v>50.094700000000003</v>
      </c>
      <c r="H56" s="61">
        <f t="shared" si="1"/>
        <v>1</v>
      </c>
      <c r="I56" t="str">
        <f>IF(FT!B56&lt;&gt;"",FT!E56,"")</f>
        <v>1 [21.940798]</v>
      </c>
      <c r="J56">
        <f>IF(FT!B56&lt;&gt;"",FT!C56,"")</f>
        <v>21.940799999999999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62644</v>
      </c>
      <c r="D57" s="61">
        <f>FH!B57*1</f>
        <v>62644</v>
      </c>
      <c r="E57">
        <f t="shared" si="3"/>
        <v>55</v>
      </c>
      <c r="F57" s="61">
        <f>IF(FT!A57&lt;&gt;"",FT!A57*10,"")</f>
        <v>3.7454799999999997</v>
      </c>
      <c r="G57" s="61">
        <f>IF(FT!B57&lt;&gt;"",FT!B57*100,"")</f>
        <v>50.316700000000004</v>
      </c>
      <c r="H57" s="61">
        <f t="shared" si="1"/>
        <v>1</v>
      </c>
      <c r="I57" t="str">
        <f>IF(FT!B57&lt;&gt;"",FT!E57,"")</f>
        <v>1 [22.345106]</v>
      </c>
      <c r="J57">
        <f>IF(FT!B57&lt;&gt;"",FT!C57,"")</f>
        <v>22.345099999999999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3.7246099999999998</v>
      </c>
      <c r="G58" s="61">
        <f>IF(FT!B58&lt;&gt;"",FT!B58*100,"")</f>
        <v>50.5364</v>
      </c>
      <c r="H58" s="61">
        <f t="shared" si="1"/>
        <v>1</v>
      </c>
      <c r="I58" t="str">
        <f>IF(FT!B58&lt;&gt;"",FT!E58,"")</f>
        <v>1 [22.750410]</v>
      </c>
      <c r="J58">
        <f>IF(FT!B58&lt;&gt;"",FT!C58,"")</f>
        <v>22.750399999999999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67496</v>
      </c>
      <c r="D59" s="61">
        <f>FH!B59*1</f>
        <v>67496</v>
      </c>
      <c r="E59">
        <f t="shared" si="3"/>
        <v>57</v>
      </c>
      <c r="F59" s="61">
        <f>IF(FT!A59&lt;&gt;"",FT!A59*10,"")</f>
        <v>3.7016999999999998</v>
      </c>
      <c r="G59" s="61">
        <f>IF(FT!B59&lt;&gt;"",FT!B59*100,"")</f>
        <v>50.788199999999996</v>
      </c>
      <c r="H59" s="61">
        <f t="shared" si="1"/>
        <v>1</v>
      </c>
      <c r="I59" t="str">
        <f>IF(FT!B59&lt;&gt;"",FT!E59,"")</f>
        <v>1 [23.161529]</v>
      </c>
      <c r="J59">
        <f>IF(FT!B59&lt;&gt;"",FT!C59,"")</f>
        <v>23.1615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3.6800100000000002</v>
      </c>
      <c r="G60" s="61">
        <f>IF(FT!B60&lt;&gt;"",FT!B60*100,"")</f>
        <v>51.019099999999995</v>
      </c>
      <c r="H60" s="61">
        <f t="shared" si="1"/>
        <v>1</v>
      </c>
      <c r="I60" t="str">
        <f>IF(FT!B60&lt;&gt;"",FT!E60,"")</f>
        <v>1 [23.566944]</v>
      </c>
      <c r="J60">
        <f>IF(FT!B60&lt;&gt;"",FT!C60,"")</f>
        <v>23.5669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3.6566100000000001</v>
      </c>
      <c r="G61" s="61">
        <f>IF(FT!B61&lt;&gt;"",FT!B61*100,"")</f>
        <v>51.2181</v>
      </c>
      <c r="H61" s="61">
        <f t="shared" si="1"/>
        <v>1</v>
      </c>
      <c r="I61" t="str">
        <f>IF(FT!B61&lt;&gt;"",FT!E61,"")</f>
        <v>1 [23.973842]</v>
      </c>
      <c r="J61">
        <f>IF(FT!B61&lt;&gt;"",FT!C61,"")</f>
        <v>23.973800000000001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70452</v>
      </c>
      <c r="D62" s="61">
        <f>FH!B62*1</f>
        <v>70452</v>
      </c>
      <c r="E62">
        <f t="shared" si="3"/>
        <v>60</v>
      </c>
      <c r="F62" s="61">
        <f>IF(FT!A62&lt;&gt;"",FT!A62*10,"")</f>
        <v>3.6275900000000001</v>
      </c>
      <c r="G62" s="61">
        <f>IF(FT!B62&lt;&gt;"",FT!B62*100,"")</f>
        <v>51.475800000000007</v>
      </c>
      <c r="H62" s="61">
        <f t="shared" si="1"/>
        <v>1</v>
      </c>
      <c r="I62" t="str">
        <f>IF(FT!B62&lt;&gt;"",FT!E62,"")</f>
        <v>1 [24.378163]</v>
      </c>
      <c r="J62">
        <f>IF(FT!B62&lt;&gt;"",FT!C62,"")</f>
        <v>24.3782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3.6106100000000003</v>
      </c>
      <c r="G63" s="61">
        <f>IF(FT!B63&lt;&gt;"",FT!B63*100,"")</f>
        <v>51.679299999999998</v>
      </c>
      <c r="H63" s="61">
        <f t="shared" si="1"/>
        <v>1</v>
      </c>
      <c r="I63" t="str">
        <f>IF(FT!B63&lt;&gt;"",FT!E63,"")</f>
        <v>1 [24.783071]</v>
      </c>
      <c r="J63">
        <f>IF(FT!B63&lt;&gt;"",FT!C63,"")</f>
        <v>24.783100000000001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79121</v>
      </c>
      <c r="D64" s="61">
        <f>FH!B64*1</f>
        <v>79121</v>
      </c>
      <c r="E64">
        <f t="shared" si="3"/>
        <v>62</v>
      </c>
      <c r="F64" s="61">
        <f>IF(FT!A64&lt;&gt;"",FT!A64*10,"")</f>
        <v>3.5900500000000002</v>
      </c>
      <c r="G64" s="61">
        <f>IF(FT!B64&lt;&gt;"",FT!B64*100,"")</f>
        <v>51.883400000000002</v>
      </c>
      <c r="H64" s="61">
        <f t="shared" si="1"/>
        <v>1</v>
      </c>
      <c r="I64" t="str">
        <f>IF(FT!B64&lt;&gt;"",FT!E64,"")</f>
        <v>1 [25.191376]</v>
      </c>
      <c r="J64">
        <f>IF(FT!B64&lt;&gt;"",FT!C64,"")</f>
        <v>25.191400000000002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3.5698999999999996</v>
      </c>
      <c r="G65" s="61">
        <f>IF(FT!B65&lt;&gt;"",FT!B65*100,"")</f>
        <v>52.1143</v>
      </c>
      <c r="H65" s="61">
        <f t="shared" si="1"/>
        <v>1</v>
      </c>
      <c r="I65" t="str">
        <f>IF(FT!B65&lt;&gt;"",FT!E65,"")</f>
        <v>1 [25.597470]</v>
      </c>
      <c r="J65">
        <f>IF(FT!B65&lt;&gt;"",FT!C65,"")</f>
        <v>25.5975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3.5534400000000002</v>
      </c>
      <c r="G66" s="61">
        <f>IF(FT!B66&lt;&gt;"",FT!B66*100,"")</f>
        <v>52.393599999999992</v>
      </c>
      <c r="H66" s="61">
        <f t="shared" si="1"/>
        <v>1</v>
      </c>
      <c r="I66" t="str">
        <f>IF(FT!B66&lt;&gt;"",FT!E66,"")</f>
        <v>1 [26.002281]</v>
      </c>
      <c r="J66">
        <f>IF(FT!B66&lt;&gt;"",FT!C66,"")</f>
        <v>26.002300000000002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89128</v>
      </c>
      <c r="D67" s="61">
        <f>FH!B67*1</f>
        <v>89128</v>
      </c>
      <c r="E67">
        <f t="shared" si="3"/>
        <v>65</v>
      </c>
      <c r="F67" s="61">
        <f>IF(FT!A67&lt;&gt;"",FT!A67*10,"")</f>
        <v>3.5321899999999999</v>
      </c>
      <c r="G67" s="61">
        <f>IF(FT!B67&lt;&gt;"",FT!B67*100,"")</f>
        <v>52.698599999999999</v>
      </c>
      <c r="H67" s="61">
        <f t="shared" ref="H67:H130" si="9">(IF(F67&lt;&gt;"",1,""))</f>
        <v>1</v>
      </c>
      <c r="I67" t="str">
        <f>IF(FT!B67&lt;&gt;"",FT!E67,"")</f>
        <v>1 [26.409055]</v>
      </c>
      <c r="J67">
        <f>IF(FT!B67&lt;&gt;"",FT!C67,"")</f>
        <v>26.409099999999999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3.5117799999999999</v>
      </c>
      <c r="G68" s="61">
        <f>IF(FT!B68&lt;&gt;"",FT!B68*100,"")</f>
        <v>53.028100000000002</v>
      </c>
      <c r="H68" s="61">
        <f t="shared" si="9"/>
        <v>1</v>
      </c>
      <c r="I68" t="str">
        <f>IF(FT!B68&lt;&gt;"",FT!E68,"")</f>
        <v>1 [26.814252]</v>
      </c>
      <c r="J68">
        <f>IF(FT!B68&lt;&gt;"",FT!C68,"")</f>
        <v>26.814299999999999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101691</v>
      </c>
      <c r="D69" s="61">
        <f>FH!B69*1</f>
        <v>101691</v>
      </c>
      <c r="E69">
        <f t="shared" si="11"/>
        <v>67</v>
      </c>
      <c r="F69" s="61">
        <f>IF(FT!A69&lt;&gt;"",FT!A69*10,"")</f>
        <v>3.4929500000000004</v>
      </c>
      <c r="G69" s="61">
        <f>IF(FT!B69&lt;&gt;"",FT!B69*100,"")</f>
        <v>53.297000000000004</v>
      </c>
      <c r="H69" s="61">
        <f t="shared" si="9"/>
        <v>1</v>
      </c>
      <c r="I69" t="str">
        <f>IF(FT!B69&lt;&gt;"",FT!E69,"")</f>
        <v>1 [27.222507]</v>
      </c>
      <c r="J69">
        <f>IF(FT!B69&lt;&gt;"",FT!C69,"")</f>
        <v>27.2225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3.4833099999999999</v>
      </c>
      <c r="G70" s="61">
        <f>IF(FT!B70&lt;&gt;"",FT!B70*100,"")</f>
        <v>53.441099999999999</v>
      </c>
      <c r="H70" s="61">
        <f t="shared" si="9"/>
        <v>1</v>
      </c>
      <c r="I70" t="str">
        <f>IF(FT!B70&lt;&gt;"",FT!E70,"")</f>
        <v>1 [27.628542]</v>
      </c>
      <c r="J70">
        <f>IF(FT!B70&lt;&gt;"",FT!C70,"")</f>
        <v>27.628499999999999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3.4830899999999998</v>
      </c>
      <c r="G71" s="61">
        <f>IF(FT!B71&lt;&gt;"",FT!B71*100,"")</f>
        <v>53.415199999999999</v>
      </c>
      <c r="H71" s="61">
        <f t="shared" si="9"/>
        <v>1</v>
      </c>
      <c r="I71" t="str">
        <f>IF(FT!B71&lt;&gt;"",FT!E71,"")</f>
        <v>1 [28.036850]</v>
      </c>
      <c r="J71">
        <f>IF(FT!B71&lt;&gt;"",FT!C71,"")</f>
        <v>28.036799999999999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121159</v>
      </c>
      <c r="D72" s="61">
        <f>FH!B72*1</f>
        <v>121159</v>
      </c>
      <c r="E72">
        <f t="shared" si="11"/>
        <v>70</v>
      </c>
      <c r="F72" s="61">
        <f>IF(FT!A72&lt;&gt;"",FT!A72*10,"")</f>
        <v>3.4855599999999995</v>
      </c>
      <c r="G72" s="61">
        <f>IF(FT!B72&lt;&gt;"",FT!B72*100,"")</f>
        <v>53.328499999999998</v>
      </c>
      <c r="H72" s="61">
        <f t="shared" si="9"/>
        <v>1</v>
      </c>
      <c r="I72" t="str">
        <f>IF(FT!B72&lt;&gt;"",FT!E72,"")</f>
        <v>1 [28.443605]</v>
      </c>
      <c r="J72">
        <f>IF(FT!B72&lt;&gt;"",FT!C72,"")</f>
        <v>28.4436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3.4847099999999998</v>
      </c>
      <c r="G73" s="61">
        <f>IF(FT!B73&lt;&gt;"",FT!B73*100,"")</f>
        <v>53.299099999999996</v>
      </c>
      <c r="H73" s="61">
        <f t="shared" si="9"/>
        <v>1</v>
      </c>
      <c r="I73" t="str">
        <f>IF(FT!B73&lt;&gt;"",FT!E73,"")</f>
        <v>1 [28.844449]</v>
      </c>
      <c r="J73">
        <f>IF(FT!B73&lt;&gt;"",FT!C73,"")</f>
        <v>28.8444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3.5005599999999997</v>
      </c>
      <c r="G74" s="61">
        <f>IF(FT!B74&lt;&gt;"",FT!B74*100,"")</f>
        <v>52.876300000000001</v>
      </c>
      <c r="H74" s="61">
        <f t="shared" si="9"/>
        <v>1</v>
      </c>
      <c r="I74" t="str">
        <f>IF(FT!B74&lt;&gt;"",FT!E74,"")</f>
        <v>1 [29.254273]</v>
      </c>
      <c r="J74">
        <f>IF(FT!B74&lt;&gt;"",FT!C74,"")</f>
        <v>29.254300000000001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141447</v>
      </c>
      <c r="D75" s="61">
        <f>FH!B75*1</f>
        <v>141447</v>
      </c>
      <c r="E75">
        <f t="shared" si="11"/>
        <v>73</v>
      </c>
      <c r="F75" s="61">
        <f>IF(FT!A75&lt;&gt;"",FT!A75*10,"")</f>
        <v>3.5139999999999998</v>
      </c>
      <c r="G75" s="61">
        <f>IF(FT!B75&lt;&gt;"",FT!B75*100,"")</f>
        <v>52.446400000000004</v>
      </c>
      <c r="H75" s="61">
        <f t="shared" si="9"/>
        <v>1</v>
      </c>
      <c r="I75" t="str">
        <f>IF(FT!B75&lt;&gt;"",FT!E75,"")</f>
        <v>1 [29.660496]</v>
      </c>
      <c r="J75">
        <f>IF(FT!B75&lt;&gt;"",FT!C75,"")</f>
        <v>29.660499999999999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3.5342500000000001</v>
      </c>
      <c r="G76" s="61">
        <f>IF(FT!B76&lt;&gt;"",FT!B76*100,"")</f>
        <v>51.844100000000005</v>
      </c>
      <c r="H76" s="61">
        <f t="shared" si="9"/>
        <v>1</v>
      </c>
      <c r="I76" t="str">
        <f>IF(FT!B76&lt;&gt;"",FT!E76,"")</f>
        <v>2 [30.066337]</v>
      </c>
      <c r="J76">
        <f>IF(FT!B76&lt;&gt;"",FT!C76,"")</f>
        <v>30.066299999999998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156650</v>
      </c>
      <c r="D77" s="61">
        <f>FH!B77*1</f>
        <v>156650</v>
      </c>
      <c r="E77">
        <f t="shared" si="11"/>
        <v>75</v>
      </c>
      <c r="F77" s="61">
        <f>IF(FT!A77&lt;&gt;"",FT!A77*10,"")</f>
        <v>3.5628199999999999</v>
      </c>
      <c r="G77" s="61">
        <f>IF(FT!B77&lt;&gt;"",FT!B77*100,"")</f>
        <v>51.026600000000002</v>
      </c>
      <c r="H77" s="61">
        <f t="shared" si="9"/>
        <v>1</v>
      </c>
      <c r="I77" t="str">
        <f>IF(FT!B77&lt;&gt;"",FT!E77,"")</f>
        <v>2 [30.552939]</v>
      </c>
      <c r="J77">
        <f>IF(FT!B77&lt;&gt;"",FT!C77,"")</f>
        <v>30.552900000000001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3.5935099999999998</v>
      </c>
      <c r="G78" s="61">
        <f>IF(FT!B78&lt;&gt;"",FT!B78*100,"")</f>
        <v>50.190500000000007</v>
      </c>
      <c r="H78" s="61">
        <f t="shared" si="9"/>
        <v>1</v>
      </c>
      <c r="I78" t="str">
        <f>IF(FT!B78&lt;&gt;"",FT!E78,"")</f>
        <v>2 [30.940373]</v>
      </c>
      <c r="J78">
        <f>IF(FT!B78&lt;&gt;"",FT!C78,"")</f>
        <v>30.9404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3.6263099999999997</v>
      </c>
      <c r="G79" s="61">
        <f>IF(FT!B79&lt;&gt;"",FT!B79*100,"")</f>
        <v>49.409500000000001</v>
      </c>
      <c r="H79" s="61">
        <f t="shared" si="9"/>
        <v>1</v>
      </c>
      <c r="I79" t="str">
        <f>IF(FT!B79&lt;&gt;"",FT!E79,"")</f>
        <v>2 [31.331981]</v>
      </c>
      <c r="J79">
        <f>IF(FT!B79&lt;&gt;"",FT!C79,"")</f>
        <v>31.332000000000001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166712</v>
      </c>
      <c r="D80" s="61">
        <f>FH!B80*1</f>
        <v>166712</v>
      </c>
      <c r="E80">
        <f t="shared" si="11"/>
        <v>78</v>
      </c>
      <c r="F80" s="61">
        <f>IF(FT!A80&lt;&gt;"",FT!A80*10,"")</f>
        <v>3.65699</v>
      </c>
      <c r="G80" s="61">
        <f>IF(FT!B80&lt;&gt;"",FT!B80*100,"")</f>
        <v>48.706700000000005</v>
      </c>
      <c r="H80" s="61">
        <f t="shared" si="9"/>
        <v>1</v>
      </c>
      <c r="I80" t="str">
        <f>IF(FT!B80&lt;&gt;"",FT!E80,"")</f>
        <v>2 [31.736715]</v>
      </c>
      <c r="J80">
        <f>IF(FT!B80&lt;&gt;"",FT!C80,"")</f>
        <v>31.736699999999999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3.6846399999999999</v>
      </c>
      <c r="G81" s="61">
        <f>IF(FT!B81&lt;&gt;"",FT!B81*100,"")</f>
        <v>48.187600000000003</v>
      </c>
      <c r="H81" s="61">
        <f t="shared" si="9"/>
        <v>1</v>
      </c>
      <c r="I81" t="str">
        <f>IF(FT!B81&lt;&gt;"",FT!E81,"")</f>
        <v>2 [32.142010]</v>
      </c>
      <c r="J81">
        <f>IF(FT!B81&lt;&gt;"",FT!C81,"")</f>
        <v>32.142000000000003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174159</v>
      </c>
      <c r="D82" s="61">
        <f>FH!B82*1</f>
        <v>174159</v>
      </c>
      <c r="E82">
        <f t="shared" si="11"/>
        <v>80</v>
      </c>
      <c r="F82" s="61">
        <f>IF(FT!A82&lt;&gt;"",FT!A82*10,"")</f>
        <v>3.70865</v>
      </c>
      <c r="G82" s="61">
        <f>IF(FT!B82&lt;&gt;"",FT!B82*100,"")</f>
        <v>47.764699999999998</v>
      </c>
      <c r="H82" s="61">
        <f t="shared" si="9"/>
        <v>1</v>
      </c>
      <c r="I82" t="str">
        <f>IF(FT!B82&lt;&gt;"",FT!E82,"")</f>
        <v>2 [32.547618]</v>
      </c>
      <c r="J82">
        <f>IF(FT!B82&lt;&gt;"",FT!C82,"")</f>
        <v>32.547600000000003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3.7372300000000003</v>
      </c>
      <c r="G83" s="61">
        <f>IF(FT!B83&lt;&gt;"",FT!B83*100,"")</f>
        <v>47.361499999999999</v>
      </c>
      <c r="H83" s="61">
        <f t="shared" si="9"/>
        <v>1</v>
      </c>
      <c r="I83" t="str">
        <f>IF(FT!B83&lt;&gt;"",FT!E83,"")</f>
        <v>2 [32.957829]</v>
      </c>
      <c r="J83">
        <f>IF(FT!B83&lt;&gt;"",FT!C83,"")</f>
        <v>32.957799999999999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3.7675399999999999</v>
      </c>
      <c r="G84" s="61">
        <f>IF(FT!B84&lt;&gt;"",FT!B84*100,"")</f>
        <v>46.863999999999997</v>
      </c>
      <c r="H84" s="61">
        <f t="shared" si="9"/>
        <v>1</v>
      </c>
      <c r="I84" t="str">
        <f>IF(FT!B84&lt;&gt;"",FT!E84,"")</f>
        <v>2 [33.361392]</v>
      </c>
      <c r="J84">
        <f>IF(FT!B84&lt;&gt;"",FT!C84,"")</f>
        <v>33.361400000000003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187367</v>
      </c>
      <c r="D85" s="61">
        <f>FH!B85*1</f>
        <v>187367</v>
      </c>
      <c r="E85">
        <f t="shared" si="11"/>
        <v>83</v>
      </c>
      <c r="F85" s="61">
        <f>IF(FT!A85&lt;&gt;"",FT!A85*10,"")</f>
        <v>3.8014799999999997</v>
      </c>
      <c r="G85" s="61">
        <f>IF(FT!B85&lt;&gt;"",FT!B85*100,"")</f>
        <v>46.472200000000001</v>
      </c>
      <c r="H85" s="61">
        <f t="shared" si="9"/>
        <v>1</v>
      </c>
      <c r="I85" t="str">
        <f>IF(FT!B85&lt;&gt;"",FT!E85,"")</f>
        <v>2 [33.767253]</v>
      </c>
      <c r="J85">
        <f>IF(FT!B85&lt;&gt;"",FT!C85,"")</f>
        <v>33.767299999999999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3.83508</v>
      </c>
      <c r="G86" s="61">
        <f>IF(FT!B86&lt;&gt;"",FT!B86*100,"")</f>
        <v>46.28</v>
      </c>
      <c r="H86" s="61">
        <f t="shared" si="9"/>
        <v>1</v>
      </c>
      <c r="I86" t="str">
        <f>IF(FT!B86&lt;&gt;"",FT!E86,"")</f>
        <v>2 [34.175636]</v>
      </c>
      <c r="J86">
        <f>IF(FT!B86&lt;&gt;"",FT!C86,"")</f>
        <v>34.175600000000003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3.8678900000000001</v>
      </c>
      <c r="G87" s="61">
        <f>IF(FT!B87&lt;&gt;"",FT!B87*100,"")</f>
        <v>46.203699999999998</v>
      </c>
      <c r="H87" s="61">
        <f t="shared" si="9"/>
        <v>1</v>
      </c>
      <c r="I87" t="str">
        <f>IF(FT!B87&lt;&gt;"",FT!E87,"")</f>
        <v>2 [34.583244]</v>
      </c>
      <c r="J87">
        <f>IF(FT!B87&lt;&gt;"",FT!C87,"")</f>
        <v>34.583199999999998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212849</v>
      </c>
      <c r="D88" s="61">
        <f>FH!B88*1</f>
        <v>212849</v>
      </c>
      <c r="E88">
        <f t="shared" si="11"/>
        <v>86</v>
      </c>
      <c r="F88" s="61">
        <f>IF(FT!A88&lt;&gt;"",FT!A88*10,"")</f>
        <v>3.8990999999999998</v>
      </c>
      <c r="G88" s="61">
        <f>IF(FT!B88&lt;&gt;"",FT!B88*100,"")</f>
        <v>46.097100000000005</v>
      </c>
      <c r="H88" s="61">
        <f t="shared" si="9"/>
        <v>1</v>
      </c>
      <c r="I88" t="str">
        <f>IF(FT!B88&lt;&gt;"",FT!E88,"")</f>
        <v>2 [34.985775]</v>
      </c>
      <c r="J88">
        <f>IF(FT!B88&lt;&gt;"",FT!C88,"")</f>
        <v>34.985799999999998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3.9234999999999998</v>
      </c>
      <c r="G89" s="61">
        <f>IF(FT!B89&lt;&gt;"",FT!B89*100,"")</f>
        <v>46.040900000000001</v>
      </c>
      <c r="H89" s="61">
        <f t="shared" si="9"/>
        <v>1</v>
      </c>
      <c r="I89" t="str">
        <f>IF(FT!B89&lt;&gt;"",FT!E89,"")</f>
        <v>2 [35.391814]</v>
      </c>
      <c r="J89">
        <f>IF(FT!B89&lt;&gt;"",FT!C89,"")</f>
        <v>35.391800000000003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237152</v>
      </c>
      <c r="D90" s="61">
        <f>FH!B90*1</f>
        <v>237152</v>
      </c>
      <c r="E90">
        <f t="shared" si="11"/>
        <v>88</v>
      </c>
      <c r="F90" s="61">
        <f>IF(FT!A90&lt;&gt;"",FT!A90*10,"")</f>
        <v>3.9455400000000003</v>
      </c>
      <c r="G90" s="61">
        <f>IF(FT!B90&lt;&gt;"",FT!B90*100,"")</f>
        <v>46.138400000000004</v>
      </c>
      <c r="H90" s="61">
        <f t="shared" si="9"/>
        <v>1</v>
      </c>
      <c r="I90" t="str">
        <f>IF(FT!B90&lt;&gt;"",FT!E90,"")</f>
        <v>2 [35.799450]</v>
      </c>
      <c r="J90">
        <f>IF(FT!B90&lt;&gt;"",FT!C90,"")</f>
        <v>35.799500000000002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3.9641599999999997</v>
      </c>
      <c r="G91" s="61">
        <f>IF(FT!B91&lt;&gt;"",FT!B91*100,"")</f>
        <v>46.2151</v>
      </c>
      <c r="H91" s="61">
        <f t="shared" si="9"/>
        <v>1</v>
      </c>
      <c r="I91" t="str">
        <f>IF(FT!B91&lt;&gt;"",FT!E91,"")</f>
        <v>2 [36.208381]</v>
      </c>
      <c r="J91">
        <f>IF(FT!B91&lt;&gt;"",FT!C91,"")</f>
        <v>36.208399999999997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3.9762300000000002</v>
      </c>
      <c r="G92" s="61">
        <f>IF(FT!B92&lt;&gt;"",FT!B92*100,"")</f>
        <v>46.266500000000001</v>
      </c>
      <c r="H92" s="61">
        <f t="shared" si="9"/>
        <v>1</v>
      </c>
      <c r="I92" t="str">
        <f>IF(FT!B92&lt;&gt;"",FT!E92,"")</f>
        <v>2 [36.612392]</v>
      </c>
      <c r="J92">
        <f>IF(FT!B92&lt;&gt;"",FT!C92,"")</f>
        <v>36.612400000000001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253148</v>
      </c>
      <c r="D93" s="61">
        <f>FH!B93*1</f>
        <v>253148</v>
      </c>
      <c r="E93">
        <f t="shared" si="11"/>
        <v>91</v>
      </c>
      <c r="F93" s="61">
        <f>IF(FT!A93&lt;&gt;"",FT!A93*10,"")</f>
        <v>3.98617</v>
      </c>
      <c r="G93" s="61">
        <f>IF(FT!B93&lt;&gt;"",FT!B93*100,"")</f>
        <v>46.341100000000004</v>
      </c>
      <c r="H93" s="61">
        <f t="shared" si="9"/>
        <v>1</v>
      </c>
      <c r="I93" t="str">
        <f>IF(FT!B93&lt;&gt;"",FT!E93,"")</f>
        <v>2 [37.020339]</v>
      </c>
      <c r="J93">
        <f>IF(FT!B93&lt;&gt;"",FT!C93,"")</f>
        <v>37.020299999999999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3.9957700000000003</v>
      </c>
      <c r="G94" s="61">
        <f>IF(FT!B94&lt;&gt;"",FT!B94*100,"")</f>
        <v>46.445900000000002</v>
      </c>
      <c r="H94" s="61">
        <f t="shared" si="9"/>
        <v>1</v>
      </c>
      <c r="I94" t="str">
        <f>IF(FT!B94&lt;&gt;"",FT!E94,"")</f>
        <v>2 [37.425194]</v>
      </c>
      <c r="J94">
        <f>IF(FT!B94&lt;&gt;"",FT!C94,"")</f>
        <v>37.425199999999997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286884</v>
      </c>
      <c r="D95" s="61">
        <f>FH!B95*1</f>
        <v>286884</v>
      </c>
      <c r="E95">
        <f t="shared" si="11"/>
        <v>93</v>
      </c>
      <c r="F95" s="61">
        <f>IF(FT!A95&lt;&gt;"",FT!A95*10,"")</f>
        <v>4.00366</v>
      </c>
      <c r="G95" s="61">
        <f>IF(FT!B95&lt;&gt;"",FT!B95*100,"")</f>
        <v>46.509299999999996</v>
      </c>
      <c r="H95" s="61">
        <f t="shared" si="9"/>
        <v>1</v>
      </c>
      <c r="I95" t="str">
        <f>IF(FT!B95&lt;&gt;"",FT!E95,"")</f>
        <v>2 [37.832303]</v>
      </c>
      <c r="J95">
        <f>IF(FT!B95&lt;&gt;"",FT!C95,"")</f>
        <v>37.832299999999996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4.0079199999999995</v>
      </c>
      <c r="G96" s="61">
        <f>IF(FT!B96&lt;&gt;"",FT!B96*100,"")</f>
        <v>46.5244</v>
      </c>
      <c r="H96" s="61">
        <f t="shared" si="9"/>
        <v>1</v>
      </c>
      <c r="I96" t="str">
        <f>IF(FT!B96&lt;&gt;"",FT!E96,"")</f>
        <v>2 [38.240196]</v>
      </c>
      <c r="J96">
        <f>IF(FT!B96&lt;&gt;"",FT!C96,"")</f>
        <v>38.240200000000002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4.0085100000000002</v>
      </c>
      <c r="G97" s="61">
        <f>IF(FT!B97&lt;&gt;"",FT!B97*100,"")</f>
        <v>46.488199999999999</v>
      </c>
      <c r="H97" s="61">
        <f t="shared" si="9"/>
        <v>1</v>
      </c>
      <c r="I97" t="str">
        <f>IF(FT!B97&lt;&gt;"",FT!E97,"")</f>
        <v>2 [38.645117]</v>
      </c>
      <c r="J97">
        <f>IF(FT!B97&lt;&gt;"",FT!C97,"")</f>
        <v>38.645099999999999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310008</v>
      </c>
      <c r="D98" s="61">
        <f>FH!B98*1</f>
        <v>310008</v>
      </c>
      <c r="E98">
        <f t="shared" si="11"/>
        <v>96</v>
      </c>
      <c r="F98" s="61">
        <f>IF(FT!A98&lt;&gt;"",FT!A98*10,"")</f>
        <v>4.00854</v>
      </c>
      <c r="G98" s="61">
        <f>IF(FT!B98&lt;&gt;"",FT!B98*100,"")</f>
        <v>46.422000000000004</v>
      </c>
      <c r="H98" s="61">
        <f t="shared" si="9"/>
        <v>1</v>
      </c>
      <c r="I98" t="str">
        <f>IF(FT!B98&lt;&gt;"",FT!E98,"")</f>
        <v>2 [39.051404]</v>
      </c>
      <c r="J98">
        <f>IF(FT!B98&lt;&gt;"",FT!C98,"")</f>
        <v>39.051400000000001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3.99925</v>
      </c>
      <c r="G99" s="61">
        <f>IF(FT!B99&lt;&gt;"",FT!B99*100,"")</f>
        <v>46.331099999999999</v>
      </c>
      <c r="H99" s="61">
        <f t="shared" si="9"/>
        <v>1</v>
      </c>
      <c r="I99" t="str">
        <f>IF(FT!B99&lt;&gt;"",FT!E99,"")</f>
        <v>2 [39.455642]</v>
      </c>
      <c r="J99">
        <f>IF(FT!B99&lt;&gt;"",FT!C99,"")</f>
        <v>39.455599999999997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339531</v>
      </c>
      <c r="D100" s="61">
        <f>FH!B100*1</f>
        <v>339531</v>
      </c>
      <c r="E100">
        <f t="shared" si="11"/>
        <v>98</v>
      </c>
      <c r="F100" s="61">
        <f>IF(FT!A100&lt;&gt;"",FT!A100*10,"")</f>
        <v>3.9844299999999997</v>
      </c>
      <c r="G100" s="61">
        <f>IF(FT!B100&lt;&gt;"",FT!B100*100,"")</f>
        <v>46.251199999999997</v>
      </c>
      <c r="H100" s="61">
        <f t="shared" si="9"/>
        <v>1</v>
      </c>
      <c r="I100" t="str">
        <f>IF(FT!B100&lt;&gt;"",FT!E100,"")</f>
        <v>2 [39.859915]</v>
      </c>
      <c r="J100">
        <f>IF(FT!B100&lt;&gt;"",FT!C100,"")</f>
        <v>39.859900000000003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3.9649400000000004</v>
      </c>
      <c r="G101" s="61">
        <f>IF(FT!B101&lt;&gt;"",FT!B101*100,"")</f>
        <v>46.217799999999997</v>
      </c>
      <c r="H101" s="61">
        <f t="shared" si="9"/>
        <v>1</v>
      </c>
      <c r="I101" t="str">
        <f>IF(FT!B101&lt;&gt;"",FT!E101,"")</f>
        <v>2 [40.269611]</v>
      </c>
      <c r="J101">
        <f>IF(FT!B101&lt;&gt;"",FT!C101,"")</f>
        <v>40.269599999999997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3.93628</v>
      </c>
      <c r="G102" s="61">
        <f>IF(FT!B102&lt;&gt;"",FT!B102*100,"")</f>
        <v>46.251199999999997</v>
      </c>
      <c r="H102" s="61">
        <f t="shared" si="9"/>
        <v>1</v>
      </c>
      <c r="I102" t="str">
        <f>IF(FT!B102&lt;&gt;"",FT!E102,"")</f>
        <v>2 [40.677441]</v>
      </c>
      <c r="J102">
        <f>IF(FT!B102&lt;&gt;"",FT!C102,"")</f>
        <v>40.677399999999999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344730</v>
      </c>
      <c r="D103" s="61">
        <f>FH!B103*1</f>
        <v>344730</v>
      </c>
      <c r="E103">
        <f t="shared" si="11"/>
        <v>101</v>
      </c>
      <c r="F103" s="61">
        <f>IF(FT!A103&lt;&gt;"",FT!A103*10,"")</f>
        <v>3.9051900000000002</v>
      </c>
      <c r="G103" s="61">
        <f>IF(FT!B103&lt;&gt;"",FT!B103*100,"")</f>
        <v>46.363300000000002</v>
      </c>
      <c r="H103" s="61">
        <f t="shared" si="9"/>
        <v>1</v>
      </c>
      <c r="I103" t="str">
        <f>IF(FT!B103&lt;&gt;"",FT!E103,"")</f>
        <v>2 [41.080490]</v>
      </c>
      <c r="J103">
        <f>IF(FT!B103&lt;&gt;"",FT!C103,"")</f>
        <v>41.080500000000001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3.8734700000000002</v>
      </c>
      <c r="G104" s="61">
        <f>IF(FT!B104&lt;&gt;"",FT!B104*100,"")</f>
        <v>46.5197</v>
      </c>
      <c r="H104" s="61">
        <f t="shared" si="9"/>
        <v>1</v>
      </c>
      <c r="I104" t="str">
        <f>IF(FT!B104&lt;&gt;"",FT!E104,"")</f>
        <v>2 [41.487699]</v>
      </c>
      <c r="J104">
        <f>IF(FT!B104&lt;&gt;"",FT!C104,"")</f>
        <v>41.487699999999997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3.8446399999999996</v>
      </c>
      <c r="G105" s="61">
        <f>IF(FT!B105&lt;&gt;"",FT!B105*100,"")</f>
        <v>46.714399999999998</v>
      </c>
      <c r="H105" s="61">
        <f t="shared" si="9"/>
        <v>1</v>
      </c>
      <c r="I105" t="str">
        <f>IF(FT!B105&lt;&gt;"",FT!E105,"")</f>
        <v>2 [41.891392]</v>
      </c>
      <c r="J105">
        <f>IF(FT!B105&lt;&gt;"",FT!C105,"")</f>
        <v>41.891399999999997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340546</v>
      </c>
      <c r="D106" s="61">
        <f>FH!B106*1</f>
        <v>340546</v>
      </c>
      <c r="E106">
        <f t="shared" si="11"/>
        <v>104</v>
      </c>
      <c r="F106" s="61">
        <f>IF(FT!A106&lt;&gt;"",FT!A106*10,"")</f>
        <v>3.8194099999999995</v>
      </c>
      <c r="G106" s="61">
        <f>IF(FT!B106&lt;&gt;"",FT!B106*100,"")</f>
        <v>46.854600000000005</v>
      </c>
      <c r="H106" s="61">
        <f t="shared" si="9"/>
        <v>1</v>
      </c>
      <c r="I106" t="str">
        <f>IF(FT!B106&lt;&gt;"",FT!E106,"")</f>
        <v>2 [42.300053]</v>
      </c>
      <c r="J106">
        <f>IF(FT!B106&lt;&gt;"",FT!C106,"")</f>
        <v>42.3001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3.7976300000000003</v>
      </c>
      <c r="G107" s="61">
        <f>IF(FT!B107&lt;&gt;"",FT!B107*100,"")</f>
        <v>46.985399999999998</v>
      </c>
      <c r="H107" s="61">
        <f t="shared" si="9"/>
        <v>1</v>
      </c>
      <c r="I107" t="str">
        <f>IF(FT!B107&lt;&gt;"",FT!E107,"")</f>
        <v>2 [42.707925]</v>
      </c>
      <c r="J107">
        <f>IF(FT!B107&lt;&gt;"",FT!C107,"")</f>
        <v>42.707900000000002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333961</v>
      </c>
      <c r="D108" s="61">
        <f>FH!B108*1</f>
        <v>333961</v>
      </c>
      <c r="E108">
        <f t="shared" si="11"/>
        <v>106</v>
      </c>
      <c r="F108" s="61">
        <f>IF(FT!A108&lt;&gt;"",FT!A108*10,"")</f>
        <v>3.7729200000000001</v>
      </c>
      <c r="G108" s="61">
        <f>IF(FT!B108&lt;&gt;"",FT!B108*100,"")</f>
        <v>47.211399999999998</v>
      </c>
      <c r="H108" s="61">
        <f t="shared" si="9"/>
        <v>1</v>
      </c>
      <c r="I108" t="str">
        <f>IF(FT!B108&lt;&gt;"",FT!E108,"")</f>
        <v>2 [43.112992]</v>
      </c>
      <c r="J108">
        <f>IF(FT!B108&lt;&gt;"",FT!C108,"")</f>
        <v>43.113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3.7475100000000001</v>
      </c>
      <c r="G109" s="61">
        <f>IF(FT!B109&lt;&gt;"",FT!B109*100,"")</f>
        <v>47.578099999999999</v>
      </c>
      <c r="H109" s="61">
        <f t="shared" si="9"/>
        <v>1</v>
      </c>
      <c r="I109" t="str">
        <f>IF(FT!B109&lt;&gt;"",FT!E109,"")</f>
        <v>2 [43.516683]</v>
      </c>
      <c r="J109">
        <f>IF(FT!B109&lt;&gt;"",FT!C109,"")</f>
        <v>43.5167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3.7255700000000003</v>
      </c>
      <c r="G110" s="61">
        <f>IF(FT!B110&lt;&gt;"",FT!B110*100,"")</f>
        <v>47.946800000000003</v>
      </c>
      <c r="H110" s="61">
        <f t="shared" si="9"/>
        <v>1</v>
      </c>
      <c r="I110" t="str">
        <f>IF(FT!B110&lt;&gt;"",FT!E110,"")</f>
        <v>2 [43.925204]</v>
      </c>
      <c r="J110">
        <f>IF(FT!B110&lt;&gt;"",FT!C110,"")</f>
        <v>43.925199999999997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323123</v>
      </c>
      <c r="D111" s="61">
        <f>FH!B111*1</f>
        <v>323123</v>
      </c>
      <c r="E111">
        <f t="shared" si="11"/>
        <v>109</v>
      </c>
      <c r="F111" s="61">
        <f>IF(FT!A111&lt;&gt;"",FT!A111*10,"")</f>
        <v>3.7079200000000001</v>
      </c>
      <c r="G111" s="61">
        <f>IF(FT!B111&lt;&gt;"",FT!B111*100,"")</f>
        <v>48.207299999999996</v>
      </c>
      <c r="H111" s="61">
        <f t="shared" si="9"/>
        <v>1</v>
      </c>
      <c r="I111" t="str">
        <f>IF(FT!B111&lt;&gt;"",FT!E111,"")</f>
        <v>2 [44.332192]</v>
      </c>
      <c r="J111">
        <f>IF(FT!B111&lt;&gt;"",FT!C111,"")</f>
        <v>44.3322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3.6950599999999998</v>
      </c>
      <c r="G112" s="61">
        <f>IF(FT!B112&lt;&gt;"",FT!B112*100,"")</f>
        <v>48.423500000000004</v>
      </c>
      <c r="H112" s="61">
        <f t="shared" si="9"/>
        <v>1</v>
      </c>
      <c r="I112" t="str">
        <f>IF(FT!B112&lt;&gt;"",FT!E112,"")</f>
        <v>2 [44.739229]</v>
      </c>
      <c r="J112">
        <f>IF(FT!B112&lt;&gt;"",FT!C112,"")</f>
        <v>44.739199999999997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331008</v>
      </c>
      <c r="D113" s="61">
        <f>FH!B113*1</f>
        <v>331008</v>
      </c>
      <c r="E113">
        <f t="shared" si="11"/>
        <v>111</v>
      </c>
      <c r="F113" s="61">
        <f>IF(FT!A113&lt;&gt;"",FT!A113*10,"")</f>
        <v>3.6842299999999999</v>
      </c>
      <c r="G113" s="61">
        <f>IF(FT!B113&lt;&gt;"",FT!B113*100,"")</f>
        <v>48.646099999999997</v>
      </c>
      <c r="H113" s="61">
        <f t="shared" si="9"/>
        <v>1</v>
      </c>
      <c r="I113" t="str">
        <f>IF(FT!B113&lt;&gt;"",FT!E113,"")</f>
        <v>2 [45.142465]</v>
      </c>
      <c r="J113">
        <f>IF(FT!B113&lt;&gt;"",FT!C113,"")</f>
        <v>45.142499999999998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3.6764099999999997</v>
      </c>
      <c r="G114" s="61">
        <f>IF(FT!B114&lt;&gt;"",FT!B114*100,"")</f>
        <v>48.782499999999999</v>
      </c>
      <c r="H114" s="61">
        <f t="shared" si="9"/>
        <v>1</v>
      </c>
      <c r="I114" t="str">
        <f>IF(FT!B114&lt;&gt;"",FT!E114,"")</f>
        <v>2 [45.548255]</v>
      </c>
      <c r="J114">
        <f>IF(FT!B114&lt;&gt;"",FT!C114,"")</f>
        <v>45.548299999999998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3.6707700000000001</v>
      </c>
      <c r="G115" s="61">
        <f>IF(FT!B115&lt;&gt;"",FT!B115*100,"")</f>
        <v>48.845300000000002</v>
      </c>
      <c r="H115" s="61">
        <f t="shared" si="9"/>
        <v>1</v>
      </c>
      <c r="I115" t="str">
        <f>IF(FT!B115&lt;&gt;"",FT!E115,"")</f>
        <v>2 [45.955540]</v>
      </c>
      <c r="J115">
        <f>IF(FT!B115&lt;&gt;"",FT!C115,"")</f>
        <v>45.955500000000001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326186</v>
      </c>
      <c r="D116" s="61">
        <f>FH!B116*1</f>
        <v>326186</v>
      </c>
      <c r="E116">
        <f t="shared" si="11"/>
        <v>114</v>
      </c>
      <c r="F116" s="61">
        <f>IF(FT!A116&lt;&gt;"",FT!A116*10,"")</f>
        <v>3.6667399999999999</v>
      </c>
      <c r="G116" s="61">
        <f>IF(FT!B116&lt;&gt;"",FT!B116*100,"")</f>
        <v>48.889400000000002</v>
      </c>
      <c r="H116" s="61">
        <f t="shared" si="9"/>
        <v>1</v>
      </c>
      <c r="I116" t="str">
        <f>IF(FT!B116&lt;&gt;"",FT!E116,"")</f>
        <v>2 [46.362272]</v>
      </c>
      <c r="J116">
        <f>IF(FT!B116&lt;&gt;"",FT!C116,"")</f>
        <v>46.362299999999998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3.6685699999999999</v>
      </c>
      <c r="G117" s="61">
        <f>IF(FT!B117&lt;&gt;"",FT!B117*100,"")</f>
        <v>48.845399999999998</v>
      </c>
      <c r="H117" s="61">
        <f t="shared" si="9"/>
        <v>1</v>
      </c>
      <c r="I117" t="str">
        <f>IF(FT!B117&lt;&gt;"",FT!E117,"")</f>
        <v>2 [46.765886]</v>
      </c>
      <c r="J117">
        <f>IF(FT!B117&lt;&gt;"",FT!C117,"")</f>
        <v>46.765900000000002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310514</v>
      </c>
      <c r="D118" s="61">
        <f>FH!B118*1</f>
        <v>310514</v>
      </c>
      <c r="E118">
        <f t="shared" si="11"/>
        <v>116</v>
      </c>
      <c r="F118" s="61">
        <f>IF(FT!A118&lt;&gt;"",FT!A118*10,"")</f>
        <v>3.6737199999999999</v>
      </c>
      <c r="G118" s="61">
        <f>IF(FT!B118&lt;&gt;"",FT!B118*100,"")</f>
        <v>48.729799999999997</v>
      </c>
      <c r="H118" s="61">
        <f t="shared" si="9"/>
        <v>1</v>
      </c>
      <c r="I118" t="str">
        <f>IF(FT!B118&lt;&gt;"",FT!E118,"")</f>
        <v>2 [47.172307]</v>
      </c>
      <c r="J118">
        <f>IF(FT!B118&lt;&gt;"",FT!C118,"")</f>
        <v>47.1723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3.6832900000000004</v>
      </c>
      <c r="G119" s="61">
        <f>IF(FT!B119&lt;&gt;"",FT!B119*100,"")</f>
        <v>48.508000000000003</v>
      </c>
      <c r="H119" s="61">
        <f t="shared" si="9"/>
        <v>1</v>
      </c>
      <c r="I119" t="str">
        <f>IF(FT!B119&lt;&gt;"",FT!E119,"")</f>
        <v>2 [47.580993]</v>
      </c>
      <c r="J119">
        <f>IF(FT!B119&lt;&gt;"",FT!C119,"")</f>
        <v>47.581000000000003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3.6913400000000003</v>
      </c>
      <c r="G120" s="61">
        <f>IF(FT!B120&lt;&gt;"",FT!B120*100,"")</f>
        <v>48.306699999999999</v>
      </c>
      <c r="H120" s="61">
        <f t="shared" si="9"/>
        <v>1</v>
      </c>
      <c r="I120" t="str">
        <f>IF(FT!B120&lt;&gt;"",FT!E120,"")</f>
        <v>2 [47.989808]</v>
      </c>
      <c r="J120">
        <f>IF(FT!B120&lt;&gt;"",FT!C120,"")</f>
        <v>47.989800000000002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277392</v>
      </c>
      <c r="D121" s="61">
        <f>FH!B121*1</f>
        <v>277392</v>
      </c>
      <c r="E121">
        <f t="shared" si="11"/>
        <v>119</v>
      </c>
      <c r="F121" s="61">
        <f>IF(FT!A121&lt;&gt;"",FT!A121*10,"")</f>
        <v>3.7028600000000003</v>
      </c>
      <c r="G121" s="61">
        <f>IF(FT!B121&lt;&gt;"",FT!B121*100,"")</f>
        <v>48.017800000000001</v>
      </c>
      <c r="H121" s="61">
        <f t="shared" si="9"/>
        <v>1</v>
      </c>
      <c r="I121" t="str">
        <f>IF(FT!B121&lt;&gt;"",FT!E121,"")</f>
        <v>2 [48.391666]</v>
      </c>
      <c r="J121">
        <f>IF(FT!B121&lt;&gt;"",FT!C121,"")</f>
        <v>48.3917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3.7163900000000001</v>
      </c>
      <c r="G122" s="61">
        <f>IF(FT!B122&lt;&gt;"",FT!B122*100,"")</f>
        <v>47.6751</v>
      </c>
      <c r="H122" s="61">
        <f t="shared" si="9"/>
        <v>1</v>
      </c>
      <c r="I122" t="str">
        <f>IF(FT!B122&lt;&gt;"",FT!E122,"")</f>
        <v>2 [48.797049]</v>
      </c>
      <c r="J122">
        <f>IF(FT!B122&lt;&gt;"",FT!C122,"")</f>
        <v>48.796999999999997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3.7314799999999999</v>
      </c>
      <c r="G123" s="61">
        <f>IF(FT!B123&lt;&gt;"",FT!B123*100,"")</f>
        <v>47.2637</v>
      </c>
      <c r="H123" s="61">
        <f t="shared" si="9"/>
        <v>1</v>
      </c>
      <c r="I123" t="str">
        <f>IF(FT!B123&lt;&gt;"",FT!E123,"")</f>
        <v>2 [49.204172]</v>
      </c>
      <c r="J123">
        <f>IF(FT!B123&lt;&gt;"",FT!C123,"")</f>
        <v>49.2042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243805</v>
      </c>
      <c r="D124" s="61">
        <f>FH!B124*1</f>
        <v>243805</v>
      </c>
      <c r="E124">
        <f t="shared" si="11"/>
        <v>122</v>
      </c>
      <c r="F124" s="61">
        <f>IF(FT!A124&lt;&gt;"",FT!A124*10,"")</f>
        <v>3.7494499999999995</v>
      </c>
      <c r="G124" s="61">
        <f>IF(FT!B124&lt;&gt;"",FT!B124*100,"")</f>
        <v>46.861799999999995</v>
      </c>
      <c r="H124" s="61">
        <f t="shared" si="9"/>
        <v>1</v>
      </c>
      <c r="I124" t="str">
        <f>IF(FT!B124&lt;&gt;"",FT!E124,"")</f>
        <v>2 [49.612388]</v>
      </c>
      <c r="J124">
        <f>IF(FT!B124&lt;&gt;"",FT!C124,"")</f>
        <v>49.612400000000001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3.7681800000000001</v>
      </c>
      <c r="G125" s="61">
        <f>IF(FT!B125&lt;&gt;"",FT!B125*100,"")</f>
        <v>46.478400000000001</v>
      </c>
      <c r="H125" s="61">
        <f t="shared" si="9"/>
        <v>1</v>
      </c>
      <c r="I125" t="str">
        <f>IF(FT!B125&lt;&gt;"",FT!E125,"")</f>
        <v>2 [50.015980]</v>
      </c>
      <c r="J125">
        <f>IF(FT!B125&lt;&gt;"",FT!C125,"")</f>
        <v>50.015999999999998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219252</v>
      </c>
      <c r="D126" s="61">
        <f>FH!B126*1</f>
        <v>219252</v>
      </c>
      <c r="E126">
        <f t="shared" si="11"/>
        <v>124</v>
      </c>
      <c r="F126" s="61">
        <f>IF(FT!A126&lt;&gt;"",FT!A126*10,"")</f>
        <v>3.7764500000000001</v>
      </c>
      <c r="G126" s="61">
        <f>IF(FT!B126&lt;&gt;"",FT!B126*100,"")</f>
        <v>46.360500000000002</v>
      </c>
      <c r="H126" s="61">
        <f t="shared" si="9"/>
        <v>1</v>
      </c>
      <c r="I126" t="str">
        <f>IF(FT!B126&lt;&gt;"",FT!E126,"")</f>
        <v>2 [50.424299]</v>
      </c>
      <c r="J126">
        <f>IF(FT!B126&lt;&gt;"",FT!C126,"")</f>
        <v>50.424300000000002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3.78938</v>
      </c>
      <c r="G127" s="61">
        <f>IF(FT!B127&lt;&gt;"",FT!B127*100,"")</f>
        <v>46.26</v>
      </c>
      <c r="H127" s="61">
        <f t="shared" si="9"/>
        <v>1</v>
      </c>
      <c r="I127" t="str">
        <f>IF(FT!B127&lt;&gt;"",FT!E127,"")</f>
        <v>2 [50.830381]</v>
      </c>
      <c r="J127">
        <f>IF(FT!B127&lt;&gt;"",FT!C127,"")</f>
        <v>50.830399999999997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3.8041</v>
      </c>
      <c r="G128" s="61">
        <f>IF(FT!B128&lt;&gt;"",FT!B128*100,"")</f>
        <v>46.161499999999997</v>
      </c>
      <c r="H128" s="61">
        <f t="shared" si="9"/>
        <v>1</v>
      </c>
      <c r="I128" t="str">
        <f>IF(FT!B128&lt;&gt;"",FT!E128,"")</f>
        <v>2 [51.236495]</v>
      </c>
      <c r="J128">
        <f>IF(FT!B128&lt;&gt;"",FT!C128,"")</f>
        <v>51.236499999999999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189201</v>
      </c>
      <c r="D129" s="61">
        <f>FH!B129*1</f>
        <v>189201</v>
      </c>
      <c r="E129">
        <f t="shared" si="11"/>
        <v>127</v>
      </c>
      <c r="F129" s="61">
        <f>IF(FT!A129&lt;&gt;"",FT!A129*10,"")</f>
        <v>3.81934</v>
      </c>
      <c r="G129" s="61">
        <f>IF(FT!B129&lt;&gt;"",FT!B129*100,"")</f>
        <v>46.067500000000003</v>
      </c>
      <c r="H129" s="61">
        <f t="shared" si="9"/>
        <v>1</v>
      </c>
      <c r="I129" t="str">
        <f>IF(FT!B129&lt;&gt;"",FT!E129,"")</f>
        <v>2 [51.641821]</v>
      </c>
      <c r="J129">
        <f>IF(FT!B129&lt;&gt;"",FT!C129,"")</f>
        <v>51.641800000000003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3.8336199999999998</v>
      </c>
      <c r="G130" s="61">
        <f>IF(FT!B130&lt;&gt;"",FT!B130*100,"")</f>
        <v>45.974900000000005</v>
      </c>
      <c r="H130" s="61">
        <f t="shared" si="9"/>
        <v>1</v>
      </c>
      <c r="I130" t="str">
        <f>IF(FT!B130&lt;&gt;"",FT!E130,"")</f>
        <v>2 [52.053254]</v>
      </c>
      <c r="J130">
        <f>IF(FT!B130&lt;&gt;"",FT!C130,"")</f>
        <v>52.0533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160756</v>
      </c>
      <c r="D131" s="61">
        <f>FH!B131*1</f>
        <v>160756</v>
      </c>
      <c r="E131">
        <f t="shared" si="11"/>
        <v>129</v>
      </c>
      <c r="F131" s="61">
        <f>IF(FT!A131&lt;&gt;"",FT!A131*10,"")</f>
        <v>3.84849</v>
      </c>
      <c r="G131" s="61">
        <f>IF(FT!B131&lt;&gt;"",FT!B131*100,"")</f>
        <v>45.874299999999998</v>
      </c>
      <c r="H131" s="61">
        <f t="shared" ref="H131:H194" si="13">(IF(F131&lt;&gt;"",1,""))</f>
        <v>1</v>
      </c>
      <c r="I131" t="str">
        <f>IF(FT!B131&lt;&gt;"",FT!E131,"")</f>
        <v>2 [52.455363]</v>
      </c>
      <c r="J131">
        <f>IF(FT!B131&lt;&gt;"",FT!C131,"")</f>
        <v>52.455399999999997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3.8634200000000001</v>
      </c>
      <c r="G132" s="61">
        <f>IF(FT!B132&lt;&gt;"",FT!B132*100,"")</f>
        <v>45.768100000000004</v>
      </c>
      <c r="H132" s="61">
        <f t="shared" si="13"/>
        <v>1</v>
      </c>
      <c r="I132" t="str">
        <f>IF(FT!B132&lt;&gt;"",FT!E132,"")</f>
        <v>2 [52.862124]</v>
      </c>
      <c r="J132">
        <f>IF(FT!B132&lt;&gt;"",FT!C132,"")</f>
        <v>52.862099999999998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3.8815400000000002</v>
      </c>
      <c r="G133" s="61">
        <f>IF(FT!B133&lt;&gt;"",FT!B133*100,"")</f>
        <v>45.646100000000004</v>
      </c>
      <c r="H133" s="61">
        <f t="shared" si="13"/>
        <v>1</v>
      </c>
      <c r="I133" t="str">
        <f>IF(FT!B133&lt;&gt;"",FT!E133,"")</f>
        <v>2 [53.268046]</v>
      </c>
      <c r="J133">
        <f>IF(FT!B133&lt;&gt;"",FT!C133,"")</f>
        <v>53.268000000000001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133407</v>
      </c>
      <c r="D134" s="61">
        <f>FH!B134*1</f>
        <v>133407</v>
      </c>
      <c r="E134">
        <f t="shared" si="15"/>
        <v>132</v>
      </c>
      <c r="F134" s="61">
        <f>IF(FT!A134&lt;&gt;"",FT!A134*10,"")</f>
        <v>3.8976199999999999</v>
      </c>
      <c r="G134" s="61">
        <f>IF(FT!B134&lt;&gt;"",FT!B134*100,"")</f>
        <v>45.522199999999998</v>
      </c>
      <c r="H134" s="61">
        <f t="shared" si="13"/>
        <v>1</v>
      </c>
      <c r="I134" t="str">
        <f>IF(FT!B134&lt;&gt;"",FT!E134,"")</f>
        <v>2 [53.672087]</v>
      </c>
      <c r="J134">
        <f>IF(FT!B134&lt;&gt;"",FT!C134,"")</f>
        <v>53.6721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3.9107599999999998</v>
      </c>
      <c r="G135" s="61">
        <f>IF(FT!B135&lt;&gt;"",FT!B135*100,"")</f>
        <v>45.409399999999998</v>
      </c>
      <c r="H135" s="61">
        <f t="shared" si="13"/>
        <v>1</v>
      </c>
      <c r="I135" t="str">
        <f>IF(FT!B135&lt;&gt;"",FT!E135,"")</f>
        <v>2 [54.082787]</v>
      </c>
      <c r="J135">
        <f>IF(FT!B135&lt;&gt;"",FT!C135,"")</f>
        <v>54.082799999999999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108876</v>
      </c>
      <c r="D136" s="61">
        <f>FH!B136*1</f>
        <v>108876</v>
      </c>
      <c r="E136">
        <f t="shared" si="15"/>
        <v>134</v>
      </c>
      <c r="F136" s="61">
        <f>IF(FT!A136&lt;&gt;"",FT!A136*10,"")</f>
        <v>3.9233000000000002</v>
      </c>
      <c r="G136" s="61">
        <f>IF(FT!B136&lt;&gt;"",FT!B136*100,"")</f>
        <v>45.322299999999998</v>
      </c>
      <c r="H136" s="61">
        <f t="shared" si="13"/>
        <v>1</v>
      </c>
      <c r="I136" t="str">
        <f>IF(FT!B136&lt;&gt;"",FT!E136,"")</f>
        <v>2 [54.486453]</v>
      </c>
      <c r="J136">
        <f>IF(FT!B136&lt;&gt;"",FT!C136,"")</f>
        <v>54.486499999999999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3.9332400000000001</v>
      </c>
      <c r="G137" s="61">
        <f>IF(FT!B137&lt;&gt;"",FT!B137*100,"")</f>
        <v>45.235500000000002</v>
      </c>
      <c r="H137" s="61">
        <f t="shared" si="13"/>
        <v>1</v>
      </c>
      <c r="I137" t="str">
        <f>IF(FT!B137&lt;&gt;"",FT!E137,"")</f>
        <v>2 [54.890747]</v>
      </c>
      <c r="J137">
        <f>IF(FT!B137&lt;&gt;"",FT!C137,"")</f>
        <v>54.890700000000002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3.9375300000000002</v>
      </c>
      <c r="G138" s="61">
        <f>IF(FT!B138&lt;&gt;"",FT!B138*100,"")</f>
        <v>45.155200000000001</v>
      </c>
      <c r="H138" s="61">
        <f t="shared" si="13"/>
        <v>1</v>
      </c>
      <c r="I138" t="str">
        <f>IF(FT!B138&lt;&gt;"",FT!E138,"")</f>
        <v>2 [55.297432]</v>
      </c>
      <c r="J138">
        <f>IF(FT!B138&lt;&gt;"",FT!C138,"")</f>
        <v>55.297400000000003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89325</v>
      </c>
      <c r="D139" s="61">
        <f>FH!B139*1</f>
        <v>89325</v>
      </c>
      <c r="E139">
        <f t="shared" si="15"/>
        <v>137</v>
      </c>
      <c r="F139" s="61">
        <f>IF(FT!A139&lt;&gt;"",FT!A139*10,"")</f>
        <v>3.9433400000000001</v>
      </c>
      <c r="G139" s="61">
        <f>IF(FT!B139&lt;&gt;"",FT!B139*100,"")</f>
        <v>45.009300000000003</v>
      </c>
      <c r="H139" s="61">
        <f t="shared" si="13"/>
        <v>1</v>
      </c>
      <c r="I139" t="str">
        <f>IF(FT!B139&lt;&gt;"",FT!E139,"")</f>
        <v>2 [55.707552]</v>
      </c>
      <c r="J139">
        <f>IF(FT!B139&lt;&gt;"",FT!C139,"")</f>
        <v>55.707599999999999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3.9554299999999998</v>
      </c>
      <c r="G140" s="61">
        <f>IF(FT!B140&lt;&gt;"",FT!B140*100,"")</f>
        <v>44.768000000000001</v>
      </c>
      <c r="H140" s="61">
        <f t="shared" si="13"/>
        <v>1</v>
      </c>
      <c r="I140" t="str">
        <f>IF(FT!B140&lt;&gt;"",FT!E140,"")</f>
        <v>2 [56.113734]</v>
      </c>
      <c r="J140">
        <f>IF(FT!B140&lt;&gt;"",FT!C140,"")</f>
        <v>56.113700000000001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3.9717500000000001</v>
      </c>
      <c r="G141" s="61">
        <f>IF(FT!B141&lt;&gt;"",FT!B141*100,"")</f>
        <v>44.451599999999999</v>
      </c>
      <c r="H141" s="61">
        <f t="shared" si="13"/>
        <v>1</v>
      </c>
      <c r="I141" t="str">
        <f>IF(FT!B141&lt;&gt;"",FT!E141,"")</f>
        <v>2 [56.518358]</v>
      </c>
      <c r="J141">
        <f>IF(FT!B141&lt;&gt;"",FT!C141,"")</f>
        <v>56.5184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73372</v>
      </c>
      <c r="D142" s="61">
        <f>FH!B142*1</f>
        <v>73372</v>
      </c>
      <c r="E142">
        <f t="shared" si="15"/>
        <v>140</v>
      </c>
      <c r="F142" s="61">
        <f>IF(FT!A142&lt;&gt;"",FT!A142*10,"")</f>
        <v>3.9902100000000003</v>
      </c>
      <c r="G142" s="61">
        <f>IF(FT!B142&lt;&gt;"",FT!B142*100,"")</f>
        <v>44.143500000000003</v>
      </c>
      <c r="H142" s="61">
        <f t="shared" si="13"/>
        <v>1</v>
      </c>
      <c r="I142" t="str">
        <f>IF(FT!B142&lt;&gt;"",FT!E142,"")</f>
        <v>2 [56.924420]</v>
      </c>
      <c r="J142">
        <f>IF(FT!B142&lt;&gt;"",FT!C142,"")</f>
        <v>56.924399999999999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4.0113399999999997</v>
      </c>
      <c r="G143" s="61">
        <f>IF(FT!B143&lt;&gt;"",FT!B143*100,"")</f>
        <v>43.807899999999997</v>
      </c>
      <c r="H143" s="61">
        <f t="shared" si="13"/>
        <v>1</v>
      </c>
      <c r="I143" t="str">
        <f>IF(FT!B143&lt;&gt;"",FT!E143,"")</f>
        <v>2 [57.331002]</v>
      </c>
      <c r="J143">
        <f>IF(FT!B143&lt;&gt;"",FT!C143,"")</f>
        <v>57.331000000000003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60627</v>
      </c>
      <c r="D144" s="61">
        <f>FH!B144*1</f>
        <v>60627</v>
      </c>
      <c r="E144">
        <f t="shared" si="15"/>
        <v>142</v>
      </c>
      <c r="F144" s="61">
        <f>IF(FT!A144&lt;&gt;"",FT!A144*10,"")</f>
        <v>4.0284199999999997</v>
      </c>
      <c r="G144" s="61">
        <f>IF(FT!B144&lt;&gt;"",FT!B144*100,"")</f>
        <v>43.508299999999998</v>
      </c>
      <c r="H144" s="61">
        <f t="shared" si="13"/>
        <v>1</v>
      </c>
      <c r="I144" t="str">
        <f>IF(FT!B144&lt;&gt;"",FT!E144,"")</f>
        <v>2 [57.737497]</v>
      </c>
      <c r="J144">
        <f>IF(FT!B144&lt;&gt;"",FT!C144,"")</f>
        <v>57.737499999999997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4.0512100000000002</v>
      </c>
      <c r="G145" s="61">
        <f>IF(FT!B145&lt;&gt;"",FT!B145*100,"")</f>
        <v>43.069000000000003</v>
      </c>
      <c r="H145" s="61">
        <f t="shared" si="13"/>
        <v>1</v>
      </c>
      <c r="I145" t="str">
        <f>IF(FT!B145&lt;&gt;"",FT!E145,"")</f>
        <v>2 [58.143383]</v>
      </c>
      <c r="J145">
        <f>IF(FT!B145&lt;&gt;"",FT!C145,"")</f>
        <v>58.1434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4.0607500000000005</v>
      </c>
      <c r="G146" s="61">
        <f>IF(FT!B146&lt;&gt;"",FT!B146*100,"")</f>
        <v>42.607299999999995</v>
      </c>
      <c r="H146" s="61">
        <f t="shared" si="13"/>
        <v>1</v>
      </c>
      <c r="I146" t="str">
        <f>IF(FT!B146&lt;&gt;"",FT!E146,"")</f>
        <v>2 [58.552907]</v>
      </c>
      <c r="J146">
        <f>IF(FT!B146&lt;&gt;"",FT!C146,"")</f>
        <v>58.552900000000001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48741</v>
      </c>
      <c r="D147" s="61">
        <f>FH!B147*1</f>
        <v>48741</v>
      </c>
      <c r="E147">
        <f t="shared" si="15"/>
        <v>145</v>
      </c>
      <c r="F147" s="61">
        <f>IF(FT!A147&lt;&gt;"",FT!A147*10,"")</f>
        <v>4.0728999999999997</v>
      </c>
      <c r="G147" s="61">
        <f>IF(FT!B147&lt;&gt;"",FT!B147*100,"")</f>
        <v>42.271500000000003</v>
      </c>
      <c r="H147" s="61">
        <f t="shared" si="13"/>
        <v>1</v>
      </c>
      <c r="I147" t="str">
        <f>IF(FT!B147&lt;&gt;"",FT!E147,"")</f>
        <v>2 [58.954564]</v>
      </c>
      <c r="J147">
        <f>IF(FT!B147&lt;&gt;"",FT!C147,"")</f>
        <v>58.954599999999999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4.0594799999999998</v>
      </c>
      <c r="G148" s="61">
        <f>IF(FT!B148&lt;&gt;"",FT!B148*100,"")</f>
        <v>42.238</v>
      </c>
      <c r="H148" s="61">
        <f t="shared" si="13"/>
        <v>1</v>
      </c>
      <c r="I148" t="str">
        <f>IF(FT!B148&lt;&gt;"",FT!E148,"")</f>
        <v>2 [59.360485]</v>
      </c>
      <c r="J148">
        <f>IF(FT!B148&lt;&gt;"",FT!C148,"")</f>
        <v>59.360500000000002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39922</v>
      </c>
      <c r="D149" s="61">
        <f>FH!B149*1</f>
        <v>39922</v>
      </c>
      <c r="E149">
        <f t="shared" si="15"/>
        <v>147</v>
      </c>
      <c r="F149" s="61">
        <f>IF(FT!A149&lt;&gt;"",FT!A149*10,"")</f>
        <v>4.0493100000000002</v>
      </c>
      <c r="G149" s="61">
        <f>IF(FT!B149&lt;&gt;"",FT!B149*100,"")</f>
        <v>42.129399999999997</v>
      </c>
      <c r="H149" s="61">
        <f t="shared" si="13"/>
        <v>1</v>
      </c>
      <c r="I149" t="str">
        <f>IF(FT!B149&lt;&gt;"",FT!E149,"")</f>
        <v>2 [59.768060]</v>
      </c>
      <c r="J149">
        <f>IF(FT!B149&lt;&gt;"",FT!C149,"")</f>
        <v>59.768099999999997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31532</v>
      </c>
      <c r="D152" s="61">
        <f>FH!B152*1</f>
        <v>31532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24714</v>
      </c>
      <c r="D154" s="61">
        <f>FH!B154*1</f>
        <v>24714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20903</v>
      </c>
      <c r="D157" s="61">
        <f>FH!B157*1</f>
        <v>20903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17581</v>
      </c>
      <c r="D160" s="61">
        <f>FH!B160*1</f>
        <v>17581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11511</v>
      </c>
      <c r="D162" s="61">
        <f>FH!B162*1</f>
        <v>11511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9616</v>
      </c>
      <c r="D165" s="61">
        <f>FH!B165*1</f>
        <v>9616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5485</v>
      </c>
      <c r="D167" s="61">
        <f>FH!B167*1</f>
        <v>5485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2880</v>
      </c>
      <c r="D170" s="61">
        <f>FH!B170*1</f>
        <v>2880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2002</v>
      </c>
      <c r="D173" s="61">
        <f>FH!B173*1</f>
        <v>2002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1791</v>
      </c>
      <c r="D175" s="61">
        <f>FH!B175*1</f>
        <v>1791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1698</v>
      </c>
      <c r="D178" s="61">
        <f>FH!B178*1</f>
        <v>1698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772</v>
      </c>
      <c r="D180" s="61">
        <f>FH!B180*1</f>
        <v>772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1150</v>
      </c>
      <c r="D183" s="61">
        <f>FH!B183*1</f>
        <v>1150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642</v>
      </c>
      <c r="D185" s="61">
        <f>FH!B185*1</f>
        <v>642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41.385899999999999</v>
      </c>
      <c r="C5" s="66">
        <v>7.6802000000000001</v>
      </c>
      <c r="D5" s="66">
        <v>18.557500000000001</v>
      </c>
      <c r="E5" s="66">
        <v>20</v>
      </c>
      <c r="F5" s="66">
        <v>15.192</v>
      </c>
      <c r="G5" s="66">
        <v>50</v>
      </c>
      <c r="H5" s="66">
        <v>52.914299999999997</v>
      </c>
    </row>
    <row r="6" spans="1:8">
      <c r="A6" s="58" t="s">
        <v>303</v>
      </c>
      <c r="B6" s="66">
        <v>27.668199999999999</v>
      </c>
      <c r="C6" s="66">
        <v>2.3775499999999998</v>
      </c>
      <c r="D6" s="66">
        <v>8.5930700000000009</v>
      </c>
      <c r="E6" s="66">
        <v>20</v>
      </c>
      <c r="F6" s="66">
        <v>22.814900000000002</v>
      </c>
      <c r="G6" s="66">
        <v>40</v>
      </c>
      <c r="H6" s="66">
        <v>31.793199999999999</v>
      </c>
    </row>
    <row r="7" spans="1:8">
      <c r="A7" s="58" t="s">
        <v>304</v>
      </c>
      <c r="B7" s="66">
        <v>24.257400000000001</v>
      </c>
      <c r="C7" s="66">
        <v>6.1684999999999999</v>
      </c>
      <c r="D7" s="66">
        <v>25.429400000000001</v>
      </c>
      <c r="E7" s="66">
        <v>15</v>
      </c>
      <c r="F7" s="66">
        <v>12.0329</v>
      </c>
      <c r="G7" s="66">
        <v>40</v>
      </c>
      <c r="H7" s="66">
        <v>49.450200000000002</v>
      </c>
    </row>
    <row r="8" spans="1:8">
      <c r="A8" s="58" t="s">
        <v>305</v>
      </c>
      <c r="B8" s="66">
        <v>31.1999</v>
      </c>
      <c r="C8" s="66">
        <v>3.9224299999999999</v>
      </c>
      <c r="D8" s="66">
        <v>12.571899999999999</v>
      </c>
      <c r="E8" s="66">
        <v>20</v>
      </c>
      <c r="F8" s="66">
        <v>16.974900000000002</v>
      </c>
      <c r="G8" s="66">
        <v>50</v>
      </c>
      <c r="H8" s="66">
        <v>39.265099999999997</v>
      </c>
    </row>
    <row r="9" spans="1:8">
      <c r="A9" s="58" t="s">
        <v>306</v>
      </c>
      <c r="B9" s="66">
        <v>52.652500000000003</v>
      </c>
      <c r="C9" s="66">
        <v>6.8329000000000004</v>
      </c>
      <c r="D9" s="66">
        <v>12.977399999999999</v>
      </c>
      <c r="E9" s="66">
        <v>50</v>
      </c>
      <c r="F9" s="66">
        <v>34.961799999999997</v>
      </c>
      <c r="G9" s="66">
        <v>100</v>
      </c>
      <c r="H9" s="66">
        <v>65.954599999999999</v>
      </c>
    </row>
    <row r="10" spans="1:8">
      <c r="A10" s="58" t="s">
        <v>307</v>
      </c>
      <c r="B10" s="66">
        <v>77.514899999999997</v>
      </c>
      <c r="C10" s="66">
        <v>3.2799399999999999</v>
      </c>
      <c r="D10" s="66">
        <v>4.2313700000000001</v>
      </c>
      <c r="E10" s="66">
        <v>40</v>
      </c>
      <c r="F10" s="66">
        <v>72.649799999999999</v>
      </c>
      <c r="G10" s="66">
        <v>100</v>
      </c>
      <c r="H10" s="66">
        <v>86.026700000000005</v>
      </c>
    </row>
    <row r="11" spans="1:8">
      <c r="A11" s="58" t="s">
        <v>308</v>
      </c>
      <c r="B11" s="66">
        <v>27.5138</v>
      </c>
      <c r="C11" s="66">
        <v>4.9151300000000004</v>
      </c>
      <c r="D11" s="66">
        <v>17.8642</v>
      </c>
      <c r="E11" s="66">
        <v>10</v>
      </c>
      <c r="F11" s="66">
        <v>11.408799999999999</v>
      </c>
      <c r="G11" s="66">
        <v>50</v>
      </c>
      <c r="H11" s="66">
        <v>36.016199999999998</v>
      </c>
    </row>
    <row r="12" spans="1:8">
      <c r="A12" s="58" t="s">
        <v>309</v>
      </c>
      <c r="B12" s="66">
        <v>65.160499999999999</v>
      </c>
      <c r="C12" s="66">
        <v>3.2399800000000001</v>
      </c>
      <c r="D12" s="66">
        <v>4.9723100000000002</v>
      </c>
      <c r="E12" s="66">
        <v>50</v>
      </c>
      <c r="F12" s="66">
        <v>54.731099999999998</v>
      </c>
      <c r="G12" s="66">
        <v>100</v>
      </c>
      <c r="H12" s="66">
        <v>72.4893</v>
      </c>
    </row>
    <row r="13" spans="1:8">
      <c r="A13" s="58" t="s">
        <v>310</v>
      </c>
      <c r="B13" s="66">
        <v>18.4422</v>
      </c>
      <c r="C13" s="66">
        <v>2.7088199999999998</v>
      </c>
      <c r="D13" s="66">
        <v>14.6882</v>
      </c>
      <c r="E13" s="66">
        <v>10</v>
      </c>
      <c r="F13" s="66">
        <v>14.0814</v>
      </c>
      <c r="G13" s="66">
        <v>25</v>
      </c>
      <c r="H13" s="66">
        <v>27.545999999999999</v>
      </c>
    </row>
    <row r="14" spans="1:8">
      <c r="A14" s="58" t="s">
        <v>311</v>
      </c>
      <c r="B14" s="66">
        <v>27.088200000000001</v>
      </c>
      <c r="C14" s="66">
        <v>9.7192399999999992</v>
      </c>
      <c r="D14" s="66">
        <v>35.880000000000003</v>
      </c>
      <c r="E14" s="66">
        <v>10</v>
      </c>
      <c r="F14" s="66">
        <v>2.0630500000000001</v>
      </c>
      <c r="G14" s="66">
        <v>50</v>
      </c>
      <c r="H14" s="66">
        <v>40.419499999999999</v>
      </c>
    </row>
    <row r="15" spans="1:8">
      <c r="A15" s="58" t="s">
        <v>312</v>
      </c>
      <c r="B15" s="66">
        <v>-8.3356899999999998E-3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-9.5468199999999993E-3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15.576499999999999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0.5292</v>
      </c>
      <c r="C18" s="66">
        <v>5.4149000000000003E-2</v>
      </c>
      <c r="D18" s="66">
        <v>0.102322</v>
      </c>
      <c r="E18" s="66">
        <v>0</v>
      </c>
      <c r="F18" s="66">
        <v>0.475051</v>
      </c>
      <c r="G18" s="66">
        <v>0</v>
      </c>
      <c r="H18" s="66">
        <v>0.58334900000000001</v>
      </c>
    </row>
    <row r="19" spans="1:8">
      <c r="A19" s="58" t="s">
        <v>316</v>
      </c>
      <c r="B19" s="66">
        <v>0.48007499999999997</v>
      </c>
      <c r="C19" s="66">
        <v>3.8898599999999998E-2</v>
      </c>
      <c r="D19" s="66">
        <v>8.1026100000000004E-2</v>
      </c>
      <c r="E19" s="66">
        <v>0</v>
      </c>
      <c r="F19" s="66">
        <v>0.44117600000000001</v>
      </c>
      <c r="G19" s="66">
        <v>0</v>
      </c>
      <c r="H19" s="66">
        <v>0.51897400000000005</v>
      </c>
    </row>
    <row r="20" spans="1:8">
      <c r="A20" s="58" t="s">
        <v>317</v>
      </c>
      <c r="B20" s="66">
        <v>2.4951999999999998E-4</v>
      </c>
      <c r="C20" s="66">
        <v>5.8067099999999996E-3</v>
      </c>
      <c r="D20" s="66">
        <v>23.2715</v>
      </c>
      <c r="E20" s="66">
        <v>0</v>
      </c>
      <c r="F20" s="66">
        <v>0</v>
      </c>
      <c r="G20" s="66">
        <v>0</v>
      </c>
      <c r="H20" s="66">
        <v>5.3830200000000002E-2</v>
      </c>
    </row>
    <row r="21" spans="1:8">
      <c r="A21" s="58" t="s">
        <v>318</v>
      </c>
      <c r="B21" s="66">
        <v>2.5878600000000002E-2</v>
      </c>
      <c r="C21" s="66">
        <v>8.2808900000000005E-2</v>
      </c>
      <c r="D21" s="66">
        <v>3.1999</v>
      </c>
      <c r="E21" s="66">
        <v>0</v>
      </c>
      <c r="F21" s="66">
        <v>1.4799100000000001E-4</v>
      </c>
      <c r="G21" s="66">
        <v>0</v>
      </c>
      <c r="H21" s="66">
        <v>0.43122300000000002</v>
      </c>
    </row>
    <row r="22" spans="1:8">
      <c r="A22" s="58" t="s">
        <v>319</v>
      </c>
      <c r="B22" s="66">
        <v>28.2316</v>
      </c>
      <c r="C22" s="66">
        <v>6.8176899999999998</v>
      </c>
      <c r="D22" s="66">
        <v>0.24149100000000001</v>
      </c>
      <c r="E22" s="66">
        <v>0</v>
      </c>
      <c r="F22" s="66">
        <v>13.742900000000001</v>
      </c>
      <c r="G22" s="66">
        <v>0</v>
      </c>
      <c r="H22" s="66">
        <v>47.114199999999997</v>
      </c>
    </row>
    <row r="23" spans="1:8">
      <c r="A23" s="58" t="s">
        <v>320</v>
      </c>
      <c r="B23" s="66">
        <v>16.1295</v>
      </c>
      <c r="C23" s="66">
        <v>2.1847699999999999</v>
      </c>
      <c r="D23" s="66">
        <v>0.13545099999999999</v>
      </c>
      <c r="E23" s="66">
        <v>0</v>
      </c>
      <c r="F23" s="66">
        <v>8.3892100000000003</v>
      </c>
      <c r="G23" s="66">
        <v>0</v>
      </c>
      <c r="H23" s="66">
        <v>17.7666</v>
      </c>
    </row>
    <row r="24" spans="1:8">
      <c r="A24" s="58" t="s">
        <v>321</v>
      </c>
      <c r="B24" s="66">
        <v>4.8154699999999998E-4</v>
      </c>
      <c r="C24" s="66">
        <v>3.7471100000000001E-3</v>
      </c>
      <c r="D24" s="66">
        <v>7.7814100000000002</v>
      </c>
      <c r="E24" s="66">
        <v>0</v>
      </c>
      <c r="F24" s="196">
        <v>6.51353E-5</v>
      </c>
      <c r="G24" s="66">
        <v>0</v>
      </c>
      <c r="H24" s="66">
        <v>2.13309E-2</v>
      </c>
    </row>
    <row r="25" spans="1:8">
      <c r="A25" s="58" t="s">
        <v>322</v>
      </c>
      <c r="B25" s="66">
        <v>6.2280000000000002E-2</v>
      </c>
      <c r="C25" s="66">
        <v>3.2224000000000003E-2</v>
      </c>
      <c r="D25" s="66">
        <v>0.51740600000000003</v>
      </c>
      <c r="E25" s="66">
        <v>0</v>
      </c>
      <c r="F25" s="66">
        <v>8.4041600000000008E-3</v>
      </c>
      <c r="G25" s="66">
        <v>0</v>
      </c>
      <c r="H25" s="66">
        <v>0.151839</v>
      </c>
    </row>
    <row r="26" spans="1:8">
      <c r="A26" s="58" t="s">
        <v>323</v>
      </c>
      <c r="B26" s="196">
        <v>6.5651300000000006E-5</v>
      </c>
      <c r="C26" s="66">
        <v>6.1691600000000001E-4</v>
      </c>
      <c r="D26" s="66">
        <v>9.3968699999999998</v>
      </c>
      <c r="E26" s="66">
        <v>0</v>
      </c>
      <c r="F26" s="66">
        <v>0</v>
      </c>
      <c r="G26" s="66">
        <v>0</v>
      </c>
      <c r="H26" s="66">
        <v>4.30672E-3</v>
      </c>
    </row>
    <row r="27" spans="1:8">
      <c r="A27" s="58" t="s">
        <v>324</v>
      </c>
      <c r="B27" s="196">
        <v>-3.2825599999999999E-6</v>
      </c>
      <c r="C27" s="66">
        <v>3.6232099999999998E-4</v>
      </c>
      <c r="D27" s="66">
        <v>-110.377</v>
      </c>
      <c r="E27" s="66">
        <v>0</v>
      </c>
      <c r="F27" s="66">
        <v>-2.3404699999999999E-3</v>
      </c>
      <c r="G27" s="66">
        <v>0</v>
      </c>
      <c r="H27" s="66">
        <v>2.1205400000000002E-3</v>
      </c>
    </row>
    <row r="28" spans="1:8">
      <c r="A28" s="58" t="s">
        <v>325</v>
      </c>
      <c r="B28" s="66">
        <v>6.72852E-3</v>
      </c>
      <c r="C28" s="66">
        <v>1.07305E-2</v>
      </c>
      <c r="D28" s="66">
        <v>1.5947800000000001</v>
      </c>
      <c r="E28" s="66">
        <v>0</v>
      </c>
      <c r="F28" s="196">
        <v>4.5572899999999999E-5</v>
      </c>
      <c r="G28" s="66">
        <v>0</v>
      </c>
      <c r="H28" s="66">
        <v>5.02832E-2</v>
      </c>
    </row>
    <row r="29" spans="1:8">
      <c r="A29" s="58" t="s">
        <v>326</v>
      </c>
      <c r="B29" s="66">
        <v>73.659499999999994</v>
      </c>
      <c r="C29" s="66">
        <v>12.201499999999999</v>
      </c>
      <c r="D29" s="66">
        <v>0.16564799999999999</v>
      </c>
      <c r="E29" s="66">
        <v>0</v>
      </c>
      <c r="F29" s="66">
        <v>51.077300000000001</v>
      </c>
      <c r="G29" s="66">
        <v>0</v>
      </c>
      <c r="H29" s="66">
        <v>110.11</v>
      </c>
    </row>
    <row r="30" spans="1:8">
      <c r="A30" s="58" t="s">
        <v>327</v>
      </c>
      <c r="B30" s="66">
        <v>33.969499999999996</v>
      </c>
      <c r="C30" s="66">
        <v>6.4281899999999998</v>
      </c>
      <c r="D30" s="66">
        <v>0.18923400000000001</v>
      </c>
      <c r="E30" s="66">
        <v>0</v>
      </c>
      <c r="F30" s="66">
        <v>12.6418</v>
      </c>
      <c r="G30" s="66">
        <v>0</v>
      </c>
      <c r="H30" s="66">
        <v>37.675199999999997</v>
      </c>
    </row>
    <row r="31" spans="1:8">
      <c r="A31" s="58" t="s">
        <v>328</v>
      </c>
      <c r="B31" s="66">
        <v>105.13200000000001</v>
      </c>
      <c r="C31" s="66">
        <v>22.415400000000002</v>
      </c>
      <c r="D31" s="66">
        <v>0.21321300000000001</v>
      </c>
      <c r="E31" s="66">
        <v>0</v>
      </c>
      <c r="F31" s="66">
        <v>39.057200000000002</v>
      </c>
      <c r="G31" s="66">
        <v>0</v>
      </c>
      <c r="H31" s="66">
        <v>144.72499999999999</v>
      </c>
    </row>
    <row r="32" spans="1:8">
      <c r="A32" s="58" t="s">
        <v>329</v>
      </c>
      <c r="B32" s="66">
        <v>0.24257300000000001</v>
      </c>
      <c r="C32" s="66">
        <v>6.1684999999999997E-2</v>
      </c>
      <c r="D32" s="66">
        <v>0.25429400000000002</v>
      </c>
      <c r="E32" s="66">
        <v>0.15</v>
      </c>
      <c r="F32" s="66">
        <v>0.12032900000000001</v>
      </c>
      <c r="G32" s="66">
        <v>0.4</v>
      </c>
      <c r="H32" s="66">
        <v>0.494502</v>
      </c>
    </row>
    <row r="33" spans="1:8">
      <c r="A33" s="58" t="s">
        <v>330</v>
      </c>
      <c r="B33" s="66">
        <v>0.39225599999999999</v>
      </c>
      <c r="C33" s="66">
        <v>1.9320400000000001E-2</v>
      </c>
      <c r="D33" s="66">
        <v>4.92545E-2</v>
      </c>
      <c r="E33" s="66">
        <v>0</v>
      </c>
      <c r="F33" s="66">
        <v>0.34113500000000002</v>
      </c>
      <c r="G33" s="66">
        <v>0</v>
      </c>
      <c r="H33" s="66">
        <v>0.45122200000000001</v>
      </c>
    </row>
    <row r="34" spans="1:8">
      <c r="A34" s="58" t="s">
        <v>331</v>
      </c>
      <c r="B34" s="66">
        <v>0.184422</v>
      </c>
      <c r="C34" s="66">
        <v>2.70882E-2</v>
      </c>
      <c r="D34" s="66">
        <v>0.14688200000000001</v>
      </c>
      <c r="E34" s="66">
        <v>0.1</v>
      </c>
      <c r="F34" s="66">
        <v>0.14081399999999999</v>
      </c>
      <c r="G34" s="66">
        <v>0.25</v>
      </c>
      <c r="H34" s="66">
        <v>0.27545999999999998</v>
      </c>
    </row>
    <row r="35" spans="1:8">
      <c r="A35" s="58" t="s">
        <v>332</v>
      </c>
      <c r="B35" s="66">
        <v>7.8137799999999993E-2</v>
      </c>
      <c r="C35" s="66">
        <v>2.62551E-2</v>
      </c>
      <c r="D35" s="66">
        <v>0.336011</v>
      </c>
      <c r="E35" s="66">
        <v>0</v>
      </c>
      <c r="F35" s="66">
        <v>2.8554400000000001E-2</v>
      </c>
      <c r="G35" s="66">
        <v>0</v>
      </c>
      <c r="H35" s="66">
        <v>0.17203199999999999</v>
      </c>
    </row>
    <row r="36" spans="1:8">
      <c r="A36" s="58" t="s">
        <v>333</v>
      </c>
      <c r="B36" s="66">
        <v>0.166904</v>
      </c>
      <c r="C36" s="66">
        <v>8.8611700000000002E-2</v>
      </c>
      <c r="D36" s="66">
        <v>0.530914</v>
      </c>
      <c r="E36" s="66">
        <v>0</v>
      </c>
      <c r="F36" s="66">
        <v>4.03436E-2</v>
      </c>
      <c r="G36" s="66">
        <v>0</v>
      </c>
      <c r="H36" s="66">
        <v>0.555813</v>
      </c>
    </row>
    <row r="37" spans="1:8">
      <c r="A37" s="58" t="s">
        <v>334</v>
      </c>
      <c r="B37" s="66">
        <v>0.27088200000000001</v>
      </c>
      <c r="C37" s="66">
        <v>9.7192399999999998E-2</v>
      </c>
      <c r="D37" s="66">
        <v>0.35880000000000001</v>
      </c>
      <c r="E37" s="66">
        <v>0.1</v>
      </c>
      <c r="F37" s="66">
        <v>2.06305E-2</v>
      </c>
      <c r="G37" s="66">
        <v>0.5</v>
      </c>
      <c r="H37" s="66">
        <v>0.40419500000000003</v>
      </c>
    </row>
    <row r="38" spans="1:8">
      <c r="A38" s="58" t="s">
        <v>335</v>
      </c>
      <c r="B38" s="66">
        <v>-12.141500000000001</v>
      </c>
      <c r="C38" s="66">
        <v>24.473099999999999</v>
      </c>
      <c r="D38" s="66">
        <v>-2.0156499999999999</v>
      </c>
      <c r="E38" s="66">
        <v>0</v>
      </c>
      <c r="F38" s="66">
        <v>-92.704499999999996</v>
      </c>
      <c r="G38" s="66">
        <v>0</v>
      </c>
      <c r="H38" s="66">
        <v>102.929</v>
      </c>
    </row>
    <row r="39" spans="1:8">
      <c r="A39" s="58" t="s">
        <v>336</v>
      </c>
      <c r="B39" s="66">
        <v>-4.1835100000000001</v>
      </c>
      <c r="C39" s="66">
        <v>2.53877</v>
      </c>
      <c r="D39" s="66">
        <v>-0.60685199999999995</v>
      </c>
      <c r="E39" s="66">
        <v>0</v>
      </c>
      <c r="F39" s="66">
        <v>-11.6943</v>
      </c>
      <c r="G39" s="66">
        <v>0</v>
      </c>
      <c r="H39" s="66">
        <v>2.5458500000000002</v>
      </c>
    </row>
    <row r="40" spans="1:8">
      <c r="A40" s="58" t="s">
        <v>337</v>
      </c>
      <c r="B40" s="66">
        <v>-2.5033400000000001</v>
      </c>
      <c r="C40" s="66">
        <v>0.49327700000000002</v>
      </c>
      <c r="D40" s="66">
        <v>-0.197047</v>
      </c>
      <c r="E40" s="66">
        <v>0</v>
      </c>
      <c r="F40" s="66">
        <v>-4.1150500000000001</v>
      </c>
      <c r="G40" s="66">
        <v>0</v>
      </c>
      <c r="H40" s="66">
        <v>-1.92957</v>
      </c>
    </row>
    <row r="41" spans="1:8">
      <c r="A41" s="58" t="s">
        <v>338</v>
      </c>
      <c r="B41" s="66">
        <v>-0.144091</v>
      </c>
      <c r="C41" s="66">
        <v>0.35328500000000002</v>
      </c>
      <c r="D41" s="66">
        <v>-2.45181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-0.14141999999999999</v>
      </c>
      <c r="C42" s="66">
        <v>8.2833699999999996E-2</v>
      </c>
      <c r="D42" s="66">
        <v>-0.58572800000000003</v>
      </c>
      <c r="E42" s="66">
        <v>0</v>
      </c>
      <c r="F42" s="66">
        <v>-0.34697</v>
      </c>
      <c r="G42" s="66">
        <v>0</v>
      </c>
      <c r="H42" s="66">
        <v>8.55881E-2</v>
      </c>
    </row>
    <row r="43" spans="1:8">
      <c r="A43" s="58" t="s">
        <v>340</v>
      </c>
      <c r="B43" s="66">
        <v>-0.152644</v>
      </c>
      <c r="C43" s="66">
        <v>4.6490900000000002E-2</v>
      </c>
      <c r="D43" s="66">
        <v>-0.30457000000000001</v>
      </c>
      <c r="E43" s="66">
        <v>0</v>
      </c>
      <c r="F43" s="66">
        <v>-0.251195</v>
      </c>
      <c r="G43" s="66">
        <v>0</v>
      </c>
      <c r="H43" s="66">
        <v>-8.4265800000000002E-2</v>
      </c>
    </row>
    <row r="44" spans="1:8">
      <c r="A44" s="58" t="s">
        <v>341</v>
      </c>
      <c r="B44" s="66">
        <v>-8.8635300000000008</v>
      </c>
      <c r="C44" s="66">
        <v>8.9555399999999992</v>
      </c>
      <c r="D44" s="66">
        <v>-1.0103800000000001</v>
      </c>
      <c r="E44" s="66">
        <v>0</v>
      </c>
      <c r="F44" s="66">
        <v>-24.639800000000001</v>
      </c>
      <c r="G44" s="66">
        <v>0</v>
      </c>
      <c r="H44" s="66">
        <v>17.465299999999999</v>
      </c>
    </row>
    <row r="45" spans="1:8">
      <c r="A45" s="58" t="s">
        <v>342</v>
      </c>
      <c r="B45" s="66">
        <v>51.714799999999997</v>
      </c>
      <c r="C45" s="66">
        <v>7.3438800000000004</v>
      </c>
      <c r="D45" s="66">
        <v>0.14200699999999999</v>
      </c>
      <c r="E45" s="66">
        <v>0</v>
      </c>
      <c r="F45" s="66">
        <v>37.115400000000001</v>
      </c>
      <c r="G45" s="66">
        <v>0</v>
      </c>
      <c r="H45" s="66">
        <v>71.995900000000006</v>
      </c>
    </row>
    <row r="46" spans="1:8">
      <c r="A46" s="58" t="s">
        <v>343</v>
      </c>
      <c r="B46" s="66">
        <v>33.269199999999998</v>
      </c>
      <c r="C46" s="66">
        <v>6.3923199999999998</v>
      </c>
      <c r="D46" s="66">
        <v>0.192139</v>
      </c>
      <c r="E46" s="66">
        <v>0</v>
      </c>
      <c r="F46" s="66">
        <v>10.756600000000001</v>
      </c>
      <c r="G46" s="66">
        <v>0</v>
      </c>
      <c r="H46" s="66">
        <v>40.718000000000004</v>
      </c>
    </row>
    <row r="47" spans="1:8">
      <c r="A47" s="58" t="s">
        <v>344</v>
      </c>
      <c r="B47" s="66">
        <v>1.0363</v>
      </c>
      <c r="C47" s="66">
        <v>0.54926699999999995</v>
      </c>
      <c r="D47" s="66">
        <v>0.53002800000000005</v>
      </c>
      <c r="E47" s="66">
        <v>0</v>
      </c>
      <c r="F47" s="66">
        <v>0.269117</v>
      </c>
      <c r="G47" s="66">
        <v>0</v>
      </c>
      <c r="H47" s="66">
        <v>3.1021299999999998</v>
      </c>
    </row>
    <row r="48" spans="1:8">
      <c r="A48" s="58" t="s">
        <v>345</v>
      </c>
      <c r="B48" s="66">
        <v>1.28125</v>
      </c>
      <c r="C48" s="66">
        <v>0.22126799999999999</v>
      </c>
      <c r="D48" s="66">
        <v>0.17269799999999999</v>
      </c>
      <c r="E48" s="66">
        <v>0</v>
      </c>
      <c r="F48" s="66">
        <v>0.95748299999999997</v>
      </c>
      <c r="G48" s="66">
        <v>0</v>
      </c>
      <c r="H48" s="66">
        <v>2.3220900000000002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-1.1094000000000008</v>
      </c>
      <c r="C5" s="66">
        <f>'M2'!C5-'M1'!C5</f>
        <v>-7.125</v>
      </c>
      <c r="D5" s="66">
        <f>'M2'!D5-'M1'!D5</f>
        <v>-16.758469999999999</v>
      </c>
      <c r="E5" s="66">
        <f>'M2'!E5-'M1'!E5</f>
        <v>0</v>
      </c>
      <c r="F5" s="66">
        <f>'M2'!F5-'M1'!F5</f>
        <v>20.686300000000003</v>
      </c>
      <c r="G5" s="66">
        <f>'M2'!G5-'M1'!G5</f>
        <v>0</v>
      </c>
      <c r="H5" s="66">
        <f>'M2'!H5-'M1'!H5</f>
        <v>-6.0460999999999956</v>
      </c>
    </row>
    <row r="6" spans="1:8">
      <c r="A6" s="66" t="s">
        <v>244</v>
      </c>
      <c r="B6" s="66">
        <f>'M2'!B6-'M1'!B6</f>
        <v>4.2241</v>
      </c>
      <c r="C6" s="66">
        <f>'M2'!C6-'M1'!C6</f>
        <v>-3.4100000000000019E-2</v>
      </c>
      <c r="D6" s="66">
        <f>'M2'!D6-'M1'!D6</f>
        <v>-0.74448999999999943</v>
      </c>
      <c r="E6" s="66">
        <f>'M2'!E6-'M1'!E6</f>
        <v>0</v>
      </c>
      <c r="F6" s="66">
        <f>'M2'!F6-'M1'!F6</f>
        <v>4.1339999999999968</v>
      </c>
      <c r="G6" s="66">
        <f>'M2'!G6-'M1'!G6</f>
        <v>0</v>
      </c>
      <c r="H6" s="66">
        <f>'M2'!H6-'M1'!H6</f>
        <v>3.9577999999999989</v>
      </c>
    </row>
    <row r="7" spans="1:8">
      <c r="A7" s="66" t="s">
        <v>245</v>
      </c>
      <c r="B7" s="66">
        <f>'M2'!B7-'M1'!B7</f>
        <v>-4.1295000000000002</v>
      </c>
      <c r="C7" s="66">
        <f>'M2'!C7-'M1'!C7</f>
        <v>-1.4945199999999996</v>
      </c>
      <c r="D7" s="66">
        <f>'M2'!D7-'M1'!D7</f>
        <v>-1.9248999999999974</v>
      </c>
      <c r="E7" s="66">
        <f>'M2'!E7-'M1'!E7</f>
        <v>0</v>
      </c>
      <c r="F7" s="66">
        <f>'M2'!F7-'M1'!F7</f>
        <v>1.8631000000000011</v>
      </c>
      <c r="G7" s="66">
        <f>'M2'!G7-'M1'!G7</f>
        <v>0</v>
      </c>
      <c r="H7" s="66">
        <f>'M2'!H7-'M1'!H7</f>
        <v>-8.976700000000001</v>
      </c>
    </row>
    <row r="8" spans="1:8">
      <c r="A8" s="66" t="s">
        <v>246</v>
      </c>
      <c r="B8" s="66">
        <f>'M2'!B8-'M1'!B8</f>
        <v>-0.51640000000000086</v>
      </c>
      <c r="C8" s="66">
        <f>'M2'!C8-'M1'!C8</f>
        <v>-3.7489000000000003</v>
      </c>
      <c r="D8" s="66">
        <f>'M2'!D8-'M1'!D8</f>
        <v>-11.815479999999999</v>
      </c>
      <c r="E8" s="66">
        <f>'M2'!E8-'M1'!E8</f>
        <v>0</v>
      </c>
      <c r="F8" s="66">
        <f>'M2'!F8-'M1'!F8</f>
        <v>11.631599999999999</v>
      </c>
      <c r="G8" s="66">
        <f>'M2'!G8-'M1'!G8</f>
        <v>0</v>
      </c>
      <c r="H8" s="66">
        <f>'M2'!H8-'M1'!H8</f>
        <v>-2.3185000000000002</v>
      </c>
    </row>
    <row r="9" spans="1:8">
      <c r="A9" s="66" t="s">
        <v>247</v>
      </c>
      <c r="B9" s="66">
        <f>'M2'!B9-'M1'!B9</f>
        <v>3.2443999999999988</v>
      </c>
      <c r="C9" s="66">
        <f>'M2'!C9-'M1'!C9</f>
        <v>0.98010000000000019</v>
      </c>
      <c r="D9" s="66">
        <f>'M2'!D9-'M1'!D9</f>
        <v>1.0940999999999992</v>
      </c>
      <c r="E9" s="66">
        <f>'M2'!E9-'M1'!E9</f>
        <v>0</v>
      </c>
      <c r="F9" s="66">
        <f>'M2'!F9-'M1'!F9</f>
        <v>-3.1768000000000001</v>
      </c>
      <c r="G9" s="66">
        <f>'M2'!G9-'M1'!G9</f>
        <v>0</v>
      </c>
      <c r="H9" s="66">
        <f>'M2'!H9-'M1'!H9</f>
        <v>6.6876999999999995</v>
      </c>
    </row>
    <row r="10" spans="1:8">
      <c r="A10" s="66" t="s">
        <v>248</v>
      </c>
      <c r="B10" s="66">
        <f>'M2'!B10-'M1'!B10</f>
        <v>-4.575800000000001</v>
      </c>
      <c r="C10" s="66">
        <f>'M2'!C10-'M1'!C10</f>
        <v>-1.1486099999999997</v>
      </c>
      <c r="D10" s="66">
        <f>'M2'!D10-'M1'!D10</f>
        <v>-1.3428000000000002</v>
      </c>
      <c r="E10" s="66">
        <f>'M2'!E10-'M1'!E10</f>
        <v>0</v>
      </c>
      <c r="F10" s="66">
        <f>'M2'!F10-'M1'!F10</f>
        <v>-4.6450999999999993</v>
      </c>
      <c r="G10" s="66">
        <f>'M2'!G10-'M1'!G10</f>
        <v>0</v>
      </c>
      <c r="H10" s="66">
        <f>'M2'!H10-'M1'!H10</f>
        <v>-8.4433000000000078</v>
      </c>
    </row>
    <row r="11" spans="1:8">
      <c r="A11" s="66" t="s">
        <v>249</v>
      </c>
      <c r="B11" s="66">
        <f>'M2'!B11-'M1'!B11</f>
        <v>-1.3843999999999994</v>
      </c>
      <c r="C11" s="66">
        <f>'M2'!C11-'M1'!C11</f>
        <v>-4.31447</v>
      </c>
      <c r="D11" s="66">
        <f>'M2'!D11-'M1'!D11</f>
        <v>-14.82967</v>
      </c>
      <c r="E11" s="66">
        <f>'M2'!E11-'M1'!E11</f>
        <v>0</v>
      </c>
      <c r="F11" s="66">
        <f>'M2'!F11-'M1'!F11</f>
        <v>11.917000000000002</v>
      </c>
      <c r="G11" s="66">
        <f>'M2'!G11-'M1'!G11</f>
        <v>0</v>
      </c>
      <c r="H11" s="66">
        <f>'M2'!H11-'M1'!H11</f>
        <v>-4.1135999999999981</v>
      </c>
    </row>
    <row r="12" spans="1:8">
      <c r="A12" s="66" t="s">
        <v>250</v>
      </c>
      <c r="B12" s="66">
        <f>'M2'!B12-'M1'!B12</f>
        <v>-0.63049999999999784</v>
      </c>
      <c r="C12" s="66">
        <f>'M2'!C12-'M1'!C12</f>
        <v>0.47887000000000013</v>
      </c>
      <c r="D12" s="66">
        <f>'M2'!D12-'M1'!D12</f>
        <v>0.78360999999999947</v>
      </c>
      <c r="E12" s="66">
        <f>'M2'!E12-'M1'!E12</f>
        <v>0</v>
      </c>
      <c r="F12" s="66">
        <f>'M2'!F12-'M1'!F12</f>
        <v>-4.1534000000000049</v>
      </c>
      <c r="G12" s="66">
        <f>'M2'!G12-'M1'!G12</f>
        <v>0</v>
      </c>
      <c r="H12" s="66">
        <f>'M2'!H12-'M1'!H12</f>
        <v>-3.0681000000000012</v>
      </c>
    </row>
    <row r="13" spans="1:8">
      <c r="A13" s="66" t="s">
        <v>251</v>
      </c>
      <c r="B13" s="66">
        <f>'M2'!B13-'M1'!B13</f>
        <v>-0.18379999999999797</v>
      </c>
      <c r="C13" s="66">
        <f>'M2'!C13-'M1'!C13</f>
        <v>-0.39012000000000002</v>
      </c>
      <c r="D13" s="66">
        <f>'M2'!D13-'M1'!D13</f>
        <v>-1.9710999999999999</v>
      </c>
      <c r="E13" s="66">
        <f>'M2'!E13-'M1'!E13</f>
        <v>0</v>
      </c>
      <c r="F13" s="66">
        <f>'M2'!F13-'M1'!F13</f>
        <v>-0.68219999999999992</v>
      </c>
      <c r="G13" s="66">
        <f>'M2'!G13-'M1'!G13</f>
        <v>0</v>
      </c>
      <c r="H13" s="66">
        <f>'M2'!H13-'M1'!H13</f>
        <v>-3.2230999999999987</v>
      </c>
    </row>
    <row r="14" spans="1:8">
      <c r="A14" s="66" t="s">
        <v>252</v>
      </c>
      <c r="B14" s="66">
        <f>'M2'!B14-'M1'!B14</f>
        <v>-3.9011999999999993</v>
      </c>
      <c r="C14" s="66">
        <f>'M2'!C14-'M1'!C14</f>
        <v>-1.9716300000000011</v>
      </c>
      <c r="D14" s="66">
        <f>'M2'!D14-'M1'!D14</f>
        <v>-2.1287999999999982</v>
      </c>
      <c r="E14" s="66">
        <f>'M2'!E14-'M1'!E14</f>
        <v>0</v>
      </c>
      <c r="F14" s="66">
        <f>'M2'!F14-'M1'!F14</f>
        <v>1.10033</v>
      </c>
      <c r="G14" s="66">
        <f>'M2'!G14-'M1'!G14</f>
        <v>0</v>
      </c>
      <c r="H14" s="66">
        <f>'M2'!H14-'M1'!H14</f>
        <v>-11.6174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-5.391900000000005E-2</v>
      </c>
      <c r="C18" s="66">
        <f>'M2'!C18-'M1'!C18</f>
        <v>5.4149000000000003E-2</v>
      </c>
      <c r="D18" s="66">
        <f>'M2'!D18-'M1'!D18</f>
        <v>0.102322</v>
      </c>
      <c r="E18" s="66">
        <f>'M2'!E18-'M1'!E18</f>
        <v>0</v>
      </c>
      <c r="F18" s="66">
        <f>'M2'!F18-'M1'!F18</f>
        <v>0.475051</v>
      </c>
      <c r="G18" s="66">
        <f>'M2'!G18-'M1'!G18</f>
        <v>0</v>
      </c>
      <c r="H18" s="66">
        <f>'M2'!H18-'M1'!H18</f>
        <v>0.58334900000000001</v>
      </c>
    </row>
    <row r="19" spans="1:8">
      <c r="A19" s="66" t="s">
        <v>256</v>
      </c>
      <c r="B19" s="66">
        <f>'M2'!B19-'M1'!B19</f>
        <v>-4.0125000000000022E-2</v>
      </c>
      <c r="C19" s="66">
        <f>'M2'!C19-'M1'!C19</f>
        <v>3.8898599999999998E-2</v>
      </c>
      <c r="D19" s="66">
        <f>'M2'!D19-'M1'!D19</f>
        <v>8.1026100000000004E-2</v>
      </c>
      <c r="E19" s="66">
        <f>'M2'!E19-'M1'!E19</f>
        <v>0</v>
      </c>
      <c r="F19" s="66">
        <f>'M2'!F19-'M1'!F19</f>
        <v>0.44117600000000001</v>
      </c>
      <c r="G19" s="66">
        <f>'M2'!G19-'M1'!G19</f>
        <v>0</v>
      </c>
      <c r="H19" s="66">
        <f>'M2'!H19-'M1'!H19</f>
        <v>0.51897400000000005</v>
      </c>
    </row>
    <row r="20" spans="1:8">
      <c r="A20" s="66" t="s">
        <v>63</v>
      </c>
      <c r="B20" s="66">
        <f>'M2'!B20-'M1'!B20</f>
        <v>-3.8605000000000014E-5</v>
      </c>
      <c r="C20" s="66">
        <f>'M2'!C20-'M1'!C20</f>
        <v>7.3207999999999954E-4</v>
      </c>
      <c r="D20" s="66">
        <f>'M2'!D20-'M1'!D20</f>
        <v>6.712299999999999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1.1620600000000002E-2</v>
      </c>
    </row>
    <row r="21" spans="1:8">
      <c r="A21" s="66" t="s">
        <v>64</v>
      </c>
      <c r="B21" s="66">
        <f>'M2'!B21-'M1'!B21</f>
        <v>-7.2482999999999992E-3</v>
      </c>
      <c r="C21" s="66">
        <f>'M2'!C21-'M1'!C21</f>
        <v>-2.4884900000000001E-2</v>
      </c>
      <c r="D21" s="66">
        <f>'M2'!D21-'M1'!D21</f>
        <v>-9.2940000000000023E-2</v>
      </c>
      <c r="E21" s="66">
        <f>'M2'!E21-'M1'!E21</f>
        <v>0</v>
      </c>
      <c r="F21" s="66">
        <f>'M2'!F21-'M1'!F21</f>
        <v>4.7236200000000004E-4</v>
      </c>
      <c r="G21" s="66">
        <f>'M2'!G21-'M1'!G21</f>
        <v>0</v>
      </c>
      <c r="H21" s="66">
        <f>'M2'!H21-'M1'!H21</f>
        <v>-8.7318000000000007E-2</v>
      </c>
    </row>
    <row r="22" spans="1:8">
      <c r="A22" s="66" t="s">
        <v>65</v>
      </c>
      <c r="B22" s="66">
        <f>'M2'!B22-'M1'!B22</f>
        <v>-2.2078999999999986</v>
      </c>
      <c r="C22" s="66">
        <f>'M2'!C22-'M1'!C22</f>
        <v>-0.7154499999999997</v>
      </c>
      <c r="D22" s="66">
        <f>'M2'!D22-'M1'!D22</f>
        <v>-6.6140000000000088E-3</v>
      </c>
      <c r="E22" s="66">
        <f>'M2'!E22-'M1'!E22</f>
        <v>0</v>
      </c>
      <c r="F22" s="66">
        <f>'M2'!F22-'M1'!F22</f>
        <v>0.9380999999999986</v>
      </c>
      <c r="G22" s="66">
        <f>'M2'!G22-'M1'!G22</f>
        <v>0</v>
      </c>
      <c r="H22" s="66">
        <f>'M2'!H22-'M1'!H22</f>
        <v>-4.8220999999999989</v>
      </c>
    </row>
    <row r="23" spans="1:8">
      <c r="A23" s="66" t="s">
        <v>66</v>
      </c>
      <c r="B23" s="66">
        <f>'M2'!B23-'M1'!B23</f>
        <v>0.37899999999999956</v>
      </c>
      <c r="C23" s="66">
        <f>'M2'!C23-'M1'!C23</f>
        <v>-2.0878480000000001</v>
      </c>
      <c r="D23" s="66">
        <f>'M2'!D23-'M1'!D23</f>
        <v>-0.13236899999999999</v>
      </c>
      <c r="E23" s="66">
        <f>'M2'!E23-'M1'!E23</f>
        <v>0</v>
      </c>
      <c r="F23" s="66">
        <f>'M2'!F23-'M1'!F23</f>
        <v>6.33399</v>
      </c>
      <c r="G23" s="66">
        <f>'M2'!G23-'M1'!G23</f>
        <v>0</v>
      </c>
      <c r="H23" s="66">
        <f>'M2'!H23-'M1'!H23</f>
        <v>-5.8199999999999363E-2</v>
      </c>
    </row>
    <row r="24" spans="1:8">
      <c r="A24" s="66" t="s">
        <v>67</v>
      </c>
      <c r="B24" s="66">
        <f>'M2'!B24-'M1'!B24</f>
        <v>-9.5918000000000012E-5</v>
      </c>
      <c r="C24" s="66">
        <f>'M2'!C24-'M1'!C24</f>
        <v>3.2751999999999998E-4</v>
      </c>
      <c r="D24" s="66">
        <f>'M2'!D24-'M1'!D24</f>
        <v>2.2983899999999995</v>
      </c>
      <c r="E24" s="66">
        <f>'M2'!E24-'M1'!E24</f>
        <v>0</v>
      </c>
      <c r="F24" s="66">
        <f>'M2'!F24-'M1'!F24</f>
        <v>-3.1284000000000021E-6</v>
      </c>
      <c r="G24" s="66">
        <f>'M2'!G24-'M1'!G24</f>
        <v>0</v>
      </c>
      <c r="H24" s="66">
        <f>'M2'!H24-'M1'!H24</f>
        <v>2.7960999999999993E-3</v>
      </c>
    </row>
    <row r="25" spans="1:8">
      <c r="A25" s="66" t="s">
        <v>68</v>
      </c>
      <c r="B25" s="66">
        <f>'M2'!B25-'M1'!B25</f>
        <v>-2.6752399999999996E-2</v>
      </c>
      <c r="C25" s="66">
        <f>'M2'!C25-'M1'!C25</f>
        <v>-1.2057799999999997E-2</v>
      </c>
      <c r="D25" s="66">
        <f>'M2'!D25-'M1'!D25</f>
        <v>4.9399999999999999E-3</v>
      </c>
      <c r="E25" s="66">
        <f>'M2'!E25-'M1'!E25</f>
        <v>0</v>
      </c>
      <c r="F25" s="66">
        <f>'M2'!F25-'M1'!F25</f>
        <v>-2.9448399999999989E-3</v>
      </c>
      <c r="G25" s="66">
        <f>'M2'!G25-'M1'!G25</f>
        <v>0</v>
      </c>
      <c r="H25" s="66">
        <f>'M2'!H25-'M1'!H25</f>
        <v>-3.7011000000000002E-2</v>
      </c>
    </row>
    <row r="26" spans="1:8">
      <c r="A26" s="66" t="s">
        <v>69</v>
      </c>
      <c r="B26" s="66">
        <f>'M2'!B26-'M1'!B26</f>
        <v>-1.64129E-5</v>
      </c>
      <c r="C26" s="66">
        <f>'M2'!C26-'M1'!C26</f>
        <v>-1.029710000000001E-4</v>
      </c>
      <c r="D26" s="66">
        <f>'M2'!D26-'M1'!D26</f>
        <v>0.70454999999999934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-8.2392000000000012E-4</v>
      </c>
    </row>
    <row r="27" spans="1:8">
      <c r="A27" s="66" t="s">
        <v>70</v>
      </c>
      <c r="B27" s="66">
        <f>'M2'!B27-'M1'!B27</f>
        <v>0</v>
      </c>
      <c r="C27" s="66">
        <f>'M2'!C27-'M1'!C27</f>
        <v>-3.189400000000003E-5</v>
      </c>
      <c r="D27" s="66">
        <f>'M2'!D27-'M1'!D27</f>
        <v>9.7160000000000082</v>
      </c>
      <c r="E27" s="66">
        <f>'M2'!E27-'M1'!E27</f>
        <v>0</v>
      </c>
      <c r="F27" s="66">
        <f>'M2'!F27-'M1'!F27</f>
        <v>1.6740999999999978E-4</v>
      </c>
      <c r="G27" s="66">
        <f>'M2'!G27-'M1'!G27</f>
        <v>0</v>
      </c>
      <c r="H27" s="66">
        <f>'M2'!H27-'M1'!H27</f>
        <v>-9.8500000000000497E-6</v>
      </c>
    </row>
    <row r="28" spans="1:8">
      <c r="A28" s="66" t="s">
        <v>71</v>
      </c>
      <c r="B28" s="66">
        <f>'M2'!B28-'M1'!B28</f>
        <v>-1.7203700000000006E-3</v>
      </c>
      <c r="C28" s="66">
        <f>'M2'!C28-'M1'!C28</f>
        <v>-2.2807599999999997E-3</v>
      </c>
      <c r="D28" s="66">
        <f>'M2'!D28-'M1'!D28</f>
        <v>8.7349999999999817E-2</v>
      </c>
      <c r="E28" s="66">
        <f>'M2'!E28-'M1'!E28</f>
        <v>0</v>
      </c>
      <c r="F28" s="66">
        <f>'M2'!F28-'M1'!F28</f>
        <v>1.6927110000000001E-4</v>
      </c>
      <c r="G28" s="66">
        <f>'M2'!G28-'M1'!G28</f>
        <v>0</v>
      </c>
      <c r="H28" s="66">
        <f>'M2'!H28-'M1'!H28</f>
        <v>-7.9393999999999992E-3</v>
      </c>
    </row>
    <row r="29" spans="1:8">
      <c r="A29" s="66" t="s">
        <v>72</v>
      </c>
      <c r="B29" s="66">
        <f>'M2'!B29-'M1'!B29</f>
        <v>-0.32440000000001135</v>
      </c>
      <c r="C29" s="66">
        <f>'M2'!C29-'M1'!C29</f>
        <v>-0.53369999999999962</v>
      </c>
      <c r="D29" s="66">
        <f>'M2'!D29-'M1'!D29</f>
        <v>-6.506999999999985E-3</v>
      </c>
      <c r="E29" s="66">
        <f>'M2'!E29-'M1'!E29</f>
        <v>0</v>
      </c>
      <c r="F29" s="66">
        <f>'M2'!F29-'M1'!F29</f>
        <v>-0.38119999999999976</v>
      </c>
      <c r="G29" s="66">
        <f>'M2'!G29-'M1'!G29</f>
        <v>0</v>
      </c>
      <c r="H29" s="66">
        <f>'M2'!H29-'M1'!H29</f>
        <v>-8.8430000000000035</v>
      </c>
    </row>
    <row r="30" spans="1:8">
      <c r="A30" s="66" t="s">
        <v>73</v>
      </c>
      <c r="B30" s="66">
        <f>'M2'!B30-'M1'!B30</f>
        <v>3.6207999999999991</v>
      </c>
      <c r="C30" s="66">
        <f>'M2'!C30-'M1'!C30</f>
        <v>-6.4431099999999999</v>
      </c>
      <c r="D30" s="66">
        <f>'M2'!D30-'M1'!D30</f>
        <v>-0.2142078</v>
      </c>
      <c r="E30" s="66">
        <f>'M2'!E30-'M1'!E30</f>
        <v>0</v>
      </c>
      <c r="F30" s="66">
        <f>'M2'!F30-'M1'!F30</f>
        <v>18.047499999999999</v>
      </c>
      <c r="G30" s="66">
        <f>'M2'!G30-'M1'!G30</f>
        <v>0</v>
      </c>
      <c r="H30" s="66">
        <f>'M2'!H30-'M1'!H30</f>
        <v>9.3899999999997874E-2</v>
      </c>
    </row>
    <row r="31" spans="1:8">
      <c r="A31" s="66" t="s">
        <v>74</v>
      </c>
      <c r="B31" s="66">
        <f>'M2'!B31-'M1'!B31</f>
        <v>11.38000000000001</v>
      </c>
      <c r="C31" s="66">
        <f>'M2'!C31-'M1'!C31</f>
        <v>-12.3851</v>
      </c>
      <c r="D31" s="66">
        <f>'M2'!D31-'M1'!D31</f>
        <v>-0.13711699999999999</v>
      </c>
      <c r="E31" s="66">
        <f>'M2'!E31-'M1'!E31</f>
        <v>0</v>
      </c>
      <c r="F31" s="66">
        <f>'M2'!F31-'M1'!F31</f>
        <v>56.766600000000004</v>
      </c>
      <c r="G31" s="66">
        <f>'M2'!G31-'M1'!G31</f>
        <v>0</v>
      </c>
      <c r="H31" s="66">
        <f>'M2'!H31-'M1'!H31</f>
        <v>8.0829999999999984</v>
      </c>
    </row>
    <row r="32" spans="1:8">
      <c r="A32" s="66" t="s">
        <v>75</v>
      </c>
      <c r="B32" s="66">
        <f>'M2'!B32-'M1'!B32</f>
        <v>-4.1294999999999971E-2</v>
      </c>
      <c r="C32" s="66">
        <f>'M2'!C32-'M1'!C32</f>
        <v>-1.4945199999999999E-2</v>
      </c>
      <c r="D32" s="66">
        <f>'M2'!D32-'M1'!D32</f>
        <v>-1.9248999999999988E-2</v>
      </c>
      <c r="E32" s="66">
        <f>'M2'!E32-'M1'!E32</f>
        <v>0</v>
      </c>
      <c r="F32" s="66">
        <f>'M2'!F32-'M1'!F32</f>
        <v>1.8630999999999995E-2</v>
      </c>
      <c r="G32" s="66">
        <f>'M2'!G32-'M1'!G32</f>
        <v>0</v>
      </c>
      <c r="H32" s="66">
        <f>'M2'!H32-'M1'!H32</f>
        <v>-8.9766999999999986E-2</v>
      </c>
    </row>
    <row r="33" spans="1:8">
      <c r="A33" s="66" t="s">
        <v>76</v>
      </c>
      <c r="B33" s="66">
        <f>'M2'!B33-'M1'!B33</f>
        <v>3.4219999999999806E-3</v>
      </c>
      <c r="C33" s="66">
        <f>'M2'!C33-'M1'!C33</f>
        <v>-6.7444000000000011E-3</v>
      </c>
      <c r="D33" s="66">
        <f>'M2'!D33-'M1'!D33</f>
        <v>-1.7578900000000001E-2</v>
      </c>
      <c r="E33" s="66">
        <f>'M2'!E33-'M1'!E33</f>
        <v>0</v>
      </c>
      <c r="F33" s="66">
        <f>'M2'!F33-'M1'!F33</f>
        <v>2.7328999999999992E-2</v>
      </c>
      <c r="G33" s="66">
        <f>'M2'!G33-'M1'!G33</f>
        <v>0</v>
      </c>
      <c r="H33" s="66">
        <f>'M2'!H33-'M1'!H33</f>
        <v>-1.9344000000000028E-2</v>
      </c>
    </row>
    <row r="34" spans="1:8">
      <c r="A34" s="66" t="s">
        <v>77</v>
      </c>
      <c r="B34" s="66">
        <f>'M2'!B34-'M1'!B34</f>
        <v>-1.8379999999999785E-3</v>
      </c>
      <c r="C34" s="66">
        <f>'M2'!C34-'M1'!C34</f>
        <v>-3.9012000000000005E-3</v>
      </c>
      <c r="D34" s="66">
        <f>'M2'!D34-'M1'!D34</f>
        <v>-1.9711000000000006E-2</v>
      </c>
      <c r="E34" s="66">
        <f>'M2'!E34-'M1'!E34</f>
        <v>0</v>
      </c>
      <c r="F34" s="66">
        <f>'M2'!F34-'M1'!F34</f>
        <v>-6.8219999999999947E-3</v>
      </c>
      <c r="G34" s="66">
        <f>'M2'!G34-'M1'!G34</f>
        <v>0</v>
      </c>
      <c r="H34" s="66">
        <f>'M2'!H34-'M1'!H34</f>
        <v>-3.2230999999999982E-2</v>
      </c>
    </row>
    <row r="35" spans="1:8">
      <c r="A35" s="66" t="s">
        <v>78</v>
      </c>
      <c r="B35" s="66">
        <f>'M2'!B35-'M1'!B35</f>
        <v>2.2275999999999962E-3</v>
      </c>
      <c r="C35" s="66">
        <f>'M2'!C35-'M1'!C35</f>
        <v>9.7129999999999786E-4</v>
      </c>
      <c r="D35" s="66">
        <f>'M2'!D35-'M1'!D35</f>
        <v>2.8940000000000077E-3</v>
      </c>
      <c r="E35" s="66">
        <f>'M2'!E35-'M1'!E35</f>
        <v>0</v>
      </c>
      <c r="F35" s="66">
        <f>'M2'!F35-'M1'!F35</f>
        <v>-1.7629100000000002E-2</v>
      </c>
      <c r="G35" s="66">
        <f>'M2'!G35-'M1'!G35</f>
        <v>0</v>
      </c>
      <c r="H35" s="66">
        <f>'M2'!H35-'M1'!H35</f>
        <v>-4.1100000000000025E-3</v>
      </c>
    </row>
    <row r="36" spans="1:8">
      <c r="A36" s="66" t="s">
        <v>79</v>
      </c>
      <c r="B36" s="66">
        <f>'M2'!B36-'M1'!B36</f>
        <v>3.7300000000001221E-4</v>
      </c>
      <c r="C36" s="66">
        <f>'M2'!C36-'M1'!C36</f>
        <v>2.3636999999999964E-3</v>
      </c>
      <c r="D36" s="66">
        <f>'M2'!D36-'M1'!D36</f>
        <v>1.2963999999999976E-2</v>
      </c>
      <c r="E36" s="66">
        <f>'M2'!E36-'M1'!E36</f>
        <v>0</v>
      </c>
      <c r="F36" s="66">
        <f>'M2'!F36-'M1'!F36</f>
        <v>-4.9738999999999964E-3</v>
      </c>
      <c r="G36" s="66">
        <f>'M2'!G36-'M1'!G36</f>
        <v>0</v>
      </c>
      <c r="H36" s="66">
        <f>'M2'!H36-'M1'!H36</f>
        <v>-4.9590000000000467E-3</v>
      </c>
    </row>
    <row r="37" spans="1:8">
      <c r="A37" s="66" t="s">
        <v>80</v>
      </c>
      <c r="B37" s="66">
        <f>'M2'!B37-'M1'!B37</f>
        <v>-3.9012000000000019E-2</v>
      </c>
      <c r="C37" s="66">
        <f>'M2'!C37-'M1'!C37</f>
        <v>-1.9716299999999992E-2</v>
      </c>
      <c r="D37" s="66">
        <f>'M2'!D37-'M1'!D37</f>
        <v>-2.1287999999999974E-2</v>
      </c>
      <c r="E37" s="66">
        <f>'M2'!E37-'M1'!E37</f>
        <v>0</v>
      </c>
      <c r="F37" s="66">
        <f>'M2'!F37-'M1'!F37</f>
        <v>1.1003299999999997E-2</v>
      </c>
      <c r="G37" s="66">
        <f>'M2'!G37-'M1'!G37</f>
        <v>0</v>
      </c>
      <c r="H37" s="66">
        <f>'M2'!H37-'M1'!H37</f>
        <v>-0.116174</v>
      </c>
    </row>
    <row r="38" spans="1:8">
      <c r="A38" s="66" t="s">
        <v>81</v>
      </c>
      <c r="B38" s="66">
        <f>'M2'!B38-'M1'!B38</f>
        <v>-2.1640000000000015</v>
      </c>
      <c r="C38" s="66">
        <f>'M2'!C38-'M1'!C38</f>
        <v>-0.66129999999999711</v>
      </c>
      <c r="D38" s="66">
        <f>'M2'!D38-'M1'!D38</f>
        <v>0.43431999999999982</v>
      </c>
      <c r="E38" s="66">
        <f>'M2'!E38-'M1'!E38</f>
        <v>0</v>
      </c>
      <c r="F38" s="66">
        <f>'M2'!F38-'M1'!F38</f>
        <v>-14.040999999999997</v>
      </c>
      <c r="G38" s="66">
        <f>'M2'!G38-'M1'!G38</f>
        <v>0</v>
      </c>
      <c r="H38" s="66">
        <f>'M2'!H38-'M1'!H38</f>
        <v>-35.877300000000005</v>
      </c>
    </row>
    <row r="39" spans="1:8">
      <c r="A39" s="66" t="s">
        <v>82</v>
      </c>
      <c r="B39" s="66">
        <f>'M2'!B39-'M1'!B39</f>
        <v>0.58219999999999983</v>
      </c>
      <c r="C39" s="66">
        <f>'M2'!C39-'M1'!C39</f>
        <v>0.34125000000000005</v>
      </c>
      <c r="D39" s="66">
        <f>'M2'!D39-'M1'!D39</f>
        <v>-0.16431600000000002</v>
      </c>
      <c r="E39" s="66">
        <f>'M2'!E39-'M1'!E39</f>
        <v>0</v>
      </c>
      <c r="F39" s="66">
        <f>'M2'!F39-'M1'!F39</f>
        <v>-1.82775</v>
      </c>
      <c r="G39" s="66">
        <f>'M2'!G39-'M1'!G39</f>
        <v>0</v>
      </c>
      <c r="H39" s="66">
        <f>'M2'!H39-'M1'!H39</f>
        <v>-1.3870300000000002</v>
      </c>
    </row>
    <row r="40" spans="1:8">
      <c r="A40" s="66" t="s">
        <v>83</v>
      </c>
      <c r="B40" s="66">
        <f>'M2'!B40-'M1'!B40</f>
        <v>0.55272999999999994</v>
      </c>
      <c r="C40" s="66">
        <f>'M2'!C40-'M1'!C40</f>
        <v>-0.30814200000000003</v>
      </c>
      <c r="D40" s="66">
        <f>'M2'!D40-'M1'!D40</f>
        <v>8.8668499999999983E-2</v>
      </c>
      <c r="E40" s="66">
        <f>'M2'!E40-'M1'!E40</f>
        <v>0</v>
      </c>
      <c r="F40" s="66">
        <f>'M2'!F40-'M1'!F40</f>
        <v>1.1216400000000002</v>
      </c>
      <c r="G40" s="66">
        <f>'M2'!G40-'M1'!G40</f>
        <v>0</v>
      </c>
      <c r="H40" s="66">
        <f>'M2'!H40-'M1'!H40</f>
        <v>0.24499000000000004</v>
      </c>
    </row>
    <row r="41" spans="1:8">
      <c r="A41" s="66" t="s">
        <v>84</v>
      </c>
      <c r="B41" s="66">
        <f>'M2'!B41-'M1'!B41</f>
        <v>-5.2939999999999932E-3</v>
      </c>
      <c r="C41" s="66">
        <f>'M2'!C41-'M1'!C41</f>
        <v>-4.4414999999999982E-2</v>
      </c>
      <c r="D41" s="66">
        <f>'M2'!D41-'M1'!D41</f>
        <v>0.38947999999999983</v>
      </c>
      <c r="E41" s="66">
        <f>'M2'!E41-'M1'!E41</f>
        <v>0</v>
      </c>
      <c r="F41" s="66">
        <f>'M2'!F41-'M1'!F41</f>
        <v>-1.9417000000000018E-2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2.0348000000000005E-2</v>
      </c>
      <c r="C42" s="66">
        <f>'M2'!C42-'M1'!C42</f>
        <v>6.2723999999999974E-3</v>
      </c>
      <c r="D42" s="66">
        <f>'M2'!D42-'M1'!D42</f>
        <v>-0.1251850000000001</v>
      </c>
      <c r="E42" s="66">
        <f>'M2'!E42-'M1'!E42</f>
        <v>0</v>
      </c>
      <c r="F42" s="66">
        <f>'M2'!F42-'M1'!F42</f>
        <v>-2.7502000000000026E-2</v>
      </c>
      <c r="G42" s="66">
        <f>'M2'!G42-'M1'!G42</f>
        <v>0</v>
      </c>
      <c r="H42" s="66">
        <f>'M2'!H42-'M1'!H42</f>
        <v>-5.4312699999999998E-2</v>
      </c>
    </row>
    <row r="43" spans="1:8">
      <c r="A43" s="66" t="s">
        <v>86</v>
      </c>
      <c r="B43" s="66">
        <f>'M2'!B43-'M1'!B43</f>
        <v>6.914099999999998E-2</v>
      </c>
      <c r="C43" s="66">
        <f>'M2'!C43-'M1'!C43</f>
        <v>-1.1407899999999999E-2</v>
      </c>
      <c r="D43" s="66">
        <f>'M2'!D43-'M1'!D43</f>
        <v>-3.4040000000000181E-3</v>
      </c>
      <c r="E43" s="66">
        <f>'M2'!E43-'M1'!E43</f>
        <v>0</v>
      </c>
      <c r="F43" s="66">
        <f>'M2'!F43-'M1'!F43</f>
        <v>6.3401000000000013E-2</v>
      </c>
      <c r="G43" s="66">
        <f>'M2'!G43-'M1'!G43</f>
        <v>0</v>
      </c>
      <c r="H43" s="66">
        <f>'M2'!H43-'M1'!H43</f>
        <v>3.8221199999999997E-2</v>
      </c>
    </row>
    <row r="44" spans="1:8">
      <c r="A44" s="66" t="s">
        <v>87</v>
      </c>
      <c r="B44" s="66">
        <f>'M2'!B44-'M1'!B44</f>
        <v>-1.2558799999999994</v>
      </c>
      <c r="C44" s="66">
        <f>'M2'!C44-'M1'!C44</f>
        <v>4.4203299999999999</v>
      </c>
      <c r="D44" s="66">
        <f>'M2'!D44-'M1'!D44</f>
        <v>-0.34922999999999993</v>
      </c>
      <c r="E44" s="66">
        <f>'M2'!E44-'M1'!E44</f>
        <v>0</v>
      </c>
      <c r="F44" s="66">
        <f>'M2'!F44-'M1'!F44</f>
        <v>1.6656000000000013</v>
      </c>
      <c r="G44" s="66">
        <f>'M2'!G44-'M1'!G44</f>
        <v>0</v>
      </c>
      <c r="H44" s="66">
        <f>'M2'!H44-'M1'!H44</f>
        <v>7.0198</v>
      </c>
    </row>
    <row r="45" spans="1:8">
      <c r="A45" s="66" t="s">
        <v>88</v>
      </c>
      <c r="B45" s="66">
        <f>'M2'!B45-'M1'!B45</f>
        <v>1.5400000000006742E-2</v>
      </c>
      <c r="C45" s="66">
        <f>'M2'!C45-'M1'!C45</f>
        <v>0.61866000000000021</v>
      </c>
      <c r="D45" s="66">
        <f>'M2'!D45-'M1'!D45</f>
        <v>1.1919000000000013E-2</v>
      </c>
      <c r="E45" s="66">
        <f>'M2'!E45-'M1'!E45</f>
        <v>0</v>
      </c>
      <c r="F45" s="66">
        <f>'M2'!F45-'M1'!F45</f>
        <v>-1.569899999999997</v>
      </c>
      <c r="G45" s="66">
        <f>'M2'!G45-'M1'!G45</f>
        <v>0</v>
      </c>
      <c r="H45" s="66">
        <f>'M2'!H45-'M1'!H45</f>
        <v>-3.4592000000000098</v>
      </c>
    </row>
    <row r="46" spans="1:8">
      <c r="A46" s="66" t="s">
        <v>89</v>
      </c>
      <c r="B46" s="66">
        <f>'M2'!B46-'M1'!B46</f>
        <v>0.24169999999999447</v>
      </c>
      <c r="C46" s="66">
        <f>'M2'!C46-'M1'!C46</f>
        <v>-6.0032999999999994</v>
      </c>
      <c r="D46" s="66">
        <f>'M2'!D46-'M1'!D46</f>
        <v>-0.182062</v>
      </c>
      <c r="E46" s="66">
        <f>'M2'!E46-'M1'!E46</f>
        <v>0</v>
      </c>
      <c r="F46" s="66">
        <f>'M2'!F46-'M1'!F46</f>
        <v>18.3461</v>
      </c>
      <c r="G46" s="66">
        <f>'M2'!G46-'M1'!G46</f>
        <v>0</v>
      </c>
      <c r="H46" s="66">
        <f>'M2'!H46-'M1'!H46</f>
        <v>-3.5814000000000021</v>
      </c>
    </row>
    <row r="47" spans="1:8">
      <c r="A47" s="66" t="s">
        <v>90</v>
      </c>
      <c r="B47" s="66">
        <f>'M2'!B47-'M1'!B47</f>
        <v>-0.28928500000000013</v>
      </c>
      <c r="C47" s="66">
        <f>'M2'!C47-'M1'!C47</f>
        <v>-0.20700299999999999</v>
      </c>
      <c r="D47" s="66">
        <f>'M2'!D47-'M1'!D47</f>
        <v>-6.6016999999999992E-2</v>
      </c>
      <c r="E47" s="66">
        <f>'M2'!E47-'M1'!E47</f>
        <v>0</v>
      </c>
      <c r="F47" s="66">
        <f>'M2'!F47-'M1'!F47</f>
        <v>0.10406700000000002</v>
      </c>
      <c r="G47" s="66">
        <f>'M2'!G47-'M1'!G47</f>
        <v>0</v>
      </c>
      <c r="H47" s="66">
        <f>'M2'!H47-'M1'!H47</f>
        <v>-0.44749999999999979</v>
      </c>
    </row>
    <row r="48" spans="1:8">
      <c r="A48" s="66" t="s">
        <v>91</v>
      </c>
      <c r="B48" s="66">
        <f>'M2'!B48-'M1'!B48</f>
        <v>-0.30046999999999979</v>
      </c>
      <c r="C48" s="66">
        <f>'M2'!C48-'M1'!C48</f>
        <v>-2.8278999999999999E-2</v>
      </c>
      <c r="D48" s="66">
        <f>'M2'!D48-'M1'!D48</f>
        <v>1.1917000000000011E-2</v>
      </c>
      <c r="E48" s="66">
        <f>'M2'!E48-'M1'!E48</f>
        <v>0</v>
      </c>
      <c r="F48" s="66">
        <f>'M2'!F48-'M1'!F48</f>
        <v>-0.11542700000000006</v>
      </c>
      <c r="G48" s="66">
        <f>'M2'!G48-'M1'!G48</f>
        <v>0</v>
      </c>
      <c r="H48" s="66">
        <f>'M2'!H48-'M1'!H48</f>
        <v>-0.66044000000000014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42.017800000000001</v>
      </c>
      <c r="C5" s="66">
        <v>10.202999999999999</v>
      </c>
      <c r="D5" s="66">
        <v>24.282599999999999</v>
      </c>
      <c r="E5" s="66">
        <v>20</v>
      </c>
      <c r="F5" s="66">
        <v>15.192</v>
      </c>
      <c r="G5" s="66">
        <v>50</v>
      </c>
      <c r="H5" s="66">
        <v>52.914299999999997</v>
      </c>
    </row>
    <row r="6" spans="1:8">
      <c r="A6" s="66" t="s">
        <v>358</v>
      </c>
      <c r="B6" s="66">
        <v>26.005600000000001</v>
      </c>
      <c r="C6" s="66">
        <v>1.1756500000000001</v>
      </c>
      <c r="D6" s="66">
        <v>4.5207499999999996</v>
      </c>
      <c r="E6" s="66">
        <v>20</v>
      </c>
      <c r="F6" s="66">
        <v>22.814900000000002</v>
      </c>
      <c r="G6" s="66">
        <v>40</v>
      </c>
      <c r="H6" s="66">
        <v>27.8354</v>
      </c>
    </row>
    <row r="7" spans="1:8">
      <c r="A7" s="66" t="s">
        <v>359</v>
      </c>
      <c r="B7" s="66">
        <v>26.149100000000001</v>
      </c>
      <c r="C7" s="66">
        <v>6.7797499999999999</v>
      </c>
      <c r="D7" s="66">
        <v>25.927299999999999</v>
      </c>
      <c r="E7" s="66">
        <v>15</v>
      </c>
      <c r="F7" s="66">
        <v>12.0329</v>
      </c>
      <c r="G7" s="66">
        <v>40</v>
      </c>
      <c r="H7" s="66">
        <v>49.450200000000002</v>
      </c>
    </row>
    <row r="8" spans="1:8">
      <c r="A8" s="66" t="s">
        <v>360</v>
      </c>
      <c r="B8" s="66">
        <v>31.528700000000001</v>
      </c>
      <c r="C8" s="66">
        <v>5.1678100000000002</v>
      </c>
      <c r="D8" s="66">
        <v>16.390799999999999</v>
      </c>
      <c r="E8" s="66">
        <v>20</v>
      </c>
      <c r="F8" s="66">
        <v>16.974900000000002</v>
      </c>
      <c r="G8" s="66">
        <v>50</v>
      </c>
      <c r="H8" s="66">
        <v>39.265099999999997</v>
      </c>
    </row>
    <row r="9" spans="1:8">
      <c r="A9" s="66" t="s">
        <v>361</v>
      </c>
      <c r="B9" s="66">
        <v>50.969000000000001</v>
      </c>
      <c r="C9" s="66">
        <v>6.0789299999999997</v>
      </c>
      <c r="D9" s="66">
        <v>11.9267</v>
      </c>
      <c r="E9" s="66">
        <v>50</v>
      </c>
      <c r="F9" s="66">
        <v>38.138599999999997</v>
      </c>
      <c r="G9" s="66">
        <v>100</v>
      </c>
      <c r="H9" s="66">
        <v>59.2669</v>
      </c>
    </row>
    <row r="10" spans="1:8">
      <c r="A10" s="66" t="s">
        <v>362</v>
      </c>
      <c r="B10" s="66">
        <v>80.046999999999997</v>
      </c>
      <c r="C10" s="66">
        <v>2.3647999999999998</v>
      </c>
      <c r="D10" s="66">
        <v>2.9542700000000002</v>
      </c>
      <c r="E10" s="66">
        <v>40</v>
      </c>
      <c r="F10" s="66">
        <v>77.294899999999998</v>
      </c>
      <c r="G10" s="66">
        <v>100</v>
      </c>
      <c r="H10" s="66">
        <v>86.026700000000005</v>
      </c>
    </row>
    <row r="11" spans="1:8">
      <c r="A11" s="66" t="s">
        <v>363</v>
      </c>
      <c r="B11" s="66">
        <v>28.3171</v>
      </c>
      <c r="C11" s="66">
        <v>6.5548200000000003</v>
      </c>
      <c r="D11" s="66">
        <v>23.148</v>
      </c>
      <c r="E11" s="66">
        <v>10</v>
      </c>
      <c r="F11" s="66">
        <v>11.408799999999999</v>
      </c>
      <c r="G11" s="66">
        <v>50</v>
      </c>
      <c r="H11" s="66">
        <v>36.016199999999998</v>
      </c>
    </row>
    <row r="12" spans="1:8">
      <c r="A12" s="66" t="s">
        <v>364</v>
      </c>
      <c r="B12" s="66">
        <v>65.384500000000003</v>
      </c>
      <c r="C12" s="66">
        <v>2.9604499999999998</v>
      </c>
      <c r="D12" s="66">
        <v>4.5277500000000002</v>
      </c>
      <c r="E12" s="66">
        <v>50</v>
      </c>
      <c r="F12" s="66">
        <v>58.884500000000003</v>
      </c>
      <c r="G12" s="66">
        <v>100</v>
      </c>
      <c r="H12" s="66">
        <v>72.4893</v>
      </c>
    </row>
    <row r="13" spans="1:8">
      <c r="A13" s="66" t="s">
        <v>365</v>
      </c>
      <c r="B13" s="66">
        <v>18.5215</v>
      </c>
      <c r="C13" s="66">
        <v>2.88733</v>
      </c>
      <c r="D13" s="66">
        <v>15.589</v>
      </c>
      <c r="E13" s="66">
        <v>10</v>
      </c>
      <c r="F13" s="66">
        <v>14.7636</v>
      </c>
      <c r="G13" s="66">
        <v>25</v>
      </c>
      <c r="H13" s="66">
        <v>27.545999999999999</v>
      </c>
    </row>
    <row r="14" spans="1:8">
      <c r="A14" s="66" t="s">
        <v>366</v>
      </c>
      <c r="B14" s="66">
        <v>28.8733</v>
      </c>
      <c r="C14" s="66">
        <v>10.658200000000001</v>
      </c>
      <c r="D14" s="66">
        <v>36.913899999999998</v>
      </c>
      <c r="E14" s="66">
        <v>10</v>
      </c>
      <c r="F14" s="66">
        <v>2.0630500000000001</v>
      </c>
      <c r="G14" s="66">
        <v>50</v>
      </c>
      <c r="H14" s="66">
        <v>40.419499999999999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0.58311900000000005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0.5202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2.6539800000000002E-4</v>
      </c>
      <c r="C20" s="66">
        <v>5.4325700000000003E-3</v>
      </c>
      <c r="D20" s="66">
        <v>20.4695</v>
      </c>
      <c r="E20" s="66">
        <v>0</v>
      </c>
      <c r="F20" s="66">
        <v>0</v>
      </c>
      <c r="G20" s="66">
        <v>0</v>
      </c>
      <c r="H20" s="66">
        <v>4.22096E-2</v>
      </c>
    </row>
    <row r="21" spans="1:8">
      <c r="A21" s="66" t="s">
        <v>373</v>
      </c>
      <c r="B21" s="66">
        <v>2.98946E-2</v>
      </c>
      <c r="C21" s="66">
        <v>9.3953800000000004E-2</v>
      </c>
      <c r="D21" s="66">
        <v>3.14283</v>
      </c>
      <c r="E21" s="66">
        <v>0</v>
      </c>
      <c r="F21" s="66">
        <v>1.4799100000000001E-4</v>
      </c>
      <c r="G21" s="66">
        <v>0</v>
      </c>
      <c r="H21" s="66">
        <v>0.43122300000000002</v>
      </c>
    </row>
    <row r="22" spans="1:8">
      <c r="A22" s="66" t="s">
        <v>374</v>
      </c>
      <c r="B22" s="66">
        <v>29.4863</v>
      </c>
      <c r="C22" s="66">
        <v>7.1449499999999997</v>
      </c>
      <c r="D22" s="66">
        <v>0.242314</v>
      </c>
      <c r="E22" s="66">
        <v>0</v>
      </c>
      <c r="F22" s="66">
        <v>13.742900000000001</v>
      </c>
      <c r="G22" s="66">
        <v>0</v>
      </c>
      <c r="H22" s="66">
        <v>47.114199999999997</v>
      </c>
    </row>
    <row r="23" spans="1:8">
      <c r="A23" s="66" t="s">
        <v>375</v>
      </c>
      <c r="B23" s="66">
        <v>15.894</v>
      </c>
      <c r="C23" s="66">
        <v>2.7757399999999999</v>
      </c>
      <c r="D23" s="66">
        <v>0.17464099999999999</v>
      </c>
      <c r="E23" s="66">
        <v>0</v>
      </c>
      <c r="F23" s="66">
        <v>8.3892100000000003</v>
      </c>
      <c r="G23" s="66">
        <v>0</v>
      </c>
      <c r="H23" s="66">
        <v>17.7666</v>
      </c>
    </row>
    <row r="24" spans="1:8">
      <c r="A24" s="66" t="s">
        <v>376</v>
      </c>
      <c r="B24" s="66">
        <v>5.2377100000000002E-4</v>
      </c>
      <c r="C24" s="66">
        <v>3.5813400000000001E-3</v>
      </c>
      <c r="D24" s="66">
        <v>6.8376000000000001</v>
      </c>
      <c r="E24" s="66">
        <v>0</v>
      </c>
      <c r="F24" s="196">
        <v>6.8263700000000002E-5</v>
      </c>
      <c r="G24" s="66">
        <v>0</v>
      </c>
      <c r="H24" s="66">
        <v>1.8534800000000001E-2</v>
      </c>
    </row>
    <row r="25" spans="1:8">
      <c r="A25" s="66" t="s">
        <v>377</v>
      </c>
      <c r="B25" s="66">
        <v>7.8883099999999998E-2</v>
      </c>
      <c r="C25" s="66">
        <v>3.6313499999999999E-2</v>
      </c>
      <c r="D25" s="66">
        <v>0.46034599999999998</v>
      </c>
      <c r="E25" s="66">
        <v>0</v>
      </c>
      <c r="F25" s="66">
        <v>1.1349E-2</v>
      </c>
      <c r="G25" s="66">
        <v>0</v>
      </c>
      <c r="H25" s="66">
        <v>0.151839</v>
      </c>
    </row>
    <row r="26" spans="1:8">
      <c r="A26" s="66" t="s">
        <v>378</v>
      </c>
      <c r="B26" s="196">
        <v>7.5499000000000003E-5</v>
      </c>
      <c r="C26" s="66">
        <v>6.6516100000000005E-4</v>
      </c>
      <c r="D26" s="66">
        <v>8.8102</v>
      </c>
      <c r="E26" s="66">
        <v>0</v>
      </c>
      <c r="F26" s="66">
        <v>0</v>
      </c>
      <c r="G26" s="66">
        <v>0</v>
      </c>
      <c r="H26" s="66">
        <v>4.30672E-3</v>
      </c>
    </row>
    <row r="27" spans="1:8">
      <c r="A27" s="66" t="s">
        <v>379</v>
      </c>
      <c r="B27" s="196">
        <v>-3.2825599999999999E-6</v>
      </c>
      <c r="C27" s="66">
        <v>3.7808200000000002E-4</v>
      </c>
      <c r="D27" s="66">
        <v>-115.179</v>
      </c>
      <c r="E27" s="66">
        <v>0</v>
      </c>
      <c r="F27" s="66">
        <v>-2.3404699999999999E-3</v>
      </c>
      <c r="G27" s="66">
        <v>0</v>
      </c>
      <c r="H27" s="66">
        <v>2.1205400000000002E-3</v>
      </c>
    </row>
    <row r="28" spans="1:8">
      <c r="A28" s="66" t="s">
        <v>380</v>
      </c>
      <c r="B28" s="66">
        <v>7.2998000000000004E-3</v>
      </c>
      <c r="C28" s="66">
        <v>1.17453E-2</v>
      </c>
      <c r="D28" s="66">
        <v>1.6089800000000001</v>
      </c>
      <c r="E28" s="66">
        <v>0</v>
      </c>
      <c r="F28" s="196">
        <v>4.5572899999999999E-5</v>
      </c>
      <c r="G28" s="66">
        <v>0</v>
      </c>
      <c r="H28" s="66">
        <v>5.02832E-2</v>
      </c>
    </row>
    <row r="29" spans="1:8">
      <c r="A29" s="66" t="s">
        <v>381</v>
      </c>
      <c r="B29" s="66">
        <v>73.966800000000006</v>
      </c>
      <c r="C29" s="66">
        <v>12.4411</v>
      </c>
      <c r="D29" s="66">
        <v>0.16819899999999999</v>
      </c>
      <c r="E29" s="66">
        <v>0</v>
      </c>
      <c r="F29" s="66">
        <v>51.458500000000001</v>
      </c>
      <c r="G29" s="66">
        <v>0</v>
      </c>
      <c r="H29" s="66">
        <v>110.11</v>
      </c>
    </row>
    <row r="30" spans="1:8">
      <c r="A30" s="66" t="s">
        <v>382</v>
      </c>
      <c r="B30" s="66">
        <v>30.779399999999999</v>
      </c>
      <c r="C30" s="66">
        <v>7.86883</v>
      </c>
      <c r="D30" s="66">
        <v>0.25565300000000002</v>
      </c>
      <c r="E30" s="66">
        <v>0</v>
      </c>
      <c r="F30" s="66">
        <v>12.6418</v>
      </c>
      <c r="G30" s="66">
        <v>0</v>
      </c>
      <c r="H30" s="66">
        <v>37.581299999999999</v>
      </c>
    </row>
    <row r="31" spans="1:8">
      <c r="A31" s="66" t="s">
        <v>383</v>
      </c>
      <c r="B31" s="66">
        <v>99.52</v>
      </c>
      <c r="C31" s="66">
        <v>24.672499999999999</v>
      </c>
      <c r="D31" s="66">
        <v>0.247915</v>
      </c>
      <c r="E31" s="66">
        <v>0</v>
      </c>
      <c r="F31" s="66">
        <v>39.057200000000002</v>
      </c>
      <c r="G31" s="66">
        <v>0</v>
      </c>
      <c r="H31" s="66">
        <v>136.642</v>
      </c>
    </row>
    <row r="32" spans="1:8">
      <c r="A32" s="66" t="s">
        <v>384</v>
      </c>
      <c r="B32" s="66">
        <v>0.26149099999999997</v>
      </c>
      <c r="C32" s="66">
        <v>6.7797499999999997E-2</v>
      </c>
      <c r="D32" s="66">
        <v>0.25927299999999998</v>
      </c>
      <c r="E32" s="66">
        <v>0.15</v>
      </c>
      <c r="F32" s="66">
        <v>0.12032900000000001</v>
      </c>
      <c r="G32" s="66">
        <v>0.4</v>
      </c>
      <c r="H32" s="66">
        <v>0.494502</v>
      </c>
    </row>
    <row r="33" spans="1:8">
      <c r="A33" s="66" t="s">
        <v>385</v>
      </c>
      <c r="B33" s="66">
        <v>0.39137300000000003</v>
      </c>
      <c r="C33" s="66">
        <v>2.2372599999999999E-2</v>
      </c>
      <c r="D33" s="66">
        <v>5.71645E-2</v>
      </c>
      <c r="E33" s="66">
        <v>0</v>
      </c>
      <c r="F33" s="66">
        <v>0.34113500000000002</v>
      </c>
      <c r="G33" s="66">
        <v>0</v>
      </c>
      <c r="H33" s="66">
        <v>0.45122200000000001</v>
      </c>
    </row>
    <row r="34" spans="1:8">
      <c r="A34" s="66" t="s">
        <v>386</v>
      </c>
      <c r="B34" s="66">
        <v>0.18521499999999999</v>
      </c>
      <c r="C34" s="66">
        <v>2.8873300000000001E-2</v>
      </c>
      <c r="D34" s="66">
        <v>0.15589</v>
      </c>
      <c r="E34" s="66">
        <v>0.1</v>
      </c>
      <c r="F34" s="66">
        <v>0.14763599999999999</v>
      </c>
      <c r="G34" s="66">
        <v>0.25</v>
      </c>
      <c r="H34" s="66">
        <v>0.27545999999999998</v>
      </c>
    </row>
    <row r="35" spans="1:8">
      <c r="A35" s="66" t="s">
        <v>387</v>
      </c>
      <c r="B35" s="66">
        <v>7.7487100000000003E-2</v>
      </c>
      <c r="C35" s="66">
        <v>2.5763100000000001E-2</v>
      </c>
      <c r="D35" s="66">
        <v>0.33248299999999997</v>
      </c>
      <c r="E35" s="66">
        <v>0</v>
      </c>
      <c r="F35" s="66">
        <v>4.6183500000000002E-2</v>
      </c>
      <c r="G35" s="66">
        <v>0</v>
      </c>
      <c r="H35" s="66">
        <v>0.17203199999999999</v>
      </c>
    </row>
    <row r="36" spans="1:8">
      <c r="A36" s="66" t="s">
        <v>388</v>
      </c>
      <c r="B36" s="66">
        <v>0.166904</v>
      </c>
      <c r="C36" s="66">
        <v>8.7415800000000002E-2</v>
      </c>
      <c r="D36" s="66">
        <v>0.52374799999999999</v>
      </c>
      <c r="E36" s="66">
        <v>0</v>
      </c>
      <c r="F36" s="66">
        <v>4.5317499999999997E-2</v>
      </c>
      <c r="G36" s="66">
        <v>0</v>
      </c>
      <c r="H36" s="66">
        <v>0.555813</v>
      </c>
    </row>
    <row r="37" spans="1:8">
      <c r="A37" s="66" t="s">
        <v>389</v>
      </c>
      <c r="B37" s="66">
        <v>0.28873300000000002</v>
      </c>
      <c r="C37" s="66">
        <v>0.106582</v>
      </c>
      <c r="D37" s="66">
        <v>0.36913899999999999</v>
      </c>
      <c r="E37" s="66">
        <v>0.1</v>
      </c>
      <c r="F37" s="66">
        <v>2.06305E-2</v>
      </c>
      <c r="G37" s="66">
        <v>0.5</v>
      </c>
      <c r="H37" s="66">
        <v>0.40419500000000003</v>
      </c>
    </row>
    <row r="38" spans="1:8">
      <c r="A38" s="66" t="s">
        <v>390</v>
      </c>
      <c r="B38" s="66">
        <v>-10.807499999999999</v>
      </c>
      <c r="C38" s="66">
        <v>24.832899999999999</v>
      </c>
      <c r="D38" s="66">
        <v>-2.2977599999999998</v>
      </c>
      <c r="E38" s="66">
        <v>0</v>
      </c>
      <c r="F38" s="66">
        <v>-78.663499999999999</v>
      </c>
      <c r="G38" s="66">
        <v>0</v>
      </c>
      <c r="H38" s="66">
        <v>102.929</v>
      </c>
    </row>
    <row r="39" spans="1:8">
      <c r="A39" s="66" t="s">
        <v>391</v>
      </c>
      <c r="B39" s="66">
        <v>-4.5131399999999999</v>
      </c>
      <c r="C39" s="66">
        <v>2.36171</v>
      </c>
      <c r="D39" s="66">
        <v>-0.52329599999999998</v>
      </c>
      <c r="E39" s="66">
        <v>0</v>
      </c>
      <c r="F39" s="66">
        <v>-9.8665500000000002</v>
      </c>
      <c r="G39" s="66">
        <v>0</v>
      </c>
      <c r="H39" s="66">
        <v>2.5458500000000002</v>
      </c>
    </row>
    <row r="40" spans="1:8">
      <c r="A40" s="66" t="s">
        <v>392</v>
      </c>
      <c r="B40" s="66">
        <v>-2.8894799999999998</v>
      </c>
      <c r="C40" s="66">
        <v>0.52771400000000002</v>
      </c>
      <c r="D40" s="66">
        <v>-0.18263299999999999</v>
      </c>
      <c r="E40" s="66">
        <v>0</v>
      </c>
      <c r="F40" s="66">
        <v>-4.1150500000000001</v>
      </c>
      <c r="G40" s="66">
        <v>0</v>
      </c>
      <c r="H40" s="66">
        <v>-2.17456</v>
      </c>
    </row>
    <row r="41" spans="1:8">
      <c r="A41" s="66" t="s">
        <v>393</v>
      </c>
      <c r="B41" s="66">
        <v>-0.144091</v>
      </c>
      <c r="C41" s="66">
        <v>0.37472899999999998</v>
      </c>
      <c r="D41" s="66">
        <v>-2.6006399999999998</v>
      </c>
      <c r="E41" s="66">
        <v>0</v>
      </c>
      <c r="F41" s="66">
        <v>-0.98058299999999998</v>
      </c>
      <c r="G41" s="66">
        <v>0</v>
      </c>
      <c r="H41" s="66">
        <v>1</v>
      </c>
    </row>
    <row r="42" spans="1:8">
      <c r="A42" s="66" t="s">
        <v>394</v>
      </c>
      <c r="B42" s="66">
        <v>-0.15373000000000001</v>
      </c>
      <c r="C42" s="66">
        <v>7.87606E-2</v>
      </c>
      <c r="D42" s="66">
        <v>-0.51232999999999995</v>
      </c>
      <c r="E42" s="66">
        <v>0</v>
      </c>
      <c r="F42" s="66">
        <v>-0.31946799999999997</v>
      </c>
      <c r="G42" s="66">
        <v>0</v>
      </c>
      <c r="H42" s="66">
        <v>8.55881E-2</v>
      </c>
    </row>
    <row r="43" spans="1:8">
      <c r="A43" s="66" t="s">
        <v>395</v>
      </c>
      <c r="B43" s="66">
        <v>-0.20988799999999999</v>
      </c>
      <c r="C43" s="66">
        <v>3.6084699999999997E-2</v>
      </c>
      <c r="D43" s="66">
        <v>-0.17192299999999999</v>
      </c>
      <c r="E43" s="66">
        <v>0</v>
      </c>
      <c r="F43" s="66">
        <v>-0.251195</v>
      </c>
      <c r="G43" s="66">
        <v>0</v>
      </c>
      <c r="H43" s="66">
        <v>-0.122487</v>
      </c>
    </row>
    <row r="44" spans="1:8">
      <c r="A44" s="66" t="s">
        <v>396</v>
      </c>
      <c r="B44" s="66">
        <v>-8.73583</v>
      </c>
      <c r="C44" s="66">
        <v>6.4751700000000003</v>
      </c>
      <c r="D44" s="66">
        <v>-0.74121999999999999</v>
      </c>
      <c r="E44" s="66">
        <v>0</v>
      </c>
      <c r="F44" s="66">
        <v>-24.639800000000001</v>
      </c>
      <c r="G44" s="66">
        <v>0</v>
      </c>
      <c r="H44" s="66">
        <v>10.445499999999999</v>
      </c>
    </row>
    <row r="45" spans="1:8">
      <c r="A45" s="66" t="s">
        <v>397</v>
      </c>
      <c r="B45" s="66">
        <v>51.714799999999997</v>
      </c>
      <c r="C45" s="66">
        <v>7.0337800000000001</v>
      </c>
      <c r="D45" s="66">
        <v>0.13601099999999999</v>
      </c>
      <c r="E45" s="66">
        <v>0</v>
      </c>
      <c r="F45" s="66">
        <v>38.685299999999998</v>
      </c>
      <c r="G45" s="66">
        <v>0</v>
      </c>
      <c r="H45" s="66">
        <v>71.995900000000006</v>
      </c>
    </row>
    <row r="46" spans="1:8">
      <c r="A46" s="66" t="s">
        <v>398</v>
      </c>
      <c r="B46" s="66">
        <v>33.068600000000004</v>
      </c>
      <c r="C46" s="66">
        <v>8.3781599999999994</v>
      </c>
      <c r="D46" s="66">
        <v>0.253357</v>
      </c>
      <c r="E46" s="66">
        <v>0</v>
      </c>
      <c r="F46" s="66">
        <v>10.756600000000001</v>
      </c>
      <c r="G46" s="66">
        <v>0</v>
      </c>
      <c r="H46" s="66">
        <v>40.718000000000004</v>
      </c>
    </row>
    <row r="47" spans="1:8">
      <c r="A47" s="66" t="s">
        <v>399</v>
      </c>
      <c r="B47" s="66">
        <v>1.2642800000000001</v>
      </c>
      <c r="C47" s="66">
        <v>0.62337799999999999</v>
      </c>
      <c r="D47" s="66">
        <v>0.49307099999999998</v>
      </c>
      <c r="E47" s="66">
        <v>0</v>
      </c>
      <c r="F47" s="66">
        <v>0.269117</v>
      </c>
      <c r="G47" s="66">
        <v>0</v>
      </c>
      <c r="H47" s="66">
        <v>3.1021299999999998</v>
      </c>
    </row>
    <row r="48" spans="1:8">
      <c r="A48" s="66" t="s">
        <v>400</v>
      </c>
      <c r="B48" s="66">
        <v>1.4310099999999999</v>
      </c>
      <c r="C48" s="66">
        <v>0.19884399999999999</v>
      </c>
      <c r="D48" s="66">
        <v>0.13895399999999999</v>
      </c>
      <c r="E48" s="66">
        <v>0</v>
      </c>
      <c r="F48" s="66">
        <v>1.07291</v>
      </c>
      <c r="G48" s="66">
        <v>0</v>
      </c>
      <c r="H48" s="66">
        <v>2.3220900000000002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40.9084</v>
      </c>
      <c r="C5" s="66">
        <v>3.0779999999999998</v>
      </c>
      <c r="D5" s="66">
        <v>7.5241300000000004</v>
      </c>
      <c r="E5" s="66">
        <v>20</v>
      </c>
      <c r="F5" s="66">
        <v>35.878300000000003</v>
      </c>
      <c r="G5" s="66">
        <v>50</v>
      </c>
      <c r="H5" s="66">
        <v>46.868200000000002</v>
      </c>
    </row>
    <row r="6" spans="1:8">
      <c r="A6" s="66" t="s">
        <v>358</v>
      </c>
      <c r="B6" s="66">
        <v>30.229700000000001</v>
      </c>
      <c r="C6" s="66">
        <v>1.1415500000000001</v>
      </c>
      <c r="D6" s="66">
        <v>3.7762600000000002</v>
      </c>
      <c r="E6" s="66">
        <v>20</v>
      </c>
      <c r="F6" s="66">
        <v>26.948899999999998</v>
      </c>
      <c r="G6" s="66">
        <v>40</v>
      </c>
      <c r="H6" s="66">
        <v>31.793199999999999</v>
      </c>
    </row>
    <row r="7" spans="1:8">
      <c r="A7" s="66" t="s">
        <v>359</v>
      </c>
      <c r="B7" s="66">
        <v>22.019600000000001</v>
      </c>
      <c r="C7" s="66">
        <v>5.2852300000000003</v>
      </c>
      <c r="D7" s="66">
        <v>24.002400000000002</v>
      </c>
      <c r="E7" s="66">
        <v>15</v>
      </c>
      <c r="F7" s="66">
        <v>13.896000000000001</v>
      </c>
      <c r="G7" s="66">
        <v>40</v>
      </c>
      <c r="H7" s="66">
        <v>40.473500000000001</v>
      </c>
    </row>
    <row r="8" spans="1:8">
      <c r="A8" s="66" t="s">
        <v>360</v>
      </c>
      <c r="B8" s="66">
        <v>31.0123</v>
      </c>
      <c r="C8" s="66">
        <v>1.4189099999999999</v>
      </c>
      <c r="D8" s="66">
        <v>4.5753199999999996</v>
      </c>
      <c r="E8" s="66">
        <v>20</v>
      </c>
      <c r="F8" s="66">
        <v>28.6065</v>
      </c>
      <c r="G8" s="66">
        <v>50</v>
      </c>
      <c r="H8" s="66">
        <v>36.946599999999997</v>
      </c>
    </row>
    <row r="9" spans="1:8">
      <c r="A9" s="66" t="s">
        <v>361</v>
      </c>
      <c r="B9" s="66">
        <v>54.2134</v>
      </c>
      <c r="C9" s="66">
        <v>7.0590299999999999</v>
      </c>
      <c r="D9" s="66">
        <v>13.020799999999999</v>
      </c>
      <c r="E9" s="66">
        <v>50</v>
      </c>
      <c r="F9" s="66">
        <v>34.961799999999997</v>
      </c>
      <c r="G9" s="66">
        <v>100</v>
      </c>
      <c r="H9" s="66">
        <v>65.954599999999999</v>
      </c>
    </row>
    <row r="10" spans="1:8">
      <c r="A10" s="66" t="s">
        <v>362</v>
      </c>
      <c r="B10" s="66">
        <v>75.471199999999996</v>
      </c>
      <c r="C10" s="66">
        <v>1.2161900000000001</v>
      </c>
      <c r="D10" s="66">
        <v>1.61147</v>
      </c>
      <c r="E10" s="66">
        <v>40</v>
      </c>
      <c r="F10" s="66">
        <v>72.649799999999999</v>
      </c>
      <c r="G10" s="66">
        <v>100</v>
      </c>
      <c r="H10" s="66">
        <v>77.583399999999997</v>
      </c>
    </row>
    <row r="11" spans="1:8">
      <c r="A11" s="66" t="s">
        <v>363</v>
      </c>
      <c r="B11" s="66">
        <v>26.932700000000001</v>
      </c>
      <c r="C11" s="66">
        <v>2.2403499999999998</v>
      </c>
      <c r="D11" s="66">
        <v>8.3183299999999996</v>
      </c>
      <c r="E11" s="66">
        <v>10</v>
      </c>
      <c r="F11" s="66">
        <v>23.325800000000001</v>
      </c>
      <c r="G11" s="66">
        <v>50</v>
      </c>
      <c r="H11" s="66">
        <v>31.9026</v>
      </c>
    </row>
    <row r="12" spans="1:8">
      <c r="A12" s="66" t="s">
        <v>364</v>
      </c>
      <c r="B12" s="66">
        <v>64.754000000000005</v>
      </c>
      <c r="C12" s="66">
        <v>3.4393199999999999</v>
      </c>
      <c r="D12" s="66">
        <v>5.3113599999999996</v>
      </c>
      <c r="E12" s="66">
        <v>50</v>
      </c>
      <c r="F12" s="66">
        <v>54.731099999999998</v>
      </c>
      <c r="G12" s="66">
        <v>100</v>
      </c>
      <c r="H12" s="66">
        <v>69.421199999999999</v>
      </c>
    </row>
    <row r="13" spans="1:8">
      <c r="A13" s="66" t="s">
        <v>365</v>
      </c>
      <c r="B13" s="66">
        <v>18.337700000000002</v>
      </c>
      <c r="C13" s="66">
        <v>2.4972099999999999</v>
      </c>
      <c r="D13" s="66">
        <v>13.617900000000001</v>
      </c>
      <c r="E13" s="66">
        <v>10</v>
      </c>
      <c r="F13" s="66">
        <v>14.0814</v>
      </c>
      <c r="G13" s="66">
        <v>25</v>
      </c>
      <c r="H13" s="66">
        <v>24.322900000000001</v>
      </c>
    </row>
    <row r="14" spans="1:8">
      <c r="A14" s="66" t="s">
        <v>366</v>
      </c>
      <c r="B14" s="66">
        <v>24.972100000000001</v>
      </c>
      <c r="C14" s="66">
        <v>8.6865699999999997</v>
      </c>
      <c r="D14" s="66">
        <v>34.7851</v>
      </c>
      <c r="E14" s="66">
        <v>10</v>
      </c>
      <c r="F14" s="66">
        <v>3.1633800000000001</v>
      </c>
      <c r="G14" s="66">
        <v>50</v>
      </c>
      <c r="H14" s="66">
        <v>28.802099999999999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0.5292</v>
      </c>
      <c r="C18" s="66">
        <v>5.4149000000000003E-2</v>
      </c>
      <c r="D18" s="66">
        <v>0.102322</v>
      </c>
      <c r="E18" s="66">
        <v>0</v>
      </c>
      <c r="F18" s="66">
        <v>0.475051</v>
      </c>
      <c r="G18" s="66">
        <v>0</v>
      </c>
      <c r="H18" s="66">
        <v>0.58334900000000001</v>
      </c>
    </row>
    <row r="19" spans="1:8">
      <c r="A19" s="66" t="s">
        <v>371</v>
      </c>
      <c r="B19" s="66">
        <v>0.48007499999999997</v>
      </c>
      <c r="C19" s="66">
        <v>3.8898599999999998E-2</v>
      </c>
      <c r="D19" s="66">
        <v>8.1026100000000004E-2</v>
      </c>
      <c r="E19" s="66">
        <v>0</v>
      </c>
      <c r="F19" s="66">
        <v>0.44117600000000001</v>
      </c>
      <c r="G19" s="66">
        <v>0</v>
      </c>
      <c r="H19" s="66">
        <v>0.51897400000000005</v>
      </c>
    </row>
    <row r="20" spans="1:8">
      <c r="A20" s="66" t="s">
        <v>372</v>
      </c>
      <c r="B20" s="66">
        <v>2.2679300000000001E-4</v>
      </c>
      <c r="C20" s="66">
        <v>6.1646499999999998E-3</v>
      </c>
      <c r="D20" s="66">
        <v>27.181799999999999</v>
      </c>
      <c r="E20" s="66">
        <v>0</v>
      </c>
      <c r="F20" s="66">
        <v>0</v>
      </c>
      <c r="G20" s="66">
        <v>0</v>
      </c>
      <c r="H20" s="66">
        <v>5.3830200000000002E-2</v>
      </c>
    </row>
    <row r="21" spans="1:8">
      <c r="A21" s="66" t="s">
        <v>373</v>
      </c>
      <c r="B21" s="66">
        <v>2.2646300000000001E-2</v>
      </c>
      <c r="C21" s="66">
        <v>6.9068900000000003E-2</v>
      </c>
      <c r="D21" s="66">
        <v>3.04989</v>
      </c>
      <c r="E21" s="66">
        <v>0</v>
      </c>
      <c r="F21" s="66">
        <v>6.2035300000000003E-4</v>
      </c>
      <c r="G21" s="66">
        <v>0</v>
      </c>
      <c r="H21" s="66">
        <v>0.34390500000000002</v>
      </c>
    </row>
    <row r="22" spans="1:8">
      <c r="A22" s="66" t="s">
        <v>374</v>
      </c>
      <c r="B22" s="66">
        <v>27.278400000000001</v>
      </c>
      <c r="C22" s="66">
        <v>6.4295</v>
      </c>
      <c r="D22" s="66">
        <v>0.23569999999999999</v>
      </c>
      <c r="E22" s="66">
        <v>0</v>
      </c>
      <c r="F22" s="66">
        <v>14.680999999999999</v>
      </c>
      <c r="G22" s="66">
        <v>0</v>
      </c>
      <c r="H22" s="66">
        <v>42.292099999999998</v>
      </c>
    </row>
    <row r="23" spans="1:8">
      <c r="A23" s="66" t="s">
        <v>375</v>
      </c>
      <c r="B23" s="66">
        <v>16.273</v>
      </c>
      <c r="C23" s="66">
        <v>0.68789199999999995</v>
      </c>
      <c r="D23" s="66">
        <v>4.2271999999999997E-2</v>
      </c>
      <c r="E23" s="66">
        <v>0</v>
      </c>
      <c r="F23" s="66">
        <v>14.7232</v>
      </c>
      <c r="G23" s="66">
        <v>0</v>
      </c>
      <c r="H23" s="66">
        <v>17.708400000000001</v>
      </c>
    </row>
    <row r="24" spans="1:8">
      <c r="A24" s="66" t="s">
        <v>376</v>
      </c>
      <c r="B24" s="66">
        <v>4.2785300000000001E-4</v>
      </c>
      <c r="C24" s="66">
        <v>3.9088600000000001E-3</v>
      </c>
      <c r="D24" s="66">
        <v>9.1359899999999996</v>
      </c>
      <c r="E24" s="66">
        <v>0</v>
      </c>
      <c r="F24" s="196">
        <v>6.51353E-5</v>
      </c>
      <c r="G24" s="66">
        <v>0</v>
      </c>
      <c r="H24" s="66">
        <v>2.13309E-2</v>
      </c>
    </row>
    <row r="25" spans="1:8">
      <c r="A25" s="66" t="s">
        <v>377</v>
      </c>
      <c r="B25" s="66">
        <v>5.2130700000000002E-2</v>
      </c>
      <c r="C25" s="66">
        <v>2.4255700000000002E-2</v>
      </c>
      <c r="D25" s="66">
        <v>0.46528599999999998</v>
      </c>
      <c r="E25" s="66">
        <v>0</v>
      </c>
      <c r="F25" s="66">
        <v>8.4041600000000008E-3</v>
      </c>
      <c r="G25" s="66">
        <v>0</v>
      </c>
      <c r="H25" s="66">
        <v>0.114828</v>
      </c>
    </row>
    <row r="26" spans="1:8">
      <c r="A26" s="66" t="s">
        <v>378</v>
      </c>
      <c r="B26" s="196">
        <v>5.9086100000000003E-5</v>
      </c>
      <c r="C26" s="66">
        <v>5.6218999999999996E-4</v>
      </c>
      <c r="D26" s="66">
        <v>9.5147499999999994</v>
      </c>
      <c r="E26" s="66">
        <v>0</v>
      </c>
      <c r="F26" s="66">
        <v>0</v>
      </c>
      <c r="G26" s="66">
        <v>0</v>
      </c>
      <c r="H26" s="66">
        <v>3.4827999999999999E-3</v>
      </c>
    </row>
    <row r="27" spans="1:8">
      <c r="A27" s="66" t="s">
        <v>379</v>
      </c>
      <c r="B27" s="196">
        <v>-3.2825599999999999E-6</v>
      </c>
      <c r="C27" s="66">
        <v>3.4618799999999999E-4</v>
      </c>
      <c r="D27" s="66">
        <v>-105.46299999999999</v>
      </c>
      <c r="E27" s="66">
        <v>0</v>
      </c>
      <c r="F27" s="66">
        <v>-2.1730600000000001E-3</v>
      </c>
      <c r="G27" s="66">
        <v>0</v>
      </c>
      <c r="H27" s="66">
        <v>2.1106900000000001E-3</v>
      </c>
    </row>
    <row r="28" spans="1:8">
      <c r="A28" s="66" t="s">
        <v>380</v>
      </c>
      <c r="B28" s="66">
        <v>5.5794299999999998E-3</v>
      </c>
      <c r="C28" s="66">
        <v>9.4645400000000005E-3</v>
      </c>
      <c r="D28" s="66">
        <v>1.6963299999999999</v>
      </c>
      <c r="E28" s="66">
        <v>0</v>
      </c>
      <c r="F28" s="66">
        <v>2.1484400000000001E-4</v>
      </c>
      <c r="G28" s="66">
        <v>0</v>
      </c>
      <c r="H28" s="66">
        <v>4.2343800000000001E-2</v>
      </c>
    </row>
    <row r="29" spans="1:8">
      <c r="A29" s="66" t="s">
        <v>381</v>
      </c>
      <c r="B29" s="66">
        <v>73.642399999999995</v>
      </c>
      <c r="C29" s="66">
        <v>11.907400000000001</v>
      </c>
      <c r="D29" s="66">
        <v>0.161692</v>
      </c>
      <c r="E29" s="66">
        <v>0</v>
      </c>
      <c r="F29" s="66">
        <v>51.077300000000001</v>
      </c>
      <c r="G29" s="66">
        <v>0</v>
      </c>
      <c r="H29" s="66">
        <v>101.267</v>
      </c>
    </row>
    <row r="30" spans="1:8">
      <c r="A30" s="66" t="s">
        <v>382</v>
      </c>
      <c r="B30" s="66">
        <v>34.400199999999998</v>
      </c>
      <c r="C30" s="66">
        <v>1.4257200000000001</v>
      </c>
      <c r="D30" s="66">
        <v>4.1445200000000001E-2</v>
      </c>
      <c r="E30" s="66">
        <v>0</v>
      </c>
      <c r="F30" s="66">
        <v>30.689299999999999</v>
      </c>
      <c r="G30" s="66">
        <v>0</v>
      </c>
      <c r="H30" s="66">
        <v>37.675199999999997</v>
      </c>
    </row>
    <row r="31" spans="1:8">
      <c r="A31" s="66" t="s">
        <v>383</v>
      </c>
      <c r="B31" s="66">
        <v>110.9</v>
      </c>
      <c r="C31" s="66">
        <v>12.2874</v>
      </c>
      <c r="D31" s="66">
        <v>0.11079799999999999</v>
      </c>
      <c r="E31" s="66">
        <v>0</v>
      </c>
      <c r="F31" s="66">
        <v>95.823800000000006</v>
      </c>
      <c r="G31" s="66">
        <v>0</v>
      </c>
      <c r="H31" s="66">
        <v>144.72499999999999</v>
      </c>
    </row>
    <row r="32" spans="1:8">
      <c r="A32" s="66" t="s">
        <v>384</v>
      </c>
      <c r="B32" s="66">
        <v>0.220196</v>
      </c>
      <c r="C32" s="66">
        <v>5.2852299999999998E-2</v>
      </c>
      <c r="D32" s="66">
        <v>0.24002399999999999</v>
      </c>
      <c r="E32" s="66">
        <v>0.15</v>
      </c>
      <c r="F32" s="66">
        <v>0.13896</v>
      </c>
      <c r="G32" s="66">
        <v>0.4</v>
      </c>
      <c r="H32" s="66">
        <v>0.40473500000000001</v>
      </c>
    </row>
    <row r="33" spans="1:8">
      <c r="A33" s="66" t="s">
        <v>385</v>
      </c>
      <c r="B33" s="66">
        <v>0.39479500000000001</v>
      </c>
      <c r="C33" s="66">
        <v>1.5628199999999998E-2</v>
      </c>
      <c r="D33" s="66">
        <v>3.9585599999999999E-2</v>
      </c>
      <c r="E33" s="66">
        <v>0</v>
      </c>
      <c r="F33" s="66">
        <v>0.36846400000000001</v>
      </c>
      <c r="G33" s="66">
        <v>0</v>
      </c>
      <c r="H33" s="66">
        <v>0.43187799999999998</v>
      </c>
    </row>
    <row r="34" spans="1:8">
      <c r="A34" s="66" t="s">
        <v>386</v>
      </c>
      <c r="B34" s="66">
        <v>0.18337700000000001</v>
      </c>
      <c r="C34" s="66">
        <v>2.4972100000000001E-2</v>
      </c>
      <c r="D34" s="66">
        <v>0.13617899999999999</v>
      </c>
      <c r="E34" s="66">
        <v>0.1</v>
      </c>
      <c r="F34" s="66">
        <v>0.14081399999999999</v>
      </c>
      <c r="G34" s="66">
        <v>0.25</v>
      </c>
      <c r="H34" s="66">
        <v>0.243229</v>
      </c>
    </row>
    <row r="35" spans="1:8">
      <c r="A35" s="66" t="s">
        <v>387</v>
      </c>
      <c r="B35" s="66">
        <v>7.9714699999999999E-2</v>
      </c>
      <c r="C35" s="66">
        <v>2.6734399999999998E-2</v>
      </c>
      <c r="D35" s="66">
        <v>0.33537699999999998</v>
      </c>
      <c r="E35" s="66">
        <v>0</v>
      </c>
      <c r="F35" s="66">
        <v>2.8554400000000001E-2</v>
      </c>
      <c r="G35" s="66">
        <v>0</v>
      </c>
      <c r="H35" s="66">
        <v>0.16792199999999999</v>
      </c>
    </row>
    <row r="36" spans="1:8">
      <c r="A36" s="66" t="s">
        <v>388</v>
      </c>
      <c r="B36" s="66">
        <v>0.16727700000000001</v>
      </c>
      <c r="C36" s="66">
        <v>8.9779499999999998E-2</v>
      </c>
      <c r="D36" s="66">
        <v>0.53671199999999997</v>
      </c>
      <c r="E36" s="66">
        <v>0</v>
      </c>
      <c r="F36" s="66">
        <v>4.03436E-2</v>
      </c>
      <c r="G36" s="66">
        <v>0</v>
      </c>
      <c r="H36" s="66">
        <v>0.55085399999999995</v>
      </c>
    </row>
    <row r="37" spans="1:8">
      <c r="A37" s="66" t="s">
        <v>389</v>
      </c>
      <c r="B37" s="66">
        <v>0.249721</v>
      </c>
      <c r="C37" s="66">
        <v>8.6865700000000004E-2</v>
      </c>
      <c r="D37" s="66">
        <v>0.34785100000000002</v>
      </c>
      <c r="E37" s="66">
        <v>0.1</v>
      </c>
      <c r="F37" s="66">
        <v>3.1633799999999997E-2</v>
      </c>
      <c r="G37" s="66">
        <v>0.5</v>
      </c>
      <c r="H37" s="66">
        <v>0.28802100000000003</v>
      </c>
    </row>
    <row r="38" spans="1:8">
      <c r="A38" s="66" t="s">
        <v>390</v>
      </c>
      <c r="B38" s="66">
        <v>-12.971500000000001</v>
      </c>
      <c r="C38" s="66">
        <v>24.171600000000002</v>
      </c>
      <c r="D38" s="66">
        <v>-1.86344</v>
      </c>
      <c r="E38" s="66">
        <v>0</v>
      </c>
      <c r="F38" s="66">
        <v>-92.704499999999996</v>
      </c>
      <c r="G38" s="66">
        <v>0</v>
      </c>
      <c r="H38" s="66">
        <v>67.051699999999997</v>
      </c>
    </row>
    <row r="39" spans="1:8">
      <c r="A39" s="66" t="s">
        <v>391</v>
      </c>
      <c r="B39" s="66">
        <v>-3.9309400000000001</v>
      </c>
      <c r="C39" s="66">
        <v>2.70296</v>
      </c>
      <c r="D39" s="66">
        <v>-0.687612</v>
      </c>
      <c r="E39" s="66">
        <v>0</v>
      </c>
      <c r="F39" s="66">
        <v>-11.6943</v>
      </c>
      <c r="G39" s="66">
        <v>0</v>
      </c>
      <c r="H39" s="66">
        <v>1.15882</v>
      </c>
    </row>
    <row r="40" spans="1:8">
      <c r="A40" s="66" t="s">
        <v>392</v>
      </c>
      <c r="B40" s="66">
        <v>-2.3367499999999999</v>
      </c>
      <c r="C40" s="66">
        <v>0.21957199999999999</v>
      </c>
      <c r="D40" s="66">
        <v>-9.3964500000000006E-2</v>
      </c>
      <c r="E40" s="66">
        <v>0</v>
      </c>
      <c r="F40" s="66">
        <v>-2.9934099999999999</v>
      </c>
      <c r="G40" s="66">
        <v>0</v>
      </c>
      <c r="H40" s="66">
        <v>-1.92957</v>
      </c>
    </row>
    <row r="41" spans="1:8">
      <c r="A41" s="66" t="s">
        <v>393</v>
      </c>
      <c r="B41" s="66">
        <v>-0.14938499999999999</v>
      </c>
      <c r="C41" s="66">
        <v>0.330314</v>
      </c>
      <c r="D41" s="66">
        <v>-2.21116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-0.133382</v>
      </c>
      <c r="C42" s="66">
        <v>8.5032999999999997E-2</v>
      </c>
      <c r="D42" s="66">
        <v>-0.63751500000000005</v>
      </c>
      <c r="E42" s="66">
        <v>0</v>
      </c>
      <c r="F42" s="66">
        <v>-0.34697</v>
      </c>
      <c r="G42" s="66">
        <v>0</v>
      </c>
      <c r="H42" s="66">
        <v>3.1275400000000002E-2</v>
      </c>
    </row>
    <row r="43" spans="1:8">
      <c r="A43" s="66" t="s">
        <v>395</v>
      </c>
      <c r="B43" s="66">
        <v>-0.14074700000000001</v>
      </c>
      <c r="C43" s="66">
        <v>2.4676799999999999E-2</v>
      </c>
      <c r="D43" s="66">
        <v>-0.17532700000000001</v>
      </c>
      <c r="E43" s="66">
        <v>0</v>
      </c>
      <c r="F43" s="66">
        <v>-0.18779399999999999</v>
      </c>
      <c r="G43" s="66">
        <v>0</v>
      </c>
      <c r="H43" s="66">
        <v>-8.4265800000000002E-2</v>
      </c>
    </row>
    <row r="44" spans="1:8">
      <c r="A44" s="66" t="s">
        <v>396</v>
      </c>
      <c r="B44" s="66">
        <v>-9.9917099999999994</v>
      </c>
      <c r="C44" s="66">
        <v>10.8955</v>
      </c>
      <c r="D44" s="66">
        <v>-1.0904499999999999</v>
      </c>
      <c r="E44" s="66">
        <v>0</v>
      </c>
      <c r="F44" s="66">
        <v>-22.9742</v>
      </c>
      <c r="G44" s="66">
        <v>0</v>
      </c>
      <c r="H44" s="66">
        <v>17.465299999999999</v>
      </c>
    </row>
    <row r="45" spans="1:8">
      <c r="A45" s="66" t="s">
        <v>397</v>
      </c>
      <c r="B45" s="66">
        <v>51.730200000000004</v>
      </c>
      <c r="C45" s="66">
        <v>7.6524400000000004</v>
      </c>
      <c r="D45" s="66">
        <v>0.14793000000000001</v>
      </c>
      <c r="E45" s="66">
        <v>0</v>
      </c>
      <c r="F45" s="66">
        <v>37.115400000000001</v>
      </c>
      <c r="G45" s="66">
        <v>0</v>
      </c>
      <c r="H45" s="66">
        <v>68.536699999999996</v>
      </c>
    </row>
    <row r="46" spans="1:8">
      <c r="A46" s="66" t="s">
        <v>398</v>
      </c>
      <c r="B46" s="66">
        <v>33.310299999999998</v>
      </c>
      <c r="C46" s="66">
        <v>2.37486</v>
      </c>
      <c r="D46" s="66">
        <v>7.1294999999999997E-2</v>
      </c>
      <c r="E46" s="66">
        <v>0</v>
      </c>
      <c r="F46" s="66">
        <v>29.102699999999999</v>
      </c>
      <c r="G46" s="66">
        <v>0</v>
      </c>
      <c r="H46" s="66">
        <v>37.136600000000001</v>
      </c>
    </row>
    <row r="47" spans="1:8">
      <c r="A47" s="66" t="s">
        <v>399</v>
      </c>
      <c r="B47" s="66">
        <v>0.97499499999999995</v>
      </c>
      <c r="C47" s="66">
        <v>0.416375</v>
      </c>
      <c r="D47" s="66">
        <v>0.42705399999999999</v>
      </c>
      <c r="E47" s="66">
        <v>0</v>
      </c>
      <c r="F47" s="66">
        <v>0.37318400000000002</v>
      </c>
      <c r="G47" s="66">
        <v>0</v>
      </c>
      <c r="H47" s="66">
        <v>2.65463</v>
      </c>
    </row>
    <row r="48" spans="1:8">
      <c r="A48" s="66" t="s">
        <v>400</v>
      </c>
      <c r="B48" s="66">
        <v>1.1305400000000001</v>
      </c>
      <c r="C48" s="66">
        <v>0.17056499999999999</v>
      </c>
      <c r="D48" s="66">
        <v>0.15087100000000001</v>
      </c>
      <c r="E48" s="66">
        <v>0</v>
      </c>
      <c r="F48" s="66">
        <v>0.95748299999999997</v>
      </c>
      <c r="G48" s="66">
        <v>0</v>
      </c>
      <c r="H48" s="66">
        <v>1.6616500000000001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96.140367947278435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1.8562292115894512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0.5635027619771027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4732</v>
      </c>
      <c r="B8" s="66">
        <v>4732</v>
      </c>
      <c r="D8">
        <f t="shared" si="0"/>
        <v>1.3726684651756447E-2</v>
      </c>
      <c r="E8">
        <f t="shared" si="0"/>
        <v>1.3726684651756447E-2</v>
      </c>
      <c r="G8">
        <f t="shared" ca="1" si="1"/>
        <v>6</v>
      </c>
      <c r="H8">
        <f t="shared" ca="1" si="2"/>
        <v>8.2360107910538688E-2</v>
      </c>
      <c r="I8">
        <f t="shared" ca="1" si="3"/>
        <v>111.53323771685072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6239</v>
      </c>
      <c r="B10" s="66">
        <v>6239</v>
      </c>
      <c r="D10">
        <f t="shared" si="0"/>
        <v>1.8098221796768486E-2</v>
      </c>
      <c r="E10">
        <f t="shared" si="0"/>
        <v>1.8098221796768486E-2</v>
      </c>
      <c r="G10">
        <f t="shared" ca="1" si="1"/>
        <v>8</v>
      </c>
      <c r="H10">
        <f t="shared" ca="1" si="2"/>
        <v>0.14478577437414789</v>
      </c>
      <c r="I10">
        <f t="shared" ca="1" si="3"/>
        <v>140.60009838911461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10346</v>
      </c>
      <c r="B13" s="66">
        <v>10346</v>
      </c>
      <c r="D13">
        <f t="shared" si="0"/>
        <v>3.0011893365822526E-2</v>
      </c>
      <c r="E13">
        <f t="shared" si="0"/>
        <v>3.0011893365822526E-2</v>
      </c>
      <c r="G13">
        <f t="shared" ca="1" si="1"/>
        <v>11</v>
      </c>
      <c r="H13">
        <f t="shared" ca="1" si="2"/>
        <v>0.33013082702404778</v>
      </c>
      <c r="I13">
        <f t="shared" ca="1" si="3"/>
        <v>217.55268123439231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16174</v>
      </c>
      <c r="B15" s="66">
        <v>16174</v>
      </c>
      <c r="D15">
        <f t="shared" si="0"/>
        <v>4.691787775940591E-2</v>
      </c>
      <c r="E15">
        <f t="shared" si="0"/>
        <v>4.691787775940591E-2</v>
      </c>
      <c r="G15">
        <f t="shared" ca="1" si="1"/>
        <v>13</v>
      </c>
      <c r="H15">
        <f t="shared" ca="1" si="2"/>
        <v>0.60993241087227679</v>
      </c>
      <c r="I15">
        <f t="shared" ca="1" si="3"/>
        <v>324.3114215028591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19959</v>
      </c>
      <c r="B18" s="66">
        <v>19959</v>
      </c>
      <c r="D18">
        <f t="shared" si="0"/>
        <v>5.7897484988251674E-2</v>
      </c>
      <c r="E18">
        <f t="shared" si="0"/>
        <v>5.7897484988251674E-2</v>
      </c>
      <c r="G18">
        <f t="shared" ca="1" si="1"/>
        <v>16</v>
      </c>
      <c r="H18">
        <f t="shared" ca="1" si="2"/>
        <v>0.92635975981202678</v>
      </c>
      <c r="I18">
        <f t="shared" ca="1" si="3"/>
        <v>371.84535686751872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24229</v>
      </c>
      <c r="B21" s="66">
        <v>24229</v>
      </c>
      <c r="D21">
        <f t="shared" si="0"/>
        <v>7.0283990369274504E-2</v>
      </c>
      <c r="E21">
        <f t="shared" si="0"/>
        <v>7.0283990369274504E-2</v>
      </c>
      <c r="G21">
        <f t="shared" ca="1" si="1"/>
        <v>19</v>
      </c>
      <c r="H21">
        <f t="shared" ca="1" si="2"/>
        <v>1.3353958170162157</v>
      </c>
      <c r="I21">
        <f t="shared" ca="1" si="3"/>
        <v>418.23446911219958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28191</v>
      </c>
      <c r="B23" s="66">
        <v>28191</v>
      </c>
      <c r="D23">
        <f t="shared" si="0"/>
        <v>8.1777042903141584E-2</v>
      </c>
      <c r="E23">
        <f t="shared" si="0"/>
        <v>8.1777042903141584E-2</v>
      </c>
      <c r="G23">
        <f t="shared" ca="1" si="1"/>
        <v>21</v>
      </c>
      <c r="H23">
        <f t="shared" ca="1" si="2"/>
        <v>1.7173179009659734</v>
      </c>
      <c r="I23">
        <f t="shared" ca="1" si="3"/>
        <v>461.71930894340517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36726</v>
      </c>
      <c r="B26" s="66">
        <v>36726</v>
      </c>
      <c r="D26">
        <f t="shared" si="0"/>
        <v>0.10653554956052563</v>
      </c>
      <c r="E26">
        <f t="shared" si="0"/>
        <v>0.10653554956052563</v>
      </c>
      <c r="G26">
        <f t="shared" ca="1" si="1"/>
        <v>24</v>
      </c>
      <c r="H26">
        <f t="shared" ca="1" si="2"/>
        <v>2.5568531894526152</v>
      </c>
      <c r="I26">
        <f t="shared" ca="1" si="3"/>
        <v>554.43578941098463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46841</v>
      </c>
      <c r="B28" s="66">
        <v>46841</v>
      </c>
      <c r="D28">
        <f t="shared" si="0"/>
        <v>0.13587735329098136</v>
      </c>
      <c r="E28">
        <f t="shared" si="0"/>
        <v>0.13587735329098136</v>
      </c>
      <c r="G28">
        <f t="shared" ca="1" si="1"/>
        <v>26</v>
      </c>
      <c r="H28">
        <f t="shared" ca="1" si="2"/>
        <v>3.5328111855655151</v>
      </c>
      <c r="I28">
        <f t="shared" ca="1" si="3"/>
        <v>668.471903861957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60990</v>
      </c>
      <c r="B31" s="66">
        <v>60990</v>
      </c>
      <c r="D31">
        <f t="shared" si="0"/>
        <v>0.17692106866243146</v>
      </c>
      <c r="E31">
        <f t="shared" si="0"/>
        <v>0.17692106866243146</v>
      </c>
      <c r="G31">
        <f t="shared" ca="1" si="1"/>
        <v>29</v>
      </c>
      <c r="H31">
        <f t="shared" ca="1" si="2"/>
        <v>5.1307109912105124</v>
      </c>
      <c r="I31">
        <f t="shared" ca="1" si="3"/>
        <v>797.52992545984091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64017</v>
      </c>
      <c r="B33" s="66">
        <v>64017</v>
      </c>
      <c r="D33">
        <f t="shared" si="0"/>
        <v>0.18570185362457575</v>
      </c>
      <c r="E33">
        <f t="shared" si="0"/>
        <v>0.18570185362457575</v>
      </c>
      <c r="G33">
        <f t="shared" ca="1" si="1"/>
        <v>31</v>
      </c>
      <c r="H33">
        <f t="shared" ca="1" si="2"/>
        <v>5.7567574623618487</v>
      </c>
      <c r="I33">
        <f t="shared" ca="1" si="3"/>
        <v>787.98264691716315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61806</v>
      </c>
      <c r="B36" s="66">
        <v>61806</v>
      </c>
      <c r="D36">
        <f t="shared" si="0"/>
        <v>0.17928813854320771</v>
      </c>
      <c r="E36">
        <f t="shared" si="0"/>
        <v>0.17928813854320771</v>
      </c>
      <c r="G36">
        <f t="shared" ca="1" si="1"/>
        <v>34</v>
      </c>
      <c r="H36">
        <f t="shared" ca="1" si="2"/>
        <v>6.0957967104690622</v>
      </c>
      <c r="I36">
        <f t="shared" ca="1" si="3"/>
        <v>692.3077592924385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60826</v>
      </c>
      <c r="B39" s="66">
        <v>60826</v>
      </c>
      <c r="D39">
        <f t="shared" si="0"/>
        <v>0.17644533402953036</v>
      </c>
      <c r="E39">
        <f t="shared" si="0"/>
        <v>0.17644533402953036</v>
      </c>
      <c r="G39">
        <f t="shared" ca="1" si="1"/>
        <v>37</v>
      </c>
      <c r="H39">
        <f t="shared" ca="1" si="2"/>
        <v>6.5284773590926237</v>
      </c>
      <c r="I39">
        <f t="shared" ca="1" si="3"/>
        <v>617.13222207021352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64744</v>
      </c>
      <c r="B41" s="66">
        <v>64744</v>
      </c>
      <c r="D41">
        <f t="shared" si="0"/>
        <v>0.18781075044237519</v>
      </c>
      <c r="E41">
        <f t="shared" si="0"/>
        <v>0.18781075044237519</v>
      </c>
      <c r="G41">
        <f t="shared" ca="1" si="1"/>
        <v>39</v>
      </c>
      <c r="H41">
        <f t="shared" ca="1" si="2"/>
        <v>7.3246192672526327</v>
      </c>
      <c r="I41">
        <f t="shared" ca="1" si="3"/>
        <v>613.20616613753145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66331</v>
      </c>
      <c r="B44" s="66">
        <v>66331</v>
      </c>
      <c r="D44">
        <f t="shared" si="0"/>
        <v>0.19241435326197315</v>
      </c>
      <c r="E44">
        <f t="shared" si="0"/>
        <v>0.19241435326197315</v>
      </c>
      <c r="G44">
        <f t="shared" ca="1" si="1"/>
        <v>42</v>
      </c>
      <c r="H44">
        <f t="shared" ca="1" si="2"/>
        <v>8.081402837002873</v>
      </c>
      <c r="I44">
        <f t="shared" ca="1" si="3"/>
        <v>564.00099652460563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66199</v>
      </c>
      <c r="B46" s="66">
        <v>66199</v>
      </c>
      <c r="D46">
        <f t="shared" si="0"/>
        <v>0.19203144489890639</v>
      </c>
      <c r="E46">
        <f t="shared" si="0"/>
        <v>0.19203144489890639</v>
      </c>
      <c r="G46">
        <f t="shared" ca="1" si="1"/>
        <v>44</v>
      </c>
      <c r="H46">
        <f t="shared" ca="1" si="2"/>
        <v>8.4493835755518809</v>
      </c>
      <c r="I46">
        <f t="shared" ca="1" si="3"/>
        <v>522.06013684531706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59538</v>
      </c>
      <c r="B49" s="66">
        <v>59538</v>
      </c>
      <c r="D49">
        <f t="shared" si="0"/>
        <v>0.17270907666869725</v>
      </c>
      <c r="E49">
        <f t="shared" si="0"/>
        <v>0.17270907666869725</v>
      </c>
      <c r="G49">
        <f t="shared" ca="1" si="1"/>
        <v>47</v>
      </c>
      <c r="H49">
        <f t="shared" ca="1" si="2"/>
        <v>8.1173266034287703</v>
      </c>
      <c r="I49">
        <f t="shared" ca="1" si="3"/>
        <v>417.05369221591798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59383</v>
      </c>
      <c r="B51" s="66">
        <v>59383</v>
      </c>
      <c r="D51">
        <f t="shared" si="0"/>
        <v>0.17225944942418706</v>
      </c>
      <c r="E51">
        <f t="shared" si="0"/>
        <v>0.17225944942418706</v>
      </c>
      <c r="G51">
        <f t="shared" ca="1" si="1"/>
        <v>49</v>
      </c>
      <c r="H51">
        <f t="shared" ca="1" si="2"/>
        <v>8.4407130217851662</v>
      </c>
      <c r="I51">
        <f t="shared" ca="1" si="3"/>
        <v>382.79741013323877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61153</v>
      </c>
      <c r="B54" s="66">
        <v>61153</v>
      </c>
      <c r="D54">
        <f t="shared" si="0"/>
        <v>0.17739390247440026</v>
      </c>
      <c r="E54">
        <f t="shared" si="0"/>
        <v>0.17739390247440026</v>
      </c>
      <c r="G54">
        <f t="shared" ca="1" si="1"/>
        <v>52</v>
      </c>
      <c r="H54">
        <f t="shared" ca="1" si="2"/>
        <v>9.224482928668813</v>
      </c>
      <c r="I54">
        <f t="shared" ca="1" si="3"/>
        <v>345.62932719059665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62644</v>
      </c>
      <c r="B57" s="66">
        <v>62644</v>
      </c>
      <c r="D57">
        <f t="shared" si="0"/>
        <v>0.18171902648449512</v>
      </c>
      <c r="E57">
        <f t="shared" si="0"/>
        <v>0.18171902648449512</v>
      </c>
      <c r="G57">
        <f t="shared" ca="1" si="1"/>
        <v>55</v>
      </c>
      <c r="H57">
        <f t="shared" ca="1" si="2"/>
        <v>9.9945464566472317</v>
      </c>
      <c r="I57">
        <f t="shared" ca="1" si="3"/>
        <v>307.56488115138666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67496</v>
      </c>
      <c r="B59" s="66">
        <v>67496</v>
      </c>
      <c r="D59">
        <f t="shared" si="0"/>
        <v>0.19579380964813042</v>
      </c>
      <c r="E59">
        <f t="shared" si="0"/>
        <v>0.19579380964813042</v>
      </c>
      <c r="G59">
        <f t="shared" ca="1" si="1"/>
        <v>57</v>
      </c>
      <c r="H59">
        <f t="shared" ca="1" si="2"/>
        <v>11.160247149943434</v>
      </c>
      <c r="I59">
        <f t="shared" ca="1" si="3"/>
        <v>299.94992989339727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70452</v>
      </c>
      <c r="B62" s="66">
        <v>70452</v>
      </c>
      <c r="D62">
        <f t="shared" si="0"/>
        <v>0.20436863632407973</v>
      </c>
      <c r="E62">
        <f t="shared" si="0"/>
        <v>0.20436863632407973</v>
      </c>
      <c r="G62">
        <f t="shared" ca="1" si="1"/>
        <v>60</v>
      </c>
      <c r="H62">
        <f t="shared" ca="1" si="2"/>
        <v>12.262118179444784</v>
      </c>
      <c r="I62">
        <f t="shared" ca="1" si="3"/>
        <v>266.93122941383621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79121</v>
      </c>
      <c r="B64" s="66">
        <v>79121</v>
      </c>
      <c r="D64">
        <f t="shared" si="0"/>
        <v>0.22951585298639515</v>
      </c>
      <c r="E64">
        <f t="shared" si="0"/>
        <v>0.22951585298639515</v>
      </c>
      <c r="G64">
        <f t="shared" ca="1" si="1"/>
        <v>62</v>
      </c>
      <c r="H64">
        <f t="shared" ca="1" si="2"/>
        <v>14.229982885156499</v>
      </c>
      <c r="I64">
        <f t="shared" ca="1" si="3"/>
        <v>267.51558174229575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89128</v>
      </c>
      <c r="B67" s="66">
        <v>89128</v>
      </c>
      <c r="D67">
        <f t="shared" ref="D67:E130" si="4">IFERROR( A67/MAX(A$2:A$257), 0 )</f>
        <v>0.25854436805615988</v>
      </c>
      <c r="E67">
        <f t="shared" si="4"/>
        <v>0.25854436805615988</v>
      </c>
      <c r="G67">
        <f t="shared" ref="G67:G130" ca="1" si="5">CELL("row",D67)-2</f>
        <v>65</v>
      </c>
      <c r="H67">
        <f t="shared" ref="H67:H130" ca="1" si="6">D67*G67</f>
        <v>16.805383923650393</v>
      </c>
      <c r="I67">
        <f t="shared" ref="I67:I130" ca="1" si="7">D67*((G67-$L$1)^2)</f>
        <v>250.71629506109716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101691</v>
      </c>
      <c r="B69" s="66">
        <v>101691</v>
      </c>
      <c r="D69">
        <f t="shared" si="4"/>
        <v>0.29498738142894437</v>
      </c>
      <c r="E69">
        <f t="shared" si="4"/>
        <v>0.29498738142894437</v>
      </c>
      <c r="G69">
        <f t="shared" ca="1" si="5"/>
        <v>67</v>
      </c>
      <c r="H69">
        <f t="shared" ca="1" si="6"/>
        <v>19.764154555739275</v>
      </c>
      <c r="I69">
        <f t="shared" ca="1" si="7"/>
        <v>250.49179281134516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121159</v>
      </c>
      <c r="B72" s="66">
        <v>121159</v>
      </c>
      <c r="D72">
        <f t="shared" si="4"/>
        <v>0.35146056333942505</v>
      </c>
      <c r="E72">
        <f t="shared" si="4"/>
        <v>0.35146056333942505</v>
      </c>
      <c r="G72">
        <f t="shared" ca="1" si="5"/>
        <v>70</v>
      </c>
      <c r="H72">
        <f t="shared" ca="1" si="6"/>
        <v>24.602239433759753</v>
      </c>
      <c r="I72">
        <f t="shared" ca="1" si="7"/>
        <v>240.15962318829796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141447</v>
      </c>
      <c r="B75" s="66">
        <v>141447</v>
      </c>
      <c r="D75">
        <f t="shared" si="4"/>
        <v>0.4103124184144113</v>
      </c>
      <c r="E75">
        <f t="shared" si="4"/>
        <v>0.4103124184144113</v>
      </c>
      <c r="G75">
        <f t="shared" ca="1" si="5"/>
        <v>73</v>
      </c>
      <c r="H75">
        <f t="shared" ca="1" si="6"/>
        <v>29.952806544252024</v>
      </c>
      <c r="I75">
        <f t="shared" ca="1" si="7"/>
        <v>219.71271054083061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156650</v>
      </c>
      <c r="B77" s="66">
        <v>156650</v>
      </c>
      <c r="D77">
        <f t="shared" si="4"/>
        <v>0.45441359904853074</v>
      </c>
      <c r="E77">
        <f t="shared" si="4"/>
        <v>0.45441359904853074</v>
      </c>
      <c r="G77">
        <f t="shared" ca="1" si="5"/>
        <v>75</v>
      </c>
      <c r="H77">
        <f t="shared" ca="1" si="6"/>
        <v>34.081019928639805</v>
      </c>
      <c r="I77">
        <f t="shared" ca="1" si="7"/>
        <v>203.08432493731507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166712</v>
      </c>
      <c r="B80" s="66">
        <v>166712</v>
      </c>
      <c r="D80">
        <f t="shared" si="4"/>
        <v>0.48360165926957327</v>
      </c>
      <c r="E80">
        <f t="shared" si="4"/>
        <v>0.48360165926957327</v>
      </c>
      <c r="G80">
        <f t="shared" ca="1" si="5"/>
        <v>78</v>
      </c>
      <c r="H80">
        <f t="shared" ca="1" si="6"/>
        <v>37.720929423026718</v>
      </c>
      <c r="I80">
        <f t="shared" ca="1" si="7"/>
        <v>159.1402242841481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174159</v>
      </c>
      <c r="B82" s="66">
        <v>174159</v>
      </c>
      <c r="D82">
        <f t="shared" si="4"/>
        <v>0.50520407275258894</v>
      </c>
      <c r="E82">
        <f t="shared" si="4"/>
        <v>0.50520407275258894</v>
      </c>
      <c r="G82">
        <f t="shared" ca="1" si="5"/>
        <v>80</v>
      </c>
      <c r="H82">
        <f t="shared" ca="1" si="6"/>
        <v>40.416325820207113</v>
      </c>
      <c r="I82">
        <f t="shared" ca="1" si="7"/>
        <v>131.61145941842324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187367</v>
      </c>
      <c r="B85" s="66">
        <v>187367</v>
      </c>
      <c r="D85">
        <f t="shared" si="4"/>
        <v>0.54351811562672236</v>
      </c>
      <c r="E85">
        <f t="shared" si="4"/>
        <v>0.54351811562672236</v>
      </c>
      <c r="G85">
        <f t="shared" ca="1" si="5"/>
        <v>83</v>
      </c>
      <c r="H85">
        <f t="shared" ca="1" si="6"/>
        <v>45.112003597017953</v>
      </c>
      <c r="I85">
        <f t="shared" ca="1" si="7"/>
        <v>93.848876142828175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212849</v>
      </c>
      <c r="B88" s="66">
        <v>212849</v>
      </c>
      <c r="D88">
        <f t="shared" si="4"/>
        <v>0.61743683462419863</v>
      </c>
      <c r="E88">
        <f t="shared" si="4"/>
        <v>0.61743683462419863</v>
      </c>
      <c r="G88">
        <f t="shared" ca="1" si="5"/>
        <v>86</v>
      </c>
      <c r="H88">
        <f t="shared" ca="1" si="6"/>
        <v>53.099567777681081</v>
      </c>
      <c r="I88">
        <f t="shared" ca="1" si="7"/>
        <v>63.489215740552986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237152</v>
      </c>
      <c r="B90" s="66">
        <v>237152</v>
      </c>
      <c r="D90">
        <f t="shared" si="4"/>
        <v>0.6879354857424651</v>
      </c>
      <c r="E90">
        <f t="shared" si="4"/>
        <v>0.6879354857424651</v>
      </c>
      <c r="G90">
        <f t="shared" ca="1" si="5"/>
        <v>88</v>
      </c>
      <c r="H90">
        <f t="shared" ca="1" si="6"/>
        <v>60.538322745336927</v>
      </c>
      <c r="I90">
        <f t="shared" ca="1" si="7"/>
        <v>45.586451062790331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253148</v>
      </c>
      <c r="B93" s="66">
        <v>253148</v>
      </c>
      <c r="D93">
        <f t="shared" si="4"/>
        <v>0.73433701737591739</v>
      </c>
      <c r="E93">
        <f t="shared" si="4"/>
        <v>0.73433701737591739</v>
      </c>
      <c r="G93">
        <f t="shared" ca="1" si="5"/>
        <v>91</v>
      </c>
      <c r="H93">
        <f t="shared" ca="1" si="6"/>
        <v>66.824668581208485</v>
      </c>
      <c r="I93">
        <f t="shared" ca="1" si="7"/>
        <v>19.403667991999086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286884</v>
      </c>
      <c r="B95" s="66">
        <v>286884</v>
      </c>
      <c r="D95">
        <f t="shared" si="4"/>
        <v>0.83219911234879473</v>
      </c>
      <c r="E95">
        <f t="shared" si="4"/>
        <v>0.83219911234879473</v>
      </c>
      <c r="G95">
        <f t="shared" ca="1" si="5"/>
        <v>93</v>
      </c>
      <c r="H95">
        <f t="shared" ca="1" si="6"/>
        <v>77.394517448437909</v>
      </c>
      <c r="I95">
        <f t="shared" ca="1" si="7"/>
        <v>8.2070734506842271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310008</v>
      </c>
      <c r="B98" s="66">
        <v>310008</v>
      </c>
      <c r="D98">
        <f t="shared" si="4"/>
        <v>0.89927769558785131</v>
      </c>
      <c r="E98">
        <f t="shared" si="4"/>
        <v>0.89927769558785131</v>
      </c>
      <c r="G98">
        <f t="shared" ca="1" si="5"/>
        <v>96</v>
      </c>
      <c r="H98">
        <f t="shared" ca="1" si="6"/>
        <v>86.330658776433722</v>
      </c>
      <c r="I98">
        <f t="shared" ca="1" si="7"/>
        <v>1.7718612880993901E-2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339531</v>
      </c>
      <c r="B100" s="66">
        <v>339531</v>
      </c>
      <c r="D100">
        <f t="shared" si="4"/>
        <v>0.98491863197284835</v>
      </c>
      <c r="E100">
        <f t="shared" si="4"/>
        <v>0.98491863197284835</v>
      </c>
      <c r="G100">
        <f t="shared" ca="1" si="5"/>
        <v>98</v>
      </c>
      <c r="H100">
        <f t="shared" ca="1" si="6"/>
        <v>96.522025933339137</v>
      </c>
      <c r="I100">
        <f t="shared" ca="1" si="7"/>
        <v>3.4060765114726475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344730</v>
      </c>
      <c r="B103" s="66">
        <v>344730</v>
      </c>
      <c r="D103">
        <f t="shared" si="4"/>
        <v>1</v>
      </c>
      <c r="E103">
        <f t="shared" si="4"/>
        <v>1</v>
      </c>
      <c r="G103">
        <f t="shared" ca="1" si="5"/>
        <v>101</v>
      </c>
      <c r="H103">
        <f t="shared" ca="1" si="6"/>
        <v>101</v>
      </c>
      <c r="I103">
        <f t="shared" ca="1" si="7"/>
        <v>23.616023687838815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340546</v>
      </c>
      <c r="B106" s="66">
        <v>340546</v>
      </c>
      <c r="D106">
        <f t="shared" si="4"/>
        <v>0.98786296521915706</v>
      </c>
      <c r="E106">
        <f t="shared" si="4"/>
        <v>0.98786296521915706</v>
      </c>
      <c r="G106">
        <f t="shared" ca="1" si="5"/>
        <v>104</v>
      </c>
      <c r="H106">
        <f t="shared" ca="1" si="6"/>
        <v>102.73774838279233</v>
      </c>
      <c r="I106">
        <f t="shared" ca="1" si="7"/>
        <v>61.024065050780223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333961</v>
      </c>
      <c r="B108" s="66">
        <v>333961</v>
      </c>
      <c r="D108">
        <f t="shared" si="4"/>
        <v>0.9687610593798045</v>
      </c>
      <c r="E108">
        <f t="shared" si="4"/>
        <v>0.9687610593798045</v>
      </c>
      <c r="G108">
        <f t="shared" ca="1" si="5"/>
        <v>106</v>
      </c>
      <c r="H108">
        <f t="shared" ca="1" si="6"/>
        <v>102.68867229425928</v>
      </c>
      <c r="I108">
        <f t="shared" ca="1" si="7"/>
        <v>94.17553356657038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323123</v>
      </c>
      <c r="B111" s="66">
        <v>323123</v>
      </c>
      <c r="D111">
        <f t="shared" si="4"/>
        <v>0.93732196211527863</v>
      </c>
      <c r="E111">
        <f t="shared" si="4"/>
        <v>0.93732196211527863</v>
      </c>
      <c r="G111">
        <f t="shared" ca="1" si="5"/>
        <v>109</v>
      </c>
      <c r="H111">
        <f t="shared" ca="1" si="6"/>
        <v>102.16809387056537</v>
      </c>
      <c r="I111">
        <f t="shared" ca="1" si="7"/>
        <v>155.00506084886823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331008</v>
      </c>
      <c r="B113" s="66">
        <v>331008</v>
      </c>
      <c r="D113">
        <f t="shared" si="4"/>
        <v>0.96019493516665211</v>
      </c>
      <c r="E113">
        <f t="shared" si="4"/>
        <v>0.96019493516665211</v>
      </c>
      <c r="G113">
        <f t="shared" ca="1" si="5"/>
        <v>111</v>
      </c>
      <c r="H113">
        <f t="shared" ca="1" si="6"/>
        <v>106.58163780349838</v>
      </c>
      <c r="I113">
        <f t="shared" ca="1" si="7"/>
        <v>212.01936152643907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326186</v>
      </c>
      <c r="B116" s="66">
        <v>326186</v>
      </c>
      <c r="D116">
        <f t="shared" si="4"/>
        <v>0.94620717663098652</v>
      </c>
      <c r="E116">
        <f t="shared" si="4"/>
        <v>0.94620717663098652</v>
      </c>
      <c r="G116">
        <f t="shared" ca="1" si="5"/>
        <v>114</v>
      </c>
      <c r="H116">
        <f t="shared" ca="1" si="6"/>
        <v>107.86761813593246</v>
      </c>
      <c r="I116">
        <f t="shared" ca="1" si="7"/>
        <v>301.80835077340629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310514</v>
      </c>
      <c r="B118" s="66">
        <v>310514</v>
      </c>
      <c r="D118">
        <f t="shared" si="4"/>
        <v>0.9007455109796072</v>
      </c>
      <c r="E118">
        <f t="shared" si="4"/>
        <v>0.9007455109796072</v>
      </c>
      <c r="G118">
        <f t="shared" ca="1" si="5"/>
        <v>116</v>
      </c>
      <c r="H118">
        <f t="shared" ca="1" si="6"/>
        <v>104.48647927363443</v>
      </c>
      <c r="I118">
        <f t="shared" ca="1" si="7"/>
        <v>355.2585199894674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277392</v>
      </c>
      <c r="B121" s="66">
        <v>277392</v>
      </c>
      <c r="D121">
        <f t="shared" si="4"/>
        <v>0.80466452005917677</v>
      </c>
      <c r="E121">
        <f t="shared" si="4"/>
        <v>0.80466452005917677</v>
      </c>
      <c r="G121">
        <f t="shared" ca="1" si="5"/>
        <v>119</v>
      </c>
      <c r="H121">
        <f t="shared" ca="1" si="6"/>
        <v>95.755077887042034</v>
      </c>
      <c r="I121">
        <f t="shared" ca="1" si="7"/>
        <v>420.48772662688032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243805</v>
      </c>
      <c r="B124" s="66">
        <v>243805</v>
      </c>
      <c r="D124">
        <f t="shared" si="4"/>
        <v>0.70723464740521569</v>
      </c>
      <c r="E124">
        <f t="shared" si="4"/>
        <v>0.70723464740521569</v>
      </c>
      <c r="G124">
        <f t="shared" ca="1" si="5"/>
        <v>122</v>
      </c>
      <c r="H124">
        <f t="shared" ca="1" si="6"/>
        <v>86.282626983436316</v>
      </c>
      <c r="I124">
        <f t="shared" ca="1" si="7"/>
        <v>472.94235646735808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219252</v>
      </c>
      <c r="B126" s="66">
        <v>219252</v>
      </c>
      <c r="D126">
        <f t="shared" si="4"/>
        <v>0.63601079105386826</v>
      </c>
      <c r="E126">
        <f t="shared" si="4"/>
        <v>0.63601079105386826</v>
      </c>
      <c r="G126">
        <f t="shared" ca="1" si="5"/>
        <v>124</v>
      </c>
      <c r="H126">
        <f t="shared" ca="1" si="6"/>
        <v>78.865338090679671</v>
      </c>
      <c r="I126">
        <f t="shared" ca="1" si="7"/>
        <v>493.64556197452572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189201</v>
      </c>
      <c r="B129" s="66">
        <v>189201</v>
      </c>
      <c r="D129">
        <f t="shared" si="4"/>
        <v>0.54883822121660431</v>
      </c>
      <c r="E129">
        <f t="shared" si="4"/>
        <v>0.54883822121660431</v>
      </c>
      <c r="G129">
        <f t="shared" ca="1" si="5"/>
        <v>127</v>
      </c>
      <c r="H129">
        <f t="shared" ca="1" si="6"/>
        <v>69.702454094508752</v>
      </c>
      <c r="I129">
        <f t="shared" ca="1" si="7"/>
        <v>522.66790817777792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160756</v>
      </c>
      <c r="B131" s="66">
        <v>160756</v>
      </c>
      <c r="D131">
        <f t="shared" ref="D131:E194" si="8">IFERROR( A131/MAX(A$2:A$257), 0 )</f>
        <v>0.46632436979665243</v>
      </c>
      <c r="E131">
        <f t="shared" si="8"/>
        <v>0.46632436979665243</v>
      </c>
      <c r="G131">
        <f t="shared" ref="G131:G194" ca="1" si="9">CELL("row",D131)-2</f>
        <v>129</v>
      </c>
      <c r="H131">
        <f t="shared" ref="H131:H194" ca="1" si="10">D131*G131</f>
        <v>60.155843703768163</v>
      </c>
      <c r="I131">
        <f t="shared" ref="I131:I194" ca="1" si="11">D131*((G131-$L$1)^2)</f>
        <v>503.51626513193355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133407</v>
      </c>
      <c r="B134" s="66">
        <v>133407</v>
      </c>
      <c r="D134">
        <f t="shared" si="8"/>
        <v>0.38698981811852756</v>
      </c>
      <c r="E134">
        <f t="shared" si="8"/>
        <v>0.38698981811852756</v>
      </c>
      <c r="G134">
        <f t="shared" ca="1" si="9"/>
        <v>132</v>
      </c>
      <c r="H134">
        <f t="shared" ca="1" si="10"/>
        <v>51.082655991645638</v>
      </c>
      <c r="I134">
        <f t="shared" ca="1" si="11"/>
        <v>497.63531962429704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108876</v>
      </c>
      <c r="B136" s="66">
        <v>108876</v>
      </c>
      <c r="D136">
        <f t="shared" si="8"/>
        <v>0.31582977982769123</v>
      </c>
      <c r="E136">
        <f t="shared" si="8"/>
        <v>0.31582977982769123</v>
      </c>
      <c r="G136">
        <f t="shared" ca="1" si="9"/>
        <v>134</v>
      </c>
      <c r="H136">
        <f t="shared" ca="1" si="10"/>
        <v>42.321190496910624</v>
      </c>
      <c r="I136">
        <f t="shared" ca="1" si="11"/>
        <v>452.69516419689785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89325</v>
      </c>
      <c r="B139" s="66">
        <v>89325</v>
      </c>
      <c r="D139">
        <f t="shared" si="8"/>
        <v>0.25911582977982767</v>
      </c>
      <c r="E139">
        <f t="shared" si="8"/>
        <v>0.25911582977982767</v>
      </c>
      <c r="G139">
        <f t="shared" ca="1" si="9"/>
        <v>137</v>
      </c>
      <c r="H139">
        <f t="shared" ca="1" si="10"/>
        <v>35.498868679836391</v>
      </c>
      <c r="I139">
        <f t="shared" ca="1" si="11"/>
        <v>432.59634757575395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73372</v>
      </c>
      <c r="B142" s="66">
        <v>73372</v>
      </c>
      <c r="D142">
        <f t="shared" si="8"/>
        <v>0.21283903344646535</v>
      </c>
      <c r="E142">
        <f t="shared" si="8"/>
        <v>0.21283903344646535</v>
      </c>
      <c r="G142">
        <f t="shared" ca="1" si="9"/>
        <v>140</v>
      </c>
      <c r="H142">
        <f t="shared" ca="1" si="10"/>
        <v>29.797464682505147</v>
      </c>
      <c r="I142">
        <f t="shared" ca="1" si="11"/>
        <v>409.43149387016638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60627</v>
      </c>
      <c r="B144" s="66">
        <v>60627</v>
      </c>
      <c r="D144">
        <f t="shared" si="8"/>
        <v>0.1758680706639979</v>
      </c>
      <c r="E144">
        <f t="shared" si="8"/>
        <v>0.1758680706639979</v>
      </c>
      <c r="G144">
        <f t="shared" ca="1" si="9"/>
        <v>142</v>
      </c>
      <c r="H144">
        <f t="shared" ca="1" si="10"/>
        <v>24.9732660342877</v>
      </c>
      <c r="I144">
        <f t="shared" ca="1" si="11"/>
        <v>369.86916859533932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48741</v>
      </c>
      <c r="B147" s="66">
        <v>48741</v>
      </c>
      <c r="D147">
        <f t="shared" si="8"/>
        <v>0.14138891306239665</v>
      </c>
      <c r="E147">
        <f t="shared" si="8"/>
        <v>0.14138891306239665</v>
      </c>
      <c r="G147">
        <f t="shared" ca="1" si="9"/>
        <v>145</v>
      </c>
      <c r="H147">
        <f t="shared" ca="1" si="10"/>
        <v>20.501392394047514</v>
      </c>
      <c r="I147">
        <f t="shared" ca="1" si="11"/>
        <v>337.53261186481797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39922</v>
      </c>
      <c r="B149" s="66">
        <v>39922</v>
      </c>
      <c r="D149">
        <f t="shared" si="8"/>
        <v>0.11580657326023265</v>
      </c>
      <c r="E149">
        <f t="shared" si="8"/>
        <v>0.11580657326023265</v>
      </c>
      <c r="G149">
        <f t="shared" ca="1" si="9"/>
        <v>147</v>
      </c>
      <c r="H149">
        <f t="shared" ca="1" si="10"/>
        <v>17.0235662692542</v>
      </c>
      <c r="I149">
        <f t="shared" ca="1" si="11"/>
        <v>299.55711464645066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31532</v>
      </c>
      <c r="B152" s="66">
        <v>31532</v>
      </c>
      <c r="D152">
        <f t="shared" si="8"/>
        <v>9.1468685638035563E-2</v>
      </c>
      <c r="E152">
        <f t="shared" si="8"/>
        <v>9.1468685638035563E-2</v>
      </c>
      <c r="G152">
        <f t="shared" ca="1" si="9"/>
        <v>150</v>
      </c>
      <c r="H152">
        <f t="shared" ca="1" si="10"/>
        <v>13.720302845705334</v>
      </c>
      <c r="I152">
        <f t="shared" ca="1" si="11"/>
        <v>265.33784820524392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24714</v>
      </c>
      <c r="B154" s="66">
        <v>24714</v>
      </c>
      <c r="D154">
        <f t="shared" si="8"/>
        <v>7.1690888521451571E-2</v>
      </c>
      <c r="E154">
        <f t="shared" si="8"/>
        <v>7.1690888521451571E-2</v>
      </c>
      <c r="G154">
        <f t="shared" ca="1" si="9"/>
        <v>152</v>
      </c>
      <c r="H154">
        <f t="shared" ca="1" si="10"/>
        <v>10.897015055260638</v>
      </c>
      <c r="I154">
        <f t="shared" ca="1" si="11"/>
        <v>223.69697142000766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20903</v>
      </c>
      <c r="B157" s="66">
        <v>20903</v>
      </c>
      <c r="D157">
        <f t="shared" si="8"/>
        <v>6.0635859948365387E-2</v>
      </c>
      <c r="E157">
        <f t="shared" si="8"/>
        <v>6.0635859948365387E-2</v>
      </c>
      <c r="G157">
        <f t="shared" ca="1" si="9"/>
        <v>155</v>
      </c>
      <c r="H157">
        <f t="shared" ca="1" si="10"/>
        <v>9.3985582919966344</v>
      </c>
      <c r="I157">
        <f t="shared" ca="1" si="11"/>
        <v>210.07028611764306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17581</v>
      </c>
      <c r="B160" s="66">
        <v>17581</v>
      </c>
      <c r="D160">
        <f t="shared" si="8"/>
        <v>5.0999332811185565E-2</v>
      </c>
      <c r="E160">
        <f t="shared" si="8"/>
        <v>5.0999332811185565E-2</v>
      </c>
      <c r="G160">
        <f t="shared" ca="1" si="9"/>
        <v>158</v>
      </c>
      <c r="H160">
        <f t="shared" ca="1" si="10"/>
        <v>8.05789458416732</v>
      </c>
      <c r="I160">
        <f t="shared" ca="1" si="11"/>
        <v>195.15476488849316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11511</v>
      </c>
      <c r="B162" s="66">
        <v>11511</v>
      </c>
      <c r="D162">
        <f t="shared" si="8"/>
        <v>3.3391349751979812E-2</v>
      </c>
      <c r="E162">
        <f t="shared" si="8"/>
        <v>3.3391349751979812E-2</v>
      </c>
      <c r="G162">
        <f t="shared" ca="1" si="9"/>
        <v>160</v>
      </c>
      <c r="H162">
        <f t="shared" ca="1" si="10"/>
        <v>5.3426159603167704</v>
      </c>
      <c r="I162">
        <f t="shared" ca="1" si="11"/>
        <v>136.17168087087956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9616</v>
      </c>
      <c r="B165" s="66">
        <v>9616</v>
      </c>
      <c r="D165">
        <f t="shared" si="8"/>
        <v>2.7894294085226118E-2</v>
      </c>
      <c r="E165">
        <f t="shared" si="8"/>
        <v>2.7894294085226118E-2</v>
      </c>
      <c r="G165">
        <f t="shared" ca="1" si="9"/>
        <v>163</v>
      </c>
      <c r="H165">
        <f t="shared" ca="1" si="10"/>
        <v>4.5467699358918576</v>
      </c>
      <c r="I165">
        <f t="shared" ca="1" si="11"/>
        <v>124.69336347093264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5485</v>
      </c>
      <c r="B167" s="66">
        <v>5485</v>
      </c>
      <c r="D167">
        <f t="shared" si="8"/>
        <v>1.5911002813796305E-2</v>
      </c>
      <c r="E167">
        <f t="shared" si="8"/>
        <v>1.5911002813796305E-2</v>
      </c>
      <c r="G167">
        <f t="shared" ca="1" si="9"/>
        <v>165</v>
      </c>
      <c r="H167">
        <f t="shared" ca="1" si="10"/>
        <v>2.6253154642763903</v>
      </c>
      <c r="I167">
        <f t="shared" ca="1" si="11"/>
        <v>75.444389410560589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2880</v>
      </c>
      <c r="B170" s="66">
        <v>2880</v>
      </c>
      <c r="D170">
        <f t="shared" si="8"/>
        <v>8.3543642850926816E-3</v>
      </c>
      <c r="E170">
        <f t="shared" si="8"/>
        <v>8.3543642850926816E-3</v>
      </c>
      <c r="G170">
        <f t="shared" ca="1" si="9"/>
        <v>168</v>
      </c>
      <c r="H170">
        <f t="shared" ca="1" si="10"/>
        <v>1.4035331998955705</v>
      </c>
      <c r="I170">
        <f t="shared" ca="1" si="11"/>
        <v>43.140322426267751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2002</v>
      </c>
      <c r="B173" s="66">
        <v>2002</v>
      </c>
      <c r="D173">
        <f t="shared" si="8"/>
        <v>5.8074435065123432E-3</v>
      </c>
      <c r="E173">
        <f t="shared" si="8"/>
        <v>5.8074435065123432E-3</v>
      </c>
      <c r="G173">
        <f t="shared" ca="1" si="9"/>
        <v>171</v>
      </c>
      <c r="H173">
        <f t="shared" ca="1" si="10"/>
        <v>0.9930728396136107</v>
      </c>
      <c r="I173">
        <f t="shared" ca="1" si="11"/>
        <v>32.544707310532459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1791</v>
      </c>
      <c r="B175" s="66">
        <v>1791</v>
      </c>
      <c r="D175">
        <f t="shared" si="8"/>
        <v>5.1953702897920111E-3</v>
      </c>
      <c r="E175">
        <f t="shared" si="8"/>
        <v>5.1953702897920111E-3</v>
      </c>
      <c r="G175">
        <f t="shared" ca="1" si="9"/>
        <v>173</v>
      </c>
      <c r="H175">
        <f t="shared" ca="1" si="10"/>
        <v>0.89879906013401789</v>
      </c>
      <c r="I175">
        <f t="shared" ca="1" si="11"/>
        <v>30.691146240101009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1698</v>
      </c>
      <c r="B178" s="66">
        <v>1698</v>
      </c>
      <c r="D178">
        <f t="shared" si="8"/>
        <v>4.925593943085893E-3</v>
      </c>
      <c r="E178">
        <f t="shared" si="8"/>
        <v>4.925593943085893E-3</v>
      </c>
      <c r="G178">
        <f t="shared" ca="1" si="9"/>
        <v>176</v>
      </c>
      <c r="H178">
        <f t="shared" ca="1" si="10"/>
        <v>0.86690453398311718</v>
      </c>
      <c r="I178">
        <f t="shared" ca="1" si="11"/>
        <v>31.413275003771449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772</v>
      </c>
      <c r="B180" s="66">
        <v>772</v>
      </c>
      <c r="D180">
        <f t="shared" si="8"/>
        <v>2.2394337597540104E-3</v>
      </c>
      <c r="E180">
        <f t="shared" si="8"/>
        <v>2.2394337597540104E-3</v>
      </c>
      <c r="G180">
        <f t="shared" ca="1" si="9"/>
        <v>178</v>
      </c>
      <c r="H180">
        <f t="shared" ca="1" si="10"/>
        <v>0.39861920923621386</v>
      </c>
      <c r="I180">
        <f t="shared" ca="1" si="11"/>
        <v>15.006444190441716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1150</v>
      </c>
      <c r="B183" s="66">
        <v>1150</v>
      </c>
      <c r="D183">
        <f t="shared" si="8"/>
        <v>3.3359440721724247E-3</v>
      </c>
      <c r="E183">
        <f t="shared" si="8"/>
        <v>3.3359440721724247E-3</v>
      </c>
      <c r="G183">
        <f t="shared" ca="1" si="9"/>
        <v>181</v>
      </c>
      <c r="H183">
        <f t="shared" ca="1" si="10"/>
        <v>0.60380587706320887</v>
      </c>
      <c r="I183">
        <f t="shared" ca="1" si="11"/>
        <v>24.022657514407747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642</v>
      </c>
      <c r="B185" s="66">
        <v>642</v>
      </c>
      <c r="D185">
        <f t="shared" si="8"/>
        <v>1.8623270385519101E-3</v>
      </c>
      <c r="E185">
        <f t="shared" si="8"/>
        <v>1.8623270385519101E-3</v>
      </c>
      <c r="G185">
        <f t="shared" ca="1" si="9"/>
        <v>183</v>
      </c>
      <c r="H185">
        <f t="shared" ca="1" si="10"/>
        <v>0.34080584805499958</v>
      </c>
      <c r="I185">
        <f t="shared" ca="1" si="11"/>
        <v>14.050504530428277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96.340782442625027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1.8600987124935076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0.61040019637698351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714</v>
      </c>
      <c r="B8" s="66">
        <v>714</v>
      </c>
      <c r="D8">
        <f t="shared" si="0"/>
        <v>0.47792124339846181</v>
      </c>
      <c r="E8">
        <f t="shared" si="1"/>
        <v>0.47792124339846181</v>
      </c>
      <c r="G8">
        <f t="shared" ca="1" si="2"/>
        <v>6</v>
      </c>
      <c r="H8">
        <f t="shared" ca="1" si="3"/>
        <v>2.8675274603907708</v>
      </c>
      <c r="I8">
        <f t="shared" ca="1" si="4"/>
        <v>3900.5336641665053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1196</v>
      </c>
      <c r="B10" s="66">
        <v>1196</v>
      </c>
      <c r="D10">
        <f t="shared" si="0"/>
        <v>0.80055155056661109</v>
      </c>
      <c r="E10">
        <f t="shared" si="1"/>
        <v>0.80055155056661109</v>
      </c>
      <c r="G10">
        <f t="shared" ca="1" si="2"/>
        <v>8</v>
      </c>
      <c r="H10">
        <f t="shared" ca="1" si="3"/>
        <v>6.4044124045328887</v>
      </c>
      <c r="I10">
        <f t="shared" ca="1" si="4"/>
        <v>6247.5794264409233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3609</v>
      </c>
      <c r="B13" s="66">
        <v>3609</v>
      </c>
      <c r="D13">
        <f t="shared" si="0"/>
        <v>2.4157111588586115</v>
      </c>
      <c r="E13">
        <f t="shared" si="1"/>
        <v>2.4157111588586115</v>
      </c>
      <c r="G13">
        <f t="shared" ca="1" si="2"/>
        <v>11</v>
      </c>
      <c r="H13">
        <f t="shared" ca="1" si="3"/>
        <v>26.572822747444725</v>
      </c>
      <c r="I13">
        <f t="shared" ca="1" si="4"/>
        <v>17593.743097144732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8605</v>
      </c>
      <c r="B15" s="66">
        <v>8605</v>
      </c>
      <c r="D15">
        <f t="shared" si="0"/>
        <v>5.7598211476803414</v>
      </c>
      <c r="E15">
        <f t="shared" si="1"/>
        <v>5.7598211476803414</v>
      </c>
      <c r="G15">
        <f t="shared" ca="1" si="2"/>
        <v>13</v>
      </c>
      <c r="H15">
        <f t="shared" ca="1" si="3"/>
        <v>74.877674919844438</v>
      </c>
      <c r="I15">
        <f t="shared" ca="1" si="4"/>
        <v>40005.909212482016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11615</v>
      </c>
      <c r="B18" s="66">
        <v>11615</v>
      </c>
      <c r="D18">
        <f t="shared" si="0"/>
        <v>7.7745871737718968</v>
      </c>
      <c r="E18">
        <f t="shared" si="1"/>
        <v>7.7745871737718968</v>
      </c>
      <c r="G18">
        <f t="shared" ca="1" si="2"/>
        <v>16</v>
      </c>
      <c r="H18">
        <f t="shared" ca="1" si="3"/>
        <v>124.39339478035035</v>
      </c>
      <c r="I18">
        <f t="shared" ca="1" si="4"/>
        <v>50182.171644928341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15055</v>
      </c>
      <c r="B21" s="66">
        <v>15055</v>
      </c>
      <c r="D21">
        <f t="shared" si="0"/>
        <v>10.07717691787653</v>
      </c>
      <c r="E21">
        <f t="shared" si="1"/>
        <v>10.07717691787653</v>
      </c>
      <c r="G21">
        <f t="shared" ca="1" si="2"/>
        <v>19</v>
      </c>
      <c r="H21">
        <f t="shared" ca="1" si="3"/>
        <v>191.46636143965407</v>
      </c>
      <c r="I21">
        <f t="shared" ca="1" si="4"/>
        <v>60277.607480168874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15673</v>
      </c>
      <c r="B23" s="66">
        <v>15673</v>
      </c>
      <c r="D23">
        <f t="shared" si="0"/>
        <v>10.490839842834863</v>
      </c>
      <c r="E23">
        <f t="shared" si="1"/>
        <v>10.490839842834863</v>
      </c>
      <c r="G23">
        <f t="shared" ca="1" si="2"/>
        <v>21</v>
      </c>
      <c r="H23">
        <f t="shared" ca="1" si="3"/>
        <v>220.30763669953211</v>
      </c>
      <c r="I23">
        <f t="shared" ca="1" si="4"/>
        <v>59548.456549245559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18638</v>
      </c>
      <c r="B26" s="66">
        <v>18638</v>
      </c>
      <c r="D26">
        <f t="shared" si="0"/>
        <v>12.475484782157606</v>
      </c>
      <c r="E26">
        <f t="shared" si="1"/>
        <v>12.475484782157606</v>
      </c>
      <c r="G26">
        <f t="shared" ca="1" si="2"/>
        <v>24</v>
      </c>
      <c r="H26">
        <f t="shared" ca="1" si="3"/>
        <v>299.41163477178253</v>
      </c>
      <c r="I26">
        <f t="shared" ca="1" si="4"/>
        <v>65286.567291589556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23184</v>
      </c>
      <c r="B28" s="66">
        <v>23184</v>
      </c>
      <c r="D28">
        <f t="shared" si="0"/>
        <v>15.51838390329123</v>
      </c>
      <c r="E28">
        <f t="shared" si="1"/>
        <v>15.51838390329123</v>
      </c>
      <c r="G28">
        <f t="shared" ca="1" si="2"/>
        <v>26</v>
      </c>
      <c r="H28">
        <f t="shared" ca="1" si="3"/>
        <v>403.477981485572</v>
      </c>
      <c r="I28">
        <f t="shared" ca="1" si="4"/>
        <v>76782.258305635391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30923</v>
      </c>
      <c r="B31" s="66">
        <v>30923</v>
      </c>
      <c r="D31">
        <f t="shared" si="0"/>
        <v>20.698541470042905</v>
      </c>
      <c r="E31">
        <f t="shared" si="1"/>
        <v>20.698541470042905</v>
      </c>
      <c r="G31">
        <f t="shared" ca="1" si="2"/>
        <v>29</v>
      </c>
      <c r="H31">
        <f t="shared" ca="1" si="3"/>
        <v>600.25770263124423</v>
      </c>
      <c r="I31">
        <f t="shared" ca="1" si="4"/>
        <v>93863.352171780381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34013</v>
      </c>
      <c r="B33" s="66">
        <v>34013</v>
      </c>
      <c r="D33">
        <f t="shared" si="0"/>
        <v>22.766856094834569</v>
      </c>
      <c r="E33">
        <f t="shared" si="1"/>
        <v>22.766856094834569</v>
      </c>
      <c r="G33">
        <f t="shared" ca="1" si="2"/>
        <v>31</v>
      </c>
      <c r="H33">
        <f t="shared" ca="1" si="3"/>
        <v>705.77253893987165</v>
      </c>
      <c r="I33">
        <f t="shared" ca="1" si="4"/>
        <v>97201.221804550471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32774</v>
      </c>
      <c r="B36" s="66">
        <v>32774</v>
      </c>
      <c r="D36">
        <f t="shared" si="0"/>
        <v>21.93752217246665</v>
      </c>
      <c r="E36">
        <f t="shared" si="1"/>
        <v>21.93752217246665</v>
      </c>
      <c r="G36">
        <f t="shared" ca="1" si="2"/>
        <v>34</v>
      </c>
      <c r="H36">
        <f t="shared" ca="1" si="3"/>
        <v>745.87575386386607</v>
      </c>
      <c r="I36">
        <f t="shared" ca="1" si="4"/>
        <v>85257.397270548259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34845</v>
      </c>
      <c r="B39" s="66">
        <v>34845</v>
      </c>
      <c r="D39">
        <f t="shared" si="0"/>
        <v>23.323761521315689</v>
      </c>
      <c r="E39">
        <f t="shared" si="1"/>
        <v>23.323761521315689</v>
      </c>
      <c r="G39">
        <f t="shared" ca="1" si="2"/>
        <v>37</v>
      </c>
      <c r="H39">
        <f t="shared" ca="1" si="3"/>
        <v>862.97917628868049</v>
      </c>
      <c r="I39">
        <f t="shared" ca="1" si="4"/>
        <v>82130.625260322136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38062</v>
      </c>
      <c r="B41" s="66">
        <v>38062</v>
      </c>
      <c r="D41">
        <f t="shared" si="0"/>
        <v>25.477084546543772</v>
      </c>
      <c r="E41">
        <f t="shared" si="1"/>
        <v>25.477084546543772</v>
      </c>
      <c r="G41">
        <f t="shared" ca="1" si="2"/>
        <v>39</v>
      </c>
      <c r="H41">
        <f t="shared" ca="1" si="3"/>
        <v>993.60629731520714</v>
      </c>
      <c r="I41">
        <f t="shared" ca="1" si="4"/>
        <v>83767.77072736634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41888</v>
      </c>
      <c r="B44" s="66">
        <v>41888</v>
      </c>
      <c r="D44">
        <f t="shared" si="0"/>
        <v>28.038046279376427</v>
      </c>
      <c r="E44">
        <f t="shared" si="1"/>
        <v>28.038046279376427</v>
      </c>
      <c r="G44">
        <f t="shared" ca="1" si="2"/>
        <v>42</v>
      </c>
      <c r="H44">
        <f t="shared" ca="1" si="3"/>
        <v>1177.5979437338099</v>
      </c>
      <c r="I44">
        <f t="shared" ca="1" si="4"/>
        <v>82794.125464859535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43330</v>
      </c>
      <c r="B46" s="66">
        <v>43330</v>
      </c>
      <c r="D46">
        <f t="shared" si="0"/>
        <v>29.003259770945871</v>
      </c>
      <c r="E46">
        <f t="shared" si="1"/>
        <v>29.003259770945871</v>
      </c>
      <c r="G46">
        <f t="shared" ca="1" si="2"/>
        <v>44</v>
      </c>
      <c r="H46">
        <f t="shared" ca="1" si="3"/>
        <v>1276.1434299216182</v>
      </c>
      <c r="I46">
        <f t="shared" ca="1" si="4"/>
        <v>79456.098024444815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38752</v>
      </c>
      <c r="B49" s="66">
        <v>38752</v>
      </c>
      <c r="D49">
        <f t="shared" si="0"/>
        <v>25.938941210332203</v>
      </c>
      <c r="E49">
        <f t="shared" si="1"/>
        <v>25.938941210332203</v>
      </c>
      <c r="G49">
        <f t="shared" ca="1" si="2"/>
        <v>47</v>
      </c>
      <c r="H49">
        <f t="shared" ca="1" si="3"/>
        <v>1219.1302368856136</v>
      </c>
      <c r="I49">
        <f t="shared" ca="1" si="4"/>
        <v>63148.68470757726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37682</v>
      </c>
      <c r="B51" s="66">
        <v>37682</v>
      </c>
      <c r="D51">
        <f t="shared" si="0"/>
        <v>25.222728702718261</v>
      </c>
      <c r="E51">
        <f t="shared" si="1"/>
        <v>25.222728702718261</v>
      </c>
      <c r="G51">
        <f t="shared" ca="1" si="2"/>
        <v>49</v>
      </c>
      <c r="H51">
        <f t="shared" ca="1" si="3"/>
        <v>1235.9137064331949</v>
      </c>
      <c r="I51">
        <f t="shared" ca="1" si="4"/>
        <v>56527.91041833051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36771</v>
      </c>
      <c r="B54" s="66">
        <v>36771</v>
      </c>
      <c r="D54">
        <f t="shared" si="0"/>
        <v>24.612944035020785</v>
      </c>
      <c r="E54">
        <f t="shared" si="1"/>
        <v>24.612944035020785</v>
      </c>
      <c r="G54">
        <f t="shared" ca="1" si="2"/>
        <v>52</v>
      </c>
      <c r="H54">
        <f t="shared" ca="1" si="3"/>
        <v>1279.8730898210808</v>
      </c>
      <c r="I54">
        <f t="shared" ca="1" si="4"/>
        <v>48391.632027369764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35779</v>
      </c>
      <c r="B57" s="66">
        <v>35779</v>
      </c>
      <c r="D57">
        <f t="shared" si="0"/>
        <v>23.948941411139447</v>
      </c>
      <c r="E57">
        <f t="shared" si="1"/>
        <v>23.948941411139447</v>
      </c>
      <c r="G57">
        <f t="shared" ca="1" si="2"/>
        <v>55</v>
      </c>
      <c r="H57">
        <f t="shared" ca="1" si="3"/>
        <v>1317.1917776126695</v>
      </c>
      <c r="I57">
        <f t="shared" ca="1" si="4"/>
        <v>40930.184824406315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37532</v>
      </c>
      <c r="B59" s="66">
        <v>37532</v>
      </c>
      <c r="D59">
        <f t="shared" si="0"/>
        <v>25.122325080155559</v>
      </c>
      <c r="E59">
        <f t="shared" si="1"/>
        <v>25.122325080155559</v>
      </c>
      <c r="G59">
        <f t="shared" ca="1" si="2"/>
        <v>57</v>
      </c>
      <c r="H59">
        <f t="shared" ca="1" si="3"/>
        <v>1431.9725295688668</v>
      </c>
      <c r="I59">
        <f t="shared" ca="1" si="4"/>
        <v>38881.751259493562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34590</v>
      </c>
      <c r="B62" s="66">
        <v>34590</v>
      </c>
      <c r="D62">
        <f t="shared" si="0"/>
        <v>23.153075362959097</v>
      </c>
      <c r="E62">
        <f t="shared" si="1"/>
        <v>23.153075362959097</v>
      </c>
      <c r="G62">
        <f t="shared" ca="1" si="2"/>
        <v>60</v>
      </c>
      <c r="H62">
        <f t="shared" ca="1" si="3"/>
        <v>1389.1845217775458</v>
      </c>
      <c r="I62">
        <f t="shared" ca="1" si="4"/>
        <v>30577.166132435603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37715</v>
      </c>
      <c r="B64" s="66">
        <v>37715</v>
      </c>
      <c r="D64">
        <f t="shared" si="0"/>
        <v>25.244817499682057</v>
      </c>
      <c r="E64">
        <f t="shared" si="1"/>
        <v>25.244817499682057</v>
      </c>
      <c r="G64">
        <f t="shared" ca="1" si="2"/>
        <v>62</v>
      </c>
      <c r="H64">
        <f t="shared" ca="1" si="3"/>
        <v>1565.1786849802875</v>
      </c>
      <c r="I64">
        <f t="shared" ca="1" si="4"/>
        <v>29770.944136612379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40635</v>
      </c>
      <c r="B67" s="66">
        <v>40635</v>
      </c>
      <c r="D67">
        <f t="shared" ref="D67:D130" si="5">IFERROR( 100*A67/MAX(A$2:A$257), 0 )</f>
        <v>27.19934135223599</v>
      </c>
      <c r="E67">
        <f t="shared" ref="E67:E130" si="6">IFERROR( 100*B67/MAX(B$2:B$257), 0 )</f>
        <v>27.19934135223599</v>
      </c>
      <c r="G67">
        <f t="shared" ref="G67:G130" ca="1" si="7">CELL("row",D67)-2</f>
        <v>65</v>
      </c>
      <c r="H67">
        <f t="shared" ref="H67:H130" ca="1" si="8">D67*G67</f>
        <v>1767.9571878953393</v>
      </c>
      <c r="I67">
        <f t="shared" ref="I67:I130" ca="1" si="9">D67*((G67-$L$1)^2)</f>
        <v>26716.407366715368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43356</v>
      </c>
      <c r="B69" s="66">
        <v>43356</v>
      </c>
      <c r="D69">
        <f t="shared" si="5"/>
        <v>29.020663065523404</v>
      </c>
      <c r="E69">
        <f t="shared" si="6"/>
        <v>29.020663065523404</v>
      </c>
      <c r="G69">
        <f t="shared" ca="1" si="7"/>
        <v>67</v>
      </c>
      <c r="H69">
        <f t="shared" ca="1" si="8"/>
        <v>1944.3844253900681</v>
      </c>
      <c r="I69">
        <f t="shared" ca="1" si="9"/>
        <v>24983.352367156946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51851</v>
      </c>
      <c r="B72" s="66">
        <v>51851</v>
      </c>
      <c r="D72">
        <f t="shared" si="5"/>
        <v>34.706854889991099</v>
      </c>
      <c r="E72">
        <f t="shared" si="6"/>
        <v>34.706854889991099</v>
      </c>
      <c r="G72">
        <f t="shared" ca="1" si="7"/>
        <v>70</v>
      </c>
      <c r="H72">
        <f t="shared" ca="1" si="8"/>
        <v>2429.4798422993767</v>
      </c>
      <c r="I72">
        <f t="shared" ca="1" si="9"/>
        <v>24080.893818303437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63390</v>
      </c>
      <c r="B75" s="66">
        <v>63390</v>
      </c>
      <c r="D75">
        <f t="shared" si="5"/>
        <v>42.430570894997892</v>
      </c>
      <c r="E75">
        <f t="shared" si="6"/>
        <v>42.430570894997892</v>
      </c>
      <c r="G75">
        <f t="shared" ca="1" si="7"/>
        <v>73</v>
      </c>
      <c r="H75">
        <f t="shared" ca="1" si="8"/>
        <v>3097.4316753348462</v>
      </c>
      <c r="I75">
        <f t="shared" ca="1" si="9"/>
        <v>23115.840884289686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71349</v>
      </c>
      <c r="B77" s="66">
        <v>71349</v>
      </c>
      <c r="D77">
        <f t="shared" si="5"/>
        <v>47.757987108174866</v>
      </c>
      <c r="E77">
        <f t="shared" si="6"/>
        <v>47.757987108174866</v>
      </c>
      <c r="G77">
        <f t="shared" ca="1" si="7"/>
        <v>75</v>
      </c>
      <c r="H77">
        <f t="shared" ca="1" si="8"/>
        <v>3581.8490331131152</v>
      </c>
      <c r="I77">
        <f t="shared" ca="1" si="9"/>
        <v>21750.372084481005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79033</v>
      </c>
      <c r="B80" s="66">
        <v>79033</v>
      </c>
      <c r="D80">
        <f t="shared" si="5"/>
        <v>52.901330013320212</v>
      </c>
      <c r="E80">
        <f t="shared" si="6"/>
        <v>52.901330013320212</v>
      </c>
      <c r="G80">
        <f t="shared" ca="1" si="7"/>
        <v>78</v>
      </c>
      <c r="H80">
        <f t="shared" ca="1" si="8"/>
        <v>4126.3037410389761</v>
      </c>
      <c r="I80">
        <f t="shared" ca="1" si="9"/>
        <v>17795.176897747981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76786</v>
      </c>
      <c r="B82" s="66">
        <v>76786</v>
      </c>
      <c r="D82">
        <f t="shared" si="5"/>
        <v>51.397283747330938</v>
      </c>
      <c r="E82">
        <f t="shared" si="6"/>
        <v>51.397283747330938</v>
      </c>
      <c r="G82">
        <f t="shared" ca="1" si="7"/>
        <v>80</v>
      </c>
      <c r="H82">
        <f t="shared" ca="1" si="8"/>
        <v>4111.782699786475</v>
      </c>
      <c r="I82">
        <f t="shared" ca="1" si="9"/>
        <v>13724.162884064219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78620</v>
      </c>
      <c r="B85" s="66">
        <v>78620</v>
      </c>
      <c r="D85">
        <f t="shared" si="5"/>
        <v>52.624885372530905</v>
      </c>
      <c r="E85">
        <f t="shared" si="6"/>
        <v>52.624885372530905</v>
      </c>
      <c r="G85">
        <f t="shared" ca="1" si="7"/>
        <v>83</v>
      </c>
      <c r="H85">
        <f t="shared" ca="1" si="8"/>
        <v>4367.8654859200651</v>
      </c>
      <c r="I85">
        <f t="shared" ca="1" si="9"/>
        <v>9365.9916580558984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91453</v>
      </c>
      <c r="B88" s="66">
        <v>91453</v>
      </c>
      <c r="D88">
        <f t="shared" si="5"/>
        <v>61.214749961511941</v>
      </c>
      <c r="E88">
        <f t="shared" si="6"/>
        <v>61.214749961511941</v>
      </c>
      <c r="G88">
        <f t="shared" ca="1" si="7"/>
        <v>86</v>
      </c>
      <c r="H88">
        <f t="shared" ca="1" si="8"/>
        <v>5264.4684966900268</v>
      </c>
      <c r="I88">
        <f t="shared" ca="1" si="9"/>
        <v>6545.8022690348707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100559</v>
      </c>
      <c r="B90" s="66">
        <v>100559</v>
      </c>
      <c r="D90">
        <f t="shared" si="5"/>
        <v>67.309919208551705</v>
      </c>
      <c r="E90">
        <f t="shared" si="6"/>
        <v>67.309919208551705</v>
      </c>
      <c r="G90">
        <f t="shared" ca="1" si="7"/>
        <v>88</v>
      </c>
      <c r="H90">
        <f t="shared" ca="1" si="8"/>
        <v>5923.2728903525503</v>
      </c>
      <c r="I90">
        <f t="shared" ca="1" si="9"/>
        <v>4682.6603290905095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99341</v>
      </c>
      <c r="B93" s="66">
        <v>99341</v>
      </c>
      <c r="D93">
        <f t="shared" si="5"/>
        <v>66.494641793342566</v>
      </c>
      <c r="E93">
        <f t="shared" si="6"/>
        <v>66.494641793342566</v>
      </c>
      <c r="G93">
        <f t="shared" ca="1" si="7"/>
        <v>91</v>
      </c>
      <c r="H93">
        <f t="shared" ca="1" si="8"/>
        <v>6051.0124031941732</v>
      </c>
      <c r="I93">
        <f t="shared" ca="1" si="9"/>
        <v>1896.690309856715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111048</v>
      </c>
      <c r="B95" s="66">
        <v>111048</v>
      </c>
      <c r="D95">
        <f t="shared" si="5"/>
        <v>74.330809855619592</v>
      </c>
      <c r="E95">
        <f t="shared" si="6"/>
        <v>74.330809855619592</v>
      </c>
      <c r="G95">
        <f t="shared" ca="1" si="7"/>
        <v>93</v>
      </c>
      <c r="H95">
        <f t="shared" ca="1" si="8"/>
        <v>6912.7653165726224</v>
      </c>
      <c r="I95">
        <f t="shared" ca="1" si="9"/>
        <v>829.5933340197073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120979</v>
      </c>
      <c r="B98" s="66">
        <v>120979</v>
      </c>
      <c r="D98">
        <f t="shared" si="5"/>
        <v>80.978199026754226</v>
      </c>
      <c r="E98">
        <f t="shared" si="6"/>
        <v>80.978199026754226</v>
      </c>
      <c r="G98">
        <f t="shared" ca="1" si="7"/>
        <v>96</v>
      </c>
      <c r="H98">
        <f t="shared" ca="1" si="8"/>
        <v>7773.9071065684057</v>
      </c>
      <c r="I98">
        <f t="shared" ca="1" si="9"/>
        <v>9.4042147240184519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129889</v>
      </c>
      <c r="B100" s="66">
        <v>129889</v>
      </c>
      <c r="D100">
        <f t="shared" si="5"/>
        <v>86.94217420697872</v>
      </c>
      <c r="E100">
        <f t="shared" si="6"/>
        <v>86.94217420697872</v>
      </c>
      <c r="G100">
        <f t="shared" ca="1" si="7"/>
        <v>98</v>
      </c>
      <c r="H100">
        <f t="shared" ca="1" si="8"/>
        <v>8520.3330722839146</v>
      </c>
      <c r="I100">
        <f t="shared" ca="1" si="9"/>
        <v>239.35205795898068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135327</v>
      </c>
      <c r="B103" s="66">
        <v>135327</v>
      </c>
      <c r="D103">
        <f t="shared" si="5"/>
        <v>90.58214020361855</v>
      </c>
      <c r="E103">
        <f t="shared" si="6"/>
        <v>90.58214020361855</v>
      </c>
      <c r="G103">
        <f t="shared" ca="1" si="7"/>
        <v>101</v>
      </c>
      <c r="H103">
        <f t="shared" ca="1" si="8"/>
        <v>9148.7961605654727</v>
      </c>
      <c r="I103">
        <f t="shared" ca="1" si="9"/>
        <v>1966.3850212087032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132444</v>
      </c>
      <c r="B106" s="66">
        <v>132444</v>
      </c>
      <c r="D106">
        <f t="shared" si="5"/>
        <v>88.652382577963408</v>
      </c>
      <c r="E106">
        <f t="shared" si="6"/>
        <v>88.652382577963408</v>
      </c>
      <c r="G106">
        <f t="shared" ca="1" si="7"/>
        <v>104</v>
      </c>
      <c r="H106">
        <f t="shared" ca="1" si="8"/>
        <v>9219.8477881081944</v>
      </c>
      <c r="I106">
        <f t="shared" ca="1" si="9"/>
        <v>5200.6691154929686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142188</v>
      </c>
      <c r="B108" s="66">
        <v>142188</v>
      </c>
      <c r="D108">
        <f t="shared" si="5"/>
        <v>95.174601899636542</v>
      </c>
      <c r="E108">
        <f t="shared" si="6"/>
        <v>95.174601899636542</v>
      </c>
      <c r="G108">
        <f t="shared" ca="1" si="7"/>
        <v>106</v>
      </c>
      <c r="H108">
        <f t="shared" ca="1" si="8"/>
        <v>10088.507801361473</v>
      </c>
      <c r="I108">
        <f t="shared" ca="1" si="9"/>
        <v>8879.8364046786919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138612</v>
      </c>
      <c r="B111" s="66">
        <v>138612</v>
      </c>
      <c r="D111">
        <f t="shared" si="5"/>
        <v>92.780979537741729</v>
      </c>
      <c r="E111">
        <f t="shared" si="6"/>
        <v>92.780979537741729</v>
      </c>
      <c r="G111">
        <f t="shared" ca="1" si="7"/>
        <v>109</v>
      </c>
      <c r="H111">
        <f t="shared" ca="1" si="8"/>
        <v>10113.126769613849</v>
      </c>
      <c r="I111">
        <f t="shared" ca="1" si="9"/>
        <v>14868.689095317952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146477</v>
      </c>
      <c r="B113" s="66">
        <v>146477</v>
      </c>
      <c r="D113">
        <f t="shared" si="5"/>
        <v>98.045476147446067</v>
      </c>
      <c r="E113">
        <f t="shared" si="6"/>
        <v>98.045476147446067</v>
      </c>
      <c r="G113">
        <f t="shared" ca="1" si="7"/>
        <v>111</v>
      </c>
      <c r="H113">
        <f t="shared" ca="1" si="8"/>
        <v>10883.047852366513</v>
      </c>
      <c r="I113">
        <f t="shared" ca="1" si="9"/>
        <v>21069.253110919864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149397</v>
      </c>
      <c r="B116" s="66">
        <v>149397</v>
      </c>
      <c r="D116">
        <f t="shared" si="5"/>
        <v>100</v>
      </c>
      <c r="E116">
        <f t="shared" si="6"/>
        <v>100</v>
      </c>
      <c r="G116">
        <f t="shared" ca="1" si="7"/>
        <v>114</v>
      </c>
      <c r="H116">
        <f t="shared" ca="1" si="8"/>
        <v>11400</v>
      </c>
      <c r="I116">
        <f t="shared" ca="1" si="9"/>
        <v>31184.79647387005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145833</v>
      </c>
      <c r="B118" s="66">
        <v>145833</v>
      </c>
      <c r="D118">
        <f t="shared" si="5"/>
        <v>97.614409927910202</v>
      </c>
      <c r="E118">
        <f t="shared" si="6"/>
        <v>97.614409927910202</v>
      </c>
      <c r="G118">
        <f t="shared" ca="1" si="7"/>
        <v>116</v>
      </c>
      <c r="H118">
        <f t="shared" ca="1" si="8"/>
        <v>11323.271551637583</v>
      </c>
      <c r="I118">
        <f t="shared" ca="1" si="9"/>
        <v>37726.489111506635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134093</v>
      </c>
      <c r="B121" s="66">
        <v>134093</v>
      </c>
      <c r="D121">
        <f t="shared" si="5"/>
        <v>89.756153068669391</v>
      </c>
      <c r="E121">
        <f t="shared" si="6"/>
        <v>89.756153068669391</v>
      </c>
      <c r="G121">
        <f t="shared" ca="1" si="7"/>
        <v>119</v>
      </c>
      <c r="H121">
        <f t="shared" ca="1" si="8"/>
        <v>10680.982215171658</v>
      </c>
      <c r="I121">
        <f t="shared" ca="1" si="9"/>
        <v>46084.411825483374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116454</v>
      </c>
      <c r="B124" s="66">
        <v>116454</v>
      </c>
      <c r="D124">
        <f t="shared" si="5"/>
        <v>77.949356412779366</v>
      </c>
      <c r="E124">
        <f t="shared" si="6"/>
        <v>77.949356412779366</v>
      </c>
      <c r="G124">
        <f t="shared" ca="1" si="7"/>
        <v>122</v>
      </c>
      <c r="H124">
        <f t="shared" ca="1" si="8"/>
        <v>9509.8214823590824</v>
      </c>
      <c r="I124">
        <f t="shared" ca="1" si="9"/>
        <v>51321.501254044822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102863</v>
      </c>
      <c r="B126" s="66">
        <v>102863</v>
      </c>
      <c r="D126">
        <f t="shared" si="5"/>
        <v>68.85211885111481</v>
      </c>
      <c r="E126">
        <f t="shared" si="6"/>
        <v>68.85211885111481</v>
      </c>
      <c r="G126">
        <f t="shared" ca="1" si="7"/>
        <v>124</v>
      </c>
      <c r="H126">
        <f t="shared" ca="1" si="8"/>
        <v>8537.6627375382359</v>
      </c>
      <c r="I126">
        <f t="shared" ca="1" si="9"/>
        <v>52674.095938340251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94897</v>
      </c>
      <c r="B129" s="66">
        <v>94897</v>
      </c>
      <c r="D129">
        <f t="shared" si="5"/>
        <v>63.520017135551583</v>
      </c>
      <c r="E129">
        <f t="shared" si="6"/>
        <v>63.520017135551583</v>
      </c>
      <c r="G129">
        <f t="shared" ca="1" si="7"/>
        <v>127</v>
      </c>
      <c r="H129">
        <f t="shared" ca="1" si="8"/>
        <v>8067.0421762150509</v>
      </c>
      <c r="I129">
        <f t="shared" ca="1" si="9"/>
        <v>59708.029807764542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82822</v>
      </c>
      <c r="B131" s="66">
        <v>82822</v>
      </c>
      <c r="D131">
        <f t="shared" ref="D131:D194" si="10">IFERROR( 100*A131/MAX(A$2:A$257), 0 )</f>
        <v>55.437525519254066</v>
      </c>
      <c r="E131">
        <f t="shared" ref="E131:E194" si="11">IFERROR( 100*B131/MAX(B$2:B$257), 0 )</f>
        <v>55.437525519254066</v>
      </c>
      <c r="G131">
        <f t="shared" ref="G131:G194" ca="1" si="12">CELL("row",D131)-2</f>
        <v>129</v>
      </c>
      <c r="H131">
        <f t="shared" ref="H131:H194" ca="1" si="13">D131*G131</f>
        <v>7151.4407919837749</v>
      </c>
      <c r="I131">
        <f t="shared" ref="I131:I194" ca="1" si="14">D131*((G131-$L$1)^2)</f>
        <v>59131.022464772352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72551</v>
      </c>
      <c r="B134" s="66">
        <v>72551</v>
      </c>
      <c r="D134">
        <f t="shared" si="10"/>
        <v>48.562554803643984</v>
      </c>
      <c r="E134">
        <f t="shared" si="11"/>
        <v>48.562554803643984</v>
      </c>
      <c r="G134">
        <f t="shared" ca="1" si="12"/>
        <v>132</v>
      </c>
      <c r="H134">
        <f t="shared" ca="1" si="13"/>
        <v>6410.2572340810057</v>
      </c>
      <c r="I134">
        <f t="shared" ca="1" si="14"/>
        <v>61751.16356951042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61457</v>
      </c>
      <c r="B136" s="66">
        <v>61457</v>
      </c>
      <c r="D136">
        <f t="shared" si="10"/>
        <v>41.13670287890654</v>
      </c>
      <c r="E136">
        <f t="shared" si="11"/>
        <v>41.13670287890654</v>
      </c>
      <c r="G136">
        <f t="shared" ca="1" si="12"/>
        <v>134</v>
      </c>
      <c r="H136">
        <f t="shared" ca="1" si="13"/>
        <v>5512.3181857734762</v>
      </c>
      <c r="I136">
        <f t="shared" ca="1" si="14"/>
        <v>58340.757649678424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53272</v>
      </c>
      <c r="B139" s="66">
        <v>53272</v>
      </c>
      <c r="D139">
        <f t="shared" si="10"/>
        <v>35.658011874401758</v>
      </c>
      <c r="E139">
        <f t="shared" si="11"/>
        <v>35.658011874401758</v>
      </c>
      <c r="G139">
        <f t="shared" ca="1" si="12"/>
        <v>137</v>
      </c>
      <c r="H139">
        <f t="shared" ca="1" si="13"/>
        <v>4885.1476267930411</v>
      </c>
      <c r="I139">
        <f t="shared" ca="1" si="14"/>
        <v>58948.825821481092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44312</v>
      </c>
      <c r="B142" s="66">
        <v>44312</v>
      </c>
      <c r="D142">
        <f t="shared" si="10"/>
        <v>29.660568819989692</v>
      </c>
      <c r="E142">
        <f t="shared" si="11"/>
        <v>29.660568819989692</v>
      </c>
      <c r="G142">
        <f t="shared" ca="1" si="12"/>
        <v>140</v>
      </c>
      <c r="H142">
        <f t="shared" ca="1" si="13"/>
        <v>4152.4796347985566</v>
      </c>
      <c r="I142">
        <f t="shared" ca="1" si="14"/>
        <v>56536.819300538889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41218</v>
      </c>
      <c r="B144" s="66">
        <v>41218</v>
      </c>
      <c r="D144">
        <f t="shared" si="10"/>
        <v>27.589576765263025</v>
      </c>
      <c r="E144">
        <f t="shared" si="11"/>
        <v>27.589576765263025</v>
      </c>
      <c r="G144">
        <f t="shared" ca="1" si="12"/>
        <v>142</v>
      </c>
      <c r="H144">
        <f t="shared" ca="1" si="13"/>
        <v>3917.7199006673495</v>
      </c>
      <c r="I144">
        <f t="shared" ca="1" si="14"/>
        <v>57517.760497381554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33029</v>
      </c>
      <c r="B147" s="66">
        <v>33029</v>
      </c>
      <c r="D147">
        <f t="shared" si="10"/>
        <v>22.108208330823242</v>
      </c>
      <c r="E147">
        <f t="shared" si="11"/>
        <v>22.108208330823242</v>
      </c>
      <c r="G147">
        <f t="shared" ca="1" si="12"/>
        <v>145</v>
      </c>
      <c r="H147">
        <f t="shared" ca="1" si="13"/>
        <v>3205.69020796937</v>
      </c>
      <c r="I147">
        <f t="shared" ca="1" si="14"/>
        <v>52346.034942409751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26781</v>
      </c>
      <c r="B149" s="66">
        <v>26781</v>
      </c>
      <c r="D149">
        <f t="shared" si="10"/>
        <v>17.926062772344824</v>
      </c>
      <c r="E149">
        <f t="shared" si="11"/>
        <v>17.926062772344824</v>
      </c>
      <c r="G149">
        <f t="shared" ca="1" si="12"/>
        <v>147</v>
      </c>
      <c r="H149">
        <f t="shared" ca="1" si="13"/>
        <v>2635.1312275346891</v>
      </c>
      <c r="I149">
        <f t="shared" ca="1" si="14"/>
        <v>46004.664551721275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22516</v>
      </c>
      <c r="B152" s="66">
        <v>22516</v>
      </c>
      <c r="D152">
        <f t="shared" si="10"/>
        <v>15.071253104145331</v>
      </c>
      <c r="E152">
        <f t="shared" si="11"/>
        <v>15.071253104145331</v>
      </c>
      <c r="G152">
        <f t="shared" ca="1" si="12"/>
        <v>150</v>
      </c>
      <c r="H152">
        <f t="shared" ca="1" si="13"/>
        <v>2260.6879656217998</v>
      </c>
      <c r="I152">
        <f t="shared" ca="1" si="14"/>
        <v>43394.83432440419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17916</v>
      </c>
      <c r="B154" s="66">
        <v>17916</v>
      </c>
      <c r="D154">
        <f t="shared" si="10"/>
        <v>11.992208678889135</v>
      </c>
      <c r="E154">
        <f t="shared" si="11"/>
        <v>11.992208678889135</v>
      </c>
      <c r="G154">
        <f t="shared" ca="1" si="12"/>
        <v>152</v>
      </c>
      <c r="H154">
        <f t="shared" ca="1" si="13"/>
        <v>1822.8157191911484</v>
      </c>
      <c r="I154">
        <f t="shared" ca="1" si="14"/>
        <v>37151.244877648976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14964</v>
      </c>
      <c r="B157" s="66">
        <v>14964</v>
      </c>
      <c r="D157">
        <f t="shared" si="10"/>
        <v>10.016265386855158</v>
      </c>
      <c r="E157">
        <f t="shared" si="11"/>
        <v>10.016265386855158</v>
      </c>
      <c r="G157">
        <f t="shared" ca="1" si="12"/>
        <v>155</v>
      </c>
      <c r="H157">
        <f t="shared" ca="1" si="13"/>
        <v>1552.5211349625495</v>
      </c>
      <c r="I157">
        <f t="shared" ca="1" si="14"/>
        <v>34465.00567594514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12857</v>
      </c>
      <c r="B160" s="66">
        <v>12857</v>
      </c>
      <c r="D160">
        <f t="shared" si="10"/>
        <v>8.6059291685910697</v>
      </c>
      <c r="E160">
        <f t="shared" si="11"/>
        <v>8.6059291685910697</v>
      </c>
      <c r="G160">
        <f t="shared" ca="1" si="12"/>
        <v>158</v>
      </c>
      <c r="H160">
        <f t="shared" ca="1" si="13"/>
        <v>1359.736808637389</v>
      </c>
      <c r="I160">
        <f t="shared" ca="1" si="14"/>
        <v>32718.530207795626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7635</v>
      </c>
      <c r="B162" s="66">
        <v>7635</v>
      </c>
      <c r="D162">
        <f t="shared" si="10"/>
        <v>5.1105443884415349</v>
      </c>
      <c r="E162">
        <f t="shared" si="11"/>
        <v>5.1105443884415349</v>
      </c>
      <c r="G162">
        <f t="shared" ca="1" si="12"/>
        <v>160</v>
      </c>
      <c r="H162">
        <f t="shared" ca="1" si="13"/>
        <v>817.68710215064561</v>
      </c>
      <c r="I162">
        <f t="shared" ca="1" si="14"/>
        <v>20710.460589858769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7246</v>
      </c>
      <c r="B165" s="66">
        <v>7246</v>
      </c>
      <c r="D165">
        <f t="shared" si="10"/>
        <v>4.8501643272622612</v>
      </c>
      <c r="E165">
        <f t="shared" si="11"/>
        <v>4.8501643272622612</v>
      </c>
      <c r="G165">
        <f t="shared" ca="1" si="12"/>
        <v>163</v>
      </c>
      <c r="H165">
        <f t="shared" ca="1" si="13"/>
        <v>790.57678534374861</v>
      </c>
      <c r="I165">
        <f t="shared" ca="1" si="14"/>
        <v>21551.468914187735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4397</v>
      </c>
      <c r="B167" s="66">
        <v>4397</v>
      </c>
      <c r="D167">
        <f t="shared" si="10"/>
        <v>2.9431648560546733</v>
      </c>
      <c r="E167">
        <f t="shared" si="11"/>
        <v>2.9431648560546733</v>
      </c>
      <c r="G167">
        <f t="shared" ca="1" si="12"/>
        <v>165</v>
      </c>
      <c r="H167">
        <f t="shared" ca="1" si="13"/>
        <v>485.62220124902109</v>
      </c>
      <c r="I167">
        <f t="shared" ca="1" si="14"/>
        <v>13874.33858787887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2403</v>
      </c>
      <c r="B170" s="66">
        <v>2403</v>
      </c>
      <c r="D170">
        <f t="shared" si="10"/>
        <v>1.6084660334544871</v>
      </c>
      <c r="E170">
        <f t="shared" si="11"/>
        <v>1.6084660334544871</v>
      </c>
      <c r="G170">
        <f t="shared" ca="1" si="12"/>
        <v>168</v>
      </c>
      <c r="H170">
        <f t="shared" ca="1" si="13"/>
        <v>270.22229362035387</v>
      </c>
      <c r="I170">
        <f t="shared" ca="1" si="14"/>
        <v>8259.5429872268396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1393</v>
      </c>
      <c r="B173" s="66">
        <v>1393</v>
      </c>
      <c r="D173">
        <f t="shared" si="10"/>
        <v>0.93241497486562652</v>
      </c>
      <c r="E173">
        <f t="shared" si="11"/>
        <v>0.93241497486562652</v>
      </c>
      <c r="G173">
        <f t="shared" ca="1" si="12"/>
        <v>171</v>
      </c>
      <c r="H173">
        <f t="shared" ca="1" si="13"/>
        <v>159.44296070202213</v>
      </c>
      <c r="I173">
        <f t="shared" ca="1" si="14"/>
        <v>5197.2799195614843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1390</v>
      </c>
      <c r="B175" s="66">
        <v>1390</v>
      </c>
      <c r="D175">
        <f t="shared" si="10"/>
        <v>0.93040690241437241</v>
      </c>
      <c r="E175">
        <f t="shared" si="11"/>
        <v>0.93040690241437241</v>
      </c>
      <c r="G175">
        <f t="shared" ca="1" si="12"/>
        <v>173</v>
      </c>
      <c r="H175">
        <f t="shared" ca="1" si="13"/>
        <v>160.96039411768643</v>
      </c>
      <c r="I175">
        <f t="shared" ca="1" si="14"/>
        <v>5467.6623591822026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1378</v>
      </c>
      <c r="B178" s="66">
        <v>1378</v>
      </c>
      <c r="D178">
        <f t="shared" si="10"/>
        <v>0.92237461260935627</v>
      </c>
      <c r="E178">
        <f t="shared" si="11"/>
        <v>0.92237461260935627</v>
      </c>
      <c r="G178">
        <f t="shared" ca="1" si="12"/>
        <v>176</v>
      </c>
      <c r="H178">
        <f t="shared" ca="1" si="13"/>
        <v>162.33793181924671</v>
      </c>
      <c r="I178">
        <f t="shared" ca="1" si="14"/>
        <v>5853.0119867692829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684</v>
      </c>
      <c r="B180" s="66">
        <v>684</v>
      </c>
      <c r="D180">
        <f t="shared" si="10"/>
        <v>0.45784051888592142</v>
      </c>
      <c r="E180">
        <f t="shared" si="11"/>
        <v>0.45784051888592142</v>
      </c>
      <c r="G180">
        <f t="shared" ca="1" si="12"/>
        <v>178</v>
      </c>
      <c r="H180">
        <f t="shared" ca="1" si="13"/>
        <v>81.495612361694015</v>
      </c>
      <c r="I180">
        <f t="shared" ca="1" si="14"/>
        <v>3052.9848815334744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1150</v>
      </c>
      <c r="B183" s="66">
        <v>1150</v>
      </c>
      <c r="D183">
        <f t="shared" si="10"/>
        <v>0.76976110631404915</v>
      </c>
      <c r="E183">
        <f t="shared" si="11"/>
        <v>0.76976110631404915</v>
      </c>
      <c r="G183">
        <f t="shared" ca="1" si="12"/>
        <v>181</v>
      </c>
      <c r="H183">
        <f t="shared" ca="1" si="13"/>
        <v>139.32676024284291</v>
      </c>
      <c r="I183">
        <f t="shared" ca="1" si="14"/>
        <v>5517.0188056259422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642</v>
      </c>
      <c r="B185" s="66">
        <v>642</v>
      </c>
      <c r="D185">
        <f t="shared" si="10"/>
        <v>0.42972750456836484</v>
      </c>
      <c r="E185">
        <f t="shared" si="11"/>
        <v>0.42972750456836484</v>
      </c>
      <c r="G185">
        <f t="shared" ca="1" si="12"/>
        <v>183</v>
      </c>
      <c r="H185">
        <f t="shared" ca="1" si="13"/>
        <v>78.640133336010763</v>
      </c>
      <c r="I185">
        <f t="shared" ca="1" si="14"/>
        <v>3227.1762030532332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95.862497262553674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1.8508642260683503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0.51774681818192902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4030</v>
      </c>
      <c r="B8" s="66">
        <v>4030</v>
      </c>
      <c r="D8">
        <f t="shared" si="0"/>
        <v>1.8657493784693449</v>
      </c>
      <c r="E8">
        <f t="shared" si="1"/>
        <v>1.8657493784693449</v>
      </c>
      <c r="G8">
        <f t="shared" ca="1" si="2"/>
        <v>6</v>
      </c>
      <c r="H8">
        <f t="shared" ca="1" si="3"/>
        <v>11.194496270816069</v>
      </c>
      <c r="I8">
        <f t="shared" ca="1" si="4"/>
        <v>15066.427024883329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5157</v>
      </c>
      <c r="B10" s="66">
        <v>5157</v>
      </c>
      <c r="D10">
        <f t="shared" si="0"/>
        <v>2.3875110532919135</v>
      </c>
      <c r="E10">
        <f t="shared" si="1"/>
        <v>2.3875110532919135</v>
      </c>
      <c r="G10">
        <f t="shared" ca="1" si="2"/>
        <v>8</v>
      </c>
      <c r="H10">
        <f t="shared" ca="1" si="3"/>
        <v>19.100088426335308</v>
      </c>
      <c r="I10">
        <f t="shared" ca="1" si="4"/>
        <v>18431.151819600826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6866</v>
      </c>
      <c r="B13" s="66">
        <v>6866</v>
      </c>
      <c r="D13">
        <f t="shared" si="0"/>
        <v>3.178718419992685</v>
      </c>
      <c r="E13">
        <f t="shared" si="1"/>
        <v>3.178718419992685</v>
      </c>
      <c r="G13">
        <f t="shared" ca="1" si="2"/>
        <v>11</v>
      </c>
      <c r="H13">
        <f t="shared" ca="1" si="3"/>
        <v>34.965902619919532</v>
      </c>
      <c r="I13">
        <f t="shared" ca="1" si="4"/>
        <v>22891.996662150825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7740</v>
      </c>
      <c r="B15" s="66">
        <v>7740</v>
      </c>
      <c r="D15">
        <f t="shared" si="0"/>
        <v>3.5833499229163097</v>
      </c>
      <c r="E15">
        <f t="shared" si="1"/>
        <v>3.5833499229163097</v>
      </c>
      <c r="G15">
        <f t="shared" ca="1" si="2"/>
        <v>13</v>
      </c>
      <c r="H15">
        <f t="shared" ca="1" si="3"/>
        <v>46.583548997912025</v>
      </c>
      <c r="I15">
        <f t="shared" ca="1" si="4"/>
        <v>24603.973779055079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8608</v>
      </c>
      <c r="B18" s="66">
        <v>8608</v>
      </c>
      <c r="D18">
        <f t="shared" si="0"/>
        <v>3.9852036352020148</v>
      </c>
      <c r="E18">
        <f t="shared" si="1"/>
        <v>3.9852036352020148</v>
      </c>
      <c r="G18">
        <f t="shared" ca="1" si="2"/>
        <v>16</v>
      </c>
      <c r="H18">
        <f t="shared" ca="1" si="3"/>
        <v>63.763258163232237</v>
      </c>
      <c r="I18">
        <f t="shared" ca="1" si="4"/>
        <v>25417.70238808979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9362</v>
      </c>
      <c r="B21" s="66">
        <v>9362</v>
      </c>
      <c r="D21">
        <f t="shared" si="0"/>
        <v>4.3342793253672474</v>
      </c>
      <c r="E21">
        <f t="shared" si="1"/>
        <v>4.3342793253672474</v>
      </c>
      <c r="G21">
        <f t="shared" ca="1" si="2"/>
        <v>19</v>
      </c>
      <c r="H21">
        <f t="shared" ca="1" si="3"/>
        <v>82.351307181977702</v>
      </c>
      <c r="I21">
        <f t="shared" ca="1" si="4"/>
        <v>25606.243876431141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12724</v>
      </c>
      <c r="B23" s="66">
        <v>12724</v>
      </c>
      <c r="D23">
        <f t="shared" si="0"/>
        <v>5.8907680128148741</v>
      </c>
      <c r="E23">
        <f t="shared" si="1"/>
        <v>5.8907680128148741</v>
      </c>
      <c r="G23">
        <f t="shared" ca="1" si="2"/>
        <v>21</v>
      </c>
      <c r="H23">
        <f t="shared" ca="1" si="3"/>
        <v>123.70612826911236</v>
      </c>
      <c r="I23">
        <f t="shared" ca="1" si="4"/>
        <v>33014.181939737515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18428</v>
      </c>
      <c r="B26" s="66">
        <v>18428</v>
      </c>
      <c r="D26">
        <f t="shared" si="0"/>
        <v>8.5315209792637923</v>
      </c>
      <c r="E26">
        <f t="shared" si="1"/>
        <v>8.5315209792637923</v>
      </c>
      <c r="G26">
        <f t="shared" ca="1" si="2"/>
        <v>24</v>
      </c>
      <c r="H26">
        <f t="shared" ca="1" si="3"/>
        <v>204.75650350233101</v>
      </c>
      <c r="I26">
        <f t="shared" ca="1" si="4"/>
        <v>44058.638583545529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24146</v>
      </c>
      <c r="B28" s="66">
        <v>24146</v>
      </c>
      <c r="D28">
        <f t="shared" si="0"/>
        <v>11.178755457201191</v>
      </c>
      <c r="E28">
        <f t="shared" si="1"/>
        <v>11.178755457201191</v>
      </c>
      <c r="G28">
        <f t="shared" ca="1" si="2"/>
        <v>26</v>
      </c>
      <c r="H28">
        <f t="shared" ca="1" si="3"/>
        <v>290.64764188723098</v>
      </c>
      <c r="I28">
        <f t="shared" ca="1" si="4"/>
        <v>54560.917770321481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30873</v>
      </c>
      <c r="B31" s="66">
        <v>30873</v>
      </c>
      <c r="D31">
        <f t="shared" si="0"/>
        <v>14.293121727415405</v>
      </c>
      <c r="E31">
        <f t="shared" si="1"/>
        <v>14.293121727415405</v>
      </c>
      <c r="G31">
        <f t="shared" ca="1" si="2"/>
        <v>29</v>
      </c>
      <c r="H31">
        <f t="shared" ca="1" si="3"/>
        <v>414.50053009504677</v>
      </c>
      <c r="I31">
        <f t="shared" ca="1" si="4"/>
        <v>63898.737663661144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30807</v>
      </c>
      <c r="B33" s="66">
        <v>30807</v>
      </c>
      <c r="D33">
        <f t="shared" si="0"/>
        <v>14.26256603039829</v>
      </c>
      <c r="E33">
        <f t="shared" si="1"/>
        <v>14.26256603039829</v>
      </c>
      <c r="G33">
        <f t="shared" ca="1" si="2"/>
        <v>31</v>
      </c>
      <c r="H33">
        <f t="shared" ca="1" si="3"/>
        <v>442.13954694234701</v>
      </c>
      <c r="I33">
        <f t="shared" ca="1" si="4"/>
        <v>60004.662697424181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29452</v>
      </c>
      <c r="B36" s="66">
        <v>29452</v>
      </c>
      <c r="D36">
        <f t="shared" si="0"/>
        <v>13.635248311334776</v>
      </c>
      <c r="E36">
        <f t="shared" si="1"/>
        <v>13.635248311334776</v>
      </c>
      <c r="G36">
        <f t="shared" ca="1" si="2"/>
        <v>34</v>
      </c>
      <c r="H36">
        <f t="shared" ca="1" si="3"/>
        <v>463.59844258538237</v>
      </c>
      <c r="I36">
        <f t="shared" ca="1" si="4"/>
        <v>52181.666698346402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26601</v>
      </c>
      <c r="B39" s="66">
        <v>26601</v>
      </c>
      <c r="D39">
        <f t="shared" si="0"/>
        <v>12.315334793216635</v>
      </c>
      <c r="E39">
        <f t="shared" si="1"/>
        <v>12.315334793216635</v>
      </c>
      <c r="G39">
        <f t="shared" ca="1" si="2"/>
        <v>37</v>
      </c>
      <c r="H39">
        <f t="shared" ca="1" si="3"/>
        <v>455.66738734901548</v>
      </c>
      <c r="I39">
        <f t="shared" ca="1" si="4"/>
        <v>42670.092976153632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27385</v>
      </c>
      <c r="B41" s="66">
        <v>27385</v>
      </c>
      <c r="D41">
        <f t="shared" si="0"/>
        <v>12.678299436571466</v>
      </c>
      <c r="E41">
        <f t="shared" si="1"/>
        <v>12.678299436571466</v>
      </c>
      <c r="G41">
        <f t="shared" ca="1" si="2"/>
        <v>39</v>
      </c>
      <c r="H41">
        <f t="shared" ca="1" si="3"/>
        <v>494.45367802628715</v>
      </c>
      <c r="I41">
        <f t="shared" ca="1" si="4"/>
        <v>40993.298277892725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24997</v>
      </c>
      <c r="B44" s="66">
        <v>24997</v>
      </c>
      <c r="D44">
        <f t="shared" si="0"/>
        <v>11.572738762679457</v>
      </c>
      <c r="E44">
        <f t="shared" si="1"/>
        <v>11.572738762679457</v>
      </c>
      <c r="G44">
        <f t="shared" ca="1" si="2"/>
        <v>42</v>
      </c>
      <c r="H44">
        <f t="shared" ca="1" si="3"/>
        <v>486.05502803253717</v>
      </c>
      <c r="I44">
        <f t="shared" ca="1" si="4"/>
        <v>33574.466445738624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23179</v>
      </c>
      <c r="B46" s="66">
        <v>23179</v>
      </c>
      <c r="D46">
        <f t="shared" si="0"/>
        <v>10.731068199389812</v>
      </c>
      <c r="E46">
        <f t="shared" si="1"/>
        <v>10.731068199389812</v>
      </c>
      <c r="G46">
        <f t="shared" ca="1" si="2"/>
        <v>44</v>
      </c>
      <c r="H46">
        <f t="shared" ca="1" si="3"/>
        <v>472.1670007731517</v>
      </c>
      <c r="I46">
        <f t="shared" ca="1" si="4"/>
        <v>28863.553973160109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21063</v>
      </c>
      <c r="B49" s="66">
        <v>21063</v>
      </c>
      <c r="D49">
        <f t="shared" si="0"/>
        <v>9.7514340344168264</v>
      </c>
      <c r="E49">
        <f t="shared" si="1"/>
        <v>9.7514340344168264</v>
      </c>
      <c r="G49">
        <f t="shared" ca="1" si="2"/>
        <v>47</v>
      </c>
      <c r="H49">
        <f t="shared" ca="1" si="3"/>
        <v>458.31739961759087</v>
      </c>
      <c r="I49">
        <f t="shared" ca="1" si="4"/>
        <v>23281.974297397002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22198</v>
      </c>
      <c r="B51" s="66">
        <v>22198</v>
      </c>
      <c r="D51">
        <f t="shared" si="0"/>
        <v>10.276899430089955</v>
      </c>
      <c r="E51">
        <f t="shared" si="1"/>
        <v>10.276899430089955</v>
      </c>
      <c r="G51">
        <f t="shared" ca="1" si="2"/>
        <v>49</v>
      </c>
      <c r="H51">
        <f t="shared" ca="1" si="3"/>
        <v>503.56807207440778</v>
      </c>
      <c r="I51">
        <f t="shared" ca="1" si="4"/>
        <v>22569.033576849859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25034</v>
      </c>
      <c r="B54" s="66">
        <v>25034</v>
      </c>
      <c r="D54">
        <f t="shared" si="0"/>
        <v>11.589868471613295</v>
      </c>
      <c r="E54">
        <f t="shared" si="1"/>
        <v>11.589868471613295</v>
      </c>
      <c r="G54">
        <f t="shared" ca="1" si="2"/>
        <v>52</v>
      </c>
      <c r="H54">
        <f t="shared" ca="1" si="3"/>
        <v>602.6731605238914</v>
      </c>
      <c r="I54">
        <f t="shared" ca="1" si="4"/>
        <v>22297.964290267952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27067</v>
      </c>
      <c r="B57" s="66">
        <v>27067</v>
      </c>
      <c r="D57">
        <f t="shared" si="0"/>
        <v>12.531076532761725</v>
      </c>
      <c r="E57">
        <f t="shared" si="1"/>
        <v>12.531076532761725</v>
      </c>
      <c r="G57">
        <f t="shared" ca="1" si="2"/>
        <v>55</v>
      </c>
      <c r="H57">
        <f t="shared" ca="1" si="3"/>
        <v>689.20920930189493</v>
      </c>
      <c r="I57">
        <f t="shared" ca="1" si="4"/>
        <v>20923.685875906478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30580</v>
      </c>
      <c r="B59" s="66">
        <v>30580</v>
      </c>
      <c r="D59">
        <f t="shared" si="0"/>
        <v>14.157472951263664</v>
      </c>
      <c r="E59">
        <f t="shared" si="1"/>
        <v>14.157472951263664</v>
      </c>
      <c r="G59">
        <f t="shared" ca="1" si="2"/>
        <v>57</v>
      </c>
      <c r="H59">
        <f t="shared" ca="1" si="3"/>
        <v>806.97595822202879</v>
      </c>
      <c r="I59">
        <f t="shared" ca="1" si="4"/>
        <v>21381.942113935394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36402</v>
      </c>
      <c r="B62" s="66">
        <v>36402</v>
      </c>
      <c r="D62">
        <f t="shared" si="0"/>
        <v>16.852855800258336</v>
      </c>
      <c r="E62">
        <f t="shared" si="1"/>
        <v>16.852855800258336</v>
      </c>
      <c r="G62">
        <f t="shared" ca="1" si="2"/>
        <v>60</v>
      </c>
      <c r="H62">
        <f t="shared" ca="1" si="3"/>
        <v>1011.1713480155001</v>
      </c>
      <c r="I62">
        <f t="shared" ca="1" si="4"/>
        <v>21674.773160071385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41854</v>
      </c>
      <c r="B64" s="66">
        <v>41854</v>
      </c>
      <c r="D64">
        <f t="shared" si="0"/>
        <v>19.376941559914631</v>
      </c>
      <c r="E64">
        <f t="shared" si="1"/>
        <v>19.376941559914631</v>
      </c>
      <c r="G64">
        <f t="shared" ca="1" si="2"/>
        <v>62</v>
      </c>
      <c r="H64">
        <f t="shared" ca="1" si="3"/>
        <v>1201.3703767147072</v>
      </c>
      <c r="I64">
        <f t="shared" ca="1" si="4"/>
        <v>22218.932792617594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49049</v>
      </c>
      <c r="B67" s="66">
        <v>49049</v>
      </c>
      <c r="D67">
        <f t="shared" ref="D67:D130" si="5">IFERROR(100*A67/MAX(A$2:A$257), 0 )</f>
        <v>22.707975499886572</v>
      </c>
      <c r="E67">
        <f t="shared" ref="E67:E130" si="6">IFERROR(100*B67/MAX(B$2:B$257), 0 )</f>
        <v>22.707975499886572</v>
      </c>
      <c r="G67">
        <f t="shared" ref="G67:G130" ca="1" si="7">CELL("row",D67)-2</f>
        <v>65</v>
      </c>
      <c r="H67">
        <f t="shared" ref="H67:H130" ca="1" si="8">D67*G67</f>
        <v>1476.0184074926271</v>
      </c>
      <c r="I67">
        <f t="shared" ref="I67:I130" ca="1" si="9">D67*((G67-$L$1)^2)</f>
        <v>21629.204449975365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59236</v>
      </c>
      <c r="B69" s="66">
        <v>59236</v>
      </c>
      <c r="D69">
        <f t="shared" si="5"/>
        <v>27.424201037967769</v>
      </c>
      <c r="E69">
        <f t="shared" si="6"/>
        <v>27.424201037967769</v>
      </c>
      <c r="G69">
        <f t="shared" ca="1" si="7"/>
        <v>67</v>
      </c>
      <c r="H69">
        <f t="shared" ca="1" si="8"/>
        <v>1837.4214695438407</v>
      </c>
      <c r="I69">
        <f t="shared" ca="1" si="9"/>
        <v>22845.559224906912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71203</v>
      </c>
      <c r="B72" s="66">
        <v>71203</v>
      </c>
      <c r="D72">
        <f t="shared" si="5"/>
        <v>32.964504465298454</v>
      </c>
      <c r="E72">
        <f t="shared" si="6"/>
        <v>32.964504465298454</v>
      </c>
      <c r="G72">
        <f t="shared" ca="1" si="7"/>
        <v>70</v>
      </c>
      <c r="H72">
        <f t="shared" ca="1" si="8"/>
        <v>2307.5153125708916</v>
      </c>
      <c r="I72">
        <f t="shared" ca="1" si="9"/>
        <v>22048.927379188062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79843</v>
      </c>
      <c r="B75" s="66">
        <v>79843</v>
      </c>
      <c r="D75">
        <f t="shared" si="5"/>
        <v>36.964522983902704</v>
      </c>
      <c r="E75">
        <f t="shared" si="6"/>
        <v>36.964522983902704</v>
      </c>
      <c r="G75">
        <f t="shared" ca="1" si="7"/>
        <v>73</v>
      </c>
      <c r="H75">
        <f t="shared" ca="1" si="8"/>
        <v>2698.4101778248973</v>
      </c>
      <c r="I75">
        <f t="shared" ca="1" si="9"/>
        <v>19321.126284284805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87899</v>
      </c>
      <c r="B77" s="66">
        <v>87899</v>
      </c>
      <c r="D77">
        <f t="shared" si="5"/>
        <v>40.694169880416112</v>
      </c>
      <c r="E77">
        <f t="shared" si="6"/>
        <v>40.694169880416112</v>
      </c>
      <c r="G77">
        <f t="shared" ca="1" si="7"/>
        <v>75</v>
      </c>
      <c r="H77">
        <f t="shared" ca="1" si="8"/>
        <v>3052.0627410312086</v>
      </c>
      <c r="I77">
        <f t="shared" ca="1" si="9"/>
        <v>17711.884812267741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90112</v>
      </c>
      <c r="B80" s="66">
        <v>90112</v>
      </c>
      <c r="D80">
        <f t="shared" si="5"/>
        <v>41.718711660702134</v>
      </c>
      <c r="E80">
        <f t="shared" si="6"/>
        <v>41.718711660702134</v>
      </c>
      <c r="G80">
        <f t="shared" ca="1" si="7"/>
        <v>78</v>
      </c>
      <c r="H80">
        <f t="shared" ca="1" si="8"/>
        <v>3254.0595095347662</v>
      </c>
      <c r="I80">
        <f t="shared" ca="1" si="9"/>
        <v>13311.139619846994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99627</v>
      </c>
      <c r="B82" s="66">
        <v>99627</v>
      </c>
      <c r="D82">
        <f t="shared" si="5"/>
        <v>46.123824647336328</v>
      </c>
      <c r="E82">
        <f t="shared" si="6"/>
        <v>46.123824647336328</v>
      </c>
      <c r="G82">
        <f t="shared" ca="1" si="7"/>
        <v>80</v>
      </c>
      <c r="H82">
        <f t="shared" ca="1" si="8"/>
        <v>3689.9059717869063</v>
      </c>
      <c r="I82">
        <f t="shared" ca="1" si="9"/>
        <v>11605.622304183997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111169</v>
      </c>
      <c r="B85" s="66">
        <v>111169</v>
      </c>
      <c r="D85">
        <f t="shared" si="5"/>
        <v>51.467367904481037</v>
      </c>
      <c r="E85">
        <f t="shared" si="6"/>
        <v>51.467367904481037</v>
      </c>
      <c r="G85">
        <f t="shared" ca="1" si="7"/>
        <v>83</v>
      </c>
      <c r="H85">
        <f t="shared" ca="1" si="8"/>
        <v>4271.7915360719262</v>
      </c>
      <c r="I85">
        <f t="shared" ca="1" si="9"/>
        <v>8514.9587661500373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124894</v>
      </c>
      <c r="B88" s="66">
        <v>124894</v>
      </c>
      <c r="D88">
        <f t="shared" si="5"/>
        <v>57.821563988722168</v>
      </c>
      <c r="E88">
        <f t="shared" si="6"/>
        <v>57.821563988722168</v>
      </c>
      <c r="G88">
        <f t="shared" ca="1" si="7"/>
        <v>86</v>
      </c>
      <c r="H88">
        <f t="shared" ca="1" si="8"/>
        <v>4972.6545030301068</v>
      </c>
      <c r="I88">
        <f t="shared" ca="1" si="9"/>
        <v>5624.2371647072105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141310</v>
      </c>
      <c r="B90" s="66">
        <v>141310</v>
      </c>
      <c r="D90">
        <f t="shared" si="5"/>
        <v>65.421599174070252</v>
      </c>
      <c r="E90">
        <f t="shared" si="6"/>
        <v>65.421599174070252</v>
      </c>
      <c r="G90">
        <f t="shared" ca="1" si="7"/>
        <v>88</v>
      </c>
      <c r="H90">
        <f t="shared" ca="1" si="8"/>
        <v>5757.1007273181822</v>
      </c>
      <c r="I90">
        <f t="shared" ca="1" si="9"/>
        <v>4044.288889906788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158647</v>
      </c>
      <c r="B93" s="66">
        <v>158647</v>
      </c>
      <c r="D93">
        <f t="shared" si="5"/>
        <v>73.448025222338998</v>
      </c>
      <c r="E93">
        <f t="shared" si="6"/>
        <v>73.448025222338998</v>
      </c>
      <c r="G93">
        <f t="shared" ca="1" si="7"/>
        <v>91</v>
      </c>
      <c r="H93">
        <f t="shared" ca="1" si="8"/>
        <v>6683.7702952328491</v>
      </c>
      <c r="I93">
        <f t="shared" ca="1" si="9"/>
        <v>1736.5962672964085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180835</v>
      </c>
      <c r="B95" s="66">
        <v>180835</v>
      </c>
      <c r="D95">
        <f t="shared" si="5"/>
        <v>83.720295001365741</v>
      </c>
      <c r="E95">
        <f t="shared" si="6"/>
        <v>83.720295001365741</v>
      </c>
      <c r="G95">
        <f t="shared" ca="1" si="7"/>
        <v>93</v>
      </c>
      <c r="H95">
        <f t="shared" ca="1" si="8"/>
        <v>7785.9874351270137</v>
      </c>
      <c r="I95">
        <f t="shared" ca="1" si="9"/>
        <v>685.99493640972707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194620</v>
      </c>
      <c r="B98" s="66">
        <v>194620</v>
      </c>
      <c r="D98">
        <f t="shared" si="5"/>
        <v>90.10226899198608</v>
      </c>
      <c r="E98">
        <f t="shared" si="6"/>
        <v>90.10226899198608</v>
      </c>
      <c r="G98">
        <f t="shared" ca="1" si="7"/>
        <v>96</v>
      </c>
      <c r="H98">
        <f t="shared" ca="1" si="8"/>
        <v>8649.8178232306636</v>
      </c>
      <c r="I98">
        <f t="shared" ca="1" si="9"/>
        <v>1.7035638525893577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215999</v>
      </c>
      <c r="B100" s="66">
        <v>215999</v>
      </c>
      <c r="D100">
        <f t="shared" si="5"/>
        <v>100</v>
      </c>
      <c r="E100">
        <f t="shared" si="6"/>
        <v>100</v>
      </c>
      <c r="G100">
        <f t="shared" ca="1" si="7"/>
        <v>98</v>
      </c>
      <c r="H100">
        <f t="shared" ca="1" si="8"/>
        <v>9800</v>
      </c>
      <c r="I100">
        <f t="shared" ca="1" si="9"/>
        <v>456.89179525905359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215834</v>
      </c>
      <c r="B103" s="66">
        <v>215834</v>
      </c>
      <c r="D103">
        <f t="shared" si="5"/>
        <v>99.923610757457212</v>
      </c>
      <c r="E103">
        <f t="shared" si="6"/>
        <v>99.923610757457212</v>
      </c>
      <c r="G103">
        <f t="shared" ca="1" si="7"/>
        <v>101</v>
      </c>
      <c r="H103">
        <f t="shared" ca="1" si="8"/>
        <v>10092.284686503179</v>
      </c>
      <c r="I103">
        <f t="shared" ca="1" si="9"/>
        <v>2637.3772250720453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214032</v>
      </c>
      <c r="B106" s="66">
        <v>214032</v>
      </c>
      <c r="D106">
        <f t="shared" si="5"/>
        <v>99.089347635868691</v>
      </c>
      <c r="E106">
        <f t="shared" si="6"/>
        <v>99.089347635868691</v>
      </c>
      <c r="G106">
        <f t="shared" ca="1" si="7"/>
        <v>104</v>
      </c>
      <c r="H106">
        <f t="shared" ca="1" si="8"/>
        <v>10305.292154130344</v>
      </c>
      <c r="I106">
        <f t="shared" ca="1" si="9"/>
        <v>6561.5926360965577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196681</v>
      </c>
      <c r="B108" s="66">
        <v>196681</v>
      </c>
      <c r="D108">
        <f t="shared" si="5"/>
        <v>91.056440076111457</v>
      </c>
      <c r="E108">
        <f t="shared" si="6"/>
        <v>91.056440076111457</v>
      </c>
      <c r="G108">
        <f t="shared" ca="1" si="7"/>
        <v>106</v>
      </c>
      <c r="H108">
        <f t="shared" ca="1" si="8"/>
        <v>9651.9826480678148</v>
      </c>
      <c r="I108">
        <f t="shared" ca="1" si="9"/>
        <v>9357.775807430753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188242</v>
      </c>
      <c r="B111" s="66">
        <v>188242</v>
      </c>
      <c r="D111">
        <f t="shared" si="5"/>
        <v>87.149477543877524</v>
      </c>
      <c r="E111">
        <f t="shared" si="6"/>
        <v>87.149477543877524</v>
      </c>
      <c r="G111">
        <f t="shared" ca="1" si="7"/>
        <v>109</v>
      </c>
      <c r="H111">
        <f t="shared" ca="1" si="8"/>
        <v>9499.29305228265</v>
      </c>
      <c r="I111">
        <f t="shared" ca="1" si="9"/>
        <v>15041.475025293505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187288</v>
      </c>
      <c r="B113" s="66">
        <v>187288</v>
      </c>
      <c r="D113">
        <f t="shared" si="5"/>
        <v>86.707808832448293</v>
      </c>
      <c r="E113">
        <f t="shared" si="6"/>
        <v>86.707808832448293</v>
      </c>
      <c r="G113">
        <f t="shared" ca="1" si="7"/>
        <v>111</v>
      </c>
      <c r="H113">
        <f t="shared" ca="1" si="8"/>
        <v>9624.5667804017612</v>
      </c>
      <c r="I113">
        <f t="shared" ca="1" si="9"/>
        <v>19868.573204258726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179117</v>
      </c>
      <c r="B116" s="66">
        <v>179117</v>
      </c>
      <c r="D116">
        <f t="shared" si="5"/>
        <v>82.924920948708092</v>
      </c>
      <c r="E116">
        <f t="shared" si="6"/>
        <v>82.924920948708092</v>
      </c>
      <c r="G116">
        <f t="shared" ca="1" si="7"/>
        <v>114</v>
      </c>
      <c r="H116">
        <f t="shared" ca="1" si="8"/>
        <v>9453.4409881527226</v>
      </c>
      <c r="I116">
        <f t="shared" ca="1" si="9"/>
        <v>27279.728779881254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166013</v>
      </c>
      <c r="B118" s="66">
        <v>166013</v>
      </c>
      <c r="D118">
        <f t="shared" si="5"/>
        <v>76.858226195491639</v>
      </c>
      <c r="E118">
        <f t="shared" si="6"/>
        <v>76.858226195491639</v>
      </c>
      <c r="G118">
        <f t="shared" ca="1" si="7"/>
        <v>116</v>
      </c>
      <c r="H118">
        <f t="shared" ca="1" si="8"/>
        <v>8915.5542386770303</v>
      </c>
      <c r="I118">
        <f t="shared" ca="1" si="9"/>
        <v>31167.472296780899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144217</v>
      </c>
      <c r="B121" s="66">
        <v>144217</v>
      </c>
      <c r="D121">
        <f t="shared" si="5"/>
        <v>66.767438738142303</v>
      </c>
      <c r="E121">
        <f t="shared" si="6"/>
        <v>66.767438738142303</v>
      </c>
      <c r="G121">
        <f t="shared" ca="1" si="7"/>
        <v>119</v>
      </c>
      <c r="H121">
        <f t="shared" ca="1" si="8"/>
        <v>7945.3252098389339</v>
      </c>
      <c r="I121">
        <f t="shared" ca="1" si="9"/>
        <v>35743.549922172424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127786</v>
      </c>
      <c r="B124" s="66">
        <v>127786</v>
      </c>
      <c r="D124">
        <f t="shared" si="5"/>
        <v>59.16045907619943</v>
      </c>
      <c r="E124">
        <f t="shared" si="6"/>
        <v>59.16045907619943</v>
      </c>
      <c r="G124">
        <f t="shared" ca="1" si="7"/>
        <v>122</v>
      </c>
      <c r="H124">
        <f t="shared" ca="1" si="8"/>
        <v>7217.5760072963303</v>
      </c>
      <c r="I124">
        <f t="shared" ca="1" si="9"/>
        <v>40416.594586197578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117294</v>
      </c>
      <c r="B126" s="66">
        <v>117294</v>
      </c>
      <c r="D126">
        <f t="shared" si="5"/>
        <v>54.30302918069065</v>
      </c>
      <c r="E126">
        <f t="shared" si="6"/>
        <v>54.30302918069065</v>
      </c>
      <c r="G126">
        <f t="shared" ca="1" si="7"/>
        <v>124</v>
      </c>
      <c r="H126">
        <f t="shared" ca="1" si="8"/>
        <v>6733.5756184056409</v>
      </c>
      <c r="I126">
        <f t="shared" ca="1" si="9"/>
        <v>42992.743234368994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95114</v>
      </c>
      <c r="B129" s="66">
        <v>95114</v>
      </c>
      <c r="D129">
        <f t="shared" si="5"/>
        <v>44.03446312251446</v>
      </c>
      <c r="E129">
        <f t="shared" si="6"/>
        <v>44.03446312251446</v>
      </c>
      <c r="G129">
        <f t="shared" ca="1" si="7"/>
        <v>127</v>
      </c>
      <c r="H129">
        <f t="shared" ca="1" si="8"/>
        <v>5592.3768165593365</v>
      </c>
      <c r="I129">
        <f t="shared" ca="1" si="9"/>
        <v>42693.352892176335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78405</v>
      </c>
      <c r="B131" s="66">
        <v>78405</v>
      </c>
      <c r="D131">
        <f t="shared" ref="D131:D194" si="10">IFERROR(100*A131/MAX(A$2:A$257), 0 )</f>
        <v>36.298779161014636</v>
      </c>
      <c r="E131">
        <f t="shared" ref="E131:E194" si="11">IFERROR(100*B131/MAX(B$2:B$257), 0 )</f>
        <v>36.298779161014636</v>
      </c>
      <c r="G131">
        <f t="shared" ref="G131:G194" ca="1" si="12">CELL("row",D131)-2</f>
        <v>129</v>
      </c>
      <c r="H131">
        <f t="shared" ref="H131:H194" ca="1" si="13">D131*G131</f>
        <v>4682.5425117708883</v>
      </c>
      <c r="I131">
        <f t="shared" ref="I131:I194" ca="1" si="14">D131*((G131-$L$1)^2)</f>
        <v>39859.474786503903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61374</v>
      </c>
      <c r="B134" s="66">
        <v>61374</v>
      </c>
      <c r="D134">
        <f t="shared" si="10"/>
        <v>28.414020435279792</v>
      </c>
      <c r="E134">
        <f t="shared" si="11"/>
        <v>28.414020435279792</v>
      </c>
      <c r="G134">
        <f t="shared" ca="1" si="12"/>
        <v>132</v>
      </c>
      <c r="H134">
        <f t="shared" ca="1" si="13"/>
        <v>3750.6506974569324</v>
      </c>
      <c r="I134">
        <f t="shared" ca="1" si="14"/>
        <v>37106.412110689576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47943</v>
      </c>
      <c r="B136" s="66">
        <v>47943</v>
      </c>
      <c r="D136">
        <f t="shared" si="10"/>
        <v>22.195936092296723</v>
      </c>
      <c r="E136">
        <f t="shared" si="11"/>
        <v>22.195936092296723</v>
      </c>
      <c r="G136">
        <f t="shared" ca="1" si="12"/>
        <v>134</v>
      </c>
      <c r="H136">
        <f t="shared" ca="1" si="13"/>
        <v>2974.2554363677609</v>
      </c>
      <c r="I136">
        <f t="shared" ca="1" si="14"/>
        <v>32283.303525840893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36629</v>
      </c>
      <c r="B139" s="66">
        <v>36629</v>
      </c>
      <c r="D139">
        <f t="shared" si="10"/>
        <v>16.957948879392958</v>
      </c>
      <c r="E139">
        <f t="shared" si="11"/>
        <v>16.957948879392958</v>
      </c>
      <c r="G139">
        <f t="shared" ca="1" si="12"/>
        <v>137</v>
      </c>
      <c r="H139">
        <f t="shared" ca="1" si="13"/>
        <v>2323.2389964768354</v>
      </c>
      <c r="I139">
        <f t="shared" ca="1" si="14"/>
        <v>28697.837370422691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29542</v>
      </c>
      <c r="B142" s="66">
        <v>29542</v>
      </c>
      <c r="D142">
        <f t="shared" si="10"/>
        <v>13.67691517090357</v>
      </c>
      <c r="E142">
        <f t="shared" si="11"/>
        <v>13.67691517090357</v>
      </c>
      <c r="G142">
        <f t="shared" ca="1" si="12"/>
        <v>140</v>
      </c>
      <c r="H142">
        <f t="shared" ca="1" si="13"/>
        <v>1914.7681239264998</v>
      </c>
      <c r="I142">
        <f t="shared" ca="1" si="14"/>
        <v>26644.260328615012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19442</v>
      </c>
      <c r="B144" s="66">
        <v>19442</v>
      </c>
      <c r="D144">
        <f t="shared" si="10"/>
        <v>9.0009675970722078</v>
      </c>
      <c r="E144">
        <f t="shared" si="11"/>
        <v>9.0009675970722078</v>
      </c>
      <c r="G144">
        <f t="shared" ca="1" si="12"/>
        <v>142</v>
      </c>
      <c r="H144">
        <f t="shared" ca="1" si="13"/>
        <v>1278.1373987842535</v>
      </c>
      <c r="I144">
        <f t="shared" ca="1" si="14"/>
        <v>19160.082123676602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15826</v>
      </c>
      <c r="B147" s="66">
        <v>15826</v>
      </c>
      <c r="D147">
        <f t="shared" si="10"/>
        <v>7.3268857726193177</v>
      </c>
      <c r="E147">
        <f t="shared" si="11"/>
        <v>7.3268857726193177</v>
      </c>
      <c r="G147">
        <f t="shared" ca="1" si="12"/>
        <v>145</v>
      </c>
      <c r="H147">
        <f t="shared" ca="1" si="13"/>
        <v>1062.398437029801</v>
      </c>
      <c r="I147">
        <f t="shared" ca="1" si="14"/>
        <v>17690.723020876627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13371</v>
      </c>
      <c r="B149" s="66">
        <v>13371</v>
      </c>
      <c r="D149">
        <f t="shared" si="10"/>
        <v>6.1903064366038736</v>
      </c>
      <c r="E149">
        <f t="shared" si="11"/>
        <v>6.1903064366038736</v>
      </c>
      <c r="G149">
        <f t="shared" ca="1" si="12"/>
        <v>147</v>
      </c>
      <c r="H149">
        <f t="shared" ca="1" si="13"/>
        <v>909.97504618076937</v>
      </c>
      <c r="I149">
        <f t="shared" ca="1" si="14"/>
        <v>16187.924857975631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9016</v>
      </c>
      <c r="B152" s="66">
        <v>9016</v>
      </c>
      <c r="D152">
        <f t="shared" si="10"/>
        <v>4.1740933985805491</v>
      </c>
      <c r="E152">
        <f t="shared" si="11"/>
        <v>4.1740933985805491</v>
      </c>
      <c r="G152">
        <f t="shared" ca="1" si="12"/>
        <v>150</v>
      </c>
      <c r="H152">
        <f t="shared" ca="1" si="13"/>
        <v>626.11400978708241</v>
      </c>
      <c r="I152">
        <f t="shared" ca="1" si="14"/>
        <v>12233.721790871916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6798</v>
      </c>
      <c r="B154" s="66">
        <v>6798</v>
      </c>
      <c r="D154">
        <f t="shared" si="10"/>
        <v>3.1472367927629294</v>
      </c>
      <c r="E154">
        <f t="shared" si="11"/>
        <v>3.1472367927629294</v>
      </c>
      <c r="G154">
        <f t="shared" ca="1" si="12"/>
        <v>152</v>
      </c>
      <c r="H154">
        <f t="shared" ca="1" si="13"/>
        <v>478.37999249996528</v>
      </c>
      <c r="I154">
        <f t="shared" ca="1" si="14"/>
        <v>9918.2624984518461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5939</v>
      </c>
      <c r="B157" s="66">
        <v>5939</v>
      </c>
      <c r="D157">
        <f t="shared" si="10"/>
        <v>2.7495497664341038</v>
      </c>
      <c r="E157">
        <f t="shared" si="11"/>
        <v>2.7495497664341038</v>
      </c>
      <c r="G157">
        <f t="shared" ca="1" si="12"/>
        <v>155</v>
      </c>
      <c r="H157">
        <f t="shared" ca="1" si="13"/>
        <v>426.18021379728606</v>
      </c>
      <c r="I157">
        <f t="shared" ca="1" si="14"/>
        <v>9615.8470558185545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4724</v>
      </c>
      <c r="B160" s="66">
        <v>4724</v>
      </c>
      <c r="D160">
        <f t="shared" si="10"/>
        <v>2.1870471622553809</v>
      </c>
      <c r="E160">
        <f t="shared" si="11"/>
        <v>2.1870471622553809</v>
      </c>
      <c r="G160">
        <f t="shared" ca="1" si="12"/>
        <v>158</v>
      </c>
      <c r="H160">
        <f t="shared" ca="1" si="13"/>
        <v>345.55345163635019</v>
      </c>
      <c r="I160">
        <f t="shared" ca="1" si="14"/>
        <v>8444.3405387115727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3876</v>
      </c>
      <c r="B162" s="66">
        <v>3876</v>
      </c>
      <c r="D162">
        <f t="shared" si="10"/>
        <v>1.7944527520960745</v>
      </c>
      <c r="E162">
        <f t="shared" si="11"/>
        <v>1.7944527520960745</v>
      </c>
      <c r="G162">
        <f t="shared" ca="1" si="12"/>
        <v>160</v>
      </c>
      <c r="H162">
        <f t="shared" ca="1" si="13"/>
        <v>287.1124403353719</v>
      </c>
      <c r="I162">
        <f t="shared" ca="1" si="14"/>
        <v>7381.6953975095457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2370</v>
      </c>
      <c r="B165" s="66">
        <v>2370</v>
      </c>
      <c r="D165">
        <f t="shared" si="10"/>
        <v>1.0972273019782499</v>
      </c>
      <c r="E165">
        <f t="shared" si="11"/>
        <v>1.0972273019782499</v>
      </c>
      <c r="G165">
        <f t="shared" ca="1" si="12"/>
        <v>163</v>
      </c>
      <c r="H165">
        <f t="shared" ca="1" si="13"/>
        <v>178.84805022245473</v>
      </c>
      <c r="I165">
        <f t="shared" ca="1" si="14"/>
        <v>4945.6909193815027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1088</v>
      </c>
      <c r="B167" s="66">
        <v>1088</v>
      </c>
      <c r="D167">
        <f t="shared" si="10"/>
        <v>0.50370603567609107</v>
      </c>
      <c r="E167">
        <f t="shared" si="11"/>
        <v>0.50370603567609107</v>
      </c>
      <c r="G167">
        <f t="shared" ca="1" si="12"/>
        <v>165</v>
      </c>
      <c r="H167">
        <f t="shared" ca="1" si="13"/>
        <v>83.111495886555019</v>
      </c>
      <c r="I167">
        <f t="shared" ca="1" si="14"/>
        <v>2407.7119717360692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477</v>
      </c>
      <c r="B170" s="66">
        <v>477</v>
      </c>
      <c r="D170">
        <f t="shared" si="10"/>
        <v>0.2208343557146098</v>
      </c>
      <c r="E170">
        <f t="shared" si="11"/>
        <v>0.2208343557146098</v>
      </c>
      <c r="G170">
        <f t="shared" ca="1" si="12"/>
        <v>168</v>
      </c>
      <c r="H170">
        <f t="shared" ca="1" si="13"/>
        <v>37.100171760054444</v>
      </c>
      <c r="I170">
        <f t="shared" ca="1" si="14"/>
        <v>1149.1820826346657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609</v>
      </c>
      <c r="B173" s="66">
        <v>609</v>
      </c>
      <c r="D173">
        <f t="shared" si="10"/>
        <v>0.28194574974884146</v>
      </c>
      <c r="E173">
        <f t="shared" si="11"/>
        <v>0.28194574974884146</v>
      </c>
      <c r="G173">
        <f t="shared" ca="1" si="12"/>
        <v>171</v>
      </c>
      <c r="H173">
        <f t="shared" ca="1" si="13"/>
        <v>48.212723207051887</v>
      </c>
      <c r="I173">
        <f t="shared" ca="1" si="14"/>
        <v>1591.7654199465881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401</v>
      </c>
      <c r="B175" s="66">
        <v>401</v>
      </c>
      <c r="D175">
        <f t="shared" si="10"/>
        <v>0.18564900763429459</v>
      </c>
      <c r="E175">
        <f t="shared" si="11"/>
        <v>0.18564900763429459</v>
      </c>
      <c r="G175">
        <f t="shared" ca="1" si="12"/>
        <v>173</v>
      </c>
      <c r="H175">
        <f t="shared" ca="1" si="13"/>
        <v>32.117278320732964</v>
      </c>
      <c r="I175">
        <f t="shared" ca="1" si="14"/>
        <v>1104.6476723301428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320</v>
      </c>
      <c r="B178" s="66">
        <v>320</v>
      </c>
      <c r="D178">
        <f t="shared" si="10"/>
        <v>0.14814883402237974</v>
      </c>
      <c r="E178">
        <f t="shared" si="11"/>
        <v>0.14814883402237974</v>
      </c>
      <c r="G178">
        <f t="shared" ca="1" si="12"/>
        <v>176</v>
      </c>
      <c r="H178">
        <f t="shared" ca="1" si="13"/>
        <v>26.074194787938836</v>
      </c>
      <c r="I178">
        <f t="shared" ca="1" si="14"/>
        <v>951.41467803006014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88</v>
      </c>
      <c r="B180" s="66">
        <v>88</v>
      </c>
      <c r="D180">
        <f t="shared" si="10"/>
        <v>4.0740929356154428E-2</v>
      </c>
      <c r="E180">
        <f t="shared" si="11"/>
        <v>4.0740929356154428E-2</v>
      </c>
      <c r="G180">
        <f t="shared" ca="1" si="12"/>
        <v>178</v>
      </c>
      <c r="H180">
        <f t="shared" ca="1" si="13"/>
        <v>7.2518854253954883</v>
      </c>
      <c r="I180">
        <f t="shared" ca="1" si="14"/>
        <v>274.86150552691089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0.266372</v>
      </c>
      <c r="B2" s="68">
        <v>0.51709799999999995</v>
      </c>
      <c r="C2" s="68">
        <v>0</v>
      </c>
      <c r="D2" s="68">
        <v>1</v>
      </c>
      <c r="E2" s="68" t="s">
        <v>408</v>
      </c>
    </row>
    <row r="3" spans="1:5">
      <c r="A3" s="68">
        <v>0.27527000000000001</v>
      </c>
      <c r="B3" s="68">
        <v>0.50626400000000005</v>
      </c>
      <c r="C3" s="68">
        <v>0.40949799999999997</v>
      </c>
      <c r="D3" s="89">
        <v>1</v>
      </c>
      <c r="E3" s="68" t="s">
        <v>409</v>
      </c>
    </row>
    <row r="4" spans="1:5">
      <c r="A4" s="68">
        <v>0.284049</v>
      </c>
      <c r="B4" s="68">
        <v>0.49800699999999998</v>
      </c>
      <c r="C4" s="68">
        <v>0.81644000000000005</v>
      </c>
      <c r="D4" s="89">
        <v>1</v>
      </c>
      <c r="E4" s="68" t="s">
        <v>410</v>
      </c>
    </row>
    <row r="5" spans="1:5">
      <c r="A5" s="89">
        <v>0.29259099999999999</v>
      </c>
      <c r="B5" s="89">
        <v>0.49274499999999999</v>
      </c>
      <c r="C5" s="89">
        <v>1.2219500000000001</v>
      </c>
      <c r="D5" s="89">
        <v>1</v>
      </c>
      <c r="E5" s="68" t="s">
        <v>411</v>
      </c>
    </row>
    <row r="6" spans="1:5">
      <c r="A6" s="68">
        <v>0.301118</v>
      </c>
      <c r="B6" s="68">
        <v>0.48868099999999998</v>
      </c>
      <c r="C6" s="68">
        <v>1.6272599999999999</v>
      </c>
      <c r="D6" s="68">
        <v>1</v>
      </c>
      <c r="E6" s="68" t="s">
        <v>412</v>
      </c>
    </row>
    <row r="7" spans="1:5">
      <c r="A7" s="68">
        <v>0.309558</v>
      </c>
      <c r="B7" s="68">
        <v>0.48553600000000002</v>
      </c>
      <c r="C7" s="68">
        <v>2.0316399999999999</v>
      </c>
      <c r="D7" s="68">
        <v>1</v>
      </c>
      <c r="E7" s="68" t="s">
        <v>413</v>
      </c>
    </row>
    <row r="8" spans="1:5">
      <c r="A8" s="68">
        <v>0.31823899999999999</v>
      </c>
      <c r="B8" s="68">
        <v>0.47991600000000001</v>
      </c>
      <c r="C8" s="68">
        <v>2.4409299999999998</v>
      </c>
      <c r="D8" s="68">
        <v>1</v>
      </c>
      <c r="E8" s="68" t="s">
        <v>414</v>
      </c>
    </row>
    <row r="9" spans="1:5">
      <c r="A9" s="68">
        <v>0.32720500000000002</v>
      </c>
      <c r="B9" s="68">
        <v>0.47230899999999998</v>
      </c>
      <c r="C9" s="68">
        <v>2.8479199999999998</v>
      </c>
      <c r="D9" s="68">
        <v>1</v>
      </c>
      <c r="E9" s="68" t="s">
        <v>415</v>
      </c>
    </row>
    <row r="10" spans="1:5">
      <c r="A10" s="68">
        <v>0.33650799999999997</v>
      </c>
      <c r="B10" s="68">
        <v>0.46342</v>
      </c>
      <c r="C10" s="68">
        <v>3.2521499999999999</v>
      </c>
      <c r="D10" s="68">
        <v>1</v>
      </c>
      <c r="E10" s="68" t="s">
        <v>416</v>
      </c>
    </row>
    <row r="11" spans="1:5">
      <c r="A11" s="68">
        <v>0.34586800000000001</v>
      </c>
      <c r="B11" s="68">
        <v>0.45293600000000001</v>
      </c>
      <c r="C11" s="68">
        <v>3.6577799999999998</v>
      </c>
      <c r="D11" s="68">
        <v>1</v>
      </c>
      <c r="E11" s="68" t="s">
        <v>417</v>
      </c>
    </row>
    <row r="12" spans="1:5">
      <c r="A12" s="68">
        <v>0.35542600000000002</v>
      </c>
      <c r="B12" s="68">
        <v>0.44075700000000001</v>
      </c>
      <c r="C12" s="68">
        <v>4.0630199999999999</v>
      </c>
      <c r="D12" s="68">
        <v>1</v>
      </c>
      <c r="E12" s="68" t="s">
        <v>418</v>
      </c>
    </row>
    <row r="13" spans="1:5">
      <c r="A13" s="68">
        <v>0.36456699999999997</v>
      </c>
      <c r="B13" s="68">
        <v>0.42971599999999999</v>
      </c>
      <c r="C13" s="68">
        <v>4.4715400000000001</v>
      </c>
      <c r="D13" s="68">
        <v>1</v>
      </c>
      <c r="E13" s="68" t="s">
        <v>419</v>
      </c>
    </row>
    <row r="14" spans="1:5">
      <c r="A14" s="68">
        <v>0.37329099999999998</v>
      </c>
      <c r="B14" s="68">
        <v>0.42029100000000003</v>
      </c>
      <c r="C14" s="68">
        <v>4.8794599999999999</v>
      </c>
      <c r="D14" s="68">
        <v>1</v>
      </c>
      <c r="E14" s="68" t="s">
        <v>420</v>
      </c>
    </row>
    <row r="15" spans="1:5">
      <c r="A15" s="68">
        <v>0.38202700000000001</v>
      </c>
      <c r="B15" s="68">
        <v>0.41216599999999998</v>
      </c>
      <c r="C15" s="68">
        <v>5.2852499999999996</v>
      </c>
      <c r="D15" s="68">
        <v>1</v>
      </c>
      <c r="E15" s="68" t="s">
        <v>421</v>
      </c>
    </row>
    <row r="16" spans="1:5">
      <c r="A16" s="68">
        <v>0.39090999999999998</v>
      </c>
      <c r="B16" s="68">
        <v>0.404331</v>
      </c>
      <c r="C16" s="68">
        <v>5.6887499999999998</v>
      </c>
      <c r="D16" s="68">
        <v>1</v>
      </c>
      <c r="E16" s="68" t="s">
        <v>422</v>
      </c>
    </row>
    <row r="17" spans="1:5">
      <c r="A17" s="68">
        <v>0.39889599999999997</v>
      </c>
      <c r="B17" s="68">
        <v>0.39876499999999998</v>
      </c>
      <c r="C17" s="68">
        <v>6.0955700000000004</v>
      </c>
      <c r="D17" s="68">
        <v>1</v>
      </c>
      <c r="E17" s="68" t="s">
        <v>423</v>
      </c>
    </row>
    <row r="18" spans="1:5">
      <c r="A18" s="68">
        <v>0.405947</v>
      </c>
      <c r="B18" s="68">
        <v>0.39630199999999999</v>
      </c>
      <c r="C18" s="68">
        <v>6.5057600000000004</v>
      </c>
      <c r="D18" s="68">
        <v>1</v>
      </c>
      <c r="E18" s="68" t="s">
        <v>424</v>
      </c>
    </row>
    <row r="19" spans="1:5">
      <c r="A19" s="68">
        <v>0.41210599999999997</v>
      </c>
      <c r="B19" s="68">
        <v>0.395708</v>
      </c>
      <c r="C19" s="68">
        <v>6.9099700000000004</v>
      </c>
      <c r="D19" s="68">
        <v>1</v>
      </c>
      <c r="E19" s="68" t="s">
        <v>425</v>
      </c>
    </row>
    <row r="20" spans="1:5">
      <c r="A20" s="68">
        <v>0.41763</v>
      </c>
      <c r="B20" s="68">
        <v>0.39599600000000001</v>
      </c>
      <c r="C20" s="68">
        <v>7.3155900000000003</v>
      </c>
      <c r="D20" s="68">
        <v>1</v>
      </c>
      <c r="E20" s="68" t="s">
        <v>426</v>
      </c>
    </row>
    <row r="21" spans="1:5">
      <c r="A21" s="68">
        <v>0.42244399999999999</v>
      </c>
      <c r="B21" s="68">
        <v>0.39668799999999999</v>
      </c>
      <c r="C21" s="68">
        <v>7.7207100000000004</v>
      </c>
      <c r="D21" s="68">
        <v>1</v>
      </c>
      <c r="E21" s="68" t="s">
        <v>427</v>
      </c>
    </row>
    <row r="22" spans="1:5">
      <c r="A22" s="68">
        <v>0.426564</v>
      </c>
      <c r="B22" s="68">
        <v>0.39912500000000001</v>
      </c>
      <c r="C22" s="68">
        <v>8.1276600000000006</v>
      </c>
      <c r="D22" s="68">
        <v>1</v>
      </c>
      <c r="E22" s="68" t="s">
        <v>428</v>
      </c>
    </row>
    <row r="23" spans="1:5">
      <c r="A23" s="68">
        <v>0.43013699999999999</v>
      </c>
      <c r="B23" s="68">
        <v>0.40273199999999998</v>
      </c>
      <c r="C23" s="68">
        <v>8.5335800000000006</v>
      </c>
      <c r="D23" s="68">
        <v>1</v>
      </c>
      <c r="E23" s="68" t="s">
        <v>429</v>
      </c>
    </row>
    <row r="24" spans="1:5">
      <c r="A24" s="68">
        <v>0.433064</v>
      </c>
      <c r="B24" s="68">
        <v>0.407051</v>
      </c>
      <c r="C24" s="68">
        <v>8.9401499999999992</v>
      </c>
      <c r="D24" s="68">
        <v>1</v>
      </c>
      <c r="E24" s="68" t="s">
        <v>430</v>
      </c>
    </row>
    <row r="25" spans="1:5">
      <c r="A25" s="68">
        <v>0.43511100000000003</v>
      </c>
      <c r="B25" s="68">
        <v>0.41117300000000001</v>
      </c>
      <c r="C25" s="68">
        <v>9.3497599999999998</v>
      </c>
      <c r="D25" s="68">
        <v>1</v>
      </c>
      <c r="E25" s="68" t="s">
        <v>431</v>
      </c>
    </row>
    <row r="26" spans="1:5">
      <c r="A26" s="68">
        <v>0.43663299999999999</v>
      </c>
      <c r="B26" s="68">
        <v>0.41470899999999999</v>
      </c>
      <c r="C26" s="68">
        <v>9.7508900000000001</v>
      </c>
      <c r="D26" s="68">
        <v>1</v>
      </c>
      <c r="E26" s="68" t="s">
        <v>432</v>
      </c>
    </row>
    <row r="27" spans="1:5">
      <c r="A27" s="68">
        <v>0.437087</v>
      </c>
      <c r="B27" s="68">
        <v>0.41675800000000002</v>
      </c>
      <c r="C27" s="68">
        <v>10.1608</v>
      </c>
      <c r="D27" s="68">
        <v>1</v>
      </c>
      <c r="E27" s="68" t="s">
        <v>433</v>
      </c>
    </row>
    <row r="28" spans="1:5">
      <c r="A28" s="68">
        <v>0.43691200000000002</v>
      </c>
      <c r="B28" s="68">
        <v>0.41769600000000001</v>
      </c>
      <c r="C28" s="68">
        <v>10.5656</v>
      </c>
      <c r="D28" s="68">
        <v>1</v>
      </c>
      <c r="E28" s="68" t="s">
        <v>434</v>
      </c>
    </row>
    <row r="29" spans="1:5">
      <c r="A29" s="68">
        <v>0.43665999999999999</v>
      </c>
      <c r="B29" s="68">
        <v>0.41852499999999998</v>
      </c>
      <c r="C29" s="68">
        <v>10.969900000000001</v>
      </c>
      <c r="D29" s="68">
        <v>1</v>
      </c>
      <c r="E29" s="68" t="s">
        <v>435</v>
      </c>
    </row>
    <row r="30" spans="1:5">
      <c r="A30" s="68">
        <v>0.43661800000000001</v>
      </c>
      <c r="B30" s="68">
        <v>0.41974400000000001</v>
      </c>
      <c r="C30" s="68">
        <v>11.3779</v>
      </c>
      <c r="D30" s="68">
        <v>1</v>
      </c>
      <c r="E30" s="68" t="s">
        <v>436</v>
      </c>
    </row>
    <row r="31" spans="1:5">
      <c r="A31" s="68">
        <v>0.43674600000000002</v>
      </c>
      <c r="B31" s="68">
        <v>0.42113600000000001</v>
      </c>
      <c r="C31" s="68">
        <v>11.784000000000001</v>
      </c>
      <c r="D31" s="68">
        <v>1</v>
      </c>
      <c r="E31" s="68" t="s">
        <v>437</v>
      </c>
    </row>
    <row r="32" spans="1:5">
      <c r="A32" s="68">
        <v>0.43662400000000001</v>
      </c>
      <c r="B32" s="68">
        <v>0.422375</v>
      </c>
      <c r="C32" s="68">
        <v>12.191800000000001</v>
      </c>
      <c r="D32" s="68">
        <v>1</v>
      </c>
      <c r="E32" s="68" t="s">
        <v>438</v>
      </c>
    </row>
    <row r="33" spans="1:5">
      <c r="A33" s="68">
        <v>0.43605699999999997</v>
      </c>
      <c r="B33" s="68">
        <v>0.423375</v>
      </c>
      <c r="C33" s="68">
        <v>12.597300000000001</v>
      </c>
      <c r="D33" s="68">
        <v>1</v>
      </c>
      <c r="E33" s="68" t="s">
        <v>439</v>
      </c>
    </row>
    <row r="34" spans="1:5">
      <c r="A34" s="68">
        <v>0.434861</v>
      </c>
      <c r="B34" s="68">
        <v>0.42376900000000001</v>
      </c>
      <c r="C34" s="68">
        <v>13.0023</v>
      </c>
      <c r="D34" s="68">
        <v>1</v>
      </c>
      <c r="E34" s="68" t="s">
        <v>440</v>
      </c>
    </row>
    <row r="35" spans="1:5">
      <c r="A35" s="68">
        <v>0.433172</v>
      </c>
      <c r="B35" s="68">
        <v>0.42408200000000001</v>
      </c>
      <c r="C35" s="68">
        <v>13.408799999999999</v>
      </c>
      <c r="D35" s="68">
        <v>1</v>
      </c>
      <c r="E35" s="68" t="s">
        <v>441</v>
      </c>
    </row>
    <row r="36" spans="1:5">
      <c r="A36" s="68">
        <v>0.430975</v>
      </c>
      <c r="B36" s="68">
        <v>0.42509200000000003</v>
      </c>
      <c r="C36" s="68">
        <v>13.8164</v>
      </c>
      <c r="D36" s="68">
        <v>1</v>
      </c>
      <c r="E36" s="68" t="s">
        <v>442</v>
      </c>
    </row>
    <row r="37" spans="1:5">
      <c r="A37" s="68">
        <v>0.42854900000000001</v>
      </c>
      <c r="B37" s="68">
        <v>0.42794100000000002</v>
      </c>
      <c r="C37" s="68">
        <v>14.224299999999999</v>
      </c>
      <c r="D37" s="68">
        <v>1</v>
      </c>
      <c r="E37" s="68" t="s">
        <v>443</v>
      </c>
    </row>
    <row r="38" spans="1:5">
      <c r="A38" s="68">
        <v>0.425568</v>
      </c>
      <c r="B38" s="68">
        <v>0.43104799999999999</v>
      </c>
      <c r="C38" s="68">
        <v>14.6282</v>
      </c>
      <c r="D38" s="68">
        <v>1</v>
      </c>
      <c r="E38" s="68" t="s">
        <v>444</v>
      </c>
    </row>
    <row r="39" spans="1:5">
      <c r="A39" s="68">
        <v>0.42238399999999998</v>
      </c>
      <c r="B39" s="68">
        <v>0.43474200000000002</v>
      </c>
      <c r="C39" s="68">
        <v>15.033300000000001</v>
      </c>
      <c r="D39" s="68">
        <v>1</v>
      </c>
      <c r="E39" s="68" t="s">
        <v>445</v>
      </c>
    </row>
    <row r="40" spans="1:5">
      <c r="A40" s="68">
        <v>0.41905300000000001</v>
      </c>
      <c r="B40" s="68">
        <v>0.43994699999999998</v>
      </c>
      <c r="C40" s="68">
        <v>15.4414</v>
      </c>
      <c r="D40" s="68">
        <v>1</v>
      </c>
      <c r="E40" s="68" t="s">
        <v>446</v>
      </c>
    </row>
    <row r="41" spans="1:5">
      <c r="A41" s="68">
        <v>0.41529300000000002</v>
      </c>
      <c r="B41" s="68">
        <v>0.44689899999999999</v>
      </c>
      <c r="C41" s="68">
        <v>15.849</v>
      </c>
      <c r="D41" s="68">
        <v>1</v>
      </c>
      <c r="E41" s="68" t="s">
        <v>447</v>
      </c>
    </row>
    <row r="42" spans="1:5">
      <c r="A42" s="68">
        <v>0.41178599999999999</v>
      </c>
      <c r="B42" s="68">
        <v>0.45456200000000002</v>
      </c>
      <c r="C42" s="68">
        <v>16.255500000000001</v>
      </c>
      <c r="D42" s="68">
        <v>1</v>
      </c>
      <c r="E42" s="68" t="s">
        <v>448</v>
      </c>
    </row>
    <row r="43" spans="1:5">
      <c r="A43" s="68">
        <v>0.40865400000000002</v>
      </c>
      <c r="B43" s="68">
        <v>0.46167599999999998</v>
      </c>
      <c r="C43" s="68">
        <v>16.660399999999999</v>
      </c>
      <c r="D43" s="68">
        <v>1</v>
      </c>
      <c r="E43" s="68" t="s">
        <v>449</v>
      </c>
    </row>
    <row r="44" spans="1:5">
      <c r="A44" s="68">
        <v>0.40551900000000002</v>
      </c>
      <c r="B44" s="68">
        <v>0.468111</v>
      </c>
      <c r="C44" s="68">
        <v>17.063700000000001</v>
      </c>
      <c r="D44" s="68">
        <v>1</v>
      </c>
      <c r="E44" s="68" t="s">
        <v>450</v>
      </c>
    </row>
    <row r="45" spans="1:5">
      <c r="A45" s="68">
        <v>0.40201900000000002</v>
      </c>
      <c r="B45" s="68">
        <v>0.47390300000000002</v>
      </c>
      <c r="C45" s="68">
        <v>17.473199999999999</v>
      </c>
      <c r="D45" s="68">
        <v>1</v>
      </c>
      <c r="E45" s="68" t="s">
        <v>451</v>
      </c>
    </row>
    <row r="46" spans="1:5">
      <c r="A46" s="68">
        <v>0.398339</v>
      </c>
      <c r="B46" s="68">
        <v>0.47911599999999999</v>
      </c>
      <c r="C46" s="68">
        <v>17.8765</v>
      </c>
      <c r="D46" s="68">
        <v>1</v>
      </c>
      <c r="E46" s="68" t="s">
        <v>452</v>
      </c>
    </row>
    <row r="47" spans="1:5">
      <c r="A47" s="68">
        <v>0.39500099999999999</v>
      </c>
      <c r="B47" s="68">
        <v>0.483572</v>
      </c>
      <c r="C47" s="68">
        <v>18.285900000000002</v>
      </c>
      <c r="D47" s="68">
        <v>1</v>
      </c>
      <c r="E47" s="68" t="s">
        <v>453</v>
      </c>
    </row>
    <row r="48" spans="1:5">
      <c r="A48" s="68">
        <v>0.391816</v>
      </c>
      <c r="B48" s="68">
        <v>0.48761700000000002</v>
      </c>
      <c r="C48" s="68">
        <v>18.6921</v>
      </c>
      <c r="D48" s="68">
        <v>1</v>
      </c>
      <c r="E48" s="68" t="s">
        <v>454</v>
      </c>
    </row>
    <row r="49" spans="1:5">
      <c r="A49" s="68">
        <v>0.38904699999999998</v>
      </c>
      <c r="B49" s="68">
        <v>0.49104100000000001</v>
      </c>
      <c r="C49" s="68">
        <v>19.096900000000002</v>
      </c>
      <c r="D49" s="68">
        <v>1</v>
      </c>
      <c r="E49" s="68" t="s">
        <v>455</v>
      </c>
    </row>
    <row r="50" spans="1:5">
      <c r="A50" s="68">
        <v>0.386876</v>
      </c>
      <c r="B50" s="68">
        <v>0.49347099999999999</v>
      </c>
      <c r="C50" s="68">
        <v>19.501999999999999</v>
      </c>
      <c r="D50" s="68">
        <v>1</v>
      </c>
      <c r="E50" s="68" t="s">
        <v>456</v>
      </c>
    </row>
    <row r="51" spans="1:5">
      <c r="A51" s="68">
        <v>0.38477299999999998</v>
      </c>
      <c r="B51" s="68">
        <v>0.495647</v>
      </c>
      <c r="C51" s="68">
        <v>19.908100000000001</v>
      </c>
      <c r="D51" s="68">
        <v>1</v>
      </c>
      <c r="E51" s="68" t="s">
        <v>457</v>
      </c>
    </row>
    <row r="52" spans="1:5">
      <c r="A52" s="68">
        <v>0.38375300000000001</v>
      </c>
      <c r="B52" s="68">
        <v>0.496305</v>
      </c>
      <c r="C52" s="68">
        <v>20.3139</v>
      </c>
      <c r="D52" s="68">
        <v>1</v>
      </c>
      <c r="E52" s="68" t="s">
        <v>458</v>
      </c>
    </row>
    <row r="53" spans="1:5">
      <c r="A53" s="68">
        <v>0.38232899999999997</v>
      </c>
      <c r="B53" s="68">
        <v>0.49693500000000002</v>
      </c>
      <c r="C53" s="68">
        <v>20.721599999999999</v>
      </c>
      <c r="D53" s="68">
        <v>1</v>
      </c>
      <c r="E53" s="68" t="s">
        <v>459</v>
      </c>
    </row>
    <row r="54" spans="1:5">
      <c r="A54" s="68">
        <v>0.38074400000000003</v>
      </c>
      <c r="B54" s="68">
        <v>0.49759700000000001</v>
      </c>
      <c r="C54" s="68">
        <v>21.1294</v>
      </c>
      <c r="D54" s="68">
        <v>1</v>
      </c>
      <c r="E54" s="68" t="s">
        <v>460</v>
      </c>
    </row>
    <row r="55" spans="1:5">
      <c r="A55" s="68">
        <v>0.37831399999999998</v>
      </c>
      <c r="B55" s="68">
        <v>0.49927700000000003</v>
      </c>
      <c r="C55" s="68">
        <v>21.5367</v>
      </c>
      <c r="D55" s="68">
        <v>1</v>
      </c>
      <c r="E55" s="68" t="s">
        <v>461</v>
      </c>
    </row>
    <row r="56" spans="1:5">
      <c r="A56" s="68">
        <v>0.37663799999999997</v>
      </c>
      <c r="B56" s="68">
        <v>0.50094700000000003</v>
      </c>
      <c r="C56" s="68">
        <v>21.940799999999999</v>
      </c>
      <c r="D56" s="68">
        <v>1</v>
      </c>
      <c r="E56" s="68" t="s">
        <v>462</v>
      </c>
    </row>
    <row r="57" spans="1:5">
      <c r="A57" s="68">
        <v>0.37454799999999999</v>
      </c>
      <c r="B57" s="68">
        <v>0.50316700000000003</v>
      </c>
      <c r="C57" s="68">
        <v>22.345099999999999</v>
      </c>
      <c r="D57" s="68">
        <v>1</v>
      </c>
      <c r="E57" s="68" t="s">
        <v>463</v>
      </c>
    </row>
    <row r="58" spans="1:5">
      <c r="A58" s="68">
        <v>0.37246099999999999</v>
      </c>
      <c r="B58" s="68">
        <v>0.50536400000000004</v>
      </c>
      <c r="C58" s="68">
        <v>22.750399999999999</v>
      </c>
      <c r="D58" s="68">
        <v>1</v>
      </c>
      <c r="E58" s="68" t="s">
        <v>464</v>
      </c>
    </row>
    <row r="59" spans="1:5">
      <c r="A59" s="68">
        <v>0.37017</v>
      </c>
      <c r="B59" s="68">
        <v>0.50788199999999994</v>
      </c>
      <c r="C59" s="68">
        <v>23.1615</v>
      </c>
      <c r="D59" s="68">
        <v>1</v>
      </c>
      <c r="E59" s="68" t="s">
        <v>465</v>
      </c>
    </row>
    <row r="60" spans="1:5">
      <c r="A60" s="68">
        <v>0.36800100000000002</v>
      </c>
      <c r="B60" s="68">
        <v>0.51019099999999995</v>
      </c>
      <c r="C60" s="68">
        <v>23.5669</v>
      </c>
      <c r="D60" s="68">
        <v>1</v>
      </c>
      <c r="E60" s="68" t="s">
        <v>466</v>
      </c>
    </row>
    <row r="61" spans="1:5">
      <c r="A61" s="68">
        <v>0.36566100000000001</v>
      </c>
      <c r="B61" s="68">
        <v>0.512181</v>
      </c>
      <c r="C61" s="68">
        <v>23.973800000000001</v>
      </c>
      <c r="D61" s="68">
        <v>1</v>
      </c>
      <c r="E61" s="68" t="s">
        <v>467</v>
      </c>
    </row>
    <row r="62" spans="1:5">
      <c r="A62" s="68">
        <v>0.362759</v>
      </c>
      <c r="B62" s="68">
        <v>0.51475800000000005</v>
      </c>
      <c r="C62" s="68">
        <v>24.3782</v>
      </c>
      <c r="D62" s="68">
        <v>1</v>
      </c>
      <c r="E62" s="68" t="s">
        <v>468</v>
      </c>
    </row>
    <row r="63" spans="1:5">
      <c r="A63" s="68">
        <v>0.36106100000000002</v>
      </c>
      <c r="B63" s="68">
        <v>0.51679299999999995</v>
      </c>
      <c r="C63" s="68">
        <v>24.783100000000001</v>
      </c>
      <c r="D63" s="68">
        <v>1</v>
      </c>
      <c r="E63" s="68" t="s">
        <v>469</v>
      </c>
    </row>
    <row r="64" spans="1:5">
      <c r="A64" s="68">
        <v>0.35900500000000002</v>
      </c>
      <c r="B64" s="68">
        <v>0.51883400000000002</v>
      </c>
      <c r="C64" s="68">
        <v>25.191400000000002</v>
      </c>
      <c r="D64" s="68">
        <v>1</v>
      </c>
      <c r="E64" s="68" t="s">
        <v>470</v>
      </c>
    </row>
    <row r="65" spans="1:5">
      <c r="A65" s="68">
        <v>0.35698999999999997</v>
      </c>
      <c r="B65" s="68">
        <v>0.52114300000000002</v>
      </c>
      <c r="C65" s="68">
        <v>25.5975</v>
      </c>
      <c r="D65" s="68">
        <v>1</v>
      </c>
      <c r="E65" s="68" t="s">
        <v>471</v>
      </c>
    </row>
    <row r="66" spans="1:5">
      <c r="A66" s="68">
        <v>0.35534399999999999</v>
      </c>
      <c r="B66" s="68">
        <v>0.52393599999999996</v>
      </c>
      <c r="C66" s="68">
        <v>26.002300000000002</v>
      </c>
      <c r="D66" s="68">
        <v>1</v>
      </c>
      <c r="E66" s="68" t="s">
        <v>472</v>
      </c>
    </row>
    <row r="67" spans="1:5">
      <c r="A67" s="68">
        <v>0.35321900000000001</v>
      </c>
      <c r="B67" s="68">
        <v>0.52698599999999995</v>
      </c>
      <c r="C67" s="68">
        <v>26.409099999999999</v>
      </c>
      <c r="D67" s="68">
        <v>1</v>
      </c>
      <c r="E67" s="68" t="s">
        <v>473</v>
      </c>
    </row>
    <row r="68" spans="1:5">
      <c r="A68" s="68">
        <v>0.35117799999999999</v>
      </c>
      <c r="B68" s="68">
        <v>0.530281</v>
      </c>
      <c r="C68" s="68">
        <v>26.814299999999999</v>
      </c>
      <c r="D68" s="68">
        <v>1</v>
      </c>
      <c r="E68" s="68" t="s">
        <v>474</v>
      </c>
    </row>
    <row r="69" spans="1:5">
      <c r="A69" s="68">
        <v>0.34929500000000002</v>
      </c>
      <c r="B69" s="68">
        <v>0.53297000000000005</v>
      </c>
      <c r="C69" s="68">
        <v>27.2225</v>
      </c>
      <c r="D69" s="68">
        <v>1</v>
      </c>
      <c r="E69" s="68" t="s">
        <v>475</v>
      </c>
    </row>
    <row r="70" spans="1:5">
      <c r="A70" s="68">
        <v>0.348331</v>
      </c>
      <c r="B70" s="68">
        <v>0.53441099999999997</v>
      </c>
      <c r="C70" s="68">
        <v>27.628499999999999</v>
      </c>
      <c r="D70" s="68">
        <v>1</v>
      </c>
      <c r="E70" s="68" t="s">
        <v>476</v>
      </c>
    </row>
    <row r="71" spans="1:5">
      <c r="A71" s="68">
        <v>0.34830899999999998</v>
      </c>
      <c r="B71" s="68">
        <v>0.53415199999999996</v>
      </c>
      <c r="C71" s="68">
        <v>28.036799999999999</v>
      </c>
      <c r="D71" s="68">
        <v>1</v>
      </c>
      <c r="E71" s="68" t="s">
        <v>477</v>
      </c>
    </row>
    <row r="72" spans="1:5">
      <c r="A72" s="68">
        <v>0.34855599999999998</v>
      </c>
      <c r="B72" s="68">
        <v>0.53328500000000001</v>
      </c>
      <c r="C72" s="68">
        <v>28.4436</v>
      </c>
      <c r="D72" s="68">
        <v>1</v>
      </c>
      <c r="E72" s="68" t="s">
        <v>478</v>
      </c>
    </row>
    <row r="73" spans="1:5">
      <c r="A73" s="68">
        <v>0.34847099999999998</v>
      </c>
      <c r="B73" s="68">
        <v>0.53299099999999999</v>
      </c>
      <c r="C73" s="68">
        <v>28.8444</v>
      </c>
      <c r="D73" s="68">
        <v>1</v>
      </c>
      <c r="E73" s="68" t="s">
        <v>479</v>
      </c>
    </row>
    <row r="74" spans="1:5">
      <c r="A74" s="68">
        <v>0.35005599999999998</v>
      </c>
      <c r="B74" s="68">
        <v>0.52876299999999998</v>
      </c>
      <c r="C74" s="68">
        <v>29.254300000000001</v>
      </c>
      <c r="D74" s="68">
        <v>1</v>
      </c>
      <c r="E74" s="68" t="s">
        <v>480</v>
      </c>
    </row>
    <row r="75" spans="1:5">
      <c r="A75" s="68">
        <v>0.35139999999999999</v>
      </c>
      <c r="B75" s="68">
        <v>0.52446400000000004</v>
      </c>
      <c r="C75" s="68">
        <v>29.660499999999999</v>
      </c>
      <c r="D75" s="68">
        <v>1</v>
      </c>
      <c r="E75" s="68" t="s">
        <v>481</v>
      </c>
    </row>
    <row r="76" spans="1:5">
      <c r="A76" s="68">
        <v>0.35342499999999999</v>
      </c>
      <c r="B76" s="68">
        <v>0.51844100000000004</v>
      </c>
      <c r="C76" s="68">
        <v>30.066299999999998</v>
      </c>
      <c r="D76" s="68">
        <v>2</v>
      </c>
      <c r="E76" s="68" t="s">
        <v>482</v>
      </c>
    </row>
    <row r="77" spans="1:5">
      <c r="A77" s="68">
        <v>0.35628199999999999</v>
      </c>
      <c r="B77" s="68">
        <v>0.510266</v>
      </c>
      <c r="C77" s="68">
        <v>30.552900000000001</v>
      </c>
      <c r="D77" s="68">
        <v>2</v>
      </c>
      <c r="E77" s="68" t="s">
        <v>483</v>
      </c>
    </row>
    <row r="78" spans="1:5">
      <c r="A78" s="68">
        <v>0.35935099999999998</v>
      </c>
      <c r="B78" s="68">
        <v>0.50190500000000005</v>
      </c>
      <c r="C78" s="68">
        <v>30.9404</v>
      </c>
      <c r="D78" s="68">
        <v>2</v>
      </c>
      <c r="E78" s="68" t="s">
        <v>484</v>
      </c>
    </row>
    <row r="79" spans="1:5">
      <c r="A79" s="68">
        <v>0.36263099999999998</v>
      </c>
      <c r="B79" s="68">
        <v>0.49409500000000001</v>
      </c>
      <c r="C79" s="68">
        <v>31.332000000000001</v>
      </c>
      <c r="D79" s="68">
        <v>2</v>
      </c>
      <c r="E79" s="68" t="s">
        <v>485</v>
      </c>
    </row>
    <row r="80" spans="1:5">
      <c r="A80" s="68">
        <v>0.365699</v>
      </c>
      <c r="B80" s="68">
        <v>0.48706700000000003</v>
      </c>
      <c r="C80" s="68">
        <v>31.736699999999999</v>
      </c>
      <c r="D80" s="68">
        <v>2</v>
      </c>
      <c r="E80" s="68" t="s">
        <v>486</v>
      </c>
    </row>
    <row r="81" spans="1:5">
      <c r="A81" s="68">
        <v>0.36846400000000001</v>
      </c>
      <c r="B81" s="68">
        <v>0.48187600000000003</v>
      </c>
      <c r="C81" s="68">
        <v>32.142000000000003</v>
      </c>
      <c r="D81" s="68">
        <v>2</v>
      </c>
      <c r="E81" s="68" t="s">
        <v>487</v>
      </c>
    </row>
    <row r="82" spans="1:5">
      <c r="A82" s="68">
        <v>0.370865</v>
      </c>
      <c r="B82" s="68">
        <v>0.47764699999999999</v>
      </c>
      <c r="C82" s="68">
        <v>32.547600000000003</v>
      </c>
      <c r="D82" s="68">
        <v>2</v>
      </c>
      <c r="E82" s="68" t="s">
        <v>488</v>
      </c>
    </row>
    <row r="83" spans="1:5">
      <c r="A83" s="68">
        <v>0.37372300000000003</v>
      </c>
      <c r="B83" s="68">
        <v>0.47361500000000001</v>
      </c>
      <c r="C83" s="68">
        <v>32.957799999999999</v>
      </c>
      <c r="D83" s="68">
        <v>2</v>
      </c>
      <c r="E83" s="68" t="s">
        <v>489</v>
      </c>
    </row>
    <row r="84" spans="1:5">
      <c r="A84" s="68">
        <v>0.37675399999999998</v>
      </c>
      <c r="B84" s="68">
        <v>0.46864</v>
      </c>
      <c r="C84" s="68">
        <v>33.361400000000003</v>
      </c>
      <c r="D84" s="68">
        <v>2</v>
      </c>
      <c r="E84" s="68" t="s">
        <v>490</v>
      </c>
    </row>
    <row r="85" spans="1:5">
      <c r="A85" s="68">
        <v>0.38014799999999999</v>
      </c>
      <c r="B85" s="68">
        <v>0.46472200000000002</v>
      </c>
      <c r="C85" s="68">
        <v>33.767299999999999</v>
      </c>
      <c r="D85" s="68">
        <v>2</v>
      </c>
      <c r="E85" s="68" t="s">
        <v>491</v>
      </c>
    </row>
    <row r="86" spans="1:5">
      <c r="A86" s="68">
        <v>0.38350800000000002</v>
      </c>
      <c r="B86" s="68">
        <v>0.46279999999999999</v>
      </c>
      <c r="C86" s="68">
        <v>34.175600000000003</v>
      </c>
      <c r="D86" s="68">
        <v>2</v>
      </c>
      <c r="E86" s="68" t="s">
        <v>492</v>
      </c>
    </row>
    <row r="87" spans="1:5">
      <c r="A87" s="68">
        <v>0.38678899999999999</v>
      </c>
      <c r="B87" s="68">
        <v>0.46203699999999998</v>
      </c>
      <c r="C87" s="68">
        <v>34.583199999999998</v>
      </c>
      <c r="D87" s="68">
        <v>2</v>
      </c>
      <c r="E87" s="68" t="s">
        <v>493</v>
      </c>
    </row>
    <row r="88" spans="1:5">
      <c r="A88" s="68">
        <v>0.38990999999999998</v>
      </c>
      <c r="B88" s="68">
        <v>0.46097100000000002</v>
      </c>
      <c r="C88" s="68">
        <v>34.985799999999998</v>
      </c>
      <c r="D88" s="68">
        <v>2</v>
      </c>
      <c r="E88" s="68" t="s">
        <v>494</v>
      </c>
    </row>
    <row r="89" spans="1:5">
      <c r="A89" s="68">
        <v>0.39234999999999998</v>
      </c>
      <c r="B89" s="68">
        <v>0.46040900000000001</v>
      </c>
      <c r="C89" s="68">
        <v>35.391800000000003</v>
      </c>
      <c r="D89" s="68">
        <v>2</v>
      </c>
      <c r="E89" s="68" t="s">
        <v>495</v>
      </c>
    </row>
    <row r="90" spans="1:5">
      <c r="A90" s="68">
        <v>0.39455400000000002</v>
      </c>
      <c r="B90" s="68">
        <v>0.46138400000000002</v>
      </c>
      <c r="C90" s="68">
        <v>35.799500000000002</v>
      </c>
      <c r="D90" s="68">
        <v>2</v>
      </c>
      <c r="E90" s="68" t="s">
        <v>496</v>
      </c>
    </row>
    <row r="91" spans="1:5">
      <c r="A91" s="68">
        <v>0.39641599999999999</v>
      </c>
      <c r="B91" s="68">
        <v>0.46215099999999998</v>
      </c>
      <c r="C91" s="68">
        <v>36.208399999999997</v>
      </c>
      <c r="D91" s="68">
        <v>2</v>
      </c>
      <c r="E91" s="68" t="s">
        <v>497</v>
      </c>
    </row>
    <row r="92" spans="1:5">
      <c r="A92" s="68">
        <v>0.397623</v>
      </c>
      <c r="B92" s="68">
        <v>0.46266499999999999</v>
      </c>
      <c r="C92" s="68">
        <v>36.612400000000001</v>
      </c>
      <c r="D92" s="68">
        <v>2</v>
      </c>
      <c r="E92" s="68" t="s">
        <v>498</v>
      </c>
    </row>
    <row r="93" spans="1:5">
      <c r="A93" s="68">
        <v>0.398617</v>
      </c>
      <c r="B93" s="68">
        <v>0.46341100000000002</v>
      </c>
      <c r="C93" s="68">
        <v>37.020299999999999</v>
      </c>
      <c r="D93" s="68">
        <v>2</v>
      </c>
      <c r="E93" s="68" t="s">
        <v>499</v>
      </c>
    </row>
    <row r="94" spans="1:5">
      <c r="A94" s="68">
        <v>0.39957700000000002</v>
      </c>
      <c r="B94" s="68">
        <v>0.46445900000000001</v>
      </c>
      <c r="C94" s="68">
        <v>37.425199999999997</v>
      </c>
      <c r="D94" s="68">
        <v>2</v>
      </c>
      <c r="E94" s="68" t="s">
        <v>500</v>
      </c>
    </row>
    <row r="95" spans="1:5">
      <c r="A95" s="68">
        <v>0.400366</v>
      </c>
      <c r="B95" s="68">
        <v>0.46509299999999998</v>
      </c>
      <c r="C95" s="68">
        <v>37.832299999999996</v>
      </c>
      <c r="D95" s="68">
        <v>2</v>
      </c>
      <c r="E95" s="68" t="s">
        <v>501</v>
      </c>
    </row>
    <row r="96" spans="1:5">
      <c r="A96" s="68">
        <v>0.40079199999999998</v>
      </c>
      <c r="B96" s="68">
        <v>0.46524399999999999</v>
      </c>
      <c r="C96" s="68">
        <v>38.240200000000002</v>
      </c>
      <c r="D96" s="68">
        <v>2</v>
      </c>
      <c r="E96" s="68" t="s">
        <v>502</v>
      </c>
    </row>
    <row r="97" spans="1:5">
      <c r="A97" s="68">
        <v>0.40085100000000001</v>
      </c>
      <c r="B97" s="68">
        <v>0.46488200000000002</v>
      </c>
      <c r="C97" s="68">
        <v>38.645099999999999</v>
      </c>
      <c r="D97" s="68">
        <v>2</v>
      </c>
      <c r="E97" s="68" t="s">
        <v>503</v>
      </c>
    </row>
    <row r="98" spans="1:5">
      <c r="A98" s="68">
        <v>0.40085399999999999</v>
      </c>
      <c r="B98" s="68">
        <v>0.46422000000000002</v>
      </c>
      <c r="C98" s="68">
        <v>39.051400000000001</v>
      </c>
      <c r="D98" s="68">
        <v>2</v>
      </c>
      <c r="E98" s="68" t="s">
        <v>504</v>
      </c>
    </row>
    <row r="99" spans="1:5">
      <c r="A99" s="68">
        <v>0.39992499999999997</v>
      </c>
      <c r="B99" s="68">
        <v>0.46331099999999997</v>
      </c>
      <c r="C99" s="68">
        <v>39.455599999999997</v>
      </c>
      <c r="D99" s="68">
        <v>2</v>
      </c>
      <c r="E99" s="68" t="s">
        <v>505</v>
      </c>
    </row>
    <row r="100" spans="1:5">
      <c r="A100" s="68">
        <v>0.39844299999999999</v>
      </c>
      <c r="B100" s="68">
        <v>0.46251199999999998</v>
      </c>
      <c r="C100" s="68">
        <v>39.859900000000003</v>
      </c>
      <c r="D100" s="68">
        <v>2</v>
      </c>
      <c r="E100" s="68" t="s">
        <v>506</v>
      </c>
    </row>
    <row r="101" spans="1:5">
      <c r="A101" s="68">
        <v>0.39649400000000001</v>
      </c>
      <c r="B101" s="68">
        <v>0.46217799999999998</v>
      </c>
      <c r="C101" s="68">
        <v>40.269599999999997</v>
      </c>
      <c r="D101" s="68">
        <v>2</v>
      </c>
      <c r="E101" s="68" t="s">
        <v>507</v>
      </c>
    </row>
    <row r="102" spans="1:5">
      <c r="A102" s="68">
        <v>0.39362799999999998</v>
      </c>
      <c r="B102" s="68">
        <v>0.46251199999999998</v>
      </c>
      <c r="C102" s="68">
        <v>40.677399999999999</v>
      </c>
      <c r="D102" s="68">
        <v>2</v>
      </c>
      <c r="E102" s="68" t="s">
        <v>508</v>
      </c>
    </row>
    <row r="103" spans="1:5">
      <c r="A103" s="68">
        <v>0.39051900000000001</v>
      </c>
      <c r="B103" s="68">
        <v>0.46363300000000002</v>
      </c>
      <c r="C103" s="68">
        <v>41.080500000000001</v>
      </c>
      <c r="D103" s="68">
        <v>2</v>
      </c>
      <c r="E103" s="68" t="s">
        <v>509</v>
      </c>
    </row>
    <row r="104" spans="1:5">
      <c r="A104" s="68">
        <v>0.387347</v>
      </c>
      <c r="B104" s="68">
        <v>0.46519700000000003</v>
      </c>
      <c r="C104" s="68">
        <v>41.487699999999997</v>
      </c>
      <c r="D104" s="68">
        <v>2</v>
      </c>
      <c r="E104" s="68" t="s">
        <v>510</v>
      </c>
    </row>
    <row r="105" spans="1:5">
      <c r="A105" s="68">
        <v>0.38446399999999997</v>
      </c>
      <c r="B105" s="68">
        <v>0.467144</v>
      </c>
      <c r="C105" s="68">
        <v>41.891399999999997</v>
      </c>
      <c r="D105" s="68">
        <v>2</v>
      </c>
      <c r="E105" s="68" t="s">
        <v>511</v>
      </c>
    </row>
    <row r="106" spans="1:5">
      <c r="A106" s="68">
        <v>0.38194099999999997</v>
      </c>
      <c r="B106" s="68">
        <v>0.46854600000000002</v>
      </c>
      <c r="C106" s="68">
        <v>42.3001</v>
      </c>
      <c r="D106" s="68">
        <v>2</v>
      </c>
      <c r="E106" s="68" t="s">
        <v>512</v>
      </c>
    </row>
    <row r="107" spans="1:5">
      <c r="A107" s="68">
        <v>0.37976300000000002</v>
      </c>
      <c r="B107" s="68">
        <v>0.46985399999999999</v>
      </c>
      <c r="C107" s="68">
        <v>42.707900000000002</v>
      </c>
      <c r="D107" s="68">
        <v>2</v>
      </c>
      <c r="E107" s="68" t="s">
        <v>513</v>
      </c>
    </row>
    <row r="108" spans="1:5">
      <c r="A108" s="68">
        <v>0.37729200000000002</v>
      </c>
      <c r="B108" s="68">
        <v>0.47211399999999998</v>
      </c>
      <c r="C108" s="68">
        <v>43.113</v>
      </c>
      <c r="D108" s="68">
        <v>2</v>
      </c>
      <c r="E108" s="68" t="s">
        <v>514</v>
      </c>
    </row>
    <row r="109" spans="1:5">
      <c r="A109" s="68">
        <v>0.374751</v>
      </c>
      <c r="B109" s="68">
        <v>0.47578100000000001</v>
      </c>
      <c r="C109" s="68">
        <v>43.5167</v>
      </c>
      <c r="D109" s="68">
        <v>2</v>
      </c>
      <c r="E109" s="68" t="s">
        <v>515</v>
      </c>
    </row>
    <row r="110" spans="1:5">
      <c r="A110" s="68">
        <v>0.37255700000000003</v>
      </c>
      <c r="B110" s="68">
        <v>0.47946800000000001</v>
      </c>
      <c r="C110" s="68">
        <v>43.925199999999997</v>
      </c>
      <c r="D110" s="68">
        <v>2</v>
      </c>
      <c r="E110" s="68" t="s">
        <v>516</v>
      </c>
    </row>
    <row r="111" spans="1:5">
      <c r="A111" s="68">
        <v>0.37079200000000001</v>
      </c>
      <c r="B111" s="68">
        <v>0.48207299999999997</v>
      </c>
      <c r="C111" s="68">
        <v>44.3322</v>
      </c>
      <c r="D111" s="68">
        <v>2</v>
      </c>
      <c r="E111" s="68" t="s">
        <v>517</v>
      </c>
    </row>
    <row r="112" spans="1:5">
      <c r="A112" s="68">
        <v>0.369506</v>
      </c>
      <c r="B112" s="68">
        <v>0.48423500000000003</v>
      </c>
      <c r="C112" s="68">
        <v>44.739199999999997</v>
      </c>
      <c r="D112" s="68">
        <v>2</v>
      </c>
      <c r="E112" s="68" t="s">
        <v>518</v>
      </c>
    </row>
    <row r="113" spans="1:5">
      <c r="A113" s="68">
        <v>0.368423</v>
      </c>
      <c r="B113" s="68">
        <v>0.48646099999999998</v>
      </c>
      <c r="C113" s="68">
        <v>45.142499999999998</v>
      </c>
      <c r="D113" s="68">
        <v>2</v>
      </c>
      <c r="E113" s="68" t="s">
        <v>519</v>
      </c>
    </row>
    <row r="114" spans="1:5">
      <c r="A114" s="68">
        <v>0.367641</v>
      </c>
      <c r="B114" s="68">
        <v>0.48782500000000001</v>
      </c>
      <c r="C114" s="68">
        <v>45.548299999999998</v>
      </c>
      <c r="D114" s="68">
        <v>2</v>
      </c>
      <c r="E114" s="68" t="s">
        <v>520</v>
      </c>
    </row>
    <row r="115" spans="1:5">
      <c r="A115" s="68">
        <v>0.36707699999999999</v>
      </c>
      <c r="B115" s="68">
        <v>0.48845300000000003</v>
      </c>
      <c r="C115" s="68">
        <v>45.955500000000001</v>
      </c>
      <c r="D115" s="68">
        <v>2</v>
      </c>
      <c r="E115" s="68" t="s">
        <v>521</v>
      </c>
    </row>
    <row r="116" spans="1:5">
      <c r="A116" s="68">
        <v>0.366674</v>
      </c>
      <c r="B116" s="68">
        <v>0.488894</v>
      </c>
      <c r="C116" s="68">
        <v>46.362299999999998</v>
      </c>
      <c r="D116" s="68">
        <v>2</v>
      </c>
      <c r="E116" s="68" t="s">
        <v>522</v>
      </c>
    </row>
    <row r="117" spans="1:5">
      <c r="A117" s="68">
        <v>0.36685699999999999</v>
      </c>
      <c r="B117" s="68">
        <v>0.488454</v>
      </c>
      <c r="C117" s="68">
        <v>46.765900000000002</v>
      </c>
      <c r="D117" s="68">
        <v>2</v>
      </c>
      <c r="E117" s="68" t="s">
        <v>523</v>
      </c>
    </row>
    <row r="118" spans="1:5">
      <c r="A118" s="68">
        <v>0.36737199999999998</v>
      </c>
      <c r="B118" s="68">
        <v>0.48729800000000001</v>
      </c>
      <c r="C118" s="68">
        <v>47.1723</v>
      </c>
      <c r="D118" s="68">
        <v>2</v>
      </c>
      <c r="E118" s="68" t="s">
        <v>524</v>
      </c>
    </row>
    <row r="119" spans="1:5">
      <c r="A119" s="68">
        <v>0.36832900000000002</v>
      </c>
      <c r="B119" s="68">
        <v>0.48508000000000001</v>
      </c>
      <c r="C119" s="68">
        <v>47.581000000000003</v>
      </c>
      <c r="D119" s="68">
        <v>2</v>
      </c>
      <c r="E119" s="68" t="s">
        <v>525</v>
      </c>
    </row>
    <row r="120" spans="1:5">
      <c r="A120" s="68">
        <v>0.36913400000000002</v>
      </c>
      <c r="B120" s="68">
        <v>0.48306700000000002</v>
      </c>
      <c r="C120" s="68">
        <v>47.989800000000002</v>
      </c>
      <c r="D120" s="68">
        <v>2</v>
      </c>
      <c r="E120" s="68" t="s">
        <v>526</v>
      </c>
    </row>
    <row r="121" spans="1:5">
      <c r="A121" s="68">
        <v>0.370286</v>
      </c>
      <c r="B121" s="68">
        <v>0.48017799999999999</v>
      </c>
      <c r="C121" s="68">
        <v>48.3917</v>
      </c>
      <c r="D121" s="68">
        <v>2</v>
      </c>
      <c r="E121" s="68" t="s">
        <v>527</v>
      </c>
    </row>
    <row r="122" spans="1:5">
      <c r="A122" s="68">
        <v>0.371639</v>
      </c>
      <c r="B122" s="68">
        <v>0.47675099999999998</v>
      </c>
      <c r="C122" s="68">
        <v>48.796999999999997</v>
      </c>
      <c r="D122" s="68">
        <v>2</v>
      </c>
      <c r="E122" s="68" t="s">
        <v>528</v>
      </c>
    </row>
    <row r="123" spans="1:5">
      <c r="A123" s="68">
        <v>0.37314799999999998</v>
      </c>
      <c r="B123" s="68">
        <v>0.47263699999999997</v>
      </c>
      <c r="C123" s="68">
        <v>49.2042</v>
      </c>
      <c r="D123" s="68">
        <v>2</v>
      </c>
      <c r="E123" s="68" t="s">
        <v>529</v>
      </c>
    </row>
    <row r="124" spans="1:5">
      <c r="A124" s="68">
        <v>0.37494499999999997</v>
      </c>
      <c r="B124" s="68">
        <v>0.46861799999999998</v>
      </c>
      <c r="C124" s="68">
        <v>49.612400000000001</v>
      </c>
      <c r="D124" s="68">
        <v>2</v>
      </c>
      <c r="E124" s="68" t="s">
        <v>530</v>
      </c>
    </row>
    <row r="125" spans="1:5">
      <c r="A125" s="68">
        <v>0.37681799999999999</v>
      </c>
      <c r="B125" s="68">
        <v>0.46478399999999997</v>
      </c>
      <c r="C125" s="68">
        <v>50.015999999999998</v>
      </c>
      <c r="D125" s="68">
        <v>2</v>
      </c>
      <c r="E125" s="68" t="s">
        <v>531</v>
      </c>
    </row>
    <row r="126" spans="1:5">
      <c r="A126" s="68">
        <v>0.37764500000000001</v>
      </c>
      <c r="B126" s="68">
        <v>0.46360499999999999</v>
      </c>
      <c r="C126" s="68">
        <v>50.424300000000002</v>
      </c>
      <c r="D126" s="68">
        <v>2</v>
      </c>
      <c r="E126" s="68" t="s">
        <v>532</v>
      </c>
    </row>
    <row r="127" spans="1:5">
      <c r="A127" s="68">
        <v>0.378938</v>
      </c>
      <c r="B127" s="68">
        <v>0.46260000000000001</v>
      </c>
      <c r="C127" s="68">
        <v>50.830399999999997</v>
      </c>
      <c r="D127" s="68">
        <v>2</v>
      </c>
      <c r="E127" s="68" t="s">
        <v>533</v>
      </c>
    </row>
    <row r="128" spans="1:5">
      <c r="A128" s="68">
        <v>0.38041000000000003</v>
      </c>
      <c r="B128" s="68">
        <v>0.461615</v>
      </c>
      <c r="C128" s="68">
        <v>51.236499999999999</v>
      </c>
      <c r="D128" s="68">
        <v>2</v>
      </c>
      <c r="E128" s="68" t="s">
        <v>534</v>
      </c>
    </row>
    <row r="129" spans="1:5">
      <c r="A129" s="68">
        <v>0.381934</v>
      </c>
      <c r="B129" s="68">
        <v>0.460675</v>
      </c>
      <c r="C129" s="68">
        <v>51.641800000000003</v>
      </c>
      <c r="D129" s="68">
        <v>2</v>
      </c>
      <c r="E129" s="68" t="s">
        <v>535</v>
      </c>
    </row>
    <row r="130" spans="1:5">
      <c r="A130" s="68">
        <v>0.38336199999999998</v>
      </c>
      <c r="B130" s="68">
        <v>0.45974900000000002</v>
      </c>
      <c r="C130" s="68">
        <v>52.0533</v>
      </c>
      <c r="D130" s="68">
        <v>2</v>
      </c>
      <c r="E130" s="68" t="s">
        <v>536</v>
      </c>
    </row>
    <row r="131" spans="1:5">
      <c r="A131" s="68">
        <v>0.384849</v>
      </c>
      <c r="B131" s="68">
        <v>0.45874300000000001</v>
      </c>
      <c r="C131" s="68">
        <v>52.455399999999997</v>
      </c>
      <c r="D131" s="68">
        <v>2</v>
      </c>
      <c r="E131" s="68" t="s">
        <v>537</v>
      </c>
    </row>
    <row r="132" spans="1:5">
      <c r="A132" s="68">
        <v>0.38634200000000002</v>
      </c>
      <c r="B132" s="68">
        <v>0.457681</v>
      </c>
      <c r="C132" s="68">
        <v>52.862099999999998</v>
      </c>
      <c r="D132" s="68">
        <v>2</v>
      </c>
      <c r="E132" s="68" t="s">
        <v>538</v>
      </c>
    </row>
    <row r="133" spans="1:5">
      <c r="A133" s="68">
        <v>0.388154</v>
      </c>
      <c r="B133" s="68">
        <v>0.45646100000000001</v>
      </c>
      <c r="C133" s="68">
        <v>53.268000000000001</v>
      </c>
      <c r="D133" s="68">
        <v>2</v>
      </c>
      <c r="E133" s="68" t="s">
        <v>539</v>
      </c>
    </row>
    <row r="134" spans="1:5">
      <c r="A134" s="68">
        <v>0.389762</v>
      </c>
      <c r="B134" s="68">
        <v>0.45522200000000002</v>
      </c>
      <c r="C134" s="68">
        <v>53.6721</v>
      </c>
      <c r="D134" s="68">
        <v>2</v>
      </c>
      <c r="E134" s="68" t="s">
        <v>540</v>
      </c>
    </row>
    <row r="135" spans="1:5">
      <c r="A135" s="68">
        <v>0.39107599999999998</v>
      </c>
      <c r="B135" s="68">
        <v>0.454094</v>
      </c>
      <c r="C135" s="68">
        <v>54.082799999999999</v>
      </c>
      <c r="D135" s="68">
        <v>2</v>
      </c>
      <c r="E135" s="68" t="s">
        <v>541</v>
      </c>
    </row>
    <row r="136" spans="1:5">
      <c r="A136" s="68">
        <v>0.39233000000000001</v>
      </c>
      <c r="B136" s="68">
        <v>0.45322299999999999</v>
      </c>
      <c r="C136" s="68">
        <v>54.486499999999999</v>
      </c>
      <c r="D136" s="68">
        <v>2</v>
      </c>
      <c r="E136" s="68" t="s">
        <v>542</v>
      </c>
    </row>
    <row r="137" spans="1:5">
      <c r="A137" s="68">
        <v>0.39332400000000001</v>
      </c>
      <c r="B137" s="68">
        <v>0.45235500000000001</v>
      </c>
      <c r="C137" s="68">
        <v>54.890700000000002</v>
      </c>
      <c r="D137" s="68">
        <v>2</v>
      </c>
      <c r="E137" s="68" t="s">
        <v>543</v>
      </c>
    </row>
    <row r="138" spans="1:5">
      <c r="A138" s="68">
        <v>0.39375300000000002</v>
      </c>
      <c r="B138" s="68">
        <v>0.45155200000000001</v>
      </c>
      <c r="C138" s="68">
        <v>55.297400000000003</v>
      </c>
      <c r="D138" s="68">
        <v>2</v>
      </c>
      <c r="E138" s="68" t="s">
        <v>544</v>
      </c>
    </row>
    <row r="139" spans="1:5">
      <c r="A139" s="68">
        <v>0.39433400000000002</v>
      </c>
      <c r="B139" s="68">
        <v>0.45009300000000002</v>
      </c>
      <c r="C139" s="68">
        <v>55.707599999999999</v>
      </c>
      <c r="D139" s="68">
        <v>2</v>
      </c>
      <c r="E139" s="68" t="s">
        <v>545</v>
      </c>
    </row>
    <row r="140" spans="1:5">
      <c r="A140" s="68">
        <v>0.39554299999999998</v>
      </c>
      <c r="B140" s="68">
        <v>0.44768000000000002</v>
      </c>
      <c r="C140" s="68">
        <v>56.113700000000001</v>
      </c>
      <c r="D140" s="68">
        <v>2</v>
      </c>
      <c r="E140" s="68" t="s">
        <v>546</v>
      </c>
    </row>
    <row r="141" spans="1:5">
      <c r="A141" s="68">
        <v>0.397175</v>
      </c>
      <c r="B141" s="68">
        <v>0.44451600000000002</v>
      </c>
      <c r="C141" s="68">
        <v>56.5184</v>
      </c>
      <c r="D141" s="68">
        <v>2</v>
      </c>
      <c r="E141" s="68" t="s">
        <v>547</v>
      </c>
    </row>
    <row r="142" spans="1:5">
      <c r="A142" s="68">
        <v>0.39902100000000001</v>
      </c>
      <c r="B142" s="68">
        <v>0.44143500000000002</v>
      </c>
      <c r="C142" s="68">
        <v>56.924399999999999</v>
      </c>
      <c r="D142" s="68">
        <v>2</v>
      </c>
      <c r="E142" s="68" t="s">
        <v>548</v>
      </c>
    </row>
    <row r="143" spans="1:5">
      <c r="A143" s="68">
        <v>0.40113399999999999</v>
      </c>
      <c r="B143" s="68">
        <v>0.438079</v>
      </c>
      <c r="C143" s="68">
        <v>57.331000000000003</v>
      </c>
      <c r="D143" s="68">
        <v>2</v>
      </c>
      <c r="E143" s="68" t="s">
        <v>549</v>
      </c>
    </row>
    <row r="144" spans="1:5">
      <c r="A144" s="68">
        <v>0.40284199999999998</v>
      </c>
      <c r="B144" s="68">
        <v>0.435083</v>
      </c>
      <c r="C144" s="68">
        <v>57.737499999999997</v>
      </c>
      <c r="D144" s="68">
        <v>2</v>
      </c>
      <c r="E144" s="68" t="s">
        <v>550</v>
      </c>
    </row>
    <row r="145" spans="1:5">
      <c r="A145" s="68">
        <v>0.40512100000000001</v>
      </c>
      <c r="B145" s="68">
        <v>0.43069000000000002</v>
      </c>
      <c r="C145" s="68">
        <v>58.1434</v>
      </c>
      <c r="D145" s="68">
        <v>2</v>
      </c>
      <c r="E145" s="68" t="s">
        <v>551</v>
      </c>
    </row>
    <row r="146" spans="1:5">
      <c r="A146" s="68">
        <v>0.40607500000000002</v>
      </c>
      <c r="B146" s="68">
        <v>0.42607299999999998</v>
      </c>
      <c r="C146" s="68">
        <v>58.552900000000001</v>
      </c>
      <c r="D146" s="68">
        <v>2</v>
      </c>
      <c r="E146" s="68" t="s">
        <v>552</v>
      </c>
    </row>
    <row r="147" spans="1:5">
      <c r="A147" s="68">
        <v>0.40728999999999999</v>
      </c>
      <c r="B147" s="68">
        <v>0.42271500000000001</v>
      </c>
      <c r="C147" s="68">
        <v>58.954599999999999</v>
      </c>
      <c r="D147" s="68">
        <v>2</v>
      </c>
      <c r="E147" s="68" t="s">
        <v>553</v>
      </c>
    </row>
    <row r="148" spans="1:5">
      <c r="A148" s="68">
        <v>0.40594799999999998</v>
      </c>
      <c r="B148" s="68">
        <v>0.42237999999999998</v>
      </c>
      <c r="C148" s="68">
        <v>59.360500000000002</v>
      </c>
      <c r="D148" s="68">
        <v>2</v>
      </c>
      <c r="E148" s="68" t="s">
        <v>554</v>
      </c>
    </row>
    <row r="149" spans="1:5">
      <c r="A149" s="68">
        <v>0.40493099999999999</v>
      </c>
      <c r="B149" s="68">
        <v>0.421294</v>
      </c>
      <c r="C149" s="68">
        <v>59.768099999999997</v>
      </c>
      <c r="D149" s="68">
        <v>2</v>
      </c>
      <c r="E149" s="68" t="s">
        <v>555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405</v>
      </c>
      <c r="B1" s="66" t="s">
        <v>556</v>
      </c>
      <c r="C1" s="66" t="s">
        <v>558</v>
      </c>
      <c r="D1" s="66" t="s">
        <v>559</v>
      </c>
      <c r="E1" s="66" t="s">
        <v>560</v>
      </c>
      <c r="F1" s="66" t="s">
        <v>561</v>
      </c>
      <c r="G1" s="66" t="s">
        <v>349</v>
      </c>
      <c r="H1" s="66" t="s">
        <v>562</v>
      </c>
      <c r="I1" s="66" t="s">
        <v>563</v>
      </c>
      <c r="J1" s="66" t="s">
        <v>564</v>
      </c>
      <c r="K1" s="66" t="s">
        <v>565</v>
      </c>
      <c r="L1" s="66" t="s">
        <v>566</v>
      </c>
      <c r="M1" s="66" t="s">
        <v>567</v>
      </c>
      <c r="N1" s="66"/>
    </row>
    <row r="2" spans="1:14">
      <c r="A2" s="75">
        <v>43626.695</v>
      </c>
      <c r="B2" s="66" t="s">
        <v>557</v>
      </c>
      <c r="C2" s="66"/>
      <c r="D2" s="66"/>
      <c r="E2" s="66">
        <v>4.9234099999999996</v>
      </c>
      <c r="F2" s="66">
        <v>1.8506</v>
      </c>
      <c r="G2" s="66">
        <v>0.51816300000000004</v>
      </c>
      <c r="H2" s="66">
        <v>0</v>
      </c>
      <c r="I2" s="66">
        <v>215999</v>
      </c>
      <c r="J2" s="66">
        <v>98</v>
      </c>
      <c r="K2" s="66">
        <v>98</v>
      </c>
      <c r="L2" s="66">
        <v>0</v>
      </c>
      <c r="M2" s="66" t="s">
        <v>568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2019-06-10T08:41:27Z</cp:lastPrinted>
  <dcterms:created xsi:type="dcterms:W3CDTF">2010-10-29T12:53:05Z</dcterms:created>
  <dcterms:modified xsi:type="dcterms:W3CDTF">2019-06-10T08:41:42Z</dcterms:modified>
</cp:coreProperties>
</file>